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SuraphanPowanusorn\AppData\Local\Microsoft\Windows\INetCache\Content.Outlook\BSUB98AT\"/>
    </mc:Choice>
  </mc:AlternateContent>
  <xr:revisionPtr revIDLastSave="0" documentId="13_ncr:1_{25795AFC-CB5C-4898-B3B4-B99D0E4A2AE2}" xr6:coauthVersionLast="47" xr6:coauthVersionMax="47" xr10:uidLastSave="{00000000-0000-0000-0000-000000000000}"/>
  <bookViews>
    <workbookView xWindow="-110" yWindow="-110" windowWidth="25820" windowHeight="15500" activeTab="2" xr2:uid="{00000000-000D-0000-FFFF-FFFF00000000}"/>
  </bookViews>
  <sheets>
    <sheet name="Dashboard" sheetId="4" r:id="rId1"/>
    <sheet name="STR Gap Register" sheetId="2" r:id="rId2"/>
    <sheet name="Hold Register" sheetId="8" r:id="rId3"/>
    <sheet name="PPR Findings" sheetId="9" r:id="rId4"/>
  </sheets>
  <externalReferences>
    <externalReference r:id="rId5"/>
    <externalReference r:id="rId6"/>
    <externalReference r:id="rId7"/>
  </externalReferences>
  <definedNames>
    <definedName name="_xlnm._FilterDatabase" localSheetId="2" hidden="1">'Hold Register'!$A$2:$I$19</definedName>
    <definedName name="_xlnm._FilterDatabase" localSheetId="3" hidden="1">'PPR Findings'!$A$5:$X$155</definedName>
    <definedName name="_xlnm._FilterDatabase" localSheetId="1" hidden="1">'STR Gap Register'!$A$5:$H$57</definedName>
    <definedName name="Category">#REF!</definedName>
    <definedName name="category2">[1]Droplist!$B$12:$B$16</definedName>
    <definedName name="con">[1]Droplist!$B$38:$B$41</definedName>
    <definedName name="frequency">[1]Droplist!$B$30:$B$33</definedName>
    <definedName name="_xlnm.Print_Area" localSheetId="3">'PPR Findings'!$A$4:$X$25</definedName>
    <definedName name="_xlnm.Print_Area" localSheetId="1">'STR Gap Register'!$A$1:$H$57</definedName>
    <definedName name="_xlnm.Print_Titles" localSheetId="1">'STR Gap Register'!$1:$5</definedName>
    <definedName name="priority">[2]Droplist!$B$35:$B$39</definedName>
    <definedName name="Severity">#REF!</definedName>
    <definedName name="Status">#REF!</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4" l="1"/>
  <c r="J15" i="4"/>
  <c r="D6" i="9"/>
  <c r="E6" i="9"/>
  <c r="W6" i="9"/>
  <c r="D7" i="9"/>
  <c r="E7" i="9"/>
  <c r="W7" i="9"/>
  <c r="D8" i="9"/>
  <c r="E8" i="9"/>
  <c r="W8" i="9"/>
  <c r="D9" i="9"/>
  <c r="E9" i="9"/>
  <c r="W9" i="9"/>
  <c r="D10" i="9"/>
  <c r="E10" i="9"/>
  <c r="W10" i="9"/>
  <c r="D11" i="9"/>
  <c r="E11" i="9"/>
  <c r="W11" i="9"/>
  <c r="D12" i="9"/>
  <c r="E12" i="9"/>
  <c r="W12" i="9"/>
  <c r="D13" i="9"/>
  <c r="E13" i="9"/>
  <c r="W13" i="9"/>
  <c r="D14" i="9"/>
  <c r="E14" i="9"/>
  <c r="W14" i="9"/>
  <c r="D15" i="9"/>
  <c r="E15" i="9"/>
  <c r="W15" i="9"/>
  <c r="D16" i="9"/>
  <c r="E16" i="9"/>
  <c r="W16" i="9"/>
  <c r="D17" i="9"/>
  <c r="E17" i="9"/>
  <c r="W17" i="9"/>
  <c r="D18" i="9"/>
  <c r="E18" i="9"/>
  <c r="W18" i="9"/>
  <c r="D19" i="9"/>
  <c r="E19" i="9"/>
  <c r="W19" i="9"/>
  <c r="D20" i="9"/>
  <c r="E20" i="9"/>
  <c r="W20" i="9"/>
  <c r="D21" i="9"/>
  <c r="E21" i="9"/>
  <c r="W21" i="9"/>
  <c r="D22" i="9"/>
  <c r="E22" i="9"/>
  <c r="W22" i="9"/>
  <c r="D23" i="9"/>
  <c r="E23" i="9"/>
  <c r="W23" i="9"/>
  <c r="D24" i="9"/>
  <c r="E24" i="9"/>
  <c r="W24" i="9"/>
  <c r="D25" i="9"/>
  <c r="E25" i="9"/>
  <c r="W25" i="9"/>
  <c r="D26" i="9"/>
  <c r="E26" i="9"/>
  <c r="W26" i="9"/>
  <c r="D27" i="9"/>
  <c r="E27" i="9"/>
  <c r="W27" i="9"/>
  <c r="D28" i="9"/>
  <c r="E28" i="9"/>
  <c r="W28" i="9"/>
  <c r="D29" i="9"/>
  <c r="E29" i="9"/>
  <c r="W29" i="9"/>
  <c r="D30" i="9"/>
  <c r="E30" i="9"/>
  <c r="W30" i="9"/>
  <c r="D31" i="9"/>
  <c r="E31" i="9"/>
  <c r="W31" i="9"/>
  <c r="D32" i="9"/>
  <c r="E32" i="9"/>
  <c r="W32" i="9"/>
  <c r="D33" i="9"/>
  <c r="E33" i="9"/>
  <c r="W33" i="9"/>
  <c r="D34" i="9"/>
  <c r="E34" i="9"/>
  <c r="W34" i="9"/>
  <c r="D35" i="9"/>
  <c r="E35" i="9"/>
  <c r="W35" i="9"/>
  <c r="D36" i="9"/>
  <c r="E36" i="9"/>
  <c r="W36" i="9"/>
  <c r="D37" i="9"/>
  <c r="E37" i="9"/>
  <c r="W37" i="9"/>
  <c r="D38" i="9"/>
  <c r="E38" i="9"/>
  <c r="W38" i="9"/>
  <c r="D39" i="9"/>
  <c r="E39" i="9"/>
  <c r="W39" i="9"/>
  <c r="D40" i="9"/>
  <c r="E40" i="9"/>
  <c r="W40" i="9"/>
  <c r="D41" i="9"/>
  <c r="E41" i="9"/>
  <c r="W41" i="9"/>
  <c r="D42" i="9"/>
  <c r="E42" i="9"/>
  <c r="W42" i="9"/>
  <c r="D43" i="9"/>
  <c r="E43" i="9"/>
  <c r="W43" i="9"/>
  <c r="D44" i="9"/>
  <c r="E44" i="9"/>
  <c r="W44" i="9"/>
  <c r="D45" i="9"/>
  <c r="E45" i="9"/>
  <c r="W45" i="9"/>
  <c r="D46" i="9"/>
  <c r="E46" i="9"/>
  <c r="W46" i="9"/>
  <c r="D47" i="9"/>
  <c r="E47" i="9"/>
  <c r="W47" i="9"/>
  <c r="D48" i="9"/>
  <c r="E48" i="9"/>
  <c r="W48" i="9"/>
  <c r="D49" i="9"/>
  <c r="E49" i="9"/>
  <c r="W49" i="9"/>
  <c r="D50" i="9"/>
  <c r="E50" i="9"/>
  <c r="W50" i="9"/>
  <c r="D51" i="9"/>
  <c r="E51" i="9"/>
  <c r="W51" i="9"/>
  <c r="D52" i="9"/>
  <c r="E52" i="9"/>
  <c r="W52" i="9"/>
  <c r="D53" i="9"/>
  <c r="E53" i="9"/>
  <c r="W53" i="9"/>
  <c r="D54" i="9"/>
  <c r="E54" i="9"/>
  <c r="W54" i="9"/>
  <c r="D55" i="9"/>
  <c r="E55" i="9"/>
  <c r="W55" i="9"/>
  <c r="D56" i="9"/>
  <c r="E56" i="9"/>
  <c r="W56" i="9"/>
  <c r="D57" i="9"/>
  <c r="E57" i="9"/>
  <c r="W57" i="9"/>
  <c r="D58" i="9"/>
  <c r="E58" i="9"/>
  <c r="W58" i="9"/>
  <c r="D59" i="9"/>
  <c r="E59" i="9"/>
  <c r="W59" i="9"/>
  <c r="D60" i="9"/>
  <c r="E60" i="9"/>
  <c r="W60" i="9"/>
  <c r="D61" i="9"/>
  <c r="E61" i="9"/>
  <c r="W61" i="9"/>
  <c r="D62" i="9"/>
  <c r="E62" i="9"/>
  <c r="W62" i="9"/>
  <c r="D63" i="9"/>
  <c r="E63" i="9"/>
  <c r="W63" i="9"/>
  <c r="D64" i="9"/>
  <c r="E64" i="9"/>
  <c r="W64" i="9"/>
  <c r="D65" i="9"/>
  <c r="E65" i="9"/>
  <c r="W65" i="9"/>
  <c r="D66" i="9"/>
  <c r="E66" i="9"/>
  <c r="W66" i="9"/>
  <c r="D67" i="9"/>
  <c r="E67" i="9"/>
  <c r="W67" i="9"/>
  <c r="D68" i="9"/>
  <c r="E68" i="9"/>
  <c r="W68" i="9"/>
  <c r="D69" i="9"/>
  <c r="E69" i="9"/>
  <c r="W69" i="9"/>
  <c r="D70" i="9"/>
  <c r="E70" i="9"/>
  <c r="W70" i="9"/>
  <c r="D71" i="9"/>
  <c r="E71" i="9"/>
  <c r="W71" i="9"/>
  <c r="D72" i="9"/>
  <c r="E72" i="9"/>
  <c r="W72" i="9"/>
  <c r="D73" i="9"/>
  <c r="E73" i="9"/>
  <c r="W73" i="9"/>
  <c r="D74" i="9"/>
  <c r="E74" i="9"/>
  <c r="W74" i="9"/>
  <c r="D75" i="9"/>
  <c r="E75" i="9"/>
  <c r="W75" i="9"/>
  <c r="D76" i="9"/>
  <c r="E76" i="9"/>
  <c r="W76" i="9"/>
  <c r="D77" i="9"/>
  <c r="E77" i="9"/>
  <c r="W77" i="9"/>
  <c r="D78" i="9"/>
  <c r="E78" i="9"/>
  <c r="W78" i="9"/>
  <c r="D79" i="9"/>
  <c r="E79" i="9"/>
  <c r="W79" i="9"/>
  <c r="D80" i="9"/>
  <c r="E80" i="9"/>
  <c r="W80" i="9"/>
  <c r="D81" i="9"/>
  <c r="E81" i="9"/>
  <c r="W81" i="9"/>
  <c r="D82" i="9"/>
  <c r="E82" i="9"/>
  <c r="W82" i="9"/>
  <c r="D83" i="9"/>
  <c r="E83" i="9"/>
  <c r="W83" i="9"/>
  <c r="D84" i="9"/>
  <c r="E84" i="9"/>
  <c r="W84" i="9"/>
  <c r="D85" i="9"/>
  <c r="E85" i="9"/>
  <c r="W85" i="9"/>
  <c r="D86" i="9"/>
  <c r="E86" i="9"/>
  <c r="W86" i="9"/>
  <c r="D87" i="9"/>
  <c r="E87" i="9"/>
  <c r="W87" i="9"/>
  <c r="D88" i="9"/>
  <c r="E88" i="9"/>
  <c r="W88" i="9"/>
  <c r="D89" i="9"/>
  <c r="E89" i="9"/>
  <c r="W89" i="9"/>
  <c r="D90" i="9"/>
  <c r="E90" i="9"/>
  <c r="W90" i="9"/>
  <c r="D91" i="9"/>
  <c r="E91" i="9"/>
  <c r="W91" i="9"/>
  <c r="D92" i="9"/>
  <c r="E92" i="9"/>
  <c r="W92" i="9"/>
  <c r="D93" i="9"/>
  <c r="E93" i="9"/>
  <c r="W93" i="9"/>
  <c r="D94" i="9"/>
  <c r="E94" i="9"/>
  <c r="W94" i="9"/>
  <c r="D95" i="9"/>
  <c r="E95" i="9"/>
  <c r="W95" i="9"/>
  <c r="D96" i="9"/>
  <c r="E96" i="9"/>
  <c r="W96" i="9"/>
  <c r="D97" i="9"/>
  <c r="E97" i="9"/>
  <c r="W97" i="9"/>
  <c r="D98" i="9"/>
  <c r="E98" i="9"/>
  <c r="W98" i="9"/>
  <c r="D99" i="9"/>
  <c r="E99" i="9"/>
  <c r="W99" i="9"/>
  <c r="D100" i="9"/>
  <c r="E100" i="9"/>
  <c r="W100" i="9"/>
  <c r="D101" i="9"/>
  <c r="E101" i="9"/>
  <c r="W101" i="9"/>
  <c r="D102" i="9"/>
  <c r="E102" i="9"/>
  <c r="W102" i="9"/>
  <c r="D103" i="9"/>
  <c r="E103" i="9"/>
  <c r="W103" i="9"/>
  <c r="D104" i="9"/>
  <c r="E104" i="9"/>
  <c r="W104" i="9"/>
  <c r="D105" i="9"/>
  <c r="E105" i="9"/>
  <c r="W105" i="9"/>
  <c r="D106" i="9"/>
  <c r="E106" i="9"/>
  <c r="W106" i="9"/>
  <c r="D107" i="9"/>
  <c r="E107" i="9"/>
  <c r="W107" i="9"/>
  <c r="D108" i="9"/>
  <c r="E108" i="9"/>
  <c r="W108" i="9"/>
  <c r="D109" i="9"/>
  <c r="E109" i="9"/>
  <c r="W109" i="9"/>
  <c r="D110" i="9"/>
  <c r="E110" i="9"/>
  <c r="W110" i="9"/>
  <c r="D111" i="9"/>
  <c r="E111" i="9"/>
  <c r="W111" i="9"/>
  <c r="D112" i="9"/>
  <c r="E112" i="9"/>
  <c r="W112" i="9"/>
  <c r="D113" i="9"/>
  <c r="E113" i="9"/>
  <c r="W113" i="9"/>
  <c r="D114" i="9"/>
  <c r="E114" i="9"/>
  <c r="W114" i="9"/>
  <c r="D115" i="9"/>
  <c r="E115" i="9"/>
  <c r="W115" i="9"/>
  <c r="D116" i="9"/>
  <c r="E116" i="9"/>
  <c r="W116" i="9"/>
  <c r="D117" i="9"/>
  <c r="E117" i="9"/>
  <c r="W117" i="9"/>
  <c r="D118" i="9"/>
  <c r="E118" i="9"/>
  <c r="W118" i="9"/>
  <c r="D119" i="9"/>
  <c r="E119" i="9"/>
  <c r="W119" i="9"/>
  <c r="D120" i="9"/>
  <c r="E120" i="9"/>
  <c r="W120" i="9"/>
  <c r="D121" i="9"/>
  <c r="E121" i="9"/>
  <c r="W121" i="9"/>
  <c r="D122" i="9"/>
  <c r="E122" i="9"/>
  <c r="W122" i="9"/>
  <c r="D123" i="9"/>
  <c r="E123" i="9"/>
  <c r="W123" i="9"/>
  <c r="D124" i="9"/>
  <c r="E124" i="9"/>
  <c r="W124" i="9"/>
  <c r="D125" i="9"/>
  <c r="E125" i="9"/>
  <c r="W125" i="9"/>
  <c r="D126" i="9"/>
  <c r="E126" i="9"/>
  <c r="W126" i="9"/>
  <c r="D127" i="9"/>
  <c r="E127" i="9"/>
  <c r="W127" i="9"/>
  <c r="D128" i="9"/>
  <c r="E128" i="9"/>
  <c r="W128" i="9"/>
  <c r="D129" i="9"/>
  <c r="E129" i="9"/>
  <c r="W129" i="9"/>
  <c r="D130" i="9"/>
  <c r="E130" i="9"/>
  <c r="W130" i="9"/>
  <c r="D131" i="9"/>
  <c r="E131" i="9"/>
  <c r="W131" i="9"/>
  <c r="D132" i="9"/>
  <c r="E132" i="9"/>
  <c r="W132" i="9"/>
  <c r="D133" i="9"/>
  <c r="E133" i="9"/>
  <c r="W133" i="9"/>
  <c r="D134" i="9"/>
  <c r="E134" i="9"/>
  <c r="W134" i="9"/>
  <c r="D135" i="9"/>
  <c r="E135" i="9"/>
  <c r="W135" i="9"/>
  <c r="D136" i="9"/>
  <c r="E136" i="9"/>
  <c r="W136" i="9"/>
  <c r="D137" i="9"/>
  <c r="E137" i="9"/>
  <c r="W137" i="9"/>
  <c r="D138" i="9"/>
  <c r="E138" i="9"/>
  <c r="W138" i="9"/>
  <c r="D139" i="9"/>
  <c r="E139" i="9"/>
  <c r="W139" i="9"/>
  <c r="D140" i="9"/>
  <c r="E140" i="9"/>
  <c r="W140" i="9"/>
  <c r="D141" i="9"/>
  <c r="E141" i="9"/>
  <c r="W141" i="9"/>
  <c r="D142" i="9"/>
  <c r="E142" i="9"/>
  <c r="W142" i="9"/>
  <c r="D143" i="9"/>
  <c r="E143" i="9"/>
  <c r="W143" i="9"/>
  <c r="D144" i="9"/>
  <c r="E144" i="9"/>
  <c r="W144" i="9"/>
  <c r="D145" i="9"/>
  <c r="E145" i="9"/>
  <c r="W145" i="9"/>
  <c r="D146" i="9"/>
  <c r="E146" i="9"/>
  <c r="W146" i="9"/>
  <c r="D147" i="9"/>
  <c r="E147" i="9"/>
  <c r="W147" i="9"/>
  <c r="D148" i="9"/>
  <c r="E148" i="9"/>
  <c r="W148" i="9"/>
  <c r="D149" i="9"/>
  <c r="E149" i="9"/>
  <c r="W149" i="9"/>
  <c r="D150" i="9"/>
  <c r="E150" i="9"/>
  <c r="W150" i="9"/>
  <c r="D151" i="9"/>
  <c r="E151" i="9"/>
  <c r="W151" i="9"/>
  <c r="D152" i="9"/>
  <c r="E152" i="9"/>
  <c r="W152" i="9"/>
  <c r="D153" i="9"/>
  <c r="E153" i="9"/>
  <c r="W153" i="9"/>
  <c r="D154" i="9"/>
  <c r="E154" i="9"/>
  <c r="W154" i="9"/>
  <c r="D155" i="9"/>
  <c r="E155" i="9"/>
  <c r="W155" i="9"/>
  <c r="A15" i="9" l="1"/>
  <c r="A11" i="9"/>
  <c r="A7" i="9"/>
  <c r="A22" i="9"/>
  <c r="A14" i="9"/>
  <c r="A26" i="9"/>
  <c r="A18" i="9"/>
  <c r="A10" i="9"/>
  <c r="A37" i="9"/>
  <c r="A33" i="9"/>
  <c r="A29" i="9"/>
  <c r="A25" i="9"/>
  <c r="A21" i="9"/>
  <c r="A17" i="9"/>
  <c r="A13" i="9"/>
  <c r="A9" i="9"/>
  <c r="A67" i="9"/>
  <c r="A34" i="9"/>
  <c r="A38" i="9"/>
  <c r="A30" i="9"/>
  <c r="A20" i="9"/>
  <c r="A139" i="9"/>
  <c r="A135" i="9"/>
  <c r="A131" i="9"/>
  <c r="A127" i="9"/>
  <c r="A123" i="9"/>
  <c r="A119" i="9"/>
  <c r="A115" i="9"/>
  <c r="A111" i="9"/>
  <c r="A107" i="9"/>
  <c r="A103" i="9"/>
  <c r="A99" i="9"/>
  <c r="A95" i="9"/>
  <c r="A91" i="9"/>
  <c r="A87" i="9"/>
  <c r="A83" i="9"/>
  <c r="A79" i="9"/>
  <c r="A75" i="9"/>
  <c r="A71" i="9"/>
  <c r="A59" i="9"/>
  <c r="A51" i="9"/>
  <c r="A43" i="9"/>
  <c r="A35" i="9"/>
  <c r="A27" i="9"/>
  <c r="A23" i="9"/>
  <c r="A63" i="9"/>
  <c r="A55" i="9"/>
  <c r="A47" i="9"/>
  <c r="A39" i="9"/>
  <c r="A31" i="9"/>
  <c r="A19" i="9"/>
  <c r="A154" i="9"/>
  <c r="A150" i="9"/>
  <c r="A146" i="9"/>
  <c r="A142" i="9"/>
  <c r="A138" i="9"/>
  <c r="A134" i="9"/>
  <c r="A130" i="9"/>
  <c r="A126" i="9"/>
  <c r="A122" i="9"/>
  <c r="A118" i="9"/>
  <c r="A114" i="9"/>
  <c r="A110" i="9"/>
  <c r="A106" i="9"/>
  <c r="A102" i="9"/>
  <c r="A98" i="9"/>
  <c r="A94" i="9"/>
  <c r="A90" i="9"/>
  <c r="A86" i="9"/>
  <c r="A82" i="9"/>
  <c r="A78" i="9"/>
  <c r="A74" i="9"/>
  <c r="A70" i="9"/>
  <c r="A66" i="9"/>
  <c r="A62" i="9"/>
  <c r="A58" i="9"/>
  <c r="A54" i="9"/>
  <c r="A50" i="9"/>
  <c r="A46" i="9"/>
  <c r="A42" i="9"/>
  <c r="A6" i="9"/>
  <c r="A145" i="9"/>
  <c r="A137" i="9"/>
  <c r="A129" i="9"/>
  <c r="A121" i="9"/>
  <c r="A113" i="9"/>
  <c r="A105" i="9"/>
  <c r="A97" i="9"/>
  <c r="A89" i="9"/>
  <c r="A81" i="9"/>
  <c r="A73" i="9"/>
  <c r="A65" i="9"/>
  <c r="A57" i="9"/>
  <c r="A53" i="9"/>
  <c r="A45" i="9"/>
  <c r="A153" i="9"/>
  <c r="A149" i="9"/>
  <c r="A141" i="9"/>
  <c r="A133" i="9"/>
  <c r="A125" i="9"/>
  <c r="A117" i="9"/>
  <c r="A109" i="9"/>
  <c r="A101" i="9"/>
  <c r="A93" i="9"/>
  <c r="A85" i="9"/>
  <c r="A77" i="9"/>
  <c r="A69" i="9"/>
  <c r="A61" i="9"/>
  <c r="A49" i="9"/>
  <c r="A41" i="9"/>
  <c r="A16" i="9"/>
  <c r="A8" i="9"/>
  <c r="A152" i="9"/>
  <c r="A148" i="9"/>
  <c r="A144" i="9"/>
  <c r="A140" i="9"/>
  <c r="A136" i="9"/>
  <c r="A132" i="9"/>
  <c r="A128" i="9"/>
  <c r="A124" i="9"/>
  <c r="A120" i="9"/>
  <c r="A116" i="9"/>
  <c r="A112" i="9"/>
  <c r="A108" i="9"/>
  <c r="A104" i="9"/>
  <c r="A100" i="9"/>
  <c r="A96" i="9"/>
  <c r="A92" i="9"/>
  <c r="A88" i="9"/>
  <c r="A84" i="9"/>
  <c r="A80" i="9"/>
  <c r="A76" i="9"/>
  <c r="A72" i="9"/>
  <c r="A68" i="9"/>
  <c r="A64" i="9"/>
  <c r="A60" i="9"/>
  <c r="A56" i="9"/>
  <c r="A52" i="9"/>
  <c r="A48" i="9"/>
  <c r="A44" i="9"/>
  <c r="A40" i="9"/>
  <c r="A36" i="9"/>
  <c r="A32" i="9"/>
  <c r="A28" i="9"/>
  <c r="A24" i="9"/>
  <c r="A12" i="9"/>
  <c r="A155" i="9"/>
  <c r="A143" i="9"/>
  <c r="A147" i="9"/>
  <c r="A151" i="9"/>
</calcChain>
</file>

<file path=xl/sharedStrings.xml><?xml version="1.0" encoding="utf-8"?>
<sst xmlns="http://schemas.openxmlformats.org/spreadsheetml/2006/main" count="621" uniqueCount="351">
  <si>
    <t>ZAWTIKA DEVELOPMENT PROJECT PHASE 1F</t>
  </si>
  <si>
    <t>Gap Register</t>
  </si>
  <si>
    <t>NO.</t>
  </si>
  <si>
    <t>DISCIPLINE</t>
  </si>
  <si>
    <t>REFERENCE  DOC / DWG</t>
  </si>
  <si>
    <t>GAP FROM REF. PACKAGE</t>
  </si>
  <si>
    <t>Z1F REQUIREMENT</t>
  </si>
  <si>
    <t>GAP CLOSE-OUT BY</t>
  </si>
  <si>
    <t>STATUS</t>
  </si>
  <si>
    <t>General</t>
  </si>
  <si>
    <t>EPCI / Detailed Engineering CONTRACTOR(s) shall be aware of HOLD, TBA, VTA items 
which were identified in all Basis Engineering Deliverables and finalize the design parameters 
during EPCIC phase.</t>
  </si>
  <si>
    <t>EPCI CONTRACTOR</t>
  </si>
  <si>
    <t>Open</t>
  </si>
  <si>
    <t>Safety</t>
  </si>
  <si>
    <t>SIL Verification Reports
TH-BUN4-BE-WPG2-INS-RPT-0001.</t>
  </si>
  <si>
    <t>It is recommended that all equipment, including associated system used for all identified SIFs, shall at least meet the prescriptive SIL requirements in accordance with relevant project specifications, as summarised in the following Table 4.1.
In detailed design engineering stage shall consider the prescriptive SIL requirements that at least shall meet the minimum projet specifications stipulated in Table 4.1. that presented the list of minimum specification (prescriptive SIL requirement).
This requirement is requested to consider in EPCIC.</t>
  </si>
  <si>
    <t xml:space="preserve">TH-BUN4-BE-WPG2-SAF-RPT-0003 </t>
  </si>
  <si>
    <t>From basic engieerning, SIL classification of SIF04, PAHH-2001 - Production Manifold and Export Line presssure high high consider NNMI target likelihood and not consider case that WHP is directly connect to CPP.</t>
  </si>
  <si>
    <t>In case that WHP is directly connect to CPP (ZWP-23), the consequence might be occured at CPP resulting in different target likelihood and SIL requirement.</t>
  </si>
  <si>
    <t>TH-BUN4-BE-WPG2-SAF-RPT-0009</t>
  </si>
  <si>
    <t>Dropped Object Study (DOS) 
(Topside &amp; Associate Pipeline)</t>
  </si>
  <si>
    <t>It is recommended that once the export and import pipelines approach information become available (e.g. during EPCI phase), a dropped object assessment of export and import pipelines during TAD Rig/Barge approach in drilling phase should be performed to quantify or understand the dropped object risk. 
This dropped object assessment will serve as one of criteria or inputs for designing the pipeline route or approach to minimise the dropped object risk.
The verification on dropped object hazard in the case of sub sea pipeline if any routing within 
TAD crane radius shall be performed in EPCIC phase.
This requirement to be highlighted and requested to carried out by EPCIC.</t>
  </si>
  <si>
    <t>Structure</t>
  </si>
  <si>
    <t xml:space="preserve">Z1F Site-specific Jacket Basic Engineering deliverables </t>
  </si>
  <si>
    <t xml:space="preserve">The BUN4 Design '2' Topsides SACS model was adopted with some minor modifications in this project. </t>
  </si>
  <si>
    <t>The geometry and load input of the Topsides SACS model shall be verified and updated with the latest or actual information accordingly before it can be used in the detailed engineering phase.</t>
  </si>
  <si>
    <t xml:space="preserve">In this project, the weight of secondary and tertiary items, such as anodes, internal ring stiffeners, hydrostatic ring stiffeners, etc., were approximated using historical data. </t>
  </si>
  <si>
    <t>These weights shall be verified and updated with the latest or actual information during the detailed engineering phase.</t>
  </si>
  <si>
    <t>Piping</t>
  </si>
  <si>
    <t>Following Z1F Basic Engineering deliverables, but not limited to;   
Equipment Layout, TH-BUN4-BE-WPG2-PIP-LAY-0001 to 0009
Piping General Arrangement, TH-BUN4-BE-WPG2-PIP-GA-0001 to 0025
Piping Material Specification, TH-BUN4-BE-WPG2-PIP-SPE-0001
Pipe Stress Analysis Report, TH-BUN4-BE-WPG2-PIP-CAL-0004
Pipe Stress Critical Line List, TH-BUN4-BE-WPG2-PIP-LIS-0001
Piping Specialty Item List, TH-BUN4-BE-WPG2-PIP-LIS-0002
Datasheet for Barrel Reducer, TH-BUN4-BE-WPG2-PIP-DTS-0008
Datasheet for Quick Opening Closure, TH-BUN-BE-WPG2-PIP-DTS-0009
Datasheet for Pig Launcher/Receiver, TH-BUN4-BE-WPG2-PIP-DTS-0010
MTO for Piping Manual Valves, TH-BUN4-BE-WPG2-PIP-MTO-0001
MTO for Piping Bulks, TH-BUN4-BE-WPG2-PIP-MTO-0002
AVEVA E3D</t>
  </si>
  <si>
    <t xml:space="preserve">The location of the risers and riser size at ZWP-20, ZWP-21 and ZWP-22 will be changed from Basic Engineering Deliverables.
Note that ZWP-23 to be followed Basic Engineering Deliverables.
</t>
  </si>
  <si>
    <t xml:space="preserve">Based on the FEED pipeline, the following riser location and riser size are to be developed:
ZWP-20 : One 18" export riser (pre-installed) is located inside the jacket at leg A2
                 One 18" import riser (pre-installed) is located inside the jacket at leg A1
                 (Refer to MM-ZTK-BE-1F-IP20-PLR-GA-0001)
ZWP-21 : One 18" export riser (pre-installed) is located inside the jacket at leg A1
                 One 10" import riser (pre-installed) is located inside the jacket at leg A2
                 (Refer to MM-ZTK-BE-1F-IP21-PLR-GA-0001)
ZWP-22 : One 18" export riser (pre-installed) is located inside the jacket at leg A2
                 One 10" import riser (pre-installed) is located inside the jacket at leg A1
                 (Refer to MM-ZTK-BE-1F-IP22-PLR-GA-0001)
For ZWP-23, refer to MM-ZTK-BE-1F-IP23-PLR-GA-0001
The specific topside pipe routing for each platform to be developed in accordance with the topside piping 3D snapshot. 
All related drawings, documents and AVEVA E3D to be developed or updated.
EPCI / Detailed Engineering CONTRACTOR(s) shall verify and confirm them based on the latest/ actual information during the EPCI phase.
See attached file (EXE-A2_Attachment-1_Z1F Topside Piping 3D snapshot) for more detail of this item. </t>
  </si>
  <si>
    <t>The locations of the risers and riser clamps shown in the Z1F Site-specific Jacket Basic  Engineering deliverables are indicative.</t>
  </si>
  <si>
    <t>EPCI / Detailed Engineering CONTRACTOR(s) shall verify and confirm them based on the latest/ actual information during the EPCI phase.</t>
  </si>
  <si>
    <t>Process</t>
  </si>
  <si>
    <t>TH-BUN4-BE-WPG2-PRO-PID-0012 and all related document</t>
  </si>
  <si>
    <t>From basic engieerning, Export ESDV is not required</t>
  </si>
  <si>
    <t>In case that WHP is directly connect to CPP (ZWP-23), ESDV at export and overpressure protection must be required based on company spec.</t>
  </si>
  <si>
    <t xml:space="preserve">PIPING AND INSTRUMENTATION DIAGRAM HAZARDOUS OPEN DRAINS AND CLOSED DRAINS SYSTEM
TH-BUN4-BE-WPG2-PRO-PID-0021 </t>
  </si>
  <si>
    <t xml:space="preserve">Revise note 27 </t>
  </si>
  <si>
    <t>Revise note 27 to 
"27. WHEN COMBINED TEST SEPARATOR AND CLOSED DRAIN SUMP VESSEL VOLUME IS REQUIRED FOR UNLOADING OPERATION, OPERATOR SHALL CLOSE THIS VALVE BEFORE UNLOADING OPERATION. THE PAHH-5003 WILL BE BYPASSED AUTOMATICALLY UNDER THIS MODE."</t>
  </si>
  <si>
    <t>Instrument</t>
  </si>
  <si>
    <t xml:space="preserve">Instrument Level Sketch 
TH-BUN4-BE-WPG2-INS-DWG-0003 </t>
  </si>
  <si>
    <t>Specific Gravity Value</t>
  </si>
  <si>
    <t>Specific Gravity shall be updated according to the latest process data.</t>
  </si>
  <si>
    <t xml:space="preserve"> Instrument Datasheet for Actuated Compact Ball Valve 
 TH-BUN4-BE-WPG2-INS-DTS-0005 </t>
  </si>
  <si>
    <t>The selected valve body is A182 UNS41000 which is MSS to be revised to A182 F51 (DSS) according to BUN4 Material Slection Report (TH-BUN4-BE-WPG2-COR-RPT-0001).</t>
  </si>
  <si>
    <t xml:space="preserve"> Instrument Datasheet for Actuated Ball Valve 
 TH-BUN4-BE-WPG2-INS-DTS-0004 </t>
  </si>
  <si>
    <t>The selected valve trim (ball) is 316 SS which is MSS to be revised to A182 F51 (DSS) according to BUN4 Material Slection Report (TH-BUN4-BE-WPG2-COR-RPT-0001) and Datasheet for Manual Valves (TH-BUN4-BE-WPG2-PIP-DTS-0001)</t>
  </si>
  <si>
    <t>STR / SAF / PIP</t>
  </si>
  <si>
    <t>EQUIPMENT LAYOUT ELEVATION LOOKING NORTH
TH-BUN4-BE-WPG2-PIP-LAY-0006, Rev.C1</t>
  </si>
  <si>
    <t>Topside Computer Modelling &amp; Load Formulation Report
TH-BUN4-BE-WPG2-STR-CAL-1001, Rev.C1
Weight Control Report - Topsides
MM-ZTK-BE-1F-ZWPX-STR-WCR-1001, Rev.C1</t>
  </si>
  <si>
    <t>Topsides Computer Modelling &amp; Load Formulation Report and all weight items in Weight Control Report - Topsides shall be verified and confirmed.</t>
  </si>
  <si>
    <t xml:space="preserve">In the Zawtika Phase 1F - Jacket Site-Specific Basic Engineering study, Topsides weight information and data for the Z1F Topsides Weight Control Report (WCR) were directly adopted from the Weight Control Report (WCR) of the Basic Engineering for the Bundled 4 Wellhead Platform project - Design '2' Topsides. Similarly, the SACS model for the in-service analyses was adopted, with some minor modifications, from the BUN4-Topsides Computer Modelling &amp; Load Formulation Report.
CONTRACTOR shall be responsible for verifying and confirming all weight items to reflect the latest and actual information and data, such Equipment Layout, Vendor data/ infiormation, etc., of each specific platform and the contigency factors used during EPCI phase. Furthermore, the geometry, design parameters used and load input of the Topsides in SACS model shall be verified and confirmed with the latest and actual information, such as Equipment layout, TAD Rigs loads, VENDOR data/information etc., accordingly before it can be used in the detailed engineering phase.
</t>
  </si>
  <si>
    <t xml:space="preserve">TOPSIDE UPPER_x001F_ DECK PRIMARY_x001F_ STEEL_x001F_ FRAMING _x001F_PLAN
TH-BUN4-BE-WPG2-STR-DWG-1010, Rev.C1
TOPSIDE LOWER_x001F_ DECK PRIMARY _x001F_STEEL _x001F_FRAMING_x001F_ PLAN
TH-BUN4-BE-WPG2-STR-DWG-1020, Rev.C1
TOPSIDE ELEVATION TRUSS_x001F_ROW_x001F_ '1'
TH-BUN4-BE-WPG2-STR-DWG-1130, Rev.C1
TOPSIDE ELEVATION TRUSS_x001F_ROW_x001F_ '2'
TH-BUN4-BE-WPG2-STR-DWG-1140, Rev.C1
TOPSIDE UPPER _x001F_DECK _x001F_MAIN _x001F_JOINT FRAMING _x001F_PLAN
TH-BUN4-BE-WPG2-STR-DWG-1210, Rev.C1
</t>
  </si>
  <si>
    <t>The future import piping riser shall be reviewed and confirmed.</t>
  </si>
  <si>
    <t>According to PPR3 comment - Item # STR-8 highlights a discrepancy regarding the future import piping riser. The current design in BUN4 - Design '2' indicates a protrusion of it below the lower deck on east side without protection, whereas the ZMFP layout positions this import pipeline at south and the piping riser is within protected area of riser guard.
CONTRACTOR shall be responsible for verifying and confirming the final location of this future import piping riser or the necessity of protection for Piping Riser Bend located below lower deck on the Eastside. This verification shall be based on the final equipment layout and outcomes of 3D model review workshop and  HAZID study during EPCI phase.
.</t>
  </si>
  <si>
    <t>TOPSIDE UPPER _x001F_DECK_x001F_ FLOORING_x001F_ AND _x001F_HANDRAIL_x001F_ LAYOUT
TH-BUN4-BE-WPG2-STR-DWG-2110, Rev.C1
TOPSIDE LOWER _x001F_DECK_x001F_ FLOORING_x001F_ AND _x001F_HANDRAIL_x001F_ LAYOUT
TH-BUN4-BE-WPG2-STR-DWG-2120, Rev.C1</t>
  </si>
  <si>
    <t xml:space="preserve">Topside flooring plate thickness shall be verified and confirmed. </t>
  </si>
  <si>
    <t xml:space="preserve">TOPSIDE LOWER_x001F_ DECK PRIMARY _x001F_STEEL _x001F_FRAMING_x001F_ PLAN
TH-BUN4-BE-WPG2-STR-DWG-1020, Rev.C1
TOPSIDE LOWER_x001F_ DECK SECONDARY_x001F_ STEEL_x001F_ FRAMING _x001F_PLAN
TH-BUN4-BE-WPG2-STR-DWG-2020, Rev.C1
TOPSIDE MEZZANINE _x001F_DECK FRAMING _x001F_PLAN
TH-BUN4-BE-WPG2-STR-DWG-2030, Rev.C1
TOPSIDE SUMP_x001F_ DECK FRAMING _x001F_PLAN
TH-BUN4-BE-WPG2-STR-DWG-2040, Rev.C1
</t>
  </si>
  <si>
    <t>Topside structural framing and members size, especially, lower deck framing, shall be verified and confirmed.</t>
  </si>
  <si>
    <t xml:space="preserve">The Zawtika Phase 1F - Jacket Site-Specific Basic Engineering study has found that some secondary members within the adopted BUN 4 -Design '2' Topsides SACS model do not align with the corresponding drawings. Furthermore, the arrangment and size of members around well bay area have been updated based on the analysis requirement.
CONTRACTOR shall be responsible for verifying and confirming the topside framing against the latest equipment layouts, along with updating the geometry and load inputs of the Z1F Topsides SACS model  before it can be used in the Detailed Engineering phase.
</t>
  </si>
  <si>
    <t xml:space="preserve">TOPSIDE UPPER DECK PRIMARY STEEL FRAMING PLAN
TH-BUN4-BE-WPG2-STR-DWG-1010, Rev.C1
TOPSIDE LOWER DECK PRIMARY STEEL FRAMING PLAN
TH-BUN4-BE-WPG2-STR-DWG-1020, Rev.C1
TOPSIDE ELEVATION TRUSS_x001F_ROW_x001F_ '1'
TH-BUN4-BE-WPG2-STR-DWG-1130, Rev.C1
TOPSIDE ELEVATION TRUSS_x001F_ROW_x001F_ '2'
TH-BUN4-BE-WPG2-STR-DWG-1140, Rev.C1
TOPSIDE SECTION
TH-BUN4-BE-WPG2-STR-DWG-1150, Rev.C1
TOPSIDE UPPER _x001F_DECK _x001F_MAIN _x001F_JOINT FRAMING _x001F_PLAN
TH-BUN4-BE-WPG2-STR-DWG-1210, Rev.C1
TOPSIDE LOWER _x001F_DECK _x001F_MAIN _x001F_JOINT FRAMING _x001F_PLAN
TH-BUN4-BE-WPG2-STR-DWG-1211, Rev.C1
</t>
  </si>
  <si>
    <t>Topsides structural members size shall be verified and confirmed.</t>
  </si>
  <si>
    <t xml:space="preserve">The Zawtika Phase 1F - Jacket Site-Specific Basic Engineering study has identified revised member sizes in the Well Bay area of the adopted BUN 4 - Design '2' Topsides.based on the analysis requirements. 
Furthermore, due to utilization of only one (1) Tender Assisted Drilling Rig (TADR) model as GHTH in the Zawtika Phase 1F - Jacket Site-Specific Basic Engineering study, some members are found to be overstressed and especially members at South side and Deck Legs.  Consequently, these members shall be strengthened by upsizing as per the requirements from analysis results. 
CONTRACTOR shall be responsible for verifying and confirming the proposed strengthening members against the latest equipment layouts, design requirements, design criteria, and updated Topsides SACS model during EPCI phase.
</t>
  </si>
  <si>
    <t xml:space="preserve">Naval Architectural Basis of Design
MM-ZTK-BE-1F-ZWPX-NVA-BOD-0001, Rev.C1
ZWP20Jacket Barge Motion and Stability Analysis
MM-ZTK-BE-1F-ZWP20-NVA-CAL-2011, Rev.C1
ZWP20 Jacket Launch Analysis Report
MM-ZTK-BE-1F-ZWP20-NVA-CAL-2012, Rev.C1
ZWP20 Jacket Loadout Analysis Report
MM-ZTK-BE-1F-ZWP20-STR-CAL-2014, Rev.C1
ZWP20 Jacket Transportation Analysis Report
MM-ZTK-BE-1F-ZWP20-STR-CAL-2015, Rev.C1
ZWP20 Transportation Fatigue Analysis Report
MM-ZTK-BE-1F-ZWP20-STR-CAL-2016, Rev.C1
ZWP21Jacket Barge Motion and Stability Analysis
MM-ZTK-BE-1F-ZWP21-NVA-CAL-2011, Rev.C1
ZWP21 Jacket Launch Analysis Report
MM-ZTK-BE-1F-ZWP21-NVA-CAL-2012, Rev.C1
ZWP21 Jacket Loadout Analysis Report
MM-ZTK-BE-1F-ZWP21-STR-CAL-2014, Rev.C1
ZWP21 Jacket Transportation Analysis Report
MM-ZTK-BE-1F-ZWP21-STR-CAL-2015, Rev.C1
ZWP21 Transportation Fatigue Analysis Report
MM-ZTK-BE-1F-ZWP21-STR-CAL-2016, Rev.C1
</t>
  </si>
  <si>
    <t xml:space="preserve">In the Zawtika Phase 1F - Jacket Site-specific Basic Engineering study, a Topsides design information and design data and parameters were adopted from the Basic engineering for Bundled 4 Wellhead Platform project- Design '2' Topsides for the structural basis of design and SACS model, with some minor modifications, for the in-service platform analysis in this project.  Furthermore, the weight of some jacket primary steel items, as well as secondary and tertiary items, such as risers, anodes, boatlanding, internal ring stiffeners, hydrostatic ring stiffeners, diaphragm closure, launch cradle, installation aid items, etc., were approximated using historical data.
The preliminary checks under in-service conditions were performed for all Jackets, but for Topsides, only seismic analyses were performed as part of this Basic Engineering study. However, the pre-service analyses for the individual Topsides, ZWP22 and ZWP23 Jackets, as well as the pile pre-service analyses, such as pile handling and stick-up analysis, pile drivability and fatigue analysis, pile transportation fatigue analysis have not been performed
CONTRACTOR shall be responsible for reviewing and updating the Structural Basis of Design to incorporate the latest and actual information and data during EPCI phase. Furthermore, the geometry, design parameters used and load input of the Topsides SACS model, as well as the historical estimated weights for the Jacket, risers size and their locations, shall be verified and confirmed with the latest and actual information accordingly before it can be used in the detailed engineering phase.
Additionally, CONTRACTOR shall confirm the structural integrity of the Topsides, Jackets and Piles members size of each platform (ZWP20, ZWP21, ZWP22, and ZWP23) under in-service conditions during the EPCI phase, prior to the procurement of materials.
</t>
  </si>
  <si>
    <t xml:space="preserve">The numbers of anode and anode distribution shall be verified and confirmed.
</t>
  </si>
  <si>
    <t>In the Zawtika Phase 1F - Jacket Site-specific Basic Engineering study, the preliminary cathodic protection was performed based on the available primary jacket members' surface area as modeled in SACS model of each platform.   
CONTRACTOR shall be responsible for verifying and confirming the total number of anodes and their distribution of each platform.  This should be performed by a NACE Level 3 certified professional, based on the latest jacket member sizes and other items to be protected by the cathodic protection system during EPCI phase, prior to the procurement of anodes.</t>
  </si>
  <si>
    <t xml:space="preserve">All weight items in the Jacket Weight Contorl Reports shall be verified and confirmed.
</t>
  </si>
  <si>
    <t>In the Zawtika Phase 1F - Jacket Site-specific Basic Engineering study,  the weight of some jacket primary steel items, as well as secondary and tertiary items, such as risers, anodes, boatlanding, internal ring stiffeners, hydrostatic ring stiffeners, diaphragm closure, launch cradle, installation aid items, etc., were approximated using historical data. 
CONTRACTOR shall be responsible for verifying and confirming all weight items to reflect the latest and actual information and data of each platform during EPCI phase.</t>
  </si>
  <si>
    <t xml:space="preserve">In the Zawtika Phase 1F - Jacket Site-Specific Basic Engineering study, the adopted BUN 4 -Design '2' Topsides has been preliminary checked and found as the following samples;
- A skid beam on the South side appears to be 1000 mm short and require extension to be suitable with the TAD Rig of the GHTH model.  The North side skid beam does not require an extension.
- Secondary beam around padeyes, to support the gutter and hatch cover, appear to clash/ connected with padeyes which not be allowed due to the padeyes are required for using in decommissioning activity. These secondary members shall be rearranged to ensure no clashes with the padeyes.
CONTRACTOR shall be responsible for verifying and confirming the Topsides framing and memebrs for all relevant operations, including the above finding such as the skid beam length in relation to the TAD Rig models, ensuring a clash-free arrangement of secondary beams around padeyes, etc., during EPCI phase
</t>
  </si>
  <si>
    <t xml:space="preserve">CONTRACTOR shall be responsible for verifying and confirming the Topside flooring plate thickness against the final equipment layout and design criteria and subsequently update the SACS model accordingly during EPCI phase.
</t>
  </si>
  <si>
    <t>Pipeline</t>
  </si>
  <si>
    <t xml:space="preserve">MM-ZTK-BE-1F-IPX-PLR-BOD-0001 Pipeline and Riser Design Basis and Design Criteria </t>
  </si>
  <si>
    <t xml:space="preserve">Transient temperature data is not available. </t>
  </si>
  <si>
    <t>They shall be included in Detailed Engineering Design.</t>
  </si>
  <si>
    <t xml:space="preserve">Pipeline bottom tension used in Basic Engineering Design is 570 kN. </t>
  </si>
  <si>
    <t>If pipelay installation tension increase significantly, the following reports shall be revisited in Detailed Engineering Design.
-Free Span
-End expansion
-Lateral buckling</t>
  </si>
  <si>
    <t xml:space="preserve">IP22 pipeline route is deviated from the original survey route. </t>
  </si>
  <si>
    <t>Geotechnical investigation should be updated if further survey is performed.</t>
  </si>
  <si>
    <t>Walking screening analysis does not include effects of transient temperature because the transient temperature profiles are not available.</t>
  </si>
  <si>
    <t>The effects of the transient temperature profiles shall be included in Detailed Engineering Design.</t>
  </si>
  <si>
    <t>The jacket structure is not verified in riser clamp design.</t>
  </si>
  <si>
    <t>The verification shall be carried out in Detailed Engineering Design.</t>
  </si>
  <si>
    <t xml:space="preserve">MM-ZTK-BE-1F-IPX-PLR-BOD-0002 Seismic Consideration for Subsea Pipeline in Seismic Hazardous Area </t>
  </si>
  <si>
    <t xml:space="preserve">The scope does not include riser and tie-in spool flexibility analysis.  </t>
  </si>
  <si>
    <t>They shall be performed in Detailed Engineering Design.</t>
  </si>
  <si>
    <t xml:space="preserve">MM-ZTK-BE-1F-IPX-PLR-RPT-0002 Pipeline On-Bottom Stability Analysis Report </t>
  </si>
  <si>
    <t xml:space="preserve">The anti-corrosion coating thickness of tie-in spool with concrete coating is changed from 2.2 mm to 2.5 mm thick 3LPP coating. The difference of overall diameter and submerged weight are within 0.12 % and 0.57%, respectively. These difference are considered insignificant. </t>
  </si>
  <si>
    <t>The stability shall be confirmed in Detailed Engineering Design.</t>
  </si>
  <si>
    <t xml:space="preserve">The anti-corrosion coating thickness of pipeline is changed from 2.5 mm to 2.8 mm thick 3LPE coating. The difference of overall diameter and submerged weight are within 0.12 % and 0.08 %, respectively.  These difference are considered insignificant. </t>
  </si>
  <si>
    <t>MM-ZTK-BE-1F-IP20-PLR-RPT-0004 Pipeline Seismic Analysis Report: IP20
MM-ZTK-BE-1F-IP21-PLR-RPT-0004 Pipeline Seismic Analysis Report: IP21
MM-ZTK-BE-1F-IP22-PLR-RPT-0004 Pipeline Seismic Analysis Report: IP22
MM-ZTK-BE-1F-IP23-PLR-RPT-0004 Pipeline Seismic Analysis Report: IP23</t>
  </si>
  <si>
    <t xml:space="preserve">The scope does not include risers and tie-in stress spools analysis.  </t>
  </si>
  <si>
    <t>The riser and tie-in spool stress analysis shall be performed in Detailed Engineering Design. The existing PLEM tie-in spool shall be included in the flexibility analysis for PLEM14 and PLEM07.</t>
  </si>
  <si>
    <t>MM-ZTK-BE-1F-IP20-PLR-RPT-0004 Pipeline Seismic Analysis Report: IP20
MM-ZTK-BE-1F-IP21-PLR-RPT-0004 Pipeline Seismic Analysis Report: IP21
MM-ZTK-BE-1F-IP22-PLR-RPT-0004 Pipeline Seismic Analysis Report: IP22
MM-ZTK-BE-1F-IP23-PLR-RPT-0004 Pipeline Seismic Analysis Report: IP24</t>
  </si>
  <si>
    <t>The scope does not include Fault crossing analysis.</t>
  </si>
  <si>
    <t xml:space="preserve">Fault crossing analysis shall be performed in Detailed Engineering Design.  The analysis shall cover the active faults F5 and F6 on IP 23 route. </t>
  </si>
  <si>
    <t xml:space="preserve">MM-ZTK-BE-1F-IPX-PLR-RPT-0003 Pipeline Global buckling and Walking Screening </t>
  </si>
  <si>
    <t xml:space="preserve">The global buckling analysis is performed with screening criteria.  The pipelines do not satisfy the screening criteria. </t>
  </si>
  <si>
    <t>Finite element analysis shall be performed in Detailed Engineering Design to analyze the susceptibility of global buckling.</t>
  </si>
  <si>
    <t xml:space="preserve">Walking screening analysis does not include effects of transient temperature because the transient temperature profiles are not available.  </t>
  </si>
  <si>
    <t xml:space="preserve">The effects of the transient temperature profiles should be included in Detailed Engineering Design. </t>
  </si>
  <si>
    <t xml:space="preserve">MM-ZTK-BE-1F-IPX-PLR-RPT-0004 10" Riser Span Analysis and 10” Riser Clamp Design Report </t>
  </si>
  <si>
    <t xml:space="preserve">Riser loads are transferred to the jacket structure. The jacket structure is not verified.  </t>
  </si>
  <si>
    <t xml:space="preserve">The verification of jacket structure shall be carried out in Detailed Engineering Design. </t>
  </si>
  <si>
    <t>The scope does not include riser flexibility analysis.</t>
  </si>
  <si>
    <t xml:space="preserve">The riser clamp loads shall be confirmed in Detailed Engineering Design. </t>
  </si>
  <si>
    <t>MM-ZTK-BE-1F-IP20-PLR-RPT-0001 Pipeline Routing Study and Design: IP20
MM-ZTK-BE-1F-IP21-PLR-RPT-0001 Pipeline Routing Study and Design: IP21
MM-ZTK-BE-1F-IP22-PLR-RPT-0001 Pipeline Routing Study and Design: IP22
MM-ZTK-BE-1F-IP23-PLR-RPT-0001 Pipeline Routing Study and Design: IP23</t>
  </si>
  <si>
    <t>The semi-tender rig layout is obtained from previous phase.</t>
  </si>
  <si>
    <t>The semi-tender rig layout should be updated if the layout is changed.</t>
  </si>
  <si>
    <t>MM-ZTK-BE-1F-IP21-PLR-DWG-0002 IP21 Pipeline Alignment Sheets: ZWP21 to PLEM14</t>
  </si>
  <si>
    <t xml:space="preserve">IP22 seabed features are obtianed from two different data sources. </t>
  </si>
  <si>
    <t xml:space="preserve">If IP22 geophysical survey is performed in Detailed Engineering Design, the seabed features and contours shall be updated. </t>
  </si>
  <si>
    <t>MM-ZTK-BE-1F-IP20-PLR-GA-0002 IP20 Spool GA Drawing at ZWP20
MM-ZTK-BE-1F-IP20-PLR-GA-0003 IP20 Spool GA Drawing at ZWP16
MM-ZTK-BE-1F-IP21-PLR-GA-0002 IP21 Spool GA Drawing ZWP21
MM-ZTK-BE-1F-IP21-PLR-GA-0003 IP21 Spool GA Drawing at PLEM14
MM-ZTK-BE-1F-IP22-PLR-GA-0002 IP22 Spool GA Drawing at ZWP22
MM-ZTK-BE-1F-IP22-PLR-GA-0003 IP22 Spool GA Drawing at ZWP8
MM-ZTK-BE-1F-IP23-PLR-GA-0002 IP23 Spool GA Drawing at ZWP23
MM-ZTK-BE-1F-IP23-PLR-GA-0003 IP23 Spool GA Drawing at PLEM07</t>
  </si>
  <si>
    <t xml:space="preserve">The scope does not include spool flexibility analysis.  </t>
  </si>
  <si>
    <t xml:space="preserve">The spool flexibility analysis shall be performed in Detailed Engineering Design. </t>
  </si>
  <si>
    <t>The scope does not include seismic analysis of all tie-in spools.</t>
  </si>
  <si>
    <t xml:space="preserve">The spool flexibility analysis under seismic loading shall be performed in Detailed Engineering Design. 
The effects of lateral displacement of pipeline ends during seismic loading shall be also considered in Detailed Engineering Design. </t>
  </si>
  <si>
    <t xml:space="preserve">The scope does not include the design flange protector.  </t>
  </si>
  <si>
    <t>The design of flange protector shall be included in Detailed Engineering Design.</t>
  </si>
  <si>
    <t>MM-ZTK-BE-1F-IP20-PLR-GA-0001 IP20 Riser GA Drawing at ZWP20
MM-ZTK-BE-1F-IP21-PLR-GA-0001 IP21 Riser GA Drawing at ZWP21
MM-ZTK-BE-1F-IP22-PLR-GA-0001 IP22 Riser GA Drawing at ZWP22
MM-ZTK-BE-1F-IP23-PLR-GA-0001 IP23 Riser GA Drawing ZWP23
MM-ZTK-BE-1F-IP21-PLR-DWG-0006 NPS 10 Riser GA Drawings at ZWP21
MM-ZTK-BE-1F-IP22-PLR-DWG-0006 NPS 10 Riser GA Drawings at ZWP22</t>
  </si>
  <si>
    <t xml:space="preserve">The scope does not include riser flexibility analysis.  </t>
  </si>
  <si>
    <t xml:space="preserve">The riser flexibility analysis shall be performed in Detailed Engineering Design. </t>
  </si>
  <si>
    <t>MM-ZTK-BE-1F-IP20-PLR-GA-0001 IP20 Riser GA Drawing at ZWP20
MM-ZTK-BE-1F-IP21-PLR-GA-0001 IP21 Riser GA Drawing at ZWP21
MM-ZTK-BE-1F-IP22-PLR-GA-0001 IP22 Riser GA Drawing at ZWP22
MM-ZTK-BE-1F-IP23-PLR-GA-0001 IP23 Riser GA Drawing ZWP23</t>
  </si>
  <si>
    <t xml:space="preserve">The scope does not include VIV span analysis of 18” risers.  </t>
  </si>
  <si>
    <t>The VIV span analysis of 18" risers shall be performed in Detailed Engineering Design.</t>
  </si>
  <si>
    <t xml:space="preserve">The scope does not include seismic analysis of all risers.  </t>
  </si>
  <si>
    <t>The seismic analysis for all risers shall be performed in Detailed Engineering Design.</t>
  </si>
  <si>
    <t>MM-ZTK-BE-1F-IP22-PLR-DWG-0006 NPS 10 Riser GA Drawings at ZWP22</t>
  </si>
  <si>
    <t>Design pressure of 168 barg is considered for 10" riser at ZWP22, while its design pressure is required only  70 barg.</t>
  </si>
  <si>
    <t>For ZWP22 10” riser, the design pressure of 70 barg shall be revisited. While at ZWP21 can maintain design pressure of 168 barg.</t>
  </si>
  <si>
    <t xml:space="preserve">WAS-WPP-A-TNS-PL-DR-0004 Pipeline Bend Details </t>
  </si>
  <si>
    <t xml:space="preserve">The bend coating is 1.25 mm thick HBE, while there are three options including 2LPP, HBE and SP8888 coating. </t>
  </si>
  <si>
    <t>Bend coating shall be revisited. Contractor shall consider 2LPP, HBE and SP8888 in Detailed Engineering Design.
The coating system shall follow document, 10008-STD-6-COR-003-R01, coating of bends and fittings for pipelines.</t>
  </si>
  <si>
    <t>MM-ZTK-BE-1F-IP20-PLR-RPT-0003 Pipeline Bottom roughness and in place stress analysis: IP 20
MM-ZTK-BE-1F-IP21-PLR-RPT-0003 Pipeline Bottom roughness and in place stress analysis: IP 21
MM-ZTK-BE-1F-IP22-PLR-RPT-0003 Pipeline Bottom roughness and in place stress analysis: IP 22
MM-ZTK-BE-1F-IP23-PLR-RPT-0003 Pipeline Bottom roughness and in place stress analysis: IP 23</t>
  </si>
  <si>
    <t>Several free spans exceed allowable spans.  Mitigation measures are not defined.</t>
  </si>
  <si>
    <t>The free spans exceeding the allowable span shall be rectified to avoid damage.   For the area outside the sand wave zone, the convention support such as grout bags should be used for the free span rectification.  For the sand wave seabed, if sand wave migration record is available, the record should be checked for sand wave mobility.  If the record is not available, the sand wave mobility study should be performed.  If the sand wave is susceptible to mobility, the pipeline should be buried using jet trenching.  If sand wave is not susceptible to mobility, the convention supports such as grout bags are acceptable. </t>
  </si>
  <si>
    <t>MM-ZTK-BE-1F-IP20-PLR-MTO-0001 Material Take-Off : IP20 Pipeline
MM-ZTK-BE-1F-IP21-PLR-MTO-0001 Material Take-Off : IP21 Pipeline
MM-ZTK-BE-1F-IP22-PLR-MTO-0001 Material Take-Off : IP22 Pipeline
MM-ZTK-BE-1F-IP23-PLR-MTO-0001 Material Take-Off : IP23 Pipeline</t>
  </si>
  <si>
    <t>The anti-corrosion coating thickness of tie-in spool with concrete coating is changed from 2.2 mm to 2.5 mm thick 3LPP coating.</t>
  </si>
  <si>
    <t>The coating description in MTO shall be updated.</t>
  </si>
  <si>
    <t xml:space="preserve">The anti-corrosion coating thickness of pipeline is changed from 2.5 mm to 2.8 mm thick 3LPE coating. </t>
  </si>
  <si>
    <t>Bend coating shall be revisited. Contractor shall consider 2LPP, HBE and SP8888 in Detailed Engineering Design.</t>
  </si>
  <si>
    <t>MM-ZTK-BE-1F-IP22-PLR-GA-0002: IP22 Spool GA Drawing at ZWP22</t>
  </si>
  <si>
    <t>There is a new PLEM (Future) to be installed at ZWP-22.</t>
  </si>
  <si>
    <t>Please Contractor consider the location for future PLEM tie-in near ZWP-22. The tie-in spool nearby the ZWP-22 shall be removeable and replace new new tie-in spool to connect to the furture PLEM.</t>
  </si>
  <si>
    <t>CVENTEK / T&amp;I Response</t>
  </si>
  <si>
    <r>
      <t>Topsides structural framing and members shall be verified and confirmed.</t>
    </r>
    <r>
      <rPr>
        <u/>
        <sz val="10"/>
        <rFont val="Times New Roman"/>
        <family val="1"/>
      </rPr>
      <t xml:space="preserve">
</t>
    </r>
  </si>
  <si>
    <r>
      <t xml:space="preserve">Naval Architectural Basis of Design shall be updated and included the Topsides Naval Architectural analyses.
Topsides, Jackets, and Piles members size for each platform shall be confirmed under pre-service conditions.
</t>
    </r>
    <r>
      <rPr>
        <u/>
        <sz val="10"/>
        <rFont val="Times New Roman"/>
        <family val="1"/>
      </rPr>
      <t xml:space="preserve">
</t>
    </r>
    <r>
      <rPr>
        <sz val="10"/>
        <rFont val="Times New Roman"/>
        <family val="1"/>
      </rPr>
      <t xml:space="preserve">
</t>
    </r>
  </si>
  <si>
    <r>
      <t xml:space="preserve">In the Zawtika Phase 1F - Jacket Site-specific Basic Engineering study, only two representative jackets, ZWP20 and ZWP21, have been selected as the lower and upper bound conditions for the pre-service analysis, due to their shallowest and deepest water depths, respectively. 
</t>
    </r>
    <r>
      <rPr>
        <b/>
        <u/>
        <sz val="10"/>
        <rFont val="Times New Roman"/>
        <family val="1"/>
      </rPr>
      <t>The Topsides pre-services and naval architectural analyses ARE EXCLUDED from the scope of this stud</t>
    </r>
    <r>
      <rPr>
        <sz val="10"/>
        <rFont val="Times New Roman"/>
        <family val="1"/>
      </rPr>
      <t>y.
Based from past projects' experiences and historical data, the following assumptions have been adopted for the analysis;
 - The tow route is assumed to be from Southeast China to the Installation Site, with a transportation window of October to November.
 - Two launch barges, Holmen Atlantic and FLB1, are assumed to transport ZWP20 and ZWP21 jackets, respectively.
-  Stowage Plans and sea-fastening members and locations of ZWP 20 and ZWP21 jackets on the launch barges are assumed.
- Jackets are assumed to be loaded out by the skidding method.
- The top rubber diaphragm of pile sleeves P5( ZWP20) and P4 and P5(ZPW21) has been proposed to be removed to improve the stability. 
The preliminary checks were performed under the pre-service conditions for only ZWP 20 and ZWP21 jackets. However, the pre-service analyses for  ZWP22 and ZWP23 jackets and piles have not been performed.
CONTRACTOR shall be responsible for reviewing and updating the Naval Architectural Basis of Design, including the Topsides naval architectural analysis, to incorporate the latest and actual information and data, such as Tow route data, Launch barges, Transportation barges, Stowage plan, Loadout method etc., during EPCI phase.
Additionally, CONTRACTOR shall confirm the structural integrity of the Topsides, Jackets and Piles members size of each platform (ZWP20, ZWP21, ZWP22, and ZWP23) under pre-service conditions during the EPCI phase, prior to the procurement of materials.</t>
    </r>
  </si>
  <si>
    <r>
      <rPr>
        <b/>
        <sz val="10"/>
        <rFont val="Times New Roman"/>
        <family val="1"/>
      </rPr>
      <t>Structural Basis of Design</t>
    </r>
    <r>
      <rPr>
        <sz val="10"/>
        <rFont val="Times New Roman"/>
        <family val="1"/>
      </rPr>
      <t xml:space="preserve">
MM-ZTK-BE-1F-ZWPX-STR-BOD-0001, Rev.C1
</t>
    </r>
    <r>
      <rPr>
        <b/>
        <sz val="10"/>
        <rFont val="Times New Roman"/>
        <family val="1"/>
      </rPr>
      <t>Jacket In-Place Analysis Report</t>
    </r>
    <r>
      <rPr>
        <sz val="10"/>
        <rFont val="Times New Roman"/>
        <family val="1"/>
      </rPr>
      <t xml:space="preserve">
MM-ZTK-BE-1F-ZWP20-STR-CAL-2011, Rev.C1
MM-ZTK-BE-1F-ZWP21-STR-CAL-2011, Rev.C1
MM-ZTK-BE-1F-ZWP22-STR-CAL-2011, Rev.C1
MM-ZTK-BE-1F-ZWP23-STR-CAL-2011, Rev.C1
</t>
    </r>
    <r>
      <rPr>
        <b/>
        <sz val="10"/>
        <rFont val="Times New Roman"/>
        <family val="1"/>
      </rPr>
      <t>Jacket Dynamic Analysis Report</t>
    </r>
    <r>
      <rPr>
        <sz val="10"/>
        <rFont val="Times New Roman"/>
        <family val="1"/>
      </rPr>
      <t xml:space="preserve">
MM-ZTK-BE-1F-ZWP20-STR-CAL-2012, Rev.C1
MM-ZTK-BE-1F-ZWP21-STR-CAL-2012, Rev.C1
MM-ZTK-BE-1F-ZWP22-STR-CAL-2012, Rev.C1
MM-ZTK-BE-1F-ZWP23-STR-CAL-2012, Rev.C1
</t>
    </r>
    <r>
      <rPr>
        <b/>
        <sz val="10"/>
        <rFont val="Times New Roman"/>
        <family val="1"/>
      </rPr>
      <t>Jacket In-Place Spectral Analysis Report</t>
    </r>
    <r>
      <rPr>
        <sz val="10"/>
        <rFont val="Times New Roman"/>
        <family val="1"/>
      </rPr>
      <t xml:space="preserve">
MM-ZTK-BE-1F-ZWP20-STR-CAL-2013, Rev.C1
MM-ZTK-BE-1F-ZWP21-STR-CAL-2013, Rev.C1
MM-ZTK-BE-1F-ZWP22-STR-CAL-2013, Rev.C1
MM-ZTK-BE-1F-ZWP23-STR-CAL-2013, Rev.C1
</t>
    </r>
    <r>
      <rPr>
        <b/>
        <sz val="10"/>
        <rFont val="Times New Roman"/>
        <family val="1"/>
      </rPr>
      <t>Topsides and Jacket Seismic Analysis (ELE) Report</t>
    </r>
    <r>
      <rPr>
        <sz val="10"/>
        <rFont val="Times New Roman"/>
        <family val="1"/>
      </rPr>
      <t xml:space="preserve">
MM-ZTK-BE-1F-ZWP20-STR-CAL-2031, Rev.C1
MM-ZTK-BE-1F-ZWP21-STR-CAL-2031, Rev.C1
MM-ZTK-BE-1F-ZWP22-STR-CAL-2031, Rev.C1
MM-ZTK-BE-1F-ZWP23-STR-CAL-2031, Rev.C1
</t>
    </r>
    <r>
      <rPr>
        <b/>
        <sz val="10"/>
        <rFont val="Times New Roman"/>
        <family val="1"/>
      </rPr>
      <t>Topsides and Jacket Seismic Analysis (ALE) Report</t>
    </r>
    <r>
      <rPr>
        <sz val="10"/>
        <rFont val="Times New Roman"/>
        <family val="1"/>
      </rPr>
      <t xml:space="preserve">
MM-ZTK-BE-1F-ZWP20-STR-CAL-2032, Rev.C1
MM-ZTK-BE-1F-ZWP21-STR-CAL-2032, Rev.C1
MM-ZTK-BE-1F-ZWP22-STR-CAL-2032, Rev.C1
MM-ZTK-BE-1F-ZWP23-STR-CAL-2032, Rev.C1</t>
    </r>
  </si>
  <si>
    <r>
      <t xml:space="preserve">Structural Basis of Design shall be updated.
Topsides, Jackets, and Piles members size for each platform shall be confirmed.
</t>
    </r>
    <r>
      <rPr>
        <u/>
        <sz val="10"/>
        <rFont val="Times New Roman"/>
        <family val="1"/>
      </rPr>
      <t xml:space="preserve">
</t>
    </r>
    <r>
      <rPr>
        <sz val="10"/>
        <rFont val="Times New Roman"/>
        <family val="1"/>
      </rPr>
      <t xml:space="preserve">Pile make-up and pile penetration length for all  platforms shall be confirmed.
</t>
    </r>
  </si>
  <si>
    <r>
      <rPr>
        <b/>
        <sz val="10"/>
        <rFont val="Times New Roman"/>
        <family val="1"/>
      </rPr>
      <t>Cathodic Protection Calculation Report</t>
    </r>
    <r>
      <rPr>
        <sz val="10"/>
        <rFont val="Times New Roman"/>
        <family val="1"/>
      </rPr>
      <t xml:space="preserve">
MM-ZTK-BE-1F-ZWP20-COR-CAL-0001, Rev.C1
MM-ZTK-BE-1F-ZWP21-COR-CAL-0001, Rev.C1
MM-ZTK-BE-1F-ZWP22-COR-CAL-0001, Rev.C1
MM-ZTK-BE-1F-ZWP23-COR-CAL-0001, Rev.C1
</t>
    </r>
  </si>
  <si>
    <r>
      <rPr>
        <b/>
        <sz val="10"/>
        <rFont val="Times New Roman"/>
        <family val="1"/>
      </rPr>
      <t>Jacket Weight Control Report</t>
    </r>
    <r>
      <rPr>
        <sz val="10"/>
        <rFont val="Times New Roman"/>
        <family val="1"/>
      </rPr>
      <t xml:space="preserve">
MM-ZTK-BE-1F-ZWP20-STR-WCR-2001, Rev.C1
MM-ZTK-BE-1F-ZWP21-STR-WCR-2001, Rev.C1
MM-ZTK-BE-1F-ZWP22-STR-WCR-2001, Rev.C1
MM-ZTK-BE-1F-ZWP23-STR-WCR-2001, Rev.C1
</t>
    </r>
  </si>
  <si>
    <t>Include BOM &amp; Cutting plan for Secondary &amp; Tertiary steel items.
BOM for pile sleeves, internal ring stiffeners, launch cradles, and similar components were estimated using historical data. These items to be verified and updated with the latest or actual information.</t>
  </si>
  <si>
    <t>CventeK</t>
  </si>
  <si>
    <t>Bill of Materials (BOM) and cutting plan for secondary and tertiary steel items were excluded. Additionally, pile sleeves, internal ring stiffeners, launch cradles, and similar components were estimated using historical data. These items shall be verified and updated with the latest or actual information during the Detailed Engineering phase.</t>
  </si>
  <si>
    <t>HOLD-1</t>
  </si>
  <si>
    <t>Basic Engineering -Pirmary Cutting Plan</t>
  </si>
  <si>
    <t>Recalculate and confirm actual weights based on finalized design and updated vendor data during detailed engineering.</t>
  </si>
  <si>
    <t>In this project, the weight of certain primary steel items, as well as secondary and tertiary items such as anodes, boatlanding, internal ring stiffeners, hydrostatic ring stiffeners, diaphragm closure, launch cradle, installation aids, etc., were estimated using historical data. These weights shall be verified and updated with the latest or actual information during the detailed engineering phase.</t>
  </si>
  <si>
    <t>Basic Engineering -Transportation / Tow fatigue Analysis/On-bottom analysis/WCR report</t>
  </si>
  <si>
    <t>Basic Engineering - Loadout Analysis report</t>
  </si>
  <si>
    <t xml:space="preserve">The pile fatigue life assessment shall include damages arising from pile transportation and to be performed and confirmed </t>
  </si>
  <si>
    <t>The pile fatigue life assessment shall include damages arising from pile transportation and shall be performed and confirmed during the Detailed Engineering Phase.</t>
  </si>
  <si>
    <t>HOLD-2</t>
  </si>
  <si>
    <t>Basic Engineering -  Spectral Fatigue Analysis report</t>
  </si>
  <si>
    <t>The topsides spectral fatigue analysis, including fatigue life assessment covering damages from topsides in-service condition and transportation analysis, to be performed and confirmed</t>
  </si>
  <si>
    <t>The topsides spectral fatigue analysis, including fatigue life assessment covering damages from topsides in-service condition and transportation analysis, shall be performed and confirmed during the Detailed Engineering Phase.</t>
  </si>
  <si>
    <t>Basic Engineering -Spectral Fatigue Analysis report</t>
  </si>
  <si>
    <t>HOLD-2/4</t>
  </si>
  <si>
    <t>Basic Engineering - Inplace Analysis / Dynamic Analysis Report / Spectral Fatigue Analysis /ELE / ALE /Primary MTO/Secondary MTO report</t>
  </si>
  <si>
    <t>Verify and confirm topsides loads, Equipment loads and parameters based on final project data, Layout prior to EPCI execution.</t>
  </si>
  <si>
    <t>The BUN4 Design ‘2’ Topsides SACS model was adopted with minor modifications for this project. Therefore, the geometry and load inputs of the Topsides SACS model shall be verified and updated with the latest or actual information before being used in the detailed engineering phase.</t>
  </si>
  <si>
    <t>HOLD-1/3</t>
  </si>
  <si>
    <t>Basic Engineering - Inplace Analysis / Dynamic Analysis Report / Spectral Fatigue Analysis/ELE / ALE report</t>
  </si>
  <si>
    <t>Basic Engineering - Barge Motion/Launch Analysis/Floatation &amp; Upending Analysis / Jacket Computer Modelling &amp; Load Formulation Report</t>
  </si>
  <si>
    <t>Verify historical barge data and update with latest confirmed vessel particulars during detailed engineering.</t>
  </si>
  <si>
    <t>Barge data is based on Holmen Atlantic historical data. The data shall be verified and updated with the latest or actual information during the detailed engineering phase.</t>
  </si>
  <si>
    <t>Confirm stowage plan / selected transportation barges and perform transportation / motion analysis accordingly.</t>
  </si>
  <si>
    <t>T&amp;I Contractor</t>
  </si>
  <si>
    <t>The stowage plan for the ZWP20, ZWP21, ZWP22, and
ZWP23 jackets for each designated launch barge shall
be confirmed and provided by the T&amp;I  CONTRACTOR
during the EPCI phase.</t>
  </si>
  <si>
    <t>HOLD-3</t>
  </si>
  <si>
    <t>Basic Engineering Naval Architecture Design Basis Document</t>
  </si>
  <si>
    <t>Confirm stowage Plan / selected transportation barges and perform transportation / motion analysis accordingly.</t>
  </si>
  <si>
    <t>The stowage plan and transportation barge for piles
shall be provided by T&amp;I CONTRACTOR during the
EPCI phase.</t>
  </si>
  <si>
    <t>Confirm launch vessel selection and provide vessel data (GA, stability data, ballast system, grillage layout, etc.) for analysis update.</t>
  </si>
  <si>
    <t>The launch barges for the transportation of ZWP20,
ZWP21, ZWP22, and ZWP23 jackets shall be
confirmed, and their information/data provided by the
T&amp;I CONTRACTOR during the EPCI phase.</t>
  </si>
  <si>
    <t xml:space="preserve">EPCI Contractor / T&amp;I </t>
  </si>
  <si>
    <t>The launch barges for the transportation of ZWP20, ZWP21, ZWP22 and ZWP23 jackets, piles transportation barges, and heavy lift vessels shall be confirmed, and their information/data provided by the T&amp;I contractor during the EPCI phase.</t>
  </si>
  <si>
    <t>Basic Engineering Structural Design Basis Document</t>
  </si>
  <si>
    <t>Confirm selected transportation barges and perform transportation / motion analysis accordingly.</t>
  </si>
  <si>
    <t>In Provisional Jacket Site-Specific Basic Engineering for Zawtika Development Project Phase 1F, ZWP22 and ZWP23 Naval Architect Designs are excluded in its scope and barges for transportation are not selected. Therefore, Transportation Analysis are also excluded.
It is the responsibility of the EPCI CONTRACTOR to verify and confirm these parameters based on the latest and final information during the EPCI phase.</t>
  </si>
  <si>
    <t>EPCI Contractor</t>
  </si>
  <si>
    <t>The topsides information and parameters have been adopted from the Basic Engineering for Bundled 4 Wellhead Platforms project, as detailed in Section 8 of the document titled “Structural Design Basis,” Reference [2.2.14], with minor adjustments from the available Zawtika Phase 1E project information.
It is the responsibility of the EPCI CONTRACTOR to verify and confirm these parameters based on the latest and final information prior to use in the EPCI phase.
1. Equipment List as per Latets Layout
2. Dropped Object Loads
3. The Location for Personnel Access Ramp to be confirmed &amp; Input from EDrill 2 Rig Team
4. Size of the equipment to be confirmed for PIG reciever
5. Burner Boom Data</t>
  </si>
  <si>
    <t>Open/
Closed</t>
  </si>
  <si>
    <t>Response from T&amp;I</t>
  </si>
  <si>
    <t xml:space="preserve">Response from CventeK </t>
  </si>
  <si>
    <t>Required Action</t>
  </si>
  <si>
    <t xml:space="preserve">Resposible </t>
  </si>
  <si>
    <t>Description of HOLDs</t>
  </si>
  <si>
    <t>Hold Number</t>
  </si>
  <si>
    <t>Hold on Document</t>
  </si>
  <si>
    <t>S.No</t>
  </si>
  <si>
    <t>Low</t>
  </si>
  <si>
    <t xml:space="preserve">Proposed gap closing plan is acceptable, to be addressed in next phase </t>
  </si>
  <si>
    <t>None.</t>
  </si>
  <si>
    <t>The recommendations will be implemented during the next engineering stage of the EPCI phase, when the jacket and pile transportation and installation activities are conducted.</t>
  </si>
  <si>
    <t>Ensure risk assessment associated with the activities such as transportation, load-out, installation of the jacket &amp; piling is carried out during detailed engineering and the findings and recommendations are incorporated.</t>
  </si>
  <si>
    <t>overlooking the potential associated risks and its appropriate risk treatments provision leading to the adverse and severe consequences.</t>
  </si>
  <si>
    <t>Risk identification assessment associated with the jacket &amp; piling transportation and installation activities.</t>
  </si>
  <si>
    <t>Facilities Engineering</t>
  </si>
  <si>
    <t>SAF - Safety</t>
  </si>
  <si>
    <t>Medium</t>
  </si>
  <si>
    <t xml:space="preserve">Proposed gap closing plan is acceptable, to be addressed before proceeding to the decision gate </t>
  </si>
  <si>
    <t>None</t>
  </si>
  <si>
    <t>The project team is awaiting the updated Rig GHTH weight information. This updated weight will be incorporated into the next engineering stage of the EPCI phase.</t>
  </si>
  <si>
    <t>Wait for the updated figure from Myanmar Drilling Team and recheck to load. Modify if required.</t>
  </si>
  <si>
    <t>Limited working load while drilling resulting in increase well cost and more potential for Non-productive time.</t>
  </si>
  <si>
    <t>Rig GHTH is under modification. The actual load will be higher than 1,556 MT. The final load on platform will be finalized ASAP.</t>
  </si>
  <si>
    <t>Wells and Drilling</t>
  </si>
  <si>
    <t>3.3.1 Opperational rig load</t>
  </si>
  <si>
    <t>SOR Zawtika Project Phase 1F Development</t>
  </si>
  <si>
    <t>OWE - Well &amp; Drilling</t>
  </si>
  <si>
    <t xml:space="preserve">Project has closed this gap </t>
  </si>
  <si>
    <t xml:space="preserve">The data for ZWP22 in seismic report no. P0040546-H2 actually belongs to ZWP23. This error originated from a typo in the Rev.A1 report. RINA has corrected this in the latest revision, updating the report to reflect ZWP23.
For ZWP22, seismic ground motion and liquefied PSI will be referred to the ZTK-38 location in the seismic hazard report during the Z1E phase. 
</t>
  </si>
  <si>
    <t>Why ZWP22 consider difference seismic set?</t>
  </si>
  <si>
    <t>Seismic time history ZWP22 are difference from recommend  Seismic event data from Seismic Hazard Assessment, P0040546-H2.
Liquefaction criteria, P-y curve consider in ELE and ALE analysis are based on seismic event set define in Seismic Hazard Assessment which difference from ZWP22 design event set.</t>
  </si>
  <si>
    <t>4.16.5 Seismic Time History Data</t>
  </si>
  <si>
    <t>MM-ZTK-BE-1F-ZWPX-STR-BOD-0001, Structural BOD</t>
  </si>
  <si>
    <t>STR - Structural</t>
  </si>
  <si>
    <t>Project team to investigate in next phase.</t>
  </si>
  <si>
    <t>Currently, the riser protector frame has been provided on the Platform South  prevent vessels from drifting to clash with piping riser below lower deck for the platform which has 2 pre-installed risers. However, the furture import riser, as commented, is part of Budled -Design 2 Topside andwill be rechecked and confirmed its location, along with any additional protection, during the next engineering stage of the EPCI phase.</t>
  </si>
  <si>
    <t>The import pipeline shal relocate to protect area of riser guard.</t>
  </si>
  <si>
    <t>The future import pipeline protude below deck on east side without protection while ZMFP laout put this import pipeline at south and within protected area of riser guard.</t>
  </si>
  <si>
    <t>ELEVATION LOOKING NORTH</t>
  </si>
  <si>
    <t xml:space="preserve"> TH-BUN4-BE-WPG2-PIP-LAY-0006 EQUIPMENT LAYOUT ELEVATION LOOKING NORTH</t>
  </si>
  <si>
    <t>Pile weight shall also further optimize per item STR-2.</t>
  </si>
  <si>
    <t>The pile weight for ZWP21 has been optimized by reducing the wall thickness and penetration, and it has been found to be acceptable. The current gripper pile base weight is 543.1 MT, which is less than 600 MT.</t>
  </si>
  <si>
    <t>pile penetration length shall be optimized.</t>
  </si>
  <si>
    <t>The weight of gripper pile of 608.7MT (143.5m) consider very heave and will cause difficult for offshore operation.
1. The LL from Z1D project with pile weight of 439MT (127.5m) have a lot of damage to pile seafastening while lifting, very risk to damage upending clamp due to weight of pile. ILT also have to maintenance by change the tooth every time after lift each pile.
2. only some ILT provider have capacity above 600MT</t>
  </si>
  <si>
    <t>Pile weight</t>
  </si>
  <si>
    <t>MM-ZTK-BE-1F-ZWP21-STR-CAL-2021, ZWP21 PILE HANDLING AND STICK-UP ANALYSIS REPORT</t>
  </si>
  <si>
    <t>The low hook load in the Z1F jacket is due to the removal of  two top rubber diaphragms at pile sleeves P5 and P8, which resulted in an accelerated change in the pitch motion of the jacket after flooding A1-L and B1-L. This caused extra buoyancy exceeding the ballast water in A1-L and B1-L. Therefore, the top rubber diaphragm of pile sleeve P8 will not be removed, and the hook height will be raised to 18.0 meters,so the minimum hook load exceeds 100 MT.</t>
  </si>
  <si>
    <t>hook load shall maintain min app. 100MT at all stage of lifting to ensure lifting sling active at all time.</t>
  </si>
  <si>
    <t>Risk of sling slag and slip-off during upending jacket.</t>
  </si>
  <si>
    <t>Hook load for upending sequence base case show hook load too low (29.3MT) at event no 29.</t>
  </si>
  <si>
    <t>A4.2 BASE CASE UPENDING PLOTS</t>
  </si>
  <si>
    <t>MM-ZTK-BE-1F-ZWP21-NVA-CAL-2013, ZWP21 JACKET FLOATATION AND UPENDING ANALYSIS REPORT</t>
  </si>
  <si>
    <t xml:space="preserve">Project has clarified and closed this gap </t>
  </si>
  <si>
    <t>Project team to check and ensure double side weld shall be avoid for short member and small tubular.</t>
  </si>
  <si>
    <t>1) Due to the accelerated progress at the beginning of the project, the information was presented separately. However, fatigue damage from transportation and pile driving will be combined and shown in the In-place Fatigue Analysis Report Rev.C1.
2) The double-sided weld of the short element will be rechecked in Fatigue Rev.C1.</t>
  </si>
  <si>
    <t>avoid double side weld or enlarge diameter.</t>
  </si>
  <si>
    <t>Result</t>
  </si>
  <si>
    <t>MM-ZTK-BE-1F-ZWP21-STR-CAL-2013: ZWP21 JACKET IN-PLACE SPECTRAL FATIGUE ANALYSIS</t>
  </si>
  <si>
    <t>Two pre-installed risers (18" and 10") will be updated in SACS Model and re-run for both dynamic and in-place analysis in Rev C1.</t>
  </si>
  <si>
    <t>update dynamic analysis and coresponding DAF use for inplace analysis.</t>
  </si>
  <si>
    <t>Riser size and location in dynamic analysis model are not conform to SOR and inplace analysis.</t>
  </si>
  <si>
    <t>Analysis model</t>
  </si>
  <si>
    <t>MM-ZTK-1F-ZWP21-STR-CAL-2012, ZWP21 JACKET DYNAMIC ANALYSIS REPORT</t>
  </si>
  <si>
    <t>According to the recommendation in Table 6.1 of the Seismic Hazard Report (#P0040546-H2), t-z will be ignored from 0-25 m, and the recommended liquefied p-y should be applied. However, the governing case for pile penetration length of this jacket is from In-place analysis, not ELE.
A sensitivity analysis was performed for Seismic ELE by ignoring the t-z in liquefiable sand layers from mudline to -5.5 m and from -17 to -25 m, but including the t-z capacity in sand and clay layers from -5.5 to -17 m below mudline. The results show a slight improvement when the t-z from -5.5 to 17 m is included.</t>
  </si>
  <si>
    <t>The layer from -5.5m to -17m shall still remain having resistance.</t>
  </si>
  <si>
    <t>Seismic Hazard Assessment, P0040546-H2 Rev.0, describe liqufaction expect to occur at 2 layers 
(1) mudline-5.5m 
(2) 17m-25m 
But Seismic ELE and ALE consider only one layer from mudline-25m which too conservative.</t>
  </si>
  <si>
    <t>Sect 5.5</t>
  </si>
  <si>
    <t>MM-ZTK-BE-1F-ZWP21-STR-CAL-2031/2032 Seismic analysis ELE/ALE
P0040546-H2 Rev.0_Draft, Seismic Hazard Assessment</t>
  </si>
  <si>
    <t>The consideration of ICP-05 capacity curve could potential reduce pile length without concern of pile punch throught. Thus, it shall consider in DE phase execution of further optimize pile penetration. This to also reduce risk of handling heavy pile during installation.</t>
  </si>
  <si>
    <t>For soil layers with predominantly clay, the FUG-05 method may result in lower pile capacity compared to the UWA and ICP methods. Additionally, if we look at the ZWP21 pile capacity chart, the reason for using a 124m depth of penetration is due to the presence of weak clay layers from 108.5m to 140.5m below mudline, underlying a competent sand layer above. To maintain a minimum clearance of 3D diameter and avoid pile punch-through at the sand layer at 108.5m, the pile tip was set below these layers. According to the pile capacity chart, this places the pile tip in the clay layer at 124m penetration. Using the UWA-05 method would result in an approximate 3m saving. However, for design conservatism, it was agreed to use the FUG-05 method.</t>
  </si>
  <si>
    <t>Past Z1D project use API RP 2GEO (2011) - Method 1, Simplified ICP-05 which can save pile length of 7m-8m.</t>
  </si>
  <si>
    <t>(1) Pile penetration length per API RP 2GEO (2011) - Method 3, Fugro-05 shall be 104m. But risk of pile punch throught at bottom layer.
(2) The API RP 2GEO (2011) - Method 1, Simplified ICP-05 which give capacity in middle range and could reduce pile penetration length to 117m</t>
  </si>
  <si>
    <t>Pile capacity</t>
  </si>
  <si>
    <t>MM-ZTK-BE-1F-ZWP21-STR-CAL-2011: ZWP21 JACKET IN-PLACE ANALYSIS</t>
  </si>
  <si>
    <t>Topsides operating weight in SACS was rechecked and found that the value used in the analysis model is correct as it is.  The value in topsides WCR differs from the Jacket In-place due to seveal reasons.  One major reason is the carry down factor for open area live load for Jacket Inplace analysis is 50% less than the Topsides In-place and Topsides WCR.  Refer to Attachment 1 for details.</t>
  </si>
  <si>
    <t>Adjust weight of analysis model to WCR value.</t>
  </si>
  <si>
    <t>Inplace analysis Topside operating weight = 1144.8 MT
But WCR BUN4 Topside operating = 1287.2 MT</t>
  </si>
  <si>
    <t>Table 2.1</t>
  </si>
  <si>
    <t>MM-ZTK-BE-1F-ZWP21-STR-CAL-2011: ZWP21 JACKET IN-PLACE ANALYSIS
TH-BUN4-BE-WPG2-STR-WCR-1001 WEIGHT CONTROL REPORT - TOPSIDE</t>
  </si>
  <si>
    <t>Open/Closed</t>
  </si>
  <si>
    <t xml:space="preserve">Response By CventeK </t>
  </si>
  <si>
    <t>Date</t>
  </si>
  <si>
    <t>Status</t>
  </si>
  <si>
    <t>Impact Re-rating</t>
  </si>
  <si>
    <t xml:space="preserve">Justification </t>
  </si>
  <si>
    <t>Comments</t>
  </si>
  <si>
    <t>Target Completion</t>
  </si>
  <si>
    <t>Due Date</t>
  </si>
  <si>
    <t>Action By</t>
  </si>
  <si>
    <t>References 
(Dwg or Doc No.)</t>
  </si>
  <si>
    <t>Corrective Action Plan</t>
  </si>
  <si>
    <t>Finding by</t>
  </si>
  <si>
    <t>Recommendation</t>
  </si>
  <si>
    <t>Significance/Consequence</t>
  </si>
  <si>
    <t>Findings</t>
  </si>
  <si>
    <t>Readiness Area</t>
  </si>
  <si>
    <t>Clause</t>
  </si>
  <si>
    <t>Document Number</t>
  </si>
  <si>
    <t>Sequence</t>
  </si>
  <si>
    <t>Abbv</t>
  </si>
  <si>
    <t>Discipline</t>
  </si>
  <si>
    <t>Severity</t>
  </si>
  <si>
    <t>Reference</t>
  </si>
  <si>
    <t>Action during Detail Engineering</t>
  </si>
  <si>
    <t>Review Justification by Peer Team</t>
  </si>
  <si>
    <t>N/A 2</t>
  </si>
  <si>
    <t>Responses/Mitigations by Project Team</t>
  </si>
  <si>
    <t>N/A</t>
  </si>
  <si>
    <t>Findings and Recommendation by Peer Team</t>
  </si>
  <si>
    <t>Interview Period:</t>
  </si>
  <si>
    <t>PREP Phase:</t>
  </si>
  <si>
    <t>Project:</t>
  </si>
  <si>
    <t>Project Peer Review - Finding Register</t>
  </si>
  <si>
    <t>Gap Register_Open Points</t>
  </si>
  <si>
    <t>Hold Register_Open Points</t>
  </si>
  <si>
    <t>PPR Findings_Open Points</t>
  </si>
  <si>
    <t>Total Open Points</t>
  </si>
  <si>
    <t>Total Closed Points</t>
  </si>
  <si>
    <t>Ongoing</t>
  </si>
  <si>
    <t>Closed</t>
  </si>
  <si>
    <t>SSC provided</t>
  </si>
  <si>
    <t>Referrd to No. 3</t>
  </si>
  <si>
    <t>Referrd to No. 3. H.Atlantc</t>
  </si>
  <si>
    <t>Consolidated Basic Engineering Open Points Closeout Register
(Structural Scope)</t>
  </si>
  <si>
    <r>
      <t xml:space="preserve">The topside structural model now is checked against the latest GHTH and T18 TAD rig information and it is found that some members need to be upsized. This information is be informed to related discipline.
For the latest vendor data, they will be updated against currnet information.
</t>
    </r>
    <r>
      <rPr>
        <b/>
        <sz val="9"/>
        <rFont val="Times New Roman"/>
        <family val="1"/>
      </rPr>
      <t>Both GHTH and T18 TAD rig have been considered.</t>
    </r>
    <r>
      <rPr>
        <sz val="9"/>
        <rFont val="Times New Roman"/>
        <family val="1"/>
      </rPr>
      <t xml:space="preserve">
</t>
    </r>
  </si>
  <si>
    <t xml:space="preserve">After checking 3D model, the riser bend is protected by decking structure. </t>
  </si>
  <si>
    <t>Info received from mermaid, with minor comments, this can be closed after Mermain submits the next revision 
CVT issued Riser Support Location to Mermaid. This matter can be closed</t>
  </si>
  <si>
    <t xml:space="preserve">This modification is updated into the drawing and structural model.
2nd beam around padeyes will be issued within this week. After CPY review, this mater can be closed. CVT issued and CPY returned comments AWC  </t>
  </si>
  <si>
    <t>After further updates from TJE NACE level III personnel, this matter can be closed
GCME NACE to continue works, this matter can be closed</t>
  </si>
  <si>
    <t>ZWP23 is waiting for launch barge owner to confirm
 high bending utilisation for H.Atlantic
Confirmed</t>
  </si>
  <si>
    <t>Confirmed with 3D model, the future riser and bend is protected under Topsides structure</t>
  </si>
  <si>
    <t>This modification is updated into the drawing and structural model.
SACS model update is ongoing, 2 additional members show in SACS but not showing in drawings on Mezz deck. Once CVT confirms, thuis matter can be closed. - Confirmed</t>
  </si>
  <si>
    <t>Topsides in-service and transportaton fatigues analyses 
are ongoing, TBC
Topsides fatigue - duration of 2nd topsides that is under standby may affect Topsides Fatigue, standby duration @ offshore site to be confirmed by T&amp;I. T&amp;I confirmed 30 days transportation and 30 days Standy for 2nd Topsides</t>
  </si>
  <si>
    <t>SSC conformed H.Pacific and H. Atlantic are the two launch barge and tow route data, Third Barge is pending</t>
  </si>
  <si>
    <t xml:space="preserve">This matter will be discussed in the week beginning 8-Jun-26
ZWP21 Pile penetration can be reduced to 119.0m.Once other related analyses, such as Pushover, Seismic ELE and Seismic ALE are completed, this matter canbe closed
Results of ZWP21 Pushover, Seismic ELE and ALE Rev B1 confirmed </t>
  </si>
  <si>
    <t>Together with STR-02, require further discussion in the week beginning 8-Jun-26
STR-02 can be closed</t>
  </si>
  <si>
    <t>Pending inout from GCME re: Dri=opped onject, due on 15-Jun-26 
This matter is with CVT to complete analysis and close. TJE agreed to use 10mm THK floor plate instead of 8mm from FEED. This matter can be closed</t>
  </si>
  <si>
    <r>
      <t xml:space="preserve">1. No combine fatigue with transportation result
</t>
    </r>
    <r>
      <rPr>
        <sz val="10"/>
        <color rgb="FFFF0000"/>
        <rFont val="Arial"/>
        <family val="2"/>
      </rPr>
      <t>2. Double side weld shall be avoid at short member (&lt;3m) and small diameter (eg. 750mm) due to difficult to access the inside weld and perform NDT.</t>
    </r>
  </si>
  <si>
    <t>Gap Register_Closed Points</t>
  </si>
  <si>
    <t>Hold Register_Closed Points</t>
  </si>
  <si>
    <t>PPR Findings_Closed Points</t>
  </si>
  <si>
    <t>Pile TBC. 
Received Pile Stowage Plan. This matter can be closed</t>
  </si>
  <si>
    <t>Need input from fabrication team
Once shop drawings are presented/Fabricationn yard to check &amp; follow this approach, this matter can be closed. 
Fabrication yard confirmed, there will ne no double side weld for short members &lt;3m  and small members, diameter &lt;750mm. Fabrication yard also confirmed they can do doule side weld on 750mm diameter members</t>
  </si>
  <si>
    <t>The model is verified and rerun to ensure the structural integrity. The results are presented in FEED verification report.
Ongoing update input from other discipline
Topsides WCR is Rev C1 and do not expect any major change from other disciplines, this matter can be closed.</t>
  </si>
  <si>
    <t>The topside structural model now is checked against the latest TAD rig information and it is found that some members need to be upsized. This information is be informed to related discipline.
For the latest vendor data, they will be updated against currnet information
Ongoing update input from other discipline.
Topsides WCR is Rev C1 and do not expect any major change from other disciplines, this matter can be closed</t>
  </si>
  <si>
    <t xml:space="preserve">Structural Basis of Design has been updated.
Topsides, Jackets, and Piles members size for each platform shall be confirmed.- pile TBC
Pile make-up and pile penetration length for all  platforms shall be confirmed.TBC, pending pile penetration optimisation
Pending ZWP22 and ZWP20 Spectral Fatigue
Fatigue analyses of every platform have been completed, thus matter can be closed
</t>
  </si>
  <si>
    <t xml:space="preserve">Once Rev A1 reports for every jacket issued, this matter can be closed
Ongoing works to confirm WCR due to changes of water depth and pile penetration optimisation
Jacket WCR from change WD  confirmed. </t>
  </si>
  <si>
    <t>Tow route: Confirmed 
Launch arge: H.Pacific and H.Atlantic
Stowage plan confirmed by SSC
Jacket loadout using skid beam
Top diahragm number TBA.
Once Navak Arch reports Rev A1 submitted, this matter can be closed.
Ongoing analyses due to changes of water depth
 All analyses as listed have been completed EXCEPT rework if 3rd barge comes on board and barge swap</t>
  </si>
  <si>
    <t>Topsides WCR can proceed to Rev C1, this matter can be closed.</t>
  </si>
  <si>
    <t>Once all Rev A1 submitted, this can be closed
Analyses completed</t>
  </si>
  <si>
    <t>This can be closed once all jacket deliverables Rev A1 have been submitted. However, there are chages of design due to updated WD &amp; will be updated in Rev B1. 
All completed and closed</t>
  </si>
  <si>
    <r>
      <t xml:space="preserve">Ongoing Cutting plan to be done by next week for 1st member
</t>
    </r>
    <r>
      <rPr>
        <sz val="11"/>
        <rFont val="Calibri"/>
        <family val="2"/>
        <scheme val="minor"/>
      </rPr>
      <t>All Primary Steel and Miscellaneous Steel comfirmed</t>
    </r>
  </si>
  <si>
    <t>Once all Rev A1 submitted, this can be closed
All Primary Steel and Miscellaneous Steel comfirmed</t>
  </si>
  <si>
    <t>To be included in pile transportation fatigue analysis -CVT to complete and issue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</si>
</sst>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theme="1"/>
      <name val="Calibri"/>
      <family val="2"/>
      <scheme val="minor"/>
    </font>
    <font>
      <b/>
      <sz val="11"/>
      <color theme="1"/>
      <name val="Times New Roman"/>
      <family val="1"/>
    </font>
    <font>
      <sz val="11"/>
      <color theme="1"/>
      <name val="Times New Roman"/>
      <family val="1"/>
    </font>
    <font>
      <sz val="11"/>
      <color rgb="FF0000FF"/>
      <name val="Times New Roman"/>
      <family val="1"/>
    </font>
    <font>
      <sz val="10"/>
      <color theme="1"/>
      <name val="Times New Roman"/>
      <family val="1"/>
    </font>
    <font>
      <sz val="10"/>
      <name val="Times New Roman"/>
      <family val="1"/>
    </font>
    <font>
      <b/>
      <sz val="10"/>
      <name val="Times New Roman"/>
      <family val="1"/>
    </font>
    <font>
      <sz val="10"/>
      <color rgb="FFFF0000"/>
      <name val="Times New Roman"/>
      <family val="1"/>
    </font>
    <font>
      <sz val="9"/>
      <name val="Times New Roman"/>
      <family val="1"/>
    </font>
    <font>
      <b/>
      <sz val="11"/>
      <color theme="1"/>
      <name val="Calibri"/>
      <family val="2"/>
      <scheme val="minor"/>
    </font>
    <font>
      <b/>
      <sz val="12"/>
      <color theme="1"/>
      <name val="Calibri"/>
      <family val="2"/>
      <scheme val="minor"/>
    </font>
    <font>
      <b/>
      <sz val="14"/>
      <color theme="1"/>
      <name val="Calibri"/>
      <family val="2"/>
      <scheme val="minor"/>
    </font>
    <font>
      <b/>
      <sz val="18"/>
      <color theme="1"/>
      <name val="Calibri"/>
      <family val="2"/>
      <scheme val="minor"/>
    </font>
    <font>
      <u/>
      <sz val="10"/>
      <name val="Times New Roman"/>
      <family val="1"/>
    </font>
    <font>
      <b/>
      <u/>
      <sz val="10"/>
      <name val="Times New Roman"/>
      <family val="1"/>
    </font>
    <font>
      <sz val="12"/>
      <color theme="1"/>
      <name val="Calibri"/>
      <family val="2"/>
      <scheme val="minor"/>
    </font>
    <font>
      <sz val="14"/>
      <color theme="1"/>
      <name val="Arial"/>
      <family val="2"/>
    </font>
    <font>
      <sz val="11"/>
      <name val="Calibri"/>
      <family val="2"/>
      <scheme val="minor"/>
    </font>
    <font>
      <sz val="10"/>
      <name val="Arial"/>
      <family val="2"/>
    </font>
    <font>
      <sz val="11"/>
      <color rgb="FF000000"/>
      <name val="Calibri"/>
      <family val="2"/>
    </font>
    <font>
      <strike/>
      <sz val="11"/>
      <name val="Calibri"/>
      <family val="2"/>
      <scheme val="minor"/>
    </font>
    <font>
      <sz val="11"/>
      <color rgb="FF000000"/>
      <name val="Calibri"/>
      <family val="2"/>
      <scheme val="minor"/>
    </font>
    <font>
      <b/>
      <sz val="10"/>
      <name val="Arial"/>
      <family val="2"/>
    </font>
    <font>
      <b/>
      <sz val="10"/>
      <color theme="1"/>
      <name val="Arial"/>
      <family val="2"/>
    </font>
    <font>
      <b/>
      <sz val="12"/>
      <color theme="0"/>
      <name val="Arial"/>
      <family val="2"/>
    </font>
    <font>
      <sz val="12"/>
      <color theme="0"/>
      <name val="Calibri"/>
      <family val="2"/>
      <scheme val="minor"/>
    </font>
    <font>
      <b/>
      <sz val="24"/>
      <color theme="1"/>
      <name val="Calibri"/>
      <family val="2"/>
      <scheme val="minor"/>
    </font>
    <font>
      <b/>
      <sz val="48"/>
      <color theme="1"/>
      <name val="Calibri"/>
      <family val="2"/>
      <scheme val="minor"/>
    </font>
    <font>
      <sz val="11"/>
      <color rgb="FFFF0000"/>
      <name val="Calibri"/>
      <family val="2"/>
      <scheme val="minor"/>
    </font>
    <font>
      <sz val="9"/>
      <color rgb="FFFF0000"/>
      <name val="Times New Roman"/>
      <family val="1"/>
    </font>
    <font>
      <sz val="8"/>
      <name val="Calibri"/>
      <family val="2"/>
      <scheme val="minor"/>
    </font>
    <font>
      <b/>
      <sz val="9"/>
      <name val="Times New Roman"/>
      <family val="1"/>
    </font>
    <font>
      <sz val="10"/>
      <color rgb="FFFF0000"/>
      <name val="Arial"/>
      <family val="2"/>
    </font>
  </fonts>
  <fills count="15">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
      <patternFill patternType="solid">
        <fgColor theme="0" tint="-0.499984740745262"/>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C000"/>
        <bgColor indexed="64"/>
      </patternFill>
    </fill>
    <fill>
      <patternFill patternType="solid">
        <fgColor theme="8" tint="0.39997558519241921"/>
        <bgColor indexed="64"/>
      </patternFill>
    </fill>
    <fill>
      <patternFill patternType="solid">
        <fgColor rgb="FF7030A0"/>
        <bgColor indexed="64"/>
      </patternFill>
    </fill>
    <fill>
      <patternFill patternType="solid">
        <fgColor rgb="FF003399"/>
        <bgColor indexed="64"/>
      </patternFill>
    </fill>
    <fill>
      <patternFill patternType="solid">
        <fgColor theme="7" tint="0.79998168889431442"/>
        <bgColor indexed="64"/>
      </patternFill>
    </fill>
    <fill>
      <patternFill patternType="solid">
        <fgColor rgb="FF92D050"/>
        <bgColor indexed="64"/>
      </patternFill>
    </fill>
    <fill>
      <patternFill patternType="solid">
        <fgColor theme="8" tint="0.59999389629810485"/>
        <bgColor indexed="64"/>
      </patternFill>
    </fill>
    <fill>
      <patternFill patternType="solid">
        <fgColor theme="9" tint="0.59999389629810485"/>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top/>
      <bottom/>
      <diagonal/>
    </border>
    <border>
      <left/>
      <right/>
      <top/>
      <bottom style="thin">
        <color indexed="64"/>
      </bottom>
      <diagonal/>
    </border>
    <border>
      <left style="thin">
        <color theme="0" tint="-0.24994659260841701"/>
      </left>
      <right/>
      <top/>
      <bottom style="thin">
        <color indexed="64"/>
      </bottom>
      <diagonal/>
    </border>
    <border>
      <left/>
      <right style="thin">
        <color theme="0" tint="-0.24994659260841701"/>
      </right>
      <top style="thin">
        <color rgb="FFBFBFBF"/>
      </top>
      <bottom style="thin">
        <color theme="0" tint="-0.24994659260841701"/>
      </bottom>
      <diagonal/>
    </border>
    <border>
      <left/>
      <right/>
      <top style="thin">
        <color rgb="FFBFBFBF"/>
      </top>
      <bottom style="thin">
        <color theme="0" tint="-0.24994659260841701"/>
      </bottom>
      <diagonal/>
    </border>
    <border>
      <left style="thin">
        <color theme="0" tint="-0.24994659260841701"/>
      </left>
      <right/>
      <top style="thin">
        <color rgb="FFBFBFBF"/>
      </top>
      <bottom style="thin">
        <color theme="0" tint="-0.24994659260841701"/>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66">
    <xf numFmtId="0" fontId="0" fillId="0" borderId="0" xfId="0"/>
    <xf numFmtId="0" fontId="1" fillId="0" borderId="0" xfId="0" applyFont="1" applyAlignment="1">
      <alignment horizontal="centerContinuous"/>
    </xf>
    <xf numFmtId="0" fontId="2" fillId="0" borderId="0" xfId="0" applyFont="1" applyAlignment="1">
      <alignment horizontal="centerContinuous" vertical="center"/>
    </xf>
    <xf numFmtId="0" fontId="2" fillId="0" borderId="0" xfId="0" applyFont="1" applyAlignment="1">
      <alignment vertical="center"/>
    </xf>
    <xf numFmtId="0" fontId="1" fillId="0" borderId="0" xfId="0" applyFont="1" applyAlignment="1">
      <alignment horizontal="centerContinuous" vertical="center"/>
    </xf>
    <xf numFmtId="0" fontId="3" fillId="0" borderId="0" xfId="0" applyFont="1" applyAlignment="1">
      <alignment horizontal="centerContinuous" vertical="center"/>
    </xf>
    <xf numFmtId="0" fontId="1" fillId="0" borderId="0" xfId="0" applyFont="1" applyAlignment="1">
      <alignment vertical="center"/>
    </xf>
    <xf numFmtId="15" fontId="3" fillId="0" borderId="0" xfId="0" applyNumberFormat="1" applyFont="1" applyAlignment="1">
      <alignment vertical="center"/>
    </xf>
    <xf numFmtId="0" fontId="2"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5" fillId="0" borderId="1" xfId="0" applyFont="1" applyBorder="1" applyAlignment="1">
      <alignment vertical="center" wrapText="1"/>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4" fillId="0" borderId="0" xfId="0" applyFont="1" applyAlignment="1">
      <alignment vertical="top"/>
    </xf>
    <xf numFmtId="0" fontId="5" fillId="0" borderId="1" xfId="0" applyFont="1" applyBorder="1" applyAlignment="1">
      <alignment horizontal="left" vertical="top" wrapText="1"/>
    </xf>
    <xf numFmtId="0" fontId="8" fillId="0" borderId="1" xfId="0" applyFont="1" applyBorder="1" applyAlignment="1">
      <alignment horizontal="center" vertical="top" wrapText="1"/>
    </xf>
    <xf numFmtId="0" fontId="7" fillId="0" borderId="0" xfId="0" applyFont="1" applyAlignment="1">
      <alignment vertical="top"/>
    </xf>
    <xf numFmtId="0" fontId="6" fillId="2" borderId="2" xfId="0" applyFont="1" applyFill="1" applyBorder="1" applyAlignment="1">
      <alignment horizontal="center" vertical="center" wrapText="1"/>
    </xf>
    <xf numFmtId="0" fontId="5" fillId="0" borderId="3" xfId="0" applyFont="1" applyBorder="1" applyAlignment="1">
      <alignment horizontal="center" vertical="top" wrapText="1"/>
    </xf>
    <xf numFmtId="0" fontId="5" fillId="0" borderId="4" xfId="0" applyFont="1" applyBorder="1" applyAlignment="1">
      <alignment horizontal="center" vertical="top" wrapText="1"/>
    </xf>
    <xf numFmtId="0" fontId="5" fillId="0" borderId="4" xfId="0" applyFont="1" applyBorder="1" applyAlignment="1">
      <alignment vertical="top" wrapText="1"/>
    </xf>
    <xf numFmtId="0" fontId="5" fillId="0" borderId="5" xfId="0" applyFont="1" applyBorder="1" applyAlignment="1">
      <alignment horizontal="center" vertical="top" wrapText="1"/>
    </xf>
    <xf numFmtId="0" fontId="5" fillId="0" borderId="6" xfId="0" applyFont="1" applyBorder="1" applyAlignment="1">
      <alignment horizontal="center" vertical="top" wrapText="1"/>
    </xf>
    <xf numFmtId="0" fontId="5" fillId="0" borderId="7" xfId="0" applyFont="1" applyBorder="1" applyAlignment="1">
      <alignment horizontal="center" vertical="top" wrapText="1"/>
    </xf>
    <xf numFmtId="0" fontId="5" fillId="0" borderId="0" xfId="0" applyFont="1" applyAlignment="1">
      <alignment vertical="top" wrapText="1"/>
    </xf>
    <xf numFmtId="0" fontId="5" fillId="0" borderId="6" xfId="0" applyFont="1" applyBorder="1" applyAlignment="1">
      <alignment horizontal="center" vertical="center" wrapText="1"/>
    </xf>
    <xf numFmtId="0" fontId="8" fillId="0" borderId="7" xfId="0" applyFont="1" applyBorder="1" applyAlignment="1">
      <alignment horizontal="center" vertical="top" wrapText="1"/>
    </xf>
    <xf numFmtId="0" fontId="5" fillId="0" borderId="8" xfId="0" applyFont="1" applyBorder="1" applyAlignment="1">
      <alignment horizontal="center" vertical="center" wrapText="1"/>
    </xf>
    <xf numFmtId="0" fontId="5" fillId="0" borderId="9" xfId="0" applyFont="1" applyBorder="1" applyAlignment="1">
      <alignment horizontal="center" vertical="top" wrapText="1"/>
    </xf>
    <xf numFmtId="0" fontId="5" fillId="0" borderId="9" xfId="0" applyFont="1" applyBorder="1" applyAlignment="1">
      <alignment vertical="top" wrapText="1"/>
    </xf>
    <xf numFmtId="0" fontId="8" fillId="0" borderId="9" xfId="0" applyFont="1" applyBorder="1" applyAlignment="1">
      <alignment horizontal="center" vertical="top" wrapText="1"/>
    </xf>
    <xf numFmtId="0" fontId="8" fillId="0" borderId="10" xfId="0" applyFont="1" applyBorder="1" applyAlignment="1">
      <alignment horizontal="center" vertical="top" wrapText="1"/>
    </xf>
    <xf numFmtId="0" fontId="0" fillId="0" borderId="0" xfId="0" applyAlignment="1">
      <alignment horizontal="center"/>
    </xf>
    <xf numFmtId="0" fontId="0" fillId="0" borderId="0" xfId="0" applyAlignment="1">
      <alignment wrapText="1"/>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xf>
    <xf numFmtId="0" fontId="0" fillId="0" borderId="0" xfId="0" applyAlignment="1">
      <alignment vertical="center"/>
    </xf>
    <xf numFmtId="0" fontId="11" fillId="3" borderId="11" xfId="0" applyFont="1" applyFill="1" applyBorder="1" applyAlignment="1">
      <alignment horizontal="center" wrapText="1"/>
    </xf>
    <xf numFmtId="0" fontId="11" fillId="3" borderId="12" xfId="0" applyFont="1" applyFill="1" applyBorder="1" applyAlignment="1">
      <alignment horizontal="center" vertical="center" wrapText="1"/>
    </xf>
    <xf numFmtId="0" fontId="11" fillId="3" borderId="13" xfId="0" applyFont="1" applyFill="1" applyBorder="1" applyAlignment="1">
      <alignment horizontal="center" vertical="center"/>
    </xf>
    <xf numFmtId="0" fontId="11" fillId="3" borderId="13" xfId="0" applyFont="1" applyFill="1" applyBorder="1" applyAlignment="1">
      <alignment horizontal="center" vertical="center" wrapText="1"/>
    </xf>
    <xf numFmtId="0" fontId="11" fillId="3" borderId="14" xfId="0" applyFont="1" applyFill="1" applyBorder="1" applyAlignment="1">
      <alignment horizontal="left" vertical="center" wrapText="1"/>
    </xf>
    <xf numFmtId="0" fontId="11" fillId="3" borderId="14" xfId="0" applyFont="1" applyFill="1" applyBorder="1" applyAlignment="1">
      <alignment vertical="center" wrapText="1"/>
    </xf>
    <xf numFmtId="0" fontId="11" fillId="3" borderId="14" xfId="0" applyFont="1" applyFill="1" applyBorder="1" applyAlignment="1">
      <alignment horizontal="center" vertical="center" wrapText="1"/>
    </xf>
    <xf numFmtId="0" fontId="0" fillId="0" borderId="0" xfId="0" applyProtection="1">
      <protection locked="0"/>
    </xf>
    <xf numFmtId="49" fontId="0" fillId="0" borderId="0" xfId="0" applyNumberFormat="1" applyProtection="1">
      <protection locked="0"/>
    </xf>
    <xf numFmtId="0" fontId="0" fillId="0" borderId="0" xfId="0" applyAlignment="1" applyProtection="1">
      <alignment horizontal="center"/>
      <protection locked="0"/>
    </xf>
    <xf numFmtId="0" fontId="0" fillId="0" borderId="0" xfId="0" applyAlignment="1" applyProtection="1">
      <alignment horizontal="center" vertical="center"/>
      <protection locked="0"/>
    </xf>
    <xf numFmtId="49" fontId="0" fillId="0" borderId="0" xfId="0" applyNumberFormat="1" applyAlignment="1" applyProtection="1">
      <alignment horizontal="center" vertical="center"/>
      <protection locked="0"/>
    </xf>
    <xf numFmtId="49" fontId="16" fillId="0" borderId="0" xfId="0" applyNumberFormat="1" applyFont="1" applyAlignment="1" applyProtection="1">
      <alignment horizontal="center" vertical="center"/>
      <protection locked="0"/>
    </xf>
    <xf numFmtId="0" fontId="17" fillId="0" borderId="0" xfId="0" applyFont="1" applyAlignment="1" applyProtection="1">
      <alignment horizontal="center" vertical="top" wrapText="1"/>
      <protection locked="0"/>
    </xf>
    <xf numFmtId="0" fontId="18" fillId="0" borderId="1" xfId="0" applyFont="1" applyBorder="1" applyAlignment="1" applyProtection="1">
      <alignment horizontal="center" vertical="top" wrapText="1"/>
      <protection locked="0"/>
    </xf>
    <xf numFmtId="0" fontId="18" fillId="0" borderId="1" xfId="0" applyFont="1" applyBorder="1" applyAlignment="1">
      <alignment horizontal="center" vertical="top" wrapText="1"/>
    </xf>
    <xf numFmtId="49" fontId="18" fillId="0" borderId="1" xfId="0" applyNumberFormat="1" applyFont="1" applyBorder="1" applyAlignment="1" applyProtection="1">
      <alignment horizontal="center" vertical="top" wrapText="1"/>
      <protection locked="0"/>
    </xf>
    <xf numFmtId="0" fontId="18" fillId="4" borderId="1" xfId="0" applyFont="1" applyFill="1" applyBorder="1" applyAlignment="1" applyProtection="1">
      <alignment horizontal="left" vertical="top" wrapText="1"/>
      <protection locked="0"/>
    </xf>
    <xf numFmtId="0" fontId="18" fillId="0" borderId="1" xfId="0" applyFont="1" applyBorder="1" applyAlignment="1" applyProtection="1">
      <alignment horizontal="left" vertical="top" wrapText="1"/>
      <protection locked="0"/>
    </xf>
    <xf numFmtId="0" fontId="17" fillId="0" borderId="1" xfId="0" applyFont="1" applyBorder="1" applyAlignment="1" applyProtection="1">
      <alignment horizontal="center" vertical="top"/>
      <protection locked="0"/>
    </xf>
    <xf numFmtId="0" fontId="19" fillId="0" borderId="1" xfId="0" applyFont="1" applyBorder="1" applyAlignment="1" applyProtection="1">
      <alignment horizontal="center" vertical="top" wrapText="1"/>
      <protection locked="0"/>
    </xf>
    <xf numFmtId="0" fontId="19" fillId="0" borderId="1" xfId="0" applyFont="1" applyBorder="1" applyAlignment="1" applyProtection="1">
      <alignment vertical="top" wrapText="1"/>
      <protection locked="0"/>
    </xf>
    <xf numFmtId="164" fontId="19"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pplyProtection="1">
      <alignment horizontal="center" vertical="center" wrapText="1"/>
      <protection locked="0"/>
    </xf>
    <xf numFmtId="0" fontId="18" fillId="5" borderId="1" xfId="0" applyFont="1" applyFill="1" applyBorder="1" applyAlignment="1" applyProtection="1">
      <alignment horizontal="center" vertical="center" wrapText="1"/>
      <protection locked="0"/>
    </xf>
    <xf numFmtId="0" fontId="18" fillId="0" borderId="1" xfId="0" applyFont="1" applyBorder="1" applyAlignment="1">
      <alignment horizontal="center" vertical="center" wrapText="1"/>
    </xf>
    <xf numFmtId="0" fontId="20" fillId="0" borderId="0" xfId="0" applyFont="1" applyAlignment="1" applyProtection="1">
      <alignment horizontal="center" vertical="top" wrapText="1"/>
      <protection locked="0"/>
    </xf>
    <xf numFmtId="15" fontId="18" fillId="0" borderId="1" xfId="0" applyNumberFormat="1" applyFont="1" applyBorder="1" applyAlignment="1" applyProtection="1">
      <alignment horizontal="center" vertical="top" wrapText="1"/>
      <protection locked="0"/>
    </xf>
    <xf numFmtId="0" fontId="18" fillId="0" borderId="15" xfId="0" applyFont="1" applyBorder="1" applyAlignment="1" applyProtection="1">
      <alignment horizontal="left" vertical="top" wrapText="1"/>
      <protection locked="0"/>
    </xf>
    <xf numFmtId="0" fontId="19" fillId="0" borderId="16" xfId="0" applyFont="1" applyBorder="1" applyAlignment="1" applyProtection="1">
      <alignment horizontal="center" vertical="top" wrapText="1"/>
      <protection locked="0"/>
    </xf>
    <xf numFmtId="0" fontId="19" fillId="0" borderId="15" xfId="0" applyFont="1" applyBorder="1" applyAlignment="1" applyProtection="1">
      <alignment vertical="top" wrapText="1"/>
      <protection locked="0"/>
    </xf>
    <xf numFmtId="14" fontId="18" fillId="0" borderId="1" xfId="0" applyNumberFormat="1" applyFont="1" applyBorder="1" applyAlignment="1" applyProtection="1">
      <alignment horizontal="center" vertical="top" wrapText="1"/>
      <protection locked="0"/>
    </xf>
    <xf numFmtId="0" fontId="17" fillId="0" borderId="1" xfId="0" applyFont="1" applyBorder="1" applyAlignment="1" applyProtection="1">
      <alignment horizontal="center" vertical="top" wrapText="1"/>
      <protection locked="0"/>
    </xf>
    <xf numFmtId="0" fontId="21" fillId="0" borderId="0" xfId="0" applyFont="1" applyAlignment="1" applyProtection="1">
      <alignment horizontal="center" vertical="top" wrapText="1"/>
      <protection locked="0"/>
    </xf>
    <xf numFmtId="0" fontId="21" fillId="0" borderId="1" xfId="0" applyFont="1" applyBorder="1" applyAlignment="1" applyProtection="1">
      <alignment horizontal="center" vertical="top" wrapText="1"/>
      <protection locked="0"/>
    </xf>
    <xf numFmtId="164" fontId="18" fillId="0" borderId="1" xfId="0" applyNumberFormat="1" applyFont="1" applyBorder="1" applyAlignment="1">
      <alignment horizontal="center" vertical="center" wrapText="1"/>
    </xf>
    <xf numFmtId="0" fontId="9" fillId="0" borderId="0" xfId="0" applyFont="1" applyAlignment="1" applyProtection="1">
      <alignment horizontal="center" vertical="center" wrapText="1"/>
      <protection locked="0"/>
    </xf>
    <xf numFmtId="0" fontId="22" fillId="7" borderId="1" xfId="0" applyFont="1" applyFill="1" applyBorder="1" applyAlignment="1" applyProtection="1">
      <alignment horizontal="center" vertical="center" wrapText="1"/>
      <protection locked="0"/>
    </xf>
    <xf numFmtId="49" fontId="22" fillId="7" borderId="1" xfId="0" applyNumberFormat="1" applyFont="1" applyFill="1" applyBorder="1" applyAlignment="1" applyProtection="1">
      <alignment horizontal="center" vertical="center" wrapText="1"/>
      <protection locked="0"/>
    </xf>
    <xf numFmtId="0" fontId="22" fillId="4" borderId="1" xfId="0" applyFont="1" applyFill="1" applyBorder="1" applyAlignment="1" applyProtection="1">
      <alignment horizontal="center" vertical="center" wrapText="1"/>
      <protection locked="0"/>
    </xf>
    <xf numFmtId="49" fontId="23" fillId="7" borderId="1" xfId="0" applyNumberFormat="1" applyFont="1" applyFill="1" applyBorder="1" applyAlignment="1" applyProtection="1">
      <alignment horizontal="center" vertical="center" wrapText="1"/>
      <protection locked="0"/>
    </xf>
    <xf numFmtId="0" fontId="22" fillId="8" borderId="1" xfId="0" applyFont="1" applyFill="1" applyBorder="1" applyAlignment="1" applyProtection="1">
      <alignment horizontal="center" vertical="center" wrapText="1"/>
      <protection locked="0"/>
    </xf>
    <xf numFmtId="0" fontId="15" fillId="0" borderId="0" xfId="0" applyFont="1" applyAlignment="1" applyProtection="1">
      <alignment vertical="center"/>
      <protection locked="0"/>
    </xf>
    <xf numFmtId="0" fontId="25" fillId="0" borderId="0" xfId="0" applyFont="1" applyAlignment="1" applyProtection="1">
      <alignment vertical="center"/>
      <protection locked="0"/>
    </xf>
    <xf numFmtId="0" fontId="26" fillId="0" borderId="0" xfId="0" applyFont="1" applyProtection="1">
      <protection locked="0"/>
    </xf>
    <xf numFmtId="49" fontId="26" fillId="0" borderId="0" xfId="0" applyNumberFormat="1" applyFont="1" applyAlignment="1" applyProtection="1">
      <alignment vertical="center"/>
      <protection locked="0"/>
    </xf>
    <xf numFmtId="0" fontId="17" fillId="6" borderId="1" xfId="0" applyFont="1" applyFill="1" applyBorder="1" applyAlignment="1" applyProtection="1">
      <alignment horizontal="center" vertical="center" wrapText="1"/>
      <protection locked="0"/>
    </xf>
    <xf numFmtId="0" fontId="0" fillId="0" borderId="30" xfId="0" applyBorder="1"/>
    <xf numFmtId="0" fontId="0" fillId="0" borderId="31" xfId="0" applyBorder="1"/>
    <xf numFmtId="0" fontId="10" fillId="11" borderId="26" xfId="0" applyFont="1" applyFill="1" applyBorder="1"/>
    <xf numFmtId="0" fontId="10" fillId="11" borderId="29" xfId="0" applyFont="1" applyFill="1" applyBorder="1"/>
    <xf numFmtId="0" fontId="10" fillId="0" borderId="0" xfId="0" applyFont="1"/>
    <xf numFmtId="0" fontId="0" fillId="0" borderId="27" xfId="0" applyBorder="1"/>
    <xf numFmtId="0" fontId="0" fillId="0" borderId="28" xfId="0" applyBorder="1"/>
    <xf numFmtId="0" fontId="0" fillId="0" borderId="29" xfId="0" applyBorder="1"/>
    <xf numFmtId="0" fontId="5" fillId="6" borderId="1" xfId="0" applyFont="1" applyFill="1" applyBorder="1" applyAlignment="1">
      <alignment horizontal="center" vertical="top" wrapText="1"/>
    </xf>
    <xf numFmtId="0" fontId="5" fillId="6" borderId="1" xfId="0" applyFont="1" applyFill="1" applyBorder="1" applyAlignment="1">
      <alignment vertical="top" wrapText="1"/>
    </xf>
    <xf numFmtId="0" fontId="5" fillId="12" borderId="6" xfId="0" applyFont="1" applyFill="1" applyBorder="1" applyAlignment="1">
      <alignment horizontal="center" vertical="top" wrapText="1"/>
    </xf>
    <xf numFmtId="0" fontId="5" fillId="12" borderId="1" xfId="0" applyFont="1" applyFill="1" applyBorder="1" applyAlignment="1">
      <alignment horizontal="center" vertical="top" wrapText="1"/>
    </xf>
    <xf numFmtId="0" fontId="5" fillId="12" borderId="1" xfId="0" applyFont="1" applyFill="1" applyBorder="1" applyAlignment="1">
      <alignment vertical="top" wrapText="1"/>
    </xf>
    <xf numFmtId="0" fontId="5" fillId="12" borderId="1" xfId="0" applyFont="1" applyFill="1" applyBorder="1" applyAlignment="1">
      <alignment horizontal="left" vertical="top" wrapText="1"/>
    </xf>
    <xf numFmtId="0" fontId="5" fillId="6" borderId="6" xfId="0" applyFont="1" applyFill="1" applyBorder="1" applyAlignment="1">
      <alignment horizontal="center" vertical="center" wrapText="1"/>
    </xf>
    <xf numFmtId="0" fontId="8" fillId="6" borderId="1" xfId="0" applyFont="1" applyFill="1" applyBorder="1" applyAlignment="1">
      <alignment horizontal="center" vertical="top" wrapText="1"/>
    </xf>
    <xf numFmtId="0" fontId="8" fillId="6" borderId="1" xfId="0" applyFont="1" applyFill="1" applyBorder="1" applyAlignment="1">
      <alignment horizontal="left" vertical="top" wrapText="1"/>
    </xf>
    <xf numFmtId="0" fontId="5" fillId="7" borderId="6" xfId="0" applyFont="1" applyFill="1" applyBorder="1" applyAlignment="1">
      <alignment horizontal="center" vertical="top" wrapText="1"/>
    </xf>
    <xf numFmtId="0" fontId="5" fillId="7" borderId="1" xfId="0" applyFont="1" applyFill="1" applyBorder="1" applyAlignment="1">
      <alignment horizontal="center" vertical="top" wrapText="1"/>
    </xf>
    <xf numFmtId="0" fontId="5" fillId="7" borderId="1" xfId="0" applyFont="1" applyFill="1" applyBorder="1" applyAlignment="1">
      <alignment vertical="top" wrapText="1"/>
    </xf>
    <xf numFmtId="0" fontId="5" fillId="12" borderId="6" xfId="0" applyFont="1" applyFill="1" applyBorder="1" applyAlignment="1">
      <alignment horizontal="center" vertical="center" wrapText="1"/>
    </xf>
    <xf numFmtId="0" fontId="8" fillId="12" borderId="1" xfId="0" applyFont="1" applyFill="1" applyBorder="1" applyAlignment="1">
      <alignment horizontal="center" vertical="top" wrapText="1"/>
    </xf>
    <xf numFmtId="0" fontId="8" fillId="12" borderId="1" xfId="0" applyFont="1" applyFill="1" applyBorder="1" applyAlignment="1">
      <alignment horizontal="left" vertical="top" wrapText="1"/>
    </xf>
    <xf numFmtId="0" fontId="5" fillId="7" borderId="6" xfId="0" applyFont="1" applyFill="1" applyBorder="1" applyAlignment="1">
      <alignment horizontal="center" vertical="center" wrapText="1"/>
    </xf>
    <xf numFmtId="0" fontId="5" fillId="7" borderId="1" xfId="0" applyFont="1" applyFill="1" applyBorder="1" applyAlignment="1">
      <alignment horizontal="left" vertical="top" wrapText="1"/>
    </xf>
    <xf numFmtId="0" fontId="8" fillId="7" borderId="1" xfId="0" applyFont="1" applyFill="1" applyBorder="1" applyAlignment="1">
      <alignment horizontal="center" vertical="top" wrapText="1"/>
    </xf>
    <xf numFmtId="0" fontId="29" fillId="7" borderId="1" xfId="0" applyFont="1" applyFill="1" applyBorder="1" applyAlignment="1">
      <alignment horizontal="center" vertical="top" wrapText="1"/>
    </xf>
    <xf numFmtId="0" fontId="29" fillId="7" borderId="7" xfId="0" applyFont="1" applyFill="1" applyBorder="1" applyAlignment="1">
      <alignment horizontal="center" vertical="top" wrapText="1"/>
    </xf>
    <xf numFmtId="0" fontId="28" fillId="0" borderId="1" xfId="0" applyFont="1" applyBorder="1" applyAlignment="1">
      <alignment horizontal="center" vertical="center"/>
    </xf>
    <xf numFmtId="0" fontId="28" fillId="0" borderId="0" xfId="0" applyFont="1" applyAlignment="1">
      <alignment vertical="center"/>
    </xf>
    <xf numFmtId="0" fontId="10" fillId="11" borderId="1" xfId="0" applyFont="1" applyFill="1" applyBorder="1"/>
    <xf numFmtId="0" fontId="10" fillId="13" borderId="1" xfId="0" applyFont="1" applyFill="1" applyBorder="1"/>
    <xf numFmtId="0" fontId="10" fillId="14" borderId="1" xfId="0" applyFont="1" applyFill="1" applyBorder="1"/>
    <xf numFmtId="0" fontId="31" fillId="12" borderId="7" xfId="0" applyFont="1" applyFill="1" applyBorder="1" applyAlignment="1">
      <alignment horizontal="center" vertical="top" wrapText="1"/>
    </xf>
    <xf numFmtId="0" fontId="5" fillId="7" borderId="7" xfId="0" applyFont="1" applyFill="1" applyBorder="1" applyAlignment="1">
      <alignment horizontal="center" vertical="top" wrapText="1"/>
    </xf>
    <xf numFmtId="0" fontId="8" fillId="12" borderId="7" xfId="0" applyFont="1" applyFill="1" applyBorder="1" applyAlignment="1">
      <alignment horizontal="center" vertical="top" wrapText="1"/>
    </xf>
    <xf numFmtId="0" fontId="8" fillId="7" borderId="7" xfId="0" applyFont="1" applyFill="1" applyBorder="1" applyAlignment="1">
      <alignment horizontal="center" vertical="top" wrapText="1"/>
    </xf>
    <xf numFmtId="0" fontId="17" fillId="0" borderId="1" xfId="0" applyFont="1" applyBorder="1" applyAlignment="1">
      <alignment horizontal="center" vertical="center"/>
    </xf>
    <xf numFmtId="0" fontId="17" fillId="6" borderId="1" xfId="0" applyFont="1" applyFill="1" applyBorder="1" applyAlignment="1" applyProtection="1">
      <alignment horizontal="center" vertical="top" wrapText="1"/>
      <protection locked="0"/>
    </xf>
    <xf numFmtId="0" fontId="28" fillId="0" borderId="1" xfId="0" applyFont="1" applyBorder="1" applyAlignment="1">
      <alignment vertical="center" wrapText="1"/>
    </xf>
    <xf numFmtId="0" fontId="17" fillId="0" borderId="1" xfId="0" applyFont="1" applyBorder="1" applyAlignment="1">
      <alignment vertical="center" wrapText="1"/>
    </xf>
    <xf numFmtId="0" fontId="5" fillId="12" borderId="7" xfId="0" applyFont="1" applyFill="1" applyBorder="1" applyAlignment="1">
      <alignment horizontal="center" vertical="top" wrapText="1"/>
    </xf>
    <xf numFmtId="0" fontId="8" fillId="6" borderId="7" xfId="0" applyFont="1" applyFill="1" applyBorder="1" applyAlignment="1">
      <alignment horizontal="center" vertical="top" wrapText="1"/>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17" fillId="0" borderId="1" xfId="0" applyFont="1" applyBorder="1" applyAlignment="1">
      <alignment horizontal="center"/>
    </xf>
    <xf numFmtId="0" fontId="0" fillId="0" borderId="1" xfId="0" applyBorder="1" applyAlignment="1">
      <alignment horizontal="left" vertical="center"/>
    </xf>
    <xf numFmtId="0" fontId="10" fillId="11" borderId="27" xfId="0" applyFont="1" applyFill="1" applyBorder="1" applyAlignment="1">
      <alignment horizontal="right"/>
    </xf>
    <xf numFmtId="0" fontId="10" fillId="11" borderId="28" xfId="0" applyFont="1" applyFill="1" applyBorder="1" applyAlignment="1">
      <alignment horizontal="right"/>
    </xf>
    <xf numFmtId="0" fontId="12" fillId="11" borderId="32" xfId="0" applyFont="1" applyFill="1" applyBorder="1" applyAlignment="1">
      <alignment horizontal="center" vertical="top" wrapText="1"/>
    </xf>
    <xf numFmtId="0" fontId="12" fillId="11" borderId="33" xfId="0" applyFont="1" applyFill="1" applyBorder="1" applyAlignment="1">
      <alignment horizontal="center" vertical="top"/>
    </xf>
    <xf numFmtId="0" fontId="12" fillId="11" borderId="34" xfId="0" applyFont="1" applyFill="1" applyBorder="1" applyAlignment="1">
      <alignment horizontal="center" vertical="top"/>
    </xf>
    <xf numFmtId="0" fontId="10" fillId="11" borderId="1" xfId="0" applyFont="1" applyFill="1" applyBorder="1" applyAlignment="1">
      <alignment horizontal="center"/>
    </xf>
    <xf numFmtId="0" fontId="10" fillId="13" borderId="1" xfId="0" applyFont="1" applyFill="1" applyBorder="1" applyAlignment="1">
      <alignment horizontal="center"/>
    </xf>
    <xf numFmtId="0" fontId="10" fillId="14" borderId="1" xfId="0" applyFont="1" applyFill="1" applyBorder="1" applyAlignment="1">
      <alignment horizontal="center"/>
    </xf>
    <xf numFmtId="0" fontId="10" fillId="11" borderId="14" xfId="0" applyFont="1" applyFill="1" applyBorder="1" applyAlignment="1">
      <alignment horizontal="right"/>
    </xf>
    <xf numFmtId="0" fontId="10" fillId="11" borderId="25" xfId="0" applyFont="1" applyFill="1" applyBorder="1" applyAlignment="1">
      <alignment horizontal="right"/>
    </xf>
    <xf numFmtId="0" fontId="24" fillId="10" borderId="24" xfId="0" applyFont="1" applyFill="1" applyBorder="1" applyAlignment="1" applyProtection="1">
      <alignment horizontal="center" vertical="center"/>
      <protection locked="0"/>
    </xf>
    <xf numFmtId="0" fontId="24" fillId="10" borderId="23" xfId="0" applyFont="1" applyFill="1" applyBorder="1" applyAlignment="1" applyProtection="1">
      <alignment horizontal="center" vertical="center"/>
      <protection locked="0"/>
    </xf>
    <xf numFmtId="0" fontId="24" fillId="10" borderId="22" xfId="0" applyFont="1" applyFill="1" applyBorder="1" applyAlignment="1" applyProtection="1">
      <alignment horizontal="center" vertical="center"/>
      <protection locked="0"/>
    </xf>
    <xf numFmtId="0" fontId="24" fillId="9" borderId="21" xfId="0" applyFont="1" applyFill="1" applyBorder="1" applyAlignment="1" applyProtection="1">
      <alignment horizontal="center" vertical="center"/>
      <protection locked="0"/>
    </xf>
    <xf numFmtId="0" fontId="24" fillId="9" borderId="20" xfId="0" applyFont="1" applyFill="1" applyBorder="1" applyAlignment="1" applyProtection="1">
      <alignment horizontal="center" vertical="center"/>
      <protection locked="0"/>
    </xf>
    <xf numFmtId="0" fontId="24" fillId="10" borderId="21" xfId="0" applyFont="1" applyFill="1" applyBorder="1" applyAlignment="1" applyProtection="1">
      <alignment horizontal="center" vertical="center"/>
      <protection locked="0"/>
    </xf>
    <xf numFmtId="0" fontId="24" fillId="10" borderId="20" xfId="0" applyFont="1" applyFill="1" applyBorder="1" applyAlignment="1" applyProtection="1">
      <alignment horizontal="center" vertical="center"/>
      <protection locked="0"/>
    </xf>
    <xf numFmtId="49" fontId="27" fillId="0" borderId="0" xfId="0" applyNumberFormat="1" applyFont="1" applyAlignment="1" applyProtection="1">
      <alignment horizontal="center" vertical="center"/>
      <protection locked="0"/>
    </xf>
    <xf numFmtId="49" fontId="26" fillId="0" borderId="0" xfId="0" applyNumberFormat="1" applyFont="1" applyAlignment="1" applyProtection="1">
      <alignment horizontal="left" vertical="center"/>
      <protection locked="0"/>
    </xf>
    <xf numFmtId="0" fontId="17" fillId="0" borderId="1" xfId="0" applyFont="1" applyBorder="1" applyAlignment="1" applyProtection="1">
      <alignment horizontal="center" vertical="top" wrapText="1"/>
      <protection locked="0"/>
    </xf>
    <xf numFmtId="0" fontId="21" fillId="6" borderId="1" xfId="0" applyFont="1" applyFill="1" applyBorder="1" applyAlignment="1" applyProtection="1">
      <alignment horizontal="center" vertical="top" wrapText="1"/>
      <protection locked="0"/>
    </xf>
    <xf numFmtId="0" fontId="24" fillId="9" borderId="19" xfId="0" applyFont="1" applyFill="1" applyBorder="1" applyAlignment="1" applyProtection="1">
      <alignment horizontal="center" vertical="center"/>
      <protection locked="0"/>
    </xf>
    <xf numFmtId="0" fontId="24" fillId="9" borderId="0" xfId="0" applyFont="1" applyFill="1" applyAlignment="1" applyProtection="1">
      <alignment horizontal="center" vertical="center"/>
      <protection locked="0"/>
    </xf>
    <xf numFmtId="0" fontId="17" fillId="6" borderId="1" xfId="0" applyFont="1" applyFill="1" applyBorder="1" applyAlignment="1" applyProtection="1">
      <alignment horizontal="center" vertical="top" wrapText="1"/>
      <protection locked="0"/>
    </xf>
    <xf numFmtId="0" fontId="21" fillId="0" borderId="1" xfId="0" applyFont="1" applyBorder="1" applyAlignment="1" applyProtection="1">
      <alignment horizontal="center" vertical="top" wrapText="1"/>
      <protection locked="0"/>
    </xf>
    <xf numFmtId="0" fontId="22" fillId="7" borderId="18" xfId="0" applyFont="1" applyFill="1" applyBorder="1" applyAlignment="1" applyProtection="1">
      <alignment horizontal="center" vertical="center" wrapText="1"/>
      <protection locked="0"/>
    </xf>
    <xf numFmtId="0" fontId="22" fillId="7" borderId="17" xfId="0" applyFont="1" applyFill="1" applyBorder="1" applyAlignment="1" applyProtection="1">
      <alignment horizontal="center" vertical="center" wrapText="1"/>
      <protection locked="0"/>
    </xf>
    <xf numFmtId="0" fontId="22" fillId="7" borderId="15" xfId="0" applyFont="1" applyFill="1" applyBorder="1" applyAlignment="1" applyProtection="1">
      <alignment horizontal="center" vertical="center" wrapText="1"/>
      <protection locked="0"/>
    </xf>
  </cellXfs>
  <cellStyles count="1">
    <cellStyle name="Normal" xfId="0" builtinId="0"/>
  </cellStyles>
  <dxfs count="6">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239327</xdr:colOff>
      <xdr:row>0</xdr:row>
      <xdr:rowOff>0</xdr:rowOff>
    </xdr:from>
    <xdr:to>
      <xdr:col>1</xdr:col>
      <xdr:colOff>387688</xdr:colOff>
      <xdr:row>3</xdr:row>
      <xdr:rowOff>7686</xdr:rowOff>
    </xdr:to>
    <xdr:pic>
      <xdr:nvPicPr>
        <xdr:cNvPr id="2" name="图片 6">
          <a:extLst>
            <a:ext uri="{FF2B5EF4-FFF2-40B4-BE49-F238E27FC236}">
              <a16:creationId xmlns:a16="http://schemas.microsoft.com/office/drawing/2014/main" id="{798A4F97-1EA1-4A67-84B9-D8B8F94114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327" y="0"/>
          <a:ext cx="744535" cy="688361"/>
        </a:xfrm>
        <a:prstGeom prst="rect">
          <a:avLst/>
        </a:prstGeom>
      </xdr:spPr>
    </xdr:pic>
    <xdr:clientData/>
  </xdr:twoCellAnchor>
  <xdr:twoCellAnchor editAs="oneCell">
    <xdr:from>
      <xdr:col>3</xdr:col>
      <xdr:colOff>98159</xdr:colOff>
      <xdr:row>34</xdr:row>
      <xdr:rowOff>1062347</xdr:rowOff>
    </xdr:from>
    <xdr:to>
      <xdr:col>4</xdr:col>
      <xdr:colOff>0</xdr:colOff>
      <xdr:row>61</xdr:row>
      <xdr:rowOff>104825</xdr:rowOff>
    </xdr:to>
    <xdr:pic>
      <xdr:nvPicPr>
        <xdr:cNvPr id="3" name="Picture 2">
          <a:extLst>
            <a:ext uri="{FF2B5EF4-FFF2-40B4-BE49-F238E27FC236}">
              <a16:creationId xmlns:a16="http://schemas.microsoft.com/office/drawing/2014/main" id="{A96F8D3F-30A2-4A4A-96C9-579A9F6A5A68}"/>
            </a:ext>
          </a:extLst>
        </xdr:cNvPr>
        <xdr:cNvPicPr>
          <a:picLocks noChangeAspect="1"/>
        </xdr:cNvPicPr>
      </xdr:nvPicPr>
      <xdr:blipFill>
        <a:blip xmlns:r="http://schemas.openxmlformats.org/officeDocument/2006/relationships" r:embed="rId2"/>
        <a:stretch>
          <a:fillRect/>
        </a:stretch>
      </xdr:blipFill>
      <xdr:spPr>
        <a:xfrm>
          <a:off x="4091856" y="44707258"/>
          <a:ext cx="2970252" cy="866825"/>
        </a:xfrm>
        <a:prstGeom prst="rect">
          <a:avLst/>
        </a:prstGeom>
      </xdr:spPr>
    </xdr:pic>
    <xdr:clientData/>
  </xdr:twoCellAnchor>
  <xdr:twoCellAnchor editAs="oneCell">
    <xdr:from>
      <xdr:col>3</xdr:col>
      <xdr:colOff>61661</xdr:colOff>
      <xdr:row>35</xdr:row>
      <xdr:rowOff>910477</xdr:rowOff>
    </xdr:from>
    <xdr:to>
      <xdr:col>3</xdr:col>
      <xdr:colOff>2926442</xdr:colOff>
      <xdr:row>62</xdr:row>
      <xdr:rowOff>251</xdr:rowOff>
    </xdr:to>
    <xdr:pic>
      <xdr:nvPicPr>
        <xdr:cNvPr id="4" name="Picture 3">
          <a:extLst>
            <a:ext uri="{FF2B5EF4-FFF2-40B4-BE49-F238E27FC236}">
              <a16:creationId xmlns:a16="http://schemas.microsoft.com/office/drawing/2014/main" id="{16DEBDB6-1C6F-488A-BE2B-20EF584A3BBE}"/>
            </a:ext>
          </a:extLst>
        </xdr:cNvPr>
        <xdr:cNvPicPr>
          <a:picLocks noChangeAspect="1"/>
        </xdr:cNvPicPr>
      </xdr:nvPicPr>
      <xdr:blipFill>
        <a:blip xmlns:r="http://schemas.openxmlformats.org/officeDocument/2006/relationships" r:embed="rId3"/>
        <a:stretch>
          <a:fillRect/>
        </a:stretch>
      </xdr:blipFill>
      <xdr:spPr>
        <a:xfrm>
          <a:off x="4055358" y="47093120"/>
          <a:ext cx="2972731" cy="9383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20</xdr:col>
      <xdr:colOff>1758497</xdr:colOff>
      <xdr:row>0</xdr:row>
      <xdr:rowOff>127310</xdr:rowOff>
    </xdr:from>
    <xdr:ext cx="3691508" cy="1310106"/>
    <xdr:pic>
      <xdr:nvPicPr>
        <xdr:cNvPr id="2" name="Picture 1">
          <a:extLst>
            <a:ext uri="{FF2B5EF4-FFF2-40B4-BE49-F238E27FC236}">
              <a16:creationId xmlns:a16="http://schemas.microsoft.com/office/drawing/2014/main" id="{DB6B6DF0-D8FB-AD1E-21BD-04AD73AAA2D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7981" b="35251"/>
        <a:stretch/>
      </xdr:blipFill>
      <xdr:spPr>
        <a:xfrm>
          <a:off x="13802859" y="127310"/>
          <a:ext cx="3691508" cy="1310106"/>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ttep.sharepoint.com/2016/SSHE%20app/ATS/ATS%20template%202016/Ex_HAZI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pttep.sharepoint.com/2016/SSHE%20app/ATS/ATS%20template%202016/Ex_PTR_OT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Administrator/Desktop/PPR%20Finding%20Sheet_Phase%203%20Z1F%20Jacket.xlsx" TargetMode="External"/><Relationship Id="rId1" Type="http://schemas.openxmlformats.org/officeDocument/2006/relationships/externalLinkPath" Target="/Users/Administrator/Desktop/PPR%20Finding%20Sheet_Phase%203%20Z1F%20Jack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ImportData"/>
      <sheetName val="General Information"/>
      <sheetName val="Droplist"/>
      <sheetName val="List"/>
      <sheetName val="Stat"/>
    </sheetNames>
    <sheetDataSet>
      <sheetData sheetId="0" refreshError="1"/>
      <sheetData sheetId="1" refreshError="1"/>
      <sheetData sheetId="2" refreshError="1"/>
      <sheetData sheetId="3"/>
      <sheetData sheetId="4"/>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ImportData"/>
      <sheetName val="General Information"/>
      <sheetName val="Droplist"/>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
      <sheetName val="Finding"/>
      <sheetName val="Impact rating"/>
      <sheetName val="Droplist"/>
    </sheetNames>
    <sheetDataSet>
      <sheetData sheetId="0"/>
      <sheetData sheetId="1"/>
      <sheetData sheetId="2"/>
      <sheetData sheetId="3">
        <row r="14">
          <cell r="C14" t="str">
            <v>PRO - Process</v>
          </cell>
          <cell r="F14" t="str">
            <v>PRO -</v>
          </cell>
        </row>
        <row r="15">
          <cell r="C15" t="str">
            <v>MEC - Mechanical</v>
          </cell>
          <cell r="F15" t="str">
            <v>MEC -</v>
          </cell>
        </row>
        <row r="16">
          <cell r="C16" t="str">
            <v>PIP - Piping</v>
          </cell>
          <cell r="F16" t="str">
            <v>PIP -</v>
          </cell>
        </row>
        <row r="17">
          <cell r="C17" t="str">
            <v>STR - Structural</v>
          </cell>
          <cell r="F17" t="str">
            <v>STR -</v>
          </cell>
        </row>
        <row r="18">
          <cell r="C18" t="str">
            <v>ELE - Electrical</v>
          </cell>
          <cell r="F18" t="str">
            <v>ELE -</v>
          </cell>
        </row>
        <row r="19">
          <cell r="C19" t="str">
            <v>INS - Instrument</v>
          </cell>
          <cell r="F19" t="str">
            <v>INS -</v>
          </cell>
        </row>
        <row r="20">
          <cell r="C20" t="str">
            <v>TEL - Telecom</v>
          </cell>
          <cell r="F20" t="str">
            <v>TEL -</v>
          </cell>
        </row>
        <row r="21">
          <cell r="C21" t="str">
            <v>PLR - Pipeline/Riser</v>
          </cell>
          <cell r="F21" t="str">
            <v>PLR -</v>
          </cell>
        </row>
        <row r="22">
          <cell r="C22" t="str">
            <v>COR - Corrosion/Material</v>
          </cell>
          <cell r="F22" t="str">
            <v>COR -</v>
          </cell>
        </row>
        <row r="23">
          <cell r="C23" t="str">
            <v>SAF - Safety</v>
          </cell>
          <cell r="F23" t="str">
            <v>SAF -</v>
          </cell>
        </row>
        <row r="24">
          <cell r="C24" t="str">
            <v>ENV - Environmental</v>
          </cell>
          <cell r="F24" t="str">
            <v>ENV -</v>
          </cell>
        </row>
        <row r="25">
          <cell r="C25" t="str">
            <v>INT - Inspection/QAQC</v>
          </cell>
          <cell r="F25" t="str">
            <v>INT -</v>
          </cell>
        </row>
        <row r="26">
          <cell r="C26" t="str">
            <v>PM - Project Management</v>
          </cell>
          <cell r="F26" t="str">
            <v>PM -</v>
          </cell>
        </row>
        <row r="27">
          <cell r="C27" t="str">
            <v>MRN - Marine/Logistic</v>
          </cell>
          <cell r="F27" t="str">
            <v>MRN -</v>
          </cell>
        </row>
        <row r="28">
          <cell r="C28" t="str">
            <v>OPS - Operation &amp; Maintenance</v>
          </cell>
          <cell r="F28" t="str">
            <v>OPS -</v>
          </cell>
        </row>
        <row r="29">
          <cell r="C29" t="str">
            <v>OWE - Well &amp; Drilling</v>
          </cell>
          <cell r="F29" t="str">
            <v>OWE -</v>
          </cell>
        </row>
        <row r="30">
          <cell r="C30" t="str">
            <v>COM - Commercial (Cost &amp; Economics)</v>
          </cell>
          <cell r="F30" t="str">
            <v>COM -</v>
          </cell>
        </row>
        <row r="31">
          <cell r="C31" t="str">
            <v>FDP - Field Development Planning</v>
          </cell>
          <cell r="F31" t="str">
            <v>FDP -</v>
          </cell>
        </row>
        <row r="32">
          <cell r="C32" t="str">
            <v>TNI - Transportation &amp; Installation</v>
          </cell>
          <cell r="F32" t="str">
            <v>TNI -</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D4:M16"/>
  <sheetViews>
    <sheetView zoomScaleNormal="100" workbookViewId="0">
      <selection activeCell="J12" sqref="J12"/>
    </sheetView>
  </sheetViews>
  <sheetFormatPr defaultRowHeight="14.5" x14ac:dyDescent="0.35"/>
  <cols>
    <col min="7" max="7" width="13.7265625" customWidth="1"/>
  </cols>
  <sheetData>
    <row r="4" spans="4:13" ht="15" thickBot="1" x14ac:dyDescent="0.4"/>
    <row r="5" spans="4:13" ht="63" customHeight="1" thickBot="1" x14ac:dyDescent="0.4">
      <c r="D5" s="140" t="s">
        <v>320</v>
      </c>
      <c r="E5" s="141"/>
      <c r="F5" s="141"/>
      <c r="G5" s="141"/>
      <c r="H5" s="141"/>
      <c r="I5" s="141"/>
      <c r="J5" s="141"/>
      <c r="K5" s="141"/>
      <c r="L5" s="141"/>
      <c r="M5" s="142"/>
    </row>
    <row r="6" spans="4:13" x14ac:dyDescent="0.35">
      <c r="D6" s="89"/>
      <c r="M6" s="90"/>
    </row>
    <row r="7" spans="4:13" x14ac:dyDescent="0.35">
      <c r="D7" s="89"/>
      <c r="M7" s="90"/>
    </row>
    <row r="8" spans="4:13" ht="15.5" x14ac:dyDescent="0.35">
      <c r="D8" s="89"/>
      <c r="F8" s="93"/>
      <c r="G8" s="143" t="s">
        <v>310</v>
      </c>
      <c r="H8" s="143"/>
      <c r="I8" s="143"/>
      <c r="J8" s="119">
        <v>1</v>
      </c>
      <c r="K8" s="93"/>
      <c r="M8" s="90"/>
    </row>
    <row r="9" spans="4:13" ht="15.5" x14ac:dyDescent="0.35">
      <c r="D9" s="89"/>
      <c r="F9" s="93"/>
      <c r="G9" s="143" t="s">
        <v>335</v>
      </c>
      <c r="H9" s="143"/>
      <c r="I9" s="143"/>
      <c r="J9" s="119">
        <v>12</v>
      </c>
      <c r="M9" s="90"/>
    </row>
    <row r="10" spans="4:13" ht="15.5" x14ac:dyDescent="0.35">
      <c r="D10" s="89"/>
      <c r="F10" s="93"/>
      <c r="G10" s="144" t="s">
        <v>311</v>
      </c>
      <c r="H10" s="144"/>
      <c r="I10" s="144"/>
      <c r="J10" s="120">
        <v>1</v>
      </c>
      <c r="K10" s="93"/>
      <c r="M10" s="90"/>
    </row>
    <row r="11" spans="4:13" ht="15.5" x14ac:dyDescent="0.35">
      <c r="D11" s="89"/>
      <c r="F11" s="93"/>
      <c r="G11" s="144" t="s">
        <v>336</v>
      </c>
      <c r="H11" s="144"/>
      <c r="I11" s="144"/>
      <c r="J11" s="120">
        <v>14</v>
      </c>
      <c r="M11" s="90"/>
    </row>
    <row r="12" spans="4:13" ht="15.5" x14ac:dyDescent="0.35">
      <c r="D12" s="89"/>
      <c r="F12" s="93"/>
      <c r="G12" s="145" t="s">
        <v>312</v>
      </c>
      <c r="H12" s="145"/>
      <c r="I12" s="145"/>
      <c r="J12" s="121">
        <v>0</v>
      </c>
      <c r="K12" s="93"/>
      <c r="M12" s="90"/>
    </row>
    <row r="13" spans="4:13" ht="15.5" x14ac:dyDescent="0.35">
      <c r="D13" s="89"/>
      <c r="F13" s="93"/>
      <c r="G13" s="145" t="s">
        <v>337</v>
      </c>
      <c r="H13" s="145"/>
      <c r="I13" s="145"/>
      <c r="J13" s="121">
        <v>4</v>
      </c>
      <c r="K13" s="93"/>
      <c r="M13" s="90"/>
    </row>
    <row r="14" spans="4:13" ht="15" thickBot="1" x14ac:dyDescent="0.4">
      <c r="D14" s="89"/>
      <c r="M14" s="90"/>
    </row>
    <row r="15" spans="4:13" ht="15.5" x14ac:dyDescent="0.35">
      <c r="D15" s="89"/>
      <c r="G15" s="146" t="s">
        <v>313</v>
      </c>
      <c r="H15" s="147"/>
      <c r="I15" s="147"/>
      <c r="J15" s="91">
        <f>SUM(J8,J10,J12)</f>
        <v>2</v>
      </c>
      <c r="M15" s="90"/>
    </row>
    <row r="16" spans="4:13" ht="16" thickBot="1" x14ac:dyDescent="0.4">
      <c r="D16" s="94"/>
      <c r="E16" s="95"/>
      <c r="F16" s="95"/>
      <c r="G16" s="138" t="s">
        <v>314</v>
      </c>
      <c r="H16" s="139"/>
      <c r="I16" s="139"/>
      <c r="J16" s="92">
        <f>SUM(J9,J11,J13)</f>
        <v>30</v>
      </c>
      <c r="K16" s="95"/>
      <c r="L16" s="95"/>
      <c r="M16" s="96"/>
    </row>
  </sheetData>
  <mergeCells count="9">
    <mergeCell ref="G16:I16"/>
    <mergeCell ref="D5:M5"/>
    <mergeCell ref="G8:I8"/>
    <mergeCell ref="G10:I10"/>
    <mergeCell ref="G12:I12"/>
    <mergeCell ref="G15:I15"/>
    <mergeCell ref="G9:I9"/>
    <mergeCell ref="G11:I11"/>
    <mergeCell ref="G13:I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92D050"/>
    <pageSetUpPr fitToPage="1"/>
  </sheetPr>
  <dimension ref="A1:H57"/>
  <sheetViews>
    <sheetView showGridLines="0" zoomScale="85" zoomScaleNormal="85" zoomScaleSheetLayoutView="85" zoomScalePageLayoutView="55" workbookViewId="0">
      <selection activeCell="J25" sqref="J25"/>
    </sheetView>
  </sheetViews>
  <sheetFormatPr defaultColWidth="9.1796875" defaultRowHeight="14" x14ac:dyDescent="0.35"/>
  <cols>
    <col min="1" max="1" width="8.453125" style="3" customWidth="1"/>
    <col min="2" max="2" width="12" style="3" customWidth="1"/>
    <col min="3" max="3" width="38" style="3" customWidth="1"/>
    <col min="4" max="4" width="43.81640625" style="3" customWidth="1"/>
    <col min="5" max="5" width="80.54296875" style="3" customWidth="1"/>
    <col min="6" max="6" width="19.54296875" style="3" bestFit="1" customWidth="1"/>
    <col min="7" max="7" width="28" style="3" customWidth="1"/>
    <col min="8" max="8" width="17.453125" style="8" customWidth="1"/>
    <col min="9" max="9" width="10.453125" style="3" bestFit="1" customWidth="1"/>
    <col min="10" max="16384" width="9.1796875" style="3"/>
  </cols>
  <sheetData>
    <row r="1" spans="1:8" x14ac:dyDescent="0.3">
      <c r="A1" s="1" t="s">
        <v>0</v>
      </c>
      <c r="B1" s="2"/>
      <c r="C1" s="2"/>
      <c r="D1" s="2"/>
      <c r="E1" s="2"/>
      <c r="F1" s="2"/>
      <c r="G1" s="2"/>
      <c r="H1" s="2"/>
    </row>
    <row r="2" spans="1:8" ht="20.25" customHeight="1" x14ac:dyDescent="0.3">
      <c r="A2" s="1" t="s">
        <v>1</v>
      </c>
      <c r="B2" s="4"/>
      <c r="C2" s="2"/>
      <c r="D2" s="2"/>
      <c r="E2" s="2"/>
      <c r="F2" s="2"/>
      <c r="G2" s="2"/>
      <c r="H2" s="2"/>
    </row>
    <row r="3" spans="1:8" ht="20.25" customHeight="1" x14ac:dyDescent="0.3">
      <c r="A3" s="1"/>
      <c r="B3" s="5"/>
      <c r="C3" s="2"/>
      <c r="D3" s="1"/>
      <c r="E3" s="2"/>
      <c r="F3" s="2"/>
      <c r="G3" s="2"/>
      <c r="H3" s="2"/>
    </row>
    <row r="4" spans="1:8" ht="20.25" customHeight="1" x14ac:dyDescent="0.35">
      <c r="A4" s="6"/>
      <c r="B4" s="7"/>
    </row>
    <row r="5" spans="1:8" s="9" customFormat="1" ht="25.15" customHeight="1" x14ac:dyDescent="0.35">
      <c r="A5" s="18" t="s">
        <v>2</v>
      </c>
      <c r="B5" s="18" t="s">
        <v>3</v>
      </c>
      <c r="C5" s="18" t="s">
        <v>4</v>
      </c>
      <c r="D5" s="18" t="s">
        <v>5</v>
      </c>
      <c r="E5" s="18" t="s">
        <v>6</v>
      </c>
      <c r="F5" s="18" t="s">
        <v>7</v>
      </c>
      <c r="G5" s="18" t="s">
        <v>146</v>
      </c>
      <c r="H5" s="18" t="s">
        <v>8</v>
      </c>
    </row>
    <row r="6" spans="1:8" s="14" customFormat="1" ht="58.15" hidden="1" customHeight="1" x14ac:dyDescent="0.35">
      <c r="A6" s="19">
        <v>1</v>
      </c>
      <c r="B6" s="20" t="s">
        <v>9</v>
      </c>
      <c r="C6" s="21"/>
      <c r="D6" s="21"/>
      <c r="E6" s="21" t="s">
        <v>10</v>
      </c>
      <c r="F6" s="20" t="s">
        <v>11</v>
      </c>
      <c r="G6" s="20"/>
      <c r="H6" s="22" t="s">
        <v>12</v>
      </c>
    </row>
    <row r="7" spans="1:8" s="14" customFormat="1" ht="105.75" hidden="1" customHeight="1" x14ac:dyDescent="0.35">
      <c r="A7" s="23">
        <v>2</v>
      </c>
      <c r="B7" s="13" t="s">
        <v>13</v>
      </c>
      <c r="C7" s="12" t="s">
        <v>14</v>
      </c>
      <c r="D7" s="12"/>
      <c r="E7" s="12" t="s">
        <v>15</v>
      </c>
      <c r="F7" s="13" t="s">
        <v>11</v>
      </c>
      <c r="G7" s="13"/>
      <c r="H7" s="24" t="s">
        <v>12</v>
      </c>
    </row>
    <row r="8" spans="1:8" s="14" customFormat="1" ht="63" hidden="1" customHeight="1" x14ac:dyDescent="0.35">
      <c r="A8" s="23">
        <v>3</v>
      </c>
      <c r="B8" s="13" t="s">
        <v>13</v>
      </c>
      <c r="C8" s="12" t="s">
        <v>16</v>
      </c>
      <c r="D8" s="12" t="s">
        <v>17</v>
      </c>
      <c r="E8" s="12" t="s">
        <v>18</v>
      </c>
      <c r="F8" s="13" t="s">
        <v>11</v>
      </c>
      <c r="G8" s="13"/>
      <c r="H8" s="24" t="s">
        <v>12</v>
      </c>
    </row>
    <row r="9" spans="1:8" s="14" customFormat="1" ht="125.25" hidden="1" customHeight="1" x14ac:dyDescent="0.35">
      <c r="A9" s="23">
        <v>4</v>
      </c>
      <c r="B9" s="13" t="s">
        <v>13</v>
      </c>
      <c r="C9" s="12" t="s">
        <v>19</v>
      </c>
      <c r="D9" s="12" t="s">
        <v>20</v>
      </c>
      <c r="E9" s="12" t="s">
        <v>21</v>
      </c>
      <c r="F9" s="13" t="s">
        <v>11</v>
      </c>
      <c r="G9" s="13"/>
      <c r="H9" s="24" t="s">
        <v>12</v>
      </c>
    </row>
    <row r="10" spans="1:8" s="14" customFormat="1" ht="135" hidden="1" customHeight="1" x14ac:dyDescent="0.35">
      <c r="A10" s="99">
        <v>5</v>
      </c>
      <c r="B10" s="100" t="s">
        <v>22</v>
      </c>
      <c r="C10" s="101" t="s">
        <v>23</v>
      </c>
      <c r="D10" s="101" t="s">
        <v>24</v>
      </c>
      <c r="E10" s="101" t="s">
        <v>25</v>
      </c>
      <c r="F10" s="100" t="s">
        <v>11</v>
      </c>
      <c r="G10" s="102" t="s">
        <v>340</v>
      </c>
      <c r="H10" s="130" t="s">
        <v>316</v>
      </c>
    </row>
    <row r="11" spans="1:8" s="14" customFormat="1" ht="91" hidden="1" customHeight="1" x14ac:dyDescent="0.35">
      <c r="A11" s="106">
        <v>6</v>
      </c>
      <c r="B11" s="107" t="s">
        <v>22</v>
      </c>
      <c r="C11" s="108" t="s">
        <v>23</v>
      </c>
      <c r="D11" s="108" t="s">
        <v>26</v>
      </c>
      <c r="E11" s="108" t="s">
        <v>27</v>
      </c>
      <c r="F11" s="107" t="s">
        <v>11</v>
      </c>
      <c r="G11" s="107" t="s">
        <v>347</v>
      </c>
      <c r="H11" s="123" t="s">
        <v>316</v>
      </c>
    </row>
    <row r="12" spans="1:8" s="17" customFormat="1" ht="351.75" hidden="1" customHeight="1" x14ac:dyDescent="0.35">
      <c r="A12" s="23">
        <v>7</v>
      </c>
      <c r="B12" s="13" t="s">
        <v>28</v>
      </c>
      <c r="C12" s="12" t="s">
        <v>29</v>
      </c>
      <c r="D12" s="12" t="s">
        <v>30</v>
      </c>
      <c r="E12" s="12" t="s">
        <v>31</v>
      </c>
      <c r="F12" s="13" t="s">
        <v>11</v>
      </c>
      <c r="G12" s="13"/>
      <c r="H12" s="24" t="s">
        <v>12</v>
      </c>
    </row>
    <row r="13" spans="1:8" s="14" customFormat="1" ht="114.5" hidden="1" customHeight="1" x14ac:dyDescent="0.35">
      <c r="A13" s="106">
        <v>8</v>
      </c>
      <c r="B13" s="107" t="s">
        <v>22</v>
      </c>
      <c r="C13" s="108" t="s">
        <v>23</v>
      </c>
      <c r="D13" s="108" t="s">
        <v>32</v>
      </c>
      <c r="E13" s="108" t="s">
        <v>33</v>
      </c>
      <c r="F13" s="107" t="s">
        <v>11</v>
      </c>
      <c r="G13" s="107" t="s">
        <v>323</v>
      </c>
      <c r="H13" s="123" t="s">
        <v>316</v>
      </c>
    </row>
    <row r="14" spans="1:8" s="14" customFormat="1" ht="42.65" hidden="1" customHeight="1" x14ac:dyDescent="0.35">
      <c r="A14" s="23">
        <v>9</v>
      </c>
      <c r="B14" s="13" t="s">
        <v>34</v>
      </c>
      <c r="C14" s="25" t="s">
        <v>35</v>
      </c>
      <c r="D14" s="12" t="s">
        <v>36</v>
      </c>
      <c r="E14" s="12" t="s">
        <v>37</v>
      </c>
      <c r="F14" s="13" t="s">
        <v>11</v>
      </c>
      <c r="G14" s="13"/>
      <c r="H14" s="24" t="s">
        <v>12</v>
      </c>
    </row>
    <row r="15" spans="1:8" s="14" customFormat="1" ht="92.65" hidden="1" customHeight="1" x14ac:dyDescent="0.35">
      <c r="A15" s="23">
        <v>10</v>
      </c>
      <c r="B15" s="13" t="s">
        <v>34</v>
      </c>
      <c r="C15" s="12" t="s">
        <v>38</v>
      </c>
      <c r="D15" s="12" t="s">
        <v>39</v>
      </c>
      <c r="E15" s="12" t="s">
        <v>40</v>
      </c>
      <c r="F15" s="13" t="s">
        <v>11</v>
      </c>
      <c r="G15" s="13"/>
      <c r="H15" s="24" t="s">
        <v>12</v>
      </c>
    </row>
    <row r="16" spans="1:8" s="14" customFormat="1" ht="28.5" hidden="1" customHeight="1" x14ac:dyDescent="0.35">
      <c r="A16" s="23">
        <v>11</v>
      </c>
      <c r="B16" s="13" t="s">
        <v>41</v>
      </c>
      <c r="C16" s="12" t="s">
        <v>42</v>
      </c>
      <c r="D16" s="12" t="s">
        <v>43</v>
      </c>
      <c r="E16" s="12" t="s">
        <v>44</v>
      </c>
      <c r="F16" s="13" t="s">
        <v>11</v>
      </c>
      <c r="G16" s="13"/>
      <c r="H16" s="24" t="s">
        <v>12</v>
      </c>
    </row>
    <row r="17" spans="1:8" s="14" customFormat="1" ht="55.5" hidden="1" customHeight="1" x14ac:dyDescent="0.35">
      <c r="A17" s="23">
        <v>12</v>
      </c>
      <c r="B17" s="13" t="s">
        <v>41</v>
      </c>
      <c r="C17" s="12" t="s">
        <v>45</v>
      </c>
      <c r="D17" s="12"/>
      <c r="E17" s="12" t="s">
        <v>46</v>
      </c>
      <c r="F17" s="13" t="s">
        <v>11</v>
      </c>
      <c r="G17" s="13"/>
      <c r="H17" s="24" t="s">
        <v>12</v>
      </c>
    </row>
    <row r="18" spans="1:8" s="10" customFormat="1" ht="24.75" hidden="1" customHeight="1" x14ac:dyDescent="0.35">
      <c r="A18" s="26">
        <v>13</v>
      </c>
      <c r="B18" s="13" t="s">
        <v>41</v>
      </c>
      <c r="C18" s="15" t="s">
        <v>47</v>
      </c>
      <c r="D18" s="11"/>
      <c r="E18" s="12" t="s">
        <v>48</v>
      </c>
      <c r="F18" s="13" t="s">
        <v>11</v>
      </c>
      <c r="G18" s="13"/>
      <c r="H18" s="24" t="s">
        <v>12</v>
      </c>
    </row>
    <row r="19" spans="1:8" s="10" customFormat="1" ht="202.5" hidden="1" customHeight="1" x14ac:dyDescent="0.35">
      <c r="A19" s="103">
        <v>14</v>
      </c>
      <c r="B19" s="97" t="s">
        <v>22</v>
      </c>
      <c r="C19" s="98" t="s">
        <v>51</v>
      </c>
      <c r="D19" s="98" t="s">
        <v>52</v>
      </c>
      <c r="E19" s="98" t="s">
        <v>53</v>
      </c>
      <c r="F19" s="104" t="s">
        <v>11</v>
      </c>
      <c r="G19" s="105" t="s">
        <v>341</v>
      </c>
      <c r="H19" s="131" t="s">
        <v>316</v>
      </c>
    </row>
    <row r="20" spans="1:8" s="10" customFormat="1" ht="173.15" hidden="1" customHeight="1" x14ac:dyDescent="0.35">
      <c r="A20" s="109">
        <v>15</v>
      </c>
      <c r="B20" s="100" t="s">
        <v>22</v>
      </c>
      <c r="C20" s="102" t="s">
        <v>54</v>
      </c>
      <c r="D20" s="101" t="s">
        <v>147</v>
      </c>
      <c r="E20" s="101" t="s">
        <v>71</v>
      </c>
      <c r="F20" s="110" t="s">
        <v>11</v>
      </c>
      <c r="G20" s="111" t="s">
        <v>324</v>
      </c>
      <c r="H20" s="124" t="s">
        <v>316</v>
      </c>
    </row>
    <row r="21" spans="1:8" s="10" customFormat="1" ht="125.65" hidden="1" customHeight="1" x14ac:dyDescent="0.35">
      <c r="A21" s="112">
        <v>16</v>
      </c>
      <c r="B21" s="107" t="s">
        <v>22</v>
      </c>
      <c r="C21" s="113" t="s">
        <v>50</v>
      </c>
      <c r="D21" s="108" t="s">
        <v>55</v>
      </c>
      <c r="E21" s="108" t="s">
        <v>56</v>
      </c>
      <c r="F21" s="114" t="s">
        <v>11</v>
      </c>
      <c r="G21" s="114" t="s">
        <v>322</v>
      </c>
      <c r="H21" s="125" t="s">
        <v>316</v>
      </c>
    </row>
    <row r="22" spans="1:8" s="10" customFormat="1" ht="93" hidden="1" customHeight="1" x14ac:dyDescent="0.35">
      <c r="A22" s="109">
        <v>17</v>
      </c>
      <c r="B22" s="100" t="s">
        <v>22</v>
      </c>
      <c r="C22" s="102" t="s">
        <v>57</v>
      </c>
      <c r="D22" s="101" t="s">
        <v>58</v>
      </c>
      <c r="E22" s="101" t="s">
        <v>72</v>
      </c>
      <c r="F22" s="110" t="s">
        <v>11</v>
      </c>
      <c r="G22" s="110" t="s">
        <v>333</v>
      </c>
      <c r="H22" s="124" t="s">
        <v>316</v>
      </c>
    </row>
    <row r="23" spans="1:8" s="10" customFormat="1" ht="161.25" hidden="1" customHeight="1" x14ac:dyDescent="0.35">
      <c r="A23" s="109">
        <v>18</v>
      </c>
      <c r="B23" s="100" t="s">
        <v>22</v>
      </c>
      <c r="C23" s="102" t="s">
        <v>59</v>
      </c>
      <c r="D23" s="101" t="s">
        <v>60</v>
      </c>
      <c r="E23" s="101" t="s">
        <v>61</v>
      </c>
      <c r="F23" s="110" t="s">
        <v>11</v>
      </c>
      <c r="G23" s="111" t="s">
        <v>328</v>
      </c>
      <c r="H23" s="124" t="s">
        <v>316</v>
      </c>
    </row>
    <row r="24" spans="1:8" s="10" customFormat="1" ht="250.5" hidden="1" customHeight="1" x14ac:dyDescent="0.35">
      <c r="A24" s="109">
        <v>19</v>
      </c>
      <c r="B24" s="110" t="s">
        <v>49</v>
      </c>
      <c r="C24" s="102" t="s">
        <v>62</v>
      </c>
      <c r="D24" s="101" t="s">
        <v>63</v>
      </c>
      <c r="E24" s="101" t="s">
        <v>64</v>
      </c>
      <c r="F24" s="110" t="s">
        <v>11</v>
      </c>
      <c r="G24" s="111" t="s">
        <v>321</v>
      </c>
      <c r="H24" s="122" t="s">
        <v>316</v>
      </c>
    </row>
    <row r="25" spans="1:8" s="10" customFormat="1" ht="409.5" customHeight="1" x14ac:dyDescent="0.35">
      <c r="A25" s="112">
        <v>20</v>
      </c>
      <c r="B25" s="107" t="s">
        <v>22</v>
      </c>
      <c r="C25" s="113" t="s">
        <v>65</v>
      </c>
      <c r="D25" s="108" t="s">
        <v>148</v>
      </c>
      <c r="E25" s="108" t="s">
        <v>149</v>
      </c>
      <c r="F25" s="114" t="s">
        <v>11</v>
      </c>
      <c r="G25" s="115" t="s">
        <v>344</v>
      </c>
      <c r="H25" s="116" t="s">
        <v>315</v>
      </c>
    </row>
    <row r="26" spans="1:8" s="10" customFormat="1" ht="390.65" hidden="1" customHeight="1" x14ac:dyDescent="0.35">
      <c r="A26" s="112">
        <v>21</v>
      </c>
      <c r="B26" s="107" t="s">
        <v>22</v>
      </c>
      <c r="C26" s="113" t="s">
        <v>150</v>
      </c>
      <c r="D26" s="108" t="s">
        <v>151</v>
      </c>
      <c r="E26" s="108" t="s">
        <v>66</v>
      </c>
      <c r="F26" s="114" t="s">
        <v>11</v>
      </c>
      <c r="G26" s="114" t="s">
        <v>342</v>
      </c>
      <c r="H26" s="125" t="s">
        <v>316</v>
      </c>
    </row>
    <row r="27" spans="1:8" s="10" customFormat="1" ht="119.65" hidden="1" customHeight="1" x14ac:dyDescent="0.35">
      <c r="A27" s="112">
        <v>22</v>
      </c>
      <c r="B27" s="114" t="s">
        <v>22</v>
      </c>
      <c r="C27" s="113" t="s">
        <v>152</v>
      </c>
      <c r="D27" s="108" t="s">
        <v>67</v>
      </c>
      <c r="E27" s="108" t="s">
        <v>68</v>
      </c>
      <c r="F27" s="114" t="s">
        <v>11</v>
      </c>
      <c r="G27" s="114" t="s">
        <v>325</v>
      </c>
      <c r="H27" s="125" t="s">
        <v>316</v>
      </c>
    </row>
    <row r="28" spans="1:8" s="10" customFormat="1" ht="103.15" hidden="1" customHeight="1" x14ac:dyDescent="0.35">
      <c r="A28" s="112">
        <v>23</v>
      </c>
      <c r="B28" s="114" t="s">
        <v>22</v>
      </c>
      <c r="C28" s="113" t="s">
        <v>153</v>
      </c>
      <c r="D28" s="108" t="s">
        <v>69</v>
      </c>
      <c r="E28" s="108" t="s">
        <v>70</v>
      </c>
      <c r="F28" s="114" t="s">
        <v>11</v>
      </c>
      <c r="G28" s="114" t="s">
        <v>343</v>
      </c>
      <c r="H28" s="125" t="s">
        <v>316</v>
      </c>
    </row>
    <row r="29" spans="1:8" ht="61.5" hidden="1" customHeight="1" x14ac:dyDescent="0.35">
      <c r="A29" s="26">
        <v>24</v>
      </c>
      <c r="B29" s="13" t="s">
        <v>73</v>
      </c>
      <c r="C29" s="12" t="s">
        <v>74</v>
      </c>
      <c r="D29" s="12" t="s">
        <v>75</v>
      </c>
      <c r="E29" s="15" t="s">
        <v>76</v>
      </c>
      <c r="F29" s="13" t="s">
        <v>11</v>
      </c>
      <c r="G29" s="16"/>
      <c r="H29" s="27" t="s">
        <v>12</v>
      </c>
    </row>
    <row r="30" spans="1:8" ht="87.75" hidden="1" customHeight="1" x14ac:dyDescent="0.35">
      <c r="A30" s="26">
        <v>25</v>
      </c>
      <c r="B30" s="13" t="s">
        <v>73</v>
      </c>
      <c r="C30" s="12" t="s">
        <v>74</v>
      </c>
      <c r="D30" s="12" t="s">
        <v>77</v>
      </c>
      <c r="E30" s="12" t="s">
        <v>78</v>
      </c>
      <c r="F30" s="13" t="s">
        <v>11</v>
      </c>
      <c r="G30" s="16"/>
      <c r="H30" s="27" t="s">
        <v>12</v>
      </c>
    </row>
    <row r="31" spans="1:8" ht="66.400000000000006" hidden="1" customHeight="1" x14ac:dyDescent="0.35">
      <c r="A31" s="26">
        <v>26</v>
      </c>
      <c r="B31" s="13" t="s">
        <v>73</v>
      </c>
      <c r="C31" s="12" t="s">
        <v>74</v>
      </c>
      <c r="D31" s="12" t="s">
        <v>79</v>
      </c>
      <c r="E31" s="12" t="s">
        <v>80</v>
      </c>
      <c r="F31" s="13" t="s">
        <v>11</v>
      </c>
      <c r="G31" s="16"/>
      <c r="H31" s="27" t="s">
        <v>12</v>
      </c>
    </row>
    <row r="32" spans="1:8" ht="77.25" hidden="1" customHeight="1" x14ac:dyDescent="0.35">
      <c r="A32" s="26">
        <v>27</v>
      </c>
      <c r="B32" s="13" t="s">
        <v>73</v>
      </c>
      <c r="C32" s="12" t="s">
        <v>74</v>
      </c>
      <c r="D32" s="12" t="s">
        <v>81</v>
      </c>
      <c r="E32" s="12" t="s">
        <v>82</v>
      </c>
      <c r="F32" s="13" t="s">
        <v>11</v>
      </c>
      <c r="G32" s="16"/>
      <c r="H32" s="27" t="s">
        <v>12</v>
      </c>
    </row>
    <row r="33" spans="1:8" ht="65.650000000000006" hidden="1" customHeight="1" x14ac:dyDescent="0.35">
      <c r="A33" s="26">
        <v>28</v>
      </c>
      <c r="B33" s="13" t="s">
        <v>73</v>
      </c>
      <c r="C33" s="12" t="s">
        <v>74</v>
      </c>
      <c r="D33" s="12" t="s">
        <v>83</v>
      </c>
      <c r="E33" s="12" t="s">
        <v>84</v>
      </c>
      <c r="F33" s="13" t="s">
        <v>11</v>
      </c>
      <c r="G33" s="16"/>
      <c r="H33" s="27" t="s">
        <v>12</v>
      </c>
    </row>
    <row r="34" spans="1:8" ht="80.650000000000006" hidden="1" customHeight="1" x14ac:dyDescent="0.35">
      <c r="A34" s="26">
        <v>29</v>
      </c>
      <c r="B34" s="13" t="s">
        <v>73</v>
      </c>
      <c r="C34" s="12" t="s">
        <v>85</v>
      </c>
      <c r="D34" s="12" t="s">
        <v>86</v>
      </c>
      <c r="E34" s="12" t="s">
        <v>87</v>
      </c>
      <c r="F34" s="13" t="s">
        <v>11</v>
      </c>
      <c r="G34" s="16"/>
      <c r="H34" s="27" t="s">
        <v>12</v>
      </c>
    </row>
    <row r="35" spans="1:8" ht="168.75" hidden="1" customHeight="1" x14ac:dyDescent="0.35">
      <c r="A35" s="26">
        <v>30</v>
      </c>
      <c r="B35" s="13" t="s">
        <v>73</v>
      </c>
      <c r="C35" s="12" t="s">
        <v>88</v>
      </c>
      <c r="D35" s="12" t="s">
        <v>89</v>
      </c>
      <c r="E35" s="12" t="s">
        <v>90</v>
      </c>
      <c r="F35" s="13" t="s">
        <v>11</v>
      </c>
      <c r="G35" s="16"/>
      <c r="H35" s="27" t="s">
        <v>12</v>
      </c>
    </row>
    <row r="36" spans="1:8" ht="174" hidden="1" customHeight="1" x14ac:dyDescent="0.35">
      <c r="A36" s="26">
        <v>31</v>
      </c>
      <c r="B36" s="13" t="s">
        <v>73</v>
      </c>
      <c r="C36" s="12" t="s">
        <v>88</v>
      </c>
      <c r="D36" s="12" t="s">
        <v>91</v>
      </c>
      <c r="E36" s="12" t="s">
        <v>90</v>
      </c>
      <c r="F36" s="13" t="s">
        <v>11</v>
      </c>
      <c r="G36" s="16"/>
      <c r="H36" s="27" t="s">
        <v>12</v>
      </c>
    </row>
    <row r="37" spans="1:8" ht="117.4" hidden="1" customHeight="1" x14ac:dyDescent="0.35">
      <c r="A37" s="26">
        <v>32</v>
      </c>
      <c r="B37" s="13" t="s">
        <v>73</v>
      </c>
      <c r="C37" s="12" t="s">
        <v>92</v>
      </c>
      <c r="D37" s="12" t="s">
        <v>93</v>
      </c>
      <c r="E37" s="12" t="s">
        <v>94</v>
      </c>
      <c r="F37" s="13" t="s">
        <v>11</v>
      </c>
      <c r="G37" s="16"/>
      <c r="H37" s="27" t="s">
        <v>12</v>
      </c>
    </row>
    <row r="38" spans="1:8" ht="113.65" hidden="1" customHeight="1" x14ac:dyDescent="0.35">
      <c r="A38" s="26">
        <v>33</v>
      </c>
      <c r="B38" s="13" t="s">
        <v>73</v>
      </c>
      <c r="C38" s="12" t="s">
        <v>95</v>
      </c>
      <c r="D38" s="12" t="s">
        <v>96</v>
      </c>
      <c r="E38" s="12" t="s">
        <v>97</v>
      </c>
      <c r="F38" s="13" t="s">
        <v>11</v>
      </c>
      <c r="G38" s="16"/>
      <c r="H38" s="27" t="s">
        <v>12</v>
      </c>
    </row>
    <row r="39" spans="1:8" ht="56.25" hidden="1" customHeight="1" x14ac:dyDescent="0.35">
      <c r="A39" s="26">
        <v>34</v>
      </c>
      <c r="B39" s="13" t="s">
        <v>73</v>
      </c>
      <c r="C39" s="12" t="s">
        <v>98</v>
      </c>
      <c r="D39" s="12" t="s">
        <v>99</v>
      </c>
      <c r="E39" s="12" t="s">
        <v>100</v>
      </c>
      <c r="F39" s="13" t="s">
        <v>11</v>
      </c>
      <c r="G39" s="16"/>
      <c r="H39" s="27" t="s">
        <v>12</v>
      </c>
    </row>
    <row r="40" spans="1:8" ht="59.65" hidden="1" customHeight="1" x14ac:dyDescent="0.35">
      <c r="A40" s="26">
        <v>35</v>
      </c>
      <c r="B40" s="13" t="s">
        <v>73</v>
      </c>
      <c r="C40" s="12" t="s">
        <v>98</v>
      </c>
      <c r="D40" s="12" t="s">
        <v>101</v>
      </c>
      <c r="E40" s="12" t="s">
        <v>102</v>
      </c>
      <c r="F40" s="13" t="s">
        <v>11</v>
      </c>
      <c r="G40" s="16"/>
      <c r="H40" s="27" t="s">
        <v>12</v>
      </c>
    </row>
    <row r="41" spans="1:8" ht="53.25" hidden="1" customHeight="1" x14ac:dyDescent="0.35">
      <c r="A41" s="26">
        <v>36</v>
      </c>
      <c r="B41" s="13" t="s">
        <v>73</v>
      </c>
      <c r="C41" s="12" t="s">
        <v>103</v>
      </c>
      <c r="D41" s="12" t="s">
        <v>104</v>
      </c>
      <c r="E41" s="12" t="s">
        <v>105</v>
      </c>
      <c r="F41" s="13" t="s">
        <v>11</v>
      </c>
      <c r="G41" s="16"/>
      <c r="H41" s="27" t="s">
        <v>12</v>
      </c>
    </row>
    <row r="42" spans="1:8" ht="56.25" hidden="1" customHeight="1" x14ac:dyDescent="0.35">
      <c r="A42" s="26">
        <v>37</v>
      </c>
      <c r="B42" s="13" t="s">
        <v>73</v>
      </c>
      <c r="C42" s="12" t="s">
        <v>103</v>
      </c>
      <c r="D42" s="12" t="s">
        <v>106</v>
      </c>
      <c r="E42" s="12" t="s">
        <v>107</v>
      </c>
      <c r="F42" s="13" t="s">
        <v>11</v>
      </c>
      <c r="G42" s="16"/>
      <c r="H42" s="27" t="s">
        <v>12</v>
      </c>
    </row>
    <row r="43" spans="1:8" ht="121.5" hidden="1" customHeight="1" x14ac:dyDescent="0.35">
      <c r="A43" s="26">
        <v>38</v>
      </c>
      <c r="B43" s="13" t="s">
        <v>73</v>
      </c>
      <c r="C43" s="12" t="s">
        <v>108</v>
      </c>
      <c r="D43" s="12" t="s">
        <v>109</v>
      </c>
      <c r="E43" s="12" t="s">
        <v>110</v>
      </c>
      <c r="F43" s="13" t="s">
        <v>11</v>
      </c>
      <c r="G43" s="16"/>
      <c r="H43" s="27" t="s">
        <v>12</v>
      </c>
    </row>
    <row r="44" spans="1:8" ht="54" hidden="1" customHeight="1" x14ac:dyDescent="0.35">
      <c r="A44" s="26">
        <v>39</v>
      </c>
      <c r="B44" s="13" t="s">
        <v>73</v>
      </c>
      <c r="C44" s="12" t="s">
        <v>111</v>
      </c>
      <c r="D44" s="12" t="s">
        <v>112</v>
      </c>
      <c r="E44" s="12" t="s">
        <v>113</v>
      </c>
      <c r="F44" s="13" t="s">
        <v>11</v>
      </c>
      <c r="G44" s="16"/>
      <c r="H44" s="27" t="s">
        <v>12</v>
      </c>
    </row>
    <row r="45" spans="1:8" ht="200.15" hidden="1" customHeight="1" x14ac:dyDescent="0.35">
      <c r="A45" s="26">
        <v>40</v>
      </c>
      <c r="B45" s="13" t="s">
        <v>73</v>
      </c>
      <c r="C45" s="12" t="s">
        <v>114</v>
      </c>
      <c r="D45" s="12" t="s">
        <v>115</v>
      </c>
      <c r="E45" s="12" t="s">
        <v>116</v>
      </c>
      <c r="F45" s="13" t="s">
        <v>11</v>
      </c>
      <c r="G45" s="16"/>
      <c r="H45" s="27" t="s">
        <v>12</v>
      </c>
    </row>
    <row r="46" spans="1:8" ht="200.15" hidden="1" customHeight="1" x14ac:dyDescent="0.35">
      <c r="A46" s="26">
        <v>41</v>
      </c>
      <c r="B46" s="13" t="s">
        <v>73</v>
      </c>
      <c r="C46" s="12" t="s">
        <v>114</v>
      </c>
      <c r="D46" s="12" t="s">
        <v>117</v>
      </c>
      <c r="E46" s="12" t="s">
        <v>118</v>
      </c>
      <c r="F46" s="13" t="s">
        <v>11</v>
      </c>
      <c r="G46" s="16"/>
      <c r="H46" s="27" t="s">
        <v>12</v>
      </c>
    </row>
    <row r="47" spans="1:8" ht="200.15" hidden="1" customHeight="1" x14ac:dyDescent="0.35">
      <c r="A47" s="26">
        <v>42</v>
      </c>
      <c r="B47" s="13" t="s">
        <v>73</v>
      </c>
      <c r="C47" s="12" t="s">
        <v>114</v>
      </c>
      <c r="D47" s="12" t="s">
        <v>119</v>
      </c>
      <c r="E47" s="12" t="s">
        <v>120</v>
      </c>
      <c r="F47" s="13" t="s">
        <v>11</v>
      </c>
      <c r="G47" s="16"/>
      <c r="H47" s="27" t="s">
        <v>12</v>
      </c>
    </row>
    <row r="48" spans="1:8" ht="168.75" hidden="1" customHeight="1" x14ac:dyDescent="0.35">
      <c r="A48" s="26">
        <v>43</v>
      </c>
      <c r="B48" s="13" t="s">
        <v>73</v>
      </c>
      <c r="C48" s="12" t="s">
        <v>121</v>
      </c>
      <c r="D48" s="12" t="s">
        <v>122</v>
      </c>
      <c r="E48" s="12" t="s">
        <v>123</v>
      </c>
      <c r="F48" s="13" t="s">
        <v>11</v>
      </c>
      <c r="G48" s="16"/>
      <c r="H48" s="27" t="s">
        <v>12</v>
      </c>
    </row>
    <row r="49" spans="1:8" ht="120.75" hidden="1" customHeight="1" x14ac:dyDescent="0.35">
      <c r="A49" s="26">
        <v>44</v>
      </c>
      <c r="B49" s="13" t="s">
        <v>73</v>
      </c>
      <c r="C49" s="12" t="s">
        <v>124</v>
      </c>
      <c r="D49" s="12" t="s">
        <v>125</v>
      </c>
      <c r="E49" s="12" t="s">
        <v>126</v>
      </c>
      <c r="F49" s="13" t="s">
        <v>11</v>
      </c>
      <c r="G49" s="16"/>
      <c r="H49" s="27" t="s">
        <v>12</v>
      </c>
    </row>
    <row r="50" spans="1:8" ht="200.15" hidden="1" customHeight="1" x14ac:dyDescent="0.35">
      <c r="A50" s="26">
        <v>45</v>
      </c>
      <c r="B50" s="13" t="s">
        <v>73</v>
      </c>
      <c r="C50" s="12" t="s">
        <v>121</v>
      </c>
      <c r="D50" s="12" t="s">
        <v>127</v>
      </c>
      <c r="E50" s="12" t="s">
        <v>128</v>
      </c>
      <c r="F50" s="13" t="s">
        <v>11</v>
      </c>
      <c r="G50" s="16"/>
      <c r="H50" s="27" t="s">
        <v>12</v>
      </c>
    </row>
    <row r="51" spans="1:8" ht="53.65" hidden="1" customHeight="1" x14ac:dyDescent="0.35">
      <c r="A51" s="26">
        <v>46</v>
      </c>
      <c r="B51" s="13" t="s">
        <v>73</v>
      </c>
      <c r="C51" s="12" t="s">
        <v>129</v>
      </c>
      <c r="D51" s="12" t="s">
        <v>130</v>
      </c>
      <c r="E51" s="12" t="s">
        <v>131</v>
      </c>
      <c r="F51" s="13" t="s">
        <v>11</v>
      </c>
      <c r="G51" s="16"/>
      <c r="H51" s="27" t="s">
        <v>12</v>
      </c>
    </row>
    <row r="52" spans="1:8" ht="84" hidden="1" customHeight="1" x14ac:dyDescent="0.35">
      <c r="A52" s="26">
        <v>47</v>
      </c>
      <c r="B52" s="13" t="s">
        <v>73</v>
      </c>
      <c r="C52" s="12" t="s">
        <v>132</v>
      </c>
      <c r="D52" s="12" t="s">
        <v>133</v>
      </c>
      <c r="E52" s="12" t="s">
        <v>134</v>
      </c>
      <c r="F52" s="13" t="s">
        <v>11</v>
      </c>
      <c r="G52" s="16"/>
      <c r="H52" s="27" t="s">
        <v>12</v>
      </c>
    </row>
    <row r="53" spans="1:8" ht="125.25" hidden="1" customHeight="1" x14ac:dyDescent="0.35">
      <c r="A53" s="26">
        <v>48</v>
      </c>
      <c r="B53" s="13" t="s">
        <v>73</v>
      </c>
      <c r="C53" s="12" t="s">
        <v>135</v>
      </c>
      <c r="D53" s="12" t="s">
        <v>136</v>
      </c>
      <c r="E53" s="12" t="s">
        <v>137</v>
      </c>
      <c r="F53" s="13" t="s">
        <v>11</v>
      </c>
      <c r="G53" s="16"/>
      <c r="H53" s="27" t="s">
        <v>12</v>
      </c>
    </row>
    <row r="54" spans="1:8" ht="127.5" hidden="1" customHeight="1" x14ac:dyDescent="0.35">
      <c r="A54" s="26">
        <v>49</v>
      </c>
      <c r="B54" s="13" t="s">
        <v>73</v>
      </c>
      <c r="C54" s="12" t="s">
        <v>138</v>
      </c>
      <c r="D54" s="12" t="s">
        <v>139</v>
      </c>
      <c r="E54" s="12" t="s">
        <v>140</v>
      </c>
      <c r="F54" s="13" t="s">
        <v>11</v>
      </c>
      <c r="G54" s="16"/>
      <c r="H54" s="27" t="s">
        <v>12</v>
      </c>
    </row>
    <row r="55" spans="1:8" ht="124.5" hidden="1" customHeight="1" x14ac:dyDescent="0.35">
      <c r="A55" s="26">
        <v>50</v>
      </c>
      <c r="B55" s="13" t="s">
        <v>73</v>
      </c>
      <c r="C55" s="12" t="s">
        <v>138</v>
      </c>
      <c r="D55" s="12" t="s">
        <v>141</v>
      </c>
      <c r="E55" s="12" t="s">
        <v>140</v>
      </c>
      <c r="F55" s="13" t="s">
        <v>11</v>
      </c>
      <c r="G55" s="16"/>
      <c r="H55" s="27" t="s">
        <v>12</v>
      </c>
    </row>
    <row r="56" spans="1:8" ht="123.4" hidden="1" customHeight="1" x14ac:dyDescent="0.35">
      <c r="A56" s="26">
        <v>51</v>
      </c>
      <c r="B56" s="13" t="s">
        <v>73</v>
      </c>
      <c r="C56" s="12" t="s">
        <v>138</v>
      </c>
      <c r="D56" s="12" t="s">
        <v>133</v>
      </c>
      <c r="E56" s="12" t="s">
        <v>142</v>
      </c>
      <c r="F56" s="13" t="s">
        <v>11</v>
      </c>
      <c r="G56" s="16"/>
      <c r="H56" s="27" t="s">
        <v>12</v>
      </c>
    </row>
    <row r="57" spans="1:8" ht="64.5" hidden="1" customHeight="1" thickBot="1" x14ac:dyDescent="0.4">
      <c r="A57" s="28">
        <v>52</v>
      </c>
      <c r="B57" s="29" t="s">
        <v>73</v>
      </c>
      <c r="C57" s="30" t="s">
        <v>143</v>
      </c>
      <c r="D57" s="30" t="s">
        <v>144</v>
      </c>
      <c r="E57" s="30" t="s">
        <v>145</v>
      </c>
      <c r="F57" s="29" t="s">
        <v>11</v>
      </c>
      <c r="G57" s="31"/>
      <c r="H57" s="32" t="s">
        <v>12</v>
      </c>
    </row>
  </sheetData>
  <autoFilter ref="A5:H57" xr:uid="{00000000-0009-0000-0000-000001000000}">
    <filterColumn colId="1">
      <filters>
        <filter val="STR / SAF / PIP"/>
        <filter val="Structure"/>
      </filters>
    </filterColumn>
    <filterColumn colId="7">
      <filters>
        <filter val="Ongoing"/>
      </filters>
    </filterColumn>
  </autoFilter>
  <printOptions horizontalCentered="1"/>
  <pageMargins left="0.45" right="0.45" top="0.7" bottom="0.5" header="0.3" footer="0.3"/>
  <pageSetup paperSize="9" scale="56" fitToHeight="0" orientation="landscape" r:id="rId1"/>
  <headerFooter>
    <oddHeader>&amp;LEPCI of Wellhead Platforms, Associated Pipelines and Brownfield Modifications for Zawtika Development Project Phase 1F
Contract No.MM25-5001&amp;RPTTEPI /Consortium of 
TJE and SSC
Exhibit E Annex-2</oddHeader>
    <oddFooter>&amp;C&amp;"Arial,Regular"&amp;9Page &amp;P of &amp;N</oddFooter>
  </headerFooter>
  <rowBreaks count="3" manualBreakCount="3">
    <brk id="28" max="7" man="1"/>
    <brk id="44" max="7" man="1"/>
    <brk id="54" max="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J185"/>
  <sheetViews>
    <sheetView tabSelected="1" topLeftCell="B16" zoomScale="85" zoomScaleNormal="85" workbookViewId="0">
      <selection activeCell="I19" sqref="I19"/>
    </sheetView>
  </sheetViews>
  <sheetFormatPr defaultRowHeight="14.5" x14ac:dyDescent="0.35"/>
  <cols>
    <col min="2" max="2" width="23" style="33" customWidth="1"/>
    <col min="3" max="3" width="10.54296875" style="33" customWidth="1"/>
    <col min="4" max="4" width="59.81640625" style="34" customWidth="1"/>
    <col min="5" max="5" width="16.26953125" style="33" customWidth="1"/>
    <col min="6" max="6" width="31.54296875" customWidth="1"/>
    <col min="7" max="7" width="52.81640625" customWidth="1"/>
    <col min="8" max="8" width="51.81640625" customWidth="1"/>
    <col min="9" max="9" width="16.453125" customWidth="1"/>
  </cols>
  <sheetData>
    <row r="1" spans="1:10" ht="15" thickBot="1" x14ac:dyDescent="0.4"/>
    <row r="2" spans="1:10" ht="44.25" customHeight="1" x14ac:dyDescent="0.45">
      <c r="A2" s="47" t="s">
        <v>203</v>
      </c>
      <c r="B2" s="46" t="s">
        <v>202</v>
      </c>
      <c r="C2" s="45" t="s">
        <v>201</v>
      </c>
      <c r="D2" s="44" t="s">
        <v>200</v>
      </c>
      <c r="E2" s="43" t="s">
        <v>199</v>
      </c>
      <c r="F2" s="43" t="s">
        <v>198</v>
      </c>
      <c r="G2" s="42" t="s">
        <v>197</v>
      </c>
      <c r="H2" s="42" t="s">
        <v>196</v>
      </c>
      <c r="I2" s="41" t="s">
        <v>195</v>
      </c>
    </row>
    <row r="3" spans="1:10" ht="25.15" customHeight="1" x14ac:dyDescent="0.35">
      <c r="A3" s="134">
        <v>1</v>
      </c>
      <c r="B3" s="135" t="s">
        <v>190</v>
      </c>
      <c r="C3" s="134" t="s">
        <v>157</v>
      </c>
      <c r="D3" s="135" t="s">
        <v>194</v>
      </c>
      <c r="E3" s="134" t="s">
        <v>193</v>
      </c>
      <c r="F3" s="135" t="s">
        <v>172</v>
      </c>
      <c r="G3" s="132" t="s">
        <v>345</v>
      </c>
      <c r="H3" s="136"/>
      <c r="I3" s="132" t="s">
        <v>316</v>
      </c>
    </row>
    <row r="4" spans="1:10" ht="25.15" customHeight="1" x14ac:dyDescent="0.35">
      <c r="A4" s="134"/>
      <c r="B4" s="135"/>
      <c r="C4" s="134"/>
      <c r="D4" s="137"/>
      <c r="E4" s="134"/>
      <c r="F4" s="135"/>
      <c r="G4" s="132"/>
      <c r="H4" s="136"/>
      <c r="I4" s="133"/>
    </row>
    <row r="5" spans="1:10" ht="208.9" customHeight="1" x14ac:dyDescent="0.35">
      <c r="A5" s="134"/>
      <c r="B5" s="135"/>
      <c r="C5" s="134"/>
      <c r="D5" s="137"/>
      <c r="E5" s="134"/>
      <c r="F5" s="135"/>
      <c r="G5" s="132"/>
      <c r="H5" s="136"/>
      <c r="I5" s="133"/>
    </row>
    <row r="6" spans="1:10" s="40" customFormat="1" ht="150" customHeight="1" x14ac:dyDescent="0.35">
      <c r="A6" s="35">
        <v>2</v>
      </c>
      <c r="B6" s="38" t="s">
        <v>190</v>
      </c>
      <c r="C6" s="35" t="s">
        <v>165</v>
      </c>
      <c r="D6" s="37" t="s">
        <v>192</v>
      </c>
      <c r="E6" s="37" t="s">
        <v>188</v>
      </c>
      <c r="F6" s="37" t="s">
        <v>191</v>
      </c>
      <c r="G6" s="37"/>
      <c r="H6" s="128" t="s">
        <v>330</v>
      </c>
      <c r="I6" s="117" t="s">
        <v>315</v>
      </c>
      <c r="J6" s="118"/>
    </row>
    <row r="7" spans="1:10" s="40" customFormat="1" ht="110.65" customHeight="1" x14ac:dyDescent="0.35">
      <c r="A7" s="35">
        <v>3</v>
      </c>
      <c r="B7" s="38" t="s">
        <v>190</v>
      </c>
      <c r="C7" s="35" t="s">
        <v>182</v>
      </c>
      <c r="D7" s="37" t="s">
        <v>189</v>
      </c>
      <c r="E7" s="37" t="s">
        <v>188</v>
      </c>
      <c r="F7" s="37" t="s">
        <v>186</v>
      </c>
      <c r="G7" s="37"/>
      <c r="H7" s="38" t="s">
        <v>326</v>
      </c>
      <c r="I7" s="126" t="s">
        <v>316</v>
      </c>
    </row>
    <row r="8" spans="1:10" ht="100.15" customHeight="1" x14ac:dyDescent="0.35">
      <c r="A8" s="35">
        <v>4</v>
      </c>
      <c r="B8" s="38" t="s">
        <v>183</v>
      </c>
      <c r="C8" s="35" t="s">
        <v>157</v>
      </c>
      <c r="D8" s="37" t="s">
        <v>187</v>
      </c>
      <c r="E8" s="39" t="s">
        <v>180</v>
      </c>
      <c r="F8" s="37" t="s">
        <v>186</v>
      </c>
      <c r="G8" s="37"/>
      <c r="H8" s="36" t="s">
        <v>317</v>
      </c>
      <c r="I8" s="126" t="s">
        <v>316</v>
      </c>
    </row>
    <row r="9" spans="1:10" ht="100.15" customHeight="1" x14ac:dyDescent="0.35">
      <c r="A9" s="35">
        <v>5</v>
      </c>
      <c r="B9" s="38" t="s">
        <v>183</v>
      </c>
      <c r="C9" s="35" t="s">
        <v>165</v>
      </c>
      <c r="D9" s="37" t="s">
        <v>185</v>
      </c>
      <c r="E9" s="37" t="s">
        <v>180</v>
      </c>
      <c r="F9" s="37" t="s">
        <v>184</v>
      </c>
      <c r="G9" s="37"/>
      <c r="H9" s="129" t="s">
        <v>338</v>
      </c>
      <c r="I9" s="126" t="s">
        <v>316</v>
      </c>
    </row>
    <row r="10" spans="1:10" ht="109.9" customHeight="1" x14ac:dyDescent="0.35">
      <c r="A10" s="35">
        <v>6</v>
      </c>
      <c r="B10" s="38" t="s">
        <v>183</v>
      </c>
      <c r="C10" s="35" t="s">
        <v>182</v>
      </c>
      <c r="D10" s="37" t="s">
        <v>181</v>
      </c>
      <c r="E10" s="37" t="s">
        <v>180</v>
      </c>
      <c r="F10" s="37" t="s">
        <v>179</v>
      </c>
      <c r="G10" s="37"/>
      <c r="H10" s="36" t="s">
        <v>318</v>
      </c>
      <c r="I10" s="126" t="s">
        <v>316</v>
      </c>
    </row>
    <row r="11" spans="1:10" ht="163.5" customHeight="1" x14ac:dyDescent="0.35">
      <c r="A11" s="35">
        <v>7</v>
      </c>
      <c r="B11" s="38" t="s">
        <v>176</v>
      </c>
      <c r="C11" s="35" t="s">
        <v>157</v>
      </c>
      <c r="D11" s="37" t="s">
        <v>178</v>
      </c>
      <c r="E11" s="37" t="s">
        <v>155</v>
      </c>
      <c r="F11" s="37" t="s">
        <v>177</v>
      </c>
      <c r="G11" s="37"/>
      <c r="H11" s="36" t="s">
        <v>319</v>
      </c>
      <c r="I11" s="126" t="s">
        <v>316</v>
      </c>
    </row>
    <row r="12" spans="1:10" ht="157.15" customHeight="1" x14ac:dyDescent="0.35">
      <c r="A12" s="35">
        <v>8</v>
      </c>
      <c r="B12" s="38" t="s">
        <v>176</v>
      </c>
      <c r="C12" s="35" t="s">
        <v>165</v>
      </c>
      <c r="D12" s="37" t="s">
        <v>160</v>
      </c>
      <c r="E12" s="37" t="s">
        <v>155</v>
      </c>
      <c r="F12" s="37" t="s">
        <v>159</v>
      </c>
      <c r="G12" s="37"/>
      <c r="H12" s="129" t="s">
        <v>349</v>
      </c>
      <c r="I12" s="126" t="s">
        <v>316</v>
      </c>
    </row>
    <row r="13" spans="1:10" ht="150.75" customHeight="1" x14ac:dyDescent="0.35">
      <c r="A13" s="35">
        <v>9</v>
      </c>
      <c r="B13" s="38" t="s">
        <v>175</v>
      </c>
      <c r="C13" s="35" t="s">
        <v>174</v>
      </c>
      <c r="D13" s="37" t="s">
        <v>173</v>
      </c>
      <c r="E13" s="37" t="s">
        <v>155</v>
      </c>
      <c r="F13" s="37" t="s">
        <v>172</v>
      </c>
      <c r="G13" s="37"/>
      <c r="H13" s="129" t="s">
        <v>346</v>
      </c>
      <c r="I13" s="126" t="s">
        <v>316</v>
      </c>
    </row>
    <row r="14" spans="1:10" ht="156.4" customHeight="1" x14ac:dyDescent="0.35">
      <c r="A14" s="35">
        <v>10</v>
      </c>
      <c r="B14" s="38" t="s">
        <v>171</v>
      </c>
      <c r="C14" s="35" t="s">
        <v>170</v>
      </c>
      <c r="D14" s="37" t="s">
        <v>160</v>
      </c>
      <c r="E14" s="37" t="s">
        <v>155</v>
      </c>
      <c r="F14" s="37" t="s">
        <v>159</v>
      </c>
      <c r="G14" s="37"/>
      <c r="H14" s="129" t="s">
        <v>346</v>
      </c>
      <c r="I14" s="126" t="s">
        <v>316</v>
      </c>
    </row>
    <row r="15" spans="1:10" ht="150" customHeight="1" x14ac:dyDescent="0.35">
      <c r="A15" s="35">
        <v>11</v>
      </c>
      <c r="B15" s="38" t="s">
        <v>169</v>
      </c>
      <c r="C15" s="35" t="s">
        <v>157</v>
      </c>
      <c r="D15" s="37" t="s">
        <v>168</v>
      </c>
      <c r="E15" s="37" t="s">
        <v>155</v>
      </c>
      <c r="F15" s="37" t="s">
        <v>167</v>
      </c>
      <c r="G15" s="37"/>
      <c r="H15" s="38" t="s">
        <v>329</v>
      </c>
      <c r="I15" s="126" t="s">
        <v>316</v>
      </c>
    </row>
    <row r="16" spans="1:10" ht="150" customHeight="1" x14ac:dyDescent="0.35">
      <c r="A16" s="35">
        <v>12</v>
      </c>
      <c r="B16" s="38" t="s">
        <v>166</v>
      </c>
      <c r="C16" s="35" t="s">
        <v>165</v>
      </c>
      <c r="D16" s="37" t="s">
        <v>164</v>
      </c>
      <c r="E16" s="37" t="s">
        <v>155</v>
      </c>
      <c r="F16" s="37" t="s">
        <v>163</v>
      </c>
      <c r="G16" s="37"/>
      <c r="H16" s="129" t="s">
        <v>350</v>
      </c>
      <c r="I16" s="126" t="s">
        <v>316</v>
      </c>
    </row>
    <row r="17" spans="1:9" ht="111" customHeight="1" x14ac:dyDescent="0.35">
      <c r="A17" s="35">
        <v>13</v>
      </c>
      <c r="B17" s="38" t="s">
        <v>162</v>
      </c>
      <c r="C17" s="35" t="s">
        <v>157</v>
      </c>
      <c r="D17" s="37" t="s">
        <v>160</v>
      </c>
      <c r="E17" s="37" t="s">
        <v>155</v>
      </c>
      <c r="F17" s="37" t="s">
        <v>159</v>
      </c>
      <c r="G17" s="37"/>
      <c r="H17" s="129" t="s">
        <v>346</v>
      </c>
      <c r="I17" s="126" t="s">
        <v>316</v>
      </c>
    </row>
    <row r="18" spans="1:9" ht="108" customHeight="1" x14ac:dyDescent="0.35">
      <c r="A18" s="35">
        <v>14</v>
      </c>
      <c r="B18" s="38" t="s">
        <v>161</v>
      </c>
      <c r="C18" s="35" t="s">
        <v>157</v>
      </c>
      <c r="D18" s="37" t="s">
        <v>160</v>
      </c>
      <c r="E18" s="37" t="s">
        <v>155</v>
      </c>
      <c r="F18" s="37" t="s">
        <v>159</v>
      </c>
      <c r="G18" s="37"/>
      <c r="H18" s="129" t="s">
        <v>346</v>
      </c>
      <c r="I18" s="126" t="s">
        <v>316</v>
      </c>
    </row>
    <row r="19" spans="1:9" ht="157.15" customHeight="1" x14ac:dyDescent="0.35">
      <c r="A19" s="35">
        <v>15</v>
      </c>
      <c r="B19" s="38" t="s">
        <v>158</v>
      </c>
      <c r="C19" s="35" t="s">
        <v>157</v>
      </c>
      <c r="D19" s="37" t="s">
        <v>156</v>
      </c>
      <c r="E19" s="37" t="s">
        <v>155</v>
      </c>
      <c r="F19" s="37" t="s">
        <v>154</v>
      </c>
      <c r="G19" s="37"/>
      <c r="H19" s="38" t="s">
        <v>348</v>
      </c>
      <c r="I19" s="126" t="s">
        <v>316</v>
      </c>
    </row>
    <row r="20" spans="1:9" ht="25.15" customHeight="1" x14ac:dyDescent="0.35"/>
    <row r="21" spans="1:9" ht="25.15" customHeight="1" x14ac:dyDescent="0.35"/>
    <row r="22" spans="1:9" ht="25.15" customHeight="1" x14ac:dyDescent="0.35"/>
    <row r="23" spans="1:9" ht="25.15" customHeight="1" x14ac:dyDescent="0.35"/>
    <row r="24" spans="1:9" ht="25.15" customHeight="1" x14ac:dyDescent="0.35"/>
    <row r="25" spans="1:9" ht="25.15" customHeight="1" x14ac:dyDescent="0.35"/>
    <row r="26" spans="1:9" ht="25.15" customHeight="1" x14ac:dyDescent="0.35"/>
    <row r="27" spans="1:9" ht="25.15" customHeight="1" x14ac:dyDescent="0.35"/>
    <row r="28" spans="1:9" ht="25.15" customHeight="1" x14ac:dyDescent="0.35"/>
    <row r="29" spans="1:9" ht="25.15" customHeight="1" x14ac:dyDescent="0.35"/>
    <row r="30" spans="1:9" ht="25.15" customHeight="1" x14ac:dyDescent="0.35"/>
    <row r="31" spans="1:9" ht="25.15" customHeight="1" x14ac:dyDescent="0.35"/>
    <row r="32" spans="1:9" ht="25.15" customHeight="1" x14ac:dyDescent="0.35"/>
    <row r="33" ht="25.15" customHeight="1" x14ac:dyDescent="0.35"/>
    <row r="34" ht="25.15" customHeight="1" x14ac:dyDescent="0.35"/>
    <row r="35" ht="25.15" customHeight="1" x14ac:dyDescent="0.35"/>
    <row r="36" ht="25.15" customHeight="1" x14ac:dyDescent="0.35"/>
    <row r="37" ht="25.15" customHeight="1" x14ac:dyDescent="0.35"/>
    <row r="38" ht="25.15" customHeight="1" x14ac:dyDescent="0.35"/>
    <row r="39" ht="25.15" customHeight="1" x14ac:dyDescent="0.35"/>
    <row r="40" ht="25.15" customHeight="1" x14ac:dyDescent="0.35"/>
    <row r="41" ht="25.15" customHeight="1" x14ac:dyDescent="0.35"/>
    <row r="42" ht="25.15" customHeight="1" x14ac:dyDescent="0.35"/>
    <row r="43" ht="25.15" customHeight="1" x14ac:dyDescent="0.35"/>
    <row r="44" ht="25.15" customHeight="1" x14ac:dyDescent="0.35"/>
    <row r="45" ht="25.15" customHeight="1" x14ac:dyDescent="0.35"/>
    <row r="46" ht="25.15" customHeight="1" x14ac:dyDescent="0.35"/>
    <row r="47" ht="25.15" customHeight="1" x14ac:dyDescent="0.35"/>
    <row r="48" ht="25.15" customHeight="1" x14ac:dyDescent="0.35"/>
    <row r="49" ht="25.15" customHeight="1" x14ac:dyDescent="0.35"/>
    <row r="50" ht="25.15" customHeight="1" x14ac:dyDescent="0.35"/>
    <row r="51" ht="25.15" customHeight="1" x14ac:dyDescent="0.35"/>
    <row r="52" ht="25.15" customHeight="1" x14ac:dyDescent="0.35"/>
    <row r="53" ht="25.15" customHeight="1" x14ac:dyDescent="0.35"/>
    <row r="54" ht="25.15" customHeight="1" x14ac:dyDescent="0.35"/>
    <row r="55" ht="25.15" customHeight="1" x14ac:dyDescent="0.35"/>
    <row r="56" ht="25.15" customHeight="1" x14ac:dyDescent="0.35"/>
    <row r="57" ht="25.15" customHeight="1" x14ac:dyDescent="0.35"/>
    <row r="58" ht="25.15" customHeight="1" x14ac:dyDescent="0.35"/>
    <row r="59" ht="25.15" customHeight="1" x14ac:dyDescent="0.35"/>
    <row r="60" ht="25.15" customHeight="1" x14ac:dyDescent="0.35"/>
    <row r="61" ht="25.15" customHeight="1" x14ac:dyDescent="0.35"/>
    <row r="62" ht="25.15" customHeight="1" x14ac:dyDescent="0.35"/>
    <row r="63" ht="25.15" customHeight="1" x14ac:dyDescent="0.35"/>
    <row r="64" ht="25.15" customHeight="1" x14ac:dyDescent="0.35"/>
    <row r="65" ht="25.15" customHeight="1" x14ac:dyDescent="0.35"/>
    <row r="66" ht="25.15" customHeight="1" x14ac:dyDescent="0.35"/>
    <row r="67" ht="25.15" customHeight="1" x14ac:dyDescent="0.35"/>
    <row r="68" ht="25.15" customHeight="1" x14ac:dyDescent="0.35"/>
    <row r="69" ht="25.15" customHeight="1" x14ac:dyDescent="0.35"/>
    <row r="70" ht="25.15" customHeight="1" x14ac:dyDescent="0.35"/>
    <row r="71" ht="25.15" customHeight="1" x14ac:dyDescent="0.35"/>
    <row r="72" ht="25.15" customHeight="1" x14ac:dyDescent="0.35"/>
    <row r="73" ht="25.15" customHeight="1" x14ac:dyDescent="0.35"/>
    <row r="74" ht="25.15" customHeight="1" x14ac:dyDescent="0.35"/>
    <row r="75" ht="25.15" customHeight="1" x14ac:dyDescent="0.35"/>
    <row r="76" ht="25.15" customHeight="1" x14ac:dyDescent="0.35"/>
    <row r="77" ht="25.15" customHeight="1" x14ac:dyDescent="0.35"/>
    <row r="78" ht="25.15" customHeight="1" x14ac:dyDescent="0.35"/>
    <row r="79" ht="25.15" customHeight="1" x14ac:dyDescent="0.35"/>
    <row r="80" ht="25.15" customHeight="1" x14ac:dyDescent="0.35"/>
    <row r="81" ht="25.15" customHeight="1" x14ac:dyDescent="0.35"/>
    <row r="82" ht="25.15" customHeight="1" x14ac:dyDescent="0.35"/>
    <row r="83" ht="25.15" customHeight="1" x14ac:dyDescent="0.35"/>
    <row r="84" ht="25.15" customHeight="1" x14ac:dyDescent="0.35"/>
    <row r="85" ht="25.15" customHeight="1" x14ac:dyDescent="0.35"/>
    <row r="86" ht="25.15" customHeight="1" x14ac:dyDescent="0.35"/>
    <row r="87" ht="25.15" customHeight="1" x14ac:dyDescent="0.35"/>
    <row r="88" ht="25.15" customHeight="1" x14ac:dyDescent="0.35"/>
    <row r="89" ht="25.15" customHeight="1" x14ac:dyDescent="0.35"/>
    <row r="90" ht="25.15" customHeight="1" x14ac:dyDescent="0.35"/>
    <row r="91" ht="25.15" customHeight="1" x14ac:dyDescent="0.35"/>
    <row r="92" ht="25.15" customHeight="1" x14ac:dyDescent="0.35"/>
    <row r="93" ht="25.15" customHeight="1" x14ac:dyDescent="0.35"/>
    <row r="94" ht="25.15" customHeight="1" x14ac:dyDescent="0.35"/>
    <row r="95" ht="25.15" customHeight="1" x14ac:dyDescent="0.35"/>
    <row r="96" ht="25.15" customHeight="1" x14ac:dyDescent="0.35"/>
    <row r="97" ht="25.15" customHeight="1" x14ac:dyDescent="0.35"/>
    <row r="98" ht="25.15" customHeight="1" x14ac:dyDescent="0.35"/>
    <row r="99" ht="25.15" customHeight="1" x14ac:dyDescent="0.35"/>
    <row r="100" ht="25.15" customHeight="1" x14ac:dyDescent="0.35"/>
    <row r="101" ht="25.15" customHeight="1" x14ac:dyDescent="0.35"/>
    <row r="102" ht="25.15" customHeight="1" x14ac:dyDescent="0.35"/>
    <row r="103" ht="25.15" customHeight="1" x14ac:dyDescent="0.35"/>
    <row r="104" ht="25.15" customHeight="1" x14ac:dyDescent="0.35"/>
    <row r="105" ht="25.15" customHeight="1" x14ac:dyDescent="0.35"/>
    <row r="106" ht="25.15" customHeight="1" x14ac:dyDescent="0.35"/>
    <row r="107" ht="25.15" customHeight="1" x14ac:dyDescent="0.35"/>
    <row r="108" ht="25.15" customHeight="1" x14ac:dyDescent="0.35"/>
    <row r="109" ht="25.15" customHeight="1" x14ac:dyDescent="0.35"/>
    <row r="110" ht="25.15" customHeight="1" x14ac:dyDescent="0.35"/>
    <row r="111" ht="25.15" customHeight="1" x14ac:dyDescent="0.35"/>
    <row r="112" ht="25.15" customHeight="1" x14ac:dyDescent="0.35"/>
    <row r="113" ht="25.15" customHeight="1" x14ac:dyDescent="0.35"/>
    <row r="114" ht="25.15" customHeight="1" x14ac:dyDescent="0.35"/>
    <row r="115" ht="25.15" customHeight="1" x14ac:dyDescent="0.35"/>
    <row r="116" ht="25.15" customHeight="1" x14ac:dyDescent="0.35"/>
    <row r="117" ht="25.15" customHeight="1" x14ac:dyDescent="0.35"/>
    <row r="118" ht="25.15" customHeight="1" x14ac:dyDescent="0.35"/>
    <row r="119" ht="25.15" customHeight="1" x14ac:dyDescent="0.35"/>
    <row r="120" ht="25.15" customHeight="1" x14ac:dyDescent="0.35"/>
    <row r="121" ht="25.15" customHeight="1" x14ac:dyDescent="0.35"/>
    <row r="122" ht="25.15" customHeight="1" x14ac:dyDescent="0.35"/>
    <row r="123" ht="25.15" customHeight="1" x14ac:dyDescent="0.35"/>
    <row r="124" ht="25.15" customHeight="1" x14ac:dyDescent="0.35"/>
    <row r="125" ht="25.15" customHeight="1" x14ac:dyDescent="0.35"/>
    <row r="126" ht="25.15" customHeight="1" x14ac:dyDescent="0.35"/>
    <row r="127" ht="25.15" customHeight="1" x14ac:dyDescent="0.35"/>
    <row r="128" ht="25.15" customHeight="1" x14ac:dyDescent="0.35"/>
    <row r="129" ht="25.15" customHeight="1" x14ac:dyDescent="0.35"/>
    <row r="130" ht="25.15" customHeight="1" x14ac:dyDescent="0.35"/>
    <row r="131" ht="25.15" customHeight="1" x14ac:dyDescent="0.35"/>
    <row r="132" ht="25.15" customHeight="1" x14ac:dyDescent="0.35"/>
    <row r="133" ht="25.15" customHeight="1" x14ac:dyDescent="0.35"/>
    <row r="134" ht="25.15" customHeight="1" x14ac:dyDescent="0.35"/>
    <row r="135" ht="25.15" customHeight="1" x14ac:dyDescent="0.35"/>
    <row r="136" ht="25.15" customHeight="1" x14ac:dyDescent="0.35"/>
    <row r="137" ht="25.15" customHeight="1" x14ac:dyDescent="0.35"/>
    <row r="138" ht="25.15" customHeight="1" x14ac:dyDescent="0.35"/>
    <row r="139" ht="25.15" customHeight="1" x14ac:dyDescent="0.35"/>
    <row r="140" ht="25.15" customHeight="1" x14ac:dyDescent="0.35"/>
    <row r="141" ht="25.15" customHeight="1" x14ac:dyDescent="0.35"/>
    <row r="142" ht="25.15" customHeight="1" x14ac:dyDescent="0.35"/>
    <row r="143" ht="25.15" customHeight="1" x14ac:dyDescent="0.35"/>
    <row r="144" ht="25.15" customHeight="1" x14ac:dyDescent="0.35"/>
    <row r="145" ht="25.15" customHeight="1" x14ac:dyDescent="0.35"/>
    <row r="146" ht="25.15" customHeight="1" x14ac:dyDescent="0.35"/>
    <row r="147" ht="25.15" customHeight="1" x14ac:dyDescent="0.35"/>
    <row r="148" ht="25.15" customHeight="1" x14ac:dyDescent="0.35"/>
    <row r="149" ht="25.15" customHeight="1" x14ac:dyDescent="0.35"/>
    <row r="150" ht="25.15" customHeight="1" x14ac:dyDescent="0.35"/>
    <row r="151" ht="25.15" customHeight="1" x14ac:dyDescent="0.35"/>
    <row r="152" ht="25.15" customHeight="1" x14ac:dyDescent="0.35"/>
    <row r="153" ht="25.15" customHeight="1" x14ac:dyDescent="0.35"/>
    <row r="154" ht="25.15" customHeight="1" x14ac:dyDescent="0.35"/>
    <row r="155" ht="25.15" customHeight="1" x14ac:dyDescent="0.35"/>
    <row r="156" ht="25.15" customHeight="1" x14ac:dyDescent="0.35"/>
    <row r="157" ht="25.15" customHeight="1" x14ac:dyDescent="0.35"/>
    <row r="158" ht="25.15" customHeight="1" x14ac:dyDescent="0.35"/>
    <row r="159" ht="25.15" customHeight="1" x14ac:dyDescent="0.35"/>
    <row r="160" ht="25.15" customHeight="1" x14ac:dyDescent="0.35"/>
    <row r="161" ht="25.15" customHeight="1" x14ac:dyDescent="0.35"/>
    <row r="162" ht="25.15" customHeight="1" x14ac:dyDescent="0.35"/>
    <row r="163" ht="25.15" customHeight="1" x14ac:dyDescent="0.35"/>
    <row r="164" ht="25.15" customHeight="1" x14ac:dyDescent="0.35"/>
    <row r="165" ht="25.15" customHeight="1" x14ac:dyDescent="0.35"/>
    <row r="166" ht="25.15" customHeight="1" x14ac:dyDescent="0.35"/>
    <row r="167" ht="25.15" customHeight="1" x14ac:dyDescent="0.35"/>
    <row r="168" ht="25.15" customHeight="1" x14ac:dyDescent="0.35"/>
    <row r="169" ht="25.15" customHeight="1" x14ac:dyDescent="0.35"/>
    <row r="170" ht="25.15" customHeight="1" x14ac:dyDescent="0.35"/>
    <row r="171" ht="25.15" customHeight="1" x14ac:dyDescent="0.35"/>
    <row r="172" ht="25.15" customHeight="1" x14ac:dyDescent="0.35"/>
    <row r="173" ht="25.15" customHeight="1" x14ac:dyDescent="0.35"/>
    <row r="174" ht="25.15" customHeight="1" x14ac:dyDescent="0.35"/>
    <row r="175" ht="25.15" customHeight="1" x14ac:dyDescent="0.35"/>
    <row r="176" ht="25.15" customHeight="1" x14ac:dyDescent="0.35"/>
    <row r="177" ht="25.15" customHeight="1" x14ac:dyDescent="0.35"/>
    <row r="178" ht="25.15" customHeight="1" x14ac:dyDescent="0.35"/>
    <row r="179" ht="25.15" customHeight="1" x14ac:dyDescent="0.35"/>
    <row r="180" ht="25.15" customHeight="1" x14ac:dyDescent="0.35"/>
    <row r="181" ht="25.15" customHeight="1" x14ac:dyDescent="0.35"/>
    <row r="182" ht="25.15" customHeight="1" x14ac:dyDescent="0.35"/>
    <row r="183" ht="25.15" customHeight="1" x14ac:dyDescent="0.35"/>
    <row r="184" ht="25.15" customHeight="1" x14ac:dyDescent="0.35"/>
    <row r="185" ht="25.15" customHeight="1" x14ac:dyDescent="0.35"/>
  </sheetData>
  <autoFilter ref="A2:I19" xr:uid="{00000000-0001-0000-0200-000000000000}"/>
  <mergeCells count="9">
    <mergeCell ref="I3:I5"/>
    <mergeCell ref="C3:C5"/>
    <mergeCell ref="B3:B5"/>
    <mergeCell ref="H3:H5"/>
    <mergeCell ref="A3:A5"/>
    <mergeCell ref="G3:G5"/>
    <mergeCell ref="D3:D5"/>
    <mergeCell ref="E3:E5"/>
    <mergeCell ref="F3:F5"/>
  </mergeCells>
  <phoneticPr fontId="30"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92D050"/>
    <pageSetUpPr fitToPage="1"/>
  </sheetPr>
  <dimension ref="A1:AD167"/>
  <sheetViews>
    <sheetView zoomScaleNormal="100" workbookViewId="0">
      <pane xSplit="5" ySplit="5" topLeftCell="F7" activePane="bottomRight" state="frozen"/>
      <selection activeCell="D11" sqref="D11"/>
      <selection pane="topRight" activeCell="D11" sqref="D11"/>
      <selection pane="bottomLeft" activeCell="D11" sqref="D11"/>
      <selection pane="bottomRight" activeCell="Y12" sqref="Y12:AC12"/>
    </sheetView>
  </sheetViews>
  <sheetFormatPr defaultColWidth="9.1796875" defaultRowHeight="14.5" x14ac:dyDescent="0.35"/>
  <cols>
    <col min="1" max="1" width="14.54296875" style="52" customWidth="1"/>
    <col min="2" max="2" width="14.1796875" style="51" customWidth="1"/>
    <col min="3" max="3" width="18.1796875" style="51" customWidth="1"/>
    <col min="4" max="5" width="18.1796875" style="51" hidden="1" customWidth="1"/>
    <col min="6" max="6" width="22.81640625" style="48" customWidth="1"/>
    <col min="7" max="7" width="13.81640625" style="48" customWidth="1"/>
    <col min="8" max="8" width="17.1796875" style="50" customWidth="1"/>
    <col min="9" max="9" width="34" style="48" customWidth="1"/>
    <col min="10" max="10" width="19.26953125" style="49" customWidth="1"/>
    <col min="11" max="11" width="38.1796875" style="48" customWidth="1"/>
    <col min="12" max="12" width="12.26953125" style="48" customWidth="1"/>
    <col min="13" max="13" width="4.1796875" style="48" customWidth="1"/>
    <col min="14" max="14" width="39" style="49" customWidth="1"/>
    <col min="15" max="15" width="15" style="49" customWidth="1"/>
    <col min="16" max="16" width="15.1796875" style="48" customWidth="1"/>
    <col min="17" max="17" width="10.7265625" style="48" customWidth="1"/>
    <col min="18" max="18" width="12.7265625" style="48" customWidth="1"/>
    <col min="19" max="19" width="4.1796875" style="48" customWidth="1"/>
    <col min="20" max="20" width="22.81640625" style="48" customWidth="1"/>
    <col min="21" max="21" width="20" style="48" customWidth="1"/>
    <col min="22" max="22" width="22.1796875" style="48" customWidth="1"/>
    <col min="23" max="23" width="13.1796875" style="48" customWidth="1"/>
    <col min="24" max="24" width="12.1796875" style="48" customWidth="1"/>
    <col min="25" max="25" width="44.453125" style="48" customWidth="1"/>
    <col min="26" max="29" width="9.1796875" style="48"/>
    <col min="30" max="30" width="12.81640625" style="48" customWidth="1"/>
    <col min="31" max="16384" width="9.1796875" style="48"/>
  </cols>
  <sheetData>
    <row r="1" spans="1:30" ht="73.150000000000006" customHeight="1" x14ac:dyDescent="0.35">
      <c r="A1" s="155" t="s">
        <v>309</v>
      </c>
      <c r="B1" s="155"/>
      <c r="C1" s="155"/>
      <c r="D1" s="155"/>
      <c r="E1" s="155"/>
      <c r="F1" s="155"/>
      <c r="G1" s="155"/>
      <c r="H1" s="155"/>
      <c r="I1" s="155"/>
      <c r="J1" s="155"/>
      <c r="K1" s="155"/>
      <c r="L1" s="155"/>
      <c r="M1" s="155"/>
      <c r="N1" s="155"/>
      <c r="O1" s="155"/>
      <c r="P1" s="155"/>
      <c r="Q1" s="155"/>
      <c r="R1" s="155"/>
      <c r="S1" s="155"/>
      <c r="T1" s="155"/>
      <c r="U1" s="155"/>
      <c r="V1" s="155"/>
      <c r="W1" s="155"/>
      <c r="X1" s="155"/>
    </row>
    <row r="2" spans="1:30" s="86" customFormat="1" ht="31" x14ac:dyDescent="0.7">
      <c r="A2" s="156" t="s">
        <v>308</v>
      </c>
      <c r="B2" s="156"/>
      <c r="C2" s="156"/>
      <c r="D2" s="156"/>
      <c r="E2" s="156"/>
      <c r="F2" s="156"/>
      <c r="G2" s="156"/>
      <c r="H2" s="156"/>
      <c r="I2" s="156"/>
      <c r="J2" s="156"/>
      <c r="K2" s="156" t="s">
        <v>307</v>
      </c>
      <c r="L2" s="156"/>
      <c r="M2" s="156"/>
      <c r="N2" s="156"/>
      <c r="O2" s="156"/>
      <c r="P2" s="156" t="s">
        <v>306</v>
      </c>
      <c r="Q2" s="156"/>
      <c r="R2" s="156"/>
      <c r="S2" s="156"/>
      <c r="T2" s="156"/>
      <c r="U2" s="156"/>
      <c r="V2" s="87"/>
      <c r="W2" s="87"/>
      <c r="X2" s="87"/>
    </row>
    <row r="4" spans="1:30" s="84" customFormat="1" ht="31.5" customHeight="1" x14ac:dyDescent="0.35">
      <c r="A4" s="148" t="s">
        <v>305</v>
      </c>
      <c r="B4" s="149"/>
      <c r="C4" s="149"/>
      <c r="D4" s="149"/>
      <c r="E4" s="149"/>
      <c r="F4" s="149"/>
      <c r="G4" s="149"/>
      <c r="H4" s="149"/>
      <c r="I4" s="149"/>
      <c r="J4" s="149"/>
      <c r="K4" s="149"/>
      <c r="L4" s="150"/>
      <c r="M4" s="85" t="s">
        <v>304</v>
      </c>
      <c r="N4" s="151" t="s">
        <v>303</v>
      </c>
      <c r="O4" s="152"/>
      <c r="P4" s="152"/>
      <c r="Q4" s="152"/>
      <c r="R4" s="152"/>
      <c r="S4" s="85" t="s">
        <v>302</v>
      </c>
      <c r="T4" s="153" t="s">
        <v>301</v>
      </c>
      <c r="U4" s="154"/>
      <c r="V4" s="154"/>
      <c r="W4" s="154"/>
      <c r="X4" s="154"/>
      <c r="Y4" s="159" t="s">
        <v>300</v>
      </c>
      <c r="Z4" s="160"/>
      <c r="AA4" s="160"/>
      <c r="AB4" s="160"/>
      <c r="AC4" s="160"/>
      <c r="AD4" s="160"/>
    </row>
    <row r="5" spans="1:30" s="78" customFormat="1" ht="44.25" customHeight="1" x14ac:dyDescent="0.35">
      <c r="A5" s="80" t="s">
        <v>299</v>
      </c>
      <c r="B5" s="79" t="s">
        <v>298</v>
      </c>
      <c r="C5" s="79" t="s">
        <v>297</v>
      </c>
      <c r="D5" s="79" t="s">
        <v>296</v>
      </c>
      <c r="E5" s="79" t="s">
        <v>295</v>
      </c>
      <c r="F5" s="79" t="s">
        <v>294</v>
      </c>
      <c r="G5" s="79" t="s">
        <v>293</v>
      </c>
      <c r="H5" s="83" t="s">
        <v>292</v>
      </c>
      <c r="I5" s="79" t="s">
        <v>291</v>
      </c>
      <c r="J5" s="79" t="s">
        <v>290</v>
      </c>
      <c r="K5" s="79" t="s">
        <v>289</v>
      </c>
      <c r="L5" s="79" t="s">
        <v>288</v>
      </c>
      <c r="M5" s="81"/>
      <c r="N5" s="79" t="s">
        <v>287</v>
      </c>
      <c r="O5" s="79" t="s">
        <v>286</v>
      </c>
      <c r="P5" s="79" t="s">
        <v>285</v>
      </c>
      <c r="Q5" s="82" t="s">
        <v>284</v>
      </c>
      <c r="R5" s="82" t="s">
        <v>283</v>
      </c>
      <c r="S5" s="81"/>
      <c r="T5" s="80" t="s">
        <v>282</v>
      </c>
      <c r="U5" s="80" t="s">
        <v>281</v>
      </c>
      <c r="V5" s="80" t="s">
        <v>280</v>
      </c>
      <c r="W5" s="79" t="s">
        <v>279</v>
      </c>
      <c r="X5" s="79" t="s">
        <v>278</v>
      </c>
      <c r="Y5" s="163" t="s">
        <v>277</v>
      </c>
      <c r="Z5" s="164"/>
      <c r="AA5" s="164"/>
      <c r="AB5" s="164"/>
      <c r="AC5" s="165"/>
      <c r="AD5" s="79" t="s">
        <v>276</v>
      </c>
    </row>
    <row r="6" spans="1:30" s="75" customFormat="1" ht="116" hidden="1" x14ac:dyDescent="0.35">
      <c r="A6" s="77" t="str">
        <f t="shared" ref="A6:A37" si="0">D6&amp;" "&amp;E6</f>
        <v>STR - 1</v>
      </c>
      <c r="B6" s="66" t="s">
        <v>213</v>
      </c>
      <c r="C6" s="65" t="s">
        <v>230</v>
      </c>
      <c r="D6" s="64" t="str">
        <f>VLOOKUP(C6,[3]Droplist!$C$14:$F$32,4,FALSE)</f>
        <v>STR -</v>
      </c>
      <c r="E6" s="63">
        <f>COUNTIF($C$6:C6,C6)</f>
        <v>1</v>
      </c>
      <c r="F6" s="62" t="s">
        <v>275</v>
      </c>
      <c r="G6" s="62" t="s">
        <v>274</v>
      </c>
      <c r="H6" s="61" t="s">
        <v>211</v>
      </c>
      <c r="I6" s="59" t="s">
        <v>273</v>
      </c>
      <c r="J6" s="59"/>
      <c r="K6" s="59" t="s">
        <v>272</v>
      </c>
      <c r="L6" s="59"/>
      <c r="M6" s="58"/>
      <c r="N6" s="55" t="s">
        <v>271</v>
      </c>
      <c r="O6" s="60"/>
      <c r="P6" s="59"/>
      <c r="Q6" s="57"/>
      <c r="R6" s="57"/>
      <c r="S6" s="58"/>
      <c r="T6" s="57" t="s">
        <v>206</v>
      </c>
      <c r="U6" s="57" t="s">
        <v>224</v>
      </c>
      <c r="V6" s="57" t="s">
        <v>204</v>
      </c>
      <c r="W6" s="56" t="str">
        <f t="shared" ref="W6:W37" si="1">IF(U6="Project has closed this gap ", "Closed","Open")</f>
        <v>Closed</v>
      </c>
      <c r="X6" s="73">
        <v>45326</v>
      </c>
      <c r="Y6" s="162"/>
      <c r="Z6" s="162"/>
      <c r="AA6" s="162"/>
      <c r="AB6" s="162"/>
      <c r="AC6" s="162"/>
      <c r="AD6" s="76"/>
    </row>
    <row r="7" spans="1:30" s="54" customFormat="1" ht="225" x14ac:dyDescent="0.35">
      <c r="A7" s="67" t="str">
        <f t="shared" si="0"/>
        <v>STR - 2</v>
      </c>
      <c r="B7" s="66" t="s">
        <v>213</v>
      </c>
      <c r="C7" s="65" t="s">
        <v>230</v>
      </c>
      <c r="D7" s="64" t="str">
        <f>VLOOKUP(C7,[3]Droplist!$C$14:$F$32,4,FALSE)</f>
        <v>STR -</v>
      </c>
      <c r="E7" s="63">
        <f>COUNTIF($C$6:C7,C7)</f>
        <v>2</v>
      </c>
      <c r="F7" s="62" t="s">
        <v>270</v>
      </c>
      <c r="G7" s="62" t="s">
        <v>269</v>
      </c>
      <c r="H7" s="61" t="s">
        <v>211</v>
      </c>
      <c r="I7" s="59" t="s">
        <v>268</v>
      </c>
      <c r="J7" s="59"/>
      <c r="K7" s="59" t="s">
        <v>267</v>
      </c>
      <c r="L7" s="59"/>
      <c r="M7" s="58"/>
      <c r="N7" s="55" t="s">
        <v>266</v>
      </c>
      <c r="O7" s="60"/>
      <c r="P7" s="59"/>
      <c r="Q7" s="57"/>
      <c r="R7" s="57"/>
      <c r="S7" s="58"/>
      <c r="T7" s="57" t="s">
        <v>265</v>
      </c>
      <c r="U7" s="57" t="s">
        <v>205</v>
      </c>
      <c r="V7" s="57" t="s">
        <v>213</v>
      </c>
      <c r="W7" s="56" t="str">
        <f t="shared" si="1"/>
        <v>Open</v>
      </c>
      <c r="X7" s="73">
        <v>45692</v>
      </c>
      <c r="Y7" s="161" t="s">
        <v>331</v>
      </c>
      <c r="Z7" s="161"/>
      <c r="AA7" s="161"/>
      <c r="AB7" s="161"/>
      <c r="AC7" s="161"/>
      <c r="AD7" s="127" t="s">
        <v>316</v>
      </c>
    </row>
    <row r="8" spans="1:30" s="54" customFormat="1" ht="187.5" hidden="1" x14ac:dyDescent="0.35">
      <c r="A8" s="67" t="str">
        <f t="shared" si="0"/>
        <v>STR - 3</v>
      </c>
      <c r="B8" s="66" t="s">
        <v>204</v>
      </c>
      <c r="C8" s="65" t="s">
        <v>230</v>
      </c>
      <c r="D8" s="64" t="str">
        <f>VLOOKUP(C8,[3]Droplist!$C$14:$F$32,4,FALSE)</f>
        <v>STR -</v>
      </c>
      <c r="E8" s="63">
        <f>COUNTIF($C$6:C8,C8)</f>
        <v>3</v>
      </c>
      <c r="F8" s="62" t="s">
        <v>264</v>
      </c>
      <c r="G8" s="62" t="s">
        <v>263</v>
      </c>
      <c r="H8" s="61" t="s">
        <v>211</v>
      </c>
      <c r="I8" s="59" t="s">
        <v>262</v>
      </c>
      <c r="J8" s="59"/>
      <c r="K8" s="59" t="s">
        <v>261</v>
      </c>
      <c r="L8" s="59"/>
      <c r="M8" s="58"/>
      <c r="N8" s="55" t="s">
        <v>260</v>
      </c>
      <c r="O8" s="60"/>
      <c r="P8" s="59"/>
      <c r="Q8" s="57"/>
      <c r="R8" s="57"/>
      <c r="S8" s="58"/>
      <c r="T8" s="57" t="s">
        <v>206</v>
      </c>
      <c r="U8" s="57" t="s">
        <v>224</v>
      </c>
      <c r="V8" s="57" t="s">
        <v>204</v>
      </c>
      <c r="W8" s="56" t="str">
        <f t="shared" si="1"/>
        <v>Closed</v>
      </c>
      <c r="X8" s="73">
        <v>45692</v>
      </c>
      <c r="Y8" s="162"/>
      <c r="Z8" s="162"/>
      <c r="AA8" s="162"/>
      <c r="AB8" s="162"/>
      <c r="AC8" s="162"/>
      <c r="AD8" s="74"/>
    </row>
    <row r="9" spans="1:30" s="54" customFormat="1" ht="58" hidden="1" x14ac:dyDescent="0.35">
      <c r="A9" s="67" t="str">
        <f t="shared" si="0"/>
        <v>STR - 4</v>
      </c>
      <c r="B9" s="66" t="s">
        <v>204</v>
      </c>
      <c r="C9" s="65" t="s">
        <v>230</v>
      </c>
      <c r="D9" s="64" t="str">
        <f>VLOOKUP(C9,[3]Droplist!$C$14:$F$32,4,FALSE)</f>
        <v>STR -</v>
      </c>
      <c r="E9" s="63">
        <f>COUNTIF($C$6:C9,C9)</f>
        <v>4</v>
      </c>
      <c r="F9" s="62" t="s">
        <v>259</v>
      </c>
      <c r="G9" s="62" t="s">
        <v>258</v>
      </c>
      <c r="H9" s="61" t="s">
        <v>211</v>
      </c>
      <c r="I9" s="59" t="s">
        <v>257</v>
      </c>
      <c r="J9" s="59"/>
      <c r="K9" s="59" t="s">
        <v>256</v>
      </c>
      <c r="L9" s="59"/>
      <c r="M9" s="58"/>
      <c r="N9" s="55" t="s">
        <v>255</v>
      </c>
      <c r="O9" s="60"/>
      <c r="P9" s="59"/>
      <c r="Q9" s="57"/>
      <c r="R9" s="57"/>
      <c r="S9" s="58"/>
      <c r="T9" s="57" t="s">
        <v>206</v>
      </c>
      <c r="U9" s="57" t="s">
        <v>224</v>
      </c>
      <c r="V9" s="57" t="s">
        <v>204</v>
      </c>
      <c r="W9" s="56" t="str">
        <f t="shared" si="1"/>
        <v>Closed</v>
      </c>
      <c r="X9" s="73">
        <v>45692</v>
      </c>
      <c r="Y9" s="157"/>
      <c r="Z9" s="157"/>
      <c r="AA9" s="157"/>
      <c r="AB9" s="157"/>
      <c r="AC9" s="157"/>
      <c r="AD9" s="74"/>
    </row>
    <row r="10" spans="1:30" s="54" customFormat="1" ht="127.5" customHeight="1" x14ac:dyDescent="0.35">
      <c r="A10" s="67" t="str">
        <f t="shared" si="0"/>
        <v>STR - 5</v>
      </c>
      <c r="B10" s="66" t="s">
        <v>204</v>
      </c>
      <c r="C10" s="65" t="s">
        <v>230</v>
      </c>
      <c r="D10" s="64" t="str">
        <f>VLOOKUP(C10,[3]Droplist!$C$14:$F$32,4,FALSE)</f>
        <v>STR -</v>
      </c>
      <c r="E10" s="63">
        <f>COUNTIF($C$6:C10,C10)</f>
        <v>5</v>
      </c>
      <c r="F10" s="62" t="s">
        <v>254</v>
      </c>
      <c r="G10" s="62" t="s">
        <v>253</v>
      </c>
      <c r="H10" s="61" t="s">
        <v>211</v>
      </c>
      <c r="I10" s="59" t="s">
        <v>334</v>
      </c>
      <c r="J10" s="59"/>
      <c r="K10" s="59" t="s">
        <v>252</v>
      </c>
      <c r="L10" s="59"/>
      <c r="M10" s="58"/>
      <c r="N10" s="55" t="s">
        <v>251</v>
      </c>
      <c r="O10" s="60"/>
      <c r="P10" s="59"/>
      <c r="Q10" s="57"/>
      <c r="R10" s="57"/>
      <c r="S10" s="58"/>
      <c r="T10" s="57" t="s">
        <v>250</v>
      </c>
      <c r="U10" s="57" t="s">
        <v>249</v>
      </c>
      <c r="V10" s="57" t="s">
        <v>204</v>
      </c>
      <c r="W10" s="56" t="str">
        <f t="shared" si="1"/>
        <v>Open</v>
      </c>
      <c r="X10" s="73">
        <v>45692</v>
      </c>
      <c r="Y10" s="161" t="s">
        <v>339</v>
      </c>
      <c r="Z10" s="161"/>
      <c r="AA10" s="161"/>
      <c r="AB10" s="161"/>
      <c r="AC10" s="161"/>
      <c r="AD10" s="127" t="s">
        <v>316</v>
      </c>
    </row>
    <row r="11" spans="1:30" s="54" customFormat="1" ht="137.5" hidden="1" x14ac:dyDescent="0.35">
      <c r="A11" s="67" t="str">
        <f t="shared" si="0"/>
        <v>STR - 6</v>
      </c>
      <c r="B11" s="66" t="s">
        <v>204</v>
      </c>
      <c r="C11" s="65" t="s">
        <v>230</v>
      </c>
      <c r="D11" s="64" t="str">
        <f>VLOOKUP(C11,[3]Droplist!$C$14:$F$32,4,FALSE)</f>
        <v>STR -</v>
      </c>
      <c r="E11" s="63">
        <f>COUNTIF($C$6:C11,C11)</f>
        <v>6</v>
      </c>
      <c r="F11" s="62" t="s">
        <v>248</v>
      </c>
      <c r="G11" s="62" t="s">
        <v>247</v>
      </c>
      <c r="H11" s="61" t="s">
        <v>211</v>
      </c>
      <c r="I11" s="59" t="s">
        <v>246</v>
      </c>
      <c r="J11" s="59" t="s">
        <v>245</v>
      </c>
      <c r="K11" s="59" t="s">
        <v>244</v>
      </c>
      <c r="L11" s="59"/>
      <c r="M11" s="58"/>
      <c r="N11" s="55" t="s">
        <v>243</v>
      </c>
      <c r="O11" s="60"/>
      <c r="P11" s="59"/>
      <c r="Q11" s="57"/>
      <c r="R11" s="57"/>
      <c r="S11" s="58"/>
      <c r="T11" s="57" t="s">
        <v>206</v>
      </c>
      <c r="U11" s="57" t="s">
        <v>224</v>
      </c>
      <c r="V11" s="57" t="s">
        <v>204</v>
      </c>
      <c r="W11" s="56" t="str">
        <f t="shared" si="1"/>
        <v>Closed</v>
      </c>
      <c r="X11" s="73">
        <v>45692</v>
      </c>
      <c r="Y11" s="162"/>
      <c r="Z11" s="162"/>
      <c r="AA11" s="162"/>
      <c r="AB11" s="162"/>
      <c r="AC11" s="162"/>
      <c r="AD11" s="74"/>
    </row>
    <row r="12" spans="1:30" s="54" customFormat="1" ht="162.5" x14ac:dyDescent="0.35">
      <c r="A12" s="67" t="str">
        <f t="shared" si="0"/>
        <v>STR - 7</v>
      </c>
      <c r="B12" s="66" t="s">
        <v>213</v>
      </c>
      <c r="C12" s="65" t="s">
        <v>230</v>
      </c>
      <c r="D12" s="64" t="str">
        <f>VLOOKUP(C12,[3]Droplist!$C$14:$F$32,4,FALSE)</f>
        <v>STR -</v>
      </c>
      <c r="E12" s="63">
        <f>COUNTIF($C$6:C12,C12)</f>
        <v>7</v>
      </c>
      <c r="F12" s="62" t="s">
        <v>242</v>
      </c>
      <c r="G12" s="62" t="s">
        <v>241</v>
      </c>
      <c r="H12" s="61" t="s">
        <v>211</v>
      </c>
      <c r="I12" s="59" t="s">
        <v>240</v>
      </c>
      <c r="J12" s="59"/>
      <c r="K12" s="59" t="s">
        <v>239</v>
      </c>
      <c r="L12" s="59"/>
      <c r="M12" s="58"/>
      <c r="N12" s="55" t="s">
        <v>238</v>
      </c>
      <c r="O12" s="60"/>
      <c r="P12" s="59"/>
      <c r="Q12" s="57"/>
      <c r="R12" s="57"/>
      <c r="S12" s="58"/>
      <c r="T12" s="57" t="s">
        <v>237</v>
      </c>
      <c r="U12" s="57" t="s">
        <v>205</v>
      </c>
      <c r="V12" s="57" t="s">
        <v>204</v>
      </c>
      <c r="W12" s="56" t="str">
        <f t="shared" si="1"/>
        <v>Open</v>
      </c>
      <c r="X12" s="73">
        <v>45692</v>
      </c>
      <c r="Y12" s="161" t="s">
        <v>332</v>
      </c>
      <c r="Z12" s="161"/>
      <c r="AA12" s="161"/>
      <c r="AB12" s="161"/>
      <c r="AC12" s="161"/>
      <c r="AD12" s="127" t="s">
        <v>316</v>
      </c>
    </row>
    <row r="13" spans="1:30" s="54" customFormat="1" ht="125" x14ac:dyDescent="0.35">
      <c r="A13" s="67" t="str">
        <f t="shared" si="0"/>
        <v>STR - 8</v>
      </c>
      <c r="B13" s="66" t="s">
        <v>213</v>
      </c>
      <c r="C13" s="65" t="s">
        <v>230</v>
      </c>
      <c r="D13" s="64" t="str">
        <f>VLOOKUP(C13,[3]Droplist!$C$14:$F$32,4,FALSE)</f>
        <v>STR -</v>
      </c>
      <c r="E13" s="63">
        <f>COUNTIF($C$6:C13,C13)</f>
        <v>8</v>
      </c>
      <c r="F13" s="62" t="s">
        <v>236</v>
      </c>
      <c r="G13" s="62" t="s">
        <v>235</v>
      </c>
      <c r="H13" s="61" t="s">
        <v>211</v>
      </c>
      <c r="I13" s="59" t="s">
        <v>234</v>
      </c>
      <c r="J13" s="59"/>
      <c r="K13" s="59" t="s">
        <v>233</v>
      </c>
      <c r="L13" s="59"/>
      <c r="M13" s="58"/>
      <c r="N13" s="55" t="s">
        <v>232</v>
      </c>
      <c r="O13" s="60"/>
      <c r="P13" s="59"/>
      <c r="Q13" s="57"/>
      <c r="R13" s="57"/>
      <c r="S13" s="58"/>
      <c r="T13" s="57" t="s">
        <v>231</v>
      </c>
      <c r="U13" s="57" t="s">
        <v>205</v>
      </c>
      <c r="V13" s="57" t="s">
        <v>213</v>
      </c>
      <c r="W13" s="56" t="str">
        <f t="shared" si="1"/>
        <v>Open</v>
      </c>
      <c r="X13" s="73">
        <v>45692</v>
      </c>
      <c r="Y13" s="161" t="s">
        <v>327</v>
      </c>
      <c r="Z13" s="161"/>
      <c r="AA13" s="161"/>
      <c r="AB13" s="161"/>
      <c r="AC13" s="161"/>
      <c r="AD13" s="127" t="s">
        <v>316</v>
      </c>
    </row>
    <row r="14" spans="1:30" s="54" customFormat="1" ht="137.5" hidden="1" x14ac:dyDescent="0.35">
      <c r="A14" s="67" t="str">
        <f t="shared" si="0"/>
        <v>STR - 9</v>
      </c>
      <c r="B14" s="66" t="s">
        <v>213</v>
      </c>
      <c r="C14" s="65" t="s">
        <v>230</v>
      </c>
      <c r="D14" s="64" t="str">
        <f>VLOOKUP(C14,[3]Droplist!$C$14:$F$32,4,FALSE)</f>
        <v>STR -</v>
      </c>
      <c r="E14" s="63">
        <f>COUNTIF($C$6:C14,C14)</f>
        <v>9</v>
      </c>
      <c r="F14" s="62" t="s">
        <v>229</v>
      </c>
      <c r="G14" s="62" t="s">
        <v>228</v>
      </c>
      <c r="H14" s="61" t="s">
        <v>211</v>
      </c>
      <c r="I14" s="59" t="s">
        <v>227</v>
      </c>
      <c r="J14" s="59"/>
      <c r="K14" s="59" t="s">
        <v>226</v>
      </c>
      <c r="L14" s="59"/>
      <c r="M14" s="58"/>
      <c r="N14" s="55" t="s">
        <v>225</v>
      </c>
      <c r="O14" s="60"/>
      <c r="Q14" s="57"/>
      <c r="R14" s="57"/>
      <c r="S14" s="58"/>
      <c r="T14" s="57" t="s">
        <v>206</v>
      </c>
      <c r="U14" s="57" t="s">
        <v>224</v>
      </c>
      <c r="V14" s="57" t="s">
        <v>204</v>
      </c>
      <c r="W14" s="56" t="str">
        <f t="shared" si="1"/>
        <v>Closed</v>
      </c>
      <c r="X14" s="73">
        <v>45692</v>
      </c>
      <c r="Y14" s="157"/>
      <c r="Z14" s="157"/>
      <c r="AA14" s="157"/>
      <c r="AB14" s="157"/>
      <c r="AC14" s="157"/>
      <c r="AD14" s="74"/>
    </row>
    <row r="15" spans="1:30" s="54" customFormat="1" ht="62.5" hidden="1" x14ac:dyDescent="0.35">
      <c r="A15" s="67" t="str">
        <f t="shared" si="0"/>
        <v>OWE - 1</v>
      </c>
      <c r="B15" s="66" t="s">
        <v>213</v>
      </c>
      <c r="C15" s="65" t="s">
        <v>223</v>
      </c>
      <c r="D15" s="64" t="str">
        <f>VLOOKUP(C15,[3]Droplist!$C$14:$F$32,4,FALSE)</f>
        <v>OWE -</v>
      </c>
      <c r="E15" s="63">
        <f>COUNTIF($C$6:C15,C15)</f>
        <v>1</v>
      </c>
      <c r="F15" s="62" t="s">
        <v>222</v>
      </c>
      <c r="G15" s="72" t="s">
        <v>221</v>
      </c>
      <c r="H15" s="61" t="s">
        <v>220</v>
      </c>
      <c r="I15" s="59" t="s">
        <v>219</v>
      </c>
      <c r="J15" s="70" t="s">
        <v>218</v>
      </c>
      <c r="K15" s="59" t="s">
        <v>217</v>
      </c>
      <c r="L15" s="70"/>
      <c r="M15" s="58"/>
      <c r="N15" s="55" t="s">
        <v>216</v>
      </c>
      <c r="O15" s="60"/>
      <c r="P15" s="59"/>
      <c r="Q15" s="57"/>
      <c r="R15" s="57"/>
      <c r="S15" s="58"/>
      <c r="T15" s="57" t="s">
        <v>215</v>
      </c>
      <c r="U15" s="57" t="s">
        <v>214</v>
      </c>
      <c r="V15" s="57" t="s">
        <v>204</v>
      </c>
      <c r="W15" s="56" t="str">
        <f t="shared" si="1"/>
        <v>Open</v>
      </c>
      <c r="X15" s="73">
        <v>45749</v>
      </c>
      <c r="Y15" s="158"/>
      <c r="Z15" s="158"/>
      <c r="AA15" s="158"/>
      <c r="AB15" s="158"/>
      <c r="AC15" s="158"/>
      <c r="AD15" s="88" t="s">
        <v>12</v>
      </c>
    </row>
    <row r="16" spans="1:30" s="54" customFormat="1" ht="100" hidden="1" x14ac:dyDescent="0.35">
      <c r="A16" s="67" t="str">
        <f t="shared" si="0"/>
        <v>SAF - 1</v>
      </c>
      <c r="B16" s="66" t="s">
        <v>213</v>
      </c>
      <c r="C16" s="65" t="s">
        <v>212</v>
      </c>
      <c r="D16" s="64" t="str">
        <f>VLOOKUP(C16,[3]Droplist!$C$14:$F$32,4,FALSE)</f>
        <v>SAF -</v>
      </c>
      <c r="E16" s="63">
        <f>COUNTIF($C$6:C16,C16)</f>
        <v>1</v>
      </c>
      <c r="F16" s="62" t="s">
        <v>9</v>
      </c>
      <c r="G16" s="72" t="s">
        <v>9</v>
      </c>
      <c r="H16" s="71" t="s">
        <v>211</v>
      </c>
      <c r="I16" s="70" t="s">
        <v>210</v>
      </c>
      <c r="J16" s="70" t="s">
        <v>209</v>
      </c>
      <c r="K16" s="59" t="s">
        <v>208</v>
      </c>
      <c r="L16" s="70"/>
      <c r="M16" s="58"/>
      <c r="N16" s="55" t="s">
        <v>207</v>
      </c>
      <c r="O16" s="60"/>
      <c r="P16" s="59"/>
      <c r="Q16" s="57"/>
      <c r="R16" s="57"/>
      <c r="S16" s="58"/>
      <c r="T16" s="57" t="s">
        <v>206</v>
      </c>
      <c r="U16" s="57" t="s">
        <v>205</v>
      </c>
      <c r="V16" s="57" t="s">
        <v>204</v>
      </c>
      <c r="W16" s="56" t="str">
        <f t="shared" si="1"/>
        <v>Open</v>
      </c>
      <c r="X16" s="69">
        <v>45751</v>
      </c>
      <c r="Y16" s="158"/>
      <c r="Z16" s="158"/>
      <c r="AA16" s="158"/>
      <c r="AB16" s="158"/>
      <c r="AC16" s="158"/>
      <c r="AD16" s="88" t="s">
        <v>12</v>
      </c>
    </row>
    <row r="17" spans="1:24" s="54" customFormat="1" hidden="1" x14ac:dyDescent="0.35">
      <c r="A17" s="67" t="e">
        <f t="shared" si="0"/>
        <v>#N/A</v>
      </c>
      <c r="B17" s="66"/>
      <c r="C17" s="65"/>
      <c r="D17" s="64" t="e">
        <f>VLOOKUP(C17,[3]Droplist!$C$14:$F$32,4,FALSE)</f>
        <v>#N/A</v>
      </c>
      <c r="E17" s="63">
        <f>COUNTIF($C$6:C17,C17)</f>
        <v>0</v>
      </c>
      <c r="F17" s="62"/>
      <c r="G17" s="62"/>
      <c r="H17" s="61"/>
      <c r="I17" s="59"/>
      <c r="J17" s="59"/>
      <c r="K17" s="59"/>
      <c r="L17" s="59"/>
      <c r="M17" s="58"/>
      <c r="N17" s="55"/>
      <c r="O17" s="60"/>
      <c r="P17" s="59"/>
      <c r="Q17" s="57"/>
      <c r="R17" s="57"/>
      <c r="S17" s="58"/>
      <c r="T17" s="57"/>
      <c r="U17" s="57"/>
      <c r="V17" s="57"/>
      <c r="W17" s="56" t="str">
        <f t="shared" si="1"/>
        <v>Open</v>
      </c>
      <c r="X17" s="55"/>
    </row>
    <row r="18" spans="1:24" s="54" customFormat="1" hidden="1" x14ac:dyDescent="0.35">
      <c r="A18" s="67" t="e">
        <f t="shared" si="0"/>
        <v>#N/A</v>
      </c>
      <c r="B18" s="66"/>
      <c r="C18" s="65"/>
      <c r="D18" s="64" t="e">
        <f>VLOOKUP(C18,[3]Droplist!$C$14:$F$32,4,FALSE)</f>
        <v>#N/A</v>
      </c>
      <c r="E18" s="63">
        <f>COUNTIF($C$6:C18,C18)</f>
        <v>0</v>
      </c>
      <c r="F18" s="62"/>
      <c r="G18" s="62"/>
      <c r="H18" s="61"/>
      <c r="I18" s="59"/>
      <c r="J18" s="59"/>
      <c r="K18" s="59"/>
      <c r="L18" s="59"/>
      <c r="M18" s="58"/>
      <c r="N18" s="55"/>
      <c r="O18" s="60"/>
      <c r="P18" s="59"/>
      <c r="Q18" s="57"/>
      <c r="R18" s="57"/>
      <c r="S18" s="58"/>
      <c r="T18" s="57"/>
      <c r="U18" s="57"/>
      <c r="V18" s="57"/>
      <c r="W18" s="56" t="str">
        <f t="shared" si="1"/>
        <v>Open</v>
      </c>
      <c r="X18" s="55"/>
    </row>
    <row r="19" spans="1:24" s="54" customFormat="1" hidden="1" x14ac:dyDescent="0.35">
      <c r="A19" s="67" t="e">
        <f t="shared" si="0"/>
        <v>#N/A</v>
      </c>
      <c r="B19" s="66"/>
      <c r="C19" s="65"/>
      <c r="D19" s="64" t="e">
        <f>VLOOKUP(C19,[3]Droplist!$C$14:$F$32,4,FALSE)</f>
        <v>#N/A</v>
      </c>
      <c r="E19" s="63">
        <f>COUNTIF($C$6:C19,C19)</f>
        <v>0</v>
      </c>
      <c r="F19" s="62"/>
      <c r="G19" s="62"/>
      <c r="H19" s="61"/>
      <c r="I19" s="59"/>
      <c r="J19" s="59"/>
      <c r="K19" s="59"/>
      <c r="L19" s="59"/>
      <c r="M19" s="58"/>
      <c r="N19" s="55"/>
      <c r="O19" s="60"/>
      <c r="P19" s="59"/>
      <c r="Q19" s="57"/>
      <c r="R19" s="57"/>
      <c r="S19" s="58"/>
      <c r="T19" s="57"/>
      <c r="U19" s="57"/>
      <c r="V19" s="57"/>
      <c r="W19" s="56" t="str">
        <f t="shared" si="1"/>
        <v>Open</v>
      </c>
      <c r="X19" s="55"/>
    </row>
    <row r="20" spans="1:24" s="54" customFormat="1" hidden="1" x14ac:dyDescent="0.35">
      <c r="A20" s="67" t="e">
        <f t="shared" si="0"/>
        <v>#N/A</v>
      </c>
      <c r="B20" s="66"/>
      <c r="C20" s="65"/>
      <c r="D20" s="64" t="e">
        <f>VLOOKUP(C20,[3]Droplist!$C$14:$F$32,4,FALSE)</f>
        <v>#N/A</v>
      </c>
      <c r="E20" s="63">
        <f>COUNTIF($C$6:C20,C20)</f>
        <v>0</v>
      </c>
      <c r="F20" s="62"/>
      <c r="G20" s="62"/>
      <c r="H20" s="61"/>
      <c r="I20" s="59"/>
      <c r="J20" s="59"/>
      <c r="K20" s="59"/>
      <c r="L20" s="59"/>
      <c r="M20" s="58"/>
      <c r="N20" s="55"/>
      <c r="O20" s="60"/>
      <c r="P20" s="59"/>
      <c r="Q20" s="57"/>
      <c r="R20" s="57"/>
      <c r="S20" s="58"/>
      <c r="T20" s="57"/>
      <c r="U20" s="57"/>
      <c r="V20" s="57"/>
      <c r="W20" s="56" t="str">
        <f t="shared" si="1"/>
        <v>Open</v>
      </c>
      <c r="X20" s="55"/>
    </row>
    <row r="21" spans="1:24" s="54" customFormat="1" hidden="1" x14ac:dyDescent="0.35">
      <c r="A21" s="67" t="e">
        <f t="shared" si="0"/>
        <v>#N/A</v>
      </c>
      <c r="B21" s="66"/>
      <c r="C21" s="65"/>
      <c r="D21" s="64" t="e">
        <f>VLOOKUP(C21,[3]Droplist!$C$14:$F$32,4,FALSE)</f>
        <v>#N/A</v>
      </c>
      <c r="E21" s="63">
        <f>COUNTIF($C$6:C21,C21)</f>
        <v>0</v>
      </c>
      <c r="F21" s="62"/>
      <c r="G21" s="62"/>
      <c r="H21" s="61"/>
      <c r="I21" s="59"/>
      <c r="J21" s="59"/>
      <c r="K21" s="59"/>
      <c r="L21" s="59"/>
      <c r="M21" s="58"/>
      <c r="N21" s="55"/>
      <c r="O21" s="60"/>
      <c r="P21" s="59"/>
      <c r="Q21" s="57"/>
      <c r="R21" s="57"/>
      <c r="S21" s="58"/>
      <c r="T21" s="57"/>
      <c r="U21" s="57"/>
      <c r="V21" s="57"/>
      <c r="W21" s="56" t="str">
        <f t="shared" si="1"/>
        <v>Open</v>
      </c>
      <c r="X21" s="55"/>
    </row>
    <row r="22" spans="1:24" s="54" customFormat="1" hidden="1" x14ac:dyDescent="0.35">
      <c r="A22" s="67" t="e">
        <f t="shared" si="0"/>
        <v>#N/A</v>
      </c>
      <c r="B22" s="66"/>
      <c r="C22" s="65"/>
      <c r="D22" s="64" t="e">
        <f>VLOOKUP(C22,[3]Droplist!$C$14:$F$32,4,FALSE)</f>
        <v>#N/A</v>
      </c>
      <c r="E22" s="63">
        <f>COUNTIF($C$6:C22,C22)</f>
        <v>0</v>
      </c>
      <c r="F22" s="62"/>
      <c r="G22" s="62"/>
      <c r="H22" s="61"/>
      <c r="I22" s="59"/>
      <c r="J22" s="59"/>
      <c r="K22" s="59"/>
      <c r="L22" s="59"/>
      <c r="M22" s="58"/>
      <c r="N22" s="55"/>
      <c r="O22" s="60"/>
      <c r="P22" s="59"/>
      <c r="Q22" s="57"/>
      <c r="R22" s="57"/>
      <c r="S22" s="58"/>
      <c r="T22" s="57"/>
      <c r="U22" s="57"/>
      <c r="V22" s="57"/>
      <c r="W22" s="56" t="str">
        <f t="shared" si="1"/>
        <v>Open</v>
      </c>
      <c r="X22" s="55"/>
    </row>
    <row r="23" spans="1:24" s="54" customFormat="1" hidden="1" x14ac:dyDescent="0.35">
      <c r="A23" s="67" t="e">
        <f t="shared" si="0"/>
        <v>#N/A</v>
      </c>
      <c r="B23" s="66"/>
      <c r="C23" s="65"/>
      <c r="D23" s="64" t="e">
        <f>VLOOKUP(C23,[3]Droplist!$C$14:$F$32,4,FALSE)</f>
        <v>#N/A</v>
      </c>
      <c r="E23" s="63">
        <f>COUNTIF($C$6:C23,C23)</f>
        <v>0</v>
      </c>
      <c r="F23" s="62"/>
      <c r="G23" s="62"/>
      <c r="H23" s="61"/>
      <c r="I23" s="59"/>
      <c r="J23" s="59"/>
      <c r="K23" s="59"/>
      <c r="L23" s="59"/>
      <c r="M23" s="58"/>
      <c r="N23" s="55"/>
      <c r="O23" s="60"/>
      <c r="P23" s="59"/>
      <c r="Q23" s="57"/>
      <c r="R23" s="57"/>
      <c r="S23" s="58"/>
      <c r="T23" s="57"/>
      <c r="U23" s="57"/>
      <c r="V23" s="57"/>
      <c r="W23" s="56" t="str">
        <f t="shared" si="1"/>
        <v>Open</v>
      </c>
      <c r="X23" s="55"/>
    </row>
    <row r="24" spans="1:24" s="54" customFormat="1" hidden="1" x14ac:dyDescent="0.35">
      <c r="A24" s="67" t="e">
        <f t="shared" si="0"/>
        <v>#N/A</v>
      </c>
      <c r="B24" s="66"/>
      <c r="C24" s="65"/>
      <c r="D24" s="64" t="e">
        <f>VLOOKUP(C24,[3]Droplist!$C$14:$F$32,4,FALSE)</f>
        <v>#N/A</v>
      </c>
      <c r="E24" s="63">
        <f>COUNTIF($C$6:C24,C24)</f>
        <v>0</v>
      </c>
      <c r="F24" s="62"/>
      <c r="G24" s="62"/>
      <c r="H24" s="61"/>
      <c r="I24" s="59"/>
      <c r="J24" s="59"/>
      <c r="K24" s="59"/>
      <c r="L24" s="59"/>
      <c r="M24" s="58"/>
      <c r="N24" s="55"/>
      <c r="O24" s="60"/>
      <c r="P24" s="59"/>
      <c r="Q24" s="57"/>
      <c r="R24" s="57"/>
      <c r="S24" s="58"/>
      <c r="T24" s="57"/>
      <c r="U24" s="57"/>
      <c r="V24" s="57"/>
      <c r="W24" s="56" t="str">
        <f t="shared" si="1"/>
        <v>Open</v>
      </c>
      <c r="X24" s="55"/>
    </row>
    <row r="25" spans="1:24" s="54" customFormat="1" hidden="1" x14ac:dyDescent="0.35">
      <c r="A25" s="67" t="e">
        <f t="shared" si="0"/>
        <v>#N/A</v>
      </c>
      <c r="B25" s="66"/>
      <c r="C25" s="65"/>
      <c r="D25" s="64" t="e">
        <f>VLOOKUP(C25,[3]Droplist!$C$14:$F$32,4,FALSE)</f>
        <v>#N/A</v>
      </c>
      <c r="E25" s="63">
        <f>COUNTIF($C$6:C25,C25)</f>
        <v>0</v>
      </c>
      <c r="F25" s="62"/>
      <c r="G25" s="62"/>
      <c r="H25" s="61"/>
      <c r="I25" s="59"/>
      <c r="J25" s="59"/>
      <c r="K25" s="59"/>
      <c r="L25" s="59"/>
      <c r="M25" s="58"/>
      <c r="N25" s="55"/>
      <c r="O25" s="60"/>
      <c r="P25" s="59"/>
      <c r="Q25" s="57"/>
      <c r="R25" s="57"/>
      <c r="S25" s="58"/>
      <c r="T25" s="57"/>
      <c r="U25" s="57"/>
      <c r="V25" s="57"/>
      <c r="W25" s="56" t="str">
        <f t="shared" si="1"/>
        <v>Open</v>
      </c>
      <c r="X25" s="55"/>
    </row>
    <row r="26" spans="1:24" s="54" customFormat="1" hidden="1" x14ac:dyDescent="0.35">
      <c r="A26" s="67" t="e">
        <f t="shared" si="0"/>
        <v>#N/A</v>
      </c>
      <c r="B26" s="66"/>
      <c r="C26" s="65"/>
      <c r="D26" s="64" t="e">
        <f>VLOOKUP(C26,[3]Droplist!$C$14:$F$32,4,FALSE)</f>
        <v>#N/A</v>
      </c>
      <c r="E26" s="63">
        <f>COUNTIF($C$6:C26,C26)</f>
        <v>0</v>
      </c>
      <c r="F26" s="62"/>
      <c r="G26" s="62"/>
      <c r="H26" s="61"/>
      <c r="I26" s="59"/>
      <c r="J26" s="59"/>
      <c r="K26" s="59"/>
      <c r="L26" s="59"/>
      <c r="M26" s="58"/>
      <c r="N26" s="55"/>
      <c r="O26" s="60"/>
      <c r="P26" s="59"/>
      <c r="Q26" s="57"/>
      <c r="R26" s="57"/>
      <c r="S26" s="58"/>
      <c r="T26" s="57"/>
      <c r="U26" s="57"/>
      <c r="V26" s="57"/>
      <c r="W26" s="56" t="str">
        <f t="shared" si="1"/>
        <v>Open</v>
      </c>
      <c r="X26" s="55"/>
    </row>
    <row r="27" spans="1:24" s="54" customFormat="1" hidden="1" x14ac:dyDescent="0.35">
      <c r="A27" s="67" t="e">
        <f t="shared" si="0"/>
        <v>#N/A</v>
      </c>
      <c r="B27" s="66"/>
      <c r="C27" s="65"/>
      <c r="D27" s="64" t="e">
        <f>VLOOKUP(C27,[3]Droplist!$C$14:$F$32,4,FALSE)</f>
        <v>#N/A</v>
      </c>
      <c r="E27" s="63">
        <f>COUNTIF($C$6:C27,C27)</f>
        <v>0</v>
      </c>
      <c r="F27" s="62"/>
      <c r="G27" s="62"/>
      <c r="H27" s="61"/>
      <c r="I27" s="59"/>
      <c r="J27" s="59"/>
      <c r="K27" s="59"/>
      <c r="L27" s="59"/>
      <c r="M27" s="58"/>
      <c r="N27" s="55"/>
      <c r="O27" s="60"/>
      <c r="P27" s="59"/>
      <c r="Q27" s="57"/>
      <c r="R27" s="57"/>
      <c r="S27" s="58"/>
      <c r="T27" s="57"/>
      <c r="U27" s="57"/>
      <c r="V27" s="57"/>
      <c r="W27" s="56" t="str">
        <f t="shared" si="1"/>
        <v>Open</v>
      </c>
      <c r="X27" s="55"/>
    </row>
    <row r="28" spans="1:24" s="54" customFormat="1" hidden="1" x14ac:dyDescent="0.35">
      <c r="A28" s="67" t="e">
        <f t="shared" si="0"/>
        <v>#N/A</v>
      </c>
      <c r="B28" s="66"/>
      <c r="C28" s="65"/>
      <c r="D28" s="64" t="e">
        <f>VLOOKUP(C28,[3]Droplist!$C$14:$F$32,4,FALSE)</f>
        <v>#N/A</v>
      </c>
      <c r="E28" s="63">
        <f>COUNTIF($C$6:C28,C28)</f>
        <v>0</v>
      </c>
      <c r="F28" s="62"/>
      <c r="G28" s="62"/>
      <c r="H28" s="61"/>
      <c r="I28" s="59"/>
      <c r="J28" s="59"/>
      <c r="K28" s="59"/>
      <c r="L28" s="59"/>
      <c r="M28" s="58"/>
      <c r="N28" s="55"/>
      <c r="O28" s="60"/>
      <c r="P28" s="59"/>
      <c r="Q28" s="57"/>
      <c r="R28" s="57"/>
      <c r="S28" s="58"/>
      <c r="T28" s="57"/>
      <c r="U28" s="57"/>
      <c r="V28" s="57"/>
      <c r="W28" s="56" t="str">
        <f t="shared" si="1"/>
        <v>Open</v>
      </c>
      <c r="X28" s="55"/>
    </row>
    <row r="29" spans="1:24" s="54" customFormat="1" hidden="1" x14ac:dyDescent="0.35">
      <c r="A29" s="67" t="e">
        <f t="shared" si="0"/>
        <v>#N/A</v>
      </c>
      <c r="B29" s="66"/>
      <c r="C29" s="65"/>
      <c r="D29" s="64" t="e">
        <f>VLOOKUP(C29,[3]Droplist!$C$14:$F$32,4,FALSE)</f>
        <v>#N/A</v>
      </c>
      <c r="E29" s="63">
        <f>COUNTIF($C$6:C29,C29)</f>
        <v>0</v>
      </c>
      <c r="F29" s="62"/>
      <c r="G29" s="62"/>
      <c r="H29" s="61"/>
      <c r="I29" s="59"/>
      <c r="J29" s="59"/>
      <c r="K29" s="59"/>
      <c r="L29" s="59"/>
      <c r="M29" s="58"/>
      <c r="N29" s="55"/>
      <c r="O29" s="60"/>
      <c r="P29" s="59"/>
      <c r="Q29" s="57"/>
      <c r="R29" s="57"/>
      <c r="S29" s="58"/>
      <c r="T29" s="57"/>
      <c r="U29" s="57"/>
      <c r="V29" s="57"/>
      <c r="W29" s="56" t="str">
        <f t="shared" si="1"/>
        <v>Open</v>
      </c>
      <c r="X29" s="55"/>
    </row>
    <row r="30" spans="1:24" s="54" customFormat="1" hidden="1" x14ac:dyDescent="0.35">
      <c r="A30" s="67" t="e">
        <f t="shared" si="0"/>
        <v>#N/A</v>
      </c>
      <c r="B30" s="66"/>
      <c r="C30" s="65"/>
      <c r="D30" s="64" t="e">
        <f>VLOOKUP(C30,[3]Droplist!$C$14:$F$32,4,FALSE)</f>
        <v>#N/A</v>
      </c>
      <c r="E30" s="63">
        <f>COUNTIF($C$6:C30,C30)</f>
        <v>0</v>
      </c>
      <c r="F30" s="62"/>
      <c r="G30" s="62"/>
      <c r="H30" s="61"/>
      <c r="I30" s="59"/>
      <c r="J30" s="59"/>
      <c r="K30" s="59"/>
      <c r="L30" s="59"/>
      <c r="M30" s="58"/>
      <c r="N30" s="55"/>
      <c r="O30" s="60"/>
      <c r="P30" s="59"/>
      <c r="Q30" s="57"/>
      <c r="R30" s="57"/>
      <c r="S30" s="58"/>
      <c r="T30" s="57"/>
      <c r="U30" s="57"/>
      <c r="V30" s="57"/>
      <c r="W30" s="56" t="str">
        <f t="shared" si="1"/>
        <v>Open</v>
      </c>
      <c r="X30" s="55"/>
    </row>
    <row r="31" spans="1:24" s="54" customFormat="1" hidden="1" x14ac:dyDescent="0.35">
      <c r="A31" s="67" t="e">
        <f t="shared" si="0"/>
        <v>#N/A</v>
      </c>
      <c r="B31" s="66"/>
      <c r="C31" s="65"/>
      <c r="D31" s="64" t="e">
        <f>VLOOKUP(C31,[3]Droplist!$C$14:$F$32,4,FALSE)</f>
        <v>#N/A</v>
      </c>
      <c r="E31" s="63">
        <f>COUNTIF($C$6:C31,C31)</f>
        <v>0</v>
      </c>
      <c r="F31" s="62"/>
      <c r="G31" s="62"/>
      <c r="H31" s="61"/>
      <c r="I31" s="59"/>
      <c r="J31" s="59"/>
      <c r="K31" s="59"/>
      <c r="L31" s="59"/>
      <c r="M31" s="58"/>
      <c r="N31" s="55"/>
      <c r="O31" s="60"/>
      <c r="P31" s="59"/>
      <c r="Q31" s="57"/>
      <c r="R31" s="57"/>
      <c r="S31" s="58"/>
      <c r="T31" s="57"/>
      <c r="U31" s="57"/>
      <c r="V31" s="57"/>
      <c r="W31" s="56" t="str">
        <f t="shared" si="1"/>
        <v>Open</v>
      </c>
      <c r="X31" s="55"/>
    </row>
    <row r="32" spans="1:24" s="54" customFormat="1" hidden="1" x14ac:dyDescent="0.35">
      <c r="A32" s="67" t="e">
        <f t="shared" si="0"/>
        <v>#N/A</v>
      </c>
      <c r="B32" s="66"/>
      <c r="C32" s="65"/>
      <c r="D32" s="64" t="e">
        <f>VLOOKUP(C32,[3]Droplist!$C$14:$F$32,4,FALSE)</f>
        <v>#N/A</v>
      </c>
      <c r="E32" s="63">
        <f>COUNTIF($C$6:C32,C32)</f>
        <v>0</v>
      </c>
      <c r="F32" s="62"/>
      <c r="G32" s="62"/>
      <c r="H32" s="61"/>
      <c r="I32" s="59"/>
      <c r="J32" s="59"/>
      <c r="K32" s="59"/>
      <c r="L32" s="59"/>
      <c r="M32" s="58"/>
      <c r="N32" s="55"/>
      <c r="O32" s="60"/>
      <c r="P32" s="59"/>
      <c r="Q32" s="57"/>
      <c r="R32" s="57"/>
      <c r="S32" s="58"/>
      <c r="T32" s="57"/>
      <c r="U32" s="57"/>
      <c r="V32" s="57"/>
      <c r="W32" s="56" t="str">
        <f t="shared" si="1"/>
        <v>Open</v>
      </c>
      <c r="X32" s="55"/>
    </row>
    <row r="33" spans="1:24" s="54" customFormat="1" hidden="1" x14ac:dyDescent="0.35">
      <c r="A33" s="67" t="e">
        <f t="shared" si="0"/>
        <v>#N/A</v>
      </c>
      <c r="B33" s="66"/>
      <c r="C33" s="65"/>
      <c r="D33" s="64" t="e">
        <f>VLOOKUP(C33,[3]Droplist!$C$14:$F$32,4,FALSE)</f>
        <v>#N/A</v>
      </c>
      <c r="E33" s="63">
        <f>COUNTIF($C$6:C33,C33)</f>
        <v>0</v>
      </c>
      <c r="F33" s="62"/>
      <c r="G33" s="62"/>
      <c r="H33" s="61"/>
      <c r="I33" s="59"/>
      <c r="J33" s="59"/>
      <c r="K33" s="59"/>
      <c r="L33" s="59"/>
      <c r="M33" s="58"/>
      <c r="N33" s="55"/>
      <c r="O33" s="60"/>
      <c r="P33" s="59"/>
      <c r="Q33" s="57"/>
      <c r="R33" s="57"/>
      <c r="S33" s="58"/>
      <c r="T33" s="57"/>
      <c r="U33" s="57"/>
      <c r="V33" s="57"/>
      <c r="W33" s="56" t="str">
        <f t="shared" si="1"/>
        <v>Open</v>
      </c>
      <c r="X33" s="55"/>
    </row>
    <row r="34" spans="1:24" s="68" customFormat="1" hidden="1" x14ac:dyDescent="0.35">
      <c r="A34" s="67" t="e">
        <f t="shared" si="0"/>
        <v>#N/A</v>
      </c>
      <c r="B34" s="66"/>
      <c r="C34" s="65"/>
      <c r="D34" s="64" t="e">
        <f>VLOOKUP(C34,[3]Droplist!$C$14:$F$32,4,FALSE)</f>
        <v>#N/A</v>
      </c>
      <c r="E34" s="63">
        <f>COUNTIF($C$6:C34,C34)</f>
        <v>0</v>
      </c>
      <c r="F34" s="62"/>
      <c r="G34" s="62"/>
      <c r="H34" s="61"/>
      <c r="I34" s="59"/>
      <c r="J34" s="59"/>
      <c r="K34" s="59"/>
      <c r="L34" s="59"/>
      <c r="M34" s="58"/>
      <c r="N34" s="55"/>
      <c r="O34" s="60"/>
      <c r="P34" s="59"/>
      <c r="Q34" s="57"/>
      <c r="R34" s="57"/>
      <c r="S34" s="58"/>
      <c r="T34" s="57"/>
      <c r="U34" s="57"/>
      <c r="V34" s="57"/>
      <c r="W34" s="56" t="str">
        <f t="shared" si="1"/>
        <v>Open</v>
      </c>
      <c r="X34" s="55"/>
    </row>
    <row r="35" spans="1:24" s="54" customFormat="1" hidden="1" x14ac:dyDescent="0.35">
      <c r="A35" s="67" t="e">
        <f t="shared" si="0"/>
        <v>#N/A</v>
      </c>
      <c r="B35" s="66"/>
      <c r="C35" s="65"/>
      <c r="D35" s="64" t="e">
        <f>VLOOKUP(C35,[3]Droplist!$C$14:$F$32,4,FALSE)</f>
        <v>#N/A</v>
      </c>
      <c r="E35" s="63">
        <f>COUNTIF($C$6:C35,C35)</f>
        <v>0</v>
      </c>
      <c r="F35" s="62"/>
      <c r="G35" s="62"/>
      <c r="H35" s="61"/>
      <c r="I35" s="59"/>
      <c r="J35" s="59"/>
      <c r="K35" s="59"/>
      <c r="L35" s="59"/>
      <c r="M35" s="58"/>
      <c r="N35" s="55"/>
      <c r="O35" s="60"/>
      <c r="P35" s="59"/>
      <c r="Q35" s="57"/>
      <c r="R35" s="57"/>
      <c r="S35" s="58"/>
      <c r="T35" s="57"/>
      <c r="U35" s="57"/>
      <c r="V35" s="57"/>
      <c r="W35" s="56" t="str">
        <f t="shared" si="1"/>
        <v>Open</v>
      </c>
      <c r="X35" s="55"/>
    </row>
    <row r="36" spans="1:24" s="54" customFormat="1" hidden="1" x14ac:dyDescent="0.35">
      <c r="A36" s="67" t="e">
        <f t="shared" si="0"/>
        <v>#N/A</v>
      </c>
      <c r="B36" s="66"/>
      <c r="C36" s="65"/>
      <c r="D36" s="64" t="e">
        <f>VLOOKUP(C36,[3]Droplist!$C$14:$F$32,4,FALSE)</f>
        <v>#N/A</v>
      </c>
      <c r="E36" s="63">
        <f>COUNTIF($C$6:C36,C36)</f>
        <v>0</v>
      </c>
      <c r="F36" s="62"/>
      <c r="G36" s="62"/>
      <c r="H36" s="61"/>
      <c r="I36" s="59"/>
      <c r="J36" s="59"/>
      <c r="K36" s="59"/>
      <c r="L36" s="59"/>
      <c r="M36" s="58"/>
      <c r="N36" s="55"/>
      <c r="O36" s="60"/>
      <c r="P36" s="59"/>
      <c r="Q36" s="57"/>
      <c r="R36" s="57"/>
      <c r="S36" s="58"/>
      <c r="T36" s="57"/>
      <c r="U36" s="57"/>
      <c r="V36" s="57"/>
      <c r="W36" s="56" t="str">
        <f t="shared" si="1"/>
        <v>Open</v>
      </c>
      <c r="X36" s="55"/>
    </row>
    <row r="37" spans="1:24" s="54" customFormat="1" hidden="1" x14ac:dyDescent="0.35">
      <c r="A37" s="67" t="e">
        <f t="shared" si="0"/>
        <v>#N/A</v>
      </c>
      <c r="B37" s="66"/>
      <c r="C37" s="65"/>
      <c r="D37" s="64" t="e">
        <f>VLOOKUP(C37,[3]Droplist!$C$14:$F$32,4,FALSE)</f>
        <v>#N/A</v>
      </c>
      <c r="E37" s="63">
        <f>COUNTIF($C$6:C37,C37)</f>
        <v>0</v>
      </c>
      <c r="F37" s="62"/>
      <c r="G37" s="62"/>
      <c r="H37" s="61"/>
      <c r="I37" s="59"/>
      <c r="J37" s="59"/>
      <c r="K37" s="59"/>
      <c r="L37" s="59"/>
      <c r="M37" s="58"/>
      <c r="N37" s="55"/>
      <c r="O37" s="60"/>
      <c r="P37" s="59"/>
      <c r="Q37" s="57"/>
      <c r="R37" s="57"/>
      <c r="S37" s="58"/>
      <c r="T37" s="57"/>
      <c r="U37" s="57"/>
      <c r="V37" s="57"/>
      <c r="W37" s="56" t="str">
        <f t="shared" si="1"/>
        <v>Open</v>
      </c>
      <c r="X37" s="55"/>
    </row>
    <row r="38" spans="1:24" s="54" customFormat="1" hidden="1" x14ac:dyDescent="0.35">
      <c r="A38" s="67" t="e">
        <f t="shared" ref="A38:A69" si="2">D38&amp;" "&amp;E38</f>
        <v>#N/A</v>
      </c>
      <c r="B38" s="66"/>
      <c r="C38" s="65"/>
      <c r="D38" s="64" t="e">
        <f>VLOOKUP(C38,[3]Droplist!$C$14:$F$32,4,FALSE)</f>
        <v>#N/A</v>
      </c>
      <c r="E38" s="63">
        <f>COUNTIF($C$6:C38,C38)</f>
        <v>0</v>
      </c>
      <c r="F38" s="62"/>
      <c r="G38" s="62"/>
      <c r="H38" s="61"/>
      <c r="I38" s="59"/>
      <c r="J38" s="59"/>
      <c r="K38" s="59"/>
      <c r="L38" s="59"/>
      <c r="M38" s="58"/>
      <c r="N38" s="55"/>
      <c r="O38" s="60"/>
      <c r="P38" s="59"/>
      <c r="Q38" s="57"/>
      <c r="R38" s="57"/>
      <c r="S38" s="58"/>
      <c r="T38" s="57"/>
      <c r="U38" s="57"/>
      <c r="V38" s="57"/>
      <c r="W38" s="56" t="str">
        <f t="shared" ref="W38:W69" si="3">IF(U38="Project has closed this gap ", "Closed","Open")</f>
        <v>Open</v>
      </c>
      <c r="X38" s="55"/>
    </row>
    <row r="39" spans="1:24" s="54" customFormat="1" hidden="1" x14ac:dyDescent="0.35">
      <c r="A39" s="67" t="e">
        <f t="shared" si="2"/>
        <v>#N/A</v>
      </c>
      <c r="B39" s="66"/>
      <c r="C39" s="65"/>
      <c r="D39" s="64" t="e">
        <f>VLOOKUP(C39,[3]Droplist!$C$14:$F$32,4,FALSE)</f>
        <v>#N/A</v>
      </c>
      <c r="E39" s="63">
        <f>COUNTIF($C$6:C39,C39)</f>
        <v>0</v>
      </c>
      <c r="F39" s="62"/>
      <c r="G39" s="62"/>
      <c r="H39" s="61"/>
      <c r="I39" s="59"/>
      <c r="J39" s="59"/>
      <c r="K39" s="59"/>
      <c r="L39" s="59"/>
      <c r="M39" s="58"/>
      <c r="N39" s="55"/>
      <c r="O39" s="60"/>
      <c r="P39" s="59"/>
      <c r="Q39" s="57"/>
      <c r="R39" s="57"/>
      <c r="S39" s="58"/>
      <c r="T39" s="57"/>
      <c r="U39" s="57"/>
      <c r="V39" s="57"/>
      <c r="W39" s="56" t="str">
        <f t="shared" si="3"/>
        <v>Open</v>
      </c>
      <c r="X39" s="55"/>
    </row>
    <row r="40" spans="1:24" s="54" customFormat="1" hidden="1" x14ac:dyDescent="0.35">
      <c r="A40" s="67" t="e">
        <f t="shared" si="2"/>
        <v>#N/A</v>
      </c>
      <c r="B40" s="66"/>
      <c r="C40" s="65"/>
      <c r="D40" s="64" t="e">
        <f>VLOOKUP(C40,[3]Droplist!$C$14:$F$32,4,FALSE)</f>
        <v>#N/A</v>
      </c>
      <c r="E40" s="63">
        <f>COUNTIF($C$6:C40,C40)</f>
        <v>0</v>
      </c>
      <c r="F40" s="62"/>
      <c r="G40" s="62"/>
      <c r="H40" s="61"/>
      <c r="I40" s="59"/>
      <c r="J40" s="59"/>
      <c r="K40" s="59"/>
      <c r="L40" s="59"/>
      <c r="M40" s="58"/>
      <c r="N40" s="55"/>
      <c r="O40" s="60"/>
      <c r="P40" s="59"/>
      <c r="Q40" s="57"/>
      <c r="R40" s="57"/>
      <c r="S40" s="58"/>
      <c r="T40" s="57"/>
      <c r="U40" s="57"/>
      <c r="V40" s="57"/>
      <c r="W40" s="56" t="str">
        <f t="shared" si="3"/>
        <v>Open</v>
      </c>
      <c r="X40" s="55"/>
    </row>
    <row r="41" spans="1:24" s="54" customFormat="1" hidden="1" x14ac:dyDescent="0.35">
      <c r="A41" s="67" t="e">
        <f t="shared" si="2"/>
        <v>#N/A</v>
      </c>
      <c r="B41" s="66"/>
      <c r="C41" s="65"/>
      <c r="D41" s="64" t="e">
        <f>VLOOKUP(C41,[3]Droplist!$C$14:$F$32,4,FALSE)</f>
        <v>#N/A</v>
      </c>
      <c r="E41" s="63">
        <f>COUNTIF($C$6:C41,C41)</f>
        <v>0</v>
      </c>
      <c r="F41" s="62"/>
      <c r="G41" s="62"/>
      <c r="H41" s="61"/>
      <c r="I41" s="59"/>
      <c r="J41" s="59"/>
      <c r="K41" s="59"/>
      <c r="L41" s="59"/>
      <c r="M41" s="58"/>
      <c r="N41" s="55"/>
      <c r="O41" s="60"/>
      <c r="P41" s="59"/>
      <c r="Q41" s="57"/>
      <c r="R41" s="57"/>
      <c r="S41" s="58"/>
      <c r="T41" s="57"/>
      <c r="U41" s="57"/>
      <c r="V41" s="57"/>
      <c r="W41" s="56" t="str">
        <f t="shared" si="3"/>
        <v>Open</v>
      </c>
      <c r="X41" s="55"/>
    </row>
    <row r="42" spans="1:24" s="54" customFormat="1" hidden="1" x14ac:dyDescent="0.35">
      <c r="A42" s="67" t="e">
        <f t="shared" si="2"/>
        <v>#N/A</v>
      </c>
      <c r="B42" s="66"/>
      <c r="C42" s="65"/>
      <c r="D42" s="64" t="e">
        <f>VLOOKUP(C42,[3]Droplist!$C$14:$F$32,4,FALSE)</f>
        <v>#N/A</v>
      </c>
      <c r="E42" s="63">
        <f>COUNTIF($C$6:C42,C42)</f>
        <v>0</v>
      </c>
      <c r="F42" s="62"/>
      <c r="G42" s="62"/>
      <c r="H42" s="61"/>
      <c r="I42" s="59"/>
      <c r="J42" s="59"/>
      <c r="K42" s="59"/>
      <c r="L42" s="59"/>
      <c r="M42" s="58"/>
      <c r="N42" s="55"/>
      <c r="O42" s="60"/>
      <c r="P42" s="59"/>
      <c r="Q42" s="57"/>
      <c r="R42" s="57"/>
      <c r="S42" s="58"/>
      <c r="T42" s="57"/>
      <c r="U42" s="57"/>
      <c r="V42" s="57"/>
      <c r="W42" s="56" t="str">
        <f t="shared" si="3"/>
        <v>Open</v>
      </c>
      <c r="X42" s="55"/>
    </row>
    <row r="43" spans="1:24" s="54" customFormat="1" hidden="1" x14ac:dyDescent="0.35">
      <c r="A43" s="67" t="e">
        <f t="shared" si="2"/>
        <v>#N/A</v>
      </c>
      <c r="B43" s="66"/>
      <c r="C43" s="65"/>
      <c r="D43" s="64" t="e">
        <f>VLOOKUP(C43,[3]Droplist!$C$14:$F$32,4,FALSE)</f>
        <v>#N/A</v>
      </c>
      <c r="E43" s="63">
        <f>COUNTIF($C$6:C43,C43)</f>
        <v>0</v>
      </c>
      <c r="F43" s="62"/>
      <c r="G43" s="62"/>
      <c r="H43" s="61"/>
      <c r="I43" s="59"/>
      <c r="J43" s="59"/>
      <c r="K43" s="59"/>
      <c r="L43" s="59"/>
      <c r="M43" s="58"/>
      <c r="N43" s="55"/>
      <c r="O43" s="60"/>
      <c r="P43" s="59"/>
      <c r="Q43" s="57"/>
      <c r="R43" s="57"/>
      <c r="S43" s="58"/>
      <c r="T43" s="57"/>
      <c r="U43" s="57"/>
      <c r="V43" s="57"/>
      <c r="W43" s="56" t="str">
        <f t="shared" si="3"/>
        <v>Open</v>
      </c>
      <c r="X43" s="55"/>
    </row>
    <row r="44" spans="1:24" s="54" customFormat="1" hidden="1" x14ac:dyDescent="0.35">
      <c r="A44" s="67" t="e">
        <f t="shared" si="2"/>
        <v>#N/A</v>
      </c>
      <c r="B44" s="66"/>
      <c r="C44" s="65"/>
      <c r="D44" s="64" t="e">
        <f>VLOOKUP(C44,[3]Droplist!$C$14:$F$32,4,FALSE)</f>
        <v>#N/A</v>
      </c>
      <c r="E44" s="63">
        <f>COUNTIF($C$6:C44,C44)</f>
        <v>0</v>
      </c>
      <c r="F44" s="62"/>
      <c r="G44" s="62"/>
      <c r="H44" s="61"/>
      <c r="I44" s="59"/>
      <c r="J44" s="59"/>
      <c r="K44" s="59"/>
      <c r="L44" s="59"/>
      <c r="M44" s="58"/>
      <c r="N44" s="55"/>
      <c r="O44" s="60"/>
      <c r="P44" s="59"/>
      <c r="Q44" s="57"/>
      <c r="R44" s="57"/>
      <c r="S44" s="58"/>
      <c r="T44" s="57"/>
      <c r="U44" s="57"/>
      <c r="V44" s="57"/>
      <c r="W44" s="56" t="str">
        <f t="shared" si="3"/>
        <v>Open</v>
      </c>
      <c r="X44" s="55"/>
    </row>
    <row r="45" spans="1:24" s="54" customFormat="1" hidden="1" x14ac:dyDescent="0.35">
      <c r="A45" s="67" t="e">
        <f t="shared" si="2"/>
        <v>#N/A</v>
      </c>
      <c r="B45" s="66"/>
      <c r="C45" s="65"/>
      <c r="D45" s="64" t="e">
        <f>VLOOKUP(C45,[3]Droplist!$C$14:$F$32,4,FALSE)</f>
        <v>#N/A</v>
      </c>
      <c r="E45" s="63">
        <f>COUNTIF($C$6:C45,C45)</f>
        <v>0</v>
      </c>
      <c r="F45" s="62"/>
      <c r="G45" s="62"/>
      <c r="H45" s="61"/>
      <c r="I45" s="59"/>
      <c r="J45" s="59"/>
      <c r="K45" s="59"/>
      <c r="L45" s="59"/>
      <c r="M45" s="58"/>
      <c r="N45" s="55"/>
      <c r="O45" s="60"/>
      <c r="P45" s="59"/>
      <c r="Q45" s="57"/>
      <c r="R45" s="57"/>
      <c r="S45" s="58"/>
      <c r="T45" s="57"/>
      <c r="U45" s="57"/>
      <c r="V45" s="57"/>
      <c r="W45" s="56" t="str">
        <f t="shared" si="3"/>
        <v>Open</v>
      </c>
      <c r="X45" s="55"/>
    </row>
    <row r="46" spans="1:24" s="54" customFormat="1" hidden="1" x14ac:dyDescent="0.35">
      <c r="A46" s="67" t="e">
        <f t="shared" si="2"/>
        <v>#N/A</v>
      </c>
      <c r="B46" s="66"/>
      <c r="C46" s="65"/>
      <c r="D46" s="64" t="e">
        <f>VLOOKUP(C46,[3]Droplist!$C$14:$F$32,4,FALSE)</f>
        <v>#N/A</v>
      </c>
      <c r="E46" s="63">
        <f>COUNTIF($C$6:C46,C46)</f>
        <v>0</v>
      </c>
      <c r="F46" s="62"/>
      <c r="G46" s="62"/>
      <c r="H46" s="61"/>
      <c r="I46" s="59"/>
      <c r="J46" s="59"/>
      <c r="K46" s="59"/>
      <c r="L46" s="59"/>
      <c r="M46" s="58"/>
      <c r="N46" s="55"/>
      <c r="O46" s="60"/>
      <c r="P46" s="59"/>
      <c r="Q46" s="57"/>
      <c r="R46" s="57"/>
      <c r="S46" s="58"/>
      <c r="T46" s="57"/>
      <c r="U46" s="57"/>
      <c r="V46" s="57"/>
      <c r="W46" s="56" t="str">
        <f t="shared" si="3"/>
        <v>Open</v>
      </c>
      <c r="X46" s="55"/>
    </row>
    <row r="47" spans="1:24" s="54" customFormat="1" hidden="1" x14ac:dyDescent="0.35">
      <c r="A47" s="67" t="e">
        <f t="shared" si="2"/>
        <v>#N/A</v>
      </c>
      <c r="B47" s="66"/>
      <c r="C47" s="65"/>
      <c r="D47" s="64" t="e">
        <f>VLOOKUP(C47,[3]Droplist!$C$14:$F$32,4,FALSE)</f>
        <v>#N/A</v>
      </c>
      <c r="E47" s="63">
        <f>COUNTIF($C$6:C47,C47)</f>
        <v>0</v>
      </c>
      <c r="F47" s="62"/>
      <c r="G47" s="62"/>
      <c r="H47" s="61"/>
      <c r="I47" s="59"/>
      <c r="J47" s="59"/>
      <c r="K47" s="59"/>
      <c r="L47" s="59"/>
      <c r="M47" s="58"/>
      <c r="N47" s="55"/>
      <c r="O47" s="60"/>
      <c r="P47" s="59"/>
      <c r="Q47" s="57"/>
      <c r="R47" s="57"/>
      <c r="S47" s="58"/>
      <c r="T47" s="57"/>
      <c r="U47" s="57"/>
      <c r="V47" s="57"/>
      <c r="W47" s="56" t="str">
        <f t="shared" si="3"/>
        <v>Open</v>
      </c>
      <c r="X47" s="55"/>
    </row>
    <row r="48" spans="1:24" s="54" customFormat="1" hidden="1" x14ac:dyDescent="0.35">
      <c r="A48" s="67" t="e">
        <f t="shared" si="2"/>
        <v>#N/A</v>
      </c>
      <c r="B48" s="66"/>
      <c r="C48" s="65"/>
      <c r="D48" s="64" t="e">
        <f>VLOOKUP(C48,[3]Droplist!$C$14:$F$32,4,FALSE)</f>
        <v>#N/A</v>
      </c>
      <c r="E48" s="63">
        <f>COUNTIF($C$6:C48,C48)</f>
        <v>0</v>
      </c>
      <c r="F48" s="62"/>
      <c r="G48" s="62"/>
      <c r="H48" s="61"/>
      <c r="I48" s="59"/>
      <c r="J48" s="59"/>
      <c r="K48" s="59"/>
      <c r="L48" s="59"/>
      <c r="M48" s="58"/>
      <c r="N48" s="55"/>
      <c r="O48" s="60"/>
      <c r="P48" s="59"/>
      <c r="Q48" s="57"/>
      <c r="R48" s="57"/>
      <c r="S48" s="58"/>
      <c r="T48" s="57"/>
      <c r="U48" s="57"/>
      <c r="V48" s="57"/>
      <c r="W48" s="56" t="str">
        <f t="shared" si="3"/>
        <v>Open</v>
      </c>
      <c r="X48" s="55"/>
    </row>
    <row r="49" spans="1:24" s="54" customFormat="1" hidden="1" x14ac:dyDescent="0.35">
      <c r="A49" s="67" t="e">
        <f t="shared" si="2"/>
        <v>#N/A</v>
      </c>
      <c r="B49" s="66"/>
      <c r="C49" s="65"/>
      <c r="D49" s="64" t="e">
        <f>VLOOKUP(C49,[3]Droplist!$C$14:$F$32,4,FALSE)</f>
        <v>#N/A</v>
      </c>
      <c r="E49" s="63">
        <f>COUNTIF($C$6:C49,C49)</f>
        <v>0</v>
      </c>
      <c r="F49" s="62"/>
      <c r="G49" s="62"/>
      <c r="H49" s="61"/>
      <c r="I49" s="59"/>
      <c r="J49" s="59"/>
      <c r="K49" s="59"/>
      <c r="L49" s="59"/>
      <c r="M49" s="58"/>
      <c r="N49" s="55"/>
      <c r="O49" s="60"/>
      <c r="P49" s="59"/>
      <c r="Q49" s="57"/>
      <c r="R49" s="57"/>
      <c r="S49" s="58"/>
      <c r="T49" s="57"/>
      <c r="U49" s="57"/>
      <c r="V49" s="57"/>
      <c r="W49" s="56" t="str">
        <f t="shared" si="3"/>
        <v>Open</v>
      </c>
      <c r="X49" s="55"/>
    </row>
    <row r="50" spans="1:24" s="54" customFormat="1" hidden="1" x14ac:dyDescent="0.35">
      <c r="A50" s="67" t="e">
        <f t="shared" si="2"/>
        <v>#N/A</v>
      </c>
      <c r="B50" s="66"/>
      <c r="C50" s="65"/>
      <c r="D50" s="64" t="e">
        <f>VLOOKUP(C50,[3]Droplist!$C$14:$F$32,4,FALSE)</f>
        <v>#N/A</v>
      </c>
      <c r="E50" s="63">
        <f>COUNTIF($C$6:C50,C50)</f>
        <v>0</v>
      </c>
      <c r="F50" s="62"/>
      <c r="G50" s="62"/>
      <c r="H50" s="61"/>
      <c r="I50" s="59"/>
      <c r="J50" s="59"/>
      <c r="K50" s="59"/>
      <c r="L50" s="59"/>
      <c r="M50" s="58"/>
      <c r="N50" s="55"/>
      <c r="O50" s="60"/>
      <c r="P50" s="59"/>
      <c r="Q50" s="57"/>
      <c r="R50" s="57"/>
      <c r="S50" s="58"/>
      <c r="T50" s="57"/>
      <c r="U50" s="57"/>
      <c r="V50" s="57"/>
      <c r="W50" s="56" t="str">
        <f t="shared" si="3"/>
        <v>Open</v>
      </c>
      <c r="X50" s="55"/>
    </row>
    <row r="51" spans="1:24" s="54" customFormat="1" hidden="1" x14ac:dyDescent="0.35">
      <c r="A51" s="67" t="e">
        <f t="shared" si="2"/>
        <v>#N/A</v>
      </c>
      <c r="B51" s="66"/>
      <c r="C51" s="65"/>
      <c r="D51" s="64" t="e">
        <f>VLOOKUP(C51,[3]Droplist!$C$14:$F$32,4,FALSE)</f>
        <v>#N/A</v>
      </c>
      <c r="E51" s="63">
        <f>COUNTIF($C$6:C51,C51)</f>
        <v>0</v>
      </c>
      <c r="F51" s="62"/>
      <c r="G51" s="62"/>
      <c r="H51" s="61"/>
      <c r="I51" s="59"/>
      <c r="J51" s="59"/>
      <c r="K51" s="59"/>
      <c r="L51" s="59"/>
      <c r="M51" s="58"/>
      <c r="N51" s="55"/>
      <c r="O51" s="60"/>
      <c r="P51" s="59"/>
      <c r="Q51" s="57"/>
      <c r="R51" s="57"/>
      <c r="S51" s="58"/>
      <c r="T51" s="57"/>
      <c r="U51" s="57"/>
      <c r="V51" s="57"/>
      <c r="W51" s="56" t="str">
        <f t="shared" si="3"/>
        <v>Open</v>
      </c>
      <c r="X51" s="55"/>
    </row>
    <row r="52" spans="1:24" s="54" customFormat="1" hidden="1" x14ac:dyDescent="0.35">
      <c r="A52" s="67" t="e">
        <f t="shared" si="2"/>
        <v>#N/A</v>
      </c>
      <c r="B52" s="66"/>
      <c r="C52" s="65"/>
      <c r="D52" s="64" t="e">
        <f>VLOOKUP(C52,[3]Droplist!$C$14:$F$32,4,FALSE)</f>
        <v>#N/A</v>
      </c>
      <c r="E52" s="63">
        <f>COUNTIF($C$6:C52,C52)</f>
        <v>0</v>
      </c>
      <c r="F52" s="62"/>
      <c r="G52" s="62"/>
      <c r="H52" s="61"/>
      <c r="I52" s="59"/>
      <c r="J52" s="59"/>
      <c r="K52" s="59"/>
      <c r="L52" s="59"/>
      <c r="M52" s="58"/>
      <c r="N52" s="55"/>
      <c r="O52" s="60"/>
      <c r="P52" s="59"/>
      <c r="Q52" s="57"/>
      <c r="R52" s="57"/>
      <c r="S52" s="58"/>
      <c r="T52" s="57"/>
      <c r="U52" s="57"/>
      <c r="V52" s="57"/>
      <c r="W52" s="56" t="str">
        <f t="shared" si="3"/>
        <v>Open</v>
      </c>
      <c r="X52" s="55"/>
    </row>
    <row r="53" spans="1:24" s="54" customFormat="1" hidden="1" x14ac:dyDescent="0.35">
      <c r="A53" s="67" t="e">
        <f t="shared" si="2"/>
        <v>#N/A</v>
      </c>
      <c r="B53" s="66"/>
      <c r="C53" s="65"/>
      <c r="D53" s="64" t="e">
        <f>VLOOKUP(C53,[3]Droplist!$C$14:$F$32,4,FALSE)</f>
        <v>#N/A</v>
      </c>
      <c r="E53" s="63">
        <f>COUNTIF($C$6:C53,C53)</f>
        <v>0</v>
      </c>
      <c r="F53" s="62"/>
      <c r="G53" s="62"/>
      <c r="H53" s="61"/>
      <c r="I53" s="59"/>
      <c r="J53" s="59"/>
      <c r="K53" s="59"/>
      <c r="L53" s="59"/>
      <c r="M53" s="58"/>
      <c r="N53" s="55"/>
      <c r="O53" s="60"/>
      <c r="P53" s="59"/>
      <c r="Q53" s="57"/>
      <c r="R53" s="57"/>
      <c r="S53" s="58"/>
      <c r="T53" s="57"/>
      <c r="U53" s="57"/>
      <c r="V53" s="57"/>
      <c r="W53" s="56" t="str">
        <f t="shared" si="3"/>
        <v>Open</v>
      </c>
      <c r="X53" s="55"/>
    </row>
    <row r="54" spans="1:24" s="54" customFormat="1" hidden="1" x14ac:dyDescent="0.35">
      <c r="A54" s="67" t="e">
        <f t="shared" si="2"/>
        <v>#N/A</v>
      </c>
      <c r="B54" s="66"/>
      <c r="C54" s="65"/>
      <c r="D54" s="64" t="e">
        <f>VLOOKUP(C54,[3]Droplist!$C$14:$F$32,4,FALSE)</f>
        <v>#N/A</v>
      </c>
      <c r="E54" s="63">
        <f>COUNTIF($C$6:C54,C54)</f>
        <v>0</v>
      </c>
      <c r="F54" s="62"/>
      <c r="G54" s="62"/>
      <c r="H54" s="61"/>
      <c r="I54" s="59"/>
      <c r="J54" s="59"/>
      <c r="K54" s="59"/>
      <c r="L54" s="59"/>
      <c r="M54" s="58"/>
      <c r="N54" s="55"/>
      <c r="O54" s="60"/>
      <c r="P54" s="59"/>
      <c r="Q54" s="57"/>
      <c r="R54" s="57"/>
      <c r="S54" s="58"/>
      <c r="T54" s="57"/>
      <c r="U54" s="57"/>
      <c r="V54" s="57"/>
      <c r="W54" s="56" t="str">
        <f t="shared" si="3"/>
        <v>Open</v>
      </c>
      <c r="X54" s="55"/>
    </row>
    <row r="55" spans="1:24" s="54" customFormat="1" hidden="1" x14ac:dyDescent="0.35">
      <c r="A55" s="67" t="e">
        <f t="shared" si="2"/>
        <v>#N/A</v>
      </c>
      <c r="B55" s="66"/>
      <c r="C55" s="65"/>
      <c r="D55" s="64" t="e">
        <f>VLOOKUP(C55,[3]Droplist!$C$14:$F$32,4,FALSE)</f>
        <v>#N/A</v>
      </c>
      <c r="E55" s="63">
        <f>COUNTIF($C$6:C55,C55)</f>
        <v>0</v>
      </c>
      <c r="F55" s="62"/>
      <c r="G55" s="62"/>
      <c r="H55" s="61"/>
      <c r="I55" s="59"/>
      <c r="J55" s="59"/>
      <c r="K55" s="59"/>
      <c r="L55" s="59"/>
      <c r="M55" s="58"/>
      <c r="N55" s="55"/>
      <c r="O55" s="60"/>
      <c r="P55" s="59"/>
      <c r="Q55" s="57"/>
      <c r="R55" s="57"/>
      <c r="S55" s="58"/>
      <c r="T55" s="57"/>
      <c r="U55" s="57"/>
      <c r="V55" s="57"/>
      <c r="W55" s="56" t="str">
        <f t="shared" si="3"/>
        <v>Open</v>
      </c>
      <c r="X55" s="55"/>
    </row>
    <row r="56" spans="1:24" s="54" customFormat="1" hidden="1" x14ac:dyDescent="0.35">
      <c r="A56" s="67" t="e">
        <f t="shared" si="2"/>
        <v>#N/A</v>
      </c>
      <c r="B56" s="66"/>
      <c r="C56" s="65"/>
      <c r="D56" s="64" t="e">
        <f>VLOOKUP(C56,[3]Droplist!$C$14:$F$32,4,FALSE)</f>
        <v>#N/A</v>
      </c>
      <c r="E56" s="63">
        <f>COUNTIF($C$6:C56,C56)</f>
        <v>0</v>
      </c>
      <c r="F56" s="62"/>
      <c r="G56" s="62"/>
      <c r="H56" s="61"/>
      <c r="I56" s="59"/>
      <c r="J56" s="59"/>
      <c r="K56" s="59"/>
      <c r="L56" s="59"/>
      <c r="M56" s="58"/>
      <c r="N56" s="55"/>
      <c r="O56" s="60"/>
      <c r="P56" s="59"/>
      <c r="Q56" s="57"/>
      <c r="R56" s="57"/>
      <c r="S56" s="58"/>
      <c r="T56" s="57"/>
      <c r="U56" s="57"/>
      <c r="V56" s="57"/>
      <c r="W56" s="56" t="str">
        <f t="shared" si="3"/>
        <v>Open</v>
      </c>
      <c r="X56" s="55"/>
    </row>
    <row r="57" spans="1:24" s="54" customFormat="1" hidden="1" x14ac:dyDescent="0.35">
      <c r="A57" s="67" t="e">
        <f t="shared" si="2"/>
        <v>#N/A</v>
      </c>
      <c r="B57" s="66"/>
      <c r="C57" s="65"/>
      <c r="D57" s="64" t="e">
        <f>VLOOKUP(C57,[3]Droplist!$C$14:$F$32,4,FALSE)</f>
        <v>#N/A</v>
      </c>
      <c r="E57" s="63">
        <f>COUNTIF($C$6:C57,C57)</f>
        <v>0</v>
      </c>
      <c r="F57" s="62"/>
      <c r="G57" s="62"/>
      <c r="H57" s="61"/>
      <c r="I57" s="59"/>
      <c r="J57" s="59"/>
      <c r="K57" s="59"/>
      <c r="L57" s="59"/>
      <c r="M57" s="58"/>
      <c r="N57" s="55"/>
      <c r="O57" s="60"/>
      <c r="P57" s="59"/>
      <c r="Q57" s="57"/>
      <c r="R57" s="57"/>
      <c r="S57" s="58"/>
      <c r="T57" s="57"/>
      <c r="U57" s="57"/>
      <c r="V57" s="57"/>
      <c r="W57" s="56" t="str">
        <f t="shared" si="3"/>
        <v>Open</v>
      </c>
      <c r="X57" s="55"/>
    </row>
    <row r="58" spans="1:24" s="54" customFormat="1" hidden="1" x14ac:dyDescent="0.35">
      <c r="A58" s="67" t="e">
        <f t="shared" si="2"/>
        <v>#N/A</v>
      </c>
      <c r="B58" s="66"/>
      <c r="C58" s="65"/>
      <c r="D58" s="64" t="e">
        <f>VLOOKUP(C58,[3]Droplist!$C$14:$F$32,4,FALSE)</f>
        <v>#N/A</v>
      </c>
      <c r="E58" s="63">
        <f>COUNTIF($C$6:C58,C58)</f>
        <v>0</v>
      </c>
      <c r="F58" s="62"/>
      <c r="G58" s="62"/>
      <c r="H58" s="61"/>
      <c r="I58" s="59"/>
      <c r="J58" s="59"/>
      <c r="K58" s="59"/>
      <c r="L58" s="59"/>
      <c r="M58" s="58"/>
      <c r="N58" s="55"/>
      <c r="O58" s="60"/>
      <c r="P58" s="59"/>
      <c r="Q58" s="57"/>
      <c r="R58" s="57"/>
      <c r="S58" s="58"/>
      <c r="T58" s="57"/>
      <c r="U58" s="57"/>
      <c r="V58" s="57"/>
      <c r="W58" s="56" t="str">
        <f t="shared" si="3"/>
        <v>Open</v>
      </c>
      <c r="X58" s="55"/>
    </row>
    <row r="59" spans="1:24" s="54" customFormat="1" hidden="1" x14ac:dyDescent="0.35">
      <c r="A59" s="67" t="e">
        <f t="shared" si="2"/>
        <v>#N/A</v>
      </c>
      <c r="B59" s="66"/>
      <c r="C59" s="65"/>
      <c r="D59" s="64" t="e">
        <f>VLOOKUP(C59,[3]Droplist!$C$14:$F$32,4,FALSE)</f>
        <v>#N/A</v>
      </c>
      <c r="E59" s="63">
        <f>COUNTIF($C$6:C59,C59)</f>
        <v>0</v>
      </c>
      <c r="F59" s="62"/>
      <c r="G59" s="62"/>
      <c r="H59" s="61"/>
      <c r="I59" s="59"/>
      <c r="J59" s="59"/>
      <c r="K59" s="59"/>
      <c r="L59" s="59"/>
      <c r="M59" s="58"/>
      <c r="N59" s="55"/>
      <c r="O59" s="60"/>
      <c r="P59" s="59"/>
      <c r="Q59" s="57"/>
      <c r="R59" s="57"/>
      <c r="S59" s="58"/>
      <c r="T59" s="57"/>
      <c r="U59" s="57"/>
      <c r="V59" s="57"/>
      <c r="W59" s="56" t="str">
        <f t="shared" si="3"/>
        <v>Open</v>
      </c>
      <c r="X59" s="55"/>
    </row>
    <row r="60" spans="1:24" s="54" customFormat="1" hidden="1" x14ac:dyDescent="0.35">
      <c r="A60" s="67" t="e">
        <f t="shared" si="2"/>
        <v>#N/A</v>
      </c>
      <c r="B60" s="66"/>
      <c r="C60" s="65"/>
      <c r="D60" s="64" t="e">
        <f>VLOOKUP(C60,[3]Droplist!$C$14:$F$32,4,FALSE)</f>
        <v>#N/A</v>
      </c>
      <c r="E60" s="63">
        <f>COUNTIF($C$6:C60,C60)</f>
        <v>0</v>
      </c>
      <c r="F60" s="62"/>
      <c r="G60" s="62"/>
      <c r="H60" s="61"/>
      <c r="I60" s="59"/>
      <c r="J60" s="59"/>
      <c r="K60" s="59"/>
      <c r="L60" s="59"/>
      <c r="M60" s="58"/>
      <c r="N60" s="55"/>
      <c r="O60" s="60"/>
      <c r="P60" s="59"/>
      <c r="Q60" s="57"/>
      <c r="R60" s="57"/>
      <c r="S60" s="58"/>
      <c r="T60" s="57"/>
      <c r="U60" s="57"/>
      <c r="V60" s="57"/>
      <c r="W60" s="56" t="str">
        <f t="shared" si="3"/>
        <v>Open</v>
      </c>
      <c r="X60" s="55"/>
    </row>
    <row r="61" spans="1:24" s="54" customFormat="1" hidden="1" x14ac:dyDescent="0.35">
      <c r="A61" s="67" t="e">
        <f t="shared" si="2"/>
        <v>#N/A</v>
      </c>
      <c r="B61" s="66"/>
      <c r="C61" s="65"/>
      <c r="D61" s="64" t="e">
        <f>VLOOKUP(C61,[3]Droplist!$C$14:$F$32,4,FALSE)</f>
        <v>#N/A</v>
      </c>
      <c r="E61" s="63">
        <f>COUNTIF($C$6:C61,C61)</f>
        <v>0</v>
      </c>
      <c r="F61" s="62"/>
      <c r="G61" s="62"/>
      <c r="H61" s="61"/>
      <c r="I61" s="59"/>
      <c r="J61" s="59"/>
      <c r="K61" s="59"/>
      <c r="L61" s="59"/>
      <c r="M61" s="58"/>
      <c r="N61" s="55"/>
      <c r="O61" s="60"/>
      <c r="P61" s="59"/>
      <c r="Q61" s="57"/>
      <c r="R61" s="57"/>
      <c r="S61" s="58"/>
      <c r="T61" s="57"/>
      <c r="U61" s="57"/>
      <c r="V61" s="57"/>
      <c r="W61" s="56" t="str">
        <f t="shared" si="3"/>
        <v>Open</v>
      </c>
      <c r="X61" s="55"/>
    </row>
    <row r="62" spans="1:24" s="54" customFormat="1" hidden="1" x14ac:dyDescent="0.35">
      <c r="A62" s="67" t="e">
        <f t="shared" si="2"/>
        <v>#N/A</v>
      </c>
      <c r="B62" s="66"/>
      <c r="C62" s="65"/>
      <c r="D62" s="64" t="e">
        <f>VLOOKUP(C62,[3]Droplist!$C$14:$F$32,4,FALSE)</f>
        <v>#N/A</v>
      </c>
      <c r="E62" s="63">
        <f>COUNTIF($C$6:C62,C62)</f>
        <v>0</v>
      </c>
      <c r="F62" s="62"/>
      <c r="G62" s="62"/>
      <c r="H62" s="61"/>
      <c r="I62" s="59"/>
      <c r="J62" s="59"/>
      <c r="K62" s="59"/>
      <c r="L62" s="59"/>
      <c r="M62" s="58"/>
      <c r="N62" s="55"/>
      <c r="O62" s="60"/>
      <c r="P62" s="59"/>
      <c r="Q62" s="57"/>
      <c r="R62" s="57"/>
      <c r="S62" s="58"/>
      <c r="T62" s="57"/>
      <c r="U62" s="57"/>
      <c r="V62" s="57"/>
      <c r="W62" s="56" t="str">
        <f t="shared" si="3"/>
        <v>Open</v>
      </c>
      <c r="X62" s="55"/>
    </row>
    <row r="63" spans="1:24" s="54" customFormat="1" hidden="1" x14ac:dyDescent="0.35">
      <c r="A63" s="67" t="e">
        <f t="shared" si="2"/>
        <v>#N/A</v>
      </c>
      <c r="B63" s="66"/>
      <c r="C63" s="65"/>
      <c r="D63" s="64" t="e">
        <f>VLOOKUP(C63,[3]Droplist!$C$14:$F$32,4,FALSE)</f>
        <v>#N/A</v>
      </c>
      <c r="E63" s="63">
        <f>COUNTIF($C$6:C63,C63)</f>
        <v>0</v>
      </c>
      <c r="F63" s="62"/>
      <c r="G63" s="62"/>
      <c r="H63" s="61"/>
      <c r="I63" s="59"/>
      <c r="J63" s="59"/>
      <c r="K63" s="59"/>
      <c r="L63" s="59"/>
      <c r="M63" s="58"/>
      <c r="N63" s="55"/>
      <c r="O63" s="60"/>
      <c r="P63" s="59"/>
      <c r="Q63" s="57"/>
      <c r="R63" s="57"/>
      <c r="S63" s="58"/>
      <c r="T63" s="57"/>
      <c r="U63" s="57"/>
      <c r="V63" s="57"/>
      <c r="W63" s="56" t="str">
        <f t="shared" si="3"/>
        <v>Open</v>
      </c>
      <c r="X63" s="55"/>
    </row>
    <row r="64" spans="1:24" s="54" customFormat="1" hidden="1" x14ac:dyDescent="0.35">
      <c r="A64" s="67" t="e">
        <f t="shared" si="2"/>
        <v>#N/A</v>
      </c>
      <c r="B64" s="66"/>
      <c r="C64" s="65"/>
      <c r="D64" s="64" t="e">
        <f>VLOOKUP(C64,[3]Droplist!$C$14:$F$32,4,FALSE)</f>
        <v>#N/A</v>
      </c>
      <c r="E64" s="63">
        <f>COUNTIF($C$6:C64,C64)</f>
        <v>0</v>
      </c>
      <c r="F64" s="62"/>
      <c r="G64" s="62"/>
      <c r="H64" s="61"/>
      <c r="I64" s="59"/>
      <c r="J64" s="59"/>
      <c r="K64" s="59"/>
      <c r="L64" s="59"/>
      <c r="M64" s="58"/>
      <c r="N64" s="55"/>
      <c r="O64" s="60"/>
      <c r="P64" s="59"/>
      <c r="Q64" s="57"/>
      <c r="R64" s="57"/>
      <c r="S64" s="58"/>
      <c r="T64" s="57"/>
      <c r="U64" s="57"/>
      <c r="V64" s="57"/>
      <c r="W64" s="56" t="str">
        <f t="shared" si="3"/>
        <v>Open</v>
      </c>
      <c r="X64" s="55"/>
    </row>
    <row r="65" spans="1:24" s="54" customFormat="1" hidden="1" x14ac:dyDescent="0.35">
      <c r="A65" s="67" t="e">
        <f t="shared" si="2"/>
        <v>#N/A</v>
      </c>
      <c r="B65" s="66"/>
      <c r="C65" s="65"/>
      <c r="D65" s="64" t="e">
        <f>VLOOKUP(C65,[3]Droplist!$C$14:$F$32,4,FALSE)</f>
        <v>#N/A</v>
      </c>
      <c r="E65" s="63">
        <f>COUNTIF($C$6:C65,C65)</f>
        <v>0</v>
      </c>
      <c r="F65" s="62"/>
      <c r="G65" s="62"/>
      <c r="H65" s="61"/>
      <c r="I65" s="59"/>
      <c r="J65" s="59"/>
      <c r="K65" s="59"/>
      <c r="L65" s="59"/>
      <c r="M65" s="58"/>
      <c r="N65" s="55"/>
      <c r="O65" s="60"/>
      <c r="P65" s="59"/>
      <c r="Q65" s="57"/>
      <c r="R65" s="57"/>
      <c r="S65" s="58"/>
      <c r="T65" s="57"/>
      <c r="U65" s="57"/>
      <c r="V65" s="57"/>
      <c r="W65" s="56" t="str">
        <f t="shared" si="3"/>
        <v>Open</v>
      </c>
      <c r="X65" s="55"/>
    </row>
    <row r="66" spans="1:24" s="54" customFormat="1" hidden="1" x14ac:dyDescent="0.35">
      <c r="A66" s="67" t="e">
        <f t="shared" si="2"/>
        <v>#N/A</v>
      </c>
      <c r="B66" s="66"/>
      <c r="C66" s="65"/>
      <c r="D66" s="64" t="e">
        <f>VLOOKUP(C66,[3]Droplist!$C$14:$F$32,4,FALSE)</f>
        <v>#N/A</v>
      </c>
      <c r="E66" s="63">
        <f>COUNTIF($C$6:C66,C66)</f>
        <v>0</v>
      </c>
      <c r="F66" s="62"/>
      <c r="G66" s="62"/>
      <c r="H66" s="61"/>
      <c r="I66" s="59"/>
      <c r="J66" s="59"/>
      <c r="K66" s="59"/>
      <c r="L66" s="59"/>
      <c r="M66" s="58"/>
      <c r="N66" s="55"/>
      <c r="O66" s="60"/>
      <c r="P66" s="59"/>
      <c r="Q66" s="57"/>
      <c r="R66" s="57"/>
      <c r="S66" s="58"/>
      <c r="T66" s="57"/>
      <c r="U66" s="57"/>
      <c r="V66" s="57"/>
      <c r="W66" s="56" t="str">
        <f t="shared" si="3"/>
        <v>Open</v>
      </c>
      <c r="X66" s="55"/>
    </row>
    <row r="67" spans="1:24" s="54" customFormat="1" hidden="1" x14ac:dyDescent="0.35">
      <c r="A67" s="67" t="e">
        <f t="shared" si="2"/>
        <v>#N/A</v>
      </c>
      <c r="B67" s="66"/>
      <c r="C67" s="65"/>
      <c r="D67" s="64" t="e">
        <f>VLOOKUP(C67,[3]Droplist!$C$14:$F$32,4,FALSE)</f>
        <v>#N/A</v>
      </c>
      <c r="E67" s="63">
        <f>COUNTIF($C$6:C67,C67)</f>
        <v>0</v>
      </c>
      <c r="F67" s="62"/>
      <c r="G67" s="62"/>
      <c r="H67" s="61"/>
      <c r="I67" s="59"/>
      <c r="J67" s="59"/>
      <c r="K67" s="59"/>
      <c r="L67" s="59"/>
      <c r="M67" s="58"/>
      <c r="N67" s="55"/>
      <c r="O67" s="60"/>
      <c r="P67" s="59"/>
      <c r="Q67" s="57"/>
      <c r="R67" s="57"/>
      <c r="S67" s="58"/>
      <c r="T67" s="57"/>
      <c r="U67" s="57"/>
      <c r="V67" s="57"/>
      <c r="W67" s="56" t="str">
        <f t="shared" si="3"/>
        <v>Open</v>
      </c>
      <c r="X67" s="55"/>
    </row>
    <row r="68" spans="1:24" s="54" customFormat="1" hidden="1" x14ac:dyDescent="0.35">
      <c r="A68" s="67" t="e">
        <f t="shared" si="2"/>
        <v>#N/A</v>
      </c>
      <c r="B68" s="66"/>
      <c r="C68" s="65"/>
      <c r="D68" s="64" t="e">
        <f>VLOOKUP(C68,[3]Droplist!$C$14:$F$32,4,FALSE)</f>
        <v>#N/A</v>
      </c>
      <c r="E68" s="63">
        <f>COUNTIF($C$6:C68,C68)</f>
        <v>0</v>
      </c>
      <c r="F68" s="62"/>
      <c r="G68" s="62"/>
      <c r="H68" s="61"/>
      <c r="I68" s="59"/>
      <c r="J68" s="59"/>
      <c r="K68" s="59"/>
      <c r="L68" s="59"/>
      <c r="M68" s="58"/>
      <c r="N68" s="55"/>
      <c r="O68" s="60"/>
      <c r="P68" s="59"/>
      <c r="Q68" s="57"/>
      <c r="R68" s="57"/>
      <c r="S68" s="58"/>
      <c r="T68" s="57"/>
      <c r="U68" s="57"/>
      <c r="V68" s="57"/>
      <c r="W68" s="56" t="str">
        <f t="shared" si="3"/>
        <v>Open</v>
      </c>
      <c r="X68" s="55"/>
    </row>
    <row r="69" spans="1:24" s="54" customFormat="1" hidden="1" x14ac:dyDescent="0.35">
      <c r="A69" s="67" t="e">
        <f t="shared" si="2"/>
        <v>#N/A</v>
      </c>
      <c r="B69" s="66"/>
      <c r="C69" s="65"/>
      <c r="D69" s="64" t="e">
        <f>VLOOKUP(C69,[3]Droplist!$C$14:$F$32,4,FALSE)</f>
        <v>#N/A</v>
      </c>
      <c r="E69" s="63">
        <f>COUNTIF($C$6:C69,C69)</f>
        <v>0</v>
      </c>
      <c r="F69" s="62"/>
      <c r="G69" s="62"/>
      <c r="H69" s="61"/>
      <c r="I69" s="59"/>
      <c r="J69" s="59"/>
      <c r="K69" s="59"/>
      <c r="L69" s="59"/>
      <c r="M69" s="58"/>
      <c r="N69" s="55"/>
      <c r="O69" s="60"/>
      <c r="P69" s="59"/>
      <c r="Q69" s="57"/>
      <c r="R69" s="57"/>
      <c r="S69" s="58"/>
      <c r="T69" s="57"/>
      <c r="U69" s="57"/>
      <c r="V69" s="57"/>
      <c r="W69" s="56" t="str">
        <f t="shared" si="3"/>
        <v>Open</v>
      </c>
      <c r="X69" s="55"/>
    </row>
    <row r="70" spans="1:24" s="54" customFormat="1" hidden="1" x14ac:dyDescent="0.35">
      <c r="A70" s="67" t="e">
        <f t="shared" ref="A70:A101" si="4">D70&amp;" "&amp;E70</f>
        <v>#N/A</v>
      </c>
      <c r="B70" s="66"/>
      <c r="C70" s="65"/>
      <c r="D70" s="64" t="e">
        <f>VLOOKUP(C70,[3]Droplist!$C$14:$F$32,4,FALSE)</f>
        <v>#N/A</v>
      </c>
      <c r="E70" s="63">
        <f>COUNTIF($C$6:C70,C70)</f>
        <v>0</v>
      </c>
      <c r="F70" s="62"/>
      <c r="G70" s="62"/>
      <c r="H70" s="61"/>
      <c r="I70" s="59"/>
      <c r="J70" s="59"/>
      <c r="K70" s="59"/>
      <c r="L70" s="59"/>
      <c r="M70" s="58"/>
      <c r="N70" s="55"/>
      <c r="O70" s="60"/>
      <c r="P70" s="59"/>
      <c r="Q70" s="57"/>
      <c r="R70" s="57"/>
      <c r="S70" s="58"/>
      <c r="T70" s="57"/>
      <c r="U70" s="57"/>
      <c r="V70" s="57"/>
      <c r="W70" s="56" t="str">
        <f t="shared" ref="W70:W101" si="5">IF(U70="Project has closed this gap ", "Closed","Open")</f>
        <v>Open</v>
      </c>
      <c r="X70" s="55"/>
    </row>
    <row r="71" spans="1:24" s="54" customFormat="1" hidden="1" x14ac:dyDescent="0.35">
      <c r="A71" s="67" t="e">
        <f t="shared" si="4"/>
        <v>#N/A</v>
      </c>
      <c r="B71" s="66"/>
      <c r="C71" s="65"/>
      <c r="D71" s="64" t="e">
        <f>VLOOKUP(C71,[3]Droplist!$C$14:$F$32,4,FALSE)</f>
        <v>#N/A</v>
      </c>
      <c r="E71" s="63">
        <f>COUNTIF($C$6:C71,C71)</f>
        <v>0</v>
      </c>
      <c r="F71" s="62"/>
      <c r="G71" s="62"/>
      <c r="H71" s="61"/>
      <c r="I71" s="59"/>
      <c r="J71" s="59"/>
      <c r="K71" s="59"/>
      <c r="L71" s="59"/>
      <c r="M71" s="58"/>
      <c r="N71" s="55"/>
      <c r="O71" s="60"/>
      <c r="P71" s="59"/>
      <c r="Q71" s="57"/>
      <c r="R71" s="57"/>
      <c r="S71" s="58"/>
      <c r="T71" s="57"/>
      <c r="U71" s="57"/>
      <c r="V71" s="57"/>
      <c r="W71" s="56" t="str">
        <f t="shared" si="5"/>
        <v>Open</v>
      </c>
      <c r="X71" s="55"/>
    </row>
    <row r="72" spans="1:24" s="54" customFormat="1" hidden="1" x14ac:dyDescent="0.35">
      <c r="A72" s="67" t="e">
        <f t="shared" si="4"/>
        <v>#N/A</v>
      </c>
      <c r="B72" s="66"/>
      <c r="C72" s="65"/>
      <c r="D72" s="64" t="e">
        <f>VLOOKUP(C72,[3]Droplist!$C$14:$F$32,4,FALSE)</f>
        <v>#N/A</v>
      </c>
      <c r="E72" s="63">
        <f>COUNTIF($C$6:C72,C72)</f>
        <v>0</v>
      </c>
      <c r="F72" s="62"/>
      <c r="G72" s="62"/>
      <c r="H72" s="61"/>
      <c r="I72" s="59"/>
      <c r="J72" s="59"/>
      <c r="K72" s="59"/>
      <c r="L72" s="59"/>
      <c r="M72" s="58"/>
      <c r="N72" s="55"/>
      <c r="O72" s="60"/>
      <c r="P72" s="59"/>
      <c r="Q72" s="57"/>
      <c r="R72" s="57"/>
      <c r="S72" s="58"/>
      <c r="T72" s="57"/>
      <c r="U72" s="57"/>
      <c r="V72" s="57"/>
      <c r="W72" s="56" t="str">
        <f t="shared" si="5"/>
        <v>Open</v>
      </c>
      <c r="X72" s="55"/>
    </row>
    <row r="73" spans="1:24" s="54" customFormat="1" hidden="1" x14ac:dyDescent="0.35">
      <c r="A73" s="67" t="e">
        <f t="shared" si="4"/>
        <v>#N/A</v>
      </c>
      <c r="B73" s="66"/>
      <c r="C73" s="65"/>
      <c r="D73" s="64" t="e">
        <f>VLOOKUP(C73,[3]Droplist!$C$14:$F$32,4,FALSE)</f>
        <v>#N/A</v>
      </c>
      <c r="E73" s="63">
        <f>COUNTIF($C$6:C73,C73)</f>
        <v>0</v>
      </c>
      <c r="F73" s="62"/>
      <c r="G73" s="62"/>
      <c r="H73" s="61"/>
      <c r="I73" s="59"/>
      <c r="J73" s="59"/>
      <c r="K73" s="59"/>
      <c r="L73" s="59"/>
      <c r="M73" s="58"/>
      <c r="N73" s="55"/>
      <c r="O73" s="60"/>
      <c r="P73" s="59"/>
      <c r="Q73" s="57"/>
      <c r="R73" s="57"/>
      <c r="S73" s="58"/>
      <c r="T73" s="57"/>
      <c r="U73" s="57"/>
      <c r="V73" s="57"/>
      <c r="W73" s="56" t="str">
        <f t="shared" si="5"/>
        <v>Open</v>
      </c>
      <c r="X73" s="55"/>
    </row>
    <row r="74" spans="1:24" s="54" customFormat="1" hidden="1" x14ac:dyDescent="0.35">
      <c r="A74" s="67" t="e">
        <f t="shared" si="4"/>
        <v>#N/A</v>
      </c>
      <c r="B74" s="66"/>
      <c r="C74" s="65"/>
      <c r="D74" s="64" t="e">
        <f>VLOOKUP(C74,[3]Droplist!$C$14:$F$32,4,FALSE)</f>
        <v>#N/A</v>
      </c>
      <c r="E74" s="63">
        <f>COUNTIF($C$6:C74,C74)</f>
        <v>0</v>
      </c>
      <c r="F74" s="62"/>
      <c r="G74" s="62"/>
      <c r="H74" s="61"/>
      <c r="I74" s="59"/>
      <c r="J74" s="59"/>
      <c r="K74" s="59"/>
      <c r="L74" s="59"/>
      <c r="M74" s="58"/>
      <c r="N74" s="55"/>
      <c r="O74" s="60"/>
      <c r="P74" s="59"/>
      <c r="Q74" s="57"/>
      <c r="R74" s="57"/>
      <c r="S74" s="58"/>
      <c r="T74" s="57"/>
      <c r="U74" s="57"/>
      <c r="V74" s="57"/>
      <c r="W74" s="56" t="str">
        <f t="shared" si="5"/>
        <v>Open</v>
      </c>
      <c r="X74" s="55"/>
    </row>
    <row r="75" spans="1:24" s="54" customFormat="1" hidden="1" x14ac:dyDescent="0.35">
      <c r="A75" s="67" t="e">
        <f t="shared" si="4"/>
        <v>#N/A</v>
      </c>
      <c r="B75" s="66"/>
      <c r="C75" s="65"/>
      <c r="D75" s="64" t="e">
        <f>VLOOKUP(C75,[3]Droplist!$C$14:$F$32,4,FALSE)</f>
        <v>#N/A</v>
      </c>
      <c r="E75" s="63">
        <f>COUNTIF($C$6:C75,C75)</f>
        <v>0</v>
      </c>
      <c r="F75" s="62"/>
      <c r="G75" s="62"/>
      <c r="H75" s="61"/>
      <c r="I75" s="59"/>
      <c r="J75" s="59"/>
      <c r="K75" s="59"/>
      <c r="L75" s="59"/>
      <c r="M75" s="58"/>
      <c r="N75" s="55"/>
      <c r="O75" s="60"/>
      <c r="P75" s="59"/>
      <c r="Q75" s="57"/>
      <c r="R75" s="57"/>
      <c r="S75" s="58"/>
      <c r="T75" s="57"/>
      <c r="U75" s="57"/>
      <c r="V75" s="57"/>
      <c r="W75" s="56" t="str">
        <f t="shared" si="5"/>
        <v>Open</v>
      </c>
      <c r="X75" s="55"/>
    </row>
    <row r="76" spans="1:24" s="54" customFormat="1" hidden="1" x14ac:dyDescent="0.35">
      <c r="A76" s="67" t="e">
        <f t="shared" si="4"/>
        <v>#N/A</v>
      </c>
      <c r="B76" s="66"/>
      <c r="C76" s="65"/>
      <c r="D76" s="64" t="e">
        <f>VLOOKUP(C76,[3]Droplist!$C$14:$F$32,4,FALSE)</f>
        <v>#N/A</v>
      </c>
      <c r="E76" s="63">
        <f>COUNTIF($C$6:C76,C76)</f>
        <v>0</v>
      </c>
      <c r="F76" s="62"/>
      <c r="G76" s="62"/>
      <c r="H76" s="61"/>
      <c r="I76" s="59"/>
      <c r="J76" s="59"/>
      <c r="K76" s="59"/>
      <c r="L76" s="59"/>
      <c r="M76" s="58"/>
      <c r="N76" s="55"/>
      <c r="O76" s="60"/>
      <c r="P76" s="59"/>
      <c r="Q76" s="57"/>
      <c r="R76" s="57"/>
      <c r="S76" s="58"/>
      <c r="T76" s="57"/>
      <c r="U76" s="57"/>
      <c r="V76" s="57"/>
      <c r="W76" s="56" t="str">
        <f t="shared" si="5"/>
        <v>Open</v>
      </c>
      <c r="X76" s="55"/>
    </row>
    <row r="77" spans="1:24" s="54" customFormat="1" hidden="1" x14ac:dyDescent="0.35">
      <c r="A77" s="67" t="e">
        <f t="shared" si="4"/>
        <v>#N/A</v>
      </c>
      <c r="B77" s="66"/>
      <c r="C77" s="65"/>
      <c r="D77" s="64" t="e">
        <f>VLOOKUP(C77,[3]Droplist!$C$14:$F$32,4,FALSE)</f>
        <v>#N/A</v>
      </c>
      <c r="E77" s="63">
        <f>COUNTIF($C$6:C77,C77)</f>
        <v>0</v>
      </c>
      <c r="F77" s="62"/>
      <c r="G77" s="62"/>
      <c r="H77" s="61"/>
      <c r="I77" s="59"/>
      <c r="J77" s="59"/>
      <c r="K77" s="59"/>
      <c r="L77" s="59"/>
      <c r="M77" s="58"/>
      <c r="N77" s="55"/>
      <c r="O77" s="60"/>
      <c r="P77" s="59"/>
      <c r="Q77" s="57"/>
      <c r="R77" s="57"/>
      <c r="S77" s="58"/>
      <c r="T77" s="57"/>
      <c r="U77" s="57"/>
      <c r="V77" s="57"/>
      <c r="W77" s="56" t="str">
        <f t="shared" si="5"/>
        <v>Open</v>
      </c>
      <c r="X77" s="55"/>
    </row>
    <row r="78" spans="1:24" s="54" customFormat="1" hidden="1" x14ac:dyDescent="0.35">
      <c r="A78" s="67" t="e">
        <f t="shared" si="4"/>
        <v>#N/A</v>
      </c>
      <c r="B78" s="66"/>
      <c r="C78" s="65"/>
      <c r="D78" s="64" t="e">
        <f>VLOOKUP(C78,[3]Droplist!$C$14:$F$32,4,FALSE)</f>
        <v>#N/A</v>
      </c>
      <c r="E78" s="63">
        <f>COUNTIF($C$6:C78,C78)</f>
        <v>0</v>
      </c>
      <c r="F78" s="62"/>
      <c r="G78" s="62"/>
      <c r="H78" s="61"/>
      <c r="I78" s="59"/>
      <c r="J78" s="59"/>
      <c r="K78" s="59"/>
      <c r="L78" s="59"/>
      <c r="M78" s="58"/>
      <c r="N78" s="55"/>
      <c r="O78" s="60"/>
      <c r="P78" s="59"/>
      <c r="Q78" s="57"/>
      <c r="R78" s="57"/>
      <c r="S78" s="58"/>
      <c r="T78" s="57"/>
      <c r="U78" s="57"/>
      <c r="V78" s="57"/>
      <c r="W78" s="56" t="str">
        <f t="shared" si="5"/>
        <v>Open</v>
      </c>
      <c r="X78" s="55"/>
    </row>
    <row r="79" spans="1:24" s="54" customFormat="1" hidden="1" x14ac:dyDescent="0.35">
      <c r="A79" s="67" t="e">
        <f t="shared" si="4"/>
        <v>#N/A</v>
      </c>
      <c r="B79" s="66"/>
      <c r="C79" s="65"/>
      <c r="D79" s="64" t="e">
        <f>VLOOKUP(C79,[3]Droplist!$C$14:$F$32,4,FALSE)</f>
        <v>#N/A</v>
      </c>
      <c r="E79" s="63">
        <f>COUNTIF($C$6:C79,C79)</f>
        <v>0</v>
      </c>
      <c r="F79" s="62"/>
      <c r="G79" s="62"/>
      <c r="H79" s="61"/>
      <c r="I79" s="59"/>
      <c r="J79" s="59"/>
      <c r="K79" s="59"/>
      <c r="L79" s="59"/>
      <c r="M79" s="58"/>
      <c r="N79" s="55"/>
      <c r="O79" s="60"/>
      <c r="P79" s="59"/>
      <c r="Q79" s="57"/>
      <c r="R79" s="57"/>
      <c r="S79" s="58"/>
      <c r="T79" s="57"/>
      <c r="U79" s="57"/>
      <c r="V79" s="57"/>
      <c r="W79" s="56" t="str">
        <f t="shared" si="5"/>
        <v>Open</v>
      </c>
      <c r="X79" s="55"/>
    </row>
    <row r="80" spans="1:24" s="54" customFormat="1" hidden="1" x14ac:dyDescent="0.35">
      <c r="A80" s="67" t="e">
        <f t="shared" si="4"/>
        <v>#N/A</v>
      </c>
      <c r="B80" s="66"/>
      <c r="C80" s="65"/>
      <c r="D80" s="64" t="e">
        <f>VLOOKUP(C80,[3]Droplist!$C$14:$F$32,4,FALSE)</f>
        <v>#N/A</v>
      </c>
      <c r="E80" s="63">
        <f>COUNTIF($C$6:C80,C80)</f>
        <v>0</v>
      </c>
      <c r="F80" s="62"/>
      <c r="G80" s="62"/>
      <c r="H80" s="61"/>
      <c r="I80" s="59"/>
      <c r="J80" s="59"/>
      <c r="K80" s="59"/>
      <c r="L80" s="59"/>
      <c r="M80" s="58"/>
      <c r="N80" s="55"/>
      <c r="O80" s="60"/>
      <c r="P80" s="59"/>
      <c r="Q80" s="57"/>
      <c r="R80" s="57"/>
      <c r="S80" s="58"/>
      <c r="T80" s="57"/>
      <c r="U80" s="57"/>
      <c r="V80" s="57"/>
      <c r="W80" s="56" t="str">
        <f t="shared" si="5"/>
        <v>Open</v>
      </c>
      <c r="X80" s="55"/>
    </row>
    <row r="81" spans="1:24" s="54" customFormat="1" hidden="1" x14ac:dyDescent="0.35">
      <c r="A81" s="67" t="e">
        <f t="shared" si="4"/>
        <v>#N/A</v>
      </c>
      <c r="B81" s="66"/>
      <c r="C81" s="65"/>
      <c r="D81" s="64" t="e">
        <f>VLOOKUP(C81,[3]Droplist!$C$14:$F$32,4,FALSE)</f>
        <v>#N/A</v>
      </c>
      <c r="E81" s="63">
        <f>COUNTIF($C$6:C81,C81)</f>
        <v>0</v>
      </c>
      <c r="F81" s="62"/>
      <c r="G81" s="62"/>
      <c r="H81" s="61"/>
      <c r="I81" s="59"/>
      <c r="J81" s="59"/>
      <c r="K81" s="59"/>
      <c r="L81" s="59"/>
      <c r="M81" s="58"/>
      <c r="N81" s="55"/>
      <c r="O81" s="60"/>
      <c r="P81" s="59"/>
      <c r="Q81" s="57"/>
      <c r="R81" s="57"/>
      <c r="S81" s="58"/>
      <c r="T81" s="57"/>
      <c r="U81" s="57"/>
      <c r="V81" s="57"/>
      <c r="W81" s="56" t="str">
        <f t="shared" si="5"/>
        <v>Open</v>
      </c>
      <c r="X81" s="55"/>
    </row>
    <row r="82" spans="1:24" s="54" customFormat="1" hidden="1" x14ac:dyDescent="0.35">
      <c r="A82" s="67" t="e">
        <f t="shared" si="4"/>
        <v>#N/A</v>
      </c>
      <c r="B82" s="66"/>
      <c r="C82" s="65"/>
      <c r="D82" s="64" t="e">
        <f>VLOOKUP(C82,[3]Droplist!$C$14:$F$32,4,FALSE)</f>
        <v>#N/A</v>
      </c>
      <c r="E82" s="63">
        <f>COUNTIF($C$6:C82,C82)</f>
        <v>0</v>
      </c>
      <c r="F82" s="62"/>
      <c r="G82" s="62"/>
      <c r="H82" s="61"/>
      <c r="I82" s="59"/>
      <c r="J82" s="59"/>
      <c r="K82" s="59"/>
      <c r="L82" s="59"/>
      <c r="M82" s="58"/>
      <c r="N82" s="55"/>
      <c r="O82" s="60"/>
      <c r="P82" s="59"/>
      <c r="Q82" s="57"/>
      <c r="R82" s="57"/>
      <c r="S82" s="58"/>
      <c r="T82" s="57"/>
      <c r="U82" s="57"/>
      <c r="V82" s="57"/>
      <c r="W82" s="56" t="str">
        <f t="shared" si="5"/>
        <v>Open</v>
      </c>
      <c r="X82" s="55"/>
    </row>
    <row r="83" spans="1:24" s="54" customFormat="1" hidden="1" x14ac:dyDescent="0.35">
      <c r="A83" s="67" t="e">
        <f t="shared" si="4"/>
        <v>#N/A</v>
      </c>
      <c r="B83" s="66"/>
      <c r="C83" s="65"/>
      <c r="D83" s="64" t="e">
        <f>VLOOKUP(C83,[3]Droplist!$C$14:$F$32,4,FALSE)</f>
        <v>#N/A</v>
      </c>
      <c r="E83" s="63">
        <f>COUNTIF($C$6:C83,C83)</f>
        <v>0</v>
      </c>
      <c r="F83" s="62"/>
      <c r="G83" s="62"/>
      <c r="H83" s="61"/>
      <c r="I83" s="59"/>
      <c r="J83" s="59"/>
      <c r="K83" s="59"/>
      <c r="L83" s="59"/>
      <c r="M83" s="58"/>
      <c r="N83" s="55"/>
      <c r="O83" s="60"/>
      <c r="P83" s="59"/>
      <c r="Q83" s="57"/>
      <c r="R83" s="57"/>
      <c r="S83" s="58"/>
      <c r="T83" s="57"/>
      <c r="U83" s="57"/>
      <c r="V83" s="57"/>
      <c r="W83" s="56" t="str">
        <f t="shared" si="5"/>
        <v>Open</v>
      </c>
      <c r="X83" s="55"/>
    </row>
    <row r="84" spans="1:24" s="54" customFormat="1" hidden="1" x14ac:dyDescent="0.35">
      <c r="A84" s="67" t="e">
        <f t="shared" si="4"/>
        <v>#N/A</v>
      </c>
      <c r="B84" s="66"/>
      <c r="C84" s="65"/>
      <c r="D84" s="64" t="e">
        <f>VLOOKUP(C84,[3]Droplist!$C$14:$F$32,4,FALSE)</f>
        <v>#N/A</v>
      </c>
      <c r="E84" s="63">
        <f>COUNTIF($C$6:C84,C84)</f>
        <v>0</v>
      </c>
      <c r="F84" s="62"/>
      <c r="G84" s="62"/>
      <c r="H84" s="61"/>
      <c r="I84" s="59"/>
      <c r="J84" s="59"/>
      <c r="K84" s="59"/>
      <c r="L84" s="59"/>
      <c r="M84" s="58"/>
      <c r="N84" s="55"/>
      <c r="O84" s="60"/>
      <c r="P84" s="59"/>
      <c r="Q84" s="57"/>
      <c r="R84" s="57"/>
      <c r="S84" s="58"/>
      <c r="T84" s="57"/>
      <c r="U84" s="57"/>
      <c r="V84" s="57"/>
      <c r="W84" s="56" t="str">
        <f t="shared" si="5"/>
        <v>Open</v>
      </c>
      <c r="X84" s="55"/>
    </row>
    <row r="85" spans="1:24" s="54" customFormat="1" hidden="1" x14ac:dyDescent="0.35">
      <c r="A85" s="67" t="e">
        <f t="shared" si="4"/>
        <v>#N/A</v>
      </c>
      <c r="B85" s="66"/>
      <c r="C85" s="65"/>
      <c r="D85" s="64" t="e">
        <f>VLOOKUP(C85,[3]Droplist!$C$14:$F$32,4,FALSE)</f>
        <v>#N/A</v>
      </c>
      <c r="E85" s="63">
        <f>COUNTIF($C$6:C85,C85)</f>
        <v>0</v>
      </c>
      <c r="F85" s="62"/>
      <c r="G85" s="62"/>
      <c r="H85" s="61"/>
      <c r="I85" s="59"/>
      <c r="J85" s="59"/>
      <c r="K85" s="59"/>
      <c r="L85" s="59"/>
      <c r="M85" s="58"/>
      <c r="N85" s="55"/>
      <c r="O85" s="60"/>
      <c r="P85" s="59"/>
      <c r="Q85" s="57"/>
      <c r="R85" s="57"/>
      <c r="S85" s="58"/>
      <c r="T85" s="57"/>
      <c r="U85" s="57"/>
      <c r="V85" s="57"/>
      <c r="W85" s="56" t="str">
        <f t="shared" si="5"/>
        <v>Open</v>
      </c>
      <c r="X85" s="55"/>
    </row>
    <row r="86" spans="1:24" s="54" customFormat="1" hidden="1" x14ac:dyDescent="0.35">
      <c r="A86" s="67" t="e">
        <f t="shared" si="4"/>
        <v>#N/A</v>
      </c>
      <c r="B86" s="66"/>
      <c r="C86" s="65"/>
      <c r="D86" s="64" t="e">
        <f>VLOOKUP(C86,[3]Droplist!$C$14:$F$32,4,FALSE)</f>
        <v>#N/A</v>
      </c>
      <c r="E86" s="63">
        <f>COUNTIF($C$6:C86,C86)</f>
        <v>0</v>
      </c>
      <c r="F86" s="62"/>
      <c r="G86" s="62"/>
      <c r="H86" s="61"/>
      <c r="I86" s="59"/>
      <c r="J86" s="59"/>
      <c r="K86" s="59"/>
      <c r="L86" s="59"/>
      <c r="M86" s="58"/>
      <c r="N86" s="55"/>
      <c r="O86" s="60"/>
      <c r="P86" s="59"/>
      <c r="Q86" s="57"/>
      <c r="R86" s="57"/>
      <c r="S86" s="58"/>
      <c r="T86" s="57"/>
      <c r="U86" s="57"/>
      <c r="V86" s="57"/>
      <c r="W86" s="56" t="str">
        <f t="shared" si="5"/>
        <v>Open</v>
      </c>
      <c r="X86" s="55"/>
    </row>
    <row r="87" spans="1:24" s="54" customFormat="1" hidden="1" x14ac:dyDescent="0.35">
      <c r="A87" s="67" t="e">
        <f t="shared" si="4"/>
        <v>#N/A</v>
      </c>
      <c r="B87" s="66"/>
      <c r="C87" s="65"/>
      <c r="D87" s="64" t="e">
        <f>VLOOKUP(C87,[3]Droplist!$C$14:$F$32,4,FALSE)</f>
        <v>#N/A</v>
      </c>
      <c r="E87" s="63">
        <f>COUNTIF($C$6:C87,C87)</f>
        <v>0</v>
      </c>
      <c r="F87" s="62"/>
      <c r="G87" s="62"/>
      <c r="H87" s="61"/>
      <c r="I87" s="59"/>
      <c r="J87" s="59"/>
      <c r="K87" s="59"/>
      <c r="L87" s="59"/>
      <c r="M87" s="58"/>
      <c r="N87" s="55"/>
      <c r="O87" s="60"/>
      <c r="P87" s="59"/>
      <c r="Q87" s="57"/>
      <c r="R87" s="57"/>
      <c r="S87" s="58"/>
      <c r="T87" s="57"/>
      <c r="U87" s="57"/>
      <c r="V87" s="57"/>
      <c r="W87" s="56" t="str">
        <f t="shared" si="5"/>
        <v>Open</v>
      </c>
      <c r="X87" s="55"/>
    </row>
    <row r="88" spans="1:24" s="54" customFormat="1" hidden="1" x14ac:dyDescent="0.35">
      <c r="A88" s="67" t="e">
        <f t="shared" si="4"/>
        <v>#N/A</v>
      </c>
      <c r="B88" s="66"/>
      <c r="C88" s="65"/>
      <c r="D88" s="64" t="e">
        <f>VLOOKUP(C88,[3]Droplist!$C$14:$F$32,4,FALSE)</f>
        <v>#N/A</v>
      </c>
      <c r="E88" s="63">
        <f>COUNTIF($C$6:C88,C88)</f>
        <v>0</v>
      </c>
      <c r="F88" s="62"/>
      <c r="G88" s="62"/>
      <c r="H88" s="61"/>
      <c r="I88" s="59"/>
      <c r="J88" s="59"/>
      <c r="K88" s="59"/>
      <c r="L88" s="59"/>
      <c r="M88" s="58"/>
      <c r="N88" s="55"/>
      <c r="O88" s="60"/>
      <c r="P88" s="59"/>
      <c r="Q88" s="57"/>
      <c r="R88" s="57"/>
      <c r="S88" s="58"/>
      <c r="T88" s="57"/>
      <c r="U88" s="57"/>
      <c r="V88" s="57"/>
      <c r="W88" s="56" t="str">
        <f t="shared" si="5"/>
        <v>Open</v>
      </c>
      <c r="X88" s="55"/>
    </row>
    <row r="89" spans="1:24" s="54" customFormat="1" hidden="1" x14ac:dyDescent="0.35">
      <c r="A89" s="67" t="e">
        <f t="shared" si="4"/>
        <v>#N/A</v>
      </c>
      <c r="B89" s="66"/>
      <c r="C89" s="65"/>
      <c r="D89" s="64" t="e">
        <f>VLOOKUP(C89,[3]Droplist!$C$14:$F$32,4,FALSE)</f>
        <v>#N/A</v>
      </c>
      <c r="E89" s="63">
        <f>COUNTIF($C$6:C89,C89)</f>
        <v>0</v>
      </c>
      <c r="F89" s="62"/>
      <c r="G89" s="62"/>
      <c r="H89" s="61"/>
      <c r="I89" s="59"/>
      <c r="J89" s="59"/>
      <c r="K89" s="59"/>
      <c r="L89" s="59"/>
      <c r="M89" s="58"/>
      <c r="N89" s="55"/>
      <c r="O89" s="60"/>
      <c r="P89" s="59"/>
      <c r="Q89" s="57"/>
      <c r="R89" s="57"/>
      <c r="S89" s="58"/>
      <c r="T89" s="57"/>
      <c r="U89" s="57"/>
      <c r="V89" s="57"/>
      <c r="W89" s="56" t="str">
        <f t="shared" si="5"/>
        <v>Open</v>
      </c>
      <c r="X89" s="55"/>
    </row>
    <row r="90" spans="1:24" s="54" customFormat="1" hidden="1" x14ac:dyDescent="0.35">
      <c r="A90" s="67" t="e">
        <f t="shared" si="4"/>
        <v>#N/A</v>
      </c>
      <c r="B90" s="66"/>
      <c r="C90" s="65"/>
      <c r="D90" s="64" t="e">
        <f>VLOOKUP(C90,[3]Droplist!$C$14:$F$32,4,FALSE)</f>
        <v>#N/A</v>
      </c>
      <c r="E90" s="63">
        <f>COUNTIF($C$6:C90,C90)</f>
        <v>0</v>
      </c>
      <c r="F90" s="62"/>
      <c r="G90" s="62"/>
      <c r="H90" s="61"/>
      <c r="I90" s="59"/>
      <c r="J90" s="59"/>
      <c r="K90" s="59"/>
      <c r="L90" s="59"/>
      <c r="M90" s="58"/>
      <c r="N90" s="55"/>
      <c r="O90" s="60"/>
      <c r="P90" s="59"/>
      <c r="Q90" s="57"/>
      <c r="R90" s="57"/>
      <c r="S90" s="58"/>
      <c r="T90" s="57"/>
      <c r="U90" s="57"/>
      <c r="V90" s="57"/>
      <c r="W90" s="56" t="str">
        <f t="shared" si="5"/>
        <v>Open</v>
      </c>
      <c r="X90" s="55"/>
    </row>
    <row r="91" spans="1:24" s="54" customFormat="1" hidden="1" x14ac:dyDescent="0.35">
      <c r="A91" s="67" t="e">
        <f t="shared" si="4"/>
        <v>#N/A</v>
      </c>
      <c r="B91" s="66"/>
      <c r="C91" s="65"/>
      <c r="D91" s="64" t="e">
        <f>VLOOKUP(C91,[3]Droplist!$C$14:$F$32,4,FALSE)</f>
        <v>#N/A</v>
      </c>
      <c r="E91" s="63">
        <f>COUNTIF($C$6:C91,C91)</f>
        <v>0</v>
      </c>
      <c r="F91" s="62"/>
      <c r="G91" s="62"/>
      <c r="H91" s="61"/>
      <c r="I91" s="59"/>
      <c r="J91" s="59"/>
      <c r="K91" s="59"/>
      <c r="L91" s="59"/>
      <c r="M91" s="58"/>
      <c r="N91" s="55"/>
      <c r="O91" s="60"/>
      <c r="P91" s="59"/>
      <c r="Q91" s="57"/>
      <c r="R91" s="57"/>
      <c r="S91" s="58"/>
      <c r="T91" s="57"/>
      <c r="U91" s="57"/>
      <c r="V91" s="57"/>
      <c r="W91" s="56" t="str">
        <f t="shared" si="5"/>
        <v>Open</v>
      </c>
      <c r="X91" s="55"/>
    </row>
    <row r="92" spans="1:24" s="54" customFormat="1" hidden="1" x14ac:dyDescent="0.35">
      <c r="A92" s="67" t="e">
        <f t="shared" si="4"/>
        <v>#N/A</v>
      </c>
      <c r="B92" s="66"/>
      <c r="C92" s="65"/>
      <c r="D92" s="64" t="e">
        <f>VLOOKUP(C92,[3]Droplist!$C$14:$F$32,4,FALSE)</f>
        <v>#N/A</v>
      </c>
      <c r="E92" s="63">
        <f>COUNTIF($C$6:C92,C92)</f>
        <v>0</v>
      </c>
      <c r="F92" s="62"/>
      <c r="G92" s="62"/>
      <c r="H92" s="61"/>
      <c r="I92" s="59"/>
      <c r="J92" s="59"/>
      <c r="K92" s="59"/>
      <c r="L92" s="59"/>
      <c r="M92" s="58"/>
      <c r="N92" s="55"/>
      <c r="O92" s="60"/>
      <c r="P92" s="59"/>
      <c r="Q92" s="57"/>
      <c r="R92" s="57"/>
      <c r="S92" s="58"/>
      <c r="T92" s="57"/>
      <c r="U92" s="57"/>
      <c r="V92" s="57"/>
      <c r="W92" s="56" t="str">
        <f t="shared" si="5"/>
        <v>Open</v>
      </c>
      <c r="X92" s="55"/>
    </row>
    <row r="93" spans="1:24" s="54" customFormat="1" hidden="1" x14ac:dyDescent="0.35">
      <c r="A93" s="67" t="e">
        <f t="shared" si="4"/>
        <v>#N/A</v>
      </c>
      <c r="B93" s="66"/>
      <c r="C93" s="65"/>
      <c r="D93" s="64" t="e">
        <f>VLOOKUP(C93,[3]Droplist!$C$14:$F$32,4,FALSE)</f>
        <v>#N/A</v>
      </c>
      <c r="E93" s="63">
        <f>COUNTIF($C$6:C93,C93)</f>
        <v>0</v>
      </c>
      <c r="F93" s="62"/>
      <c r="G93" s="62"/>
      <c r="H93" s="61"/>
      <c r="I93" s="59"/>
      <c r="J93" s="59"/>
      <c r="K93" s="59"/>
      <c r="L93" s="59"/>
      <c r="M93" s="58"/>
      <c r="N93" s="55"/>
      <c r="O93" s="60"/>
      <c r="P93" s="59"/>
      <c r="Q93" s="57"/>
      <c r="R93" s="57"/>
      <c r="S93" s="58"/>
      <c r="T93" s="57"/>
      <c r="U93" s="57"/>
      <c r="V93" s="57"/>
      <c r="W93" s="56" t="str">
        <f t="shared" si="5"/>
        <v>Open</v>
      </c>
      <c r="X93" s="55"/>
    </row>
    <row r="94" spans="1:24" s="54" customFormat="1" hidden="1" x14ac:dyDescent="0.35">
      <c r="A94" s="67" t="e">
        <f t="shared" si="4"/>
        <v>#N/A</v>
      </c>
      <c r="B94" s="66"/>
      <c r="C94" s="65"/>
      <c r="D94" s="64" t="e">
        <f>VLOOKUP(C94,[3]Droplist!$C$14:$F$32,4,FALSE)</f>
        <v>#N/A</v>
      </c>
      <c r="E94" s="63">
        <f>COUNTIF($C$6:C94,C94)</f>
        <v>0</v>
      </c>
      <c r="F94" s="62"/>
      <c r="G94" s="62"/>
      <c r="H94" s="61"/>
      <c r="I94" s="59"/>
      <c r="J94" s="59"/>
      <c r="K94" s="59"/>
      <c r="L94" s="59"/>
      <c r="M94" s="58"/>
      <c r="N94" s="55"/>
      <c r="O94" s="60"/>
      <c r="P94" s="59"/>
      <c r="Q94" s="57"/>
      <c r="R94" s="57"/>
      <c r="S94" s="58"/>
      <c r="T94" s="57"/>
      <c r="U94" s="57"/>
      <c r="V94" s="57"/>
      <c r="W94" s="56" t="str">
        <f t="shared" si="5"/>
        <v>Open</v>
      </c>
      <c r="X94" s="55"/>
    </row>
    <row r="95" spans="1:24" s="54" customFormat="1" hidden="1" x14ac:dyDescent="0.35">
      <c r="A95" s="67" t="e">
        <f t="shared" si="4"/>
        <v>#N/A</v>
      </c>
      <c r="B95" s="66"/>
      <c r="C95" s="65"/>
      <c r="D95" s="64" t="e">
        <f>VLOOKUP(C95,[3]Droplist!$C$14:$F$32,4,FALSE)</f>
        <v>#N/A</v>
      </c>
      <c r="E95" s="63">
        <f>COUNTIF($C$6:C95,C95)</f>
        <v>0</v>
      </c>
      <c r="F95" s="62"/>
      <c r="G95" s="62"/>
      <c r="H95" s="61"/>
      <c r="I95" s="59"/>
      <c r="J95" s="59"/>
      <c r="K95" s="59"/>
      <c r="L95" s="59"/>
      <c r="M95" s="58"/>
      <c r="N95" s="55"/>
      <c r="O95" s="60"/>
      <c r="P95" s="59"/>
      <c r="Q95" s="57"/>
      <c r="R95" s="57"/>
      <c r="S95" s="58"/>
      <c r="T95" s="57"/>
      <c r="U95" s="57"/>
      <c r="V95" s="57"/>
      <c r="W95" s="56" t="str">
        <f t="shared" si="5"/>
        <v>Open</v>
      </c>
      <c r="X95" s="55"/>
    </row>
    <row r="96" spans="1:24" s="54" customFormat="1" hidden="1" x14ac:dyDescent="0.35">
      <c r="A96" s="67" t="e">
        <f t="shared" si="4"/>
        <v>#N/A</v>
      </c>
      <c r="B96" s="66"/>
      <c r="C96" s="65"/>
      <c r="D96" s="64" t="e">
        <f>VLOOKUP(C96,[3]Droplist!$C$14:$F$32,4,FALSE)</f>
        <v>#N/A</v>
      </c>
      <c r="E96" s="63">
        <f>COUNTIF($C$6:C96,C96)</f>
        <v>0</v>
      </c>
      <c r="F96" s="62"/>
      <c r="G96" s="62"/>
      <c r="H96" s="61"/>
      <c r="I96" s="59"/>
      <c r="J96" s="59"/>
      <c r="K96" s="59"/>
      <c r="L96" s="59"/>
      <c r="M96" s="58"/>
      <c r="N96" s="55"/>
      <c r="O96" s="60"/>
      <c r="P96" s="59"/>
      <c r="Q96" s="57"/>
      <c r="R96" s="57"/>
      <c r="S96" s="58"/>
      <c r="T96" s="57"/>
      <c r="U96" s="57"/>
      <c r="V96" s="57"/>
      <c r="W96" s="56" t="str">
        <f t="shared" si="5"/>
        <v>Open</v>
      </c>
      <c r="X96" s="55"/>
    </row>
    <row r="97" spans="1:24" s="54" customFormat="1" hidden="1" x14ac:dyDescent="0.35">
      <c r="A97" s="67" t="e">
        <f t="shared" si="4"/>
        <v>#N/A</v>
      </c>
      <c r="B97" s="66"/>
      <c r="C97" s="65"/>
      <c r="D97" s="64" t="e">
        <f>VLOOKUP(C97,[3]Droplist!$C$14:$F$32,4,FALSE)</f>
        <v>#N/A</v>
      </c>
      <c r="E97" s="63">
        <f>COUNTIF($C$6:C97,C97)</f>
        <v>0</v>
      </c>
      <c r="F97" s="62"/>
      <c r="G97" s="62"/>
      <c r="H97" s="61"/>
      <c r="I97" s="59"/>
      <c r="J97" s="59"/>
      <c r="K97" s="59"/>
      <c r="L97" s="59"/>
      <c r="M97" s="58"/>
      <c r="N97" s="55"/>
      <c r="O97" s="60"/>
      <c r="P97" s="59"/>
      <c r="Q97" s="57"/>
      <c r="R97" s="57"/>
      <c r="S97" s="58"/>
      <c r="T97" s="57"/>
      <c r="U97" s="57"/>
      <c r="V97" s="57"/>
      <c r="W97" s="56" t="str">
        <f t="shared" si="5"/>
        <v>Open</v>
      </c>
      <c r="X97" s="55"/>
    </row>
    <row r="98" spans="1:24" s="54" customFormat="1" hidden="1" x14ac:dyDescent="0.35">
      <c r="A98" s="67" t="e">
        <f t="shared" si="4"/>
        <v>#N/A</v>
      </c>
      <c r="B98" s="66"/>
      <c r="C98" s="65"/>
      <c r="D98" s="64" t="e">
        <f>VLOOKUP(C98,[3]Droplist!$C$14:$F$32,4,FALSE)</f>
        <v>#N/A</v>
      </c>
      <c r="E98" s="63">
        <f>COUNTIF($C$6:C98,C98)</f>
        <v>0</v>
      </c>
      <c r="F98" s="62"/>
      <c r="G98" s="62"/>
      <c r="H98" s="61"/>
      <c r="I98" s="59"/>
      <c r="J98" s="59"/>
      <c r="K98" s="59"/>
      <c r="L98" s="59"/>
      <c r="M98" s="58"/>
      <c r="N98" s="55"/>
      <c r="O98" s="60"/>
      <c r="P98" s="59"/>
      <c r="Q98" s="57"/>
      <c r="R98" s="57"/>
      <c r="S98" s="58"/>
      <c r="T98" s="57"/>
      <c r="U98" s="57"/>
      <c r="V98" s="57"/>
      <c r="W98" s="56" t="str">
        <f t="shared" si="5"/>
        <v>Open</v>
      </c>
      <c r="X98" s="55"/>
    </row>
    <row r="99" spans="1:24" s="54" customFormat="1" hidden="1" x14ac:dyDescent="0.35">
      <c r="A99" s="67" t="e">
        <f t="shared" si="4"/>
        <v>#N/A</v>
      </c>
      <c r="B99" s="66"/>
      <c r="C99" s="65"/>
      <c r="D99" s="64" t="e">
        <f>VLOOKUP(C99,[3]Droplist!$C$14:$F$32,4,FALSE)</f>
        <v>#N/A</v>
      </c>
      <c r="E99" s="63">
        <f>COUNTIF($C$6:C99,C99)</f>
        <v>0</v>
      </c>
      <c r="F99" s="62"/>
      <c r="G99" s="62"/>
      <c r="H99" s="61"/>
      <c r="I99" s="59"/>
      <c r="J99" s="59"/>
      <c r="K99" s="59"/>
      <c r="L99" s="59"/>
      <c r="M99" s="58"/>
      <c r="N99" s="55"/>
      <c r="O99" s="60"/>
      <c r="P99" s="59"/>
      <c r="Q99" s="57"/>
      <c r="R99" s="57"/>
      <c r="S99" s="58"/>
      <c r="T99" s="57"/>
      <c r="U99" s="57"/>
      <c r="V99" s="57"/>
      <c r="W99" s="56" t="str">
        <f t="shared" si="5"/>
        <v>Open</v>
      </c>
      <c r="X99" s="55"/>
    </row>
    <row r="100" spans="1:24" s="54" customFormat="1" hidden="1" x14ac:dyDescent="0.35">
      <c r="A100" s="67" t="e">
        <f t="shared" si="4"/>
        <v>#N/A</v>
      </c>
      <c r="B100" s="66"/>
      <c r="C100" s="65"/>
      <c r="D100" s="64" t="e">
        <f>VLOOKUP(C100,[3]Droplist!$C$14:$F$32,4,FALSE)</f>
        <v>#N/A</v>
      </c>
      <c r="E100" s="63">
        <f>COUNTIF($C$6:C100,C100)</f>
        <v>0</v>
      </c>
      <c r="F100" s="62"/>
      <c r="G100" s="62"/>
      <c r="H100" s="61"/>
      <c r="I100" s="59"/>
      <c r="J100" s="59"/>
      <c r="K100" s="59"/>
      <c r="L100" s="59"/>
      <c r="M100" s="58"/>
      <c r="N100" s="55"/>
      <c r="O100" s="60"/>
      <c r="P100" s="59"/>
      <c r="Q100" s="57"/>
      <c r="R100" s="57"/>
      <c r="S100" s="58"/>
      <c r="T100" s="57"/>
      <c r="U100" s="57"/>
      <c r="V100" s="57"/>
      <c r="W100" s="56" t="str">
        <f t="shared" si="5"/>
        <v>Open</v>
      </c>
      <c r="X100" s="55"/>
    </row>
    <row r="101" spans="1:24" s="54" customFormat="1" hidden="1" x14ac:dyDescent="0.35">
      <c r="A101" s="67" t="e">
        <f t="shared" si="4"/>
        <v>#N/A</v>
      </c>
      <c r="B101" s="66"/>
      <c r="C101" s="65"/>
      <c r="D101" s="64" t="e">
        <f>VLOOKUP(C101,[3]Droplist!$C$14:$F$32,4,FALSE)</f>
        <v>#N/A</v>
      </c>
      <c r="E101" s="63">
        <f>COUNTIF($C$6:C101,C101)</f>
        <v>0</v>
      </c>
      <c r="F101" s="62"/>
      <c r="G101" s="62"/>
      <c r="H101" s="61"/>
      <c r="I101" s="59"/>
      <c r="J101" s="59"/>
      <c r="K101" s="59"/>
      <c r="L101" s="59"/>
      <c r="M101" s="58"/>
      <c r="N101" s="55"/>
      <c r="O101" s="60"/>
      <c r="P101" s="59"/>
      <c r="Q101" s="57"/>
      <c r="R101" s="57"/>
      <c r="S101" s="58"/>
      <c r="T101" s="57"/>
      <c r="U101" s="57"/>
      <c r="V101" s="57"/>
      <c r="W101" s="56" t="str">
        <f t="shared" si="5"/>
        <v>Open</v>
      </c>
      <c r="X101" s="55"/>
    </row>
    <row r="102" spans="1:24" s="54" customFormat="1" hidden="1" x14ac:dyDescent="0.35">
      <c r="A102" s="67" t="e">
        <f t="shared" ref="A102:A133" si="6">D102&amp;" "&amp;E102</f>
        <v>#N/A</v>
      </c>
      <c r="B102" s="66"/>
      <c r="C102" s="65"/>
      <c r="D102" s="64" t="e">
        <f>VLOOKUP(C102,[3]Droplist!$C$14:$F$32,4,FALSE)</f>
        <v>#N/A</v>
      </c>
      <c r="E102" s="63">
        <f>COUNTIF($C$6:C102,C102)</f>
        <v>0</v>
      </c>
      <c r="F102" s="62"/>
      <c r="G102" s="62"/>
      <c r="H102" s="61"/>
      <c r="I102" s="59"/>
      <c r="J102" s="59"/>
      <c r="K102" s="59"/>
      <c r="L102" s="59"/>
      <c r="M102" s="58"/>
      <c r="N102" s="55"/>
      <c r="O102" s="60"/>
      <c r="P102" s="59"/>
      <c r="Q102" s="57"/>
      <c r="R102" s="57"/>
      <c r="S102" s="58"/>
      <c r="T102" s="57"/>
      <c r="U102" s="57"/>
      <c r="V102" s="57"/>
      <c r="W102" s="56" t="str">
        <f t="shared" ref="W102:W133" si="7">IF(U102="Project has closed this gap ", "Closed","Open")</f>
        <v>Open</v>
      </c>
      <c r="X102" s="55"/>
    </row>
    <row r="103" spans="1:24" s="54" customFormat="1" hidden="1" x14ac:dyDescent="0.35">
      <c r="A103" s="67" t="e">
        <f t="shared" si="6"/>
        <v>#N/A</v>
      </c>
      <c r="B103" s="66"/>
      <c r="C103" s="65"/>
      <c r="D103" s="64" t="e">
        <f>VLOOKUP(C103,[3]Droplist!$C$14:$F$32,4,FALSE)</f>
        <v>#N/A</v>
      </c>
      <c r="E103" s="63">
        <f>COUNTIF($C$6:C103,C103)</f>
        <v>0</v>
      </c>
      <c r="F103" s="62"/>
      <c r="G103" s="62"/>
      <c r="H103" s="61"/>
      <c r="I103" s="59"/>
      <c r="J103" s="59"/>
      <c r="K103" s="59"/>
      <c r="L103" s="59"/>
      <c r="M103" s="58"/>
      <c r="N103" s="55"/>
      <c r="O103" s="60"/>
      <c r="P103" s="59"/>
      <c r="Q103" s="57"/>
      <c r="R103" s="57"/>
      <c r="S103" s="58"/>
      <c r="T103" s="57"/>
      <c r="U103" s="57"/>
      <c r="V103" s="57"/>
      <c r="W103" s="56" t="str">
        <f t="shared" si="7"/>
        <v>Open</v>
      </c>
      <c r="X103" s="55"/>
    </row>
    <row r="104" spans="1:24" s="54" customFormat="1" hidden="1" x14ac:dyDescent="0.35">
      <c r="A104" s="67" t="e">
        <f t="shared" si="6"/>
        <v>#N/A</v>
      </c>
      <c r="B104" s="66"/>
      <c r="C104" s="65"/>
      <c r="D104" s="64" t="e">
        <f>VLOOKUP(C104,[3]Droplist!$C$14:$F$32,4,FALSE)</f>
        <v>#N/A</v>
      </c>
      <c r="E104" s="63">
        <f>COUNTIF($C$6:C104,C104)</f>
        <v>0</v>
      </c>
      <c r="F104" s="62"/>
      <c r="G104" s="62"/>
      <c r="H104" s="61"/>
      <c r="I104" s="59"/>
      <c r="J104" s="59"/>
      <c r="K104" s="59"/>
      <c r="L104" s="59"/>
      <c r="M104" s="58"/>
      <c r="N104" s="55"/>
      <c r="O104" s="60"/>
      <c r="P104" s="59"/>
      <c r="Q104" s="57"/>
      <c r="R104" s="57"/>
      <c r="S104" s="58"/>
      <c r="T104" s="57"/>
      <c r="U104" s="57"/>
      <c r="V104" s="57"/>
      <c r="W104" s="56" t="str">
        <f t="shared" si="7"/>
        <v>Open</v>
      </c>
      <c r="X104" s="55"/>
    </row>
    <row r="105" spans="1:24" s="54" customFormat="1" hidden="1" x14ac:dyDescent="0.35">
      <c r="A105" s="67" t="e">
        <f t="shared" si="6"/>
        <v>#N/A</v>
      </c>
      <c r="B105" s="66"/>
      <c r="C105" s="65"/>
      <c r="D105" s="64" t="e">
        <f>VLOOKUP(C105,[3]Droplist!$C$14:$F$32,4,FALSE)</f>
        <v>#N/A</v>
      </c>
      <c r="E105" s="63">
        <f>COUNTIF($C$6:C105,C105)</f>
        <v>0</v>
      </c>
      <c r="F105" s="62"/>
      <c r="G105" s="62"/>
      <c r="H105" s="61"/>
      <c r="I105" s="59"/>
      <c r="J105" s="59"/>
      <c r="K105" s="59"/>
      <c r="L105" s="59"/>
      <c r="M105" s="58"/>
      <c r="N105" s="55"/>
      <c r="O105" s="60"/>
      <c r="P105" s="59"/>
      <c r="Q105" s="57"/>
      <c r="R105" s="57"/>
      <c r="S105" s="58"/>
      <c r="T105" s="57"/>
      <c r="U105" s="57"/>
      <c r="V105" s="57"/>
      <c r="W105" s="56" t="str">
        <f t="shared" si="7"/>
        <v>Open</v>
      </c>
      <c r="X105" s="55"/>
    </row>
    <row r="106" spans="1:24" s="54" customFormat="1" hidden="1" x14ac:dyDescent="0.35">
      <c r="A106" s="67" t="e">
        <f t="shared" si="6"/>
        <v>#N/A</v>
      </c>
      <c r="B106" s="66"/>
      <c r="C106" s="65"/>
      <c r="D106" s="64" t="e">
        <f>VLOOKUP(C106,[3]Droplist!$C$14:$F$32,4,FALSE)</f>
        <v>#N/A</v>
      </c>
      <c r="E106" s="63">
        <f>COUNTIF($C$6:C106,C106)</f>
        <v>0</v>
      </c>
      <c r="F106" s="62"/>
      <c r="G106" s="62"/>
      <c r="H106" s="61"/>
      <c r="I106" s="59"/>
      <c r="J106" s="59"/>
      <c r="K106" s="59"/>
      <c r="L106" s="59"/>
      <c r="M106" s="58"/>
      <c r="N106" s="55"/>
      <c r="O106" s="60"/>
      <c r="P106" s="59"/>
      <c r="Q106" s="57"/>
      <c r="R106" s="57"/>
      <c r="S106" s="58"/>
      <c r="T106" s="57"/>
      <c r="U106" s="57"/>
      <c r="V106" s="57"/>
      <c r="W106" s="56" t="str">
        <f t="shared" si="7"/>
        <v>Open</v>
      </c>
      <c r="X106" s="55"/>
    </row>
    <row r="107" spans="1:24" s="54" customFormat="1" hidden="1" x14ac:dyDescent="0.35">
      <c r="A107" s="67" t="e">
        <f t="shared" si="6"/>
        <v>#N/A</v>
      </c>
      <c r="B107" s="66"/>
      <c r="C107" s="65"/>
      <c r="D107" s="64" t="e">
        <f>VLOOKUP(C107,[3]Droplist!$C$14:$F$32,4,FALSE)</f>
        <v>#N/A</v>
      </c>
      <c r="E107" s="63">
        <f>COUNTIF($C$6:C107,C107)</f>
        <v>0</v>
      </c>
      <c r="F107" s="62"/>
      <c r="G107" s="62"/>
      <c r="H107" s="61"/>
      <c r="I107" s="59"/>
      <c r="J107" s="59"/>
      <c r="K107" s="59"/>
      <c r="L107" s="59"/>
      <c r="M107" s="58"/>
      <c r="N107" s="55"/>
      <c r="O107" s="60"/>
      <c r="P107" s="59"/>
      <c r="Q107" s="57"/>
      <c r="R107" s="57"/>
      <c r="S107" s="58"/>
      <c r="T107" s="57"/>
      <c r="U107" s="57"/>
      <c r="V107" s="57"/>
      <c r="W107" s="56" t="str">
        <f t="shared" si="7"/>
        <v>Open</v>
      </c>
      <c r="X107" s="55"/>
    </row>
    <row r="108" spans="1:24" s="54" customFormat="1" hidden="1" x14ac:dyDescent="0.35">
      <c r="A108" s="67" t="e">
        <f t="shared" si="6"/>
        <v>#N/A</v>
      </c>
      <c r="B108" s="66"/>
      <c r="C108" s="65"/>
      <c r="D108" s="64" t="e">
        <f>VLOOKUP(C108,[3]Droplist!$C$14:$F$32,4,FALSE)</f>
        <v>#N/A</v>
      </c>
      <c r="E108" s="63">
        <f>COUNTIF($C$6:C108,C108)</f>
        <v>0</v>
      </c>
      <c r="F108" s="62"/>
      <c r="G108" s="62"/>
      <c r="H108" s="61"/>
      <c r="I108" s="59"/>
      <c r="J108" s="59"/>
      <c r="K108" s="59"/>
      <c r="L108" s="59"/>
      <c r="M108" s="58"/>
      <c r="N108" s="55"/>
      <c r="O108" s="60"/>
      <c r="P108" s="59"/>
      <c r="Q108" s="57"/>
      <c r="R108" s="57"/>
      <c r="S108" s="58"/>
      <c r="T108" s="57"/>
      <c r="U108" s="57"/>
      <c r="V108" s="57"/>
      <c r="W108" s="56" t="str">
        <f t="shared" si="7"/>
        <v>Open</v>
      </c>
      <c r="X108" s="55"/>
    </row>
    <row r="109" spans="1:24" s="54" customFormat="1" hidden="1" x14ac:dyDescent="0.35">
      <c r="A109" s="67" t="e">
        <f t="shared" si="6"/>
        <v>#N/A</v>
      </c>
      <c r="B109" s="66"/>
      <c r="C109" s="65"/>
      <c r="D109" s="64" t="e">
        <f>VLOOKUP(C109,[3]Droplist!$C$14:$F$32,4,FALSE)</f>
        <v>#N/A</v>
      </c>
      <c r="E109" s="63">
        <f>COUNTIF($C$6:C109,C109)</f>
        <v>0</v>
      </c>
      <c r="F109" s="62"/>
      <c r="G109" s="62"/>
      <c r="H109" s="61"/>
      <c r="I109" s="59"/>
      <c r="J109" s="59"/>
      <c r="K109" s="59"/>
      <c r="L109" s="59"/>
      <c r="M109" s="58"/>
      <c r="N109" s="55"/>
      <c r="O109" s="60"/>
      <c r="P109" s="59"/>
      <c r="Q109" s="57"/>
      <c r="R109" s="57"/>
      <c r="S109" s="58"/>
      <c r="T109" s="57"/>
      <c r="U109" s="57"/>
      <c r="V109" s="57"/>
      <c r="W109" s="56" t="str">
        <f t="shared" si="7"/>
        <v>Open</v>
      </c>
      <c r="X109" s="55"/>
    </row>
    <row r="110" spans="1:24" s="54" customFormat="1" hidden="1" x14ac:dyDescent="0.35">
      <c r="A110" s="67" t="e">
        <f t="shared" si="6"/>
        <v>#N/A</v>
      </c>
      <c r="B110" s="66"/>
      <c r="C110" s="65"/>
      <c r="D110" s="64" t="e">
        <f>VLOOKUP(C110,[3]Droplist!$C$14:$F$32,4,FALSE)</f>
        <v>#N/A</v>
      </c>
      <c r="E110" s="63">
        <f>COUNTIF($C$6:C110,C110)</f>
        <v>0</v>
      </c>
      <c r="F110" s="62"/>
      <c r="G110" s="62"/>
      <c r="H110" s="61"/>
      <c r="I110" s="59"/>
      <c r="J110" s="59"/>
      <c r="K110" s="59"/>
      <c r="L110" s="59"/>
      <c r="M110" s="58"/>
      <c r="N110" s="55"/>
      <c r="O110" s="60"/>
      <c r="P110" s="59"/>
      <c r="Q110" s="57"/>
      <c r="R110" s="57"/>
      <c r="S110" s="58"/>
      <c r="T110" s="57"/>
      <c r="U110" s="57"/>
      <c r="V110" s="57"/>
      <c r="W110" s="56" t="str">
        <f t="shared" si="7"/>
        <v>Open</v>
      </c>
      <c r="X110" s="55"/>
    </row>
    <row r="111" spans="1:24" s="54" customFormat="1" hidden="1" x14ac:dyDescent="0.35">
      <c r="A111" s="67" t="e">
        <f t="shared" si="6"/>
        <v>#N/A</v>
      </c>
      <c r="B111" s="66"/>
      <c r="C111" s="65"/>
      <c r="D111" s="64" t="e">
        <f>VLOOKUP(C111,[3]Droplist!$C$14:$F$32,4,FALSE)</f>
        <v>#N/A</v>
      </c>
      <c r="E111" s="63">
        <f>COUNTIF($C$6:C111,C111)</f>
        <v>0</v>
      </c>
      <c r="F111" s="62"/>
      <c r="G111" s="62"/>
      <c r="H111" s="61"/>
      <c r="I111" s="59"/>
      <c r="J111" s="59"/>
      <c r="K111" s="59"/>
      <c r="L111" s="59"/>
      <c r="M111" s="58"/>
      <c r="N111" s="55"/>
      <c r="O111" s="60"/>
      <c r="P111" s="59"/>
      <c r="Q111" s="57"/>
      <c r="R111" s="57"/>
      <c r="S111" s="58"/>
      <c r="T111" s="57"/>
      <c r="U111" s="57"/>
      <c r="V111" s="57"/>
      <c r="W111" s="56" t="str">
        <f t="shared" si="7"/>
        <v>Open</v>
      </c>
      <c r="X111" s="55"/>
    </row>
    <row r="112" spans="1:24" s="54" customFormat="1" hidden="1" x14ac:dyDescent="0.35">
      <c r="A112" s="67" t="e">
        <f t="shared" si="6"/>
        <v>#N/A</v>
      </c>
      <c r="B112" s="66"/>
      <c r="C112" s="65"/>
      <c r="D112" s="64" t="e">
        <f>VLOOKUP(C112,[3]Droplist!$C$14:$F$32,4,FALSE)</f>
        <v>#N/A</v>
      </c>
      <c r="E112" s="63">
        <f>COUNTIF($C$6:C112,C112)</f>
        <v>0</v>
      </c>
      <c r="F112" s="62"/>
      <c r="G112" s="62"/>
      <c r="H112" s="61"/>
      <c r="I112" s="59"/>
      <c r="J112" s="59"/>
      <c r="K112" s="59"/>
      <c r="L112" s="59"/>
      <c r="M112" s="58"/>
      <c r="N112" s="55"/>
      <c r="O112" s="60"/>
      <c r="P112" s="59"/>
      <c r="Q112" s="57"/>
      <c r="R112" s="57"/>
      <c r="S112" s="58"/>
      <c r="T112" s="57"/>
      <c r="U112" s="57"/>
      <c r="V112" s="57"/>
      <c r="W112" s="56" t="str">
        <f t="shared" si="7"/>
        <v>Open</v>
      </c>
      <c r="X112" s="55"/>
    </row>
    <row r="113" spans="1:24" s="54" customFormat="1" hidden="1" x14ac:dyDescent="0.35">
      <c r="A113" s="67" t="e">
        <f t="shared" si="6"/>
        <v>#N/A</v>
      </c>
      <c r="B113" s="66"/>
      <c r="C113" s="65"/>
      <c r="D113" s="64" t="e">
        <f>VLOOKUP(C113,[3]Droplist!$C$14:$F$32,4,FALSE)</f>
        <v>#N/A</v>
      </c>
      <c r="E113" s="63">
        <f>COUNTIF($C$6:C113,C113)</f>
        <v>0</v>
      </c>
      <c r="F113" s="62"/>
      <c r="G113" s="62"/>
      <c r="H113" s="61"/>
      <c r="I113" s="59"/>
      <c r="J113" s="59"/>
      <c r="K113" s="59"/>
      <c r="L113" s="59"/>
      <c r="M113" s="58"/>
      <c r="N113" s="55"/>
      <c r="O113" s="60"/>
      <c r="P113" s="59"/>
      <c r="Q113" s="57"/>
      <c r="R113" s="57"/>
      <c r="S113" s="58"/>
      <c r="T113" s="57"/>
      <c r="U113" s="57"/>
      <c r="V113" s="57"/>
      <c r="W113" s="56" t="str">
        <f t="shared" si="7"/>
        <v>Open</v>
      </c>
      <c r="X113" s="55"/>
    </row>
    <row r="114" spans="1:24" s="54" customFormat="1" hidden="1" x14ac:dyDescent="0.35">
      <c r="A114" s="67" t="e">
        <f t="shared" si="6"/>
        <v>#N/A</v>
      </c>
      <c r="B114" s="66"/>
      <c r="C114" s="65"/>
      <c r="D114" s="64" t="e">
        <f>VLOOKUP(C114,[3]Droplist!$C$14:$F$32,4,FALSE)</f>
        <v>#N/A</v>
      </c>
      <c r="E114" s="63">
        <f>COUNTIF($C$6:C114,C114)</f>
        <v>0</v>
      </c>
      <c r="F114" s="62"/>
      <c r="G114" s="62"/>
      <c r="H114" s="61"/>
      <c r="I114" s="59"/>
      <c r="J114" s="59"/>
      <c r="K114" s="59"/>
      <c r="L114" s="59"/>
      <c r="M114" s="58"/>
      <c r="N114" s="55"/>
      <c r="O114" s="60"/>
      <c r="P114" s="59"/>
      <c r="Q114" s="57"/>
      <c r="R114" s="57"/>
      <c r="S114" s="58"/>
      <c r="T114" s="57"/>
      <c r="U114" s="57"/>
      <c r="V114" s="57"/>
      <c r="W114" s="56" t="str">
        <f t="shared" si="7"/>
        <v>Open</v>
      </c>
      <c r="X114" s="55"/>
    </row>
    <row r="115" spans="1:24" s="54" customFormat="1" hidden="1" x14ac:dyDescent="0.35">
      <c r="A115" s="67" t="e">
        <f t="shared" si="6"/>
        <v>#N/A</v>
      </c>
      <c r="B115" s="66"/>
      <c r="C115" s="65"/>
      <c r="D115" s="64" t="e">
        <f>VLOOKUP(C115,[3]Droplist!$C$14:$F$32,4,FALSE)</f>
        <v>#N/A</v>
      </c>
      <c r="E115" s="63">
        <f>COUNTIF($C$6:C115,C115)</f>
        <v>0</v>
      </c>
      <c r="F115" s="62"/>
      <c r="G115" s="62"/>
      <c r="H115" s="61"/>
      <c r="I115" s="59"/>
      <c r="J115" s="59"/>
      <c r="K115" s="59"/>
      <c r="L115" s="59"/>
      <c r="M115" s="58"/>
      <c r="N115" s="55"/>
      <c r="O115" s="60"/>
      <c r="P115" s="59"/>
      <c r="Q115" s="57"/>
      <c r="R115" s="57"/>
      <c r="S115" s="58"/>
      <c r="T115" s="57"/>
      <c r="U115" s="57"/>
      <c r="V115" s="57"/>
      <c r="W115" s="56" t="str">
        <f t="shared" si="7"/>
        <v>Open</v>
      </c>
      <c r="X115" s="55"/>
    </row>
    <row r="116" spans="1:24" s="54" customFormat="1" hidden="1" x14ac:dyDescent="0.35">
      <c r="A116" s="67" t="e">
        <f t="shared" si="6"/>
        <v>#N/A</v>
      </c>
      <c r="B116" s="66"/>
      <c r="C116" s="65"/>
      <c r="D116" s="64" t="e">
        <f>VLOOKUP(C116,[3]Droplist!$C$14:$F$32,4,FALSE)</f>
        <v>#N/A</v>
      </c>
      <c r="E116" s="63">
        <f>COUNTIF($C$6:C116,C116)</f>
        <v>0</v>
      </c>
      <c r="F116" s="62"/>
      <c r="G116" s="62"/>
      <c r="H116" s="61"/>
      <c r="I116" s="59"/>
      <c r="J116" s="59"/>
      <c r="K116" s="59"/>
      <c r="L116" s="59"/>
      <c r="M116" s="58"/>
      <c r="N116" s="55"/>
      <c r="O116" s="60"/>
      <c r="P116" s="59"/>
      <c r="Q116" s="57"/>
      <c r="R116" s="57"/>
      <c r="S116" s="58"/>
      <c r="T116" s="57"/>
      <c r="U116" s="57"/>
      <c r="V116" s="57"/>
      <c r="W116" s="56" t="str">
        <f t="shared" si="7"/>
        <v>Open</v>
      </c>
      <c r="X116" s="55"/>
    </row>
    <row r="117" spans="1:24" s="54" customFormat="1" hidden="1" x14ac:dyDescent="0.35">
      <c r="A117" s="67" t="e">
        <f t="shared" si="6"/>
        <v>#N/A</v>
      </c>
      <c r="B117" s="66"/>
      <c r="C117" s="65"/>
      <c r="D117" s="64" t="e">
        <f>VLOOKUP(C117,[3]Droplist!$C$14:$F$32,4,FALSE)</f>
        <v>#N/A</v>
      </c>
      <c r="E117" s="63">
        <f>COUNTIF($C$6:C117,C117)</f>
        <v>0</v>
      </c>
      <c r="F117" s="62"/>
      <c r="G117" s="62"/>
      <c r="H117" s="61"/>
      <c r="I117" s="59"/>
      <c r="J117" s="59"/>
      <c r="K117" s="59"/>
      <c r="L117" s="59"/>
      <c r="M117" s="58"/>
      <c r="N117" s="55"/>
      <c r="O117" s="60"/>
      <c r="P117" s="59"/>
      <c r="Q117" s="57"/>
      <c r="R117" s="57"/>
      <c r="S117" s="58"/>
      <c r="T117" s="57"/>
      <c r="U117" s="57"/>
      <c r="V117" s="57"/>
      <c r="W117" s="56" t="str">
        <f t="shared" si="7"/>
        <v>Open</v>
      </c>
      <c r="X117" s="55"/>
    </row>
    <row r="118" spans="1:24" s="54" customFormat="1" hidden="1" x14ac:dyDescent="0.35">
      <c r="A118" s="67" t="e">
        <f t="shared" si="6"/>
        <v>#N/A</v>
      </c>
      <c r="B118" s="66"/>
      <c r="C118" s="65"/>
      <c r="D118" s="64" t="e">
        <f>VLOOKUP(C118,[3]Droplist!$C$14:$F$32,4,FALSE)</f>
        <v>#N/A</v>
      </c>
      <c r="E118" s="63">
        <f>COUNTIF($C$6:C118,C118)</f>
        <v>0</v>
      </c>
      <c r="F118" s="62"/>
      <c r="G118" s="62"/>
      <c r="H118" s="61"/>
      <c r="I118" s="59"/>
      <c r="J118" s="59"/>
      <c r="K118" s="59"/>
      <c r="L118" s="59"/>
      <c r="M118" s="58"/>
      <c r="N118" s="55"/>
      <c r="O118" s="60"/>
      <c r="P118" s="59"/>
      <c r="Q118" s="57"/>
      <c r="R118" s="57"/>
      <c r="S118" s="58"/>
      <c r="T118" s="57"/>
      <c r="U118" s="57"/>
      <c r="V118" s="57"/>
      <c r="W118" s="56" t="str">
        <f t="shared" si="7"/>
        <v>Open</v>
      </c>
      <c r="X118" s="55"/>
    </row>
    <row r="119" spans="1:24" s="54" customFormat="1" hidden="1" x14ac:dyDescent="0.35">
      <c r="A119" s="67" t="e">
        <f t="shared" si="6"/>
        <v>#N/A</v>
      </c>
      <c r="B119" s="66"/>
      <c r="C119" s="65"/>
      <c r="D119" s="64" t="e">
        <f>VLOOKUP(C119,[3]Droplist!$C$14:$F$32,4,FALSE)</f>
        <v>#N/A</v>
      </c>
      <c r="E119" s="63">
        <f>COUNTIF($C$6:C119,C119)</f>
        <v>0</v>
      </c>
      <c r="F119" s="62"/>
      <c r="G119" s="62"/>
      <c r="H119" s="61"/>
      <c r="I119" s="59"/>
      <c r="J119" s="59"/>
      <c r="K119" s="59"/>
      <c r="L119" s="59"/>
      <c r="M119" s="58"/>
      <c r="N119" s="55"/>
      <c r="O119" s="60"/>
      <c r="P119" s="59"/>
      <c r="Q119" s="57"/>
      <c r="R119" s="57"/>
      <c r="S119" s="58"/>
      <c r="T119" s="57"/>
      <c r="U119" s="57"/>
      <c r="V119" s="57"/>
      <c r="W119" s="56" t="str">
        <f t="shared" si="7"/>
        <v>Open</v>
      </c>
      <c r="X119" s="55"/>
    </row>
    <row r="120" spans="1:24" s="54" customFormat="1" hidden="1" x14ac:dyDescent="0.35">
      <c r="A120" s="67" t="e">
        <f t="shared" si="6"/>
        <v>#N/A</v>
      </c>
      <c r="B120" s="66"/>
      <c r="C120" s="65"/>
      <c r="D120" s="64" t="e">
        <f>VLOOKUP(C120,[3]Droplist!$C$14:$F$32,4,FALSE)</f>
        <v>#N/A</v>
      </c>
      <c r="E120" s="63">
        <f>COUNTIF($C$6:C120,C120)</f>
        <v>0</v>
      </c>
      <c r="F120" s="62"/>
      <c r="G120" s="62"/>
      <c r="H120" s="61"/>
      <c r="I120" s="59"/>
      <c r="J120" s="59"/>
      <c r="K120" s="59"/>
      <c r="L120" s="59"/>
      <c r="M120" s="58"/>
      <c r="N120" s="55"/>
      <c r="O120" s="60"/>
      <c r="P120" s="59"/>
      <c r="Q120" s="57"/>
      <c r="R120" s="57"/>
      <c r="S120" s="58"/>
      <c r="T120" s="57"/>
      <c r="U120" s="57"/>
      <c r="V120" s="57"/>
      <c r="W120" s="56" t="str">
        <f t="shared" si="7"/>
        <v>Open</v>
      </c>
      <c r="X120" s="55"/>
    </row>
    <row r="121" spans="1:24" s="54" customFormat="1" hidden="1" x14ac:dyDescent="0.35">
      <c r="A121" s="67" t="e">
        <f t="shared" si="6"/>
        <v>#N/A</v>
      </c>
      <c r="B121" s="66"/>
      <c r="C121" s="65"/>
      <c r="D121" s="64" t="e">
        <f>VLOOKUP(C121,[3]Droplist!$C$14:$F$32,4,FALSE)</f>
        <v>#N/A</v>
      </c>
      <c r="E121" s="63">
        <f>COUNTIF($C$6:C121,C121)</f>
        <v>0</v>
      </c>
      <c r="F121" s="62"/>
      <c r="G121" s="62"/>
      <c r="H121" s="61"/>
      <c r="I121" s="59"/>
      <c r="J121" s="59"/>
      <c r="K121" s="59"/>
      <c r="L121" s="59"/>
      <c r="M121" s="58"/>
      <c r="N121" s="55"/>
      <c r="O121" s="60"/>
      <c r="P121" s="59"/>
      <c r="Q121" s="57"/>
      <c r="R121" s="57"/>
      <c r="S121" s="58"/>
      <c r="T121" s="57"/>
      <c r="U121" s="57"/>
      <c r="V121" s="57"/>
      <c r="W121" s="56" t="str">
        <f t="shared" si="7"/>
        <v>Open</v>
      </c>
      <c r="X121" s="55"/>
    </row>
    <row r="122" spans="1:24" s="54" customFormat="1" hidden="1" x14ac:dyDescent="0.35">
      <c r="A122" s="67" t="e">
        <f t="shared" si="6"/>
        <v>#N/A</v>
      </c>
      <c r="B122" s="66"/>
      <c r="C122" s="65"/>
      <c r="D122" s="64" t="e">
        <f>VLOOKUP(C122,[3]Droplist!$C$14:$F$32,4,FALSE)</f>
        <v>#N/A</v>
      </c>
      <c r="E122" s="63">
        <f>COUNTIF($C$6:C122,C122)</f>
        <v>0</v>
      </c>
      <c r="F122" s="62"/>
      <c r="G122" s="62"/>
      <c r="H122" s="61"/>
      <c r="I122" s="59"/>
      <c r="J122" s="59"/>
      <c r="K122" s="59"/>
      <c r="L122" s="59"/>
      <c r="M122" s="58"/>
      <c r="N122" s="55"/>
      <c r="O122" s="60"/>
      <c r="P122" s="59"/>
      <c r="Q122" s="57"/>
      <c r="R122" s="57"/>
      <c r="S122" s="58"/>
      <c r="T122" s="57"/>
      <c r="U122" s="57"/>
      <c r="V122" s="57"/>
      <c r="W122" s="56" t="str">
        <f t="shared" si="7"/>
        <v>Open</v>
      </c>
      <c r="X122" s="55"/>
    </row>
    <row r="123" spans="1:24" s="54" customFormat="1" hidden="1" x14ac:dyDescent="0.35">
      <c r="A123" s="67" t="e">
        <f t="shared" si="6"/>
        <v>#N/A</v>
      </c>
      <c r="B123" s="66"/>
      <c r="C123" s="65"/>
      <c r="D123" s="64" t="e">
        <f>VLOOKUP(C123,[3]Droplist!$C$14:$F$32,4,FALSE)</f>
        <v>#N/A</v>
      </c>
      <c r="E123" s="63">
        <f>COUNTIF($C$6:C123,C123)</f>
        <v>0</v>
      </c>
      <c r="F123" s="62"/>
      <c r="G123" s="62"/>
      <c r="H123" s="61"/>
      <c r="I123" s="59"/>
      <c r="J123" s="59"/>
      <c r="K123" s="59"/>
      <c r="L123" s="59"/>
      <c r="M123" s="58"/>
      <c r="N123" s="55"/>
      <c r="O123" s="60"/>
      <c r="P123" s="59"/>
      <c r="Q123" s="57"/>
      <c r="R123" s="57"/>
      <c r="S123" s="58"/>
      <c r="T123" s="57"/>
      <c r="U123" s="57"/>
      <c r="V123" s="57"/>
      <c r="W123" s="56" t="str">
        <f t="shared" si="7"/>
        <v>Open</v>
      </c>
      <c r="X123" s="55"/>
    </row>
    <row r="124" spans="1:24" s="54" customFormat="1" hidden="1" x14ac:dyDescent="0.35">
      <c r="A124" s="67" t="e">
        <f t="shared" si="6"/>
        <v>#N/A</v>
      </c>
      <c r="B124" s="66"/>
      <c r="C124" s="65"/>
      <c r="D124" s="64" t="e">
        <f>VLOOKUP(C124,[3]Droplist!$C$14:$F$32,4,FALSE)</f>
        <v>#N/A</v>
      </c>
      <c r="E124" s="63">
        <f>COUNTIF($C$6:C124,C124)</f>
        <v>0</v>
      </c>
      <c r="F124" s="62"/>
      <c r="G124" s="62"/>
      <c r="H124" s="61"/>
      <c r="I124" s="59"/>
      <c r="J124" s="59"/>
      <c r="K124" s="59"/>
      <c r="L124" s="59"/>
      <c r="M124" s="58"/>
      <c r="N124" s="55"/>
      <c r="O124" s="60"/>
      <c r="P124" s="59"/>
      <c r="Q124" s="57"/>
      <c r="R124" s="57"/>
      <c r="S124" s="58"/>
      <c r="T124" s="57"/>
      <c r="U124" s="57"/>
      <c r="V124" s="57"/>
      <c r="W124" s="56" t="str">
        <f t="shared" si="7"/>
        <v>Open</v>
      </c>
      <c r="X124" s="55"/>
    </row>
    <row r="125" spans="1:24" s="54" customFormat="1" hidden="1" x14ac:dyDescent="0.35">
      <c r="A125" s="67" t="e">
        <f t="shared" si="6"/>
        <v>#N/A</v>
      </c>
      <c r="B125" s="66"/>
      <c r="C125" s="65"/>
      <c r="D125" s="64" t="e">
        <f>VLOOKUP(C125,[3]Droplist!$C$14:$F$32,4,FALSE)</f>
        <v>#N/A</v>
      </c>
      <c r="E125" s="63">
        <f>COUNTIF($C$6:C125,C125)</f>
        <v>0</v>
      </c>
      <c r="F125" s="62"/>
      <c r="G125" s="62"/>
      <c r="H125" s="61"/>
      <c r="I125" s="59"/>
      <c r="J125" s="59"/>
      <c r="K125" s="59"/>
      <c r="L125" s="59"/>
      <c r="M125" s="58"/>
      <c r="N125" s="55"/>
      <c r="O125" s="60"/>
      <c r="P125" s="59"/>
      <c r="Q125" s="57"/>
      <c r="R125" s="57"/>
      <c r="S125" s="58"/>
      <c r="T125" s="57"/>
      <c r="U125" s="57"/>
      <c r="V125" s="57"/>
      <c r="W125" s="56" t="str">
        <f t="shared" si="7"/>
        <v>Open</v>
      </c>
      <c r="X125" s="55"/>
    </row>
    <row r="126" spans="1:24" s="54" customFormat="1" hidden="1" x14ac:dyDescent="0.35">
      <c r="A126" s="67" t="e">
        <f t="shared" si="6"/>
        <v>#N/A</v>
      </c>
      <c r="B126" s="66"/>
      <c r="C126" s="65"/>
      <c r="D126" s="64" t="e">
        <f>VLOOKUP(C126,[3]Droplist!$C$14:$F$32,4,FALSE)</f>
        <v>#N/A</v>
      </c>
      <c r="E126" s="63">
        <f>COUNTIF($C$6:C126,C126)</f>
        <v>0</v>
      </c>
      <c r="F126" s="62"/>
      <c r="G126" s="62"/>
      <c r="H126" s="61"/>
      <c r="I126" s="59"/>
      <c r="J126" s="59"/>
      <c r="K126" s="59"/>
      <c r="L126" s="59"/>
      <c r="M126" s="58"/>
      <c r="N126" s="55"/>
      <c r="O126" s="60"/>
      <c r="P126" s="59"/>
      <c r="Q126" s="57"/>
      <c r="R126" s="57"/>
      <c r="S126" s="58"/>
      <c r="T126" s="57"/>
      <c r="U126" s="57"/>
      <c r="V126" s="57"/>
      <c r="W126" s="56" t="str">
        <f t="shared" si="7"/>
        <v>Open</v>
      </c>
      <c r="X126" s="55"/>
    </row>
    <row r="127" spans="1:24" s="54" customFormat="1" hidden="1" x14ac:dyDescent="0.35">
      <c r="A127" s="67" t="e">
        <f t="shared" si="6"/>
        <v>#N/A</v>
      </c>
      <c r="B127" s="66"/>
      <c r="C127" s="65"/>
      <c r="D127" s="64" t="e">
        <f>VLOOKUP(C127,[3]Droplist!$C$14:$F$32,4,FALSE)</f>
        <v>#N/A</v>
      </c>
      <c r="E127" s="63">
        <f>COUNTIF($C$6:C127,C127)</f>
        <v>0</v>
      </c>
      <c r="F127" s="62"/>
      <c r="G127" s="62"/>
      <c r="H127" s="61"/>
      <c r="I127" s="59"/>
      <c r="J127" s="59"/>
      <c r="K127" s="59"/>
      <c r="L127" s="59"/>
      <c r="M127" s="58"/>
      <c r="N127" s="55"/>
      <c r="O127" s="60"/>
      <c r="P127" s="59"/>
      <c r="Q127" s="57"/>
      <c r="R127" s="57"/>
      <c r="S127" s="58"/>
      <c r="T127" s="57"/>
      <c r="U127" s="57"/>
      <c r="V127" s="57"/>
      <c r="W127" s="56" t="str">
        <f t="shared" si="7"/>
        <v>Open</v>
      </c>
      <c r="X127" s="55"/>
    </row>
    <row r="128" spans="1:24" s="54" customFormat="1" hidden="1" x14ac:dyDescent="0.35">
      <c r="A128" s="67" t="e">
        <f t="shared" si="6"/>
        <v>#N/A</v>
      </c>
      <c r="B128" s="66"/>
      <c r="C128" s="65"/>
      <c r="D128" s="64" t="e">
        <f>VLOOKUP(C128,[3]Droplist!$C$14:$F$32,4,FALSE)</f>
        <v>#N/A</v>
      </c>
      <c r="E128" s="63">
        <f>COUNTIF($C$6:C128,C128)</f>
        <v>0</v>
      </c>
      <c r="F128" s="62"/>
      <c r="G128" s="62"/>
      <c r="H128" s="61"/>
      <c r="I128" s="59"/>
      <c r="J128" s="59"/>
      <c r="K128" s="59"/>
      <c r="L128" s="59"/>
      <c r="M128" s="58"/>
      <c r="N128" s="55"/>
      <c r="O128" s="60"/>
      <c r="P128" s="59"/>
      <c r="Q128" s="57"/>
      <c r="R128" s="57"/>
      <c r="S128" s="58"/>
      <c r="T128" s="57"/>
      <c r="U128" s="57"/>
      <c r="V128" s="57"/>
      <c r="W128" s="56" t="str">
        <f t="shared" si="7"/>
        <v>Open</v>
      </c>
      <c r="X128" s="55"/>
    </row>
    <row r="129" spans="1:24" s="54" customFormat="1" hidden="1" x14ac:dyDescent="0.35">
      <c r="A129" s="67" t="e">
        <f t="shared" si="6"/>
        <v>#N/A</v>
      </c>
      <c r="B129" s="66"/>
      <c r="C129" s="65"/>
      <c r="D129" s="64" t="e">
        <f>VLOOKUP(C129,[3]Droplist!$C$14:$F$32,4,FALSE)</f>
        <v>#N/A</v>
      </c>
      <c r="E129" s="63">
        <f>COUNTIF($C$6:C129,C129)</f>
        <v>0</v>
      </c>
      <c r="F129" s="62"/>
      <c r="G129" s="62"/>
      <c r="H129" s="61"/>
      <c r="I129" s="59"/>
      <c r="J129" s="59"/>
      <c r="K129" s="59"/>
      <c r="L129" s="59"/>
      <c r="M129" s="58"/>
      <c r="N129" s="55"/>
      <c r="O129" s="60"/>
      <c r="P129" s="59"/>
      <c r="Q129" s="57"/>
      <c r="R129" s="57"/>
      <c r="S129" s="58"/>
      <c r="T129" s="57"/>
      <c r="U129" s="57"/>
      <c r="V129" s="57"/>
      <c r="W129" s="56" t="str">
        <f t="shared" si="7"/>
        <v>Open</v>
      </c>
      <c r="X129" s="55"/>
    </row>
    <row r="130" spans="1:24" s="54" customFormat="1" hidden="1" x14ac:dyDescent="0.35">
      <c r="A130" s="67" t="e">
        <f t="shared" si="6"/>
        <v>#N/A</v>
      </c>
      <c r="B130" s="66"/>
      <c r="C130" s="65"/>
      <c r="D130" s="64" t="e">
        <f>VLOOKUP(C130,[3]Droplist!$C$14:$F$32,4,FALSE)</f>
        <v>#N/A</v>
      </c>
      <c r="E130" s="63">
        <f>COUNTIF($C$6:C130,C130)</f>
        <v>0</v>
      </c>
      <c r="F130" s="62"/>
      <c r="G130" s="62"/>
      <c r="H130" s="61"/>
      <c r="I130" s="59"/>
      <c r="J130" s="59"/>
      <c r="K130" s="59"/>
      <c r="L130" s="59"/>
      <c r="M130" s="58"/>
      <c r="N130" s="55"/>
      <c r="O130" s="60"/>
      <c r="P130" s="59"/>
      <c r="Q130" s="57"/>
      <c r="R130" s="57"/>
      <c r="S130" s="58"/>
      <c r="T130" s="57"/>
      <c r="U130" s="57"/>
      <c r="V130" s="57"/>
      <c r="W130" s="56" t="str">
        <f t="shared" si="7"/>
        <v>Open</v>
      </c>
      <c r="X130" s="55"/>
    </row>
    <row r="131" spans="1:24" s="54" customFormat="1" hidden="1" x14ac:dyDescent="0.35">
      <c r="A131" s="67" t="e">
        <f t="shared" si="6"/>
        <v>#N/A</v>
      </c>
      <c r="B131" s="66"/>
      <c r="C131" s="65"/>
      <c r="D131" s="64" t="e">
        <f>VLOOKUP(C131,[3]Droplist!$C$14:$F$32,4,FALSE)</f>
        <v>#N/A</v>
      </c>
      <c r="E131" s="63">
        <f>COUNTIF($C$6:C131,C131)</f>
        <v>0</v>
      </c>
      <c r="F131" s="62"/>
      <c r="G131" s="62"/>
      <c r="H131" s="61"/>
      <c r="I131" s="59"/>
      <c r="J131" s="59"/>
      <c r="K131" s="59"/>
      <c r="L131" s="59"/>
      <c r="M131" s="58"/>
      <c r="N131" s="55"/>
      <c r="O131" s="60"/>
      <c r="P131" s="59"/>
      <c r="Q131" s="57"/>
      <c r="R131" s="57"/>
      <c r="S131" s="58"/>
      <c r="T131" s="57"/>
      <c r="U131" s="57"/>
      <c r="V131" s="57"/>
      <c r="W131" s="56" t="str">
        <f t="shared" si="7"/>
        <v>Open</v>
      </c>
      <c r="X131" s="55"/>
    </row>
    <row r="132" spans="1:24" s="54" customFormat="1" hidden="1" x14ac:dyDescent="0.35">
      <c r="A132" s="67" t="e">
        <f t="shared" si="6"/>
        <v>#N/A</v>
      </c>
      <c r="B132" s="66"/>
      <c r="C132" s="65"/>
      <c r="D132" s="64" t="e">
        <f>VLOOKUP(C132,[3]Droplist!$C$14:$F$32,4,FALSE)</f>
        <v>#N/A</v>
      </c>
      <c r="E132" s="63">
        <f>COUNTIF($C$6:C132,C132)</f>
        <v>0</v>
      </c>
      <c r="F132" s="62"/>
      <c r="G132" s="62"/>
      <c r="H132" s="61"/>
      <c r="I132" s="59"/>
      <c r="J132" s="59"/>
      <c r="K132" s="59"/>
      <c r="L132" s="59"/>
      <c r="M132" s="58"/>
      <c r="N132" s="55"/>
      <c r="O132" s="60"/>
      <c r="P132" s="59"/>
      <c r="Q132" s="57"/>
      <c r="R132" s="57"/>
      <c r="S132" s="58"/>
      <c r="T132" s="57"/>
      <c r="U132" s="57"/>
      <c r="V132" s="57"/>
      <c r="W132" s="56" t="str">
        <f t="shared" si="7"/>
        <v>Open</v>
      </c>
      <c r="X132" s="55"/>
    </row>
    <row r="133" spans="1:24" s="54" customFormat="1" hidden="1" x14ac:dyDescent="0.35">
      <c r="A133" s="67" t="e">
        <f t="shared" si="6"/>
        <v>#N/A</v>
      </c>
      <c r="B133" s="66"/>
      <c r="C133" s="65"/>
      <c r="D133" s="64" t="e">
        <f>VLOOKUP(C133,[3]Droplist!$C$14:$F$32,4,FALSE)</f>
        <v>#N/A</v>
      </c>
      <c r="E133" s="63">
        <f>COUNTIF($C$6:C133,C133)</f>
        <v>0</v>
      </c>
      <c r="F133" s="62"/>
      <c r="G133" s="62"/>
      <c r="H133" s="61"/>
      <c r="I133" s="59"/>
      <c r="J133" s="59"/>
      <c r="K133" s="59"/>
      <c r="L133" s="59"/>
      <c r="M133" s="58"/>
      <c r="N133" s="55"/>
      <c r="O133" s="60"/>
      <c r="P133" s="59"/>
      <c r="Q133" s="57"/>
      <c r="R133" s="57"/>
      <c r="S133" s="58"/>
      <c r="T133" s="57"/>
      <c r="U133" s="57"/>
      <c r="V133" s="57"/>
      <c r="W133" s="56" t="str">
        <f t="shared" si="7"/>
        <v>Open</v>
      </c>
      <c r="X133" s="55"/>
    </row>
    <row r="134" spans="1:24" s="54" customFormat="1" hidden="1" x14ac:dyDescent="0.35">
      <c r="A134" s="67" t="e">
        <f t="shared" ref="A134:A155" si="8">D134&amp;" "&amp;E134</f>
        <v>#N/A</v>
      </c>
      <c r="B134" s="66"/>
      <c r="C134" s="65"/>
      <c r="D134" s="64" t="e">
        <f>VLOOKUP(C134,[3]Droplist!$C$14:$F$32,4,FALSE)</f>
        <v>#N/A</v>
      </c>
      <c r="E134" s="63">
        <f>COUNTIF($C$6:C134,C134)</f>
        <v>0</v>
      </c>
      <c r="F134" s="62"/>
      <c r="G134" s="62"/>
      <c r="H134" s="61"/>
      <c r="I134" s="59"/>
      <c r="J134" s="59"/>
      <c r="K134" s="59"/>
      <c r="L134" s="59"/>
      <c r="M134" s="58"/>
      <c r="N134" s="55"/>
      <c r="O134" s="60"/>
      <c r="P134" s="59"/>
      <c r="Q134" s="57"/>
      <c r="R134" s="57"/>
      <c r="S134" s="58"/>
      <c r="T134" s="57"/>
      <c r="U134" s="57"/>
      <c r="V134" s="57"/>
      <c r="W134" s="56" t="str">
        <f t="shared" ref="W134:W155" si="9">IF(U134="Project has closed this gap ", "Closed","Open")</f>
        <v>Open</v>
      </c>
      <c r="X134" s="55"/>
    </row>
    <row r="135" spans="1:24" s="54" customFormat="1" hidden="1" x14ac:dyDescent="0.35">
      <c r="A135" s="67" t="e">
        <f t="shared" si="8"/>
        <v>#N/A</v>
      </c>
      <c r="B135" s="66"/>
      <c r="C135" s="65"/>
      <c r="D135" s="64" t="e">
        <f>VLOOKUP(C135,[3]Droplist!$C$14:$F$32,4,FALSE)</f>
        <v>#N/A</v>
      </c>
      <c r="E135" s="63">
        <f>COUNTIF($C$6:C135,C135)</f>
        <v>0</v>
      </c>
      <c r="F135" s="62"/>
      <c r="G135" s="62"/>
      <c r="H135" s="61"/>
      <c r="I135" s="59"/>
      <c r="J135" s="59"/>
      <c r="K135" s="59"/>
      <c r="L135" s="59"/>
      <c r="M135" s="58"/>
      <c r="N135" s="55"/>
      <c r="O135" s="60"/>
      <c r="P135" s="59"/>
      <c r="Q135" s="57"/>
      <c r="R135" s="57"/>
      <c r="S135" s="58"/>
      <c r="T135" s="57"/>
      <c r="U135" s="57"/>
      <c r="V135" s="57"/>
      <c r="W135" s="56" t="str">
        <f t="shared" si="9"/>
        <v>Open</v>
      </c>
      <c r="X135" s="55"/>
    </row>
    <row r="136" spans="1:24" s="54" customFormat="1" hidden="1" x14ac:dyDescent="0.35">
      <c r="A136" s="67" t="e">
        <f t="shared" si="8"/>
        <v>#N/A</v>
      </c>
      <c r="B136" s="66"/>
      <c r="C136" s="65"/>
      <c r="D136" s="64" t="e">
        <f>VLOOKUP(C136,[3]Droplist!$C$14:$F$32,4,FALSE)</f>
        <v>#N/A</v>
      </c>
      <c r="E136" s="63">
        <f>COUNTIF($C$6:C136,C136)</f>
        <v>0</v>
      </c>
      <c r="F136" s="62"/>
      <c r="G136" s="62"/>
      <c r="H136" s="61"/>
      <c r="I136" s="59"/>
      <c r="J136" s="59"/>
      <c r="K136" s="59"/>
      <c r="L136" s="59"/>
      <c r="M136" s="58"/>
      <c r="N136" s="55"/>
      <c r="O136" s="60"/>
      <c r="P136" s="59"/>
      <c r="Q136" s="57"/>
      <c r="R136" s="57"/>
      <c r="S136" s="58"/>
      <c r="T136" s="57"/>
      <c r="U136" s="57"/>
      <c r="V136" s="57"/>
      <c r="W136" s="56" t="str">
        <f t="shared" si="9"/>
        <v>Open</v>
      </c>
      <c r="X136" s="55"/>
    </row>
    <row r="137" spans="1:24" s="54" customFormat="1" hidden="1" x14ac:dyDescent="0.35">
      <c r="A137" s="67" t="e">
        <f t="shared" si="8"/>
        <v>#N/A</v>
      </c>
      <c r="B137" s="66"/>
      <c r="C137" s="65"/>
      <c r="D137" s="64" t="e">
        <f>VLOOKUP(C137,[3]Droplist!$C$14:$F$32,4,FALSE)</f>
        <v>#N/A</v>
      </c>
      <c r="E137" s="63">
        <f>COUNTIF($C$6:C137,C137)</f>
        <v>0</v>
      </c>
      <c r="F137" s="62"/>
      <c r="G137" s="62"/>
      <c r="H137" s="61"/>
      <c r="I137" s="59"/>
      <c r="J137" s="59"/>
      <c r="K137" s="59"/>
      <c r="L137" s="59"/>
      <c r="M137" s="58"/>
      <c r="N137" s="55"/>
      <c r="O137" s="60"/>
      <c r="P137" s="59"/>
      <c r="Q137" s="57"/>
      <c r="R137" s="57"/>
      <c r="S137" s="58"/>
      <c r="T137" s="57"/>
      <c r="U137" s="57"/>
      <c r="V137" s="57"/>
      <c r="W137" s="56" t="str">
        <f t="shared" si="9"/>
        <v>Open</v>
      </c>
      <c r="X137" s="55"/>
    </row>
    <row r="138" spans="1:24" s="54" customFormat="1" hidden="1" x14ac:dyDescent="0.35">
      <c r="A138" s="67" t="e">
        <f t="shared" si="8"/>
        <v>#N/A</v>
      </c>
      <c r="B138" s="66"/>
      <c r="C138" s="65"/>
      <c r="D138" s="64" t="e">
        <f>VLOOKUP(C138,[3]Droplist!$C$14:$F$32,4,FALSE)</f>
        <v>#N/A</v>
      </c>
      <c r="E138" s="63">
        <f>COUNTIF($C$6:C138,C138)</f>
        <v>0</v>
      </c>
      <c r="F138" s="62"/>
      <c r="G138" s="62"/>
      <c r="H138" s="61"/>
      <c r="I138" s="59"/>
      <c r="J138" s="59"/>
      <c r="K138" s="59"/>
      <c r="L138" s="59"/>
      <c r="M138" s="58"/>
      <c r="N138" s="55"/>
      <c r="O138" s="60"/>
      <c r="P138" s="59"/>
      <c r="Q138" s="57"/>
      <c r="R138" s="57"/>
      <c r="S138" s="58"/>
      <c r="T138" s="57"/>
      <c r="U138" s="57"/>
      <c r="V138" s="57"/>
      <c r="W138" s="56" t="str">
        <f t="shared" si="9"/>
        <v>Open</v>
      </c>
      <c r="X138" s="55"/>
    </row>
    <row r="139" spans="1:24" s="54" customFormat="1" hidden="1" x14ac:dyDescent="0.35">
      <c r="A139" s="67" t="e">
        <f t="shared" si="8"/>
        <v>#N/A</v>
      </c>
      <c r="B139" s="66"/>
      <c r="C139" s="65"/>
      <c r="D139" s="64" t="e">
        <f>VLOOKUP(C139,[3]Droplist!$C$14:$F$32,4,FALSE)</f>
        <v>#N/A</v>
      </c>
      <c r="E139" s="63">
        <f>COUNTIF($C$6:C139,C139)</f>
        <v>0</v>
      </c>
      <c r="F139" s="62"/>
      <c r="G139" s="62"/>
      <c r="H139" s="61"/>
      <c r="I139" s="59"/>
      <c r="J139" s="59"/>
      <c r="K139" s="59"/>
      <c r="L139" s="59"/>
      <c r="M139" s="58"/>
      <c r="N139" s="55"/>
      <c r="O139" s="60"/>
      <c r="P139" s="59"/>
      <c r="Q139" s="57"/>
      <c r="R139" s="57"/>
      <c r="S139" s="58"/>
      <c r="T139" s="57"/>
      <c r="U139" s="57"/>
      <c r="V139" s="57"/>
      <c r="W139" s="56" t="str">
        <f t="shared" si="9"/>
        <v>Open</v>
      </c>
      <c r="X139" s="55"/>
    </row>
    <row r="140" spans="1:24" s="54" customFormat="1" hidden="1" x14ac:dyDescent="0.35">
      <c r="A140" s="67" t="e">
        <f t="shared" si="8"/>
        <v>#N/A</v>
      </c>
      <c r="B140" s="66"/>
      <c r="C140" s="65"/>
      <c r="D140" s="64" t="e">
        <f>VLOOKUP(C140,[3]Droplist!$C$14:$F$32,4,FALSE)</f>
        <v>#N/A</v>
      </c>
      <c r="E140" s="63">
        <f>COUNTIF($C$6:C140,C140)</f>
        <v>0</v>
      </c>
      <c r="F140" s="62"/>
      <c r="G140" s="62"/>
      <c r="H140" s="61"/>
      <c r="I140" s="59"/>
      <c r="J140" s="59"/>
      <c r="K140" s="59"/>
      <c r="L140" s="59"/>
      <c r="M140" s="58"/>
      <c r="N140" s="55"/>
      <c r="O140" s="60"/>
      <c r="P140" s="59"/>
      <c r="Q140" s="57"/>
      <c r="R140" s="57"/>
      <c r="S140" s="58"/>
      <c r="T140" s="57"/>
      <c r="U140" s="57"/>
      <c r="V140" s="57"/>
      <c r="W140" s="56" t="str">
        <f t="shared" si="9"/>
        <v>Open</v>
      </c>
      <c r="X140" s="55"/>
    </row>
    <row r="141" spans="1:24" s="54" customFormat="1" hidden="1" x14ac:dyDescent="0.35">
      <c r="A141" s="67" t="e">
        <f t="shared" si="8"/>
        <v>#N/A</v>
      </c>
      <c r="B141" s="66"/>
      <c r="C141" s="65"/>
      <c r="D141" s="64" t="e">
        <f>VLOOKUP(C141,[3]Droplist!$C$14:$F$32,4,FALSE)</f>
        <v>#N/A</v>
      </c>
      <c r="E141" s="63">
        <f>COUNTIF($C$6:C141,C141)</f>
        <v>0</v>
      </c>
      <c r="F141" s="62"/>
      <c r="G141" s="62"/>
      <c r="H141" s="61"/>
      <c r="I141" s="59"/>
      <c r="J141" s="59"/>
      <c r="K141" s="59"/>
      <c r="L141" s="59"/>
      <c r="M141" s="58"/>
      <c r="N141" s="55"/>
      <c r="O141" s="60"/>
      <c r="P141" s="59"/>
      <c r="Q141" s="57"/>
      <c r="R141" s="57"/>
      <c r="S141" s="58"/>
      <c r="T141" s="57"/>
      <c r="U141" s="57"/>
      <c r="V141" s="57"/>
      <c r="W141" s="56" t="str">
        <f t="shared" si="9"/>
        <v>Open</v>
      </c>
      <c r="X141" s="55"/>
    </row>
    <row r="142" spans="1:24" s="54" customFormat="1" hidden="1" x14ac:dyDescent="0.35">
      <c r="A142" s="67" t="e">
        <f t="shared" si="8"/>
        <v>#N/A</v>
      </c>
      <c r="B142" s="66"/>
      <c r="C142" s="65"/>
      <c r="D142" s="64" t="e">
        <f>VLOOKUP(C142,[3]Droplist!$C$14:$F$32,4,FALSE)</f>
        <v>#N/A</v>
      </c>
      <c r="E142" s="63">
        <f>COUNTIF($C$6:C142,C142)</f>
        <v>0</v>
      </c>
      <c r="F142" s="62"/>
      <c r="G142" s="62"/>
      <c r="H142" s="61"/>
      <c r="I142" s="59"/>
      <c r="J142" s="59"/>
      <c r="K142" s="59"/>
      <c r="L142" s="59"/>
      <c r="M142" s="58"/>
      <c r="N142" s="55"/>
      <c r="O142" s="60"/>
      <c r="P142" s="59"/>
      <c r="Q142" s="57"/>
      <c r="R142" s="57"/>
      <c r="S142" s="58"/>
      <c r="T142" s="57"/>
      <c r="U142" s="57"/>
      <c r="V142" s="57"/>
      <c r="W142" s="56" t="str">
        <f t="shared" si="9"/>
        <v>Open</v>
      </c>
      <c r="X142" s="55"/>
    </row>
    <row r="143" spans="1:24" s="54" customFormat="1" hidden="1" x14ac:dyDescent="0.35">
      <c r="A143" s="67" t="e">
        <f t="shared" si="8"/>
        <v>#N/A</v>
      </c>
      <c r="B143" s="66"/>
      <c r="C143" s="65"/>
      <c r="D143" s="64" t="e">
        <f>VLOOKUP(C143,[3]Droplist!$C$14:$F$32,4,FALSE)</f>
        <v>#N/A</v>
      </c>
      <c r="E143" s="63">
        <f>COUNTIF($C$6:C143,C143)</f>
        <v>0</v>
      </c>
      <c r="F143" s="62"/>
      <c r="G143" s="62"/>
      <c r="H143" s="61"/>
      <c r="I143" s="59"/>
      <c r="J143" s="59"/>
      <c r="K143" s="59"/>
      <c r="L143" s="59"/>
      <c r="M143" s="58"/>
      <c r="N143" s="55"/>
      <c r="O143" s="60"/>
      <c r="P143" s="59"/>
      <c r="Q143" s="57"/>
      <c r="R143" s="57"/>
      <c r="S143" s="58"/>
      <c r="T143" s="57"/>
      <c r="U143" s="57"/>
      <c r="V143" s="57"/>
      <c r="W143" s="56" t="str">
        <f t="shared" si="9"/>
        <v>Open</v>
      </c>
      <c r="X143" s="55"/>
    </row>
    <row r="144" spans="1:24" s="54" customFormat="1" hidden="1" x14ac:dyDescent="0.35">
      <c r="A144" s="67" t="e">
        <f t="shared" si="8"/>
        <v>#N/A</v>
      </c>
      <c r="B144" s="66"/>
      <c r="C144" s="65"/>
      <c r="D144" s="64" t="e">
        <f>VLOOKUP(C144,[3]Droplist!$C$14:$F$32,4,FALSE)</f>
        <v>#N/A</v>
      </c>
      <c r="E144" s="63">
        <f>COUNTIF($C$6:C144,C144)</f>
        <v>0</v>
      </c>
      <c r="F144" s="62"/>
      <c r="G144" s="62"/>
      <c r="H144" s="61"/>
      <c r="I144" s="59"/>
      <c r="J144" s="59"/>
      <c r="K144" s="59"/>
      <c r="L144" s="59"/>
      <c r="M144" s="58"/>
      <c r="N144" s="55"/>
      <c r="O144" s="60"/>
      <c r="P144" s="59"/>
      <c r="Q144" s="57"/>
      <c r="R144" s="57"/>
      <c r="S144" s="58"/>
      <c r="T144" s="57"/>
      <c r="U144" s="57"/>
      <c r="V144" s="57"/>
      <c r="W144" s="56" t="str">
        <f t="shared" si="9"/>
        <v>Open</v>
      </c>
      <c r="X144" s="55"/>
    </row>
    <row r="145" spans="1:24" s="54" customFormat="1" hidden="1" x14ac:dyDescent="0.35">
      <c r="A145" s="67" t="e">
        <f t="shared" si="8"/>
        <v>#N/A</v>
      </c>
      <c r="B145" s="66"/>
      <c r="C145" s="65"/>
      <c r="D145" s="64" t="e">
        <f>VLOOKUP(C145,[3]Droplist!$C$14:$F$32,4,FALSE)</f>
        <v>#N/A</v>
      </c>
      <c r="E145" s="63">
        <f>COUNTIF($C$6:C145,C145)</f>
        <v>0</v>
      </c>
      <c r="F145" s="62"/>
      <c r="G145" s="62"/>
      <c r="H145" s="61"/>
      <c r="I145" s="59"/>
      <c r="J145" s="59"/>
      <c r="K145" s="59"/>
      <c r="L145" s="59"/>
      <c r="M145" s="58"/>
      <c r="N145" s="55"/>
      <c r="O145" s="60"/>
      <c r="P145" s="59"/>
      <c r="Q145" s="57"/>
      <c r="R145" s="57"/>
      <c r="S145" s="58"/>
      <c r="T145" s="57"/>
      <c r="U145" s="57"/>
      <c r="V145" s="57"/>
      <c r="W145" s="56" t="str">
        <f t="shared" si="9"/>
        <v>Open</v>
      </c>
      <c r="X145" s="55"/>
    </row>
    <row r="146" spans="1:24" s="54" customFormat="1" hidden="1" x14ac:dyDescent="0.35">
      <c r="A146" s="67" t="e">
        <f t="shared" si="8"/>
        <v>#N/A</v>
      </c>
      <c r="B146" s="66"/>
      <c r="C146" s="65"/>
      <c r="D146" s="64" t="e">
        <f>VLOOKUP(C146,[3]Droplist!$C$14:$F$32,4,FALSE)</f>
        <v>#N/A</v>
      </c>
      <c r="E146" s="63">
        <f>COUNTIF($C$6:C146,C146)</f>
        <v>0</v>
      </c>
      <c r="F146" s="62"/>
      <c r="G146" s="62"/>
      <c r="H146" s="61"/>
      <c r="I146" s="59"/>
      <c r="J146" s="59"/>
      <c r="K146" s="59"/>
      <c r="L146" s="59"/>
      <c r="M146" s="58"/>
      <c r="N146" s="55"/>
      <c r="O146" s="60"/>
      <c r="P146" s="59"/>
      <c r="Q146" s="57"/>
      <c r="R146" s="57"/>
      <c r="S146" s="58"/>
      <c r="T146" s="57"/>
      <c r="U146" s="57"/>
      <c r="V146" s="57"/>
      <c r="W146" s="56" t="str">
        <f t="shared" si="9"/>
        <v>Open</v>
      </c>
      <c r="X146" s="55"/>
    </row>
    <row r="147" spans="1:24" s="54" customFormat="1" hidden="1" x14ac:dyDescent="0.35">
      <c r="A147" s="67" t="e">
        <f t="shared" si="8"/>
        <v>#N/A</v>
      </c>
      <c r="B147" s="66"/>
      <c r="C147" s="65"/>
      <c r="D147" s="64" t="e">
        <f>VLOOKUP(C147,[3]Droplist!$C$14:$F$32,4,FALSE)</f>
        <v>#N/A</v>
      </c>
      <c r="E147" s="63">
        <f>COUNTIF($C$6:C147,C147)</f>
        <v>0</v>
      </c>
      <c r="F147" s="62"/>
      <c r="G147" s="62"/>
      <c r="H147" s="61"/>
      <c r="I147" s="59"/>
      <c r="J147" s="59"/>
      <c r="K147" s="59"/>
      <c r="L147" s="59"/>
      <c r="M147" s="58"/>
      <c r="N147" s="55"/>
      <c r="O147" s="60"/>
      <c r="P147" s="59"/>
      <c r="Q147" s="57"/>
      <c r="R147" s="57"/>
      <c r="S147" s="58"/>
      <c r="T147" s="57"/>
      <c r="U147" s="57"/>
      <c r="V147" s="57"/>
      <c r="W147" s="56" t="str">
        <f t="shared" si="9"/>
        <v>Open</v>
      </c>
      <c r="X147" s="55"/>
    </row>
    <row r="148" spans="1:24" s="54" customFormat="1" hidden="1" x14ac:dyDescent="0.35">
      <c r="A148" s="67" t="e">
        <f t="shared" si="8"/>
        <v>#N/A</v>
      </c>
      <c r="B148" s="66"/>
      <c r="C148" s="65"/>
      <c r="D148" s="64" t="e">
        <f>VLOOKUP(C148,[3]Droplist!$C$14:$F$32,4,FALSE)</f>
        <v>#N/A</v>
      </c>
      <c r="E148" s="63">
        <f>COUNTIF($C$6:C148,C148)</f>
        <v>0</v>
      </c>
      <c r="F148" s="62"/>
      <c r="G148" s="62"/>
      <c r="H148" s="61"/>
      <c r="I148" s="59"/>
      <c r="J148" s="59"/>
      <c r="K148" s="59"/>
      <c r="L148" s="59"/>
      <c r="M148" s="58"/>
      <c r="N148" s="55"/>
      <c r="O148" s="60"/>
      <c r="P148" s="59"/>
      <c r="Q148" s="57"/>
      <c r="R148" s="57"/>
      <c r="S148" s="58"/>
      <c r="T148" s="57"/>
      <c r="U148" s="57"/>
      <c r="V148" s="57"/>
      <c r="W148" s="56" t="str">
        <f t="shared" si="9"/>
        <v>Open</v>
      </c>
      <c r="X148" s="55"/>
    </row>
    <row r="149" spans="1:24" s="54" customFormat="1" hidden="1" x14ac:dyDescent="0.35">
      <c r="A149" s="67" t="e">
        <f t="shared" si="8"/>
        <v>#N/A</v>
      </c>
      <c r="B149" s="66"/>
      <c r="C149" s="65"/>
      <c r="D149" s="64" t="e">
        <f>VLOOKUP(C149,[3]Droplist!$C$14:$F$32,4,FALSE)</f>
        <v>#N/A</v>
      </c>
      <c r="E149" s="63">
        <f>COUNTIF($C$6:C149,C149)</f>
        <v>0</v>
      </c>
      <c r="F149" s="62"/>
      <c r="G149" s="62"/>
      <c r="H149" s="61"/>
      <c r="I149" s="59"/>
      <c r="J149" s="59"/>
      <c r="K149" s="59"/>
      <c r="L149" s="59"/>
      <c r="M149" s="58"/>
      <c r="N149" s="55"/>
      <c r="O149" s="60"/>
      <c r="P149" s="59"/>
      <c r="Q149" s="57"/>
      <c r="R149" s="57"/>
      <c r="S149" s="58"/>
      <c r="T149" s="57"/>
      <c r="U149" s="57"/>
      <c r="V149" s="57"/>
      <c r="W149" s="56" t="str">
        <f t="shared" si="9"/>
        <v>Open</v>
      </c>
      <c r="X149" s="55"/>
    </row>
    <row r="150" spans="1:24" s="54" customFormat="1" hidden="1" x14ac:dyDescent="0.35">
      <c r="A150" s="67" t="e">
        <f t="shared" si="8"/>
        <v>#N/A</v>
      </c>
      <c r="B150" s="66"/>
      <c r="C150" s="65"/>
      <c r="D150" s="64" t="e">
        <f>VLOOKUP(C150,[3]Droplist!$C$14:$F$32,4,FALSE)</f>
        <v>#N/A</v>
      </c>
      <c r="E150" s="63">
        <f>COUNTIF($C$6:C150,C150)</f>
        <v>0</v>
      </c>
      <c r="F150" s="62"/>
      <c r="G150" s="62"/>
      <c r="H150" s="61"/>
      <c r="I150" s="59"/>
      <c r="J150" s="59"/>
      <c r="K150" s="59"/>
      <c r="L150" s="59"/>
      <c r="M150" s="58"/>
      <c r="N150" s="55"/>
      <c r="O150" s="60"/>
      <c r="P150" s="59"/>
      <c r="Q150" s="57"/>
      <c r="R150" s="57"/>
      <c r="S150" s="58"/>
      <c r="T150" s="57"/>
      <c r="U150" s="57"/>
      <c r="V150" s="57"/>
      <c r="W150" s="56" t="str">
        <f t="shared" si="9"/>
        <v>Open</v>
      </c>
      <c r="X150" s="55"/>
    </row>
    <row r="151" spans="1:24" s="54" customFormat="1" hidden="1" x14ac:dyDescent="0.35">
      <c r="A151" s="67" t="e">
        <f t="shared" si="8"/>
        <v>#N/A</v>
      </c>
      <c r="B151" s="66"/>
      <c r="C151" s="65"/>
      <c r="D151" s="64" t="e">
        <f>VLOOKUP(C151,[3]Droplist!$C$14:$F$32,4,FALSE)</f>
        <v>#N/A</v>
      </c>
      <c r="E151" s="63">
        <f>COUNTIF($C$6:C151,C151)</f>
        <v>0</v>
      </c>
      <c r="F151" s="62"/>
      <c r="G151" s="62"/>
      <c r="H151" s="61"/>
      <c r="I151" s="59"/>
      <c r="J151" s="59"/>
      <c r="K151" s="59"/>
      <c r="L151" s="59"/>
      <c r="M151" s="58"/>
      <c r="N151" s="55"/>
      <c r="O151" s="60"/>
      <c r="P151" s="59"/>
      <c r="Q151" s="57"/>
      <c r="R151" s="57"/>
      <c r="S151" s="58"/>
      <c r="T151" s="57"/>
      <c r="U151" s="57"/>
      <c r="V151" s="57"/>
      <c r="W151" s="56" t="str">
        <f t="shared" si="9"/>
        <v>Open</v>
      </c>
      <c r="X151" s="55"/>
    </row>
    <row r="152" spans="1:24" s="54" customFormat="1" hidden="1" x14ac:dyDescent="0.35">
      <c r="A152" s="67" t="e">
        <f t="shared" si="8"/>
        <v>#N/A</v>
      </c>
      <c r="B152" s="66"/>
      <c r="C152" s="65"/>
      <c r="D152" s="64" t="e">
        <f>VLOOKUP(C152,[3]Droplist!$C$14:$F$32,4,FALSE)</f>
        <v>#N/A</v>
      </c>
      <c r="E152" s="63">
        <f>COUNTIF($C$6:C152,C152)</f>
        <v>0</v>
      </c>
      <c r="F152" s="62"/>
      <c r="G152" s="62"/>
      <c r="H152" s="61"/>
      <c r="I152" s="59"/>
      <c r="J152" s="59"/>
      <c r="K152" s="59"/>
      <c r="L152" s="59"/>
      <c r="M152" s="58"/>
      <c r="N152" s="55"/>
      <c r="O152" s="60"/>
      <c r="P152" s="59"/>
      <c r="Q152" s="57"/>
      <c r="R152" s="57"/>
      <c r="S152" s="58"/>
      <c r="T152" s="57"/>
      <c r="U152" s="57"/>
      <c r="V152" s="57"/>
      <c r="W152" s="56" t="str">
        <f t="shared" si="9"/>
        <v>Open</v>
      </c>
      <c r="X152" s="55"/>
    </row>
    <row r="153" spans="1:24" s="54" customFormat="1" hidden="1" x14ac:dyDescent="0.35">
      <c r="A153" s="67" t="e">
        <f t="shared" si="8"/>
        <v>#N/A</v>
      </c>
      <c r="B153" s="66"/>
      <c r="C153" s="65"/>
      <c r="D153" s="64" t="e">
        <f>VLOOKUP(C153,[3]Droplist!$C$14:$F$32,4,FALSE)</f>
        <v>#N/A</v>
      </c>
      <c r="E153" s="63">
        <f>COUNTIF($C$6:C153,C153)</f>
        <v>0</v>
      </c>
      <c r="F153" s="62"/>
      <c r="G153" s="62"/>
      <c r="H153" s="61"/>
      <c r="I153" s="59"/>
      <c r="J153" s="59"/>
      <c r="K153" s="59"/>
      <c r="L153" s="59"/>
      <c r="M153" s="58"/>
      <c r="N153" s="55"/>
      <c r="O153" s="60"/>
      <c r="P153" s="59"/>
      <c r="Q153" s="57"/>
      <c r="R153" s="57"/>
      <c r="S153" s="58"/>
      <c r="T153" s="57"/>
      <c r="U153" s="57"/>
      <c r="V153" s="57"/>
      <c r="W153" s="56" t="str">
        <f t="shared" si="9"/>
        <v>Open</v>
      </c>
      <c r="X153" s="55"/>
    </row>
    <row r="154" spans="1:24" s="54" customFormat="1" hidden="1" x14ac:dyDescent="0.35">
      <c r="A154" s="67" t="e">
        <f t="shared" si="8"/>
        <v>#N/A</v>
      </c>
      <c r="B154" s="66"/>
      <c r="C154" s="65"/>
      <c r="D154" s="64" t="e">
        <f>VLOOKUP(C154,[3]Droplist!$C$14:$F$32,4,FALSE)</f>
        <v>#N/A</v>
      </c>
      <c r="E154" s="63">
        <f>COUNTIF($C$6:C154,C154)</f>
        <v>0</v>
      </c>
      <c r="F154" s="62"/>
      <c r="G154" s="62"/>
      <c r="H154" s="61"/>
      <c r="I154" s="59"/>
      <c r="J154" s="59"/>
      <c r="K154" s="59"/>
      <c r="L154" s="59"/>
      <c r="M154" s="58"/>
      <c r="N154" s="55"/>
      <c r="O154" s="60"/>
      <c r="P154" s="59"/>
      <c r="Q154" s="57"/>
      <c r="R154" s="57"/>
      <c r="S154" s="58"/>
      <c r="T154" s="57"/>
      <c r="U154" s="57"/>
      <c r="V154" s="57"/>
      <c r="W154" s="56" t="str">
        <f t="shared" si="9"/>
        <v>Open</v>
      </c>
      <c r="X154" s="55"/>
    </row>
    <row r="155" spans="1:24" s="54" customFormat="1" hidden="1" x14ac:dyDescent="0.35">
      <c r="A155" s="67" t="e">
        <f t="shared" si="8"/>
        <v>#N/A</v>
      </c>
      <c r="B155" s="66"/>
      <c r="C155" s="65"/>
      <c r="D155" s="64" t="e">
        <f>VLOOKUP(C155,[3]Droplist!$C$14:$F$32,4,FALSE)</f>
        <v>#N/A</v>
      </c>
      <c r="E155" s="63">
        <f>COUNTIF($C$6:C155,C155)</f>
        <v>0</v>
      </c>
      <c r="F155" s="62"/>
      <c r="G155" s="62"/>
      <c r="H155" s="61"/>
      <c r="I155" s="59"/>
      <c r="J155" s="59"/>
      <c r="K155" s="59"/>
      <c r="L155" s="59"/>
      <c r="M155" s="58"/>
      <c r="N155" s="55"/>
      <c r="O155" s="60"/>
      <c r="P155" s="59"/>
      <c r="Q155" s="57"/>
      <c r="R155" s="57"/>
      <c r="S155" s="58"/>
      <c r="T155" s="57"/>
      <c r="U155" s="57"/>
      <c r="V155" s="57"/>
      <c r="W155" s="56" t="str">
        <f t="shared" si="9"/>
        <v>Open</v>
      </c>
      <c r="X155" s="55"/>
    </row>
    <row r="167" spans="1:1" ht="17.5" x14ac:dyDescent="0.35">
      <c r="A167" s="53"/>
    </row>
  </sheetData>
  <autoFilter ref="A5:X155" xr:uid="{00000000-0009-0000-0000-000003000000}">
    <filterColumn colId="2">
      <filters>
        <filter val="STR - Structural"/>
      </filters>
    </filterColumn>
    <filterColumn colId="22">
      <filters>
        <filter val="Open"/>
      </filters>
    </filterColumn>
  </autoFilter>
  <dataConsolidate/>
  <mergeCells count="20">
    <mergeCell ref="Y14:AC14"/>
    <mergeCell ref="Y15:AC15"/>
    <mergeCell ref="Y16:AC16"/>
    <mergeCell ref="Y4:AD4"/>
    <mergeCell ref="Y9:AC9"/>
    <mergeCell ref="Y10:AC10"/>
    <mergeCell ref="Y11:AC11"/>
    <mergeCell ref="Y12:AC12"/>
    <mergeCell ref="Y13:AC13"/>
    <mergeCell ref="Y5:AC5"/>
    <mergeCell ref="Y7:AC7"/>
    <mergeCell ref="Y8:AC8"/>
    <mergeCell ref="Y6:AC6"/>
    <mergeCell ref="A4:L4"/>
    <mergeCell ref="N4:R4"/>
    <mergeCell ref="T4:X4"/>
    <mergeCell ref="A1:X1"/>
    <mergeCell ref="A2:J2"/>
    <mergeCell ref="K2:O2"/>
    <mergeCell ref="P2:U2"/>
  </mergeCells>
  <conditionalFormatting sqref="B6:B155">
    <cfRule type="containsText" dxfId="5" priority="1" operator="containsText" text="Low">
      <formula>NOT(ISERROR(SEARCH("Low",B6)))</formula>
    </cfRule>
    <cfRule type="containsText" dxfId="4" priority="2" operator="containsText" text="Medium">
      <formula>NOT(ISERROR(SEARCH("Medium",B6)))</formula>
    </cfRule>
    <cfRule type="containsText" dxfId="3" priority="3" operator="containsText" text="High">
      <formula>NOT(ISERROR(SEARCH("High",B6)))</formula>
    </cfRule>
  </conditionalFormatting>
  <conditionalFormatting sqref="V6:V155">
    <cfRule type="containsText" dxfId="2" priority="4" operator="containsText" text="Low">
      <formula>NOT(ISERROR(SEARCH("Low",V6)))</formula>
    </cfRule>
    <cfRule type="containsText" dxfId="1" priority="5" operator="containsText" text="Medium">
      <formula>NOT(ISERROR(SEARCH("Medium",V6)))</formula>
    </cfRule>
    <cfRule type="containsText" dxfId="0" priority="6" operator="containsText" text="High">
      <formula>NOT(ISERROR(SEARCH("High",V6)))</formula>
    </cfRule>
  </conditionalFormatting>
  <dataValidations count="2">
    <dataValidation type="list" allowBlank="1" showInputMessage="1" showErrorMessage="1" sqref="W5:X5" xr:uid="{00000000-0002-0000-0300-000000000000}">
      <formula1>Status</formula1>
    </dataValidation>
    <dataValidation type="list" allowBlank="1" showInputMessage="1" showErrorMessage="1" sqref="B5 C164:C1048576" xr:uid="{00000000-0002-0000-0300-000001000000}">
      <formula1>Severity</formula1>
    </dataValidation>
  </dataValidations>
  <printOptions horizontalCentered="1"/>
  <pageMargins left="0.2" right="0.2" top="0.25" bottom="0.25" header="0.3" footer="0.3"/>
  <pageSetup paperSize="9" scale="24" fitToHeight="2" orientation="landscape" horizontalDpi="300" verticalDpi="3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2000000}">
          <x14:formula1>
            <xm:f>'C:\Users\Administrator\Desktop\[PPR Finding Sheet_Phase 3 Z1F Jacket.xlsx]Droplist'!#REF!</xm:f>
          </x14:formula1>
          <xm:sqref>R6:R155 V6:V155 U7:U155 H6:H14 H17:H155 B6:C155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576EEA1E200E844B0E399C0A51C844B" ma:contentTypeVersion="11" ma:contentTypeDescription="Create a new document." ma:contentTypeScope="" ma:versionID="52b60f7028e7ecb08f4e3800a9b4e4cf">
  <xsd:schema xmlns:xsd="http://www.w3.org/2001/XMLSchema" xmlns:xs="http://www.w3.org/2001/XMLSchema" xmlns:p="http://schemas.microsoft.com/office/2006/metadata/properties" xmlns:ns2="249db78b-0723-4713-a2a1-7ceecce52cb5" xmlns:ns3="caa6b5cf-7a37-4800-91d0-eebefb02c4d1" targetNamespace="http://schemas.microsoft.com/office/2006/metadata/properties" ma:root="true" ma:fieldsID="bf5cb2f6363b73fa661cbd9f87a8ccd2" ns2:_="" ns3:_="">
    <xsd:import namespace="249db78b-0723-4713-a2a1-7ceecce52cb5"/>
    <xsd:import namespace="caa6b5cf-7a37-4800-91d0-eebefb02c4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9db78b-0723-4713-a2a1-7ceecce52c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1fd9b19-8475-4ec7-a5eb-8b090ac94c1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a6b5cf-7a37-4800-91d0-eebefb02c4d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17e3edd-33df-4509-8ec9-b813588885a1}" ma:internalName="TaxCatchAll" ma:showField="CatchAllData" ma:web="caa6b5cf-7a37-4800-91d0-eebefb02c4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aa6b5cf-7a37-4800-91d0-eebefb02c4d1" xsi:nil="true"/>
    <lcf76f155ced4ddcb4097134ff3c332f xmlns="249db78b-0723-4713-a2a1-7ceecce52cb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5A3599-0A55-4109-A48E-EA98D0981A1B}">
  <ds:schemaRefs>
    <ds:schemaRef ds:uri="http://schemas.microsoft.com/sharepoint/v3/contenttype/forms"/>
  </ds:schemaRefs>
</ds:datastoreItem>
</file>

<file path=customXml/itemProps2.xml><?xml version="1.0" encoding="utf-8"?>
<ds:datastoreItem xmlns:ds="http://schemas.openxmlformats.org/officeDocument/2006/customXml" ds:itemID="{87459ADB-A70A-40AC-B036-079A1437D5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9db78b-0723-4713-a2a1-7ceecce52cb5"/>
    <ds:schemaRef ds:uri="caa6b5cf-7a37-4800-91d0-eebefb02c4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6A21B1E-5DD2-460D-BE80-5F52F1439442}">
  <ds:schemaRefs>
    <ds:schemaRef ds:uri="http://purl.org/dc/terms/"/>
    <ds:schemaRef ds:uri="http://schemas.microsoft.com/office/2006/documentManagement/types"/>
    <ds:schemaRef ds:uri="http://schemas.microsoft.com/office/infopath/2007/PartnerControls"/>
    <ds:schemaRef ds:uri="249db78b-0723-4713-a2a1-7ceecce52cb5"/>
    <ds:schemaRef ds:uri="http://purl.org/dc/dcmitype/"/>
    <ds:schemaRef ds:uri="http://purl.org/dc/elements/1.1/"/>
    <ds:schemaRef ds:uri="http://schemas.microsoft.com/office/2006/metadata/properties"/>
    <ds:schemaRef ds:uri="http://schemas.openxmlformats.org/package/2006/metadata/core-properties"/>
    <ds:schemaRef ds:uri="caa6b5cf-7a37-4800-91d0-eebefb02c4d1"/>
    <ds:schemaRef ds:uri="http://www.w3.org/XML/1998/namespace"/>
  </ds:schemaRefs>
</ds:datastoreItem>
</file>

<file path=docMetadata/LabelInfo.xml><?xml version="1.0" encoding="utf-8"?>
<clbl:labelList xmlns:clbl="http://schemas.microsoft.com/office/2020/mipLabelMetadata">
  <clbl:label id="{0c384b26-38bd-464c-abd6-19e8eeea81d7}" enabled="1" method="Privileged" siteId="{c03b7ea5-365c-4a0f-b767-955babc6491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Dashboard</vt:lpstr>
      <vt:lpstr>STR Gap Register</vt:lpstr>
      <vt:lpstr>Hold Register</vt:lpstr>
      <vt:lpstr>PPR Findings</vt:lpstr>
      <vt:lpstr>'PPR Findings'!Print_Area</vt:lpstr>
      <vt:lpstr>'STR Gap Register'!Print_Area</vt:lpstr>
      <vt:lpstr>'STR Gap Register'!Print_Titles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Kanlaya Sookkij</dc:creator>
  <cp:keywords/>
  <dc:description/>
  <cp:lastModifiedBy>Suraphan Powanusorn</cp:lastModifiedBy>
  <cp:revision/>
  <cp:lastPrinted>2026-02-24T18:08:36Z</cp:lastPrinted>
  <dcterms:created xsi:type="dcterms:W3CDTF">2018-08-22T06:30:51Z</dcterms:created>
  <dcterms:modified xsi:type="dcterms:W3CDTF">2026-09-19T06:14:43Z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0x010100D576EEA1E200E844B0E399C0A51C844B</vt:lpwstr>
  </property>
  <property fmtid="{D5CDD505-2E9C-101B-9397-08002B2CF9AE}" pid="3" name="MSIP_Label_0c384b26-38bd-464c-abd6-19e8eeea81d7_Enabled">
    <vt:lpwstr>True</vt:lpwstr>
  </property>
  <property fmtid="{D5CDD505-2E9C-101B-9397-08002B2CF9AE}" pid="4" name="MSIP_Label_0c384b26-38bd-464c-abd6-19e8eeea81d7_SiteId">
    <vt:lpwstr>c03b7ea5-365c-4a0f-b767-955babc64911</vt:lpwstr>
  </property>
  <property fmtid="{D5CDD505-2E9C-101B-9397-08002B2CF9AE}" pid="5" name="MSIP_Label_0c384b26-38bd-464c-abd6-19e8eeea81d7_Owner">
    <vt:lpwstr>PalarakK@pttep.com</vt:lpwstr>
  </property>
  <property fmtid="{D5CDD505-2E9C-101B-9397-08002B2CF9AE}" pid="6" name="MSIP_Label_0c384b26-38bd-464c-abd6-19e8eeea81d7_SetDate">
    <vt:lpwstr>2019-10-30T05:24:19.0898553Z</vt:lpwstr>
  </property>
  <property fmtid="{D5CDD505-2E9C-101B-9397-08002B2CF9AE}" pid="7" name="MSIP_Label_0c384b26-38bd-464c-abd6-19e8eeea81d7_Name">
    <vt:lpwstr>Internal</vt:lpwstr>
  </property>
  <property fmtid="{D5CDD505-2E9C-101B-9397-08002B2CF9AE}" pid="8" name="MSIP_Label_0c384b26-38bd-464c-abd6-19e8eeea81d7_Application">
    <vt:lpwstr>Microsoft Azure Information Protection</vt:lpwstr>
  </property>
  <property fmtid="{D5CDD505-2E9C-101B-9397-08002B2CF9AE}" pid="9" name="MSIP_Label_0c384b26-38bd-464c-abd6-19e8eeea81d7_Extended_MSFT_Method">
    <vt:lpwstr>Automatic</vt:lpwstr>
  </property>
  <property fmtid="{D5CDD505-2E9C-101B-9397-08002B2CF9AE}" pid="10" name="Sensitivity">
    <vt:lpwstr>Internal</vt:lpwstr>
  </property>
  <property fmtid="{D5CDD505-2E9C-101B-9397-08002B2CF9AE}" pid="11" name="MediaServiceImageTags">
    <vt:lpwstr/>
  </property>
  <property fmtid="{D5CDD505-2E9C-101B-9397-08002B2CF9AE}" pid="12" name="Order">
    <vt:r8>1229400</vt:r8>
  </property>
  <property fmtid="{D5CDD505-2E9C-101B-9397-08002B2CF9AE}" pid="13" name="xd_Signature">
    <vt:bool>false</vt:bool>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ies>
</file>