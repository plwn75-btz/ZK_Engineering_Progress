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9_cut-off_9Oct26\"/>
    </mc:Choice>
  </mc:AlternateContent>
  <xr:revisionPtr revIDLastSave="0" documentId="13_ncr:1_{2ED9991D-B048-4D20-B092-B55764AA0388}" xr6:coauthVersionLast="47" xr6:coauthVersionMax="47" xr10:uidLastSave="{00000000-0000-0000-0000-000000000000}"/>
  <bookViews>
    <workbookView xWindow="-110" yWindow="-110" windowWidth="25820" windowHeight="15500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EDSR!$A$3:$V$717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G230" i="1" l="1"/>
  <c r="H230" i="1" s="1"/>
  <c r="X204" i="1" l="1"/>
  <c r="J204" i="1"/>
  <c r="M204" i="1" s="1"/>
  <c r="G204" i="1"/>
  <c r="X157" i="1"/>
  <c r="G157" i="1"/>
  <c r="Z165" i="1"/>
  <c r="Y165" i="1"/>
  <c r="X165" i="1"/>
  <c r="G165" i="1"/>
  <c r="Z112" i="1"/>
  <c r="Y112" i="1"/>
  <c r="X112" i="1"/>
  <c r="J112" i="1"/>
  <c r="M112" i="1" s="1"/>
  <c r="G112" i="1"/>
  <c r="P204" i="1" l="1"/>
  <c r="N204" i="1"/>
  <c r="Y204" i="1" s="1"/>
  <c r="K204" i="1"/>
  <c r="J165" i="1"/>
  <c r="K165" i="1" s="1"/>
  <c r="M165" i="1"/>
  <c r="N112" i="1"/>
  <c r="P112" i="1"/>
  <c r="K112" i="1"/>
  <c r="Y100" i="1"/>
  <c r="X100" i="1"/>
  <c r="J100" i="1"/>
  <c r="M100" i="1" s="1"/>
  <c r="G100" i="1"/>
  <c r="Y34" i="1"/>
  <c r="X34" i="1"/>
  <c r="M34" i="1"/>
  <c r="P34" i="1" s="1"/>
  <c r="K34" i="1"/>
  <c r="G34" i="1"/>
  <c r="Y146" i="1"/>
  <c r="X146" i="1"/>
  <c r="G146" i="1"/>
  <c r="Y91" i="1"/>
  <c r="X91" i="1"/>
  <c r="J91" i="1"/>
  <c r="M91" i="1" s="1"/>
  <c r="G91" i="1"/>
  <c r="S204" i="1" l="1"/>
  <c r="Q204" i="1"/>
  <c r="Z204" i="1" s="1"/>
  <c r="P165" i="1"/>
  <c r="N165" i="1"/>
  <c r="S112" i="1"/>
  <c r="Q112" i="1"/>
  <c r="P100" i="1"/>
  <c r="N100" i="1"/>
  <c r="K100" i="1"/>
  <c r="E34" i="1"/>
  <c r="H34" i="1" s="1"/>
  <c r="S34" i="1"/>
  <c r="T34" i="1" s="1"/>
  <c r="AA34" i="1" s="1"/>
  <c r="Q34" i="1"/>
  <c r="Z34" i="1" s="1"/>
  <c r="N34" i="1"/>
  <c r="P91" i="1"/>
  <c r="N91" i="1"/>
  <c r="K91" i="1"/>
  <c r="T204" i="1" l="1"/>
  <c r="E204" i="1"/>
  <c r="H204" i="1" s="1"/>
  <c r="F34" i="1"/>
  <c r="F165" i="1"/>
  <c r="Q165" i="1"/>
  <c r="S165" i="1"/>
  <c r="T165" i="1" s="1"/>
  <c r="AA165" i="1" s="1"/>
  <c r="E165" i="1"/>
  <c r="H165" i="1" s="1"/>
  <c r="T112" i="1"/>
  <c r="E112" i="1"/>
  <c r="H112" i="1" s="1"/>
  <c r="S100" i="1"/>
  <c r="Q100" i="1"/>
  <c r="Z100" i="1" s="1"/>
  <c r="S91" i="1"/>
  <c r="Q91" i="1"/>
  <c r="Z91" i="1" s="1"/>
  <c r="AA204" i="1" l="1"/>
  <c r="F204" i="1"/>
  <c r="AA112" i="1"/>
  <c r="F112" i="1"/>
  <c r="T100" i="1"/>
  <c r="E100" i="1"/>
  <c r="H100" i="1" s="1"/>
  <c r="T91" i="1"/>
  <c r="AA91" i="1" s="1"/>
  <c r="E91" i="1"/>
  <c r="H91" i="1" s="1"/>
  <c r="F91" i="1"/>
  <c r="AA100" i="1" l="1"/>
  <c r="F100" i="1"/>
  <c r="J103" i="1"/>
  <c r="J157" i="1" s="1"/>
  <c r="G103" i="1"/>
  <c r="M37" i="1"/>
  <c r="P37" i="1" s="1"/>
  <c r="K37" i="1"/>
  <c r="X37" i="1" s="1"/>
  <c r="G37" i="1"/>
  <c r="K157" i="1" l="1"/>
  <c r="M157" i="1"/>
  <c r="K103" i="1"/>
  <c r="M103" i="1"/>
  <c r="S37" i="1"/>
  <c r="T37" i="1" s="1"/>
  <c r="AA37" i="1" s="1"/>
  <c r="Q37" i="1"/>
  <c r="Z37" i="1" s="1"/>
  <c r="N37" i="1"/>
  <c r="N157" i="1" l="1"/>
  <c r="Y157" i="1" s="1"/>
  <c r="P157" i="1"/>
  <c r="E37" i="1"/>
  <c r="H37" i="1" s="1"/>
  <c r="X103" i="1"/>
  <c r="N103" i="1"/>
  <c r="Y103" i="1" s="1"/>
  <c r="P103" i="1"/>
  <c r="Y37" i="1"/>
  <c r="F37" i="1"/>
  <c r="Q157" i="1" l="1"/>
  <c r="S157" i="1"/>
  <c r="T157" i="1" s="1"/>
  <c r="AA157" i="1" s="1"/>
  <c r="E157" i="1"/>
  <c r="H157" i="1" s="1"/>
  <c r="S103" i="1"/>
  <c r="T103" i="1" s="1"/>
  <c r="AA103" i="1" s="1"/>
  <c r="Q103" i="1"/>
  <c r="E103" i="1"/>
  <c r="H103" i="1" s="1"/>
  <c r="Z157" i="1" l="1"/>
  <c r="F157" i="1"/>
  <c r="Z103" i="1"/>
  <c r="F103" i="1"/>
  <c r="G144" i="1" l="1"/>
  <c r="X144" i="1"/>
  <c r="Y144" i="1"/>
  <c r="X159" i="1" l="1"/>
  <c r="G159" i="1"/>
  <c r="Y335" i="1" l="1"/>
  <c r="X335" i="1"/>
  <c r="M335" i="1"/>
  <c r="K335" i="1"/>
  <c r="G335" i="1"/>
  <c r="Y334" i="1"/>
  <c r="X334" i="1"/>
  <c r="M334" i="1"/>
  <c r="P334" i="1" s="1"/>
  <c r="S334" i="1" s="1"/>
  <c r="K334" i="1"/>
  <c r="G334" i="1"/>
  <c r="Y333" i="1"/>
  <c r="X333" i="1"/>
  <c r="M333" i="1"/>
  <c r="P333" i="1" s="1"/>
  <c r="K333" i="1"/>
  <c r="G333" i="1"/>
  <c r="Y332" i="1"/>
  <c r="X332" i="1"/>
  <c r="M332" i="1"/>
  <c r="P332" i="1" s="1"/>
  <c r="K332" i="1"/>
  <c r="G332" i="1"/>
  <c r="Y142" i="1"/>
  <c r="X142" i="1"/>
  <c r="G142" i="1"/>
  <c r="Y140" i="1"/>
  <c r="X140" i="1"/>
  <c r="G140" i="1"/>
  <c r="Y138" i="1"/>
  <c r="X138" i="1"/>
  <c r="G138" i="1"/>
  <c r="Y136" i="1"/>
  <c r="X136" i="1"/>
  <c r="G136" i="1"/>
  <c r="Y89" i="1"/>
  <c r="X89" i="1"/>
  <c r="J89" i="1"/>
  <c r="G89" i="1"/>
  <c r="Y87" i="1"/>
  <c r="X87" i="1"/>
  <c r="J87" i="1"/>
  <c r="G87" i="1"/>
  <c r="Y85" i="1"/>
  <c r="X85" i="1"/>
  <c r="J85" i="1"/>
  <c r="G85" i="1"/>
  <c r="M85" i="1" l="1"/>
  <c r="J146" i="1"/>
  <c r="N334" i="1"/>
  <c r="Q333" i="1"/>
  <c r="Z333" i="1" s="1"/>
  <c r="S333" i="1"/>
  <c r="T333" i="1" s="1"/>
  <c r="AA333" i="1" s="1"/>
  <c r="E333" i="1"/>
  <c r="H333" i="1" s="1"/>
  <c r="S332" i="1"/>
  <c r="T332" i="1" s="1"/>
  <c r="AA332" i="1" s="1"/>
  <c r="Q332" i="1"/>
  <c r="Z332" i="1" s="1"/>
  <c r="E332" i="1"/>
  <c r="H332" i="1" s="1"/>
  <c r="E334" i="1"/>
  <c r="H334" i="1" s="1"/>
  <c r="T334" i="1"/>
  <c r="AA334" i="1" s="1"/>
  <c r="Q334" i="1"/>
  <c r="Z334" i="1" s="1"/>
  <c r="N335" i="1"/>
  <c r="P335" i="1"/>
  <c r="N332" i="1"/>
  <c r="N333" i="1"/>
  <c r="M89" i="1"/>
  <c r="K89" i="1"/>
  <c r="M87" i="1"/>
  <c r="K87" i="1"/>
  <c r="P85" i="1"/>
  <c r="N85" i="1"/>
  <c r="K85" i="1"/>
  <c r="M146" i="1" l="1"/>
  <c r="K146" i="1"/>
  <c r="F333" i="1"/>
  <c r="F332" i="1"/>
  <c r="S335" i="1"/>
  <c r="T335" i="1" s="1"/>
  <c r="AA335" i="1" s="1"/>
  <c r="Q335" i="1"/>
  <c r="Z335" i="1" s="1"/>
  <c r="E335" i="1"/>
  <c r="H335" i="1" s="1"/>
  <c r="F334" i="1"/>
  <c r="N89" i="1"/>
  <c r="P89" i="1"/>
  <c r="P87" i="1"/>
  <c r="N87" i="1"/>
  <c r="S85" i="1"/>
  <c r="Q85" i="1"/>
  <c r="Z85" i="1" s="1"/>
  <c r="P146" i="1" l="1"/>
  <c r="N146" i="1"/>
  <c r="F335" i="1"/>
  <c r="Q89" i="1"/>
  <c r="Z89" i="1" s="1"/>
  <c r="S89" i="1"/>
  <c r="S87" i="1"/>
  <c r="Q87" i="1"/>
  <c r="Z87" i="1" s="1"/>
  <c r="T85" i="1"/>
  <c r="E85" i="1"/>
  <c r="H85" i="1" s="1"/>
  <c r="S146" i="1" l="1"/>
  <c r="T146" i="1" s="1"/>
  <c r="AA146" i="1" s="1"/>
  <c r="Q146" i="1"/>
  <c r="E146" i="1"/>
  <c r="H146" i="1" s="1"/>
  <c r="T89" i="1"/>
  <c r="AA89" i="1" s="1"/>
  <c r="E89" i="1"/>
  <c r="H89" i="1" s="1"/>
  <c r="F85" i="1"/>
  <c r="AA85" i="1"/>
  <c r="T87" i="1"/>
  <c r="AA87" i="1" s="1"/>
  <c r="E87" i="1"/>
  <c r="H87" i="1" s="1"/>
  <c r="Z146" i="1" l="1"/>
  <c r="F146" i="1"/>
  <c r="F89" i="1"/>
  <c r="F87" i="1"/>
  <c r="Y98" i="1" l="1"/>
  <c r="X98" i="1"/>
  <c r="J98" i="1"/>
  <c r="M98" i="1" s="1"/>
  <c r="P98" i="1" s="1"/>
  <c r="G98" i="1"/>
  <c r="Y96" i="1"/>
  <c r="X96" i="1"/>
  <c r="J96" i="1"/>
  <c r="G96" i="1"/>
  <c r="Z345" i="1"/>
  <c r="Y345" i="1"/>
  <c r="X345" i="1"/>
  <c r="M345" i="1"/>
  <c r="P345" i="1" s="1"/>
  <c r="K345" i="1"/>
  <c r="G345" i="1"/>
  <c r="Z344" i="1"/>
  <c r="Y344" i="1"/>
  <c r="X344" i="1"/>
  <c r="M344" i="1"/>
  <c r="P344" i="1" s="1"/>
  <c r="S344" i="1" s="1"/>
  <c r="T344" i="1" s="1"/>
  <c r="AA344" i="1" s="1"/>
  <c r="K344" i="1"/>
  <c r="G344" i="1"/>
  <c r="Z343" i="1"/>
  <c r="Y343" i="1"/>
  <c r="X343" i="1"/>
  <c r="M343" i="1"/>
  <c r="P343" i="1" s="1"/>
  <c r="K343" i="1"/>
  <c r="G343" i="1"/>
  <c r="X342" i="1"/>
  <c r="M342" i="1"/>
  <c r="K342" i="1"/>
  <c r="G342" i="1"/>
  <c r="X341" i="1"/>
  <c r="M341" i="1"/>
  <c r="P341" i="1" s="1"/>
  <c r="K341" i="1"/>
  <c r="G341" i="1"/>
  <c r="X340" i="1"/>
  <c r="M340" i="1"/>
  <c r="P340" i="1" s="1"/>
  <c r="K340" i="1"/>
  <c r="G340" i="1"/>
  <c r="X339" i="1"/>
  <c r="M339" i="1"/>
  <c r="P339" i="1" s="1"/>
  <c r="K339" i="1"/>
  <c r="G339" i="1"/>
  <c r="X338" i="1"/>
  <c r="M338" i="1"/>
  <c r="P338" i="1" s="1"/>
  <c r="K338" i="1"/>
  <c r="G338" i="1"/>
  <c r="X337" i="1"/>
  <c r="M337" i="1"/>
  <c r="P337" i="1" s="1"/>
  <c r="K337" i="1"/>
  <c r="G337" i="1"/>
  <c r="X336" i="1"/>
  <c r="M336" i="1"/>
  <c r="P336" i="1" s="1"/>
  <c r="K336" i="1"/>
  <c r="G336" i="1"/>
  <c r="Y21" i="1"/>
  <c r="X21" i="1"/>
  <c r="M21" i="1"/>
  <c r="K21" i="1"/>
  <c r="G21" i="1"/>
  <c r="Y63" i="1"/>
  <c r="X63" i="1"/>
  <c r="M63" i="1"/>
  <c r="P63" i="1" s="1"/>
  <c r="S63" i="1" s="1"/>
  <c r="K63" i="1"/>
  <c r="N63" i="1" s="1"/>
  <c r="Q63" i="1" s="1"/>
  <c r="G63" i="1"/>
  <c r="K98" i="1" l="1"/>
  <c r="S98" i="1"/>
  <c r="T98" i="1" s="1"/>
  <c r="AA98" i="1" s="1"/>
  <c r="Q98" i="1"/>
  <c r="Z98" i="1" s="1"/>
  <c r="N98" i="1"/>
  <c r="M96" i="1"/>
  <c r="K96" i="1"/>
  <c r="N345" i="1"/>
  <c r="N343" i="1"/>
  <c r="E344" i="1"/>
  <c r="H344" i="1" s="1"/>
  <c r="N344" i="1"/>
  <c r="Q343" i="1"/>
  <c r="S343" i="1"/>
  <c r="T343" i="1" s="1"/>
  <c r="AA343" i="1" s="1"/>
  <c r="Q344" i="1"/>
  <c r="Q345" i="1"/>
  <c r="S345" i="1"/>
  <c r="T345" i="1" s="1"/>
  <c r="AA345" i="1" s="1"/>
  <c r="N341" i="1"/>
  <c r="Y341" i="1" s="1"/>
  <c r="N337" i="1"/>
  <c r="Y337" i="1" s="1"/>
  <c r="N342" i="1"/>
  <c r="Y342" i="1" s="1"/>
  <c r="P342" i="1"/>
  <c r="S342" i="1" s="1"/>
  <c r="T342" i="1" s="1"/>
  <c r="AA342" i="1" s="1"/>
  <c r="N339" i="1"/>
  <c r="Y339" i="1" s="1"/>
  <c r="Q336" i="1"/>
  <c r="Z336" i="1" s="1"/>
  <c r="S336" i="1"/>
  <c r="T336" i="1" s="1"/>
  <c r="AA336" i="1" s="1"/>
  <c r="S338" i="1"/>
  <c r="T338" i="1" s="1"/>
  <c r="AA338" i="1" s="1"/>
  <c r="Q338" i="1"/>
  <c r="Z338" i="1" s="1"/>
  <c r="S339" i="1"/>
  <c r="T339" i="1" s="1"/>
  <c r="AA339" i="1" s="1"/>
  <c r="Q339" i="1"/>
  <c r="Q340" i="1"/>
  <c r="Z340" i="1" s="1"/>
  <c r="S340" i="1"/>
  <c r="T340" i="1" s="1"/>
  <c r="AA340" i="1" s="1"/>
  <c r="Q341" i="1"/>
  <c r="Z341" i="1" s="1"/>
  <c r="S341" i="1"/>
  <c r="T341" i="1" s="1"/>
  <c r="AA341" i="1" s="1"/>
  <c r="N338" i="1"/>
  <c r="Y338" i="1" s="1"/>
  <c r="S337" i="1"/>
  <c r="T337" i="1" s="1"/>
  <c r="AA337" i="1" s="1"/>
  <c r="N336" i="1"/>
  <c r="N340" i="1"/>
  <c r="Q337" i="1"/>
  <c r="Z337" i="1" s="1"/>
  <c r="N21" i="1"/>
  <c r="P21" i="1"/>
  <c r="Z63" i="1"/>
  <c r="E63" i="1"/>
  <c r="H63" i="1" s="1"/>
  <c r="T63" i="1"/>
  <c r="AA63" i="1" s="1"/>
  <c r="F98" i="1" l="1"/>
  <c r="F344" i="1"/>
  <c r="Q342" i="1"/>
  <c r="Z342" i="1" s="1"/>
  <c r="E98" i="1"/>
  <c r="H98" i="1" s="1"/>
  <c r="E339" i="1"/>
  <c r="H339" i="1" s="1"/>
  <c r="E341" i="1"/>
  <c r="H341" i="1" s="1"/>
  <c r="P96" i="1"/>
  <c r="N96" i="1"/>
  <c r="F345" i="1"/>
  <c r="E343" i="1"/>
  <c r="H343" i="1" s="1"/>
  <c r="E342" i="1"/>
  <c r="H342" i="1" s="1"/>
  <c r="F343" i="1"/>
  <c r="E336" i="1"/>
  <c r="H336" i="1" s="1"/>
  <c r="E340" i="1"/>
  <c r="H340" i="1" s="1"/>
  <c r="F63" i="1"/>
  <c r="E345" i="1"/>
  <c r="H345" i="1" s="1"/>
  <c r="F338" i="1"/>
  <c r="E338" i="1"/>
  <c r="H338" i="1" s="1"/>
  <c r="E337" i="1"/>
  <c r="H337" i="1" s="1"/>
  <c r="Y340" i="1"/>
  <c r="F340" i="1"/>
  <c r="F337" i="1"/>
  <c r="F336" i="1"/>
  <c r="Y336" i="1"/>
  <c r="F339" i="1"/>
  <c r="Z339" i="1"/>
  <c r="F341" i="1"/>
  <c r="Q21" i="1"/>
  <c r="S21" i="1"/>
  <c r="T21" i="1" s="1"/>
  <c r="AA21" i="1" s="1"/>
  <c r="F342" i="1" l="1"/>
  <c r="E21" i="1"/>
  <c r="H21" i="1" s="1"/>
  <c r="S96" i="1"/>
  <c r="T96" i="1" s="1"/>
  <c r="AA96" i="1" s="1"/>
  <c r="Q96" i="1"/>
  <c r="Z21" i="1"/>
  <c r="F21" i="1"/>
  <c r="E96" i="1" l="1"/>
  <c r="H96" i="1" s="1"/>
  <c r="Z96" i="1"/>
  <c r="F96" i="1"/>
  <c r="Y81" i="1" l="1"/>
  <c r="X81" i="1"/>
  <c r="J81" i="1"/>
  <c r="J142" i="1" s="1"/>
  <c r="G81" i="1"/>
  <c r="Y79" i="1"/>
  <c r="X79" i="1"/>
  <c r="J79" i="1"/>
  <c r="J140" i="1" s="1"/>
  <c r="G79" i="1"/>
  <c r="Y77" i="1"/>
  <c r="X77" i="1"/>
  <c r="J77" i="1"/>
  <c r="J138" i="1" s="1"/>
  <c r="G77" i="1"/>
  <c r="K142" i="1" l="1"/>
  <c r="M142" i="1"/>
  <c r="M140" i="1"/>
  <c r="K140" i="1"/>
  <c r="K138" i="1"/>
  <c r="M138" i="1"/>
  <c r="K81" i="1"/>
  <c r="M79" i="1"/>
  <c r="P79" i="1" s="1"/>
  <c r="M81" i="1"/>
  <c r="K79" i="1"/>
  <c r="K77" i="1"/>
  <c r="M77" i="1"/>
  <c r="N79" i="1" l="1"/>
  <c r="P142" i="1"/>
  <c r="N142" i="1"/>
  <c r="P140" i="1"/>
  <c r="N140" i="1"/>
  <c r="P138" i="1"/>
  <c r="N138" i="1"/>
  <c r="P81" i="1"/>
  <c r="N81" i="1"/>
  <c r="S79" i="1"/>
  <c r="Q79" i="1"/>
  <c r="Z79" i="1" s="1"/>
  <c r="P77" i="1"/>
  <c r="N77" i="1"/>
  <c r="S142" i="1" l="1"/>
  <c r="Q142" i="1"/>
  <c r="Z142" i="1" s="1"/>
  <c r="S140" i="1"/>
  <c r="T140" i="1" s="1"/>
  <c r="AA140" i="1" s="1"/>
  <c r="Q140" i="1"/>
  <c r="E140" i="1"/>
  <c r="H140" i="1" s="1"/>
  <c r="S138" i="1"/>
  <c r="Q138" i="1"/>
  <c r="Z138" i="1" s="1"/>
  <c r="S81" i="1"/>
  <c r="T81" i="1" s="1"/>
  <c r="AA81" i="1" s="1"/>
  <c r="Q81" i="1"/>
  <c r="Z81" i="1" s="1"/>
  <c r="E81" i="1"/>
  <c r="H81" i="1" s="1"/>
  <c r="T79" i="1"/>
  <c r="E79" i="1"/>
  <c r="H79" i="1" s="1"/>
  <c r="S77" i="1"/>
  <c r="Q77" i="1"/>
  <c r="F140" i="1" l="1"/>
  <c r="Z140" i="1"/>
  <c r="T142" i="1"/>
  <c r="AA142" i="1" s="1"/>
  <c r="E142" i="1"/>
  <c r="H142" i="1" s="1"/>
  <c r="T138" i="1"/>
  <c r="AA138" i="1" s="1"/>
  <c r="E138" i="1"/>
  <c r="H138" i="1" s="1"/>
  <c r="F81" i="1"/>
  <c r="AA79" i="1"/>
  <c r="F79" i="1"/>
  <c r="Z77" i="1"/>
  <c r="T77" i="1"/>
  <c r="AA77" i="1" s="1"/>
  <c r="E77" i="1"/>
  <c r="H77" i="1" s="1"/>
  <c r="F138" i="1" l="1"/>
  <c r="F142" i="1"/>
  <c r="F77" i="1"/>
  <c r="G51" i="1"/>
  <c r="G52" i="1"/>
  <c r="G53" i="1"/>
  <c r="G54" i="1"/>
  <c r="G55" i="1"/>
  <c r="G56" i="1"/>
  <c r="G115" i="1"/>
  <c r="G116" i="1"/>
  <c r="G117" i="1"/>
  <c r="G118" i="1"/>
  <c r="G168" i="1"/>
  <c r="G169" i="1"/>
  <c r="G170" i="1"/>
  <c r="G171" i="1"/>
  <c r="G213" i="1"/>
  <c r="G214" i="1"/>
  <c r="G215" i="1"/>
  <c r="G216" i="1"/>
  <c r="Y107" i="1"/>
  <c r="X107" i="1"/>
  <c r="J107" i="1"/>
  <c r="G107" i="1"/>
  <c r="G106" i="1"/>
  <c r="J106" i="1"/>
  <c r="K106" i="1" s="1"/>
  <c r="X106" i="1"/>
  <c r="Y106" i="1"/>
  <c r="Y50" i="1"/>
  <c r="X50" i="1"/>
  <c r="M50" i="1"/>
  <c r="K50" i="1"/>
  <c r="G50" i="1"/>
  <c r="Y83" i="1"/>
  <c r="X83" i="1"/>
  <c r="J83" i="1"/>
  <c r="J144" i="1" s="1"/>
  <c r="G83" i="1"/>
  <c r="M144" i="1" l="1"/>
  <c r="K144" i="1"/>
  <c r="M83" i="1"/>
  <c r="N83" i="1" s="1"/>
  <c r="M106" i="1"/>
  <c r="P106" i="1" s="1"/>
  <c r="K107" i="1"/>
  <c r="M107" i="1"/>
  <c r="P50" i="1"/>
  <c r="N50" i="1"/>
  <c r="K83" i="1"/>
  <c r="P83" i="1" l="1"/>
  <c r="S83" i="1" s="1"/>
  <c r="T83" i="1" s="1"/>
  <c r="AA83" i="1" s="1"/>
  <c r="N144" i="1"/>
  <c r="P144" i="1"/>
  <c r="N106" i="1"/>
  <c r="N107" i="1"/>
  <c r="P107" i="1"/>
  <c r="S106" i="1"/>
  <c r="Q106" i="1"/>
  <c r="Z106" i="1" s="1"/>
  <c r="S50" i="1"/>
  <c r="Q50" i="1"/>
  <c r="Z50" i="1" s="1"/>
  <c r="Q83" i="1" l="1"/>
  <c r="Z83" i="1" s="1"/>
  <c r="Q144" i="1"/>
  <c r="S144" i="1"/>
  <c r="T144" i="1" s="1"/>
  <c r="AA144" i="1" s="1"/>
  <c r="S107" i="1"/>
  <c r="T107" i="1" s="1"/>
  <c r="AA107" i="1" s="1"/>
  <c r="Q107" i="1"/>
  <c r="E107" i="1"/>
  <c r="H107" i="1" s="1"/>
  <c r="T106" i="1"/>
  <c r="AA106" i="1" s="1"/>
  <c r="E106" i="1"/>
  <c r="H106" i="1" s="1"/>
  <c r="T50" i="1"/>
  <c r="E50" i="1"/>
  <c r="H50" i="1" s="1"/>
  <c r="E83" i="1"/>
  <c r="H83" i="1" s="1"/>
  <c r="F106" i="1" l="1"/>
  <c r="F83" i="1"/>
  <c r="E144" i="1"/>
  <c r="H144" i="1" s="1"/>
  <c r="Z144" i="1"/>
  <c r="F144" i="1"/>
  <c r="Z107" i="1"/>
  <c r="F107" i="1"/>
  <c r="AA50" i="1"/>
  <c r="F50" i="1"/>
  <c r="Y53" i="1" l="1"/>
  <c r="X53" i="1"/>
  <c r="M53" i="1"/>
  <c r="K53" i="1"/>
  <c r="Y51" i="1"/>
  <c r="X51" i="1"/>
  <c r="M51" i="1"/>
  <c r="K51" i="1"/>
  <c r="Y47" i="1"/>
  <c r="X47" i="1"/>
  <c r="M47" i="1"/>
  <c r="P47" i="1" s="1"/>
  <c r="K47" i="1"/>
  <c r="G47" i="1"/>
  <c r="P51" i="1" l="1"/>
  <c r="S51" i="1" s="1"/>
  <c r="T51" i="1" s="1"/>
  <c r="AA51" i="1" s="1"/>
  <c r="N53" i="1"/>
  <c r="P53" i="1"/>
  <c r="N47" i="1"/>
  <c r="N51" i="1"/>
  <c r="S47" i="1"/>
  <c r="T47" i="1" s="1"/>
  <c r="AA47" i="1" s="1"/>
  <c r="Q47" i="1"/>
  <c r="Z47" i="1" s="1"/>
  <c r="Q51" i="1" l="1"/>
  <c r="Z51" i="1" s="1"/>
  <c r="E51" i="1"/>
  <c r="H51" i="1" s="1"/>
  <c r="E47" i="1"/>
  <c r="H47" i="1" s="1"/>
  <c r="F47" i="1"/>
  <c r="S53" i="1"/>
  <c r="T53" i="1" s="1"/>
  <c r="AA53" i="1" s="1"/>
  <c r="Q53" i="1"/>
  <c r="F53" i="1" l="1"/>
  <c r="F51" i="1"/>
  <c r="E53" i="1"/>
  <c r="H53" i="1" s="1"/>
  <c r="Z53" i="1"/>
  <c r="G678" i="1" l="1"/>
  <c r="G677" i="1"/>
  <c r="G680" i="1"/>
  <c r="G679" i="1"/>
  <c r="G559" i="1"/>
  <c r="G558" i="1"/>
  <c r="G534" i="1"/>
  <c r="J442" i="1"/>
  <c r="J559" i="1" s="1"/>
  <c r="J680" i="1" s="1"/>
  <c r="G442" i="1"/>
  <c r="J441" i="1"/>
  <c r="M441" i="1" s="1"/>
  <c r="G441" i="1"/>
  <c r="G417" i="1"/>
  <c r="G22" i="1"/>
  <c r="K22" i="1"/>
  <c r="M22" i="1"/>
  <c r="N22" i="1" s="1"/>
  <c r="X22" i="1"/>
  <c r="Y22" i="1"/>
  <c r="Z22" i="1"/>
  <c r="Y23" i="1"/>
  <c r="X23" i="1"/>
  <c r="M23" i="1"/>
  <c r="P23" i="1" s="1"/>
  <c r="K23" i="1"/>
  <c r="G23" i="1"/>
  <c r="K680" i="1" l="1"/>
  <c r="M680" i="1"/>
  <c r="J558" i="1"/>
  <c r="K558" i="1" s="1"/>
  <c r="M559" i="1"/>
  <c r="K559" i="1"/>
  <c r="P22" i="1"/>
  <c r="Q22" i="1" s="1"/>
  <c r="N441" i="1"/>
  <c r="Y441" i="1" s="1"/>
  <c r="P441" i="1"/>
  <c r="K442" i="1"/>
  <c r="M442" i="1"/>
  <c r="K441" i="1"/>
  <c r="AA22" i="1"/>
  <c r="S23" i="1"/>
  <c r="T23" i="1" s="1"/>
  <c r="AA23" i="1" s="1"/>
  <c r="Q23" i="1"/>
  <c r="Z23" i="1" s="1"/>
  <c r="N23" i="1"/>
  <c r="Y42" i="1"/>
  <c r="X42" i="1"/>
  <c r="M42" i="1"/>
  <c r="P42" i="1" s="1"/>
  <c r="K42" i="1"/>
  <c r="G42" i="1"/>
  <c r="Y39" i="1"/>
  <c r="X39" i="1"/>
  <c r="M39" i="1"/>
  <c r="N39" i="1" s="1"/>
  <c r="K39" i="1"/>
  <c r="G39" i="1"/>
  <c r="Y18" i="1"/>
  <c r="X18" i="1"/>
  <c r="M18" i="1"/>
  <c r="N18" i="1" s="1"/>
  <c r="K18" i="1"/>
  <c r="G18" i="1"/>
  <c r="Y16" i="1"/>
  <c r="X16" i="1"/>
  <c r="M16" i="1"/>
  <c r="P16" i="1" s="1"/>
  <c r="K16" i="1"/>
  <c r="G16" i="1"/>
  <c r="P25" i="1"/>
  <c r="E23" i="1" l="1"/>
  <c r="H23" i="1" s="1"/>
  <c r="M558" i="1"/>
  <c r="J679" i="1"/>
  <c r="N680" i="1"/>
  <c r="Y680" i="1" s="1"/>
  <c r="P680" i="1"/>
  <c r="X680" i="1"/>
  <c r="S22" i="1"/>
  <c r="T22" i="1" s="1"/>
  <c r="F22" i="1" s="1"/>
  <c r="X559" i="1"/>
  <c r="N559" i="1"/>
  <c r="Y559" i="1" s="1"/>
  <c r="P559" i="1"/>
  <c r="X558" i="1"/>
  <c r="F23" i="1"/>
  <c r="N442" i="1"/>
  <c r="Y442" i="1" s="1"/>
  <c r="P442" i="1"/>
  <c r="X441" i="1"/>
  <c r="X442" i="1"/>
  <c r="Q441" i="1"/>
  <c r="Z441" i="1" s="1"/>
  <c r="S441" i="1"/>
  <c r="Q42" i="1"/>
  <c r="Z42" i="1" s="1"/>
  <c r="S42" i="1"/>
  <c r="T42" i="1" s="1"/>
  <c r="AA42" i="1" s="1"/>
  <c r="N42" i="1"/>
  <c r="P39" i="1"/>
  <c r="P18" i="1"/>
  <c r="Q16" i="1"/>
  <c r="Z16" i="1" s="1"/>
  <c r="S16" i="1"/>
  <c r="T16" i="1" s="1"/>
  <c r="AA16" i="1" s="1"/>
  <c r="N16" i="1"/>
  <c r="Y30" i="1"/>
  <c r="X30" i="1"/>
  <c r="M30" i="1"/>
  <c r="N30" i="1" s="1"/>
  <c r="K30" i="1"/>
  <c r="G30" i="1"/>
  <c r="Y28" i="1"/>
  <c r="X28" i="1"/>
  <c r="M28" i="1"/>
  <c r="K28" i="1"/>
  <c r="G28" i="1"/>
  <c r="X25" i="1"/>
  <c r="K25" i="1"/>
  <c r="G25" i="1"/>
  <c r="E22" i="1" l="1"/>
  <c r="H22" i="1" s="1"/>
  <c r="M679" i="1"/>
  <c r="K679" i="1"/>
  <c r="X679" i="1" s="1"/>
  <c r="F42" i="1"/>
  <c r="N558" i="1"/>
  <c r="Y558" i="1" s="1"/>
  <c r="P558" i="1"/>
  <c r="S680" i="1"/>
  <c r="Q680" i="1"/>
  <c r="Q559" i="1"/>
  <c r="Z559" i="1" s="1"/>
  <c r="S559" i="1"/>
  <c r="T559" i="1" s="1"/>
  <c r="AA559" i="1" s="1"/>
  <c r="F16" i="1"/>
  <c r="T441" i="1"/>
  <c r="AA441" i="1" s="1"/>
  <c r="E441" i="1"/>
  <c r="H441" i="1" s="1"/>
  <c r="S442" i="1"/>
  <c r="Q442" i="1"/>
  <c r="E42" i="1"/>
  <c r="H42" i="1" s="1"/>
  <c r="S39" i="1"/>
  <c r="T39" i="1" s="1"/>
  <c r="AA39" i="1" s="1"/>
  <c r="Q39" i="1"/>
  <c r="S18" i="1"/>
  <c r="T18" i="1" s="1"/>
  <c r="AA18" i="1" s="1"/>
  <c r="Q18" i="1"/>
  <c r="E16" i="1"/>
  <c r="H16" i="1" s="1"/>
  <c r="S28" i="1"/>
  <c r="T28" i="1" s="1"/>
  <c r="AA28" i="1" s="1"/>
  <c r="Q28" i="1"/>
  <c r="Z28" i="1" s="1"/>
  <c r="N28" i="1"/>
  <c r="Q25" i="1"/>
  <c r="Z25" i="1" s="1"/>
  <c r="S25" i="1"/>
  <c r="T25" i="1" s="1"/>
  <c r="AA25" i="1" s="1"/>
  <c r="N25" i="1"/>
  <c r="Y25" i="1" s="1"/>
  <c r="M216" i="1"/>
  <c r="K216" i="1"/>
  <c r="M171" i="1"/>
  <c r="K171" i="1"/>
  <c r="M118" i="1"/>
  <c r="K118" i="1"/>
  <c r="F559" i="1" l="1"/>
  <c r="P171" i="1"/>
  <c r="N118" i="1"/>
  <c r="Y118" i="1" s="1"/>
  <c r="P216" i="1"/>
  <c r="Q216" i="1" s="1"/>
  <c r="E559" i="1"/>
  <c r="H559" i="1" s="1"/>
  <c r="F441" i="1"/>
  <c r="S558" i="1"/>
  <c r="Q558" i="1"/>
  <c r="Z558" i="1" s="1"/>
  <c r="E18" i="1"/>
  <c r="H18" i="1" s="1"/>
  <c r="N679" i="1"/>
  <c r="P679" i="1"/>
  <c r="T680" i="1"/>
  <c r="AA680" i="1" s="1"/>
  <c r="E680" i="1"/>
  <c r="H680" i="1" s="1"/>
  <c r="Z680" i="1"/>
  <c r="E39" i="1"/>
  <c r="H39" i="1" s="1"/>
  <c r="Z442" i="1"/>
  <c r="T442" i="1"/>
  <c r="AA442" i="1" s="1"/>
  <c r="E442" i="1"/>
  <c r="H442" i="1" s="1"/>
  <c r="Z39" i="1"/>
  <c r="F39" i="1"/>
  <c r="Z18" i="1"/>
  <c r="F18" i="1"/>
  <c r="E28" i="1"/>
  <c r="H28" i="1" s="1"/>
  <c r="E25" i="1"/>
  <c r="H25" i="1" s="1"/>
  <c r="F28" i="1"/>
  <c r="S30" i="1"/>
  <c r="T30" i="1" s="1"/>
  <c r="AA30" i="1" s="1"/>
  <c r="Q30" i="1"/>
  <c r="F25" i="1"/>
  <c r="N216" i="1"/>
  <c r="Y216" i="1" s="1"/>
  <c r="X216" i="1"/>
  <c r="S171" i="1"/>
  <c r="T171" i="1" s="1"/>
  <c r="AA171" i="1" s="1"/>
  <c r="Q171" i="1"/>
  <c r="Z171" i="1" s="1"/>
  <c r="N171" i="1"/>
  <c r="Y171" i="1" s="1"/>
  <c r="X171" i="1"/>
  <c r="P118" i="1"/>
  <c r="X118" i="1"/>
  <c r="S216" i="1" l="1"/>
  <c r="T216" i="1" s="1"/>
  <c r="AA216" i="1" s="1"/>
  <c r="F680" i="1"/>
  <c r="E30" i="1"/>
  <c r="H30" i="1" s="1"/>
  <c r="Z216" i="1"/>
  <c r="E171" i="1"/>
  <c r="H171" i="1" s="1"/>
  <c r="F171" i="1"/>
  <c r="Q679" i="1"/>
  <c r="Z679" i="1" s="1"/>
  <c r="S679" i="1"/>
  <c r="T679" i="1" s="1"/>
  <c r="AA679" i="1" s="1"/>
  <c r="Y679" i="1"/>
  <c r="T558" i="1"/>
  <c r="E558" i="1"/>
  <c r="H558" i="1" s="1"/>
  <c r="F442" i="1"/>
  <c r="Z30" i="1"/>
  <c r="F30" i="1"/>
  <c r="S118" i="1"/>
  <c r="T118" i="1" s="1"/>
  <c r="AA118" i="1" s="1"/>
  <c r="Q118" i="1"/>
  <c r="F118" i="1" l="1"/>
  <c r="E216" i="1"/>
  <c r="H216" i="1" s="1"/>
  <c r="E679" i="1"/>
  <c r="H679" i="1" s="1"/>
  <c r="F216" i="1"/>
  <c r="E118" i="1"/>
  <c r="H118" i="1" s="1"/>
  <c r="F679" i="1"/>
  <c r="AA558" i="1"/>
  <c r="F558" i="1"/>
  <c r="Z118" i="1"/>
  <c r="Y75" i="1" l="1"/>
  <c r="X75" i="1"/>
  <c r="J75" i="1"/>
  <c r="G75" i="1"/>
  <c r="M75" i="1" l="1"/>
  <c r="N75" i="1" s="1"/>
  <c r="J136" i="1"/>
  <c r="K75" i="1"/>
  <c r="K136" i="1" l="1"/>
  <c r="M136" i="1"/>
  <c r="S75" i="1"/>
  <c r="Q75" i="1"/>
  <c r="Z75" i="1" s="1"/>
  <c r="N136" i="1" l="1"/>
  <c r="P136" i="1"/>
  <c r="T75" i="1"/>
  <c r="E75" i="1"/>
  <c r="H75" i="1" s="1"/>
  <c r="S136" i="1" l="1"/>
  <c r="Q136" i="1"/>
  <c r="Z136" i="1" s="1"/>
  <c r="AA75" i="1"/>
  <c r="F75" i="1"/>
  <c r="T136" i="1" l="1"/>
  <c r="AA136" i="1" s="1"/>
  <c r="E136" i="1"/>
  <c r="H136" i="1" s="1"/>
  <c r="X31" i="1"/>
  <c r="X32" i="1"/>
  <c r="M32" i="1"/>
  <c r="N32" i="1" s="1"/>
  <c r="Y32" i="1" s="1"/>
  <c r="K32" i="1"/>
  <c r="G32" i="1"/>
  <c r="G9" i="1"/>
  <c r="J97" i="1"/>
  <c r="F136" i="1" l="1"/>
  <c r="P32" i="1"/>
  <c r="S32" i="1" s="1"/>
  <c r="T32" i="1" s="1"/>
  <c r="AA32" i="1" s="1"/>
  <c r="M31" i="1"/>
  <c r="P31" i="1" s="1"/>
  <c r="S31" i="1" s="1"/>
  <c r="K31" i="1"/>
  <c r="G31" i="1"/>
  <c r="X94" i="1"/>
  <c r="J94" i="1"/>
  <c r="G94" i="1"/>
  <c r="G110" i="1"/>
  <c r="M10" i="1"/>
  <c r="N10" i="1" s="1"/>
  <c r="M12" i="1"/>
  <c r="K46" i="1"/>
  <c r="M46" i="1"/>
  <c r="N46" i="1" s="1"/>
  <c r="K14" i="1"/>
  <c r="M14" i="1"/>
  <c r="N14" i="1" s="1"/>
  <c r="E32" i="1" l="1"/>
  <c r="H32" i="1" s="1"/>
  <c r="Q32" i="1"/>
  <c r="N31" i="1"/>
  <c r="T31" i="1"/>
  <c r="E31" i="1"/>
  <c r="H31" i="1" s="1"/>
  <c r="Q31" i="1"/>
  <c r="P94" i="1"/>
  <c r="N94" i="1"/>
  <c r="Y94" i="1" s="1"/>
  <c r="K94" i="1"/>
  <c r="X46" i="1"/>
  <c r="G46" i="1"/>
  <c r="X14" i="1"/>
  <c r="Y14" i="1"/>
  <c r="G14" i="1"/>
  <c r="N12" i="1"/>
  <c r="Y12" i="1" s="1"/>
  <c r="K12" i="1"/>
  <c r="X12" i="1" s="1"/>
  <c r="G12" i="1"/>
  <c r="K10" i="1"/>
  <c r="X10" i="1" s="1"/>
  <c r="G10" i="1"/>
  <c r="Z32" i="1" l="1"/>
  <c r="F32" i="1"/>
  <c r="F31" i="1"/>
  <c r="S94" i="1"/>
  <c r="Q94" i="1"/>
  <c r="Z94" i="1" s="1"/>
  <c r="Y110" i="1"/>
  <c r="X110" i="1"/>
  <c r="Q46" i="1"/>
  <c r="Z46" i="1" s="1"/>
  <c r="S46" i="1"/>
  <c r="T46" i="1" s="1"/>
  <c r="AA46" i="1" s="1"/>
  <c r="Q12" i="1"/>
  <c r="Z12" i="1" s="1"/>
  <c r="Q10" i="1"/>
  <c r="Z10" i="1" s="1"/>
  <c r="S10" i="1"/>
  <c r="T10" i="1" s="1"/>
  <c r="AA10" i="1" s="1"/>
  <c r="Y10" i="1"/>
  <c r="AA716" i="1"/>
  <c r="Z716" i="1"/>
  <c r="Y716" i="1"/>
  <c r="X716" i="1"/>
  <c r="X691" i="1"/>
  <c r="X690" i="1"/>
  <c r="X688" i="1"/>
  <c r="X687" i="1"/>
  <c r="X686" i="1"/>
  <c r="X681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Y654" i="1"/>
  <c r="X654" i="1"/>
  <c r="Y653" i="1"/>
  <c r="X653" i="1"/>
  <c r="Y652" i="1"/>
  <c r="X652" i="1"/>
  <c r="Y651" i="1"/>
  <c r="X651" i="1"/>
  <c r="Y650" i="1"/>
  <c r="X650" i="1"/>
  <c r="Y649" i="1"/>
  <c r="X649" i="1"/>
  <c r="Y648" i="1"/>
  <c r="X648" i="1"/>
  <c r="Y647" i="1"/>
  <c r="X647" i="1"/>
  <c r="Y646" i="1"/>
  <c r="X646" i="1"/>
  <c r="Y645" i="1"/>
  <c r="X645" i="1"/>
  <c r="Y644" i="1"/>
  <c r="X644" i="1"/>
  <c r="Y643" i="1"/>
  <c r="X643" i="1"/>
  <c r="Y642" i="1"/>
  <c r="X642" i="1"/>
  <c r="Y641" i="1"/>
  <c r="X641" i="1"/>
  <c r="X640" i="1"/>
  <c r="X639" i="1"/>
  <c r="X637" i="1"/>
  <c r="X636" i="1"/>
  <c r="X635" i="1"/>
  <c r="X634" i="1"/>
  <c r="Y633" i="1"/>
  <c r="X633" i="1"/>
  <c r="X632" i="1"/>
  <c r="X631" i="1"/>
  <c r="X630" i="1"/>
  <c r="Y629" i="1"/>
  <c r="X629" i="1"/>
  <c r="Y628" i="1"/>
  <c r="X628" i="1"/>
  <c r="Y627" i="1"/>
  <c r="X627" i="1"/>
  <c r="X626" i="1"/>
  <c r="Y625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Y604" i="1"/>
  <c r="X604" i="1"/>
  <c r="Y603" i="1"/>
  <c r="X603" i="1"/>
  <c r="Y602" i="1"/>
  <c r="X602" i="1"/>
  <c r="Y601" i="1"/>
  <c r="X601" i="1"/>
  <c r="AA600" i="1"/>
  <c r="Z600" i="1"/>
  <c r="Y600" i="1"/>
  <c r="X600" i="1"/>
  <c r="AA599" i="1"/>
  <c r="Z599" i="1"/>
  <c r="Y599" i="1"/>
  <c r="X599" i="1"/>
  <c r="X574" i="1"/>
  <c r="X573" i="1"/>
  <c r="X571" i="1"/>
  <c r="X570" i="1"/>
  <c r="X569" i="1"/>
  <c r="X560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Y533" i="1"/>
  <c r="X533" i="1"/>
  <c r="Y532" i="1"/>
  <c r="X532" i="1"/>
  <c r="Y531" i="1"/>
  <c r="X531" i="1"/>
  <c r="Y530" i="1"/>
  <c r="X530" i="1"/>
  <c r="Y529" i="1"/>
  <c r="X529" i="1"/>
  <c r="Y528" i="1"/>
  <c r="X528" i="1"/>
  <c r="Y527" i="1"/>
  <c r="X527" i="1"/>
  <c r="Y526" i="1"/>
  <c r="X526" i="1"/>
  <c r="Y525" i="1"/>
  <c r="X525" i="1"/>
  <c r="Y524" i="1"/>
  <c r="X524" i="1"/>
  <c r="Y523" i="1"/>
  <c r="X523" i="1"/>
  <c r="Y522" i="1"/>
  <c r="X522" i="1"/>
  <c r="Y521" i="1"/>
  <c r="X521" i="1"/>
  <c r="Y520" i="1"/>
  <c r="X520" i="1"/>
  <c r="X519" i="1"/>
  <c r="X518" i="1"/>
  <c r="X516" i="1"/>
  <c r="Y515" i="1"/>
  <c r="X515" i="1"/>
  <c r="X514" i="1"/>
  <c r="X513" i="1"/>
  <c r="Y512" i="1"/>
  <c r="X512" i="1"/>
  <c r="X511" i="1"/>
  <c r="X510" i="1"/>
  <c r="X509" i="1"/>
  <c r="Y508" i="1"/>
  <c r="X508" i="1"/>
  <c r="Y507" i="1"/>
  <c r="X507" i="1"/>
  <c r="Y506" i="1"/>
  <c r="X506" i="1"/>
  <c r="Y505" i="1"/>
  <c r="X505" i="1"/>
  <c r="Y504" i="1"/>
  <c r="X504" i="1"/>
  <c r="Y503" i="1"/>
  <c r="X503" i="1"/>
  <c r="Y502" i="1"/>
  <c r="X502" i="1"/>
  <c r="Y501" i="1"/>
  <c r="X501" i="1"/>
  <c r="Y500" i="1"/>
  <c r="X500" i="1"/>
  <c r="Y499" i="1"/>
  <c r="X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2" i="1"/>
  <c r="X492" i="1"/>
  <c r="Y491" i="1"/>
  <c r="X491" i="1"/>
  <c r="Y490" i="1"/>
  <c r="X490" i="1"/>
  <c r="Y489" i="1"/>
  <c r="X489" i="1"/>
  <c r="Y488" i="1"/>
  <c r="X488" i="1"/>
  <c r="Y487" i="1"/>
  <c r="X487" i="1"/>
  <c r="Y486" i="1"/>
  <c r="X486" i="1"/>
  <c r="Y483" i="1"/>
  <c r="X483" i="1"/>
  <c r="Y482" i="1"/>
  <c r="X482" i="1"/>
  <c r="Y481" i="1"/>
  <c r="X481" i="1"/>
  <c r="Y480" i="1"/>
  <c r="X480" i="1"/>
  <c r="AA479" i="1"/>
  <c r="Z479" i="1"/>
  <c r="Y479" i="1"/>
  <c r="X479" i="1"/>
  <c r="AA478" i="1"/>
  <c r="Z478" i="1"/>
  <c r="Y478" i="1"/>
  <c r="X478" i="1"/>
  <c r="X474" i="1"/>
  <c r="X462" i="1"/>
  <c r="X461" i="1"/>
  <c r="X460" i="1"/>
  <c r="X459" i="1"/>
  <c r="X458" i="1"/>
  <c r="X457" i="1"/>
  <c r="X456" i="1"/>
  <c r="X455" i="1"/>
  <c r="X454" i="1"/>
  <c r="X453" i="1"/>
  <c r="X452" i="1"/>
  <c r="X450" i="1"/>
  <c r="X449" i="1"/>
  <c r="X448" i="1"/>
  <c r="X443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Y416" i="1"/>
  <c r="X416" i="1"/>
  <c r="Y415" i="1"/>
  <c r="X415" i="1"/>
  <c r="Y414" i="1"/>
  <c r="X414" i="1"/>
  <c r="Y413" i="1"/>
  <c r="X413" i="1"/>
  <c r="Y412" i="1"/>
  <c r="X412" i="1"/>
  <c r="Y411" i="1"/>
  <c r="X411" i="1"/>
  <c r="Y410" i="1"/>
  <c r="X410" i="1"/>
  <c r="Y409" i="1"/>
  <c r="X409" i="1"/>
  <c r="Y408" i="1"/>
  <c r="X408" i="1"/>
  <c r="Y407" i="1"/>
  <c r="X407" i="1"/>
  <c r="Y406" i="1"/>
  <c r="X406" i="1"/>
  <c r="Y405" i="1"/>
  <c r="X405" i="1"/>
  <c r="Y404" i="1"/>
  <c r="X404" i="1"/>
  <c r="Y403" i="1"/>
  <c r="X403" i="1"/>
  <c r="X402" i="1"/>
  <c r="X401" i="1"/>
  <c r="X399" i="1"/>
  <c r="Y398" i="1"/>
  <c r="X398" i="1"/>
  <c r="X397" i="1"/>
  <c r="X396" i="1"/>
  <c r="Y395" i="1"/>
  <c r="X395" i="1"/>
  <c r="Y394" i="1"/>
  <c r="X394" i="1"/>
  <c r="Y393" i="1"/>
  <c r="X393" i="1"/>
  <c r="Y392" i="1"/>
  <c r="X392" i="1"/>
  <c r="Y391" i="1"/>
  <c r="X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5" i="1"/>
  <c r="X375" i="1"/>
  <c r="Y374" i="1"/>
  <c r="X374" i="1"/>
  <c r="Y373" i="1"/>
  <c r="X373" i="1"/>
  <c r="Y372" i="1"/>
  <c r="X372" i="1"/>
  <c r="Y371" i="1"/>
  <c r="X371" i="1"/>
  <c r="Y370" i="1"/>
  <c r="X370" i="1"/>
  <c r="Y369" i="1"/>
  <c r="X369" i="1"/>
  <c r="Y366" i="1"/>
  <c r="X366" i="1"/>
  <c r="Y365" i="1"/>
  <c r="X365" i="1"/>
  <c r="Y364" i="1"/>
  <c r="X364" i="1"/>
  <c r="Y363" i="1"/>
  <c r="X363" i="1"/>
  <c r="AA362" i="1"/>
  <c r="Z362" i="1"/>
  <c r="Y362" i="1"/>
  <c r="X362" i="1"/>
  <c r="AA361" i="1"/>
  <c r="Z361" i="1"/>
  <c r="Y361" i="1"/>
  <c r="X361" i="1"/>
  <c r="X358" i="1"/>
  <c r="X356" i="1"/>
  <c r="X355" i="1"/>
  <c r="X354" i="1"/>
  <c r="X353" i="1"/>
  <c r="X352" i="1"/>
  <c r="X351" i="1"/>
  <c r="X350" i="1"/>
  <c r="X349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08" i="1"/>
  <c r="AA305" i="1"/>
  <c r="Z305" i="1"/>
  <c r="Y305" i="1"/>
  <c r="X305" i="1"/>
  <c r="AA304" i="1"/>
  <c r="Z304" i="1"/>
  <c r="Y304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Y284" i="1"/>
  <c r="X284" i="1"/>
  <c r="Y283" i="1"/>
  <c r="X283" i="1"/>
  <c r="Y281" i="1"/>
  <c r="X281" i="1"/>
  <c r="Y280" i="1"/>
  <c r="X280" i="1"/>
  <c r="Y279" i="1"/>
  <c r="X279" i="1"/>
  <c r="Y278" i="1"/>
  <c r="X278" i="1"/>
  <c r="Y277" i="1"/>
  <c r="X277" i="1"/>
  <c r="Y276" i="1"/>
  <c r="X276" i="1"/>
  <c r="Y275" i="1"/>
  <c r="X275" i="1"/>
  <c r="Y274" i="1"/>
  <c r="X274" i="1"/>
  <c r="Y273" i="1"/>
  <c r="X273" i="1"/>
  <c r="Y272" i="1"/>
  <c r="X272" i="1"/>
  <c r="Y271" i="1"/>
  <c r="X271" i="1"/>
  <c r="Y270" i="1"/>
  <c r="X270" i="1"/>
  <c r="Y269" i="1"/>
  <c r="X269" i="1"/>
  <c r="Y268" i="1"/>
  <c r="X268" i="1"/>
  <c r="Y267" i="1"/>
  <c r="X267" i="1"/>
  <c r="Y266" i="1"/>
  <c r="X266" i="1"/>
  <c r="X264" i="1"/>
  <c r="Y263" i="1"/>
  <c r="X263" i="1"/>
  <c r="X262" i="1"/>
  <c r="X261" i="1"/>
  <c r="Y260" i="1"/>
  <c r="X260" i="1"/>
  <c r="Y259" i="1"/>
  <c r="X259" i="1"/>
  <c r="Y258" i="1"/>
  <c r="X258" i="1"/>
  <c r="Y257" i="1"/>
  <c r="X257" i="1"/>
  <c r="Y256" i="1"/>
  <c r="X256" i="1"/>
  <c r="Y255" i="1"/>
  <c r="X255" i="1"/>
  <c r="Y254" i="1"/>
  <c r="X254" i="1"/>
  <c r="Y253" i="1"/>
  <c r="X253" i="1"/>
  <c r="Y252" i="1"/>
  <c r="X252" i="1"/>
  <c r="Y251" i="1"/>
  <c r="X251" i="1"/>
  <c r="Y250" i="1"/>
  <c r="X250" i="1"/>
  <c r="Y249" i="1"/>
  <c r="X249" i="1"/>
  <c r="Y248" i="1"/>
  <c r="X248" i="1"/>
  <c r="Y247" i="1"/>
  <c r="X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Y240" i="1"/>
  <c r="X240" i="1"/>
  <c r="Y239" i="1"/>
  <c r="X239" i="1"/>
  <c r="Y238" i="1"/>
  <c r="X238" i="1"/>
  <c r="Y237" i="1"/>
  <c r="X237" i="1"/>
  <c r="Y236" i="1"/>
  <c r="X236" i="1"/>
  <c r="Y235" i="1"/>
  <c r="X235" i="1"/>
  <c r="Y234" i="1"/>
  <c r="X234" i="1"/>
  <c r="AA233" i="1"/>
  <c r="Z233" i="1"/>
  <c r="Y233" i="1"/>
  <c r="X233" i="1"/>
  <c r="AA232" i="1"/>
  <c r="Z232" i="1"/>
  <c r="Y232" i="1"/>
  <c r="X232" i="1"/>
  <c r="Y231" i="1"/>
  <c r="X231" i="1"/>
  <c r="Y230" i="1"/>
  <c r="X230" i="1"/>
  <c r="Y229" i="1"/>
  <c r="X229" i="1"/>
  <c r="Y228" i="1"/>
  <c r="X228" i="1"/>
  <c r="AA227" i="1"/>
  <c r="Z227" i="1"/>
  <c r="Y227" i="1"/>
  <c r="X227" i="1"/>
  <c r="AA226" i="1"/>
  <c r="Z226" i="1"/>
  <c r="Y226" i="1"/>
  <c r="X226" i="1"/>
  <c r="AA225" i="1"/>
  <c r="Z225" i="1"/>
  <c r="Y225" i="1"/>
  <c r="X225" i="1"/>
  <c r="AA224" i="1"/>
  <c r="Z224" i="1"/>
  <c r="Y224" i="1"/>
  <c r="X224" i="1"/>
  <c r="X222" i="1"/>
  <c r="AA221" i="1"/>
  <c r="Z221" i="1"/>
  <c r="Y221" i="1"/>
  <c r="X221" i="1"/>
  <c r="AA220" i="1"/>
  <c r="Z220" i="1"/>
  <c r="Y220" i="1"/>
  <c r="X220" i="1"/>
  <c r="AA219" i="1"/>
  <c r="Z219" i="1"/>
  <c r="Y219" i="1"/>
  <c r="X219" i="1"/>
  <c r="AA218" i="1"/>
  <c r="Z218" i="1"/>
  <c r="Y218" i="1"/>
  <c r="X218" i="1"/>
  <c r="AA217" i="1"/>
  <c r="Z217" i="1"/>
  <c r="Y217" i="1"/>
  <c r="X217" i="1"/>
  <c r="Y214" i="1"/>
  <c r="X214" i="1"/>
  <c r="X213" i="1"/>
  <c r="X210" i="1"/>
  <c r="X208" i="1"/>
  <c r="X206" i="1"/>
  <c r="X192" i="1"/>
  <c r="X191" i="1"/>
  <c r="X190" i="1"/>
  <c r="X188" i="1"/>
  <c r="AA187" i="1"/>
  <c r="Z187" i="1"/>
  <c r="Y187" i="1"/>
  <c r="X187" i="1"/>
  <c r="Y186" i="1"/>
  <c r="X186" i="1"/>
  <c r="Z185" i="1"/>
  <c r="Y185" i="1"/>
  <c r="X185" i="1"/>
  <c r="AA184" i="1"/>
  <c r="Z184" i="1"/>
  <c r="Y184" i="1"/>
  <c r="X184" i="1"/>
  <c r="Z183" i="1"/>
  <c r="Y183" i="1"/>
  <c r="X183" i="1"/>
  <c r="AA182" i="1"/>
  <c r="Z182" i="1"/>
  <c r="Y182" i="1"/>
  <c r="X182" i="1"/>
  <c r="AA181" i="1"/>
  <c r="Z181" i="1"/>
  <c r="Y181" i="1"/>
  <c r="X181" i="1"/>
  <c r="AA180" i="1"/>
  <c r="Z180" i="1"/>
  <c r="Y180" i="1"/>
  <c r="X180" i="1"/>
  <c r="AA179" i="1"/>
  <c r="Z179" i="1"/>
  <c r="Y179" i="1"/>
  <c r="X179" i="1"/>
  <c r="X177" i="1"/>
  <c r="AA176" i="1"/>
  <c r="Z176" i="1"/>
  <c r="Y176" i="1"/>
  <c r="X176" i="1"/>
  <c r="AA175" i="1"/>
  <c r="Z175" i="1"/>
  <c r="Y175" i="1"/>
  <c r="X175" i="1"/>
  <c r="AA174" i="1"/>
  <c r="Z174" i="1"/>
  <c r="Y174" i="1"/>
  <c r="X174" i="1"/>
  <c r="AA173" i="1"/>
  <c r="Z173" i="1"/>
  <c r="Y173" i="1"/>
  <c r="X173" i="1"/>
  <c r="AA172" i="1"/>
  <c r="Z172" i="1"/>
  <c r="Y172" i="1"/>
  <c r="X172" i="1"/>
  <c r="Y169" i="1"/>
  <c r="X169" i="1"/>
  <c r="Y168" i="1"/>
  <c r="X168" i="1"/>
  <c r="X164" i="1"/>
  <c r="X162" i="1"/>
  <c r="X160" i="1"/>
  <c r="X154" i="1"/>
  <c r="X149" i="1"/>
  <c r="X147" i="1"/>
  <c r="X143" i="1"/>
  <c r="X141" i="1"/>
  <c r="X139" i="1"/>
  <c r="X137" i="1"/>
  <c r="X135" i="1"/>
  <c r="AA134" i="1"/>
  <c r="Z134" i="1"/>
  <c r="Y134" i="1"/>
  <c r="X134" i="1"/>
  <c r="Y133" i="1"/>
  <c r="X133" i="1"/>
  <c r="Z132" i="1"/>
  <c r="Y132" i="1"/>
  <c r="X132" i="1"/>
  <c r="AA131" i="1"/>
  <c r="Z131" i="1"/>
  <c r="Y131" i="1"/>
  <c r="X131" i="1"/>
  <c r="Z130" i="1"/>
  <c r="Y130" i="1"/>
  <c r="X130" i="1"/>
  <c r="AA129" i="1"/>
  <c r="Z129" i="1"/>
  <c r="Y129" i="1"/>
  <c r="X129" i="1"/>
  <c r="AA128" i="1"/>
  <c r="Z128" i="1"/>
  <c r="Y128" i="1"/>
  <c r="X128" i="1"/>
  <c r="AA127" i="1"/>
  <c r="Z127" i="1"/>
  <c r="Y127" i="1"/>
  <c r="X127" i="1"/>
  <c r="AA126" i="1"/>
  <c r="Z126" i="1"/>
  <c r="Y126" i="1"/>
  <c r="X126" i="1"/>
  <c r="X124" i="1"/>
  <c r="AA123" i="1"/>
  <c r="Z123" i="1"/>
  <c r="Y123" i="1"/>
  <c r="X123" i="1"/>
  <c r="AA122" i="1"/>
  <c r="Z122" i="1"/>
  <c r="Y122" i="1"/>
  <c r="X122" i="1"/>
  <c r="AA121" i="1"/>
  <c r="Z121" i="1"/>
  <c r="Y121" i="1"/>
  <c r="X121" i="1"/>
  <c r="AA120" i="1"/>
  <c r="Z120" i="1"/>
  <c r="Y120" i="1"/>
  <c r="X120" i="1"/>
  <c r="AA119" i="1"/>
  <c r="Z119" i="1"/>
  <c r="Y119" i="1"/>
  <c r="X119" i="1"/>
  <c r="Y116" i="1"/>
  <c r="X116" i="1"/>
  <c r="Y115" i="1"/>
  <c r="X115" i="1"/>
  <c r="X114" i="1"/>
  <c r="X113" i="1"/>
  <c r="Y111" i="1"/>
  <c r="X111" i="1"/>
  <c r="X108" i="1"/>
  <c r="Y105" i="1"/>
  <c r="X105" i="1"/>
  <c r="X104" i="1"/>
  <c r="Y99" i="1"/>
  <c r="X99" i="1"/>
  <c r="Y95" i="1"/>
  <c r="X95" i="1"/>
  <c r="X93" i="1"/>
  <c r="X92" i="1"/>
  <c r="X90" i="1"/>
  <c r="Y88" i="1"/>
  <c r="X88" i="1"/>
  <c r="X86" i="1"/>
  <c r="X84" i="1"/>
  <c r="X82" i="1"/>
  <c r="X80" i="1"/>
  <c r="Y78" i="1"/>
  <c r="X78" i="1"/>
  <c r="X76" i="1"/>
  <c r="Y74" i="1"/>
  <c r="X74" i="1"/>
  <c r="AA73" i="1"/>
  <c r="Z73" i="1"/>
  <c r="Y73" i="1"/>
  <c r="X73" i="1"/>
  <c r="Y72" i="1"/>
  <c r="X72" i="1"/>
  <c r="Z71" i="1"/>
  <c r="Y71" i="1"/>
  <c r="X71" i="1"/>
  <c r="AA70" i="1"/>
  <c r="Z70" i="1"/>
  <c r="Y70" i="1"/>
  <c r="X70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X62" i="1"/>
  <c r="AA61" i="1"/>
  <c r="Z61" i="1"/>
  <c r="Y61" i="1"/>
  <c r="X61" i="1"/>
  <c r="Y60" i="1"/>
  <c r="X60" i="1"/>
  <c r="AA59" i="1"/>
  <c r="Z59" i="1"/>
  <c r="Y59" i="1"/>
  <c r="X59" i="1"/>
  <c r="Z58" i="1"/>
  <c r="Y58" i="1"/>
  <c r="X58" i="1"/>
  <c r="Z57" i="1"/>
  <c r="Y57" i="1"/>
  <c r="X57" i="1"/>
  <c r="Z56" i="1"/>
  <c r="Y56" i="1"/>
  <c r="X56" i="1"/>
  <c r="AA55" i="1"/>
  <c r="Z55" i="1"/>
  <c r="Y55" i="1"/>
  <c r="X55" i="1"/>
  <c r="Y54" i="1"/>
  <c r="X54" i="1"/>
  <c r="Y52" i="1"/>
  <c r="X52" i="1"/>
  <c r="Y49" i="1"/>
  <c r="X49" i="1"/>
  <c r="Y48" i="1"/>
  <c r="X48" i="1"/>
  <c r="Y45" i="1"/>
  <c r="X45" i="1"/>
  <c r="Y44" i="1"/>
  <c r="X44" i="1"/>
  <c r="Y43" i="1"/>
  <c r="X43" i="1"/>
  <c r="Y41" i="1"/>
  <c r="X41" i="1"/>
  <c r="Y40" i="1"/>
  <c r="X40" i="1"/>
  <c r="Y38" i="1"/>
  <c r="X38" i="1"/>
  <c r="Y33" i="1"/>
  <c r="X33" i="1"/>
  <c r="Y29" i="1"/>
  <c r="X29" i="1"/>
  <c r="Y27" i="1"/>
  <c r="X27" i="1"/>
  <c r="Y26" i="1"/>
  <c r="X26" i="1"/>
  <c r="X24" i="1"/>
  <c r="Y20" i="1"/>
  <c r="X20" i="1"/>
  <c r="Y19" i="1"/>
  <c r="X19" i="1"/>
  <c r="Y17" i="1"/>
  <c r="X17" i="1"/>
  <c r="Y15" i="1"/>
  <c r="X15" i="1"/>
  <c r="Y13" i="1"/>
  <c r="X13" i="1"/>
  <c r="Y11" i="1"/>
  <c r="X11" i="1"/>
  <c r="Y9" i="1"/>
  <c r="X9" i="1"/>
  <c r="AA8" i="1"/>
  <c r="Z8" i="1"/>
  <c r="Y8" i="1"/>
  <c r="X8" i="1"/>
  <c r="Y7" i="1"/>
  <c r="X7" i="1"/>
  <c r="Z6" i="1"/>
  <c r="Y6" i="1"/>
  <c r="X6" i="1"/>
  <c r="AA5" i="1"/>
  <c r="Z5" i="1"/>
  <c r="Y5" i="1"/>
  <c r="X5" i="1"/>
  <c r="Z4" i="1"/>
  <c r="Y4" i="1"/>
  <c r="X4" i="1"/>
  <c r="T94" i="1" l="1"/>
  <c r="E94" i="1"/>
  <c r="H94" i="1" s="1"/>
  <c r="Z110" i="1"/>
  <c r="E110" i="1"/>
  <c r="H110" i="1" s="1"/>
  <c r="F46" i="1"/>
  <c r="Y46" i="1"/>
  <c r="F10" i="1"/>
  <c r="E46" i="1"/>
  <c r="H46" i="1" s="1"/>
  <c r="S12" i="1"/>
  <c r="T12" i="1" s="1"/>
  <c r="S14" i="1"/>
  <c r="T14" i="1" s="1"/>
  <c r="AA14" i="1" s="1"/>
  <c r="Q14" i="1"/>
  <c r="E10" i="1"/>
  <c r="H10" i="1" s="1"/>
  <c r="M56" i="1"/>
  <c r="K307" i="1"/>
  <c r="X307" i="1" s="1"/>
  <c r="G306" i="1"/>
  <c r="G307" i="1"/>
  <c r="G308" i="1"/>
  <c r="G309" i="1"/>
  <c r="G310" i="1"/>
  <c r="M307" i="1"/>
  <c r="N307" i="1" s="1"/>
  <c r="Y307" i="1" s="1"/>
  <c r="M306" i="1"/>
  <c r="N306" i="1" s="1"/>
  <c r="Y306" i="1" s="1"/>
  <c r="K306" i="1"/>
  <c r="X306" i="1" s="1"/>
  <c r="K308" i="1"/>
  <c r="M308" i="1"/>
  <c r="N308" i="1" s="1"/>
  <c r="Y308" i="1" s="1"/>
  <c r="K309" i="1"/>
  <c r="X309" i="1" s="1"/>
  <c r="M309" i="1"/>
  <c r="P309" i="1" s="1"/>
  <c r="N56" i="1" l="1"/>
  <c r="E12" i="1"/>
  <c r="H12" i="1" s="1"/>
  <c r="AA94" i="1"/>
  <c r="F94" i="1"/>
  <c r="AA110" i="1"/>
  <c r="F110" i="1"/>
  <c r="E14" i="1"/>
  <c r="H14" i="1" s="1"/>
  <c r="Z14" i="1"/>
  <c r="F14" i="1"/>
  <c r="AA12" i="1"/>
  <c r="F12" i="1"/>
  <c r="N309" i="1"/>
  <c r="Y309" i="1" s="1"/>
  <c r="P56" i="1"/>
  <c r="Q56" i="1" s="1"/>
  <c r="S309" i="1"/>
  <c r="T309" i="1" s="1"/>
  <c r="AA309" i="1" s="1"/>
  <c r="P307" i="1"/>
  <c r="P308" i="1"/>
  <c r="P306" i="1"/>
  <c r="Q309" i="1"/>
  <c r="Z309" i="1" s="1"/>
  <c r="K56" i="1"/>
  <c r="J125" i="1"/>
  <c r="M125" i="1" s="1"/>
  <c r="P125" i="1" s="1"/>
  <c r="S125" i="1" s="1"/>
  <c r="M64" i="1"/>
  <c r="P64" i="1" s="1"/>
  <c r="K64" i="1"/>
  <c r="G64" i="1"/>
  <c r="E309" i="1" l="1"/>
  <c r="H309" i="1" s="1"/>
  <c r="K125" i="1"/>
  <c r="X64" i="1"/>
  <c r="F309" i="1"/>
  <c r="S56" i="1"/>
  <c r="T56" i="1" s="1"/>
  <c r="AA56" i="1" s="1"/>
  <c r="S306" i="1"/>
  <c r="Q306" i="1"/>
  <c r="Z306" i="1" s="1"/>
  <c r="S308" i="1"/>
  <c r="E308" i="1" s="1"/>
  <c r="H308" i="1" s="1"/>
  <c r="Q308" i="1"/>
  <c r="Z308" i="1" s="1"/>
  <c r="S307" i="1"/>
  <c r="T307" i="1" s="1"/>
  <c r="AA307" i="1" s="1"/>
  <c r="Q307" i="1"/>
  <c r="J178" i="1"/>
  <c r="S64" i="1"/>
  <c r="E64" i="1" s="1"/>
  <c r="H64" i="1" s="1"/>
  <c r="N64" i="1"/>
  <c r="E56" i="1" l="1"/>
  <c r="H56" i="1" s="1"/>
  <c r="F56" i="1"/>
  <c r="F307" i="1"/>
  <c r="Z307" i="1"/>
  <c r="N125" i="1"/>
  <c r="Y125" i="1" s="1"/>
  <c r="Y64" i="1"/>
  <c r="K178" i="1"/>
  <c r="X125" i="1"/>
  <c r="T306" i="1"/>
  <c r="E306" i="1"/>
  <c r="H306" i="1" s="1"/>
  <c r="E307" i="1"/>
  <c r="H307" i="1" s="1"/>
  <c r="T308" i="1"/>
  <c r="M178" i="1"/>
  <c r="P178" i="1" s="1"/>
  <c r="S178" i="1" s="1"/>
  <c r="J223" i="1"/>
  <c r="M223" i="1" s="1"/>
  <c r="P223" i="1" s="1"/>
  <c r="S223" i="1" s="1"/>
  <c r="Q64" i="1"/>
  <c r="Z64" i="1" s="1"/>
  <c r="F308" i="1" l="1"/>
  <c r="AA308" i="1"/>
  <c r="F306" i="1"/>
  <c r="AA306" i="1"/>
  <c r="N178" i="1"/>
  <c r="X178" i="1"/>
  <c r="K223" i="1"/>
  <c r="T64" i="1"/>
  <c r="Q125" i="1"/>
  <c r="T125" i="1" l="1"/>
  <c r="AA125" i="1" s="1"/>
  <c r="Z125" i="1"/>
  <c r="F64" i="1"/>
  <c r="AA64" i="1"/>
  <c r="N223" i="1"/>
  <c r="X223" i="1"/>
  <c r="Q178" i="1"/>
  <c r="Y178" i="1"/>
  <c r="G681" i="1"/>
  <c r="G682" i="1"/>
  <c r="G683" i="1"/>
  <c r="G684" i="1"/>
  <c r="G685" i="1"/>
  <c r="G560" i="1"/>
  <c r="G561" i="1"/>
  <c r="G562" i="1"/>
  <c r="G563" i="1"/>
  <c r="G564" i="1"/>
  <c r="G565" i="1"/>
  <c r="G566" i="1"/>
  <c r="G567" i="1"/>
  <c r="G568" i="1"/>
  <c r="J443" i="1"/>
  <c r="K443" i="1" s="1"/>
  <c r="J444" i="1"/>
  <c r="J561" i="1" s="1"/>
  <c r="J682" i="1" s="1"/>
  <c r="J445" i="1"/>
  <c r="J562" i="1" s="1"/>
  <c r="J683" i="1" s="1"/>
  <c r="J446" i="1"/>
  <c r="K446" i="1" s="1"/>
  <c r="X446" i="1" s="1"/>
  <c r="J447" i="1"/>
  <c r="M447" i="1" s="1"/>
  <c r="P447" i="1" s="1"/>
  <c r="G443" i="1"/>
  <c r="G444" i="1"/>
  <c r="G445" i="1"/>
  <c r="G446" i="1"/>
  <c r="G447" i="1"/>
  <c r="K311" i="1"/>
  <c r="X311" i="1" s="1"/>
  <c r="K312" i="1"/>
  <c r="X312" i="1" s="1"/>
  <c r="K313" i="1"/>
  <c r="X313" i="1" s="1"/>
  <c r="K314" i="1"/>
  <c r="X314" i="1" s="1"/>
  <c r="K315" i="1"/>
  <c r="X315" i="1" s="1"/>
  <c r="K316" i="1"/>
  <c r="X316" i="1" s="1"/>
  <c r="K310" i="1"/>
  <c r="X310" i="1" s="1"/>
  <c r="M310" i="1"/>
  <c r="M311" i="1"/>
  <c r="P311" i="1" s="1"/>
  <c r="M312" i="1"/>
  <c r="N312" i="1" s="1"/>
  <c r="Y312" i="1" s="1"/>
  <c r="M313" i="1"/>
  <c r="N313" i="1" s="1"/>
  <c r="Y313" i="1" s="1"/>
  <c r="M314" i="1"/>
  <c r="N314" i="1" s="1"/>
  <c r="Y314" i="1" s="1"/>
  <c r="M315" i="1"/>
  <c r="P315" i="1" s="1"/>
  <c r="M316" i="1"/>
  <c r="N316" i="1" s="1"/>
  <c r="Y316" i="1" s="1"/>
  <c r="G311" i="1"/>
  <c r="G312" i="1"/>
  <c r="G313" i="1"/>
  <c r="G314" i="1"/>
  <c r="G315" i="1"/>
  <c r="G316" i="1"/>
  <c r="Q223" i="1" l="1"/>
  <c r="Y223" i="1"/>
  <c r="T178" i="1"/>
  <c r="AA178" i="1" s="1"/>
  <c r="Z178" i="1"/>
  <c r="N310" i="1"/>
  <c r="Y310" i="1" s="1"/>
  <c r="K445" i="1"/>
  <c r="X445" i="1" s="1"/>
  <c r="M443" i="1"/>
  <c r="N443" i="1" s="1"/>
  <c r="Y443" i="1" s="1"/>
  <c r="P313" i="1"/>
  <c r="Q313" i="1" s="1"/>
  <c r="Z313" i="1" s="1"/>
  <c r="K683" i="1"/>
  <c r="X683" i="1" s="1"/>
  <c r="M683" i="1"/>
  <c r="N683" i="1" s="1"/>
  <c r="Y683" i="1" s="1"/>
  <c r="M682" i="1"/>
  <c r="K682" i="1"/>
  <c r="X682" i="1" s="1"/>
  <c r="N311" i="1"/>
  <c r="Y311" i="1" s="1"/>
  <c r="M445" i="1"/>
  <c r="N445" i="1" s="1"/>
  <c r="Y445" i="1" s="1"/>
  <c r="S311" i="1"/>
  <c r="T311" i="1" s="1"/>
  <c r="AA311" i="1" s="1"/>
  <c r="Q311" i="1"/>
  <c r="Z311" i="1" s="1"/>
  <c r="K562" i="1"/>
  <c r="X562" i="1" s="1"/>
  <c r="M562" i="1"/>
  <c r="M561" i="1"/>
  <c r="K561" i="1"/>
  <c r="X561" i="1" s="1"/>
  <c r="M444" i="1"/>
  <c r="J564" i="1"/>
  <c r="J685" i="1" s="1"/>
  <c r="J563" i="1"/>
  <c r="J684" i="1" s="1"/>
  <c r="J560" i="1"/>
  <c r="J681" i="1" s="1"/>
  <c r="M446" i="1"/>
  <c r="N315" i="1"/>
  <c r="Y315" i="1" s="1"/>
  <c r="P310" i="1"/>
  <c r="N447" i="1"/>
  <c r="Y447" i="1" s="1"/>
  <c r="Q447" i="1"/>
  <c r="Z447" i="1" s="1"/>
  <c r="S447" i="1"/>
  <c r="T447" i="1" s="1"/>
  <c r="AA447" i="1" s="1"/>
  <c r="K447" i="1"/>
  <c r="X447" i="1" s="1"/>
  <c r="K444" i="1"/>
  <c r="X444" i="1" s="1"/>
  <c r="S315" i="1"/>
  <c r="T315" i="1" s="1"/>
  <c r="AA315" i="1" s="1"/>
  <c r="Q315" i="1"/>
  <c r="Z315" i="1" s="1"/>
  <c r="P316" i="1"/>
  <c r="P314" i="1"/>
  <c r="P312" i="1"/>
  <c r="E447" i="1" l="1"/>
  <c r="H447" i="1" s="1"/>
  <c r="P683" i="1"/>
  <c r="S683" i="1" s="1"/>
  <c r="T683" i="1" s="1"/>
  <c r="AA683" i="1" s="1"/>
  <c r="E315" i="1"/>
  <c r="H315" i="1" s="1"/>
  <c r="P443" i="1"/>
  <c r="S443" i="1" s="1"/>
  <c r="T443" i="1" s="1"/>
  <c r="AA443" i="1" s="1"/>
  <c r="T223" i="1"/>
  <c r="AA223" i="1" s="1"/>
  <c r="Z223" i="1"/>
  <c r="F311" i="1"/>
  <c r="E311" i="1"/>
  <c r="H311" i="1" s="1"/>
  <c r="F315" i="1"/>
  <c r="P445" i="1"/>
  <c r="Q445" i="1" s="1"/>
  <c r="Z445" i="1" s="1"/>
  <c r="S313" i="1"/>
  <c r="T313" i="1" s="1"/>
  <c r="K684" i="1"/>
  <c r="X684" i="1" s="1"/>
  <c r="M684" i="1"/>
  <c r="K681" i="1"/>
  <c r="M681" i="1"/>
  <c r="P682" i="1"/>
  <c r="N682" i="1"/>
  <c r="Y682" i="1" s="1"/>
  <c r="K685" i="1"/>
  <c r="X685" i="1" s="1"/>
  <c r="M685" i="1"/>
  <c r="K563" i="1"/>
  <c r="X563" i="1" s="1"/>
  <c r="M563" i="1"/>
  <c r="P444" i="1"/>
  <c r="N444" i="1"/>
  <c r="Y444" i="1" s="1"/>
  <c r="P561" i="1"/>
  <c r="N561" i="1"/>
  <c r="Y561" i="1" s="1"/>
  <c r="K560" i="1"/>
  <c r="M560" i="1"/>
  <c r="N562" i="1"/>
  <c r="Y562" i="1" s="1"/>
  <c r="P562" i="1"/>
  <c r="J565" i="1"/>
  <c r="K564" i="1"/>
  <c r="X564" i="1" s="1"/>
  <c r="M564" i="1"/>
  <c r="S310" i="1"/>
  <c r="E310" i="1" s="1"/>
  <c r="H310" i="1" s="1"/>
  <c r="Q310" i="1"/>
  <c r="Z310" i="1" s="1"/>
  <c r="F447" i="1"/>
  <c r="N446" i="1"/>
  <c r="Y446" i="1" s="1"/>
  <c r="P446" i="1"/>
  <c r="Q314" i="1"/>
  <c r="Z314" i="1" s="1"/>
  <c r="S314" i="1"/>
  <c r="T314" i="1" s="1"/>
  <c r="AA314" i="1" s="1"/>
  <c r="Q312" i="1"/>
  <c r="Z312" i="1" s="1"/>
  <c r="S312" i="1"/>
  <c r="T312" i="1" s="1"/>
  <c r="AA312" i="1" s="1"/>
  <c r="Q316" i="1"/>
  <c r="Z316" i="1" s="1"/>
  <c r="S316" i="1"/>
  <c r="T316" i="1" s="1"/>
  <c r="AA316" i="1" s="1"/>
  <c r="Q443" i="1" l="1"/>
  <c r="Z443" i="1" s="1"/>
  <c r="Q683" i="1"/>
  <c r="Z683" i="1" s="1"/>
  <c r="E313" i="1"/>
  <c r="H313" i="1" s="1"/>
  <c r="F313" i="1"/>
  <c r="AA313" i="1"/>
  <c r="S445" i="1"/>
  <c r="T445" i="1" s="1"/>
  <c r="AA445" i="1" s="1"/>
  <c r="E316" i="1"/>
  <c r="H316" i="1" s="1"/>
  <c r="F312" i="1"/>
  <c r="F683" i="1"/>
  <c r="E683" i="1"/>
  <c r="H683" i="1" s="1"/>
  <c r="P685" i="1"/>
  <c r="N685" i="1"/>
  <c r="Y685" i="1" s="1"/>
  <c r="Q682" i="1"/>
  <c r="Z682" i="1" s="1"/>
  <c r="S682" i="1"/>
  <c r="T682" i="1" s="1"/>
  <c r="AA682" i="1" s="1"/>
  <c r="P681" i="1"/>
  <c r="N681" i="1"/>
  <c r="Y681" i="1" s="1"/>
  <c r="N684" i="1"/>
  <c r="Y684" i="1" s="1"/>
  <c r="P684" i="1"/>
  <c r="E443" i="1"/>
  <c r="H443" i="1" s="1"/>
  <c r="Q444" i="1"/>
  <c r="Z444" i="1" s="1"/>
  <c r="S444" i="1"/>
  <c r="P564" i="1"/>
  <c r="N564" i="1"/>
  <c r="Y564" i="1" s="1"/>
  <c r="P563" i="1"/>
  <c r="N563" i="1"/>
  <c r="Y563" i="1" s="1"/>
  <c r="J566" i="1"/>
  <c r="K565" i="1"/>
  <c r="X565" i="1" s="1"/>
  <c r="M565" i="1"/>
  <c r="Q561" i="1"/>
  <c r="Z561" i="1" s="1"/>
  <c r="S561" i="1"/>
  <c r="F314" i="1"/>
  <c r="Q562" i="1"/>
  <c r="Z562" i="1" s="1"/>
  <c r="S562" i="1"/>
  <c r="T562" i="1" s="1"/>
  <c r="AA562" i="1" s="1"/>
  <c r="P560" i="1"/>
  <c r="N560" i="1"/>
  <c r="Y560" i="1" s="1"/>
  <c r="E314" i="1"/>
  <c r="H314" i="1" s="1"/>
  <c r="T310" i="1"/>
  <c r="S446" i="1"/>
  <c r="Q446" i="1"/>
  <c r="Z446" i="1" s="1"/>
  <c r="F316" i="1"/>
  <c r="E312" i="1"/>
  <c r="H312" i="1" s="1"/>
  <c r="F443" i="1" l="1"/>
  <c r="F445" i="1"/>
  <c r="E445" i="1"/>
  <c r="H445" i="1" s="1"/>
  <c r="F310" i="1"/>
  <c r="AA310" i="1"/>
  <c r="F682" i="1"/>
  <c r="F562" i="1"/>
  <c r="E562" i="1"/>
  <c r="H562" i="1" s="1"/>
  <c r="Q681" i="1"/>
  <c r="Z681" i="1" s="1"/>
  <c r="S681" i="1"/>
  <c r="E682" i="1"/>
  <c r="H682" i="1" s="1"/>
  <c r="S684" i="1"/>
  <c r="Q684" i="1"/>
  <c r="Z684" i="1" s="1"/>
  <c r="S685" i="1"/>
  <c r="Q685" i="1"/>
  <c r="Z685" i="1" s="1"/>
  <c r="P565" i="1"/>
  <c r="N565" i="1"/>
  <c r="Y565" i="1" s="1"/>
  <c r="S560" i="1"/>
  <c r="T560" i="1" s="1"/>
  <c r="AA560" i="1" s="1"/>
  <c r="Q560" i="1"/>
  <c r="Z560" i="1" s="1"/>
  <c r="J567" i="1"/>
  <c r="K566" i="1"/>
  <c r="X566" i="1" s="1"/>
  <c r="M566" i="1"/>
  <c r="Q563" i="1"/>
  <c r="Z563" i="1" s="1"/>
  <c r="S563" i="1"/>
  <c r="T563" i="1" s="1"/>
  <c r="AA563" i="1" s="1"/>
  <c r="Q564" i="1"/>
  <c r="Z564" i="1" s="1"/>
  <c r="S564" i="1"/>
  <c r="T444" i="1"/>
  <c r="E444" i="1"/>
  <c r="H444" i="1" s="1"/>
  <c r="T561" i="1"/>
  <c r="E561" i="1"/>
  <c r="H561" i="1" s="1"/>
  <c r="T446" i="1"/>
  <c r="E446" i="1"/>
  <c r="H446" i="1" s="1"/>
  <c r="E563" i="1" l="1"/>
  <c r="H563" i="1" s="1"/>
  <c r="F446" i="1"/>
  <c r="AA446" i="1"/>
  <c r="F561" i="1"/>
  <c r="AA561" i="1"/>
  <c r="F444" i="1"/>
  <c r="AA444" i="1"/>
  <c r="F560" i="1"/>
  <c r="E681" i="1"/>
  <c r="H681" i="1" s="1"/>
  <c r="T681" i="1"/>
  <c r="T685" i="1"/>
  <c r="E685" i="1"/>
  <c r="H685" i="1" s="1"/>
  <c r="F563" i="1"/>
  <c r="E684" i="1"/>
  <c r="H684" i="1" s="1"/>
  <c r="T684" i="1"/>
  <c r="E560" i="1"/>
  <c r="H560" i="1" s="1"/>
  <c r="P566" i="1"/>
  <c r="N566" i="1"/>
  <c r="Y566" i="1" s="1"/>
  <c r="K567" i="1"/>
  <c r="X567" i="1" s="1"/>
  <c r="J568" i="1"/>
  <c r="M567" i="1"/>
  <c r="Q565" i="1"/>
  <c r="Z565" i="1" s="1"/>
  <c r="S565" i="1"/>
  <c r="T564" i="1"/>
  <c r="E564" i="1"/>
  <c r="H564" i="1" s="1"/>
  <c r="F564" i="1" l="1"/>
  <c r="AA564" i="1"/>
  <c r="F685" i="1"/>
  <c r="AA685" i="1"/>
  <c r="F681" i="1"/>
  <c r="AA681" i="1"/>
  <c r="F684" i="1"/>
  <c r="AA684" i="1"/>
  <c r="E565" i="1"/>
  <c r="H565" i="1" s="1"/>
  <c r="T565" i="1"/>
  <c r="AA565" i="1" s="1"/>
  <c r="N567" i="1"/>
  <c r="Y567" i="1" s="1"/>
  <c r="P567" i="1"/>
  <c r="K568" i="1"/>
  <c r="X568" i="1" s="1"/>
  <c r="M568" i="1"/>
  <c r="S566" i="1"/>
  <c r="T566" i="1" s="1"/>
  <c r="AA566" i="1" s="1"/>
  <c r="Q566" i="1"/>
  <c r="E566" i="1"/>
  <c r="H566" i="1" s="1"/>
  <c r="F566" i="1" l="1"/>
  <c r="Z566" i="1"/>
  <c r="F565" i="1"/>
  <c r="N568" i="1"/>
  <c r="Y568" i="1" s="1"/>
  <c r="P568" i="1"/>
  <c r="Q567" i="1"/>
  <c r="Z567" i="1" s="1"/>
  <c r="S567" i="1"/>
  <c r="T567" i="1" s="1"/>
  <c r="E567" i="1"/>
  <c r="H567" i="1" s="1"/>
  <c r="F567" i="1" l="1"/>
  <c r="AA567" i="1"/>
  <c r="S568" i="1"/>
  <c r="T568" i="1" s="1"/>
  <c r="AA568" i="1" s="1"/>
  <c r="Q568" i="1"/>
  <c r="Z568" i="1" s="1"/>
  <c r="F568" i="1"/>
  <c r="E568" i="1"/>
  <c r="H568" i="1" s="1"/>
  <c r="J124" i="1" l="1"/>
  <c r="M124" i="1" s="1"/>
  <c r="P124" i="1" s="1"/>
  <c r="S124" i="1" s="1"/>
  <c r="M62" i="1"/>
  <c r="P62" i="1" s="1"/>
  <c r="K62" i="1"/>
  <c r="N62" i="1" s="1"/>
  <c r="Y62" i="1" s="1"/>
  <c r="G62" i="1"/>
  <c r="M58" i="1"/>
  <c r="P58" i="1" s="1"/>
  <c r="K58" i="1"/>
  <c r="M57" i="1"/>
  <c r="P57" i="1" s="1"/>
  <c r="K57" i="1"/>
  <c r="G57" i="1"/>
  <c r="G58" i="1"/>
  <c r="K61" i="1"/>
  <c r="M61" i="1"/>
  <c r="P61" i="1" s="1"/>
  <c r="G61" i="1"/>
  <c r="M60" i="1"/>
  <c r="P60" i="1" s="1"/>
  <c r="K60" i="1"/>
  <c r="K59" i="1"/>
  <c r="M59" i="1"/>
  <c r="N59" i="1" s="1"/>
  <c r="G59" i="1"/>
  <c r="G60" i="1"/>
  <c r="J177" i="1" l="1"/>
  <c r="K124" i="1"/>
  <c r="Q62" i="1"/>
  <c r="Z62" i="1" s="1"/>
  <c r="S62" i="1"/>
  <c r="T62" i="1" s="1"/>
  <c r="AA62" i="1" s="1"/>
  <c r="E62" i="1"/>
  <c r="H62" i="1" s="1"/>
  <c r="N57" i="1"/>
  <c r="S57" i="1"/>
  <c r="T57" i="1" s="1"/>
  <c r="AA57" i="1" s="1"/>
  <c r="Q57" i="1"/>
  <c r="N58" i="1"/>
  <c r="S58" i="1"/>
  <c r="T58" i="1" s="1"/>
  <c r="AA58" i="1" s="1"/>
  <c r="Q58" i="1"/>
  <c r="P59" i="1"/>
  <c r="Q59" i="1" s="1"/>
  <c r="N61" i="1"/>
  <c r="S61" i="1"/>
  <c r="T61" i="1" s="1"/>
  <c r="Q61" i="1"/>
  <c r="Q60" i="1"/>
  <c r="Z60" i="1" s="1"/>
  <c r="S60" i="1"/>
  <c r="T60" i="1" s="1"/>
  <c r="AA60" i="1" s="1"/>
  <c r="N60" i="1"/>
  <c r="F57" i="1" l="1"/>
  <c r="F62" i="1"/>
  <c r="M177" i="1"/>
  <c r="P177" i="1" s="1"/>
  <c r="S177" i="1" s="1"/>
  <c r="J222" i="1"/>
  <c r="M222" i="1" s="1"/>
  <c r="P222" i="1" s="1"/>
  <c r="S222" i="1" s="1"/>
  <c r="N124" i="1"/>
  <c r="K177" i="1"/>
  <c r="F58" i="1"/>
  <c r="E58" i="1"/>
  <c r="H58" i="1" s="1"/>
  <c r="S59" i="1"/>
  <c r="T59" i="1" s="1"/>
  <c r="F59" i="1" s="1"/>
  <c r="F61" i="1"/>
  <c r="E61" i="1"/>
  <c r="H61" i="1" s="1"/>
  <c r="E57" i="1"/>
  <c r="H57" i="1" s="1"/>
  <c r="E60" i="1"/>
  <c r="H60" i="1" s="1"/>
  <c r="F60" i="1"/>
  <c r="Q124" i="1" l="1"/>
  <c r="Y124" i="1"/>
  <c r="E59" i="1"/>
  <c r="H59" i="1" s="1"/>
  <c r="N177" i="1"/>
  <c r="K222" i="1"/>
  <c r="N222" i="1" s="1"/>
  <c r="K213" i="1"/>
  <c r="M213" i="1"/>
  <c r="K214" i="1"/>
  <c r="M214" i="1"/>
  <c r="K215" i="1"/>
  <c r="M215" i="1"/>
  <c r="K168" i="1"/>
  <c r="M168" i="1"/>
  <c r="K169" i="1"/>
  <c r="M169" i="1"/>
  <c r="K170" i="1"/>
  <c r="M170" i="1"/>
  <c r="K115" i="1"/>
  <c r="M115" i="1"/>
  <c r="K116" i="1"/>
  <c r="M116" i="1"/>
  <c r="K117" i="1"/>
  <c r="M117" i="1"/>
  <c r="M52" i="1"/>
  <c r="M54" i="1"/>
  <c r="M55" i="1"/>
  <c r="K52" i="1"/>
  <c r="K54" i="1"/>
  <c r="K55" i="1"/>
  <c r="N215" i="1" l="1"/>
  <c r="Y215" i="1" s="1"/>
  <c r="X215" i="1"/>
  <c r="N214" i="1"/>
  <c r="N115" i="1"/>
  <c r="N52" i="1"/>
  <c r="X170" i="1"/>
  <c r="N213" i="1"/>
  <c r="Y213" i="1" s="1"/>
  <c r="N116" i="1"/>
  <c r="N170" i="1"/>
  <c r="Y170" i="1" s="1"/>
  <c r="N55" i="1"/>
  <c r="N169" i="1"/>
  <c r="N54" i="1"/>
  <c r="N168" i="1"/>
  <c r="N117" i="1"/>
  <c r="Y117" i="1" s="1"/>
  <c r="X117" i="1"/>
  <c r="Q177" i="1"/>
  <c r="Y177" i="1"/>
  <c r="Q222" i="1"/>
  <c r="Y222" i="1"/>
  <c r="T124" i="1"/>
  <c r="AA124" i="1" s="1"/>
  <c r="Z124" i="1"/>
  <c r="P169" i="1"/>
  <c r="S169" i="1" s="1"/>
  <c r="T169" i="1" s="1"/>
  <c r="AA169" i="1" s="1"/>
  <c r="P117" i="1"/>
  <c r="Q117" i="1" s="1"/>
  <c r="Z117" i="1" s="1"/>
  <c r="P116" i="1"/>
  <c r="S116" i="1" s="1"/>
  <c r="T116" i="1" s="1"/>
  <c r="AA116" i="1" s="1"/>
  <c r="P213" i="1"/>
  <c r="Q213" i="1" s="1"/>
  <c r="Z213" i="1" s="1"/>
  <c r="P115" i="1"/>
  <c r="P214" i="1"/>
  <c r="S214" i="1" s="1"/>
  <c r="T214" i="1" s="1"/>
  <c r="AA214" i="1" s="1"/>
  <c r="P54" i="1"/>
  <c r="Q54" i="1" s="1"/>
  <c r="Z54" i="1" s="1"/>
  <c r="P55" i="1"/>
  <c r="Q55" i="1" s="1"/>
  <c r="P52" i="1"/>
  <c r="Q52" i="1" s="1"/>
  <c r="Z52" i="1" s="1"/>
  <c r="P215" i="1"/>
  <c r="P170" i="1"/>
  <c r="P168" i="1"/>
  <c r="E214" i="1" l="1"/>
  <c r="H214" i="1" s="1"/>
  <c r="E116" i="1"/>
  <c r="H116" i="1" s="1"/>
  <c r="E169" i="1"/>
  <c r="H169" i="1" s="1"/>
  <c r="Q214" i="1"/>
  <c r="Z214" i="1" s="1"/>
  <c r="S117" i="1"/>
  <c r="E117" i="1" s="1"/>
  <c r="H117" i="1" s="1"/>
  <c r="Q116" i="1"/>
  <c r="Z116" i="1" s="1"/>
  <c r="T222" i="1"/>
  <c r="AA222" i="1" s="1"/>
  <c r="Z222" i="1"/>
  <c r="T177" i="1"/>
  <c r="AA177" i="1" s="1"/>
  <c r="Z177" i="1"/>
  <c r="S54" i="1"/>
  <c r="Q169" i="1"/>
  <c r="Z169" i="1" s="1"/>
  <c r="S55" i="1"/>
  <c r="T55" i="1" s="1"/>
  <c r="F55" i="1" s="1"/>
  <c r="S213" i="1"/>
  <c r="Q115" i="1"/>
  <c r="S115" i="1"/>
  <c r="E115" i="1" s="1"/>
  <c r="H115" i="1" s="1"/>
  <c r="S52" i="1"/>
  <c r="S215" i="1"/>
  <c r="T215" i="1" s="1"/>
  <c r="AA215" i="1" s="1"/>
  <c r="Q215" i="1"/>
  <c r="F215" i="1" s="1"/>
  <c r="Q168" i="1"/>
  <c r="Z168" i="1" s="1"/>
  <c r="S168" i="1"/>
  <c r="T168" i="1" s="1"/>
  <c r="AA168" i="1" s="1"/>
  <c r="Q170" i="1"/>
  <c r="Z170" i="1" s="1"/>
  <c r="S170" i="1"/>
  <c r="T170" i="1" s="1"/>
  <c r="AA170" i="1" s="1"/>
  <c r="T117" i="1" l="1"/>
  <c r="F117" i="1" s="1"/>
  <c r="F214" i="1"/>
  <c r="E170" i="1"/>
  <c r="H170" i="1" s="1"/>
  <c r="F169" i="1"/>
  <c r="T52" i="1"/>
  <c r="F52" i="1" s="1"/>
  <c r="E52" i="1"/>
  <c r="H52" i="1" s="1"/>
  <c r="E215" i="1"/>
  <c r="H215" i="1" s="1"/>
  <c r="T54" i="1"/>
  <c r="E54" i="1"/>
  <c r="H54" i="1" s="1"/>
  <c r="T213" i="1"/>
  <c r="F213" i="1" s="1"/>
  <c r="E213" i="1"/>
  <c r="H213" i="1" s="1"/>
  <c r="F170" i="1"/>
  <c r="E168" i="1"/>
  <c r="H168" i="1" s="1"/>
  <c r="F168" i="1"/>
  <c r="Z115" i="1"/>
  <c r="E55" i="1"/>
  <c r="H55" i="1" s="1"/>
  <c r="F116" i="1"/>
  <c r="AA52" i="1"/>
  <c r="AA213" i="1"/>
  <c r="Z215" i="1"/>
  <c r="AA117" i="1"/>
  <c r="T115" i="1"/>
  <c r="F115" i="1" s="1"/>
  <c r="AA54" i="1" l="1"/>
  <c r="F54" i="1"/>
  <c r="AA115" i="1"/>
  <c r="J364" i="1"/>
  <c r="J481" i="1" s="1"/>
  <c r="J602" i="1" s="1"/>
  <c r="J365" i="1"/>
  <c r="J482" i="1" s="1"/>
  <c r="J603" i="1" s="1"/>
  <c r="J366" i="1"/>
  <c r="J483" i="1" s="1"/>
  <c r="J604" i="1" s="1"/>
  <c r="J367" i="1"/>
  <c r="J484" i="1" s="1"/>
  <c r="J605" i="1" s="1"/>
  <c r="J368" i="1"/>
  <c r="J485" i="1" s="1"/>
  <c r="J606" i="1" s="1"/>
  <c r="J369" i="1"/>
  <c r="J486" i="1" s="1"/>
  <c r="J607" i="1" s="1"/>
  <c r="M607" i="1" s="1"/>
  <c r="P607" i="1" s="1"/>
  <c r="J370" i="1"/>
  <c r="J487" i="1" s="1"/>
  <c r="J608" i="1" s="1"/>
  <c r="M608" i="1" s="1"/>
  <c r="P608" i="1" s="1"/>
  <c r="J371" i="1"/>
  <c r="J488" i="1" s="1"/>
  <c r="J609" i="1" s="1"/>
  <c r="M609" i="1" s="1"/>
  <c r="P609" i="1" s="1"/>
  <c r="J372" i="1"/>
  <c r="J489" i="1" s="1"/>
  <c r="J373" i="1"/>
  <c r="J490" i="1" s="1"/>
  <c r="J611" i="1" s="1"/>
  <c r="M611" i="1" s="1"/>
  <c r="P611" i="1" s="1"/>
  <c r="J374" i="1"/>
  <c r="J491" i="1" s="1"/>
  <c r="J612" i="1" s="1"/>
  <c r="M612" i="1" s="1"/>
  <c r="P612" i="1" s="1"/>
  <c r="J375" i="1"/>
  <c r="J492" i="1" s="1"/>
  <c r="J613" i="1" s="1"/>
  <c r="M613" i="1" s="1"/>
  <c r="P613" i="1" s="1"/>
  <c r="J376" i="1"/>
  <c r="J493" i="1" s="1"/>
  <c r="J614" i="1" s="1"/>
  <c r="M614" i="1" s="1"/>
  <c r="P614" i="1" s="1"/>
  <c r="J377" i="1"/>
  <c r="J494" i="1" s="1"/>
  <c r="J615" i="1" s="1"/>
  <c r="M615" i="1" s="1"/>
  <c r="P615" i="1" s="1"/>
  <c r="J378" i="1"/>
  <c r="J495" i="1" s="1"/>
  <c r="J616" i="1" s="1"/>
  <c r="M616" i="1" s="1"/>
  <c r="P616" i="1" s="1"/>
  <c r="J379" i="1"/>
  <c r="J496" i="1" s="1"/>
  <c r="J617" i="1" s="1"/>
  <c r="M617" i="1" s="1"/>
  <c r="P617" i="1" s="1"/>
  <c r="J380" i="1"/>
  <c r="J497" i="1" s="1"/>
  <c r="J618" i="1" s="1"/>
  <c r="M618" i="1" s="1"/>
  <c r="P618" i="1" s="1"/>
  <c r="J381" i="1"/>
  <c r="J498" i="1" s="1"/>
  <c r="J619" i="1" s="1"/>
  <c r="M619" i="1" s="1"/>
  <c r="P619" i="1" s="1"/>
  <c r="J382" i="1"/>
  <c r="J499" i="1" s="1"/>
  <c r="J620" i="1" s="1"/>
  <c r="M620" i="1" s="1"/>
  <c r="P620" i="1" s="1"/>
  <c r="J383" i="1"/>
  <c r="J500" i="1" s="1"/>
  <c r="J621" i="1" s="1"/>
  <c r="M621" i="1" s="1"/>
  <c r="P621" i="1" s="1"/>
  <c r="J384" i="1"/>
  <c r="J501" i="1" s="1"/>
  <c r="J622" i="1" s="1"/>
  <c r="M622" i="1" s="1"/>
  <c r="P622" i="1" s="1"/>
  <c r="J385" i="1"/>
  <c r="J502" i="1" s="1"/>
  <c r="J623" i="1" s="1"/>
  <c r="M623" i="1" s="1"/>
  <c r="P623" i="1" s="1"/>
  <c r="J386" i="1"/>
  <c r="J503" i="1" s="1"/>
  <c r="J624" i="1" s="1"/>
  <c r="M624" i="1" s="1"/>
  <c r="P624" i="1" s="1"/>
  <c r="J387" i="1"/>
  <c r="J504" i="1" s="1"/>
  <c r="J625" i="1" s="1"/>
  <c r="M625" i="1" s="1"/>
  <c r="P625" i="1" s="1"/>
  <c r="J388" i="1"/>
  <c r="J505" i="1" s="1"/>
  <c r="J626" i="1" s="1"/>
  <c r="M626" i="1" s="1"/>
  <c r="P626" i="1" s="1"/>
  <c r="J389" i="1"/>
  <c r="J506" i="1" s="1"/>
  <c r="J627" i="1" s="1"/>
  <c r="M627" i="1" s="1"/>
  <c r="P627" i="1" s="1"/>
  <c r="J390" i="1"/>
  <c r="J507" i="1" s="1"/>
  <c r="J628" i="1" s="1"/>
  <c r="M628" i="1" s="1"/>
  <c r="P628" i="1" s="1"/>
  <c r="J391" i="1"/>
  <c r="J508" i="1" s="1"/>
  <c r="J629" i="1" s="1"/>
  <c r="M629" i="1" s="1"/>
  <c r="P629" i="1" s="1"/>
  <c r="J392" i="1"/>
  <c r="J509" i="1" s="1"/>
  <c r="J630" i="1" s="1"/>
  <c r="M630" i="1" s="1"/>
  <c r="P630" i="1" s="1"/>
  <c r="J393" i="1"/>
  <c r="J510" i="1" s="1"/>
  <c r="J631" i="1" s="1"/>
  <c r="M631" i="1" s="1"/>
  <c r="P631" i="1" s="1"/>
  <c r="J394" i="1"/>
  <c r="J511" i="1" s="1"/>
  <c r="J632" i="1" s="1"/>
  <c r="M632" i="1" s="1"/>
  <c r="P632" i="1" s="1"/>
  <c r="J395" i="1"/>
  <c r="J512" i="1" s="1"/>
  <c r="J633" i="1" s="1"/>
  <c r="M633" i="1" s="1"/>
  <c r="P633" i="1" s="1"/>
  <c r="J396" i="1"/>
  <c r="J513" i="1" s="1"/>
  <c r="J634" i="1" s="1"/>
  <c r="J397" i="1"/>
  <c r="J514" i="1" s="1"/>
  <c r="J635" i="1" s="1"/>
  <c r="J398" i="1"/>
  <c r="J515" i="1" s="1"/>
  <c r="J636" i="1" s="1"/>
  <c r="J399" i="1"/>
  <c r="J516" i="1" s="1"/>
  <c r="J637" i="1" s="1"/>
  <c r="J400" i="1"/>
  <c r="J517" i="1" s="1"/>
  <c r="J638" i="1" s="1"/>
  <c r="J401" i="1"/>
  <c r="J518" i="1" s="1"/>
  <c r="J639" i="1" s="1"/>
  <c r="J402" i="1"/>
  <c r="J519" i="1" s="1"/>
  <c r="J640" i="1" s="1"/>
  <c r="J403" i="1"/>
  <c r="J520" i="1" s="1"/>
  <c r="J641" i="1" s="1"/>
  <c r="J404" i="1"/>
  <c r="J521" i="1" s="1"/>
  <c r="J642" i="1" s="1"/>
  <c r="J405" i="1"/>
  <c r="J522" i="1" s="1"/>
  <c r="J643" i="1" s="1"/>
  <c r="J406" i="1"/>
  <c r="J523" i="1" s="1"/>
  <c r="J644" i="1" s="1"/>
  <c r="J407" i="1"/>
  <c r="J524" i="1" s="1"/>
  <c r="J645" i="1" s="1"/>
  <c r="J408" i="1"/>
  <c r="J525" i="1" s="1"/>
  <c r="J646" i="1" s="1"/>
  <c r="J409" i="1"/>
  <c r="J526" i="1" s="1"/>
  <c r="J647" i="1" s="1"/>
  <c r="J410" i="1"/>
  <c r="J527" i="1" s="1"/>
  <c r="J648" i="1" s="1"/>
  <c r="J411" i="1"/>
  <c r="J528" i="1" s="1"/>
  <c r="J649" i="1" s="1"/>
  <c r="J412" i="1"/>
  <c r="J529" i="1" s="1"/>
  <c r="J650" i="1" s="1"/>
  <c r="J413" i="1"/>
  <c r="J530" i="1" s="1"/>
  <c r="J651" i="1" s="1"/>
  <c r="J414" i="1"/>
  <c r="J531" i="1" s="1"/>
  <c r="J652" i="1" s="1"/>
  <c r="J415" i="1"/>
  <c r="J532" i="1" s="1"/>
  <c r="J653" i="1" s="1"/>
  <c r="J416" i="1"/>
  <c r="J533" i="1" s="1"/>
  <c r="J654" i="1" s="1"/>
  <c r="J417" i="1"/>
  <c r="J534" i="1" s="1"/>
  <c r="J655" i="1" s="1"/>
  <c r="J418" i="1"/>
  <c r="J535" i="1" s="1"/>
  <c r="J656" i="1" s="1"/>
  <c r="J419" i="1"/>
  <c r="J536" i="1" s="1"/>
  <c r="J657" i="1" s="1"/>
  <c r="J420" i="1"/>
  <c r="J537" i="1" s="1"/>
  <c r="J658" i="1" s="1"/>
  <c r="J421" i="1"/>
  <c r="J538" i="1" s="1"/>
  <c r="J659" i="1" s="1"/>
  <c r="J422" i="1"/>
  <c r="J539" i="1" s="1"/>
  <c r="J660" i="1" s="1"/>
  <c r="J423" i="1"/>
  <c r="J540" i="1" s="1"/>
  <c r="J661" i="1" s="1"/>
  <c r="J424" i="1"/>
  <c r="J541" i="1" s="1"/>
  <c r="J662" i="1" s="1"/>
  <c r="J425" i="1"/>
  <c r="J542" i="1" s="1"/>
  <c r="J663" i="1" s="1"/>
  <c r="J426" i="1"/>
  <c r="J543" i="1" s="1"/>
  <c r="J664" i="1" s="1"/>
  <c r="J427" i="1"/>
  <c r="J544" i="1" s="1"/>
  <c r="J665" i="1" s="1"/>
  <c r="J428" i="1"/>
  <c r="J545" i="1" s="1"/>
  <c r="J666" i="1" s="1"/>
  <c r="J429" i="1"/>
  <c r="J546" i="1" s="1"/>
  <c r="J667" i="1" s="1"/>
  <c r="J430" i="1"/>
  <c r="J547" i="1" s="1"/>
  <c r="J668" i="1" s="1"/>
  <c r="J431" i="1"/>
  <c r="J548" i="1" s="1"/>
  <c r="J669" i="1" s="1"/>
  <c r="J432" i="1"/>
  <c r="J549" i="1" s="1"/>
  <c r="J670" i="1" s="1"/>
  <c r="J433" i="1"/>
  <c r="J550" i="1" s="1"/>
  <c r="J671" i="1" s="1"/>
  <c r="J434" i="1"/>
  <c r="J551" i="1" s="1"/>
  <c r="J672" i="1" s="1"/>
  <c r="J435" i="1"/>
  <c r="J552" i="1" s="1"/>
  <c r="J673" i="1" s="1"/>
  <c r="J436" i="1"/>
  <c r="J553" i="1" s="1"/>
  <c r="J674" i="1" s="1"/>
  <c r="J437" i="1"/>
  <c r="J554" i="1" s="1"/>
  <c r="J675" i="1" s="1"/>
  <c r="J438" i="1"/>
  <c r="J555" i="1" s="1"/>
  <c r="J676" i="1" s="1"/>
  <c r="J439" i="1"/>
  <c r="J556" i="1" s="1"/>
  <c r="J677" i="1" s="1"/>
  <c r="J440" i="1"/>
  <c r="J557" i="1" s="1"/>
  <c r="J678" i="1" s="1"/>
  <c r="J448" i="1"/>
  <c r="J569" i="1" s="1"/>
  <c r="J686" i="1" s="1"/>
  <c r="J449" i="1"/>
  <c r="J570" i="1" s="1"/>
  <c r="J687" i="1" s="1"/>
  <c r="J450" i="1"/>
  <c r="J571" i="1" s="1"/>
  <c r="J688" i="1" s="1"/>
  <c r="J451" i="1"/>
  <c r="J572" i="1" s="1"/>
  <c r="J689" i="1" s="1"/>
  <c r="J452" i="1"/>
  <c r="J573" i="1" s="1"/>
  <c r="J690" i="1" s="1"/>
  <c r="J453" i="1"/>
  <c r="J574" i="1" s="1"/>
  <c r="J691" i="1" s="1"/>
  <c r="J454" i="1"/>
  <c r="J575" i="1" s="1"/>
  <c r="J692" i="1" s="1"/>
  <c r="J455" i="1"/>
  <c r="J576" i="1" s="1"/>
  <c r="J693" i="1" s="1"/>
  <c r="J456" i="1"/>
  <c r="J577" i="1" s="1"/>
  <c r="J694" i="1" s="1"/>
  <c r="J457" i="1"/>
  <c r="J578" i="1" s="1"/>
  <c r="J695" i="1" s="1"/>
  <c r="J458" i="1"/>
  <c r="J579" i="1" s="1"/>
  <c r="J696" i="1" s="1"/>
  <c r="J459" i="1"/>
  <c r="J580" i="1" s="1"/>
  <c r="J697" i="1" s="1"/>
  <c r="J460" i="1"/>
  <c r="J581" i="1" s="1"/>
  <c r="J698" i="1" s="1"/>
  <c r="J461" i="1"/>
  <c r="J582" i="1" s="1"/>
  <c r="J699" i="1" s="1"/>
  <c r="J462" i="1"/>
  <c r="J583" i="1" s="1"/>
  <c r="J700" i="1" s="1"/>
  <c r="J463" i="1"/>
  <c r="J584" i="1" s="1"/>
  <c r="J701" i="1" s="1"/>
  <c r="J464" i="1"/>
  <c r="J585" i="1" s="1"/>
  <c r="J702" i="1" s="1"/>
  <c r="J465" i="1"/>
  <c r="J586" i="1" s="1"/>
  <c r="J703" i="1" s="1"/>
  <c r="J466" i="1"/>
  <c r="J587" i="1" s="1"/>
  <c r="J704" i="1" s="1"/>
  <c r="J467" i="1"/>
  <c r="J588" i="1" s="1"/>
  <c r="J705" i="1" s="1"/>
  <c r="J468" i="1"/>
  <c r="J589" i="1" s="1"/>
  <c r="J706" i="1" s="1"/>
  <c r="J469" i="1"/>
  <c r="J590" i="1" s="1"/>
  <c r="J707" i="1" s="1"/>
  <c r="J470" i="1"/>
  <c r="J591" i="1" s="1"/>
  <c r="J708" i="1" s="1"/>
  <c r="J471" i="1"/>
  <c r="J592" i="1" s="1"/>
  <c r="J709" i="1" s="1"/>
  <c r="J472" i="1"/>
  <c r="J593" i="1" s="1"/>
  <c r="J710" i="1" s="1"/>
  <c r="J473" i="1"/>
  <c r="J594" i="1" s="1"/>
  <c r="J711" i="1" s="1"/>
  <c r="J474" i="1"/>
  <c r="J595" i="1" s="1"/>
  <c r="J712" i="1" s="1"/>
  <c r="J475" i="1"/>
  <c r="J596" i="1" s="1"/>
  <c r="J713" i="1" s="1"/>
  <c r="J476" i="1"/>
  <c r="J597" i="1" s="1"/>
  <c r="J714" i="1" s="1"/>
  <c r="J477" i="1"/>
  <c r="J598" i="1" s="1"/>
  <c r="J715" i="1" s="1"/>
  <c r="J363" i="1"/>
  <c r="J480" i="1" s="1"/>
  <c r="J601" i="1" s="1"/>
  <c r="J76" i="1"/>
  <c r="J137" i="1" s="1"/>
  <c r="J78" i="1"/>
  <c r="J139" i="1" s="1"/>
  <c r="J80" i="1"/>
  <c r="J141" i="1" s="1"/>
  <c r="J82" i="1"/>
  <c r="J143" i="1" s="1"/>
  <c r="J84" i="1"/>
  <c r="J145" i="1" s="1"/>
  <c r="J86" i="1"/>
  <c r="J88" i="1"/>
  <c r="J148" i="1" s="1"/>
  <c r="J90" i="1"/>
  <c r="J92" i="1"/>
  <c r="J150" i="1" s="1"/>
  <c r="J93" i="1"/>
  <c r="J151" i="1" s="1"/>
  <c r="J95" i="1"/>
  <c r="J152" i="1" s="1"/>
  <c r="J153" i="1"/>
  <c r="J99" i="1"/>
  <c r="J154" i="1" s="1"/>
  <c r="J101" i="1"/>
  <c r="J155" i="1" s="1"/>
  <c r="J102" i="1"/>
  <c r="J156" i="1" s="1"/>
  <c r="J104" i="1"/>
  <c r="J158" i="1" s="1"/>
  <c r="J105" i="1"/>
  <c r="J161" i="1"/>
  <c r="J108" i="1"/>
  <c r="J162" i="1" s="1"/>
  <c r="J109" i="1"/>
  <c r="J163" i="1" s="1"/>
  <c r="J111" i="1"/>
  <c r="J164" i="1" s="1"/>
  <c r="J113" i="1"/>
  <c r="J166" i="1" s="1"/>
  <c r="J114" i="1"/>
  <c r="J167" i="1" s="1"/>
  <c r="J74" i="1"/>
  <c r="J135" i="1" s="1"/>
  <c r="J160" i="1" l="1"/>
  <c r="J147" i="1"/>
  <c r="J610" i="1"/>
  <c r="M610" i="1" s="1"/>
  <c r="P610" i="1" s="1"/>
  <c r="M489" i="1"/>
  <c r="J149" i="1"/>
  <c r="K149" i="1" s="1"/>
  <c r="J196" i="1" s="1"/>
  <c r="M196" i="1" s="1"/>
  <c r="M90" i="1"/>
  <c r="P90" i="1" s="1"/>
  <c r="S90" i="1" s="1"/>
  <c r="M715" i="1"/>
  <c r="P715" i="1" s="1"/>
  <c r="S715" i="1" s="1"/>
  <c r="M714" i="1"/>
  <c r="P714" i="1" s="1"/>
  <c r="S714" i="1" s="1"/>
  <c r="M713" i="1"/>
  <c r="P713" i="1" s="1"/>
  <c r="S713" i="1" s="1"/>
  <c r="M712" i="1"/>
  <c r="P712" i="1" s="1"/>
  <c r="S712" i="1" s="1"/>
  <c r="M711" i="1"/>
  <c r="M710" i="1"/>
  <c r="P710" i="1" s="1"/>
  <c r="S710" i="1" s="1"/>
  <c r="M709" i="1"/>
  <c r="P709" i="1" s="1"/>
  <c r="S709" i="1" s="1"/>
  <c r="M708" i="1"/>
  <c r="P708" i="1" s="1"/>
  <c r="S708" i="1" s="1"/>
  <c r="M707" i="1"/>
  <c r="P707" i="1" s="1"/>
  <c r="S707" i="1" s="1"/>
  <c r="M706" i="1"/>
  <c r="P706" i="1" s="1"/>
  <c r="S706" i="1" s="1"/>
  <c r="M705" i="1"/>
  <c r="M704" i="1"/>
  <c r="P704" i="1" s="1"/>
  <c r="S704" i="1" s="1"/>
  <c r="M703" i="1"/>
  <c r="P703" i="1" s="1"/>
  <c r="S703" i="1" s="1"/>
  <c r="M702" i="1"/>
  <c r="P702" i="1" s="1"/>
  <c r="S702" i="1" s="1"/>
  <c r="M701" i="1"/>
  <c r="P701" i="1" s="1"/>
  <c r="S701" i="1" s="1"/>
  <c r="M700" i="1"/>
  <c r="P700" i="1" s="1"/>
  <c r="S700" i="1" s="1"/>
  <c r="M699" i="1"/>
  <c r="M698" i="1"/>
  <c r="P698" i="1" s="1"/>
  <c r="S698" i="1" s="1"/>
  <c r="M697" i="1"/>
  <c r="P697" i="1" s="1"/>
  <c r="S697" i="1" s="1"/>
  <c r="M696" i="1"/>
  <c r="P696" i="1" s="1"/>
  <c r="S696" i="1" s="1"/>
  <c r="M695" i="1"/>
  <c r="M694" i="1"/>
  <c r="P694" i="1" s="1"/>
  <c r="S694" i="1" s="1"/>
  <c r="M693" i="1"/>
  <c r="P693" i="1" s="1"/>
  <c r="S693" i="1" s="1"/>
  <c r="M692" i="1"/>
  <c r="P692" i="1" s="1"/>
  <c r="S692" i="1" s="1"/>
  <c r="M691" i="1"/>
  <c r="M690" i="1"/>
  <c r="M689" i="1"/>
  <c r="P689" i="1" s="1"/>
  <c r="S689" i="1" s="1"/>
  <c r="M688" i="1"/>
  <c r="M687" i="1"/>
  <c r="M686" i="1"/>
  <c r="M678" i="1"/>
  <c r="P678" i="1" s="1"/>
  <c r="S678" i="1" s="1"/>
  <c r="M677" i="1"/>
  <c r="M676" i="1"/>
  <c r="M675" i="1"/>
  <c r="M674" i="1"/>
  <c r="P674" i="1" s="1"/>
  <c r="S674" i="1" s="1"/>
  <c r="M673" i="1"/>
  <c r="M672" i="1"/>
  <c r="P672" i="1" s="1"/>
  <c r="S672" i="1" s="1"/>
  <c r="M671" i="1"/>
  <c r="M670" i="1"/>
  <c r="P670" i="1" s="1"/>
  <c r="S670" i="1" s="1"/>
  <c r="M669" i="1"/>
  <c r="M668" i="1"/>
  <c r="P668" i="1" s="1"/>
  <c r="M667" i="1"/>
  <c r="M666" i="1"/>
  <c r="P666" i="1" s="1"/>
  <c r="S666" i="1" s="1"/>
  <c r="M665" i="1"/>
  <c r="M664" i="1"/>
  <c r="P664" i="1" s="1"/>
  <c r="S664" i="1" s="1"/>
  <c r="M663" i="1"/>
  <c r="M662" i="1"/>
  <c r="P662" i="1" s="1"/>
  <c r="S662" i="1" s="1"/>
  <c r="M661" i="1"/>
  <c r="M660" i="1"/>
  <c r="P660" i="1" s="1"/>
  <c r="S660" i="1" s="1"/>
  <c r="M659" i="1"/>
  <c r="M658" i="1"/>
  <c r="N658" i="1" s="1"/>
  <c r="Y658" i="1" s="1"/>
  <c r="M657" i="1"/>
  <c r="M656" i="1"/>
  <c r="N656" i="1" s="1"/>
  <c r="Y656" i="1" s="1"/>
  <c r="M655" i="1"/>
  <c r="M654" i="1"/>
  <c r="P654" i="1" s="1"/>
  <c r="S654" i="1" s="1"/>
  <c r="M653" i="1"/>
  <c r="M652" i="1"/>
  <c r="M651" i="1"/>
  <c r="M650" i="1"/>
  <c r="P650" i="1" s="1"/>
  <c r="S650" i="1" s="1"/>
  <c r="M649" i="1"/>
  <c r="M648" i="1"/>
  <c r="N648" i="1" s="1"/>
  <c r="M647" i="1"/>
  <c r="M646" i="1"/>
  <c r="P646" i="1" s="1"/>
  <c r="S646" i="1" s="1"/>
  <c r="M645" i="1"/>
  <c r="M644" i="1"/>
  <c r="P644" i="1" s="1"/>
  <c r="M643" i="1"/>
  <c r="M642" i="1"/>
  <c r="P642" i="1" s="1"/>
  <c r="S642" i="1" s="1"/>
  <c r="M641" i="1"/>
  <c r="M640" i="1"/>
  <c r="P640" i="1" s="1"/>
  <c r="S640" i="1" s="1"/>
  <c r="M639" i="1"/>
  <c r="M638" i="1"/>
  <c r="M637" i="1"/>
  <c r="M636" i="1"/>
  <c r="P636" i="1" s="1"/>
  <c r="S636" i="1" s="1"/>
  <c r="M635" i="1"/>
  <c r="M634" i="1"/>
  <c r="N634" i="1" s="1"/>
  <c r="Y634" i="1" s="1"/>
  <c r="N632" i="1"/>
  <c r="Y632" i="1" s="1"/>
  <c r="S626" i="1"/>
  <c r="S624" i="1"/>
  <c r="S622" i="1"/>
  <c r="S618" i="1"/>
  <c r="S616" i="1"/>
  <c r="S614" i="1"/>
  <c r="S612" i="1"/>
  <c r="N610" i="1"/>
  <c r="Y610" i="1" s="1"/>
  <c r="N608" i="1"/>
  <c r="Y608" i="1" s="1"/>
  <c r="M606" i="1"/>
  <c r="P606" i="1" s="1"/>
  <c r="M605" i="1"/>
  <c r="M604" i="1"/>
  <c r="M603" i="1"/>
  <c r="M602" i="1"/>
  <c r="P602" i="1" s="1"/>
  <c r="S602" i="1" s="1"/>
  <c r="M601" i="1"/>
  <c r="M598" i="1"/>
  <c r="P598" i="1" s="1"/>
  <c r="S598" i="1" s="1"/>
  <c r="M597" i="1"/>
  <c r="M596" i="1"/>
  <c r="P596" i="1" s="1"/>
  <c r="M595" i="1"/>
  <c r="M594" i="1"/>
  <c r="P594" i="1" s="1"/>
  <c r="S594" i="1" s="1"/>
  <c r="M593" i="1"/>
  <c r="M592" i="1"/>
  <c r="P592" i="1" s="1"/>
  <c r="S592" i="1" s="1"/>
  <c r="M591" i="1"/>
  <c r="M590" i="1"/>
  <c r="P590" i="1" s="1"/>
  <c r="S590" i="1" s="1"/>
  <c r="M589" i="1"/>
  <c r="M588" i="1"/>
  <c r="P588" i="1" s="1"/>
  <c r="S588" i="1" s="1"/>
  <c r="M587" i="1"/>
  <c r="M586" i="1"/>
  <c r="N586" i="1" s="1"/>
  <c r="Y586" i="1" s="1"/>
  <c r="M585" i="1"/>
  <c r="M584" i="1"/>
  <c r="N584" i="1" s="1"/>
  <c r="Y584" i="1" s="1"/>
  <c r="M583" i="1"/>
  <c r="M582" i="1"/>
  <c r="P582" i="1" s="1"/>
  <c r="M581" i="1"/>
  <c r="M580" i="1"/>
  <c r="M579" i="1"/>
  <c r="M578" i="1"/>
  <c r="P578" i="1" s="1"/>
  <c r="S578" i="1" s="1"/>
  <c r="M577" i="1"/>
  <c r="M576" i="1"/>
  <c r="P576" i="1" s="1"/>
  <c r="S576" i="1" s="1"/>
  <c r="M575" i="1"/>
  <c r="M574" i="1"/>
  <c r="P574" i="1" s="1"/>
  <c r="S574" i="1" s="1"/>
  <c r="M573" i="1"/>
  <c r="M572" i="1"/>
  <c r="P572" i="1" s="1"/>
  <c r="M571" i="1"/>
  <c r="M570" i="1"/>
  <c r="P570" i="1" s="1"/>
  <c r="S570" i="1" s="1"/>
  <c r="M569" i="1"/>
  <c r="M557" i="1"/>
  <c r="P557" i="1" s="1"/>
  <c r="S557" i="1" s="1"/>
  <c r="M556" i="1"/>
  <c r="M555" i="1"/>
  <c r="P555" i="1" s="1"/>
  <c r="S555" i="1" s="1"/>
  <c r="M554" i="1"/>
  <c r="M553" i="1"/>
  <c r="P553" i="1" s="1"/>
  <c r="S553" i="1" s="1"/>
  <c r="M552" i="1"/>
  <c r="M551" i="1"/>
  <c r="N551" i="1" s="1"/>
  <c r="Y551" i="1" s="1"/>
  <c r="M550" i="1"/>
  <c r="P550" i="1" s="1"/>
  <c r="S550" i="1" s="1"/>
  <c r="M549" i="1"/>
  <c r="P549" i="1" s="1"/>
  <c r="S549" i="1" s="1"/>
  <c r="M548" i="1"/>
  <c r="P548" i="1" s="1"/>
  <c r="S548" i="1" s="1"/>
  <c r="M547" i="1"/>
  <c r="P547" i="1" s="1"/>
  <c r="S547" i="1" s="1"/>
  <c r="M546" i="1"/>
  <c r="P546" i="1" s="1"/>
  <c r="S546" i="1" s="1"/>
  <c r="M545" i="1"/>
  <c r="N545" i="1" s="1"/>
  <c r="Y545" i="1" s="1"/>
  <c r="M544" i="1"/>
  <c r="P544" i="1" s="1"/>
  <c r="S544" i="1" s="1"/>
  <c r="M543" i="1"/>
  <c r="P543" i="1" s="1"/>
  <c r="S543" i="1" s="1"/>
  <c r="M542" i="1"/>
  <c r="P542" i="1" s="1"/>
  <c r="S542" i="1" s="1"/>
  <c r="M541" i="1"/>
  <c r="P541" i="1" s="1"/>
  <c r="S541" i="1" s="1"/>
  <c r="M540" i="1"/>
  <c r="P540" i="1" s="1"/>
  <c r="S540" i="1" s="1"/>
  <c r="M539" i="1"/>
  <c r="N539" i="1" s="1"/>
  <c r="Y539" i="1" s="1"/>
  <c r="M538" i="1"/>
  <c r="P538" i="1" s="1"/>
  <c r="S538" i="1" s="1"/>
  <c r="M537" i="1"/>
  <c r="P537" i="1" s="1"/>
  <c r="S537" i="1" s="1"/>
  <c r="M536" i="1"/>
  <c r="P536" i="1" s="1"/>
  <c r="S536" i="1" s="1"/>
  <c r="M535" i="1"/>
  <c r="P535" i="1" s="1"/>
  <c r="S535" i="1" s="1"/>
  <c r="M534" i="1"/>
  <c r="P534" i="1" s="1"/>
  <c r="S534" i="1" s="1"/>
  <c r="M533" i="1"/>
  <c r="N533" i="1" s="1"/>
  <c r="M532" i="1"/>
  <c r="P532" i="1" s="1"/>
  <c r="S532" i="1" s="1"/>
  <c r="M531" i="1"/>
  <c r="P531" i="1" s="1"/>
  <c r="S531" i="1" s="1"/>
  <c r="M530" i="1"/>
  <c r="P530" i="1" s="1"/>
  <c r="S530" i="1" s="1"/>
  <c r="M529" i="1"/>
  <c r="P529" i="1" s="1"/>
  <c r="S529" i="1" s="1"/>
  <c r="M528" i="1"/>
  <c r="M527" i="1"/>
  <c r="P527" i="1" s="1"/>
  <c r="S527" i="1" s="1"/>
  <c r="M526" i="1"/>
  <c r="P526" i="1" s="1"/>
  <c r="S526" i="1" s="1"/>
  <c r="M525" i="1"/>
  <c r="P525" i="1" s="1"/>
  <c r="S525" i="1" s="1"/>
  <c r="M524" i="1"/>
  <c r="P524" i="1" s="1"/>
  <c r="S524" i="1" s="1"/>
  <c r="M523" i="1"/>
  <c r="P523" i="1" s="1"/>
  <c r="S523" i="1" s="1"/>
  <c r="M522" i="1"/>
  <c r="N522" i="1" s="1"/>
  <c r="M521" i="1"/>
  <c r="P521" i="1" s="1"/>
  <c r="S521" i="1" s="1"/>
  <c r="M520" i="1"/>
  <c r="P520" i="1" s="1"/>
  <c r="S520" i="1" s="1"/>
  <c r="M519" i="1"/>
  <c r="P519" i="1" s="1"/>
  <c r="S519" i="1" s="1"/>
  <c r="M518" i="1"/>
  <c r="P518" i="1" s="1"/>
  <c r="S518" i="1" s="1"/>
  <c r="M517" i="1"/>
  <c r="P517" i="1" s="1"/>
  <c r="S517" i="1" s="1"/>
  <c r="M516" i="1"/>
  <c r="P516" i="1" s="1"/>
  <c r="S516" i="1" s="1"/>
  <c r="M515" i="1"/>
  <c r="P515" i="1" s="1"/>
  <c r="S515" i="1" s="1"/>
  <c r="M514" i="1"/>
  <c r="P514" i="1" s="1"/>
  <c r="S514" i="1" s="1"/>
  <c r="M513" i="1"/>
  <c r="P513" i="1" s="1"/>
  <c r="S513" i="1" s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P491" i="1" s="1"/>
  <c r="S491" i="1" s="1"/>
  <c r="M490" i="1"/>
  <c r="P489" i="1"/>
  <c r="S489" i="1" s="1"/>
  <c r="M488" i="1"/>
  <c r="P488" i="1" s="1"/>
  <c r="S488" i="1" s="1"/>
  <c r="M487" i="1"/>
  <c r="P487" i="1" s="1"/>
  <c r="S487" i="1" s="1"/>
  <c r="M486" i="1"/>
  <c r="P486" i="1" s="1"/>
  <c r="S486" i="1" s="1"/>
  <c r="M485" i="1"/>
  <c r="P485" i="1" s="1"/>
  <c r="S485" i="1" s="1"/>
  <c r="M484" i="1"/>
  <c r="N484" i="1" s="1"/>
  <c r="Y484" i="1" s="1"/>
  <c r="M483" i="1"/>
  <c r="P483" i="1" s="1"/>
  <c r="S483" i="1" s="1"/>
  <c r="M482" i="1"/>
  <c r="P482" i="1" s="1"/>
  <c r="S482" i="1" s="1"/>
  <c r="M481" i="1"/>
  <c r="P481" i="1" s="1"/>
  <c r="S481" i="1" s="1"/>
  <c r="M480" i="1"/>
  <c r="P480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N474" i="1" s="1"/>
  <c r="Y474" i="1" s="1"/>
  <c r="M473" i="1"/>
  <c r="P473" i="1" s="1"/>
  <c r="S473" i="1" s="1"/>
  <c r="M472" i="1"/>
  <c r="N472" i="1" s="1"/>
  <c r="Y472" i="1" s="1"/>
  <c r="M471" i="1"/>
  <c r="P471" i="1" s="1"/>
  <c r="S471" i="1" s="1"/>
  <c r="M470" i="1"/>
  <c r="N470" i="1" s="1"/>
  <c r="Y470" i="1" s="1"/>
  <c r="M469" i="1"/>
  <c r="M468" i="1"/>
  <c r="P468" i="1" s="1"/>
  <c r="S468" i="1" s="1"/>
  <c r="M467" i="1"/>
  <c r="M466" i="1"/>
  <c r="P466" i="1" s="1"/>
  <c r="M465" i="1"/>
  <c r="M464" i="1"/>
  <c r="P464" i="1" s="1"/>
  <c r="S464" i="1" s="1"/>
  <c r="M463" i="1"/>
  <c r="M462" i="1"/>
  <c r="P462" i="1" s="1"/>
  <c r="S462" i="1" s="1"/>
  <c r="M461" i="1"/>
  <c r="M460" i="1"/>
  <c r="N460" i="1" s="1"/>
  <c r="Y460" i="1" s="1"/>
  <c r="M459" i="1"/>
  <c r="M458" i="1"/>
  <c r="P458" i="1" s="1"/>
  <c r="S458" i="1" s="1"/>
  <c r="M457" i="1"/>
  <c r="M456" i="1"/>
  <c r="P456" i="1" s="1"/>
  <c r="M455" i="1"/>
  <c r="M454" i="1"/>
  <c r="M453" i="1"/>
  <c r="M452" i="1"/>
  <c r="P452" i="1" s="1"/>
  <c r="S452" i="1" s="1"/>
  <c r="M451" i="1"/>
  <c r="M450" i="1"/>
  <c r="N450" i="1" s="1"/>
  <c r="Y450" i="1" s="1"/>
  <c r="M449" i="1"/>
  <c r="M448" i="1"/>
  <c r="N448" i="1" s="1"/>
  <c r="Y448" i="1" s="1"/>
  <c r="M440" i="1"/>
  <c r="M439" i="1"/>
  <c r="N439" i="1" s="1"/>
  <c r="Y439" i="1" s="1"/>
  <c r="M438" i="1"/>
  <c r="M437" i="1"/>
  <c r="P437" i="1" s="1"/>
  <c r="S437" i="1" s="1"/>
  <c r="M436" i="1"/>
  <c r="M435" i="1"/>
  <c r="P435" i="1" s="1"/>
  <c r="M434" i="1"/>
  <c r="M433" i="1"/>
  <c r="P433" i="1" s="1"/>
  <c r="S433" i="1" s="1"/>
  <c r="M432" i="1"/>
  <c r="M431" i="1"/>
  <c r="P431" i="1" s="1"/>
  <c r="S431" i="1" s="1"/>
  <c r="M430" i="1"/>
  <c r="M429" i="1"/>
  <c r="P429" i="1" s="1"/>
  <c r="S429" i="1" s="1"/>
  <c r="M428" i="1"/>
  <c r="M427" i="1"/>
  <c r="P427" i="1" s="1"/>
  <c r="S427" i="1" s="1"/>
  <c r="M426" i="1"/>
  <c r="M425" i="1"/>
  <c r="P425" i="1" s="1"/>
  <c r="S425" i="1" s="1"/>
  <c r="M424" i="1"/>
  <c r="M423" i="1"/>
  <c r="M422" i="1"/>
  <c r="M421" i="1"/>
  <c r="P421" i="1" s="1"/>
  <c r="S421" i="1" s="1"/>
  <c r="M420" i="1"/>
  <c r="P420" i="1" s="1"/>
  <c r="S420" i="1" s="1"/>
  <c r="M419" i="1"/>
  <c r="N419" i="1" s="1"/>
  <c r="Y419" i="1" s="1"/>
  <c r="M418" i="1"/>
  <c r="P418" i="1" s="1"/>
  <c r="S418" i="1" s="1"/>
  <c r="M417" i="1"/>
  <c r="M416" i="1"/>
  <c r="M415" i="1"/>
  <c r="P415" i="1" s="1"/>
  <c r="S415" i="1" s="1"/>
  <c r="M414" i="1"/>
  <c r="P414" i="1" s="1"/>
  <c r="S414" i="1" s="1"/>
  <c r="M413" i="1"/>
  <c r="N413" i="1" s="1"/>
  <c r="M412" i="1"/>
  <c r="P412" i="1" s="1"/>
  <c r="S412" i="1" s="1"/>
  <c r="M411" i="1"/>
  <c r="M410" i="1"/>
  <c r="M409" i="1"/>
  <c r="P409" i="1" s="1"/>
  <c r="S409" i="1" s="1"/>
  <c r="M408" i="1"/>
  <c r="P408" i="1" s="1"/>
  <c r="S408" i="1" s="1"/>
  <c r="M407" i="1"/>
  <c r="N407" i="1" s="1"/>
  <c r="M406" i="1"/>
  <c r="P406" i="1" s="1"/>
  <c r="S406" i="1" s="1"/>
  <c r="M405" i="1"/>
  <c r="M404" i="1"/>
  <c r="M403" i="1"/>
  <c r="P403" i="1" s="1"/>
  <c r="S403" i="1" s="1"/>
  <c r="M402" i="1"/>
  <c r="P402" i="1" s="1"/>
  <c r="S402" i="1" s="1"/>
  <c r="M401" i="1"/>
  <c r="N401" i="1" s="1"/>
  <c r="Y401" i="1" s="1"/>
  <c r="M400" i="1"/>
  <c r="P400" i="1" s="1"/>
  <c r="S400" i="1" s="1"/>
  <c r="M399" i="1"/>
  <c r="M398" i="1"/>
  <c r="M397" i="1"/>
  <c r="P397" i="1" s="1"/>
  <c r="S397" i="1" s="1"/>
  <c r="M396" i="1"/>
  <c r="P396" i="1" s="1"/>
  <c r="S396" i="1" s="1"/>
  <c r="M395" i="1"/>
  <c r="M394" i="1"/>
  <c r="M393" i="1"/>
  <c r="P393" i="1" s="1"/>
  <c r="M392" i="1"/>
  <c r="M391" i="1"/>
  <c r="M390" i="1"/>
  <c r="M389" i="1"/>
  <c r="M388" i="1"/>
  <c r="M387" i="1"/>
  <c r="P387" i="1" s="1"/>
  <c r="M386" i="1"/>
  <c r="M385" i="1"/>
  <c r="M384" i="1"/>
  <c r="P384" i="1" s="1"/>
  <c r="M383" i="1"/>
  <c r="P383" i="1" s="1"/>
  <c r="M382" i="1"/>
  <c r="M381" i="1"/>
  <c r="M380" i="1"/>
  <c r="M379" i="1"/>
  <c r="P379" i="1" s="1"/>
  <c r="M378" i="1"/>
  <c r="M377" i="1"/>
  <c r="M376" i="1"/>
  <c r="M375" i="1"/>
  <c r="M374" i="1"/>
  <c r="P374" i="1" s="1"/>
  <c r="S374" i="1" s="1"/>
  <c r="M373" i="1"/>
  <c r="M372" i="1"/>
  <c r="P372" i="1" s="1"/>
  <c r="S372" i="1" s="1"/>
  <c r="M371" i="1"/>
  <c r="M370" i="1"/>
  <c r="P370" i="1" s="1"/>
  <c r="S370" i="1" s="1"/>
  <c r="M369" i="1"/>
  <c r="P369" i="1" s="1"/>
  <c r="S369" i="1" s="1"/>
  <c r="M368" i="1"/>
  <c r="P368" i="1" s="1"/>
  <c r="S368" i="1" s="1"/>
  <c r="M367" i="1"/>
  <c r="P367" i="1" s="1"/>
  <c r="M366" i="1"/>
  <c r="P366" i="1" s="1"/>
  <c r="S366" i="1" s="1"/>
  <c r="M365" i="1"/>
  <c r="P365" i="1" s="1"/>
  <c r="M364" i="1"/>
  <c r="P364" i="1" s="1"/>
  <c r="S364" i="1" s="1"/>
  <c r="M363" i="1"/>
  <c r="P363" i="1" s="1"/>
  <c r="M360" i="1"/>
  <c r="P360" i="1" s="1"/>
  <c r="S360" i="1" s="1"/>
  <c r="M359" i="1"/>
  <c r="P359" i="1" s="1"/>
  <c r="M358" i="1"/>
  <c r="P358" i="1" s="1"/>
  <c r="S358" i="1" s="1"/>
  <c r="M357" i="1"/>
  <c r="P357" i="1" s="1"/>
  <c r="Q357" i="1" s="1"/>
  <c r="M356" i="1"/>
  <c r="M355" i="1"/>
  <c r="P355" i="1" s="1"/>
  <c r="M354" i="1"/>
  <c r="M353" i="1"/>
  <c r="P353" i="1" s="1"/>
  <c r="M352" i="1"/>
  <c r="M351" i="1"/>
  <c r="P351" i="1" s="1"/>
  <c r="M350" i="1"/>
  <c r="M349" i="1"/>
  <c r="P349" i="1" s="1"/>
  <c r="M348" i="1"/>
  <c r="M347" i="1"/>
  <c r="P347" i="1" s="1"/>
  <c r="M346" i="1"/>
  <c r="M331" i="1"/>
  <c r="P331" i="1" s="1"/>
  <c r="S331" i="1" s="1"/>
  <c r="M330" i="1"/>
  <c r="M329" i="1"/>
  <c r="P329" i="1" s="1"/>
  <c r="S329" i="1" s="1"/>
  <c r="T329" i="1" s="1"/>
  <c r="AA329" i="1" s="1"/>
  <c r="M328" i="1"/>
  <c r="M327" i="1"/>
  <c r="P327" i="1" s="1"/>
  <c r="M326" i="1"/>
  <c r="M325" i="1"/>
  <c r="P325" i="1" s="1"/>
  <c r="M324" i="1"/>
  <c r="M323" i="1"/>
  <c r="P323" i="1" s="1"/>
  <c r="M322" i="1"/>
  <c r="M321" i="1"/>
  <c r="P321" i="1" s="1"/>
  <c r="M320" i="1"/>
  <c r="M319" i="1"/>
  <c r="P319" i="1" s="1"/>
  <c r="M318" i="1"/>
  <c r="M317" i="1"/>
  <c r="P317" i="1" s="1"/>
  <c r="M305" i="1"/>
  <c r="M304" i="1"/>
  <c r="P304" i="1" s="1"/>
  <c r="M303" i="1"/>
  <c r="P303" i="1" s="1"/>
  <c r="S303" i="1" s="1"/>
  <c r="M302" i="1"/>
  <c r="P302" i="1" s="1"/>
  <c r="M301" i="1"/>
  <c r="M300" i="1"/>
  <c r="P300" i="1" s="1"/>
  <c r="M299" i="1"/>
  <c r="P299" i="1" s="1"/>
  <c r="S299" i="1" s="1"/>
  <c r="M298" i="1"/>
  <c r="P298" i="1" s="1"/>
  <c r="M297" i="1"/>
  <c r="M296" i="1"/>
  <c r="P296" i="1" s="1"/>
  <c r="M295" i="1"/>
  <c r="P295" i="1" s="1"/>
  <c r="S295" i="1" s="1"/>
  <c r="M294" i="1"/>
  <c r="P294" i="1" s="1"/>
  <c r="M293" i="1"/>
  <c r="M292" i="1"/>
  <c r="P292" i="1" s="1"/>
  <c r="M291" i="1"/>
  <c r="P291" i="1" s="1"/>
  <c r="S291" i="1" s="1"/>
  <c r="M290" i="1"/>
  <c r="P290" i="1" s="1"/>
  <c r="M289" i="1"/>
  <c r="M288" i="1"/>
  <c r="P288" i="1" s="1"/>
  <c r="M287" i="1"/>
  <c r="P287" i="1" s="1"/>
  <c r="S287" i="1" s="1"/>
  <c r="M286" i="1"/>
  <c r="P286" i="1" s="1"/>
  <c r="M285" i="1"/>
  <c r="M284" i="1"/>
  <c r="P284" i="1" s="1"/>
  <c r="M283" i="1"/>
  <c r="P283" i="1" s="1"/>
  <c r="S283" i="1" s="1"/>
  <c r="M282" i="1"/>
  <c r="P282" i="1" s="1"/>
  <c r="M281" i="1"/>
  <c r="M280" i="1"/>
  <c r="P280" i="1" s="1"/>
  <c r="M279" i="1"/>
  <c r="P279" i="1" s="1"/>
  <c r="S279" i="1" s="1"/>
  <c r="M278" i="1"/>
  <c r="P278" i="1" s="1"/>
  <c r="M277" i="1"/>
  <c r="M276" i="1"/>
  <c r="P276" i="1" s="1"/>
  <c r="M275" i="1"/>
  <c r="P275" i="1" s="1"/>
  <c r="S275" i="1" s="1"/>
  <c r="M274" i="1"/>
  <c r="P274" i="1" s="1"/>
  <c r="M273" i="1"/>
  <c r="M272" i="1"/>
  <c r="P272" i="1" s="1"/>
  <c r="M271" i="1"/>
  <c r="P271" i="1" s="1"/>
  <c r="S271" i="1" s="1"/>
  <c r="M270" i="1"/>
  <c r="P270" i="1" s="1"/>
  <c r="M269" i="1"/>
  <c r="M268" i="1"/>
  <c r="P268" i="1" s="1"/>
  <c r="M267" i="1"/>
  <c r="P267" i="1" s="1"/>
  <c r="S267" i="1" s="1"/>
  <c r="M266" i="1"/>
  <c r="P266" i="1" s="1"/>
  <c r="M265" i="1"/>
  <c r="M264" i="1"/>
  <c r="P264" i="1" s="1"/>
  <c r="M263" i="1"/>
  <c r="P263" i="1" s="1"/>
  <c r="M262" i="1"/>
  <c r="P262" i="1" s="1"/>
  <c r="M261" i="1"/>
  <c r="P261" i="1" s="1"/>
  <c r="M260" i="1"/>
  <c r="P260" i="1" s="1"/>
  <c r="M259" i="1"/>
  <c r="M258" i="1"/>
  <c r="P258" i="1" s="1"/>
  <c r="M257" i="1"/>
  <c r="N257" i="1" s="1"/>
  <c r="M256" i="1"/>
  <c r="P256" i="1" s="1"/>
  <c r="M255" i="1"/>
  <c r="P255" i="1" s="1"/>
  <c r="M254" i="1"/>
  <c r="P254" i="1" s="1"/>
  <c r="M253" i="1"/>
  <c r="P253" i="1" s="1"/>
  <c r="M252" i="1"/>
  <c r="P252" i="1" s="1"/>
  <c r="M251" i="1"/>
  <c r="M250" i="1"/>
  <c r="P250" i="1" s="1"/>
  <c r="M249" i="1"/>
  <c r="N249" i="1" s="1"/>
  <c r="M248" i="1"/>
  <c r="P248" i="1" s="1"/>
  <c r="M247" i="1"/>
  <c r="P247" i="1" s="1"/>
  <c r="M246" i="1"/>
  <c r="P246" i="1" s="1"/>
  <c r="M245" i="1"/>
  <c r="P245" i="1" s="1"/>
  <c r="M244" i="1"/>
  <c r="P244" i="1" s="1"/>
  <c r="M243" i="1"/>
  <c r="M242" i="1"/>
  <c r="P242" i="1" s="1"/>
  <c r="M241" i="1"/>
  <c r="N241" i="1" s="1"/>
  <c r="M240" i="1"/>
  <c r="P240" i="1" s="1"/>
  <c r="M239" i="1"/>
  <c r="P239" i="1" s="1"/>
  <c r="M238" i="1"/>
  <c r="P238" i="1" s="1"/>
  <c r="M237" i="1"/>
  <c r="P237" i="1" s="1"/>
  <c r="M236" i="1"/>
  <c r="P236" i="1" s="1"/>
  <c r="M235" i="1"/>
  <c r="M234" i="1"/>
  <c r="P234" i="1" s="1"/>
  <c r="M233" i="1"/>
  <c r="N233" i="1" s="1"/>
  <c r="M232" i="1"/>
  <c r="P232" i="1" s="1"/>
  <c r="M231" i="1"/>
  <c r="P231" i="1" s="1"/>
  <c r="M230" i="1"/>
  <c r="P230" i="1" s="1"/>
  <c r="M229" i="1"/>
  <c r="P229" i="1" s="1"/>
  <c r="M228" i="1"/>
  <c r="P228" i="1" s="1"/>
  <c r="M187" i="1"/>
  <c r="P187" i="1" s="1"/>
  <c r="M186" i="1"/>
  <c r="M185" i="1"/>
  <c r="P185" i="1" s="1"/>
  <c r="S185" i="1" s="1"/>
  <c r="M184" i="1"/>
  <c r="M183" i="1"/>
  <c r="M167" i="1"/>
  <c r="M166" i="1"/>
  <c r="P166" i="1" s="1"/>
  <c r="M164" i="1"/>
  <c r="M163" i="1"/>
  <c r="M162" i="1"/>
  <c r="M161" i="1"/>
  <c r="N161" i="1" s="1"/>
  <c r="Y161" i="1" s="1"/>
  <c r="M160" i="1"/>
  <c r="M158" i="1"/>
  <c r="P158" i="1" s="1"/>
  <c r="M156" i="1"/>
  <c r="M155" i="1"/>
  <c r="P155" i="1" s="1"/>
  <c r="M154" i="1"/>
  <c r="M153" i="1"/>
  <c r="M152" i="1"/>
  <c r="M151" i="1"/>
  <c r="N151" i="1" s="1"/>
  <c r="Y151" i="1" s="1"/>
  <c r="M150" i="1"/>
  <c r="M149" i="1"/>
  <c r="P149" i="1" s="1"/>
  <c r="M148" i="1"/>
  <c r="M147" i="1"/>
  <c r="P147" i="1" s="1"/>
  <c r="S147" i="1" s="1"/>
  <c r="M145" i="1"/>
  <c r="M143" i="1"/>
  <c r="M141" i="1"/>
  <c r="M139" i="1"/>
  <c r="P139" i="1" s="1"/>
  <c r="S139" i="1" s="1"/>
  <c r="M137" i="1"/>
  <c r="M135" i="1"/>
  <c r="P135" i="1" s="1"/>
  <c r="S135" i="1" s="1"/>
  <c r="M134" i="1"/>
  <c r="M133" i="1"/>
  <c r="P133" i="1" s="1"/>
  <c r="M132" i="1"/>
  <c r="M131" i="1"/>
  <c r="N131" i="1" s="1"/>
  <c r="M130" i="1"/>
  <c r="M114" i="1"/>
  <c r="P114" i="1" s="1"/>
  <c r="S114" i="1" s="1"/>
  <c r="M113" i="1"/>
  <c r="M111" i="1"/>
  <c r="P111" i="1" s="1"/>
  <c r="S111" i="1" s="1"/>
  <c r="M109" i="1"/>
  <c r="M108" i="1"/>
  <c r="P108" i="1" s="1"/>
  <c r="M105" i="1"/>
  <c r="N105" i="1" s="1"/>
  <c r="M104" i="1"/>
  <c r="M102" i="1"/>
  <c r="P102" i="1" s="1"/>
  <c r="S102" i="1" s="1"/>
  <c r="M101" i="1"/>
  <c r="P101" i="1" s="1"/>
  <c r="S101" i="1" s="1"/>
  <c r="M99" i="1"/>
  <c r="P99" i="1" s="1"/>
  <c r="S99" i="1" s="1"/>
  <c r="M97" i="1"/>
  <c r="P97" i="1" s="1"/>
  <c r="S97" i="1" s="1"/>
  <c r="M95" i="1"/>
  <c r="P95" i="1" s="1"/>
  <c r="S95" i="1" s="1"/>
  <c r="M93" i="1"/>
  <c r="P93" i="1" s="1"/>
  <c r="S93" i="1" s="1"/>
  <c r="M92" i="1"/>
  <c r="P92" i="1" s="1"/>
  <c r="S92" i="1" s="1"/>
  <c r="M88" i="1"/>
  <c r="P88" i="1" s="1"/>
  <c r="S88" i="1" s="1"/>
  <c r="M86" i="1"/>
  <c r="P86" i="1" s="1"/>
  <c r="S86" i="1" s="1"/>
  <c r="M84" i="1"/>
  <c r="P84" i="1" s="1"/>
  <c r="S84" i="1" s="1"/>
  <c r="M82" i="1"/>
  <c r="P82" i="1" s="1"/>
  <c r="S82" i="1" s="1"/>
  <c r="M80" i="1"/>
  <c r="P80" i="1" s="1"/>
  <c r="S80" i="1" s="1"/>
  <c r="M78" i="1"/>
  <c r="P78" i="1" s="1"/>
  <c r="S78" i="1" s="1"/>
  <c r="M76" i="1"/>
  <c r="N76" i="1" s="1"/>
  <c r="Y76" i="1" s="1"/>
  <c r="M74" i="1"/>
  <c r="P74" i="1" s="1"/>
  <c r="S74" i="1" s="1"/>
  <c r="M73" i="1"/>
  <c r="P73" i="1" s="1"/>
  <c r="S73" i="1" s="1"/>
  <c r="M72" i="1"/>
  <c r="P72" i="1" s="1"/>
  <c r="S72" i="1" s="1"/>
  <c r="M71" i="1"/>
  <c r="N71" i="1" s="1"/>
  <c r="M70" i="1"/>
  <c r="P70" i="1" s="1"/>
  <c r="S70" i="1" s="1"/>
  <c r="M69" i="1"/>
  <c r="P69" i="1" s="1"/>
  <c r="S69" i="1" s="1"/>
  <c r="M49" i="1"/>
  <c r="P49" i="1" s="1"/>
  <c r="S49" i="1" s="1"/>
  <c r="M48" i="1"/>
  <c r="P48" i="1" s="1"/>
  <c r="S48" i="1" s="1"/>
  <c r="M45" i="1"/>
  <c r="P45" i="1" s="1"/>
  <c r="S45" i="1" s="1"/>
  <c r="M44" i="1"/>
  <c r="P44" i="1" s="1"/>
  <c r="S44" i="1" s="1"/>
  <c r="M43" i="1"/>
  <c r="P43" i="1" s="1"/>
  <c r="S43" i="1" s="1"/>
  <c r="M41" i="1"/>
  <c r="P41" i="1" s="1"/>
  <c r="S41" i="1" s="1"/>
  <c r="M40" i="1"/>
  <c r="P40" i="1" s="1"/>
  <c r="S40" i="1" s="1"/>
  <c r="M38" i="1"/>
  <c r="P38" i="1" s="1"/>
  <c r="S38" i="1" s="1"/>
  <c r="M36" i="1"/>
  <c r="P36" i="1" s="1"/>
  <c r="S36" i="1" s="1"/>
  <c r="M35" i="1"/>
  <c r="P35" i="1" s="1"/>
  <c r="S35" i="1" s="1"/>
  <c r="M33" i="1"/>
  <c r="P33" i="1" s="1"/>
  <c r="S33" i="1" s="1"/>
  <c r="M29" i="1"/>
  <c r="P29" i="1" s="1"/>
  <c r="S29" i="1" s="1"/>
  <c r="M27" i="1"/>
  <c r="P27" i="1" s="1"/>
  <c r="S27" i="1" s="1"/>
  <c r="M26" i="1"/>
  <c r="M24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715" i="1"/>
  <c r="X715" i="1" s="1"/>
  <c r="K714" i="1"/>
  <c r="X714" i="1" s="1"/>
  <c r="K713" i="1"/>
  <c r="X713" i="1" s="1"/>
  <c r="K712" i="1"/>
  <c r="X712" i="1" s="1"/>
  <c r="K711" i="1"/>
  <c r="X711" i="1" s="1"/>
  <c r="K710" i="1"/>
  <c r="X710" i="1" s="1"/>
  <c r="K709" i="1"/>
  <c r="X709" i="1" s="1"/>
  <c r="K708" i="1"/>
  <c r="X708" i="1" s="1"/>
  <c r="K707" i="1"/>
  <c r="X707" i="1" s="1"/>
  <c r="K706" i="1"/>
  <c r="X706" i="1" s="1"/>
  <c r="K705" i="1"/>
  <c r="X705" i="1" s="1"/>
  <c r="K704" i="1"/>
  <c r="X704" i="1" s="1"/>
  <c r="K703" i="1"/>
  <c r="X703" i="1" s="1"/>
  <c r="K702" i="1"/>
  <c r="X702" i="1" s="1"/>
  <c r="K701" i="1"/>
  <c r="X701" i="1" s="1"/>
  <c r="K700" i="1"/>
  <c r="X700" i="1" s="1"/>
  <c r="K699" i="1"/>
  <c r="X699" i="1" s="1"/>
  <c r="K698" i="1"/>
  <c r="X698" i="1" s="1"/>
  <c r="K697" i="1"/>
  <c r="X697" i="1" s="1"/>
  <c r="K696" i="1"/>
  <c r="X696" i="1" s="1"/>
  <c r="K695" i="1"/>
  <c r="X695" i="1" s="1"/>
  <c r="K694" i="1"/>
  <c r="X694" i="1" s="1"/>
  <c r="K693" i="1"/>
  <c r="X693" i="1" s="1"/>
  <c r="K692" i="1"/>
  <c r="X692" i="1" s="1"/>
  <c r="K691" i="1"/>
  <c r="K690" i="1"/>
  <c r="K689" i="1"/>
  <c r="X689" i="1" s="1"/>
  <c r="K688" i="1"/>
  <c r="K687" i="1"/>
  <c r="K686" i="1"/>
  <c r="K678" i="1"/>
  <c r="X678" i="1" s="1"/>
  <c r="K677" i="1"/>
  <c r="X677" i="1" s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X657" i="1" s="1"/>
  <c r="K656" i="1"/>
  <c r="X656" i="1" s="1"/>
  <c r="K655" i="1"/>
  <c r="X655" i="1" s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X638" i="1" s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X606" i="1" s="1"/>
  <c r="K605" i="1"/>
  <c r="X605" i="1" s="1"/>
  <c r="K604" i="1"/>
  <c r="K603" i="1"/>
  <c r="K602" i="1"/>
  <c r="K601" i="1"/>
  <c r="K598" i="1"/>
  <c r="X598" i="1" s="1"/>
  <c r="K597" i="1"/>
  <c r="X597" i="1" s="1"/>
  <c r="K596" i="1"/>
  <c r="X596" i="1" s="1"/>
  <c r="K595" i="1"/>
  <c r="X595" i="1" s="1"/>
  <c r="K594" i="1"/>
  <c r="X594" i="1" s="1"/>
  <c r="K593" i="1"/>
  <c r="X593" i="1" s="1"/>
  <c r="K592" i="1"/>
  <c r="X592" i="1" s="1"/>
  <c r="K591" i="1"/>
  <c r="X591" i="1" s="1"/>
  <c r="K590" i="1"/>
  <c r="X590" i="1" s="1"/>
  <c r="K589" i="1"/>
  <c r="X589" i="1" s="1"/>
  <c r="K588" i="1"/>
  <c r="X588" i="1" s="1"/>
  <c r="K587" i="1"/>
  <c r="X587" i="1" s="1"/>
  <c r="K586" i="1"/>
  <c r="X586" i="1" s="1"/>
  <c r="K585" i="1"/>
  <c r="X585" i="1" s="1"/>
  <c r="K584" i="1"/>
  <c r="X584" i="1" s="1"/>
  <c r="K583" i="1"/>
  <c r="X583" i="1" s="1"/>
  <c r="K582" i="1"/>
  <c r="X582" i="1" s="1"/>
  <c r="K581" i="1"/>
  <c r="X581" i="1" s="1"/>
  <c r="K580" i="1"/>
  <c r="X580" i="1" s="1"/>
  <c r="K579" i="1"/>
  <c r="X579" i="1" s="1"/>
  <c r="K578" i="1"/>
  <c r="X578" i="1" s="1"/>
  <c r="K577" i="1"/>
  <c r="X577" i="1" s="1"/>
  <c r="K576" i="1"/>
  <c r="X576" i="1" s="1"/>
  <c r="K575" i="1"/>
  <c r="X575" i="1" s="1"/>
  <c r="K574" i="1"/>
  <c r="K573" i="1"/>
  <c r="K572" i="1"/>
  <c r="X572" i="1" s="1"/>
  <c r="K571" i="1"/>
  <c r="K570" i="1"/>
  <c r="K569" i="1"/>
  <c r="K557" i="1"/>
  <c r="X557" i="1" s="1"/>
  <c r="K556" i="1"/>
  <c r="X556" i="1" s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X536" i="1" s="1"/>
  <c r="K535" i="1"/>
  <c r="X535" i="1" s="1"/>
  <c r="K534" i="1"/>
  <c r="X534" i="1" s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X517" i="1" s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X485" i="1" s="1"/>
  <c r="K484" i="1"/>
  <c r="X484" i="1" s="1"/>
  <c r="K483" i="1"/>
  <c r="K482" i="1"/>
  <c r="K481" i="1"/>
  <c r="K480" i="1"/>
  <c r="K477" i="1"/>
  <c r="X477" i="1" s="1"/>
  <c r="K476" i="1"/>
  <c r="X476" i="1" s="1"/>
  <c r="K475" i="1"/>
  <c r="X475" i="1" s="1"/>
  <c r="K474" i="1"/>
  <c r="K473" i="1"/>
  <c r="X473" i="1" s="1"/>
  <c r="K472" i="1"/>
  <c r="X472" i="1" s="1"/>
  <c r="K471" i="1"/>
  <c r="X471" i="1" s="1"/>
  <c r="K470" i="1"/>
  <c r="X470" i="1" s="1"/>
  <c r="K469" i="1"/>
  <c r="X469" i="1" s="1"/>
  <c r="K468" i="1"/>
  <c r="X468" i="1" s="1"/>
  <c r="K467" i="1"/>
  <c r="X467" i="1" s="1"/>
  <c r="K466" i="1"/>
  <c r="X466" i="1" s="1"/>
  <c r="K465" i="1"/>
  <c r="X465" i="1" s="1"/>
  <c r="K464" i="1"/>
  <c r="X464" i="1" s="1"/>
  <c r="K463" i="1"/>
  <c r="X463" i="1" s="1"/>
  <c r="K462" i="1"/>
  <c r="K461" i="1"/>
  <c r="K460" i="1"/>
  <c r="K459" i="1"/>
  <c r="K458" i="1"/>
  <c r="K457" i="1"/>
  <c r="K456" i="1"/>
  <c r="K455" i="1"/>
  <c r="K454" i="1"/>
  <c r="K453" i="1"/>
  <c r="K452" i="1"/>
  <c r="K451" i="1"/>
  <c r="X451" i="1" s="1"/>
  <c r="K450" i="1"/>
  <c r="K449" i="1"/>
  <c r="K448" i="1"/>
  <c r="K440" i="1"/>
  <c r="X440" i="1" s="1"/>
  <c r="K439" i="1"/>
  <c r="X439" i="1" s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X419" i="1" s="1"/>
  <c r="K418" i="1"/>
  <c r="X418" i="1" s="1"/>
  <c r="K417" i="1"/>
  <c r="X417" i="1" s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X400" i="1" s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X368" i="1" s="1"/>
  <c r="K367" i="1"/>
  <c r="X367" i="1" s="1"/>
  <c r="K366" i="1"/>
  <c r="K365" i="1"/>
  <c r="K364" i="1"/>
  <c r="K363" i="1"/>
  <c r="K360" i="1"/>
  <c r="X360" i="1" s="1"/>
  <c r="K359" i="1"/>
  <c r="X359" i="1" s="1"/>
  <c r="K358" i="1"/>
  <c r="K357" i="1"/>
  <c r="K356" i="1"/>
  <c r="K355" i="1"/>
  <c r="K354" i="1"/>
  <c r="K353" i="1"/>
  <c r="K352" i="1"/>
  <c r="K351" i="1"/>
  <c r="K350" i="1"/>
  <c r="K349" i="1"/>
  <c r="K348" i="1"/>
  <c r="X348" i="1" s="1"/>
  <c r="K347" i="1"/>
  <c r="X347" i="1" s="1"/>
  <c r="K346" i="1"/>
  <c r="X346" i="1" s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X282" i="1" s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X265" i="1" s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187" i="1"/>
  <c r="K186" i="1"/>
  <c r="K185" i="1"/>
  <c r="K184" i="1"/>
  <c r="K183" i="1"/>
  <c r="K167" i="1"/>
  <c r="K166" i="1"/>
  <c r="K164" i="1"/>
  <c r="J210" i="1" s="1"/>
  <c r="K210" i="1" s="1"/>
  <c r="K163" i="1"/>
  <c r="K162" i="1"/>
  <c r="J208" i="1" s="1"/>
  <c r="K208" i="1" s="1"/>
  <c r="K161" i="1"/>
  <c r="K160" i="1"/>
  <c r="J206" i="1" s="1"/>
  <c r="K206" i="1" s="1"/>
  <c r="K158" i="1"/>
  <c r="K156" i="1"/>
  <c r="K155" i="1"/>
  <c r="K154" i="1"/>
  <c r="J201" i="1" s="1"/>
  <c r="K201" i="1" s="1"/>
  <c r="X201" i="1" s="1"/>
  <c r="K153" i="1"/>
  <c r="K152" i="1"/>
  <c r="K151" i="1"/>
  <c r="K150" i="1"/>
  <c r="K148" i="1"/>
  <c r="K147" i="1"/>
  <c r="J194" i="1" s="1"/>
  <c r="M194" i="1" s="1"/>
  <c r="K145" i="1"/>
  <c r="K143" i="1"/>
  <c r="J192" i="1" s="1"/>
  <c r="K192" i="1" s="1"/>
  <c r="K141" i="1"/>
  <c r="J191" i="1" s="1"/>
  <c r="K191" i="1" s="1"/>
  <c r="K139" i="1"/>
  <c r="J190" i="1" s="1"/>
  <c r="K190" i="1" s="1"/>
  <c r="K137" i="1"/>
  <c r="J189" i="1" s="1"/>
  <c r="M189" i="1" s="1"/>
  <c r="N189" i="1" s="1"/>
  <c r="Y189" i="1" s="1"/>
  <c r="K135" i="1"/>
  <c r="J188" i="1" s="1"/>
  <c r="K188" i="1" s="1"/>
  <c r="K134" i="1"/>
  <c r="K133" i="1"/>
  <c r="K132" i="1"/>
  <c r="K131" i="1"/>
  <c r="K130" i="1"/>
  <c r="K114" i="1"/>
  <c r="K113" i="1"/>
  <c r="K111" i="1"/>
  <c r="K109" i="1"/>
  <c r="X109" i="1" s="1"/>
  <c r="K108" i="1"/>
  <c r="K105" i="1"/>
  <c r="K104" i="1"/>
  <c r="K102" i="1"/>
  <c r="X102" i="1" s="1"/>
  <c r="K101" i="1"/>
  <c r="X101" i="1" s="1"/>
  <c r="K99" i="1"/>
  <c r="K97" i="1"/>
  <c r="X97" i="1" s="1"/>
  <c r="K95" i="1"/>
  <c r="K93" i="1"/>
  <c r="K92" i="1"/>
  <c r="K90" i="1"/>
  <c r="K88" i="1"/>
  <c r="K86" i="1"/>
  <c r="K84" i="1"/>
  <c r="K82" i="1"/>
  <c r="K80" i="1"/>
  <c r="K78" i="1"/>
  <c r="K76" i="1"/>
  <c r="K74" i="1"/>
  <c r="K73" i="1"/>
  <c r="K72" i="1"/>
  <c r="K71" i="1"/>
  <c r="K70" i="1"/>
  <c r="K69" i="1"/>
  <c r="K49" i="1"/>
  <c r="K48" i="1"/>
  <c r="K45" i="1"/>
  <c r="K44" i="1"/>
  <c r="K43" i="1"/>
  <c r="K41" i="1"/>
  <c r="K40" i="1"/>
  <c r="K38" i="1"/>
  <c r="K36" i="1"/>
  <c r="X36" i="1" s="1"/>
  <c r="K35" i="1"/>
  <c r="X35" i="1" s="1"/>
  <c r="K33" i="1"/>
  <c r="K29" i="1"/>
  <c r="K27" i="1"/>
  <c r="K26" i="1"/>
  <c r="K24" i="1"/>
  <c r="K20" i="1"/>
  <c r="K19" i="1"/>
  <c r="K17" i="1"/>
  <c r="K15" i="1"/>
  <c r="K13" i="1"/>
  <c r="K11" i="1"/>
  <c r="K9" i="1"/>
  <c r="K8" i="1"/>
  <c r="K7" i="1"/>
  <c r="K6" i="1"/>
  <c r="K5" i="1"/>
  <c r="K4" i="1"/>
  <c r="P26" i="1" l="1"/>
  <c r="S26" i="1" s="1"/>
  <c r="T26" i="1" s="1"/>
  <c r="AA26" i="1" s="1"/>
  <c r="P9" i="1"/>
  <c r="S9" i="1" s="1"/>
  <c r="J199" i="1"/>
  <c r="K199" i="1" s="1"/>
  <c r="X199" i="1" s="1"/>
  <c r="X152" i="1"/>
  <c r="J212" i="1"/>
  <c r="M212" i="1" s="1"/>
  <c r="P212" i="1" s="1"/>
  <c r="Q212" i="1" s="1"/>
  <c r="Z212" i="1" s="1"/>
  <c r="X167" i="1"/>
  <c r="J198" i="1"/>
  <c r="K198" i="1" s="1"/>
  <c r="X198" i="1" s="1"/>
  <c r="X151" i="1"/>
  <c r="J200" i="1"/>
  <c r="K200" i="1" s="1"/>
  <c r="X200" i="1" s="1"/>
  <c r="X153" i="1"/>
  <c r="J211" i="1"/>
  <c r="M211" i="1" s="1"/>
  <c r="P211" i="1" s="1"/>
  <c r="S211" i="1" s="1"/>
  <c r="T211" i="1" s="1"/>
  <c r="AA211" i="1" s="1"/>
  <c r="X166" i="1"/>
  <c r="J205" i="1"/>
  <c r="K205" i="1" s="1"/>
  <c r="X205" i="1" s="1"/>
  <c r="X158" i="1"/>
  <c r="J202" i="1"/>
  <c r="K202" i="1" s="1"/>
  <c r="X202" i="1" s="1"/>
  <c r="X155" i="1"/>
  <c r="J193" i="1"/>
  <c r="K193" i="1" s="1"/>
  <c r="X193" i="1" s="1"/>
  <c r="X145" i="1"/>
  <c r="J197" i="1"/>
  <c r="K197" i="1" s="1"/>
  <c r="X197" i="1" s="1"/>
  <c r="X150" i="1"/>
  <c r="J203" i="1"/>
  <c r="K203" i="1" s="1"/>
  <c r="X203" i="1" s="1"/>
  <c r="X156" i="1"/>
  <c r="J207" i="1"/>
  <c r="K207" i="1" s="1"/>
  <c r="X207" i="1" s="1"/>
  <c r="X161" i="1"/>
  <c r="J195" i="1"/>
  <c r="K195" i="1" s="1"/>
  <c r="X195" i="1" s="1"/>
  <c r="X148" i="1"/>
  <c r="J209" i="1"/>
  <c r="K209" i="1" s="1"/>
  <c r="X209" i="1" s="1"/>
  <c r="X163" i="1"/>
  <c r="K194" i="1"/>
  <c r="X194" i="1" s="1"/>
  <c r="N229" i="1"/>
  <c r="P648" i="1"/>
  <c r="S648" i="1" s="1"/>
  <c r="T648" i="1" s="1"/>
  <c r="AA648" i="1" s="1"/>
  <c r="N287" i="1"/>
  <c r="Y287" i="1" s="1"/>
  <c r="N279" i="1"/>
  <c r="N431" i="1"/>
  <c r="Y431" i="1" s="1"/>
  <c r="N4" i="1"/>
  <c r="N78" i="1"/>
  <c r="N45" i="1"/>
  <c r="M210" i="1"/>
  <c r="P210" i="1" s="1"/>
  <c r="S210" i="1" s="1"/>
  <c r="N406" i="1"/>
  <c r="P448" i="1"/>
  <c r="S448" i="1" s="1"/>
  <c r="T448" i="1" s="1"/>
  <c r="AA448" i="1" s="1"/>
  <c r="N421" i="1"/>
  <c r="Y421" i="1" s="1"/>
  <c r="S4" i="1"/>
  <c r="T4" i="1" s="1"/>
  <c r="AA4" i="1" s="1"/>
  <c r="Q4" i="1"/>
  <c r="S319" i="1"/>
  <c r="T319" i="1" s="1"/>
  <c r="AA319" i="1" s="1"/>
  <c r="P390" i="1"/>
  <c r="S390" i="1" s="1"/>
  <c r="T390" i="1" s="1"/>
  <c r="AA390" i="1" s="1"/>
  <c r="S155" i="1"/>
  <c r="T155" i="1" s="1"/>
  <c r="AA155" i="1" s="1"/>
  <c r="N494" i="1"/>
  <c r="P494" i="1"/>
  <c r="S237" i="1"/>
  <c r="T237" i="1" s="1"/>
  <c r="AA237" i="1" s="1"/>
  <c r="S270" i="1"/>
  <c r="T270" i="1" s="1"/>
  <c r="AA270" i="1" s="1"/>
  <c r="N299" i="1"/>
  <c r="Y299" i="1" s="1"/>
  <c r="S321" i="1"/>
  <c r="T321" i="1" s="1"/>
  <c r="AA321" i="1" s="1"/>
  <c r="N381" i="1"/>
  <c r="P381" i="1"/>
  <c r="S381" i="1" s="1"/>
  <c r="T381" i="1" s="1"/>
  <c r="AA381" i="1" s="1"/>
  <c r="P392" i="1"/>
  <c r="S392" i="1" s="1"/>
  <c r="T392" i="1" s="1"/>
  <c r="AA392" i="1" s="1"/>
  <c r="N403" i="1"/>
  <c r="N433" i="1"/>
  <c r="Y433" i="1" s="1"/>
  <c r="P460" i="1"/>
  <c r="P495" i="1"/>
  <c r="S495" i="1" s="1"/>
  <c r="T495" i="1" s="1"/>
  <c r="AA495" i="1" s="1"/>
  <c r="P507" i="1"/>
  <c r="S507" i="1" s="1"/>
  <c r="T507" i="1" s="1"/>
  <c r="AA507" i="1" s="1"/>
  <c r="N8" i="1"/>
  <c r="Q158" i="1"/>
  <c r="Z158" i="1" s="1"/>
  <c r="S158" i="1"/>
  <c r="T158" i="1" s="1"/>
  <c r="AA158" i="1" s="1"/>
  <c r="S238" i="1"/>
  <c r="T238" i="1" s="1"/>
  <c r="AA238" i="1" s="1"/>
  <c r="N291" i="1"/>
  <c r="Y291" i="1" s="1"/>
  <c r="Q300" i="1"/>
  <c r="Z300" i="1" s="1"/>
  <c r="S300" i="1"/>
  <c r="T300" i="1" s="1"/>
  <c r="AA300" i="1" s="1"/>
  <c r="S347" i="1"/>
  <c r="T347" i="1" s="1"/>
  <c r="AA347" i="1" s="1"/>
  <c r="P371" i="1"/>
  <c r="S371" i="1" s="1"/>
  <c r="T371" i="1" s="1"/>
  <c r="AA371" i="1" s="1"/>
  <c r="N382" i="1"/>
  <c r="P382" i="1"/>
  <c r="S382" i="1" s="1"/>
  <c r="T382" i="1" s="1"/>
  <c r="AA382" i="1" s="1"/>
  <c r="N496" i="1"/>
  <c r="P496" i="1"/>
  <c r="P508" i="1"/>
  <c r="S508" i="1" s="1"/>
  <c r="T508" i="1" s="1"/>
  <c r="AA508" i="1" s="1"/>
  <c r="Q668" i="1"/>
  <c r="Z668" i="1" s="1"/>
  <c r="S668" i="1"/>
  <c r="T668" i="1" s="1"/>
  <c r="AA668" i="1" s="1"/>
  <c r="P505" i="1"/>
  <c r="Q505" i="1" s="1"/>
  <c r="Z505" i="1" s="1"/>
  <c r="N44" i="1"/>
  <c r="Q187" i="1"/>
  <c r="S187" i="1"/>
  <c r="T187" i="1" s="1"/>
  <c r="S228" i="1"/>
  <c r="T228" i="1" s="1"/>
  <c r="AA228" i="1" s="1"/>
  <c r="Q239" i="1"/>
  <c r="Z239" i="1" s="1"/>
  <c r="S239" i="1"/>
  <c r="T239" i="1" s="1"/>
  <c r="AA239" i="1" s="1"/>
  <c r="S359" i="1"/>
  <c r="T359" i="1" s="1"/>
  <c r="AA359" i="1" s="1"/>
  <c r="P394" i="1"/>
  <c r="S394" i="1" s="1"/>
  <c r="T394" i="1" s="1"/>
  <c r="AA394" i="1" s="1"/>
  <c r="Q435" i="1"/>
  <c r="Z435" i="1" s="1"/>
  <c r="S435" i="1"/>
  <c r="T435" i="1" s="1"/>
  <c r="AA435" i="1" s="1"/>
  <c r="P497" i="1"/>
  <c r="S497" i="1" s="1"/>
  <c r="T497" i="1" s="1"/>
  <c r="AA497" i="1" s="1"/>
  <c r="P509" i="1"/>
  <c r="S509" i="1" s="1"/>
  <c r="T509" i="1" s="1"/>
  <c r="AA509" i="1" s="1"/>
  <c r="Q606" i="1"/>
  <c r="Z606" i="1" s="1"/>
  <c r="S606" i="1"/>
  <c r="T606" i="1" s="1"/>
  <c r="AA606" i="1" s="1"/>
  <c r="M188" i="1"/>
  <c r="N188" i="1" s="1"/>
  <c r="Y188" i="1" s="1"/>
  <c r="M201" i="1"/>
  <c r="P201" i="1" s="1"/>
  <c r="Q201" i="1" s="1"/>
  <c r="Z201" i="1" s="1"/>
  <c r="S229" i="1"/>
  <c r="T229" i="1" s="1"/>
  <c r="AA229" i="1" s="1"/>
  <c r="S261" i="1"/>
  <c r="T261" i="1" s="1"/>
  <c r="AA261" i="1" s="1"/>
  <c r="S302" i="1"/>
  <c r="T302" i="1" s="1"/>
  <c r="AA302" i="1" s="1"/>
  <c r="S349" i="1"/>
  <c r="T349" i="1" s="1"/>
  <c r="AA349" i="1" s="1"/>
  <c r="P373" i="1"/>
  <c r="S373" i="1" s="1"/>
  <c r="T373" i="1" s="1"/>
  <c r="AA373" i="1" s="1"/>
  <c r="N383" i="1"/>
  <c r="N395" i="1"/>
  <c r="P395" i="1"/>
  <c r="S395" i="1" s="1"/>
  <c r="N435" i="1"/>
  <c r="Y435" i="1" s="1"/>
  <c r="N498" i="1"/>
  <c r="P498" i="1"/>
  <c r="S498" i="1" s="1"/>
  <c r="P510" i="1"/>
  <c r="S510" i="1" s="1"/>
  <c r="T510" i="1" s="1"/>
  <c r="AA510" i="1" s="1"/>
  <c r="P658" i="1"/>
  <c r="Q658" i="1" s="1"/>
  <c r="Z658" i="1" s="1"/>
  <c r="S298" i="1"/>
  <c r="T298" i="1" s="1"/>
  <c r="AA298" i="1" s="1"/>
  <c r="P7" i="1"/>
  <c r="Q7" i="1" s="1"/>
  <c r="Z7" i="1" s="1"/>
  <c r="Q280" i="1"/>
  <c r="Z280" i="1" s="1"/>
  <c r="S280" i="1"/>
  <c r="T280" i="1" s="1"/>
  <c r="AA280" i="1" s="1"/>
  <c r="P380" i="1"/>
  <c r="S380" i="1" s="1"/>
  <c r="T380" i="1" s="1"/>
  <c r="AA380" i="1" s="1"/>
  <c r="P506" i="1"/>
  <c r="S506" i="1" s="1"/>
  <c r="T506" i="1" s="1"/>
  <c r="AA506" i="1" s="1"/>
  <c r="S644" i="1"/>
  <c r="T644" i="1" s="1"/>
  <c r="AA644" i="1" s="1"/>
  <c r="Q292" i="1"/>
  <c r="Z292" i="1" s="1"/>
  <c r="S292" i="1"/>
  <c r="T292" i="1" s="1"/>
  <c r="AA292" i="1" s="1"/>
  <c r="S262" i="1"/>
  <c r="T262" i="1" s="1"/>
  <c r="AA262" i="1" s="1"/>
  <c r="K189" i="1"/>
  <c r="X189" i="1" s="1"/>
  <c r="N35" i="1"/>
  <c r="Y35" i="1" s="1"/>
  <c r="N49" i="1"/>
  <c r="N101" i="1"/>
  <c r="Y101" i="1" s="1"/>
  <c r="M190" i="1"/>
  <c r="N190" i="1" s="1"/>
  <c r="Y190" i="1" s="1"/>
  <c r="S230" i="1"/>
  <c r="T230" i="1" s="1"/>
  <c r="AA230" i="1" s="1"/>
  <c r="N253" i="1"/>
  <c r="Q263" i="1"/>
  <c r="Z263" i="1" s="1"/>
  <c r="S263" i="1"/>
  <c r="T263" i="1" s="1"/>
  <c r="AA263" i="1" s="1"/>
  <c r="S294" i="1"/>
  <c r="T294" i="1" s="1"/>
  <c r="AA294" i="1" s="1"/>
  <c r="N303" i="1"/>
  <c r="Y303" i="1" s="1"/>
  <c r="S351" i="1"/>
  <c r="T351" i="1" s="1"/>
  <c r="AA351" i="1" s="1"/>
  <c r="P375" i="1"/>
  <c r="Q375" i="1" s="1"/>
  <c r="Z375" i="1" s="1"/>
  <c r="N385" i="1"/>
  <c r="P385" i="1"/>
  <c r="Q385" i="1" s="1"/>
  <c r="Z385" i="1" s="1"/>
  <c r="P500" i="1"/>
  <c r="S500" i="1" s="1"/>
  <c r="T500" i="1" s="1"/>
  <c r="AA500" i="1" s="1"/>
  <c r="P512" i="1"/>
  <c r="S512" i="1" s="1"/>
  <c r="T512" i="1" s="1"/>
  <c r="AA512" i="1" s="1"/>
  <c r="Q268" i="1"/>
  <c r="Z268" i="1" s="1"/>
  <c r="S268" i="1"/>
  <c r="T268" i="1" s="1"/>
  <c r="AA268" i="1" s="1"/>
  <c r="S290" i="1"/>
  <c r="T290" i="1" s="1"/>
  <c r="AA290" i="1" s="1"/>
  <c r="P391" i="1"/>
  <c r="S391" i="1" s="1"/>
  <c r="T391" i="1" s="1"/>
  <c r="AA391" i="1" s="1"/>
  <c r="Q284" i="1"/>
  <c r="Z284" i="1" s="1"/>
  <c r="S284" i="1"/>
  <c r="T284" i="1" s="1"/>
  <c r="AA284" i="1" s="1"/>
  <c r="P511" i="1"/>
  <c r="S511" i="1" s="1"/>
  <c r="T511" i="1" s="1"/>
  <c r="AA511" i="1" s="1"/>
  <c r="Q582" i="1"/>
  <c r="Z582" i="1" s="1"/>
  <c r="S582" i="1"/>
  <c r="T582" i="1" s="1"/>
  <c r="AA582" i="1" s="1"/>
  <c r="N84" i="1"/>
  <c r="Y84" i="1" s="1"/>
  <c r="Q133" i="1"/>
  <c r="Z133" i="1" s="1"/>
  <c r="S133" i="1"/>
  <c r="T133" i="1" s="1"/>
  <c r="AA133" i="1" s="1"/>
  <c r="M191" i="1"/>
  <c r="P191" i="1" s="1"/>
  <c r="S191" i="1" s="1"/>
  <c r="Q231" i="1"/>
  <c r="Z231" i="1" s="1"/>
  <c r="S231" i="1"/>
  <c r="T231" i="1" s="1"/>
  <c r="AA231" i="1" s="1"/>
  <c r="Q264" i="1"/>
  <c r="Z264" i="1" s="1"/>
  <c r="S264" i="1"/>
  <c r="T264" i="1" s="1"/>
  <c r="AA264" i="1" s="1"/>
  <c r="Q276" i="1"/>
  <c r="Z276" i="1" s="1"/>
  <c r="S276" i="1"/>
  <c r="T276" i="1" s="1"/>
  <c r="AA276" i="1" s="1"/>
  <c r="S286" i="1"/>
  <c r="T286" i="1" s="1"/>
  <c r="AA286" i="1" s="1"/>
  <c r="Q304" i="1"/>
  <c r="S304" i="1"/>
  <c r="T304" i="1" s="1"/>
  <c r="S327" i="1"/>
  <c r="T327" i="1" s="1"/>
  <c r="AA327" i="1" s="1"/>
  <c r="N375" i="1"/>
  <c r="P386" i="1"/>
  <c r="S386" i="1" s="1"/>
  <c r="T386" i="1" s="1"/>
  <c r="AA386" i="1" s="1"/>
  <c r="P407" i="1"/>
  <c r="S456" i="1"/>
  <c r="T456" i="1" s="1"/>
  <c r="AA456" i="1" s="1"/>
  <c r="N464" i="1"/>
  <c r="Y464" i="1" s="1"/>
  <c r="P490" i="1"/>
  <c r="S490" i="1" s="1"/>
  <c r="T490" i="1" s="1"/>
  <c r="AA490" i="1" s="1"/>
  <c r="P501" i="1"/>
  <c r="S501" i="1" s="1"/>
  <c r="T501" i="1" s="1"/>
  <c r="AA501" i="1" s="1"/>
  <c r="S572" i="1"/>
  <c r="T572" i="1" s="1"/>
  <c r="AA572" i="1" s="1"/>
  <c r="S596" i="1"/>
  <c r="T596" i="1" s="1"/>
  <c r="AA596" i="1" s="1"/>
  <c r="Q272" i="1"/>
  <c r="Z272" i="1" s="1"/>
  <c r="S272" i="1"/>
  <c r="T272" i="1" s="1"/>
  <c r="AA272" i="1" s="1"/>
  <c r="S325" i="1"/>
  <c r="T325" i="1" s="1"/>
  <c r="AA325" i="1" s="1"/>
  <c r="S166" i="1"/>
  <c r="T166" i="1" s="1"/>
  <c r="AA166" i="1" s="1"/>
  <c r="M192" i="1"/>
  <c r="P192" i="1" s="1"/>
  <c r="S192" i="1" s="1"/>
  <c r="M206" i="1"/>
  <c r="N206" i="1" s="1"/>
  <c r="Y206" i="1" s="1"/>
  <c r="S232" i="1"/>
  <c r="T232" i="1" s="1"/>
  <c r="Q296" i="1"/>
  <c r="Z296" i="1" s="1"/>
  <c r="S296" i="1"/>
  <c r="T296" i="1" s="1"/>
  <c r="AA296" i="1" s="1"/>
  <c r="Q353" i="1"/>
  <c r="Z353" i="1" s="1"/>
  <c r="S353" i="1"/>
  <c r="T353" i="1" s="1"/>
  <c r="AA353" i="1" s="1"/>
  <c r="S365" i="1"/>
  <c r="T365" i="1" s="1"/>
  <c r="AA365" i="1" s="1"/>
  <c r="P376" i="1"/>
  <c r="Q376" i="1" s="1"/>
  <c r="Z376" i="1" s="1"/>
  <c r="N490" i="1"/>
  <c r="P502" i="1"/>
  <c r="S502" i="1" s="1"/>
  <c r="T502" i="1" s="1"/>
  <c r="AA502" i="1" s="1"/>
  <c r="N715" i="1"/>
  <c r="Y715" i="1" s="1"/>
  <c r="S236" i="1"/>
  <c r="T236" i="1" s="1"/>
  <c r="AA236" i="1" s="1"/>
  <c r="S323" i="1"/>
  <c r="T323" i="1" s="1"/>
  <c r="AA323" i="1" s="1"/>
  <c r="S274" i="1"/>
  <c r="T274" i="1" s="1"/>
  <c r="AA274" i="1" s="1"/>
  <c r="Q363" i="1"/>
  <c r="Z363" i="1" s="1"/>
  <c r="S363" i="1"/>
  <c r="T363" i="1" s="1"/>
  <c r="AA363" i="1" s="1"/>
  <c r="N86" i="1"/>
  <c r="Y86" i="1" s="1"/>
  <c r="N166" i="1"/>
  <c r="Y166" i="1" s="1"/>
  <c r="N255" i="1"/>
  <c r="S266" i="1"/>
  <c r="T266" i="1" s="1"/>
  <c r="AA266" i="1" s="1"/>
  <c r="S278" i="1"/>
  <c r="T278" i="1" s="1"/>
  <c r="AA278" i="1" s="1"/>
  <c r="S317" i="1"/>
  <c r="T317" i="1" s="1"/>
  <c r="AA317" i="1" s="1"/>
  <c r="P377" i="1"/>
  <c r="Q377" i="1" s="1"/>
  <c r="Z377" i="1" s="1"/>
  <c r="P388" i="1"/>
  <c r="S388" i="1" s="1"/>
  <c r="T388" i="1" s="1"/>
  <c r="AA388" i="1" s="1"/>
  <c r="Q466" i="1"/>
  <c r="Z466" i="1" s="1"/>
  <c r="S466" i="1"/>
  <c r="T466" i="1" s="1"/>
  <c r="AA466" i="1" s="1"/>
  <c r="S480" i="1"/>
  <c r="T480" i="1" s="1"/>
  <c r="AA480" i="1" s="1"/>
  <c r="P503" i="1"/>
  <c r="S503" i="1" s="1"/>
  <c r="T503" i="1" s="1"/>
  <c r="AA503" i="1" s="1"/>
  <c r="Q108" i="1"/>
  <c r="Z108" i="1" s="1"/>
  <c r="S108" i="1"/>
  <c r="T108" i="1" s="1"/>
  <c r="AA108" i="1" s="1"/>
  <c r="P493" i="1"/>
  <c r="S493" i="1" s="1"/>
  <c r="T493" i="1" s="1"/>
  <c r="AA493" i="1" s="1"/>
  <c r="P257" i="1"/>
  <c r="S257" i="1" s="1"/>
  <c r="T257" i="1" s="1"/>
  <c r="AA257" i="1" s="1"/>
  <c r="S357" i="1"/>
  <c r="T357" i="1" s="1"/>
  <c r="S282" i="1"/>
  <c r="T282" i="1" s="1"/>
  <c r="AA282" i="1" s="1"/>
  <c r="P499" i="1"/>
  <c r="Q499" i="1" s="1"/>
  <c r="Z499" i="1" s="1"/>
  <c r="N6" i="1"/>
  <c r="N135" i="1"/>
  <c r="Y135" i="1" s="1"/>
  <c r="M208" i="1"/>
  <c r="P208" i="1" s="1"/>
  <c r="S208" i="1" s="1"/>
  <c r="Q234" i="1"/>
  <c r="Z234" i="1" s="1"/>
  <c r="S234" i="1"/>
  <c r="T234" i="1" s="1"/>
  <c r="AA234" i="1" s="1"/>
  <c r="Q288" i="1"/>
  <c r="Z288" i="1" s="1"/>
  <c r="S288" i="1"/>
  <c r="T288" i="1" s="1"/>
  <c r="AA288" i="1" s="1"/>
  <c r="S355" i="1"/>
  <c r="T355" i="1" s="1"/>
  <c r="AA355" i="1" s="1"/>
  <c r="S367" i="1"/>
  <c r="T367" i="1" s="1"/>
  <c r="AA367" i="1" s="1"/>
  <c r="N378" i="1"/>
  <c r="P378" i="1"/>
  <c r="Q378" i="1" s="1"/>
  <c r="Z378" i="1" s="1"/>
  <c r="N389" i="1"/>
  <c r="P389" i="1"/>
  <c r="N409" i="1"/>
  <c r="P492" i="1"/>
  <c r="S492" i="1" s="1"/>
  <c r="T492" i="1" s="1"/>
  <c r="AA492" i="1" s="1"/>
  <c r="P504" i="1"/>
  <c r="S504" i="1" s="1"/>
  <c r="T504" i="1" s="1"/>
  <c r="AA504" i="1" s="1"/>
  <c r="Q255" i="1"/>
  <c r="Z255" i="1" s="1"/>
  <c r="S255" i="1"/>
  <c r="T255" i="1" s="1"/>
  <c r="AA255" i="1" s="1"/>
  <c r="S254" i="1"/>
  <c r="T254" i="1" s="1"/>
  <c r="AA254" i="1" s="1"/>
  <c r="S256" i="1"/>
  <c r="T256" i="1" s="1"/>
  <c r="AA256" i="1" s="1"/>
  <c r="Q258" i="1"/>
  <c r="Z258" i="1" s="1"/>
  <c r="S258" i="1"/>
  <c r="T258" i="1" s="1"/>
  <c r="AA258" i="1" s="1"/>
  <c r="Q630" i="1"/>
  <c r="Z630" i="1" s="1"/>
  <c r="S630" i="1"/>
  <c r="T630" i="1" s="1"/>
  <c r="AA630" i="1" s="1"/>
  <c r="S260" i="1"/>
  <c r="T260" i="1" s="1"/>
  <c r="AA260" i="1" s="1"/>
  <c r="S253" i="1"/>
  <c r="T253" i="1" s="1"/>
  <c r="AA253" i="1" s="1"/>
  <c r="N388" i="1"/>
  <c r="S245" i="1"/>
  <c r="T245" i="1" s="1"/>
  <c r="AA245" i="1" s="1"/>
  <c r="Q250" i="1"/>
  <c r="Z250" i="1" s="1"/>
  <c r="S250" i="1"/>
  <c r="T250" i="1" s="1"/>
  <c r="AA250" i="1" s="1"/>
  <c r="Q242" i="1"/>
  <c r="Z242" i="1" s="1"/>
  <c r="S242" i="1"/>
  <c r="T242" i="1" s="1"/>
  <c r="AA242" i="1" s="1"/>
  <c r="N624" i="1"/>
  <c r="Y624" i="1" s="1"/>
  <c r="N245" i="1"/>
  <c r="S252" i="1"/>
  <c r="T252" i="1" s="1"/>
  <c r="AA252" i="1" s="1"/>
  <c r="Q383" i="1"/>
  <c r="Z383" i="1" s="1"/>
  <c r="S383" i="1"/>
  <c r="T383" i="1" s="1"/>
  <c r="AA383" i="1" s="1"/>
  <c r="S240" i="1"/>
  <c r="T240" i="1" s="1"/>
  <c r="AA240" i="1" s="1"/>
  <c r="S246" i="1"/>
  <c r="T246" i="1" s="1"/>
  <c r="AA246" i="1" s="1"/>
  <c r="Q247" i="1"/>
  <c r="Z247" i="1" s="1"/>
  <c r="S247" i="1"/>
  <c r="T247" i="1" s="1"/>
  <c r="AA247" i="1" s="1"/>
  <c r="S620" i="1"/>
  <c r="T620" i="1" s="1"/>
  <c r="AA620" i="1" s="1"/>
  <c r="S248" i="1"/>
  <c r="T248" i="1" s="1"/>
  <c r="AA248" i="1" s="1"/>
  <c r="P249" i="1"/>
  <c r="Q249" i="1" s="1"/>
  <c r="Z249" i="1" s="1"/>
  <c r="S244" i="1"/>
  <c r="T244" i="1" s="1"/>
  <c r="AA244" i="1" s="1"/>
  <c r="Q248" i="1"/>
  <c r="Z248" i="1" s="1"/>
  <c r="Q149" i="1"/>
  <c r="Z149" i="1" s="1"/>
  <c r="S149" i="1"/>
  <c r="T149" i="1" s="1"/>
  <c r="AA149" i="1" s="1"/>
  <c r="P24" i="1"/>
  <c r="Q24" i="1" s="1"/>
  <c r="Z24" i="1" s="1"/>
  <c r="K196" i="1"/>
  <c r="X196" i="1" s="1"/>
  <c r="N614" i="1"/>
  <c r="Y614" i="1" s="1"/>
  <c r="Q608" i="1"/>
  <c r="Z608" i="1" s="1"/>
  <c r="P634" i="1"/>
  <c r="Q634" i="1" s="1"/>
  <c r="Z634" i="1" s="1"/>
  <c r="N662" i="1"/>
  <c r="Y662" i="1" s="1"/>
  <c r="N646" i="1"/>
  <c r="N672" i="1"/>
  <c r="Y672" i="1" s="1"/>
  <c r="N644" i="1"/>
  <c r="S610" i="1"/>
  <c r="P656" i="1"/>
  <c r="N709" i="1"/>
  <c r="Y709" i="1" s="1"/>
  <c r="N620" i="1"/>
  <c r="Y620" i="1" s="1"/>
  <c r="N703" i="1"/>
  <c r="Y703" i="1" s="1"/>
  <c r="N670" i="1"/>
  <c r="Y670" i="1" s="1"/>
  <c r="N622" i="1"/>
  <c r="Y622" i="1" s="1"/>
  <c r="N668" i="1"/>
  <c r="Y668" i="1" s="1"/>
  <c r="N574" i="1"/>
  <c r="Y574" i="1" s="1"/>
  <c r="P484" i="1"/>
  <c r="Q484" i="1" s="1"/>
  <c r="Z484" i="1" s="1"/>
  <c r="N596" i="1"/>
  <c r="Y596" i="1" s="1"/>
  <c r="N576" i="1"/>
  <c r="Y576" i="1" s="1"/>
  <c r="N598" i="1"/>
  <c r="Y598" i="1" s="1"/>
  <c r="N510" i="1"/>
  <c r="Y510" i="1" s="1"/>
  <c r="N572" i="1"/>
  <c r="Y572" i="1" s="1"/>
  <c r="N540" i="1"/>
  <c r="Y540" i="1" s="1"/>
  <c r="P586" i="1"/>
  <c r="N514" i="1"/>
  <c r="Y514" i="1" s="1"/>
  <c r="P522" i="1"/>
  <c r="P533" i="1"/>
  <c r="N548" i="1"/>
  <c r="Y548" i="1" s="1"/>
  <c r="N486" i="1"/>
  <c r="N488" i="1"/>
  <c r="N506" i="1"/>
  <c r="N534" i="1"/>
  <c r="Y534" i="1" s="1"/>
  <c r="N542" i="1"/>
  <c r="Y542" i="1" s="1"/>
  <c r="P551" i="1"/>
  <c r="Q551" i="1" s="1"/>
  <c r="Z551" i="1" s="1"/>
  <c r="Q572" i="1"/>
  <c r="Z572" i="1" s="1"/>
  <c r="N518" i="1"/>
  <c r="Y518" i="1" s="1"/>
  <c r="P545" i="1"/>
  <c r="S545" i="1" s="1"/>
  <c r="N520" i="1"/>
  <c r="P539" i="1"/>
  <c r="S539" i="1" s="1"/>
  <c r="P584" i="1"/>
  <c r="N502" i="1"/>
  <c r="N546" i="1"/>
  <c r="Y546" i="1" s="1"/>
  <c r="T429" i="1"/>
  <c r="AA429" i="1" s="1"/>
  <c r="Q429" i="1"/>
  <c r="Z429" i="1" s="1"/>
  <c r="N418" i="1"/>
  <c r="Y418" i="1" s="1"/>
  <c r="P450" i="1"/>
  <c r="S450" i="1" s="1"/>
  <c r="T450" i="1" s="1"/>
  <c r="AA450" i="1" s="1"/>
  <c r="N412" i="1"/>
  <c r="P419" i="1"/>
  <c r="N429" i="1"/>
  <c r="Y429" i="1" s="1"/>
  <c r="P470" i="1"/>
  <c r="N397" i="1"/>
  <c r="Y397" i="1" s="1"/>
  <c r="P413" i="1"/>
  <c r="S413" i="1" s="1"/>
  <c r="N462" i="1"/>
  <c r="Y462" i="1" s="1"/>
  <c r="N391" i="1"/>
  <c r="P439" i="1"/>
  <c r="S439" i="1" s="1"/>
  <c r="T439" i="1" s="1"/>
  <c r="AA439" i="1" s="1"/>
  <c r="P472" i="1"/>
  <c r="N380" i="1"/>
  <c r="N400" i="1"/>
  <c r="Y400" i="1" s="1"/>
  <c r="N415" i="1"/>
  <c r="N386" i="1"/>
  <c r="N373" i="1"/>
  <c r="N394" i="1"/>
  <c r="P401" i="1"/>
  <c r="N466" i="1"/>
  <c r="Y466" i="1" s="1"/>
  <c r="Q325" i="1"/>
  <c r="Z325" i="1" s="1"/>
  <c r="Q321" i="1"/>
  <c r="Z321" i="1" s="1"/>
  <c r="Q319" i="1"/>
  <c r="Z319" i="1" s="1"/>
  <c r="N295" i="1"/>
  <c r="Y295" i="1" s="1"/>
  <c r="N283" i="1"/>
  <c r="N271" i="1"/>
  <c r="N275" i="1"/>
  <c r="N267" i="1"/>
  <c r="N261" i="1"/>
  <c r="Y261" i="1" s="1"/>
  <c r="Q261" i="1"/>
  <c r="Z261" i="1" s="1"/>
  <c r="Q245" i="1"/>
  <c r="Z245" i="1" s="1"/>
  <c r="N247" i="1"/>
  <c r="P241" i="1"/>
  <c r="Q241" i="1" s="1"/>
  <c r="Z241" i="1" s="1"/>
  <c r="N237" i="1"/>
  <c r="Q232" i="1"/>
  <c r="P233" i="1"/>
  <c r="Q233" i="1" s="1"/>
  <c r="T210" i="1"/>
  <c r="AA210" i="1" s="1"/>
  <c r="P189" i="1"/>
  <c r="T147" i="1"/>
  <c r="AA147" i="1" s="1"/>
  <c r="Q147" i="1"/>
  <c r="Z147" i="1" s="1"/>
  <c r="P161" i="1"/>
  <c r="P151" i="1"/>
  <c r="Q151" i="1" s="1"/>
  <c r="Z151" i="1" s="1"/>
  <c r="N147" i="1"/>
  <c r="Y147" i="1" s="1"/>
  <c r="N155" i="1"/>
  <c r="Y155" i="1" s="1"/>
  <c r="N97" i="1"/>
  <c r="Y97" i="1" s="1"/>
  <c r="N111" i="1"/>
  <c r="P76" i="1"/>
  <c r="N90" i="1"/>
  <c r="Y90" i="1" s="1"/>
  <c r="N93" i="1"/>
  <c r="Y93" i="1" s="1"/>
  <c r="P105" i="1"/>
  <c r="N82" i="1"/>
  <c r="Y82" i="1" s="1"/>
  <c r="N95" i="1"/>
  <c r="N74" i="1"/>
  <c r="N40" i="1"/>
  <c r="N36" i="1"/>
  <c r="Y36" i="1" s="1"/>
  <c r="N33" i="1"/>
  <c r="N43" i="1"/>
  <c r="N26" i="1"/>
  <c r="T185" i="1"/>
  <c r="AA185" i="1" s="1"/>
  <c r="Q185" i="1"/>
  <c r="N185" i="1"/>
  <c r="P131" i="1"/>
  <c r="Q131" i="1" s="1"/>
  <c r="N70" i="1"/>
  <c r="N72" i="1"/>
  <c r="N73" i="1"/>
  <c r="N24" i="1"/>
  <c r="Y24" i="1" s="1"/>
  <c r="N19" i="1"/>
  <c r="N15" i="1"/>
  <c r="N11" i="1"/>
  <c r="T102" i="1"/>
  <c r="AA102" i="1" s="1"/>
  <c r="Q102" i="1"/>
  <c r="Z102" i="1" s="1"/>
  <c r="T9" i="1"/>
  <c r="AA9" i="1" s="1"/>
  <c r="T80" i="1"/>
  <c r="AA80" i="1" s="1"/>
  <c r="Q80" i="1"/>
  <c r="Z80" i="1" s="1"/>
  <c r="T48" i="1"/>
  <c r="AA48" i="1" s="1"/>
  <c r="Q48" i="1"/>
  <c r="Z48" i="1" s="1"/>
  <c r="T92" i="1"/>
  <c r="AA92" i="1" s="1"/>
  <c r="Q92" i="1"/>
  <c r="Z92" i="1" s="1"/>
  <c r="T35" i="1"/>
  <c r="AA35" i="1" s="1"/>
  <c r="Q35" i="1"/>
  <c r="Z35" i="1" s="1"/>
  <c r="Q13" i="1"/>
  <c r="Z13" i="1" s="1"/>
  <c r="T13" i="1"/>
  <c r="AA13" i="1" s="1"/>
  <c r="T84" i="1"/>
  <c r="AA84" i="1" s="1"/>
  <c r="Q84" i="1"/>
  <c r="Z84" i="1" s="1"/>
  <c r="T38" i="1"/>
  <c r="AA38" i="1" s="1"/>
  <c r="Q38" i="1"/>
  <c r="Z38" i="1" s="1"/>
  <c r="T69" i="1"/>
  <c r="AA69" i="1" s="1"/>
  <c r="Q69" i="1"/>
  <c r="T5" i="1"/>
  <c r="Q5" i="1"/>
  <c r="Q27" i="1"/>
  <c r="Z27" i="1" s="1"/>
  <c r="T27" i="1"/>
  <c r="AA27" i="1" s="1"/>
  <c r="T73" i="1"/>
  <c r="Q73" i="1"/>
  <c r="Q17" i="1"/>
  <c r="Z17" i="1" s="1"/>
  <c r="T17" i="1"/>
  <c r="AA17" i="1" s="1"/>
  <c r="T41" i="1"/>
  <c r="AA41" i="1" s="1"/>
  <c r="Q41" i="1"/>
  <c r="Z41" i="1" s="1"/>
  <c r="T20" i="1"/>
  <c r="AA20" i="1" s="1"/>
  <c r="Q20" i="1"/>
  <c r="Z20" i="1" s="1"/>
  <c r="T99" i="1"/>
  <c r="AA99" i="1" s="1"/>
  <c r="Q99" i="1"/>
  <c r="Z99" i="1" s="1"/>
  <c r="T88" i="1"/>
  <c r="AA88" i="1" s="1"/>
  <c r="Q88" i="1"/>
  <c r="Z88" i="1" s="1"/>
  <c r="P354" i="1"/>
  <c r="S354" i="1" s="1"/>
  <c r="N354" i="1"/>
  <c r="Y354" i="1" s="1"/>
  <c r="P277" i="1"/>
  <c r="S277" i="1" s="1"/>
  <c r="N277" i="1"/>
  <c r="N13" i="1"/>
  <c r="N38" i="1"/>
  <c r="T45" i="1"/>
  <c r="AA45" i="1" s="1"/>
  <c r="Q45" i="1"/>
  <c r="Z45" i="1" s="1"/>
  <c r="P71" i="1"/>
  <c r="S71" i="1" s="1"/>
  <c r="N88" i="1"/>
  <c r="T97" i="1"/>
  <c r="AA97" i="1" s="1"/>
  <c r="Q97" i="1"/>
  <c r="Z97" i="1" s="1"/>
  <c r="P305" i="1"/>
  <c r="S305" i="1" s="1"/>
  <c r="N305" i="1"/>
  <c r="P454" i="1"/>
  <c r="S454" i="1" s="1"/>
  <c r="N454" i="1"/>
  <c r="Y454" i="1" s="1"/>
  <c r="T670" i="1"/>
  <c r="AA670" i="1" s="1"/>
  <c r="Q670" i="1"/>
  <c r="Z670" i="1" s="1"/>
  <c r="P686" i="1"/>
  <c r="S686" i="1" s="1"/>
  <c r="N686" i="1"/>
  <c r="Y686" i="1" s="1"/>
  <c r="T698" i="1"/>
  <c r="AA698" i="1" s="1"/>
  <c r="Q698" i="1"/>
  <c r="Z698" i="1" s="1"/>
  <c r="T709" i="1"/>
  <c r="AA709" i="1" s="1"/>
  <c r="Q709" i="1"/>
  <c r="Z709" i="1" s="1"/>
  <c r="P113" i="1"/>
  <c r="S113" i="1" s="1"/>
  <c r="N113" i="1"/>
  <c r="Y113" i="1" s="1"/>
  <c r="P251" i="1"/>
  <c r="S251" i="1" s="1"/>
  <c r="N251" i="1"/>
  <c r="N5" i="1"/>
  <c r="T114" i="1"/>
  <c r="AA114" i="1" s="1"/>
  <c r="Q114" i="1"/>
  <c r="Z114" i="1" s="1"/>
  <c r="T139" i="1"/>
  <c r="AA139" i="1" s="1"/>
  <c r="Q139" i="1"/>
  <c r="Z139" i="1" s="1"/>
  <c r="P163" i="1"/>
  <c r="S163" i="1" s="1"/>
  <c r="N163" i="1"/>
  <c r="Y163" i="1" s="1"/>
  <c r="P235" i="1"/>
  <c r="S235" i="1" s="1"/>
  <c r="N235" i="1"/>
  <c r="P285" i="1"/>
  <c r="S285" i="1" s="1"/>
  <c r="N285" i="1"/>
  <c r="Y285" i="1" s="1"/>
  <c r="T431" i="1"/>
  <c r="AA431" i="1" s="1"/>
  <c r="Q431" i="1"/>
  <c r="Z431" i="1" s="1"/>
  <c r="T524" i="1"/>
  <c r="AA524" i="1" s="1"/>
  <c r="Q524" i="1"/>
  <c r="Z524" i="1" s="1"/>
  <c r="T616" i="1"/>
  <c r="AA616" i="1" s="1"/>
  <c r="Q616" i="1"/>
  <c r="Z616" i="1" s="1"/>
  <c r="T78" i="1"/>
  <c r="AA78" i="1" s="1"/>
  <c r="Q78" i="1"/>
  <c r="Z78" i="1" s="1"/>
  <c r="T8" i="1"/>
  <c r="Q8" i="1"/>
  <c r="P150" i="1"/>
  <c r="S150" i="1" s="1"/>
  <c r="N150" i="1"/>
  <c r="Y150" i="1" s="1"/>
  <c r="Q155" i="1"/>
  <c r="Z155" i="1" s="1"/>
  <c r="Q229" i="1"/>
  <c r="Z229" i="1" s="1"/>
  <c r="P265" i="1"/>
  <c r="S265" i="1" s="1"/>
  <c r="N265" i="1"/>
  <c r="Y265" i="1" s="1"/>
  <c r="Q349" i="1"/>
  <c r="Z349" i="1" s="1"/>
  <c r="P423" i="1"/>
  <c r="S423" i="1" s="1"/>
  <c r="N423" i="1"/>
  <c r="Y423" i="1" s="1"/>
  <c r="T517" i="1"/>
  <c r="AA517" i="1" s="1"/>
  <c r="Q517" i="1"/>
  <c r="Z517" i="1" s="1"/>
  <c r="T535" i="1"/>
  <c r="AA535" i="1" s="1"/>
  <c r="Q535" i="1"/>
  <c r="Z535" i="1" s="1"/>
  <c r="N80" i="1"/>
  <c r="Y80" i="1" s="1"/>
  <c r="N20" i="1"/>
  <c r="N48" i="1"/>
  <c r="N99" i="1"/>
  <c r="Q253" i="1"/>
  <c r="Z253" i="1" s="1"/>
  <c r="P259" i="1"/>
  <c r="S259" i="1" s="1"/>
  <c r="N259" i="1"/>
  <c r="P293" i="1"/>
  <c r="S293" i="1" s="1"/>
  <c r="N293" i="1"/>
  <c r="Y293" i="1" s="1"/>
  <c r="T358" i="1"/>
  <c r="AA358" i="1" s="1"/>
  <c r="Q358" i="1"/>
  <c r="Z358" i="1" s="1"/>
  <c r="T518" i="1"/>
  <c r="AA518" i="1" s="1"/>
  <c r="Q518" i="1"/>
  <c r="Z518" i="1" s="1"/>
  <c r="T526" i="1"/>
  <c r="AA526" i="1" s="1"/>
  <c r="Q526" i="1"/>
  <c r="Z526" i="1" s="1"/>
  <c r="P297" i="1"/>
  <c r="S297" i="1" s="1"/>
  <c r="N297" i="1"/>
  <c r="Y297" i="1" s="1"/>
  <c r="T707" i="1"/>
  <c r="AA707" i="1" s="1"/>
  <c r="Q707" i="1"/>
  <c r="Z707" i="1" s="1"/>
  <c r="T82" i="1"/>
  <c r="AA82" i="1" s="1"/>
  <c r="Q82" i="1"/>
  <c r="Z82" i="1" s="1"/>
  <c r="P273" i="1"/>
  <c r="S273" i="1" s="1"/>
  <c r="N273" i="1"/>
  <c r="T409" i="1"/>
  <c r="AA409" i="1" s="1"/>
  <c r="Q409" i="1"/>
  <c r="Z409" i="1" s="1"/>
  <c r="P416" i="1"/>
  <c r="S416" i="1" s="1"/>
  <c r="N416" i="1"/>
  <c r="T425" i="1"/>
  <c r="AA425" i="1" s="1"/>
  <c r="Q425" i="1"/>
  <c r="Z425" i="1" s="1"/>
  <c r="T90" i="1"/>
  <c r="AA90" i="1" s="1"/>
  <c r="Q90" i="1"/>
  <c r="Z90" i="1" s="1"/>
  <c r="N41" i="1"/>
  <c r="P301" i="1"/>
  <c r="S301" i="1" s="1"/>
  <c r="N301" i="1"/>
  <c r="Y301" i="1" s="1"/>
  <c r="P320" i="1"/>
  <c r="S320" i="1" s="1"/>
  <c r="N320" i="1"/>
  <c r="Y320" i="1" s="1"/>
  <c r="Q359" i="1"/>
  <c r="Z359" i="1" s="1"/>
  <c r="P417" i="1"/>
  <c r="S417" i="1" s="1"/>
  <c r="N417" i="1"/>
  <c r="Y417" i="1" s="1"/>
  <c r="T491" i="1"/>
  <c r="AA491" i="1" s="1"/>
  <c r="Q491" i="1"/>
  <c r="Z491" i="1" s="1"/>
  <c r="P137" i="1"/>
  <c r="S137" i="1" s="1"/>
  <c r="N137" i="1"/>
  <c r="Y137" i="1" s="1"/>
  <c r="Q240" i="1"/>
  <c r="Z240" i="1" s="1"/>
  <c r="T19" i="1"/>
  <c r="AA19" i="1" s="1"/>
  <c r="Q19" i="1"/>
  <c r="Z19" i="1" s="1"/>
  <c r="N9" i="1"/>
  <c r="N27" i="1"/>
  <c r="T49" i="1"/>
  <c r="AA49" i="1" s="1"/>
  <c r="Q49" i="1"/>
  <c r="Z49" i="1" s="1"/>
  <c r="N92" i="1"/>
  <c r="Y92" i="1" s="1"/>
  <c r="T101" i="1"/>
  <c r="AA101" i="1" s="1"/>
  <c r="Q101" i="1"/>
  <c r="Z101" i="1" s="1"/>
  <c r="P243" i="1"/>
  <c r="S243" i="1" s="1"/>
  <c r="N243" i="1"/>
  <c r="T6" i="1"/>
  <c r="AA6" i="1" s="1"/>
  <c r="Q6" i="1"/>
  <c r="N69" i="1"/>
  <c r="T74" i="1"/>
  <c r="AA74" i="1" s="1"/>
  <c r="Q74" i="1"/>
  <c r="Z74" i="1" s="1"/>
  <c r="P160" i="1"/>
  <c r="S160" i="1" s="1"/>
  <c r="N160" i="1"/>
  <c r="Y160" i="1" s="1"/>
  <c r="Q166" i="1"/>
  <c r="Z166" i="1" s="1"/>
  <c r="P196" i="1"/>
  <c r="S196" i="1" s="1"/>
  <c r="N196" i="1"/>
  <c r="Y196" i="1" s="1"/>
  <c r="Q237" i="1"/>
  <c r="Z237" i="1" s="1"/>
  <c r="P281" i="1"/>
  <c r="S281" i="1" s="1"/>
  <c r="N281" i="1"/>
  <c r="T368" i="1"/>
  <c r="AA368" i="1" s="1"/>
  <c r="Q368" i="1"/>
  <c r="Z368" i="1" s="1"/>
  <c r="T476" i="1"/>
  <c r="AA476" i="1" s="1"/>
  <c r="Q476" i="1"/>
  <c r="Z476" i="1" s="1"/>
  <c r="S379" i="1"/>
  <c r="N379" i="1"/>
  <c r="T72" i="1"/>
  <c r="AA72" i="1" s="1"/>
  <c r="Q72" i="1"/>
  <c r="Z72" i="1" s="1"/>
  <c r="T33" i="1"/>
  <c r="AA33" i="1" s="1"/>
  <c r="Q33" i="1"/>
  <c r="Z33" i="1" s="1"/>
  <c r="T15" i="1"/>
  <c r="AA15" i="1" s="1"/>
  <c r="Q15" i="1"/>
  <c r="Z15" i="1" s="1"/>
  <c r="P143" i="1"/>
  <c r="S143" i="1" s="1"/>
  <c r="N143" i="1"/>
  <c r="Y143" i="1" s="1"/>
  <c r="T43" i="1"/>
  <c r="AA43" i="1" s="1"/>
  <c r="Q43" i="1"/>
  <c r="Z43" i="1" s="1"/>
  <c r="T93" i="1"/>
  <c r="AA93" i="1" s="1"/>
  <c r="Q93" i="1"/>
  <c r="Z93" i="1" s="1"/>
  <c r="P109" i="1"/>
  <c r="S109" i="1" s="1"/>
  <c r="N109" i="1"/>
  <c r="Y109" i="1" s="1"/>
  <c r="P134" i="1"/>
  <c r="S134" i="1" s="1"/>
  <c r="N134" i="1"/>
  <c r="T369" i="1"/>
  <c r="AA369" i="1" s="1"/>
  <c r="Q369" i="1"/>
  <c r="Z369" i="1" s="1"/>
  <c r="P467" i="1"/>
  <c r="S467" i="1" s="1"/>
  <c r="N467" i="1"/>
  <c r="Y467" i="1" s="1"/>
  <c r="Q26" i="1"/>
  <c r="Z26" i="1" s="1"/>
  <c r="N17" i="1"/>
  <c r="T70" i="1"/>
  <c r="Q70" i="1"/>
  <c r="N102" i="1"/>
  <c r="Y102" i="1" s="1"/>
  <c r="T111" i="1"/>
  <c r="AA111" i="1" s="1"/>
  <c r="Q111" i="1"/>
  <c r="Z111" i="1" s="1"/>
  <c r="T135" i="1"/>
  <c r="AA135" i="1" s="1"/>
  <c r="Q135" i="1"/>
  <c r="Z135" i="1" s="1"/>
  <c r="P289" i="1"/>
  <c r="S289" i="1" s="1"/>
  <c r="N289" i="1"/>
  <c r="Y289" i="1" s="1"/>
  <c r="P330" i="1"/>
  <c r="S330" i="1" s="1"/>
  <c r="N330" i="1"/>
  <c r="Y330" i="1" s="1"/>
  <c r="T468" i="1"/>
  <c r="AA468" i="1" s="1"/>
  <c r="Q468" i="1"/>
  <c r="Z468" i="1" s="1"/>
  <c r="T44" i="1"/>
  <c r="AA44" i="1" s="1"/>
  <c r="Q44" i="1"/>
  <c r="Z44" i="1" s="1"/>
  <c r="T95" i="1"/>
  <c r="AA95" i="1" s="1"/>
  <c r="Q95" i="1"/>
  <c r="Z95" i="1" s="1"/>
  <c r="T40" i="1"/>
  <c r="AA40" i="1" s="1"/>
  <c r="Q40" i="1"/>
  <c r="Z40" i="1" s="1"/>
  <c r="P183" i="1"/>
  <c r="S183" i="1" s="1"/>
  <c r="N183" i="1"/>
  <c r="T11" i="1"/>
  <c r="AA11" i="1" s="1"/>
  <c r="Q11" i="1"/>
  <c r="Z11" i="1" s="1"/>
  <c r="T29" i="1"/>
  <c r="AA29" i="1" s="1"/>
  <c r="Q29" i="1"/>
  <c r="Z29" i="1" s="1"/>
  <c r="T36" i="1"/>
  <c r="AA36" i="1" s="1"/>
  <c r="Q36" i="1"/>
  <c r="Z36" i="1" s="1"/>
  <c r="T86" i="1"/>
  <c r="AA86" i="1" s="1"/>
  <c r="Q86" i="1"/>
  <c r="Z86" i="1" s="1"/>
  <c r="P153" i="1"/>
  <c r="S153" i="1" s="1"/>
  <c r="N153" i="1"/>
  <c r="Y153" i="1" s="1"/>
  <c r="Q256" i="1"/>
  <c r="Z256" i="1" s="1"/>
  <c r="P269" i="1"/>
  <c r="S269" i="1" s="1"/>
  <c r="N269" i="1"/>
  <c r="T331" i="1"/>
  <c r="AA331" i="1" s="1"/>
  <c r="Q331" i="1"/>
  <c r="Z331" i="1" s="1"/>
  <c r="P326" i="1"/>
  <c r="S326" i="1" s="1"/>
  <c r="N326" i="1"/>
  <c r="Y326" i="1" s="1"/>
  <c r="T364" i="1"/>
  <c r="AA364" i="1" s="1"/>
  <c r="Q364" i="1"/>
  <c r="Z364" i="1" s="1"/>
  <c r="S384" i="1"/>
  <c r="N384" i="1"/>
  <c r="T403" i="1"/>
  <c r="AA403" i="1" s="1"/>
  <c r="Q403" i="1"/>
  <c r="Z403" i="1" s="1"/>
  <c r="P410" i="1"/>
  <c r="S410" i="1" s="1"/>
  <c r="N410" i="1"/>
  <c r="P432" i="1"/>
  <c r="S432" i="1" s="1"/>
  <c r="N432" i="1"/>
  <c r="Y432" i="1" s="1"/>
  <c r="T462" i="1"/>
  <c r="AA462" i="1" s="1"/>
  <c r="Q462" i="1"/>
  <c r="Z462" i="1" s="1"/>
  <c r="Q654" i="1"/>
  <c r="Z654" i="1" s="1"/>
  <c r="T654" i="1"/>
  <c r="AA654" i="1" s="1"/>
  <c r="P132" i="1"/>
  <c r="S132" i="1" s="1"/>
  <c r="N132" i="1"/>
  <c r="P148" i="1"/>
  <c r="S148" i="1" s="1"/>
  <c r="N148" i="1"/>
  <c r="Y148" i="1" s="1"/>
  <c r="P156" i="1"/>
  <c r="S156" i="1" s="1"/>
  <c r="N156" i="1"/>
  <c r="Y156" i="1" s="1"/>
  <c r="P167" i="1"/>
  <c r="S167" i="1" s="1"/>
  <c r="N167" i="1"/>
  <c r="Y167" i="1" s="1"/>
  <c r="P186" i="1"/>
  <c r="S186" i="1" s="1"/>
  <c r="N186" i="1"/>
  <c r="P194" i="1"/>
  <c r="S194" i="1" s="1"/>
  <c r="N194" i="1"/>
  <c r="Y194" i="1" s="1"/>
  <c r="Q262" i="1"/>
  <c r="Z262" i="1" s="1"/>
  <c r="Q317" i="1"/>
  <c r="Z317" i="1" s="1"/>
  <c r="P350" i="1"/>
  <c r="S350" i="1" s="1"/>
  <c r="N350" i="1"/>
  <c r="Y350" i="1" s="1"/>
  <c r="Q355" i="1"/>
  <c r="Z355" i="1" s="1"/>
  <c r="N374" i="1"/>
  <c r="P411" i="1"/>
  <c r="S411" i="1" s="1"/>
  <c r="N411" i="1"/>
  <c r="T433" i="1"/>
  <c r="AA433" i="1" s="1"/>
  <c r="Q433" i="1"/>
  <c r="Z433" i="1" s="1"/>
  <c r="T520" i="1"/>
  <c r="AA520" i="1" s="1"/>
  <c r="Q520" i="1"/>
  <c r="Z520" i="1" s="1"/>
  <c r="N114" i="1"/>
  <c r="Y114" i="1" s="1"/>
  <c r="N139" i="1"/>
  <c r="Y139" i="1" s="1"/>
  <c r="Q230" i="1"/>
  <c r="Z230" i="1" s="1"/>
  <c r="Q238" i="1"/>
  <c r="Z238" i="1" s="1"/>
  <c r="Q246" i="1"/>
  <c r="Z246" i="1" s="1"/>
  <c r="Q254" i="1"/>
  <c r="Z254" i="1" s="1"/>
  <c r="Q266" i="1"/>
  <c r="Z266" i="1" s="1"/>
  <c r="Q270" i="1"/>
  <c r="Z270" i="1" s="1"/>
  <c r="Q274" i="1"/>
  <c r="Z274" i="1" s="1"/>
  <c r="Q278" i="1"/>
  <c r="Z278" i="1" s="1"/>
  <c r="Q282" i="1"/>
  <c r="Z282" i="1" s="1"/>
  <c r="Q286" i="1"/>
  <c r="Z286" i="1" s="1"/>
  <c r="Q290" i="1"/>
  <c r="Z290" i="1" s="1"/>
  <c r="Q294" i="1"/>
  <c r="Z294" i="1" s="1"/>
  <c r="Q298" i="1"/>
  <c r="Z298" i="1" s="1"/>
  <c r="Q302" i="1"/>
  <c r="Z302" i="1" s="1"/>
  <c r="P322" i="1"/>
  <c r="S322" i="1" s="1"/>
  <c r="N322" i="1"/>
  <c r="Y322" i="1" s="1"/>
  <c r="Q327" i="1"/>
  <c r="Z327" i="1" s="1"/>
  <c r="T360" i="1"/>
  <c r="AA360" i="1" s="1"/>
  <c r="Q360" i="1"/>
  <c r="Z360" i="1" s="1"/>
  <c r="Q365" i="1"/>
  <c r="Z365" i="1" s="1"/>
  <c r="T397" i="1"/>
  <c r="AA397" i="1" s="1"/>
  <c r="Q397" i="1"/>
  <c r="Z397" i="1" s="1"/>
  <c r="P404" i="1"/>
  <c r="S404" i="1" s="1"/>
  <c r="N404" i="1"/>
  <c r="Q456" i="1"/>
  <c r="Z456" i="1" s="1"/>
  <c r="P463" i="1"/>
  <c r="S463" i="1" s="1"/>
  <c r="N463" i="1"/>
  <c r="Y463" i="1" s="1"/>
  <c r="T486" i="1"/>
  <c r="AA486" i="1" s="1"/>
  <c r="Q486" i="1"/>
  <c r="Z486" i="1" s="1"/>
  <c r="P528" i="1"/>
  <c r="S528" i="1" s="1"/>
  <c r="N528" i="1"/>
  <c r="P104" i="1"/>
  <c r="S104" i="1" s="1"/>
  <c r="N104" i="1"/>
  <c r="Y104" i="1" s="1"/>
  <c r="P130" i="1"/>
  <c r="S130" i="1" s="1"/>
  <c r="N130" i="1"/>
  <c r="P346" i="1"/>
  <c r="S346" i="1" s="1"/>
  <c r="N346" i="1"/>
  <c r="Y346" i="1" s="1"/>
  <c r="Q351" i="1"/>
  <c r="Z351" i="1" s="1"/>
  <c r="T370" i="1"/>
  <c r="AA370" i="1" s="1"/>
  <c r="Q370" i="1"/>
  <c r="Z370" i="1" s="1"/>
  <c r="P405" i="1"/>
  <c r="S405" i="1" s="1"/>
  <c r="N405" i="1"/>
  <c r="T427" i="1"/>
  <c r="AA427" i="1" s="1"/>
  <c r="Q427" i="1"/>
  <c r="Z427" i="1" s="1"/>
  <c r="T464" i="1"/>
  <c r="AA464" i="1" s="1"/>
  <c r="Q464" i="1"/>
  <c r="Z464" i="1" s="1"/>
  <c r="P145" i="1"/>
  <c r="S145" i="1" s="1"/>
  <c r="N145" i="1"/>
  <c r="Y145" i="1" s="1"/>
  <c r="P154" i="1"/>
  <c r="S154" i="1" s="1"/>
  <c r="N154" i="1"/>
  <c r="Y154" i="1" s="1"/>
  <c r="P164" i="1"/>
  <c r="S164" i="1" s="1"/>
  <c r="N164" i="1"/>
  <c r="Y164" i="1" s="1"/>
  <c r="P184" i="1"/>
  <c r="S184" i="1" s="1"/>
  <c r="N184" i="1"/>
  <c r="P318" i="1"/>
  <c r="S318" i="1" s="1"/>
  <c r="N318" i="1"/>
  <c r="Y318" i="1" s="1"/>
  <c r="Q323" i="1"/>
  <c r="Z323" i="1" s="1"/>
  <c r="P356" i="1"/>
  <c r="S356" i="1" s="1"/>
  <c r="N356" i="1"/>
  <c r="Y356" i="1" s="1"/>
  <c r="P398" i="1"/>
  <c r="S398" i="1" s="1"/>
  <c r="N398" i="1"/>
  <c r="Q480" i="1"/>
  <c r="Z480" i="1" s="1"/>
  <c r="T487" i="1"/>
  <c r="AA487" i="1" s="1"/>
  <c r="Q487" i="1"/>
  <c r="Z487" i="1" s="1"/>
  <c r="T513" i="1"/>
  <c r="AA513" i="1" s="1"/>
  <c r="Q513" i="1"/>
  <c r="Z513" i="1" s="1"/>
  <c r="P638" i="1"/>
  <c r="S638" i="1" s="1"/>
  <c r="N638" i="1"/>
  <c r="Y638" i="1" s="1"/>
  <c r="Q228" i="1"/>
  <c r="Z228" i="1" s="1"/>
  <c r="Q236" i="1"/>
  <c r="Z236" i="1" s="1"/>
  <c r="Q244" i="1"/>
  <c r="Z244" i="1" s="1"/>
  <c r="Q252" i="1"/>
  <c r="Z252" i="1" s="1"/>
  <c r="Q260" i="1"/>
  <c r="Z260" i="1" s="1"/>
  <c r="N263" i="1"/>
  <c r="T267" i="1"/>
  <c r="AA267" i="1" s="1"/>
  <c r="Q267" i="1"/>
  <c r="Z267" i="1" s="1"/>
  <c r="T271" i="1"/>
  <c r="AA271" i="1" s="1"/>
  <c r="Q271" i="1"/>
  <c r="Z271" i="1" s="1"/>
  <c r="T275" i="1"/>
  <c r="AA275" i="1" s="1"/>
  <c r="Q275" i="1"/>
  <c r="Z275" i="1" s="1"/>
  <c r="T279" i="1"/>
  <c r="AA279" i="1" s="1"/>
  <c r="Q279" i="1"/>
  <c r="Z279" i="1" s="1"/>
  <c r="T283" i="1"/>
  <c r="AA283" i="1" s="1"/>
  <c r="Q283" i="1"/>
  <c r="Z283" i="1" s="1"/>
  <c r="T287" i="1"/>
  <c r="AA287" i="1" s="1"/>
  <c r="Q287" i="1"/>
  <c r="Z287" i="1" s="1"/>
  <c r="T291" i="1"/>
  <c r="AA291" i="1" s="1"/>
  <c r="Q291" i="1"/>
  <c r="Z291" i="1" s="1"/>
  <c r="T295" i="1"/>
  <c r="AA295" i="1" s="1"/>
  <c r="Q295" i="1"/>
  <c r="Z295" i="1" s="1"/>
  <c r="T299" i="1"/>
  <c r="AA299" i="1" s="1"/>
  <c r="Q299" i="1"/>
  <c r="Z299" i="1" s="1"/>
  <c r="T303" i="1"/>
  <c r="AA303" i="1" s="1"/>
  <c r="Q303" i="1"/>
  <c r="Z303" i="1" s="1"/>
  <c r="P328" i="1"/>
  <c r="S328" i="1" s="1"/>
  <c r="N328" i="1"/>
  <c r="Y328" i="1" s="1"/>
  <c r="Q347" i="1"/>
  <c r="Z347" i="1" s="1"/>
  <c r="T366" i="1"/>
  <c r="AA366" i="1" s="1"/>
  <c r="Q366" i="1"/>
  <c r="Z366" i="1" s="1"/>
  <c r="N376" i="1"/>
  <c r="N392" i="1"/>
  <c r="P399" i="1"/>
  <c r="S399" i="1" s="1"/>
  <c r="N399" i="1"/>
  <c r="Y399" i="1" s="1"/>
  <c r="T458" i="1"/>
  <c r="AA458" i="1" s="1"/>
  <c r="Q458" i="1"/>
  <c r="Z458" i="1" s="1"/>
  <c r="T488" i="1"/>
  <c r="AA488" i="1" s="1"/>
  <c r="Q488" i="1"/>
  <c r="Z488" i="1" s="1"/>
  <c r="T514" i="1"/>
  <c r="AA514" i="1" s="1"/>
  <c r="Q514" i="1"/>
  <c r="Z514" i="1" s="1"/>
  <c r="N108" i="1"/>
  <c r="Y108" i="1" s="1"/>
  <c r="N133" i="1"/>
  <c r="N149" i="1"/>
  <c r="Y149" i="1" s="1"/>
  <c r="N158" i="1"/>
  <c r="Y158" i="1" s="1"/>
  <c r="N187" i="1"/>
  <c r="N231" i="1"/>
  <c r="N239" i="1"/>
  <c r="P352" i="1"/>
  <c r="S352" i="1" s="1"/>
  <c r="N352" i="1"/>
  <c r="Y352" i="1" s="1"/>
  <c r="S387" i="1"/>
  <c r="N387" i="1"/>
  <c r="S393" i="1"/>
  <c r="N393" i="1"/>
  <c r="T421" i="1"/>
  <c r="AA421" i="1" s="1"/>
  <c r="Q421" i="1"/>
  <c r="Z421" i="1" s="1"/>
  <c r="T557" i="1"/>
  <c r="AA557" i="1" s="1"/>
  <c r="Q557" i="1"/>
  <c r="Z557" i="1" s="1"/>
  <c r="T622" i="1"/>
  <c r="AA622" i="1" s="1"/>
  <c r="Q622" i="1"/>
  <c r="Z622" i="1" s="1"/>
  <c r="P141" i="1"/>
  <c r="S141" i="1" s="1"/>
  <c r="N141" i="1"/>
  <c r="Y141" i="1" s="1"/>
  <c r="P152" i="1"/>
  <c r="S152" i="1" s="1"/>
  <c r="N152" i="1"/>
  <c r="Y152" i="1" s="1"/>
  <c r="P162" i="1"/>
  <c r="S162" i="1" s="1"/>
  <c r="N162" i="1"/>
  <c r="Y162" i="1" s="1"/>
  <c r="P324" i="1"/>
  <c r="S324" i="1" s="1"/>
  <c r="N324" i="1"/>
  <c r="Y324" i="1" s="1"/>
  <c r="Q329" i="1"/>
  <c r="Z329" i="1" s="1"/>
  <c r="Q367" i="1"/>
  <c r="Z367" i="1" s="1"/>
  <c r="P436" i="1"/>
  <c r="S436" i="1" s="1"/>
  <c r="N436" i="1"/>
  <c r="Y436" i="1" s="1"/>
  <c r="T482" i="1"/>
  <c r="AA482" i="1" s="1"/>
  <c r="Q482" i="1"/>
  <c r="Z482" i="1" s="1"/>
  <c r="P569" i="1"/>
  <c r="S569" i="1" s="1"/>
  <c r="N569" i="1"/>
  <c r="Y569" i="1" s="1"/>
  <c r="P348" i="1"/>
  <c r="S348" i="1" s="1"/>
  <c r="N348" i="1"/>
  <c r="Y348" i="1" s="1"/>
  <c r="Q372" i="1"/>
  <c r="Z372" i="1" s="1"/>
  <c r="T372" i="1"/>
  <c r="AA372" i="1" s="1"/>
  <c r="T415" i="1"/>
  <c r="AA415" i="1" s="1"/>
  <c r="Q415" i="1"/>
  <c r="Z415" i="1" s="1"/>
  <c r="P422" i="1"/>
  <c r="S422" i="1" s="1"/>
  <c r="N422" i="1"/>
  <c r="Y422" i="1" s="1"/>
  <c r="T437" i="1"/>
  <c r="AA437" i="1" s="1"/>
  <c r="Q437" i="1"/>
  <c r="Z437" i="1" s="1"/>
  <c r="T452" i="1"/>
  <c r="AA452" i="1" s="1"/>
  <c r="Q452" i="1"/>
  <c r="Z452" i="1" s="1"/>
  <c r="P474" i="1"/>
  <c r="S474" i="1" s="1"/>
  <c r="T516" i="1"/>
  <c r="AA516" i="1" s="1"/>
  <c r="Q516" i="1"/>
  <c r="Z516" i="1" s="1"/>
  <c r="T541" i="1"/>
  <c r="AA541" i="1" s="1"/>
  <c r="Q541" i="1"/>
  <c r="Z541" i="1" s="1"/>
  <c r="P453" i="1"/>
  <c r="S453" i="1" s="1"/>
  <c r="N453" i="1"/>
  <c r="Y453" i="1" s="1"/>
  <c r="T477" i="1"/>
  <c r="AA477" i="1" s="1"/>
  <c r="Q477" i="1"/>
  <c r="Z477" i="1" s="1"/>
  <c r="T527" i="1"/>
  <c r="AA527" i="1" s="1"/>
  <c r="Q527" i="1"/>
  <c r="Z527" i="1" s="1"/>
  <c r="T542" i="1"/>
  <c r="AA542" i="1" s="1"/>
  <c r="Q542" i="1"/>
  <c r="Z542" i="1" s="1"/>
  <c r="T549" i="1"/>
  <c r="AA549" i="1" s="1"/>
  <c r="Q549" i="1"/>
  <c r="Z549" i="1" s="1"/>
  <c r="T592" i="1"/>
  <c r="AA592" i="1" s="1"/>
  <c r="Q592" i="1"/>
  <c r="Z592" i="1" s="1"/>
  <c r="T646" i="1"/>
  <c r="AA646" i="1" s="1"/>
  <c r="Q646" i="1"/>
  <c r="Z646" i="1" s="1"/>
  <c r="T662" i="1"/>
  <c r="AA662" i="1" s="1"/>
  <c r="Q662" i="1"/>
  <c r="Z662" i="1" s="1"/>
  <c r="T678" i="1"/>
  <c r="AA678" i="1" s="1"/>
  <c r="Q678" i="1"/>
  <c r="Z678" i="1" s="1"/>
  <c r="T697" i="1"/>
  <c r="AA697" i="1" s="1"/>
  <c r="Q697" i="1"/>
  <c r="Z697" i="1" s="1"/>
  <c r="P426" i="1"/>
  <c r="S426" i="1" s="1"/>
  <c r="N426" i="1"/>
  <c r="Y426" i="1" s="1"/>
  <c r="P457" i="1"/>
  <c r="S457" i="1" s="1"/>
  <c r="N457" i="1"/>
  <c r="Y457" i="1" s="1"/>
  <c r="T481" i="1"/>
  <c r="AA481" i="1" s="1"/>
  <c r="Q481" i="1"/>
  <c r="Z481" i="1" s="1"/>
  <c r="T523" i="1"/>
  <c r="AA523" i="1" s="1"/>
  <c r="Q523" i="1"/>
  <c r="Z523" i="1" s="1"/>
  <c r="T536" i="1"/>
  <c r="AA536" i="1" s="1"/>
  <c r="Q536" i="1"/>
  <c r="Z536" i="1" s="1"/>
  <c r="T543" i="1"/>
  <c r="AA543" i="1" s="1"/>
  <c r="Q543" i="1"/>
  <c r="Z543" i="1" s="1"/>
  <c r="T570" i="1"/>
  <c r="AA570" i="1" s="1"/>
  <c r="Q570" i="1"/>
  <c r="Z570" i="1" s="1"/>
  <c r="T576" i="1"/>
  <c r="AA576" i="1" s="1"/>
  <c r="Q576" i="1"/>
  <c r="Z576" i="1" s="1"/>
  <c r="P593" i="1"/>
  <c r="S593" i="1" s="1"/>
  <c r="N593" i="1"/>
  <c r="Y593" i="1" s="1"/>
  <c r="T640" i="1"/>
  <c r="AA640" i="1" s="1"/>
  <c r="Q640" i="1"/>
  <c r="Z640" i="1" s="1"/>
  <c r="P687" i="1"/>
  <c r="S687" i="1" s="1"/>
  <c r="N687" i="1"/>
  <c r="Y687" i="1" s="1"/>
  <c r="P699" i="1"/>
  <c r="S699" i="1" s="1"/>
  <c r="N699" i="1"/>
  <c r="Y699" i="1" s="1"/>
  <c r="N358" i="1"/>
  <c r="Y358" i="1" s="1"/>
  <c r="N360" i="1"/>
  <c r="Y360" i="1" s="1"/>
  <c r="N364" i="1"/>
  <c r="N366" i="1"/>
  <c r="N368" i="1"/>
  <c r="Y368" i="1" s="1"/>
  <c r="N370" i="1"/>
  <c r="N372" i="1"/>
  <c r="T396" i="1"/>
  <c r="AA396" i="1" s="1"/>
  <c r="Q396" i="1"/>
  <c r="Z396" i="1" s="1"/>
  <c r="T402" i="1"/>
  <c r="AA402" i="1" s="1"/>
  <c r="Q402" i="1"/>
  <c r="Z402" i="1" s="1"/>
  <c r="T408" i="1"/>
  <c r="AA408" i="1" s="1"/>
  <c r="Q408" i="1"/>
  <c r="Z408" i="1" s="1"/>
  <c r="T414" i="1"/>
  <c r="AA414" i="1" s="1"/>
  <c r="Q414" i="1"/>
  <c r="Z414" i="1" s="1"/>
  <c r="T420" i="1"/>
  <c r="AA420" i="1" s="1"/>
  <c r="Q420" i="1"/>
  <c r="Z420" i="1" s="1"/>
  <c r="N437" i="1"/>
  <c r="Y437" i="1" s="1"/>
  <c r="P440" i="1"/>
  <c r="S440" i="1" s="1"/>
  <c r="N440" i="1"/>
  <c r="Y440" i="1" s="1"/>
  <c r="N468" i="1"/>
  <c r="Y468" i="1" s="1"/>
  <c r="T471" i="1"/>
  <c r="AA471" i="1" s="1"/>
  <c r="Q471" i="1"/>
  <c r="Z471" i="1" s="1"/>
  <c r="N492" i="1"/>
  <c r="T529" i="1"/>
  <c r="AA529" i="1" s="1"/>
  <c r="Q529" i="1"/>
  <c r="Z529" i="1" s="1"/>
  <c r="N536" i="1"/>
  <c r="Y536" i="1" s="1"/>
  <c r="T594" i="1"/>
  <c r="AA594" i="1" s="1"/>
  <c r="Q594" i="1"/>
  <c r="Z594" i="1" s="1"/>
  <c r="S617" i="1"/>
  <c r="N617" i="1"/>
  <c r="Y617" i="1" s="1"/>
  <c r="T664" i="1"/>
  <c r="AA664" i="1" s="1"/>
  <c r="Q664" i="1"/>
  <c r="Z664" i="1" s="1"/>
  <c r="T710" i="1"/>
  <c r="AA710" i="1" s="1"/>
  <c r="Q710" i="1"/>
  <c r="Z710" i="1" s="1"/>
  <c r="N377" i="1"/>
  <c r="N390" i="1"/>
  <c r="N396" i="1"/>
  <c r="Y396" i="1" s="1"/>
  <c r="N402" i="1"/>
  <c r="Y402" i="1" s="1"/>
  <c r="N408" i="1"/>
  <c r="N414" i="1"/>
  <c r="N420" i="1"/>
  <c r="Y420" i="1" s="1"/>
  <c r="N427" i="1"/>
  <c r="Y427" i="1" s="1"/>
  <c r="P430" i="1"/>
  <c r="S430" i="1" s="1"/>
  <c r="N430" i="1"/>
  <c r="Y430" i="1" s="1"/>
  <c r="N458" i="1"/>
  <c r="Y458" i="1" s="1"/>
  <c r="P461" i="1"/>
  <c r="S461" i="1" s="1"/>
  <c r="N461" i="1"/>
  <c r="Y461" i="1" s="1"/>
  <c r="N482" i="1"/>
  <c r="T485" i="1"/>
  <c r="AA485" i="1" s="1"/>
  <c r="Q485" i="1"/>
  <c r="Z485" i="1" s="1"/>
  <c r="T519" i="1"/>
  <c r="AA519" i="1" s="1"/>
  <c r="Q519" i="1"/>
  <c r="Z519" i="1" s="1"/>
  <c r="N524" i="1"/>
  <c r="T530" i="1"/>
  <c r="AA530" i="1" s="1"/>
  <c r="Q530" i="1"/>
  <c r="Z530" i="1" s="1"/>
  <c r="T537" i="1"/>
  <c r="AA537" i="1" s="1"/>
  <c r="Q537" i="1"/>
  <c r="Z537" i="1" s="1"/>
  <c r="T578" i="1"/>
  <c r="AA578" i="1" s="1"/>
  <c r="Q578" i="1"/>
  <c r="Z578" i="1" s="1"/>
  <c r="T618" i="1"/>
  <c r="AA618" i="1" s="1"/>
  <c r="Q618" i="1"/>
  <c r="Z618" i="1" s="1"/>
  <c r="T624" i="1"/>
  <c r="AA624" i="1" s="1"/>
  <c r="Q624" i="1"/>
  <c r="Z624" i="1" s="1"/>
  <c r="P641" i="1"/>
  <c r="S641" i="1" s="1"/>
  <c r="N641" i="1"/>
  <c r="T689" i="1"/>
  <c r="AA689" i="1" s="1"/>
  <c r="Q689" i="1"/>
  <c r="Z689" i="1" s="1"/>
  <c r="T701" i="1"/>
  <c r="AA701" i="1" s="1"/>
  <c r="Q701" i="1"/>
  <c r="Z701" i="1" s="1"/>
  <c r="P711" i="1"/>
  <c r="S711" i="1" s="1"/>
  <c r="N711" i="1"/>
  <c r="Y711" i="1" s="1"/>
  <c r="P451" i="1"/>
  <c r="S451" i="1" s="1"/>
  <c r="N451" i="1"/>
  <c r="Y451" i="1" s="1"/>
  <c r="T475" i="1"/>
  <c r="AA475" i="1" s="1"/>
  <c r="Q475" i="1"/>
  <c r="Z475" i="1" s="1"/>
  <c r="T515" i="1"/>
  <c r="AA515" i="1" s="1"/>
  <c r="Q515" i="1"/>
  <c r="Z515" i="1" s="1"/>
  <c r="N530" i="1"/>
  <c r="P579" i="1"/>
  <c r="S579" i="1" s="1"/>
  <c r="N579" i="1"/>
  <c r="Y579" i="1" s="1"/>
  <c r="T602" i="1"/>
  <c r="AA602" i="1" s="1"/>
  <c r="Q602" i="1"/>
  <c r="Z602" i="1" s="1"/>
  <c r="T642" i="1"/>
  <c r="AA642" i="1" s="1"/>
  <c r="Q642" i="1"/>
  <c r="Z642" i="1" s="1"/>
  <c r="P665" i="1"/>
  <c r="S665" i="1" s="1"/>
  <c r="N665" i="1"/>
  <c r="Y665" i="1" s="1"/>
  <c r="P690" i="1"/>
  <c r="S690" i="1" s="1"/>
  <c r="N690" i="1"/>
  <c r="Y690" i="1" s="1"/>
  <c r="P434" i="1"/>
  <c r="S434" i="1" s="1"/>
  <c r="N434" i="1"/>
  <c r="Y434" i="1" s="1"/>
  <c r="P465" i="1"/>
  <c r="S465" i="1" s="1"/>
  <c r="N465" i="1"/>
  <c r="Y465" i="1" s="1"/>
  <c r="T489" i="1"/>
  <c r="AA489" i="1" s="1"/>
  <c r="Q489" i="1"/>
  <c r="Z489" i="1" s="1"/>
  <c r="T531" i="1"/>
  <c r="AA531" i="1" s="1"/>
  <c r="Q531" i="1"/>
  <c r="Z531" i="1" s="1"/>
  <c r="T553" i="1"/>
  <c r="AA553" i="1" s="1"/>
  <c r="Q553" i="1"/>
  <c r="Z553" i="1" s="1"/>
  <c r="P580" i="1"/>
  <c r="S580" i="1" s="1"/>
  <c r="N580" i="1"/>
  <c r="Y580" i="1" s="1"/>
  <c r="P603" i="1"/>
  <c r="S603" i="1" s="1"/>
  <c r="N603" i="1"/>
  <c r="T626" i="1"/>
  <c r="AA626" i="1" s="1"/>
  <c r="Q626" i="1"/>
  <c r="Z626" i="1" s="1"/>
  <c r="T666" i="1"/>
  <c r="AA666" i="1" s="1"/>
  <c r="Q666" i="1"/>
  <c r="Z666" i="1" s="1"/>
  <c r="T672" i="1"/>
  <c r="AA672" i="1" s="1"/>
  <c r="Q672" i="1"/>
  <c r="Z672" i="1" s="1"/>
  <c r="P691" i="1"/>
  <c r="S691" i="1" s="1"/>
  <c r="N691" i="1"/>
  <c r="Y691" i="1" s="1"/>
  <c r="T703" i="1"/>
  <c r="AA703" i="1" s="1"/>
  <c r="Q703" i="1"/>
  <c r="Z703" i="1" s="1"/>
  <c r="T713" i="1"/>
  <c r="AA713" i="1" s="1"/>
  <c r="Q713" i="1"/>
  <c r="Z713" i="1" s="1"/>
  <c r="T400" i="1"/>
  <c r="AA400" i="1" s="1"/>
  <c r="Q400" i="1"/>
  <c r="Z400" i="1" s="1"/>
  <c r="T406" i="1"/>
  <c r="AA406" i="1" s="1"/>
  <c r="Q406" i="1"/>
  <c r="Z406" i="1" s="1"/>
  <c r="T412" i="1"/>
  <c r="AA412" i="1" s="1"/>
  <c r="Q412" i="1"/>
  <c r="Z412" i="1" s="1"/>
  <c r="T418" i="1"/>
  <c r="AA418" i="1" s="1"/>
  <c r="Q418" i="1"/>
  <c r="Z418" i="1" s="1"/>
  <c r="P424" i="1"/>
  <c r="S424" i="1" s="1"/>
  <c r="N424" i="1"/>
  <c r="Y424" i="1" s="1"/>
  <c r="N452" i="1"/>
  <c r="Y452" i="1" s="1"/>
  <c r="P455" i="1"/>
  <c r="S455" i="1" s="1"/>
  <c r="N455" i="1"/>
  <c r="Y455" i="1" s="1"/>
  <c r="N476" i="1"/>
  <c r="Y476" i="1" s="1"/>
  <c r="N500" i="1"/>
  <c r="N504" i="1"/>
  <c r="N508" i="1"/>
  <c r="N512" i="1"/>
  <c r="N516" i="1"/>
  <c r="Y516" i="1" s="1"/>
  <c r="T525" i="1"/>
  <c r="AA525" i="1" s="1"/>
  <c r="Q525" i="1"/>
  <c r="Z525" i="1" s="1"/>
  <c r="T588" i="1"/>
  <c r="AA588" i="1" s="1"/>
  <c r="Q588" i="1"/>
  <c r="Z588" i="1" s="1"/>
  <c r="Q596" i="1"/>
  <c r="Z596" i="1" s="1"/>
  <c r="P604" i="1"/>
  <c r="S604" i="1" s="1"/>
  <c r="N604" i="1"/>
  <c r="S627" i="1"/>
  <c r="N627" i="1"/>
  <c r="T650" i="1"/>
  <c r="AA650" i="1" s="1"/>
  <c r="Q650" i="1"/>
  <c r="Z650" i="1" s="1"/>
  <c r="P438" i="1"/>
  <c r="S438" i="1" s="1"/>
  <c r="N438" i="1"/>
  <c r="Y438" i="1" s="1"/>
  <c r="P469" i="1"/>
  <c r="S469" i="1" s="1"/>
  <c r="N469" i="1"/>
  <c r="Y469" i="1" s="1"/>
  <c r="T555" i="1"/>
  <c r="AA555" i="1" s="1"/>
  <c r="Q555" i="1"/>
  <c r="Z555" i="1" s="1"/>
  <c r="T612" i="1"/>
  <c r="AA612" i="1" s="1"/>
  <c r="Q612" i="1"/>
  <c r="Z612" i="1" s="1"/>
  <c r="Q620" i="1"/>
  <c r="Z620" i="1" s="1"/>
  <c r="S628" i="1"/>
  <c r="N628" i="1"/>
  <c r="P651" i="1"/>
  <c r="S651" i="1" s="1"/>
  <c r="N651" i="1"/>
  <c r="T674" i="1"/>
  <c r="AA674" i="1" s="1"/>
  <c r="Q674" i="1"/>
  <c r="Z674" i="1" s="1"/>
  <c r="T693" i="1"/>
  <c r="AA693" i="1" s="1"/>
  <c r="Q693" i="1"/>
  <c r="Z693" i="1" s="1"/>
  <c r="T704" i="1"/>
  <c r="AA704" i="1" s="1"/>
  <c r="Q704" i="1"/>
  <c r="Z704" i="1" s="1"/>
  <c r="N228" i="1"/>
  <c r="N230" i="1"/>
  <c r="N232" i="1"/>
  <c r="N234" i="1"/>
  <c r="N236" i="1"/>
  <c r="N238" i="1"/>
  <c r="N240" i="1"/>
  <c r="N242" i="1"/>
  <c r="N244" i="1"/>
  <c r="N246" i="1"/>
  <c r="N248" i="1"/>
  <c r="N250" i="1"/>
  <c r="N252" i="1"/>
  <c r="N254" i="1"/>
  <c r="N256" i="1"/>
  <c r="N258" i="1"/>
  <c r="N260" i="1"/>
  <c r="N262" i="1"/>
  <c r="Y262" i="1" s="1"/>
  <c r="N264" i="1"/>
  <c r="Y264" i="1" s="1"/>
  <c r="N266" i="1"/>
  <c r="N268" i="1"/>
  <c r="N270" i="1"/>
  <c r="N272" i="1"/>
  <c r="N274" i="1"/>
  <c r="N276" i="1"/>
  <c r="N278" i="1"/>
  <c r="N280" i="1"/>
  <c r="N282" i="1"/>
  <c r="Y282" i="1" s="1"/>
  <c r="N284" i="1"/>
  <c r="N286" i="1"/>
  <c r="Y286" i="1" s="1"/>
  <c r="N288" i="1"/>
  <c r="Y288" i="1" s="1"/>
  <c r="N290" i="1"/>
  <c r="Y290" i="1" s="1"/>
  <c r="N292" i="1"/>
  <c r="Y292" i="1" s="1"/>
  <c r="N294" i="1"/>
  <c r="Y294" i="1" s="1"/>
  <c r="N296" i="1"/>
  <c r="Y296" i="1" s="1"/>
  <c r="N298" i="1"/>
  <c r="Y298" i="1" s="1"/>
  <c r="N300" i="1"/>
  <c r="Y300" i="1" s="1"/>
  <c r="N302" i="1"/>
  <c r="Y302" i="1" s="1"/>
  <c r="N304" i="1"/>
  <c r="N317" i="1"/>
  <c r="Y317" i="1" s="1"/>
  <c r="N319" i="1"/>
  <c r="Y319" i="1" s="1"/>
  <c r="N321" i="1"/>
  <c r="Y321" i="1" s="1"/>
  <c r="N323" i="1"/>
  <c r="Y323" i="1" s="1"/>
  <c r="N325" i="1"/>
  <c r="Y325" i="1" s="1"/>
  <c r="N327" i="1"/>
  <c r="Y327" i="1" s="1"/>
  <c r="N329" i="1"/>
  <c r="Y329" i="1" s="1"/>
  <c r="N331" i="1"/>
  <c r="Y331" i="1" s="1"/>
  <c r="N347" i="1"/>
  <c r="Y347" i="1" s="1"/>
  <c r="N349" i="1"/>
  <c r="Y349" i="1" s="1"/>
  <c r="N351" i="1"/>
  <c r="Y351" i="1" s="1"/>
  <c r="N353" i="1"/>
  <c r="Y353" i="1" s="1"/>
  <c r="N355" i="1"/>
  <c r="Y355" i="1" s="1"/>
  <c r="N357" i="1"/>
  <c r="N359" i="1"/>
  <c r="Y359" i="1" s="1"/>
  <c r="N363" i="1"/>
  <c r="N365" i="1"/>
  <c r="N367" i="1"/>
  <c r="Y367" i="1" s="1"/>
  <c r="N369" i="1"/>
  <c r="N371" i="1"/>
  <c r="N425" i="1"/>
  <c r="Y425" i="1" s="1"/>
  <c r="P428" i="1"/>
  <c r="S428" i="1" s="1"/>
  <c r="N428" i="1"/>
  <c r="Y428" i="1" s="1"/>
  <c r="N456" i="1"/>
  <c r="Y456" i="1" s="1"/>
  <c r="P459" i="1"/>
  <c r="S459" i="1" s="1"/>
  <c r="N459" i="1"/>
  <c r="Y459" i="1" s="1"/>
  <c r="N480" i="1"/>
  <c r="T483" i="1"/>
  <c r="AA483" i="1" s="1"/>
  <c r="Q483" i="1"/>
  <c r="Z483" i="1" s="1"/>
  <c r="T521" i="1"/>
  <c r="AA521" i="1" s="1"/>
  <c r="Q521" i="1"/>
  <c r="Z521" i="1" s="1"/>
  <c r="N526" i="1"/>
  <c r="T547" i="1"/>
  <c r="AA547" i="1" s="1"/>
  <c r="Q547" i="1"/>
  <c r="Z547" i="1" s="1"/>
  <c r="N555" i="1"/>
  <c r="Y555" i="1" s="1"/>
  <c r="T574" i="1"/>
  <c r="AA574" i="1" s="1"/>
  <c r="Q574" i="1"/>
  <c r="Z574" i="1" s="1"/>
  <c r="T590" i="1"/>
  <c r="AA590" i="1" s="1"/>
  <c r="Q590" i="1"/>
  <c r="Z590" i="1" s="1"/>
  <c r="T636" i="1"/>
  <c r="AA636" i="1" s="1"/>
  <c r="Q636" i="1"/>
  <c r="Z636" i="1" s="1"/>
  <c r="Q644" i="1"/>
  <c r="Z644" i="1" s="1"/>
  <c r="P652" i="1"/>
  <c r="S652" i="1" s="1"/>
  <c r="N652" i="1"/>
  <c r="P675" i="1"/>
  <c r="S675" i="1" s="1"/>
  <c r="N675" i="1"/>
  <c r="Y675" i="1" s="1"/>
  <c r="T694" i="1"/>
  <c r="AA694" i="1" s="1"/>
  <c r="Q694" i="1"/>
  <c r="Z694" i="1" s="1"/>
  <c r="P705" i="1"/>
  <c r="S705" i="1" s="1"/>
  <c r="N705" i="1"/>
  <c r="Y705" i="1" s="1"/>
  <c r="P449" i="1"/>
  <c r="S449" i="1" s="1"/>
  <c r="N449" i="1"/>
  <c r="Y449" i="1" s="1"/>
  <c r="T473" i="1"/>
  <c r="AA473" i="1" s="1"/>
  <c r="Q473" i="1"/>
  <c r="Z473" i="1" s="1"/>
  <c r="T548" i="1"/>
  <c r="AA548" i="1" s="1"/>
  <c r="Q548" i="1"/>
  <c r="Z548" i="1" s="1"/>
  <c r="N590" i="1"/>
  <c r="Y590" i="1" s="1"/>
  <c r="T598" i="1"/>
  <c r="AA598" i="1" s="1"/>
  <c r="Q598" i="1"/>
  <c r="Z598" i="1" s="1"/>
  <c r="T614" i="1"/>
  <c r="AA614" i="1" s="1"/>
  <c r="Q614" i="1"/>
  <c r="Z614" i="1" s="1"/>
  <c r="T660" i="1"/>
  <c r="AA660" i="1" s="1"/>
  <c r="Q660" i="1"/>
  <c r="Z660" i="1" s="1"/>
  <c r="P676" i="1"/>
  <c r="S676" i="1" s="1"/>
  <c r="N676" i="1"/>
  <c r="Y676" i="1" s="1"/>
  <c r="P695" i="1"/>
  <c r="S695" i="1" s="1"/>
  <c r="N695" i="1"/>
  <c r="Y695" i="1" s="1"/>
  <c r="P583" i="1"/>
  <c r="S583" i="1" s="1"/>
  <c r="N583" i="1"/>
  <c r="Y583" i="1" s="1"/>
  <c r="S607" i="1"/>
  <c r="N607" i="1"/>
  <c r="Y607" i="1" s="1"/>
  <c r="S631" i="1"/>
  <c r="N631" i="1"/>
  <c r="Y631" i="1" s="1"/>
  <c r="P655" i="1"/>
  <c r="S655" i="1" s="1"/>
  <c r="N655" i="1"/>
  <c r="Y655" i="1" s="1"/>
  <c r="N531" i="1"/>
  <c r="N537" i="1"/>
  <c r="Y537" i="1" s="1"/>
  <c r="N543" i="1"/>
  <c r="Y543" i="1" s="1"/>
  <c r="N549" i="1"/>
  <c r="Y549" i="1" s="1"/>
  <c r="N570" i="1"/>
  <c r="Y570" i="1" s="1"/>
  <c r="P573" i="1"/>
  <c r="S573" i="1" s="1"/>
  <c r="N573" i="1"/>
  <c r="Y573" i="1" s="1"/>
  <c r="N594" i="1"/>
  <c r="Y594" i="1" s="1"/>
  <c r="P597" i="1"/>
  <c r="S597" i="1" s="1"/>
  <c r="N597" i="1"/>
  <c r="Y597" i="1" s="1"/>
  <c r="N618" i="1"/>
  <c r="Y618" i="1" s="1"/>
  <c r="S621" i="1"/>
  <c r="N621" i="1"/>
  <c r="Y621" i="1" s="1"/>
  <c r="N642" i="1"/>
  <c r="P645" i="1"/>
  <c r="S645" i="1" s="1"/>
  <c r="N645" i="1"/>
  <c r="N666" i="1"/>
  <c r="Y666" i="1" s="1"/>
  <c r="P669" i="1"/>
  <c r="S669" i="1" s="1"/>
  <c r="N669" i="1"/>
  <c r="Y669" i="1" s="1"/>
  <c r="T534" i="1"/>
  <c r="AA534" i="1" s="1"/>
  <c r="Q534" i="1"/>
  <c r="Z534" i="1" s="1"/>
  <c r="T540" i="1"/>
  <c r="AA540" i="1" s="1"/>
  <c r="Q540" i="1"/>
  <c r="Z540" i="1" s="1"/>
  <c r="T546" i="1"/>
  <c r="AA546" i="1" s="1"/>
  <c r="Q546" i="1"/>
  <c r="Z546" i="1" s="1"/>
  <c r="P552" i="1"/>
  <c r="S552" i="1" s="1"/>
  <c r="N552" i="1"/>
  <c r="Y552" i="1" s="1"/>
  <c r="P587" i="1"/>
  <c r="S587" i="1" s="1"/>
  <c r="N587" i="1"/>
  <c r="Y587" i="1" s="1"/>
  <c r="S611" i="1"/>
  <c r="N611" i="1"/>
  <c r="Y611" i="1" s="1"/>
  <c r="P635" i="1"/>
  <c r="S635" i="1" s="1"/>
  <c r="N635" i="1"/>
  <c r="Y635" i="1" s="1"/>
  <c r="P659" i="1"/>
  <c r="S659" i="1" s="1"/>
  <c r="N659" i="1"/>
  <c r="Y659" i="1" s="1"/>
  <c r="T700" i="1"/>
  <c r="AA700" i="1" s="1"/>
  <c r="Q700" i="1"/>
  <c r="Z700" i="1" s="1"/>
  <c r="T706" i="1"/>
  <c r="AA706" i="1" s="1"/>
  <c r="Q706" i="1"/>
  <c r="Z706" i="1" s="1"/>
  <c r="T712" i="1"/>
  <c r="AA712" i="1" s="1"/>
  <c r="Q712" i="1"/>
  <c r="Z712" i="1" s="1"/>
  <c r="P577" i="1"/>
  <c r="S577" i="1" s="1"/>
  <c r="N577" i="1"/>
  <c r="Y577" i="1" s="1"/>
  <c r="P601" i="1"/>
  <c r="S601" i="1" s="1"/>
  <c r="N601" i="1"/>
  <c r="S625" i="1"/>
  <c r="N625" i="1"/>
  <c r="P649" i="1"/>
  <c r="S649" i="1" s="1"/>
  <c r="N649" i="1"/>
  <c r="P673" i="1"/>
  <c r="S673" i="1" s="1"/>
  <c r="N673" i="1"/>
  <c r="Y673" i="1" s="1"/>
  <c r="N553" i="1"/>
  <c r="Y553" i="1" s="1"/>
  <c r="P556" i="1"/>
  <c r="S556" i="1" s="1"/>
  <c r="N556" i="1"/>
  <c r="Y556" i="1" s="1"/>
  <c r="N588" i="1"/>
  <c r="Y588" i="1" s="1"/>
  <c r="P591" i="1"/>
  <c r="S591" i="1" s="1"/>
  <c r="N591" i="1"/>
  <c r="Y591" i="1" s="1"/>
  <c r="N612" i="1"/>
  <c r="Y612" i="1" s="1"/>
  <c r="S615" i="1"/>
  <c r="N615" i="1"/>
  <c r="Y615" i="1" s="1"/>
  <c r="Q632" i="1"/>
  <c r="Z632" i="1" s="1"/>
  <c r="N636" i="1"/>
  <c r="Y636" i="1" s="1"/>
  <c r="P639" i="1"/>
  <c r="S639" i="1" s="1"/>
  <c r="N639" i="1"/>
  <c r="Y639" i="1" s="1"/>
  <c r="N660" i="1"/>
  <c r="Y660" i="1" s="1"/>
  <c r="P663" i="1"/>
  <c r="S663" i="1" s="1"/>
  <c r="N663" i="1"/>
  <c r="Y663" i="1" s="1"/>
  <c r="P677" i="1"/>
  <c r="S677" i="1" s="1"/>
  <c r="N677" i="1"/>
  <c r="Y677" i="1" s="1"/>
  <c r="P688" i="1"/>
  <c r="S688" i="1" s="1"/>
  <c r="N688" i="1"/>
  <c r="Y688" i="1" s="1"/>
  <c r="T692" i="1"/>
  <c r="AA692" i="1" s="1"/>
  <c r="Q692" i="1"/>
  <c r="Z692" i="1" s="1"/>
  <c r="T696" i="1"/>
  <c r="AA696" i="1" s="1"/>
  <c r="Q696" i="1"/>
  <c r="Z696" i="1" s="1"/>
  <c r="N701" i="1"/>
  <c r="Y701" i="1" s="1"/>
  <c r="N707" i="1"/>
  <c r="Y707" i="1" s="1"/>
  <c r="N713" i="1"/>
  <c r="Y713" i="1" s="1"/>
  <c r="N471" i="1"/>
  <c r="Y471" i="1" s="1"/>
  <c r="N473" i="1"/>
  <c r="Y473" i="1" s="1"/>
  <c r="N475" i="1"/>
  <c r="Y475" i="1" s="1"/>
  <c r="N477" i="1"/>
  <c r="Y477" i="1" s="1"/>
  <c r="N481" i="1"/>
  <c r="N483" i="1"/>
  <c r="N485" i="1"/>
  <c r="Y485" i="1" s="1"/>
  <c r="N487" i="1"/>
  <c r="N489" i="1"/>
  <c r="N491" i="1"/>
  <c r="N493" i="1"/>
  <c r="N495" i="1"/>
  <c r="N497" i="1"/>
  <c r="N499" i="1"/>
  <c r="N501" i="1"/>
  <c r="N503" i="1"/>
  <c r="N505" i="1"/>
  <c r="N507" i="1"/>
  <c r="N509" i="1"/>
  <c r="Y509" i="1" s="1"/>
  <c r="N511" i="1"/>
  <c r="Y511" i="1" s="1"/>
  <c r="N513" i="1"/>
  <c r="Y513" i="1" s="1"/>
  <c r="N515" i="1"/>
  <c r="N517" i="1"/>
  <c r="Y517" i="1" s="1"/>
  <c r="N519" i="1"/>
  <c r="Y519" i="1" s="1"/>
  <c r="N521" i="1"/>
  <c r="N523" i="1"/>
  <c r="N525" i="1"/>
  <c r="N527" i="1"/>
  <c r="N529" i="1"/>
  <c r="N535" i="1"/>
  <c r="Y535" i="1" s="1"/>
  <c r="N541" i="1"/>
  <c r="Y541" i="1" s="1"/>
  <c r="N547" i="1"/>
  <c r="Y547" i="1" s="1"/>
  <c r="N578" i="1"/>
  <c r="Y578" i="1" s="1"/>
  <c r="P581" i="1"/>
  <c r="S581" i="1" s="1"/>
  <c r="N581" i="1"/>
  <c r="Y581" i="1" s="1"/>
  <c r="N602" i="1"/>
  <c r="P605" i="1"/>
  <c r="S605" i="1" s="1"/>
  <c r="N605" i="1"/>
  <c r="Y605" i="1" s="1"/>
  <c r="N626" i="1"/>
  <c r="Y626" i="1" s="1"/>
  <c r="S629" i="1"/>
  <c r="N629" i="1"/>
  <c r="N650" i="1"/>
  <c r="P653" i="1"/>
  <c r="S653" i="1" s="1"/>
  <c r="N653" i="1"/>
  <c r="N674" i="1"/>
  <c r="Y674" i="1" s="1"/>
  <c r="T532" i="1"/>
  <c r="AA532" i="1" s="1"/>
  <c r="Q532" i="1"/>
  <c r="Z532" i="1" s="1"/>
  <c r="T538" i="1"/>
  <c r="AA538" i="1" s="1"/>
  <c r="Q538" i="1"/>
  <c r="Z538" i="1" s="1"/>
  <c r="T544" i="1"/>
  <c r="AA544" i="1" s="1"/>
  <c r="Q544" i="1"/>
  <c r="Z544" i="1" s="1"/>
  <c r="T550" i="1"/>
  <c r="AA550" i="1" s="1"/>
  <c r="Q550" i="1"/>
  <c r="Z550" i="1" s="1"/>
  <c r="N557" i="1"/>
  <c r="Y557" i="1" s="1"/>
  <c r="P571" i="1"/>
  <c r="S571" i="1" s="1"/>
  <c r="N571" i="1"/>
  <c r="Y571" i="1" s="1"/>
  <c r="N592" i="1"/>
  <c r="Y592" i="1" s="1"/>
  <c r="P595" i="1"/>
  <c r="S595" i="1" s="1"/>
  <c r="N595" i="1"/>
  <c r="Y595" i="1" s="1"/>
  <c r="N616" i="1"/>
  <c r="Y616" i="1" s="1"/>
  <c r="S619" i="1"/>
  <c r="N619" i="1"/>
  <c r="Y619" i="1" s="1"/>
  <c r="N640" i="1"/>
  <c r="Y640" i="1" s="1"/>
  <c r="P643" i="1"/>
  <c r="S643" i="1" s="1"/>
  <c r="N643" i="1"/>
  <c r="N664" i="1"/>
  <c r="Y664" i="1" s="1"/>
  <c r="P667" i="1"/>
  <c r="S667" i="1" s="1"/>
  <c r="N667" i="1"/>
  <c r="Y667" i="1" s="1"/>
  <c r="N678" i="1"/>
  <c r="Y678" i="1" s="1"/>
  <c r="N689" i="1"/>
  <c r="Y689" i="1" s="1"/>
  <c r="N693" i="1"/>
  <c r="Y693" i="1" s="1"/>
  <c r="N697" i="1"/>
  <c r="Y697" i="1" s="1"/>
  <c r="T702" i="1"/>
  <c r="AA702" i="1" s="1"/>
  <c r="Q702" i="1"/>
  <c r="Z702" i="1" s="1"/>
  <c r="T708" i="1"/>
  <c r="AA708" i="1" s="1"/>
  <c r="Q708" i="1"/>
  <c r="Z708" i="1" s="1"/>
  <c r="T714" i="1"/>
  <c r="AA714" i="1" s="1"/>
  <c r="Q714" i="1"/>
  <c r="Z714" i="1" s="1"/>
  <c r="N532" i="1"/>
  <c r="N538" i="1"/>
  <c r="Y538" i="1" s="1"/>
  <c r="N544" i="1"/>
  <c r="Y544" i="1" s="1"/>
  <c r="N550" i="1"/>
  <c r="Y550" i="1" s="1"/>
  <c r="N582" i="1"/>
  <c r="Y582" i="1" s="1"/>
  <c r="P585" i="1"/>
  <c r="S585" i="1" s="1"/>
  <c r="N585" i="1"/>
  <c r="Y585" i="1" s="1"/>
  <c r="N606" i="1"/>
  <c r="Y606" i="1" s="1"/>
  <c r="S609" i="1"/>
  <c r="N609" i="1"/>
  <c r="Y609" i="1" s="1"/>
  <c r="N630" i="1"/>
  <c r="Y630" i="1" s="1"/>
  <c r="S633" i="1"/>
  <c r="N633" i="1"/>
  <c r="N654" i="1"/>
  <c r="P657" i="1"/>
  <c r="S657" i="1" s="1"/>
  <c r="N657" i="1"/>
  <c r="Y657" i="1" s="1"/>
  <c r="T715" i="1"/>
  <c r="AA715" i="1" s="1"/>
  <c r="Q715" i="1"/>
  <c r="Z715" i="1" s="1"/>
  <c r="P575" i="1"/>
  <c r="S575" i="1" s="1"/>
  <c r="N575" i="1"/>
  <c r="Y575" i="1" s="1"/>
  <c r="S623" i="1"/>
  <c r="N623" i="1"/>
  <c r="Y623" i="1" s="1"/>
  <c r="P647" i="1"/>
  <c r="S647" i="1" s="1"/>
  <c r="N647" i="1"/>
  <c r="P671" i="1"/>
  <c r="S671" i="1" s="1"/>
  <c r="N671" i="1"/>
  <c r="Y671" i="1" s="1"/>
  <c r="P554" i="1"/>
  <c r="S554" i="1" s="1"/>
  <c r="N554" i="1"/>
  <c r="Y554" i="1" s="1"/>
  <c r="P589" i="1"/>
  <c r="S589" i="1" s="1"/>
  <c r="N589" i="1"/>
  <c r="Y589" i="1" s="1"/>
  <c r="S613" i="1"/>
  <c r="N613" i="1"/>
  <c r="Y613" i="1" s="1"/>
  <c r="P637" i="1"/>
  <c r="S637" i="1" s="1"/>
  <c r="N637" i="1"/>
  <c r="Y637" i="1" s="1"/>
  <c r="P661" i="1"/>
  <c r="S661" i="1" s="1"/>
  <c r="N661" i="1"/>
  <c r="Y661" i="1" s="1"/>
  <c r="N692" i="1"/>
  <c r="Y692" i="1" s="1"/>
  <c r="N694" i="1"/>
  <c r="Y694" i="1" s="1"/>
  <c r="N696" i="1"/>
  <c r="Y696" i="1" s="1"/>
  <c r="N698" i="1"/>
  <c r="Y698" i="1" s="1"/>
  <c r="N700" i="1"/>
  <c r="Y700" i="1" s="1"/>
  <c r="N702" i="1"/>
  <c r="Y702" i="1" s="1"/>
  <c r="N704" i="1"/>
  <c r="Y704" i="1" s="1"/>
  <c r="N706" i="1"/>
  <c r="Y706" i="1" s="1"/>
  <c r="N708" i="1"/>
  <c r="Y708" i="1" s="1"/>
  <c r="N710" i="1"/>
  <c r="Y710" i="1" s="1"/>
  <c r="N712" i="1"/>
  <c r="Y712" i="1" s="1"/>
  <c r="N714" i="1"/>
  <c r="Y714" i="1" s="1"/>
  <c r="Q9" i="1" l="1"/>
  <c r="Z9" i="1" s="1"/>
  <c r="Y159" i="1"/>
  <c r="M193" i="1"/>
  <c r="P193" i="1" s="1"/>
  <c r="Q193" i="1" s="1"/>
  <c r="Z193" i="1" s="1"/>
  <c r="N212" i="1"/>
  <c r="Y212" i="1" s="1"/>
  <c r="M199" i="1"/>
  <c r="P199" i="1" s="1"/>
  <c r="S199" i="1" s="1"/>
  <c r="S212" i="1"/>
  <c r="T212" i="1" s="1"/>
  <c r="AA212" i="1" s="1"/>
  <c r="K212" i="1"/>
  <c r="X212" i="1" s="1"/>
  <c r="E9" i="1"/>
  <c r="H9" i="1" s="1"/>
  <c r="F9" i="1"/>
  <c r="M209" i="1"/>
  <c r="P209" i="1" s="1"/>
  <c r="Q209" i="1" s="1"/>
  <c r="Z209" i="1" s="1"/>
  <c r="M202" i="1"/>
  <c r="P202" i="1" s="1"/>
  <c r="S202" i="1" s="1"/>
  <c r="T202" i="1" s="1"/>
  <c r="AA202" i="1" s="1"/>
  <c r="M200" i="1"/>
  <c r="P200" i="1" s="1"/>
  <c r="S200" i="1" s="1"/>
  <c r="T200" i="1" s="1"/>
  <c r="AA200" i="1" s="1"/>
  <c r="Q391" i="1"/>
  <c r="Z391" i="1" s="1"/>
  <c r="M198" i="1"/>
  <c r="P198" i="1" s="1"/>
  <c r="S198" i="1" s="1"/>
  <c r="T198" i="1" s="1"/>
  <c r="AA198" i="1" s="1"/>
  <c r="M203" i="1"/>
  <c r="P203" i="1" s="1"/>
  <c r="Q203" i="1" s="1"/>
  <c r="Z203" i="1" s="1"/>
  <c r="Q386" i="1"/>
  <c r="Z386" i="1" s="1"/>
  <c r="N192" i="1"/>
  <c r="Y192" i="1" s="1"/>
  <c r="S378" i="1"/>
  <c r="T378" i="1" s="1"/>
  <c r="AA378" i="1" s="1"/>
  <c r="M207" i="1"/>
  <c r="P207" i="1" s="1"/>
  <c r="Q207" i="1" s="1"/>
  <c r="Z207" i="1" s="1"/>
  <c r="Q390" i="1"/>
  <c r="Z390" i="1" s="1"/>
  <c r="Q509" i="1"/>
  <c r="Z509" i="1" s="1"/>
  <c r="K211" i="1"/>
  <c r="X211" i="1" s="1"/>
  <c r="Q211" i="1"/>
  <c r="Z211" i="1" s="1"/>
  <c r="M195" i="1"/>
  <c r="P195" i="1" s="1"/>
  <c r="S195" i="1" s="1"/>
  <c r="T195" i="1" s="1"/>
  <c r="AA195" i="1" s="1"/>
  <c r="M205" i="1"/>
  <c r="P205" i="1" s="1"/>
  <c r="S205" i="1" s="1"/>
  <c r="T205" i="1" s="1"/>
  <c r="AA205" i="1" s="1"/>
  <c r="N211" i="1"/>
  <c r="Y211" i="1" s="1"/>
  <c r="M197" i="1"/>
  <c r="N197" i="1" s="1"/>
  <c r="Y197" i="1" s="1"/>
  <c r="Q388" i="1"/>
  <c r="Z388" i="1" s="1"/>
  <c r="Q648" i="1"/>
  <c r="Z648" i="1" s="1"/>
  <c r="Q497" i="1"/>
  <c r="Z497" i="1" s="1"/>
  <c r="Q392" i="1"/>
  <c r="Z392" i="1" s="1"/>
  <c r="P188" i="1"/>
  <c r="S188" i="1" s="1"/>
  <c r="T188" i="1" s="1"/>
  <c r="AA188" i="1" s="1"/>
  <c r="Q511" i="1"/>
  <c r="Z511" i="1" s="1"/>
  <c r="Q448" i="1"/>
  <c r="Z448" i="1" s="1"/>
  <c r="Q512" i="1"/>
  <c r="Z512" i="1" s="1"/>
  <c r="Q493" i="1"/>
  <c r="Z493" i="1" s="1"/>
  <c r="Q500" i="1"/>
  <c r="Z500" i="1" s="1"/>
  <c r="Q508" i="1"/>
  <c r="Z508" i="1" s="1"/>
  <c r="Q450" i="1"/>
  <c r="Z450" i="1" s="1"/>
  <c r="Q502" i="1"/>
  <c r="Z502" i="1" s="1"/>
  <c r="N199" i="1"/>
  <c r="Y199" i="1" s="1"/>
  <c r="Q381" i="1"/>
  <c r="Z381" i="1" s="1"/>
  <c r="Q257" i="1"/>
  <c r="Z257" i="1" s="1"/>
  <c r="Q492" i="1"/>
  <c r="Z492" i="1" s="1"/>
  <c r="Q504" i="1"/>
  <c r="Z504" i="1" s="1"/>
  <c r="P206" i="1"/>
  <c r="Q206" i="1" s="1"/>
  <c r="Z206" i="1" s="1"/>
  <c r="N193" i="1"/>
  <c r="Y193" i="1" s="1"/>
  <c r="N210" i="1"/>
  <c r="Y210" i="1" s="1"/>
  <c r="Q210" i="1"/>
  <c r="Z210" i="1" s="1"/>
  <c r="S377" i="1"/>
  <c r="T377" i="1" s="1"/>
  <c r="AA377" i="1" s="1"/>
  <c r="Q510" i="1"/>
  <c r="Z510" i="1" s="1"/>
  <c r="S161" i="1"/>
  <c r="T161" i="1" s="1"/>
  <c r="AA161" i="1" s="1"/>
  <c r="S472" i="1"/>
  <c r="T472" i="1" s="1"/>
  <c r="AA472" i="1" s="1"/>
  <c r="Q506" i="1"/>
  <c r="Z506" i="1" s="1"/>
  <c r="S189" i="1"/>
  <c r="T189" i="1" s="1"/>
  <c r="AA189" i="1" s="1"/>
  <c r="Q495" i="1"/>
  <c r="Z495" i="1" s="1"/>
  <c r="P190" i="1"/>
  <c r="S190" i="1" s="1"/>
  <c r="T190" i="1" s="1"/>
  <c r="AA190" i="1" s="1"/>
  <c r="Q501" i="1"/>
  <c r="Z501" i="1" s="1"/>
  <c r="N191" i="1"/>
  <c r="Y191" i="1" s="1"/>
  <c r="Q401" i="1"/>
  <c r="Z401" i="1" s="1"/>
  <c r="S401" i="1"/>
  <c r="T401" i="1" s="1"/>
  <c r="AA401" i="1" s="1"/>
  <c r="S499" i="1"/>
  <c r="T499" i="1" s="1"/>
  <c r="AA499" i="1" s="1"/>
  <c r="S201" i="1"/>
  <c r="T201" i="1" s="1"/>
  <c r="AA201" i="1" s="1"/>
  <c r="Q507" i="1"/>
  <c r="Z507" i="1" s="1"/>
  <c r="S76" i="1"/>
  <c r="T76" i="1" s="1"/>
  <c r="AA76" i="1" s="1"/>
  <c r="S584" i="1"/>
  <c r="T584" i="1" s="1"/>
  <c r="AA584" i="1" s="1"/>
  <c r="S7" i="1"/>
  <c r="T7" i="1" s="1"/>
  <c r="AA7" i="1" s="1"/>
  <c r="S460" i="1"/>
  <c r="T460" i="1" s="1"/>
  <c r="AA460" i="1" s="1"/>
  <c r="Q460" i="1"/>
  <c r="Z460" i="1" s="1"/>
  <c r="S586" i="1"/>
  <c r="T586" i="1" s="1"/>
  <c r="AA586" i="1" s="1"/>
  <c r="S376" i="1"/>
  <c r="T376" i="1" s="1"/>
  <c r="AA376" i="1" s="1"/>
  <c r="S375" i="1"/>
  <c r="T375" i="1" s="1"/>
  <c r="AA375" i="1" s="1"/>
  <c r="Q394" i="1"/>
  <c r="Z394" i="1" s="1"/>
  <c r="Q371" i="1"/>
  <c r="Z371" i="1" s="1"/>
  <c r="N208" i="1"/>
  <c r="Y208" i="1" s="1"/>
  <c r="Q470" i="1"/>
  <c r="Z470" i="1" s="1"/>
  <c r="S470" i="1"/>
  <c r="T470" i="1" s="1"/>
  <c r="AA470" i="1" s="1"/>
  <c r="S484" i="1"/>
  <c r="T484" i="1" s="1"/>
  <c r="AA484" i="1" s="1"/>
  <c r="Q407" i="1"/>
  <c r="Z407" i="1" s="1"/>
  <c r="S407" i="1"/>
  <c r="T407" i="1" s="1"/>
  <c r="AA407" i="1" s="1"/>
  <c r="Q373" i="1"/>
  <c r="Z373" i="1" s="1"/>
  <c r="Q439" i="1"/>
  <c r="Z439" i="1" s="1"/>
  <c r="S131" i="1"/>
  <c r="T131" i="1" s="1"/>
  <c r="Q380" i="1"/>
  <c r="Z380" i="1" s="1"/>
  <c r="Q503" i="1"/>
  <c r="Z503" i="1" s="1"/>
  <c r="S233" i="1"/>
  <c r="T233" i="1" s="1"/>
  <c r="S656" i="1"/>
  <c r="T656" i="1" s="1"/>
  <c r="AA656" i="1" s="1"/>
  <c r="N201" i="1"/>
  <c r="Y201" i="1" s="1"/>
  <c r="Q419" i="1"/>
  <c r="Z419" i="1" s="1"/>
  <c r="S419" i="1"/>
  <c r="T419" i="1" s="1"/>
  <c r="AA419" i="1" s="1"/>
  <c r="S533" i="1"/>
  <c r="T533" i="1" s="1"/>
  <c r="AA533" i="1" s="1"/>
  <c r="S193" i="1"/>
  <c r="T193" i="1" s="1"/>
  <c r="AA193" i="1" s="1"/>
  <c r="S658" i="1"/>
  <c r="T658" i="1" s="1"/>
  <c r="AA658" i="1" s="1"/>
  <c r="Q472" i="1"/>
  <c r="Z472" i="1" s="1"/>
  <c r="S105" i="1"/>
  <c r="T105" i="1" s="1"/>
  <c r="AA105" i="1" s="1"/>
  <c r="Q490" i="1"/>
  <c r="Z490" i="1" s="1"/>
  <c r="S505" i="1"/>
  <c r="T505" i="1" s="1"/>
  <c r="AA505" i="1" s="1"/>
  <c r="Q189" i="1"/>
  <c r="Z189" i="1" s="1"/>
  <c r="Q522" i="1"/>
  <c r="Z522" i="1" s="1"/>
  <c r="S522" i="1"/>
  <c r="T522" i="1" s="1"/>
  <c r="AA522" i="1" s="1"/>
  <c r="S634" i="1"/>
  <c r="T634" i="1" s="1"/>
  <c r="AA634" i="1" s="1"/>
  <c r="S551" i="1"/>
  <c r="T551" i="1" s="1"/>
  <c r="AA551" i="1" s="1"/>
  <c r="Q161" i="1"/>
  <c r="Z161" i="1" s="1"/>
  <c r="S151" i="1"/>
  <c r="T151" i="1" s="1"/>
  <c r="AA151" i="1" s="1"/>
  <c r="S608" i="1"/>
  <c r="T608" i="1" s="1"/>
  <c r="AA608" i="1" s="1"/>
  <c r="S389" i="1"/>
  <c r="T389" i="1" s="1"/>
  <c r="AA389" i="1" s="1"/>
  <c r="Q389" i="1"/>
  <c r="Z389" i="1" s="1"/>
  <c r="S632" i="1"/>
  <c r="T632" i="1" s="1"/>
  <c r="AA632" i="1" s="1"/>
  <c r="S385" i="1"/>
  <c r="T385" i="1" s="1"/>
  <c r="AA385" i="1" s="1"/>
  <c r="Q382" i="1"/>
  <c r="Z382" i="1" s="1"/>
  <c r="S249" i="1"/>
  <c r="T249" i="1" s="1"/>
  <c r="AA249" i="1" s="1"/>
  <c r="S496" i="1"/>
  <c r="T496" i="1" s="1"/>
  <c r="AA496" i="1" s="1"/>
  <c r="S241" i="1"/>
  <c r="T241" i="1" s="1"/>
  <c r="AA241" i="1" s="1"/>
  <c r="Q494" i="1"/>
  <c r="Z494" i="1" s="1"/>
  <c r="S494" i="1"/>
  <c r="T494" i="1" s="1"/>
  <c r="AA494" i="1" s="1"/>
  <c r="S24" i="1"/>
  <c r="Q656" i="1"/>
  <c r="Z656" i="1" s="1"/>
  <c r="T610" i="1"/>
  <c r="AA610" i="1" s="1"/>
  <c r="Q610" i="1"/>
  <c r="Z610" i="1" s="1"/>
  <c r="Q586" i="1"/>
  <c r="Z586" i="1" s="1"/>
  <c r="Q533" i="1"/>
  <c r="Z533" i="1" s="1"/>
  <c r="T539" i="1"/>
  <c r="AA539" i="1" s="1"/>
  <c r="Q539" i="1"/>
  <c r="Z539" i="1" s="1"/>
  <c r="T545" i="1"/>
  <c r="AA545" i="1" s="1"/>
  <c r="Q545" i="1"/>
  <c r="Z545" i="1" s="1"/>
  <c r="Q584" i="1"/>
  <c r="Z584" i="1" s="1"/>
  <c r="Q496" i="1"/>
  <c r="Z496" i="1" s="1"/>
  <c r="Q413" i="1"/>
  <c r="Z413" i="1" s="1"/>
  <c r="T413" i="1"/>
  <c r="AA413" i="1" s="1"/>
  <c r="T395" i="1"/>
  <c r="AA395" i="1" s="1"/>
  <c r="Q395" i="1"/>
  <c r="Z395" i="1" s="1"/>
  <c r="Q105" i="1"/>
  <c r="Z105" i="1" s="1"/>
  <c r="Q76" i="1"/>
  <c r="Z76" i="1" s="1"/>
  <c r="T301" i="1"/>
  <c r="AA301" i="1" s="1"/>
  <c r="Q301" i="1"/>
  <c r="Z301" i="1" s="1"/>
  <c r="T297" i="1"/>
  <c r="AA297" i="1" s="1"/>
  <c r="Q297" i="1"/>
  <c r="Z297" i="1" s="1"/>
  <c r="T671" i="1"/>
  <c r="AA671" i="1" s="1"/>
  <c r="Q671" i="1"/>
  <c r="Z671" i="1" s="1"/>
  <c r="T657" i="1"/>
  <c r="AA657" i="1" s="1"/>
  <c r="Q657" i="1"/>
  <c r="Z657" i="1" s="1"/>
  <c r="T607" i="1"/>
  <c r="AA607" i="1" s="1"/>
  <c r="Q607" i="1"/>
  <c r="Z607" i="1" s="1"/>
  <c r="T424" i="1"/>
  <c r="AA424" i="1" s="1"/>
  <c r="Q424" i="1"/>
  <c r="Z424" i="1" s="1"/>
  <c r="T461" i="1"/>
  <c r="AA461" i="1" s="1"/>
  <c r="Q461" i="1"/>
  <c r="Z461" i="1" s="1"/>
  <c r="T569" i="1"/>
  <c r="AA569" i="1" s="1"/>
  <c r="Q569" i="1"/>
  <c r="Z569" i="1" s="1"/>
  <c r="Q152" i="1"/>
  <c r="Z152" i="1" s="1"/>
  <c r="T152" i="1"/>
  <c r="AA152" i="1" s="1"/>
  <c r="T638" i="1"/>
  <c r="AA638" i="1" s="1"/>
  <c r="Q638" i="1"/>
  <c r="Z638" i="1" s="1"/>
  <c r="T528" i="1"/>
  <c r="AA528" i="1" s="1"/>
  <c r="Q528" i="1"/>
  <c r="Z528" i="1" s="1"/>
  <c r="T194" i="1"/>
  <c r="AA194" i="1" s="1"/>
  <c r="Q194" i="1"/>
  <c r="Z194" i="1" s="1"/>
  <c r="T432" i="1"/>
  <c r="AA432" i="1" s="1"/>
  <c r="Q432" i="1"/>
  <c r="Z432" i="1" s="1"/>
  <c r="T326" i="1"/>
  <c r="AA326" i="1" s="1"/>
  <c r="Q326" i="1"/>
  <c r="Z326" i="1" s="1"/>
  <c r="T281" i="1"/>
  <c r="AA281" i="1" s="1"/>
  <c r="Q281" i="1"/>
  <c r="Z281" i="1" s="1"/>
  <c r="T416" i="1"/>
  <c r="AA416" i="1" s="1"/>
  <c r="Q416" i="1"/>
  <c r="Z416" i="1" s="1"/>
  <c r="T293" i="1"/>
  <c r="AA293" i="1" s="1"/>
  <c r="Q293" i="1"/>
  <c r="Z293" i="1" s="1"/>
  <c r="T199" i="1"/>
  <c r="AA199" i="1" s="1"/>
  <c r="T611" i="1"/>
  <c r="AA611" i="1" s="1"/>
  <c r="Q611" i="1"/>
  <c r="Z611" i="1" s="1"/>
  <c r="T667" i="1"/>
  <c r="AA667" i="1" s="1"/>
  <c r="Q667" i="1"/>
  <c r="Z667" i="1" s="1"/>
  <c r="T571" i="1"/>
  <c r="AA571" i="1" s="1"/>
  <c r="Q571" i="1"/>
  <c r="Z571" i="1" s="1"/>
  <c r="T653" i="1"/>
  <c r="AA653" i="1" s="1"/>
  <c r="Q653" i="1"/>
  <c r="Z653" i="1" s="1"/>
  <c r="T639" i="1"/>
  <c r="AA639" i="1" s="1"/>
  <c r="Q639" i="1"/>
  <c r="Z639" i="1" s="1"/>
  <c r="T556" i="1"/>
  <c r="AA556" i="1" s="1"/>
  <c r="Q556" i="1"/>
  <c r="Z556" i="1" s="1"/>
  <c r="T583" i="1"/>
  <c r="AA583" i="1" s="1"/>
  <c r="Q583" i="1"/>
  <c r="Z583" i="1" s="1"/>
  <c r="T459" i="1"/>
  <c r="AA459" i="1" s="1"/>
  <c r="Q459" i="1"/>
  <c r="Z459" i="1" s="1"/>
  <c r="T324" i="1"/>
  <c r="AA324" i="1" s="1"/>
  <c r="Q324" i="1"/>
  <c r="Z324" i="1" s="1"/>
  <c r="Q141" i="1"/>
  <c r="Z141" i="1" s="1"/>
  <c r="T141" i="1"/>
  <c r="AA141" i="1" s="1"/>
  <c r="T356" i="1"/>
  <c r="AA356" i="1" s="1"/>
  <c r="Q356" i="1"/>
  <c r="Z356" i="1" s="1"/>
  <c r="T186" i="1"/>
  <c r="AA186" i="1" s="1"/>
  <c r="Q186" i="1"/>
  <c r="Z186" i="1" s="1"/>
  <c r="T410" i="1"/>
  <c r="AA410" i="1" s="1"/>
  <c r="Q410" i="1"/>
  <c r="Z410" i="1" s="1"/>
  <c r="T183" i="1"/>
  <c r="AA183" i="1" s="1"/>
  <c r="Q183" i="1"/>
  <c r="T330" i="1"/>
  <c r="AA330" i="1" s="1"/>
  <c r="Q330" i="1"/>
  <c r="Z330" i="1" s="1"/>
  <c r="T134" i="1"/>
  <c r="Q134" i="1"/>
  <c r="T243" i="1"/>
  <c r="AA243" i="1" s="1"/>
  <c r="Q243" i="1"/>
  <c r="Z243" i="1" s="1"/>
  <c r="T259" i="1"/>
  <c r="AA259" i="1" s="1"/>
  <c r="Q259" i="1"/>
  <c r="Z259" i="1" s="1"/>
  <c r="T277" i="1"/>
  <c r="AA277" i="1" s="1"/>
  <c r="Q277" i="1"/>
  <c r="Z277" i="1" s="1"/>
  <c r="T577" i="1"/>
  <c r="AA577" i="1" s="1"/>
  <c r="Q577" i="1"/>
  <c r="Z577" i="1" s="1"/>
  <c r="T627" i="1"/>
  <c r="AA627" i="1" s="1"/>
  <c r="Q627" i="1"/>
  <c r="Z627" i="1" s="1"/>
  <c r="T661" i="1"/>
  <c r="AA661" i="1" s="1"/>
  <c r="Q661" i="1"/>
  <c r="Z661" i="1" s="1"/>
  <c r="T633" i="1"/>
  <c r="AA633" i="1" s="1"/>
  <c r="Q633" i="1"/>
  <c r="Z633" i="1" s="1"/>
  <c r="T587" i="1"/>
  <c r="AA587" i="1" s="1"/>
  <c r="Q587" i="1"/>
  <c r="Z587" i="1" s="1"/>
  <c r="T604" i="1"/>
  <c r="AA604" i="1" s="1"/>
  <c r="Q604" i="1"/>
  <c r="Z604" i="1" s="1"/>
  <c r="T603" i="1"/>
  <c r="AA603" i="1" s="1"/>
  <c r="Q603" i="1"/>
  <c r="Z603" i="1" s="1"/>
  <c r="T434" i="1"/>
  <c r="AA434" i="1" s="1"/>
  <c r="Q434" i="1"/>
  <c r="Z434" i="1" s="1"/>
  <c r="T430" i="1"/>
  <c r="AA430" i="1" s="1"/>
  <c r="Q430" i="1"/>
  <c r="Z430" i="1" s="1"/>
  <c r="T457" i="1"/>
  <c r="AA457" i="1" s="1"/>
  <c r="Q457" i="1"/>
  <c r="Z457" i="1" s="1"/>
  <c r="T453" i="1"/>
  <c r="AA453" i="1" s="1"/>
  <c r="Q453" i="1"/>
  <c r="Z453" i="1" s="1"/>
  <c r="T422" i="1"/>
  <c r="AA422" i="1" s="1"/>
  <c r="Q422" i="1"/>
  <c r="Z422" i="1" s="1"/>
  <c r="T154" i="1"/>
  <c r="AA154" i="1" s="1"/>
  <c r="Q154" i="1"/>
  <c r="Z154" i="1" s="1"/>
  <c r="Q374" i="1"/>
  <c r="Z374" i="1" s="1"/>
  <c r="T374" i="1"/>
  <c r="AA374" i="1" s="1"/>
  <c r="T417" i="1"/>
  <c r="AA417" i="1" s="1"/>
  <c r="Q417" i="1"/>
  <c r="Z417" i="1" s="1"/>
  <c r="T150" i="1"/>
  <c r="AA150" i="1" s="1"/>
  <c r="Q150" i="1"/>
  <c r="Z150" i="1" s="1"/>
  <c r="T163" i="1"/>
  <c r="AA163" i="1" s="1"/>
  <c r="Q163" i="1"/>
  <c r="Z163" i="1" s="1"/>
  <c r="Q113" i="1"/>
  <c r="Z113" i="1" s="1"/>
  <c r="T113" i="1"/>
  <c r="AA113" i="1" s="1"/>
  <c r="T305" i="1"/>
  <c r="Q305" i="1"/>
  <c r="T167" i="1"/>
  <c r="AA167" i="1" s="1"/>
  <c r="Q167" i="1"/>
  <c r="Z167" i="1" s="1"/>
  <c r="T153" i="1"/>
  <c r="AA153" i="1" s="1"/>
  <c r="Q153" i="1"/>
  <c r="Z153" i="1" s="1"/>
  <c r="T289" i="1"/>
  <c r="AA289" i="1" s="1"/>
  <c r="Q289" i="1"/>
  <c r="Z289" i="1" s="1"/>
  <c r="T109" i="1"/>
  <c r="AA109" i="1" s="1"/>
  <c r="Q109" i="1"/>
  <c r="Z109" i="1" s="1"/>
  <c r="T196" i="1"/>
  <c r="AA196" i="1" s="1"/>
  <c r="Q196" i="1"/>
  <c r="Z196" i="1" s="1"/>
  <c r="T273" i="1"/>
  <c r="AA273" i="1" s="1"/>
  <c r="Q273" i="1"/>
  <c r="Z273" i="1" s="1"/>
  <c r="T423" i="1"/>
  <c r="AA423" i="1" s="1"/>
  <c r="Q423" i="1"/>
  <c r="Z423" i="1" s="1"/>
  <c r="T354" i="1"/>
  <c r="AA354" i="1" s="1"/>
  <c r="Q354" i="1"/>
  <c r="Z354" i="1" s="1"/>
  <c r="T595" i="1"/>
  <c r="AA595" i="1" s="1"/>
  <c r="Q595" i="1"/>
  <c r="Z595" i="1" s="1"/>
  <c r="T465" i="1"/>
  <c r="AA465" i="1" s="1"/>
  <c r="Q465" i="1"/>
  <c r="Z465" i="1" s="1"/>
  <c r="T405" i="1"/>
  <c r="AA405" i="1" s="1"/>
  <c r="Q405" i="1"/>
  <c r="Z405" i="1" s="1"/>
  <c r="T191" i="1"/>
  <c r="AA191" i="1" s="1"/>
  <c r="Q191" i="1"/>
  <c r="Z191" i="1" s="1"/>
  <c r="T208" i="1"/>
  <c r="AA208" i="1" s="1"/>
  <c r="Q208" i="1"/>
  <c r="Z208" i="1" s="1"/>
  <c r="T454" i="1"/>
  <c r="AA454" i="1" s="1"/>
  <c r="Q454" i="1"/>
  <c r="Z454" i="1" s="1"/>
  <c r="T675" i="1"/>
  <c r="AA675" i="1" s="1"/>
  <c r="Q675" i="1"/>
  <c r="Z675" i="1" s="1"/>
  <c r="T428" i="1"/>
  <c r="AA428" i="1" s="1"/>
  <c r="Q428" i="1"/>
  <c r="Z428" i="1" s="1"/>
  <c r="T580" i="1"/>
  <c r="AA580" i="1" s="1"/>
  <c r="Q580" i="1"/>
  <c r="Z580" i="1" s="1"/>
  <c r="T641" i="1"/>
  <c r="AA641" i="1" s="1"/>
  <c r="Q641" i="1"/>
  <c r="Z641" i="1" s="1"/>
  <c r="T617" i="1"/>
  <c r="AA617" i="1" s="1"/>
  <c r="Q617" i="1"/>
  <c r="Z617" i="1" s="1"/>
  <c r="T426" i="1"/>
  <c r="AA426" i="1" s="1"/>
  <c r="Q426" i="1"/>
  <c r="Z426" i="1" s="1"/>
  <c r="T393" i="1"/>
  <c r="AA393" i="1" s="1"/>
  <c r="Q393" i="1"/>
  <c r="Z393" i="1" s="1"/>
  <c r="T318" i="1"/>
  <c r="AA318" i="1" s="1"/>
  <c r="Q318" i="1"/>
  <c r="Z318" i="1" s="1"/>
  <c r="T145" i="1"/>
  <c r="AA145" i="1" s="1"/>
  <c r="Q145" i="1"/>
  <c r="Z145" i="1" s="1"/>
  <c r="T184" i="1"/>
  <c r="Q184" i="1"/>
  <c r="T669" i="1"/>
  <c r="AA669" i="1" s="1"/>
  <c r="Q669" i="1"/>
  <c r="Z669" i="1" s="1"/>
  <c r="T647" i="1"/>
  <c r="AA647" i="1" s="1"/>
  <c r="Q647" i="1"/>
  <c r="Z647" i="1" s="1"/>
  <c r="T623" i="1"/>
  <c r="AA623" i="1" s="1"/>
  <c r="Q623" i="1"/>
  <c r="Z623" i="1" s="1"/>
  <c r="T643" i="1"/>
  <c r="AA643" i="1" s="1"/>
  <c r="Q643" i="1"/>
  <c r="Z643" i="1" s="1"/>
  <c r="T629" i="1"/>
  <c r="AA629" i="1" s="1"/>
  <c r="Q629" i="1"/>
  <c r="Z629" i="1" s="1"/>
  <c r="T673" i="1"/>
  <c r="AA673" i="1" s="1"/>
  <c r="Q673" i="1"/>
  <c r="Z673" i="1" s="1"/>
  <c r="T552" i="1"/>
  <c r="AA552" i="1" s="1"/>
  <c r="Q552" i="1"/>
  <c r="Z552" i="1" s="1"/>
  <c r="T613" i="1"/>
  <c r="AA613" i="1" s="1"/>
  <c r="Q613" i="1"/>
  <c r="Z613" i="1" s="1"/>
  <c r="T609" i="1"/>
  <c r="AA609" i="1" s="1"/>
  <c r="Q609" i="1"/>
  <c r="Z609" i="1" s="1"/>
  <c r="T688" i="1"/>
  <c r="AA688" i="1" s="1"/>
  <c r="Q688" i="1"/>
  <c r="Z688" i="1" s="1"/>
  <c r="T615" i="1"/>
  <c r="AA615" i="1" s="1"/>
  <c r="Q615" i="1"/>
  <c r="Z615" i="1" s="1"/>
  <c r="T676" i="1"/>
  <c r="AA676" i="1" s="1"/>
  <c r="Q676" i="1"/>
  <c r="Z676" i="1" s="1"/>
  <c r="T469" i="1"/>
  <c r="AA469" i="1" s="1"/>
  <c r="Q469" i="1"/>
  <c r="Z469" i="1" s="1"/>
  <c r="T579" i="1"/>
  <c r="AA579" i="1" s="1"/>
  <c r="Q579" i="1"/>
  <c r="Z579" i="1" s="1"/>
  <c r="T436" i="1"/>
  <c r="AA436" i="1" s="1"/>
  <c r="Q436" i="1"/>
  <c r="Z436" i="1" s="1"/>
  <c r="T328" i="1"/>
  <c r="AA328" i="1" s="1"/>
  <c r="Q328" i="1"/>
  <c r="Z328" i="1" s="1"/>
  <c r="T346" i="1"/>
  <c r="AA346" i="1" s="1"/>
  <c r="Q346" i="1"/>
  <c r="Z346" i="1" s="1"/>
  <c r="T350" i="1"/>
  <c r="AA350" i="1" s="1"/>
  <c r="Q350" i="1"/>
  <c r="Z350" i="1" s="1"/>
  <c r="T156" i="1"/>
  <c r="AA156" i="1" s="1"/>
  <c r="Q156" i="1"/>
  <c r="Z156" i="1" s="1"/>
  <c r="T384" i="1"/>
  <c r="AA384" i="1" s="1"/>
  <c r="Q384" i="1"/>
  <c r="Z384" i="1" s="1"/>
  <c r="T269" i="1"/>
  <c r="AA269" i="1" s="1"/>
  <c r="Q269" i="1"/>
  <c r="Z269" i="1" s="1"/>
  <c r="T379" i="1"/>
  <c r="AA379" i="1" s="1"/>
  <c r="Q379" i="1"/>
  <c r="Z379" i="1" s="1"/>
  <c r="T645" i="1"/>
  <c r="AA645" i="1" s="1"/>
  <c r="Q645" i="1"/>
  <c r="Z645" i="1" s="1"/>
  <c r="T621" i="1"/>
  <c r="AA621" i="1" s="1"/>
  <c r="Q621" i="1"/>
  <c r="Z621" i="1" s="1"/>
  <c r="T652" i="1"/>
  <c r="AA652" i="1" s="1"/>
  <c r="Q652" i="1"/>
  <c r="Z652" i="1" s="1"/>
  <c r="T651" i="1"/>
  <c r="AA651" i="1" s="1"/>
  <c r="Q651" i="1"/>
  <c r="Z651" i="1" s="1"/>
  <c r="T691" i="1"/>
  <c r="AA691" i="1" s="1"/>
  <c r="Q691" i="1"/>
  <c r="Z691" i="1" s="1"/>
  <c r="T690" i="1"/>
  <c r="AA690" i="1" s="1"/>
  <c r="Q690" i="1"/>
  <c r="Z690" i="1" s="1"/>
  <c r="T699" i="1"/>
  <c r="AA699" i="1" s="1"/>
  <c r="Q699" i="1"/>
  <c r="Z699" i="1" s="1"/>
  <c r="T387" i="1"/>
  <c r="AA387" i="1" s="1"/>
  <c r="Q387" i="1"/>
  <c r="Z387" i="1" s="1"/>
  <c r="T399" i="1"/>
  <c r="AA399" i="1" s="1"/>
  <c r="Q399" i="1"/>
  <c r="Z399" i="1" s="1"/>
  <c r="T463" i="1"/>
  <c r="AA463" i="1" s="1"/>
  <c r="Q463" i="1"/>
  <c r="Z463" i="1" s="1"/>
  <c r="T160" i="1"/>
  <c r="AA160" i="1" s="1"/>
  <c r="Q160" i="1"/>
  <c r="Z160" i="1" s="1"/>
  <c r="T265" i="1"/>
  <c r="AA265" i="1" s="1"/>
  <c r="Q265" i="1"/>
  <c r="Z265" i="1" s="1"/>
  <c r="T285" i="1"/>
  <c r="AA285" i="1" s="1"/>
  <c r="Q285" i="1"/>
  <c r="Z285" i="1" s="1"/>
  <c r="T71" i="1"/>
  <c r="AA71" i="1" s="1"/>
  <c r="Q71" i="1"/>
  <c r="T635" i="1"/>
  <c r="AA635" i="1" s="1"/>
  <c r="Q635" i="1"/>
  <c r="Z635" i="1" s="1"/>
  <c r="T711" i="1"/>
  <c r="AA711" i="1" s="1"/>
  <c r="Q711" i="1"/>
  <c r="Z711" i="1" s="1"/>
  <c r="T705" i="1"/>
  <c r="AA705" i="1" s="1"/>
  <c r="Q705" i="1"/>
  <c r="Z705" i="1" s="1"/>
  <c r="T593" i="1"/>
  <c r="AA593" i="1" s="1"/>
  <c r="Q593" i="1"/>
  <c r="Z593" i="1" s="1"/>
  <c r="T164" i="1"/>
  <c r="AA164" i="1" s="1"/>
  <c r="Q164" i="1"/>
  <c r="Z164" i="1" s="1"/>
  <c r="T589" i="1"/>
  <c r="AA589" i="1" s="1"/>
  <c r="Q589" i="1"/>
  <c r="Z589" i="1" s="1"/>
  <c r="T575" i="1"/>
  <c r="AA575" i="1" s="1"/>
  <c r="Q575" i="1"/>
  <c r="Z575" i="1" s="1"/>
  <c r="T619" i="1"/>
  <c r="AA619" i="1" s="1"/>
  <c r="Q619" i="1"/>
  <c r="Z619" i="1" s="1"/>
  <c r="T605" i="1"/>
  <c r="AA605" i="1" s="1"/>
  <c r="Q605" i="1"/>
  <c r="Z605" i="1" s="1"/>
  <c r="T677" i="1"/>
  <c r="AA677" i="1" s="1"/>
  <c r="Q677" i="1"/>
  <c r="Z677" i="1" s="1"/>
  <c r="T655" i="1"/>
  <c r="AA655" i="1" s="1"/>
  <c r="Q655" i="1"/>
  <c r="Z655" i="1" s="1"/>
  <c r="T438" i="1"/>
  <c r="AA438" i="1" s="1"/>
  <c r="Q438" i="1"/>
  <c r="Z438" i="1" s="1"/>
  <c r="T455" i="1"/>
  <c r="AA455" i="1" s="1"/>
  <c r="Q455" i="1"/>
  <c r="Z455" i="1" s="1"/>
  <c r="T440" i="1"/>
  <c r="AA440" i="1" s="1"/>
  <c r="Q440" i="1"/>
  <c r="Z440" i="1" s="1"/>
  <c r="T474" i="1"/>
  <c r="AA474" i="1" s="1"/>
  <c r="Q474" i="1"/>
  <c r="Z474" i="1" s="1"/>
  <c r="T130" i="1"/>
  <c r="AA130" i="1" s="1"/>
  <c r="Q130" i="1"/>
  <c r="T148" i="1"/>
  <c r="AA148" i="1" s="1"/>
  <c r="Q148" i="1"/>
  <c r="Z148" i="1" s="1"/>
  <c r="T498" i="1"/>
  <c r="AA498" i="1" s="1"/>
  <c r="Q498" i="1"/>
  <c r="Z498" i="1" s="1"/>
  <c r="T581" i="1"/>
  <c r="AA581" i="1" s="1"/>
  <c r="Q581" i="1"/>
  <c r="Z581" i="1" s="1"/>
  <c r="T449" i="1"/>
  <c r="AA449" i="1" s="1"/>
  <c r="Q449" i="1"/>
  <c r="Z449" i="1" s="1"/>
  <c r="T637" i="1"/>
  <c r="AA637" i="1" s="1"/>
  <c r="Q637" i="1"/>
  <c r="Z637" i="1" s="1"/>
  <c r="T649" i="1"/>
  <c r="AA649" i="1" s="1"/>
  <c r="Q649" i="1"/>
  <c r="Z649" i="1" s="1"/>
  <c r="T585" i="1"/>
  <c r="AA585" i="1" s="1"/>
  <c r="Q585" i="1"/>
  <c r="Z585" i="1" s="1"/>
  <c r="T625" i="1"/>
  <c r="AA625" i="1" s="1"/>
  <c r="Q625" i="1"/>
  <c r="Z625" i="1" s="1"/>
  <c r="T659" i="1"/>
  <c r="AA659" i="1" s="1"/>
  <c r="Q659" i="1"/>
  <c r="Z659" i="1" s="1"/>
  <c r="T628" i="1"/>
  <c r="AA628" i="1" s="1"/>
  <c r="Q628" i="1"/>
  <c r="Z628" i="1" s="1"/>
  <c r="T665" i="1"/>
  <c r="AA665" i="1" s="1"/>
  <c r="Q665" i="1"/>
  <c r="Z665" i="1" s="1"/>
  <c r="T451" i="1"/>
  <c r="AA451" i="1" s="1"/>
  <c r="Q451" i="1"/>
  <c r="Z451" i="1" s="1"/>
  <c r="T687" i="1"/>
  <c r="AA687" i="1" s="1"/>
  <c r="Q687" i="1"/>
  <c r="Z687" i="1" s="1"/>
  <c r="T352" i="1"/>
  <c r="AA352" i="1" s="1"/>
  <c r="Q352" i="1"/>
  <c r="Z352" i="1" s="1"/>
  <c r="T398" i="1"/>
  <c r="AA398" i="1" s="1"/>
  <c r="Q398" i="1"/>
  <c r="Z398" i="1" s="1"/>
  <c r="T192" i="1"/>
  <c r="AA192" i="1" s="1"/>
  <c r="Q192" i="1"/>
  <c r="Z192" i="1" s="1"/>
  <c r="T467" i="1"/>
  <c r="AA467" i="1" s="1"/>
  <c r="Q467" i="1"/>
  <c r="Z467" i="1" s="1"/>
  <c r="Q137" i="1"/>
  <c r="Z137" i="1" s="1"/>
  <c r="T137" i="1"/>
  <c r="AA137" i="1" s="1"/>
  <c r="T320" i="1"/>
  <c r="AA320" i="1" s="1"/>
  <c r="Q320" i="1"/>
  <c r="Z320" i="1" s="1"/>
  <c r="T235" i="1"/>
  <c r="AA235" i="1" s="1"/>
  <c r="Q235" i="1"/>
  <c r="Z235" i="1" s="1"/>
  <c r="T686" i="1"/>
  <c r="AA686" i="1" s="1"/>
  <c r="Q686" i="1"/>
  <c r="Z686" i="1" s="1"/>
  <c r="T601" i="1"/>
  <c r="AA601" i="1" s="1"/>
  <c r="Q601" i="1"/>
  <c r="Z601" i="1" s="1"/>
  <c r="T573" i="1"/>
  <c r="AA573" i="1" s="1"/>
  <c r="Q573" i="1"/>
  <c r="Z573" i="1" s="1"/>
  <c r="T411" i="1"/>
  <c r="AA411" i="1" s="1"/>
  <c r="Q411" i="1"/>
  <c r="Z411" i="1" s="1"/>
  <c r="T251" i="1"/>
  <c r="AA251" i="1" s="1"/>
  <c r="Q251" i="1"/>
  <c r="Z251" i="1" s="1"/>
  <c r="T695" i="1"/>
  <c r="AA695" i="1" s="1"/>
  <c r="Q695" i="1"/>
  <c r="Z695" i="1" s="1"/>
  <c r="T554" i="1"/>
  <c r="AA554" i="1" s="1"/>
  <c r="Q554" i="1"/>
  <c r="Z554" i="1" s="1"/>
  <c r="T663" i="1"/>
  <c r="AA663" i="1" s="1"/>
  <c r="Q663" i="1"/>
  <c r="Z663" i="1" s="1"/>
  <c r="T591" i="1"/>
  <c r="AA591" i="1" s="1"/>
  <c r="Q591" i="1"/>
  <c r="Z591" i="1" s="1"/>
  <c r="T597" i="1"/>
  <c r="AA597" i="1" s="1"/>
  <c r="Q597" i="1"/>
  <c r="Z597" i="1" s="1"/>
  <c r="T631" i="1"/>
  <c r="AA631" i="1" s="1"/>
  <c r="Q631" i="1"/>
  <c r="Z631" i="1" s="1"/>
  <c r="T348" i="1"/>
  <c r="AA348" i="1" s="1"/>
  <c r="Q348" i="1"/>
  <c r="Z348" i="1" s="1"/>
  <c r="Q162" i="1"/>
  <c r="Z162" i="1" s="1"/>
  <c r="T162" i="1"/>
  <c r="AA162" i="1" s="1"/>
  <c r="T104" i="1"/>
  <c r="AA104" i="1" s="1"/>
  <c r="Q104" i="1"/>
  <c r="Z104" i="1" s="1"/>
  <c r="T404" i="1"/>
  <c r="AA404" i="1" s="1"/>
  <c r="Q404" i="1"/>
  <c r="Z404" i="1" s="1"/>
  <c r="T322" i="1"/>
  <c r="AA322" i="1" s="1"/>
  <c r="Q322" i="1"/>
  <c r="Z322" i="1" s="1"/>
  <c r="T132" i="1"/>
  <c r="AA132" i="1" s="1"/>
  <c r="Q132" i="1"/>
  <c r="T143" i="1"/>
  <c r="AA143" i="1" s="1"/>
  <c r="Q143" i="1"/>
  <c r="Z143" i="1" s="1"/>
  <c r="Q199" i="1" l="1"/>
  <c r="Z199" i="1" s="1"/>
  <c r="Q202" i="1"/>
  <c r="Z202" i="1" s="1"/>
  <c r="S209" i="1"/>
  <c r="T209" i="1" s="1"/>
  <c r="AA209" i="1" s="1"/>
  <c r="N200" i="1"/>
  <c r="Y200" i="1" s="1"/>
  <c r="N209" i="1"/>
  <c r="Y209" i="1" s="1"/>
  <c r="Q200" i="1"/>
  <c r="Z200" i="1" s="1"/>
  <c r="N202" i="1"/>
  <c r="Y202" i="1" s="1"/>
  <c r="S203" i="1"/>
  <c r="T203" i="1" s="1"/>
  <c r="AA203" i="1" s="1"/>
  <c r="N203" i="1"/>
  <c r="Y203" i="1" s="1"/>
  <c r="Q198" i="1"/>
  <c r="Z198" i="1" s="1"/>
  <c r="N198" i="1"/>
  <c r="Y198" i="1" s="1"/>
  <c r="S207" i="1"/>
  <c r="T207" i="1" s="1"/>
  <c r="AA207" i="1" s="1"/>
  <c r="N207" i="1"/>
  <c r="Y207" i="1" s="1"/>
  <c r="Q205" i="1"/>
  <c r="Z205" i="1" s="1"/>
  <c r="N195" i="1"/>
  <c r="Y195" i="1" s="1"/>
  <c r="N205" i="1"/>
  <c r="Y205" i="1" s="1"/>
  <c r="P197" i="1"/>
  <c r="Q197" i="1" s="1"/>
  <c r="Z197" i="1" s="1"/>
  <c r="F7" i="3"/>
  <c r="Q195" i="1"/>
  <c r="Z195" i="1" s="1"/>
  <c r="Q188" i="1"/>
  <c r="Z188" i="1" s="1"/>
  <c r="S206" i="1"/>
  <c r="T206" i="1" s="1"/>
  <c r="AA206" i="1" s="1"/>
  <c r="Q190" i="1"/>
  <c r="Z190" i="1" s="1"/>
  <c r="T24" i="1"/>
  <c r="AA24" i="1" s="1"/>
  <c r="E45" i="1"/>
  <c r="F45" i="1"/>
  <c r="G45" i="1"/>
  <c r="E226" i="1"/>
  <c r="G226" i="1"/>
  <c r="F226" i="1"/>
  <c r="G225" i="1"/>
  <c r="F225" i="1"/>
  <c r="E225" i="1"/>
  <c r="F224" i="1"/>
  <c r="G224" i="1"/>
  <c r="E181" i="1"/>
  <c r="G181" i="1"/>
  <c r="F181" i="1"/>
  <c r="G180" i="1"/>
  <c r="F180" i="1"/>
  <c r="E180" i="1"/>
  <c r="F179" i="1"/>
  <c r="G179" i="1"/>
  <c r="F128" i="1"/>
  <c r="E128" i="1"/>
  <c r="G128" i="1"/>
  <c r="F127" i="1"/>
  <c r="G127" i="1"/>
  <c r="E127" i="1"/>
  <c r="F126" i="1"/>
  <c r="G126" i="1"/>
  <c r="G65" i="1"/>
  <c r="G66" i="1"/>
  <c r="E66" i="1"/>
  <c r="F66" i="1"/>
  <c r="G67" i="1"/>
  <c r="E67" i="1"/>
  <c r="F67" i="1"/>
  <c r="AA159" i="1" l="1"/>
  <c r="E159" i="1"/>
  <c r="H159" i="1" s="1"/>
  <c r="Z159" i="1"/>
  <c r="F159" i="1"/>
  <c r="S197" i="1"/>
  <c r="T197" i="1" s="1"/>
  <c r="AA197" i="1" s="1"/>
  <c r="H45" i="1"/>
  <c r="H127" i="1"/>
  <c r="H180" i="1"/>
  <c r="H225" i="1"/>
  <c r="E224" i="1"/>
  <c r="H224" i="1" s="1"/>
  <c r="H226" i="1"/>
  <c r="H181" i="1"/>
  <c r="E179" i="1"/>
  <c r="H179" i="1" s="1"/>
  <c r="H128" i="1"/>
  <c r="E126" i="1"/>
  <c r="H126" i="1" s="1"/>
  <c r="F65" i="1"/>
  <c r="E65" i="1"/>
  <c r="H65" i="1" s="1"/>
  <c r="H66" i="1"/>
  <c r="H67" i="1"/>
  <c r="G669" i="1" l="1"/>
  <c r="G670" i="1"/>
  <c r="G671" i="1"/>
  <c r="G672" i="1"/>
  <c r="G673" i="1"/>
  <c r="G674" i="1"/>
  <c r="G675" i="1"/>
  <c r="G676" i="1"/>
  <c r="E670" i="1" l="1"/>
  <c r="H670" i="1" s="1"/>
  <c r="E12" i="2"/>
  <c r="F3" i="5" l="1"/>
  <c r="A12" i="7"/>
  <c r="F670" i="1" l="1"/>
  <c r="G660" i="1" l="1"/>
  <c r="G423" i="1"/>
  <c r="G541" i="1"/>
  <c r="E423" i="1" l="1"/>
  <c r="H423" i="1" s="1"/>
  <c r="F423" i="1"/>
  <c r="G575" i="1" l="1"/>
  <c r="E452" i="1"/>
  <c r="G452" i="1"/>
  <c r="F325" i="1"/>
  <c r="E325" i="1"/>
  <c r="G325" i="1"/>
  <c r="I717" i="1"/>
  <c r="G692" i="1"/>
  <c r="G691" i="1"/>
  <c r="G690" i="1"/>
  <c r="G689" i="1"/>
  <c r="G688" i="1"/>
  <c r="G570" i="1"/>
  <c r="G569" i="1"/>
  <c r="G557" i="1"/>
  <c r="G556" i="1"/>
  <c r="G555" i="1"/>
  <c r="E671" i="1" l="1"/>
  <c r="H671" i="1" s="1"/>
  <c r="E672" i="1"/>
  <c r="H672" i="1" s="1"/>
  <c r="F671" i="1"/>
  <c r="E575" i="1"/>
  <c r="H575" i="1" s="1"/>
  <c r="F452" i="1"/>
  <c r="F575" i="1"/>
  <c r="H452" i="1"/>
  <c r="H325" i="1"/>
  <c r="E555" i="1"/>
  <c r="H555" i="1" s="1"/>
  <c r="E569" i="1"/>
  <c r="H569" i="1" s="1"/>
  <c r="E690" i="1"/>
  <c r="H690" i="1" s="1"/>
  <c r="E570" i="1"/>
  <c r="H570" i="1" s="1"/>
  <c r="E557" i="1"/>
  <c r="H557" i="1" s="1"/>
  <c r="E556" i="1"/>
  <c r="H556" i="1" s="1"/>
  <c r="F556" i="1"/>
  <c r="F555" i="1"/>
  <c r="F569" i="1"/>
  <c r="F570" i="1"/>
  <c r="F669" i="1" l="1"/>
  <c r="E673" i="1"/>
  <c r="H673" i="1" s="1"/>
  <c r="F675" i="1"/>
  <c r="E676" i="1"/>
  <c r="H676" i="1" s="1"/>
  <c r="E674" i="1"/>
  <c r="H674" i="1" s="1"/>
  <c r="F689" i="1"/>
  <c r="E541" i="1"/>
  <c r="H541" i="1" s="1"/>
  <c r="E660" i="1"/>
  <c r="H660" i="1" s="1"/>
  <c r="F541" i="1"/>
  <c r="F660" i="1"/>
  <c r="F690" i="1"/>
  <c r="E688" i="1"/>
  <c r="H688" i="1" s="1"/>
  <c r="E689" i="1"/>
  <c r="H689" i="1" s="1"/>
  <c r="E692" i="1"/>
  <c r="H692" i="1" s="1"/>
  <c r="F688" i="1"/>
  <c r="F692" i="1"/>
  <c r="E691" i="1"/>
  <c r="H691" i="1" s="1"/>
  <c r="F691" i="1"/>
  <c r="F557" i="1"/>
  <c r="G438" i="1"/>
  <c r="E438" i="1"/>
  <c r="G437" i="1"/>
  <c r="E437" i="1"/>
  <c r="E436" i="1"/>
  <c r="G436" i="1"/>
  <c r="G320" i="1"/>
  <c r="E320" i="1"/>
  <c r="E319" i="1"/>
  <c r="G319" i="1"/>
  <c r="G318" i="1"/>
  <c r="E318" i="1"/>
  <c r="G317" i="1"/>
  <c r="E317" i="1"/>
  <c r="G593" i="1"/>
  <c r="G470" i="1"/>
  <c r="G471" i="1"/>
  <c r="G472" i="1"/>
  <c r="E675" i="1" l="1"/>
  <c r="H675" i="1" s="1"/>
  <c r="F676" i="1"/>
  <c r="E669" i="1"/>
  <c r="H669" i="1" s="1"/>
  <c r="F674" i="1"/>
  <c r="H320" i="1"/>
  <c r="H438" i="1"/>
  <c r="H436" i="1"/>
  <c r="H317" i="1"/>
  <c r="H437" i="1"/>
  <c r="F438" i="1"/>
  <c r="F437" i="1"/>
  <c r="H318" i="1"/>
  <c r="H319" i="1"/>
  <c r="F318" i="1"/>
  <c r="F317" i="1"/>
  <c r="F320" i="1"/>
  <c r="F436" i="1" l="1"/>
  <c r="F319" i="1"/>
  <c r="F672" i="1" l="1"/>
  <c r="F673" i="1"/>
  <c r="G187" i="1" l="1"/>
  <c r="G186" i="1"/>
  <c r="G185" i="1"/>
  <c r="G184" i="1"/>
  <c r="G183" i="1"/>
  <c r="G134" i="1"/>
  <c r="G133" i="1"/>
  <c r="G132" i="1"/>
  <c r="G131" i="1"/>
  <c r="G130" i="1"/>
  <c r="G73" i="1"/>
  <c r="G72" i="1"/>
  <c r="G71" i="1"/>
  <c r="G70" i="1"/>
  <c r="G69" i="1"/>
  <c r="G4" i="1"/>
  <c r="G5" i="1"/>
  <c r="G6" i="1"/>
  <c r="G7" i="1"/>
  <c r="E132" i="1" l="1"/>
  <c r="H132" i="1" s="1"/>
  <c r="E187" i="1"/>
  <c r="H187" i="1" s="1"/>
  <c r="F185" i="1"/>
  <c r="E185" i="1"/>
  <c r="H185" i="1" s="1"/>
  <c r="E184" i="1"/>
  <c r="H184" i="1" s="1"/>
  <c r="E186" i="1"/>
  <c r="H186" i="1" s="1"/>
  <c r="F187" i="1"/>
  <c r="F186" i="1"/>
  <c r="F133" i="1"/>
  <c r="E133" i="1"/>
  <c r="H133" i="1" s="1"/>
  <c r="E134" i="1"/>
  <c r="H134" i="1" s="1"/>
  <c r="F134" i="1"/>
  <c r="F132" i="1"/>
  <c r="E131" i="1"/>
  <c r="H131" i="1" s="1"/>
  <c r="F131" i="1"/>
  <c r="E4" i="1"/>
  <c r="H4" i="1" s="1"/>
  <c r="F7" i="1"/>
  <c r="F6" i="1"/>
  <c r="F72" i="1"/>
  <c r="E72" i="1"/>
  <c r="H72" i="1" s="1"/>
  <c r="E73" i="1"/>
  <c r="H73" i="1" s="1"/>
  <c r="F73" i="1"/>
  <c r="E71" i="1"/>
  <c r="H71" i="1" s="1"/>
  <c r="F71" i="1"/>
  <c r="F5" i="1" l="1"/>
  <c r="E6" i="1"/>
  <c r="H6" i="1" s="1"/>
  <c r="E7" i="1"/>
  <c r="H7" i="1" s="1"/>
  <c r="E5" i="1"/>
  <c r="H5" i="1" s="1"/>
  <c r="F130" i="1"/>
  <c r="F184" i="1"/>
  <c r="E183" i="1"/>
  <c r="H183" i="1" s="1"/>
  <c r="F183" i="1"/>
  <c r="E130" i="1"/>
  <c r="H130" i="1" s="1"/>
  <c r="F4" i="1"/>
  <c r="E70" i="1"/>
  <c r="H70" i="1" s="1"/>
  <c r="E69" i="1"/>
  <c r="H69" i="1" s="1"/>
  <c r="F69" i="1"/>
  <c r="F70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F358" i="1"/>
  <c r="E290" i="1"/>
  <c r="F6" i="5"/>
  <c r="F5" i="5"/>
  <c r="F4" i="5"/>
  <c r="F2" i="5"/>
  <c r="A10" i="2"/>
  <c r="A8" i="2"/>
  <c r="A11" i="2"/>
  <c r="A9" i="2"/>
  <c r="G26" i="1" l="1"/>
  <c r="G27" i="1"/>
  <c r="G29" i="1"/>
  <c r="G33" i="1"/>
  <c r="G35" i="1"/>
  <c r="G36" i="1"/>
  <c r="G38" i="1"/>
  <c r="G40" i="1"/>
  <c r="G41" i="1"/>
  <c r="G43" i="1"/>
  <c r="G44" i="1"/>
  <c r="G48" i="1"/>
  <c r="G49" i="1"/>
  <c r="G78" i="1"/>
  <c r="G80" i="1"/>
  <c r="G82" i="1"/>
  <c r="G84" i="1"/>
  <c r="G86" i="1"/>
  <c r="G90" i="1"/>
  <c r="G92" i="1"/>
  <c r="G93" i="1"/>
  <c r="G95" i="1"/>
  <c r="G99" i="1"/>
  <c r="G101" i="1"/>
  <c r="G104" i="1"/>
  <c r="G105" i="1"/>
  <c r="G108" i="1"/>
  <c r="G109" i="1"/>
  <c r="G111" i="1"/>
  <c r="G113" i="1"/>
  <c r="G114" i="1"/>
  <c r="G135" i="1"/>
  <c r="G137" i="1"/>
  <c r="G139" i="1"/>
  <c r="G141" i="1"/>
  <c r="G143" i="1"/>
  <c r="G145" i="1"/>
  <c r="G147" i="1"/>
  <c r="G148" i="1"/>
  <c r="G149" i="1"/>
  <c r="G150" i="1"/>
  <c r="G151" i="1"/>
  <c r="G152" i="1"/>
  <c r="G155" i="1"/>
  <c r="G156" i="1"/>
  <c r="G158" i="1"/>
  <c r="G160" i="1"/>
  <c r="G162" i="1"/>
  <c r="G163" i="1"/>
  <c r="G164" i="1"/>
  <c r="G166" i="1"/>
  <c r="G16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2" i="1"/>
  <c r="G205" i="1"/>
  <c r="G206" i="1"/>
  <c r="G208" i="1"/>
  <c r="G209" i="1"/>
  <c r="G210" i="1"/>
  <c r="G211" i="1"/>
  <c r="G212" i="1"/>
  <c r="G281" i="1"/>
  <c r="G303" i="1"/>
  <c r="G321" i="1"/>
  <c r="G322" i="1"/>
  <c r="G323" i="1"/>
  <c r="G324" i="1"/>
  <c r="G326" i="1"/>
  <c r="G350" i="1"/>
  <c r="G351" i="1"/>
  <c r="G352" i="1"/>
  <c r="G361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8" i="1"/>
  <c r="G419" i="1"/>
  <c r="G420" i="1"/>
  <c r="G421" i="1"/>
  <c r="G422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50" i="1"/>
  <c r="G451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3" i="1"/>
  <c r="G474" i="1"/>
  <c r="G475" i="1"/>
  <c r="G476" i="1"/>
  <c r="G477" i="1"/>
  <c r="G478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5" i="1"/>
  <c r="G536" i="1"/>
  <c r="G537" i="1"/>
  <c r="G538" i="1"/>
  <c r="G539" i="1"/>
  <c r="G540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73" i="1"/>
  <c r="G574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4" i="1"/>
  <c r="G595" i="1"/>
  <c r="G596" i="1"/>
  <c r="G597" i="1"/>
  <c r="G598" i="1"/>
  <c r="G599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1" i="1"/>
  <c r="G662" i="1"/>
  <c r="G663" i="1"/>
  <c r="G664" i="1"/>
  <c r="G665" i="1"/>
  <c r="G666" i="1"/>
  <c r="G667" i="1"/>
  <c r="G668" i="1"/>
  <c r="G686" i="1"/>
  <c r="G687" i="1"/>
  <c r="G695" i="1"/>
  <c r="G696" i="1"/>
  <c r="G698" i="1"/>
  <c r="G697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8" i="1"/>
  <c r="G11" i="1"/>
  <c r="G13" i="1"/>
  <c r="G15" i="1"/>
  <c r="G17" i="1"/>
  <c r="G19" i="1"/>
  <c r="G20" i="1"/>
  <c r="G24" i="1"/>
  <c r="F135" i="1"/>
  <c r="F188" i="1"/>
  <c r="E74" i="1"/>
  <c r="E135" i="1"/>
  <c r="E188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7" i="1"/>
  <c r="F698" i="1"/>
  <c r="F696" i="1"/>
  <c r="F695" i="1"/>
  <c r="F687" i="1"/>
  <c r="F686" i="1"/>
  <c r="F668" i="1"/>
  <c r="F667" i="1"/>
  <c r="F666" i="1"/>
  <c r="F665" i="1"/>
  <c r="F664" i="1"/>
  <c r="F663" i="1"/>
  <c r="F662" i="1"/>
  <c r="F661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599" i="1"/>
  <c r="F598" i="1"/>
  <c r="F597" i="1"/>
  <c r="F596" i="1"/>
  <c r="F595" i="1"/>
  <c r="F594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4" i="1"/>
  <c r="F573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0" i="1"/>
  <c r="F539" i="1"/>
  <c r="F538" i="1"/>
  <c r="F537" i="1"/>
  <c r="F536" i="1"/>
  <c r="F535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78" i="1"/>
  <c r="F477" i="1"/>
  <c r="F476" i="1"/>
  <c r="F475" i="1"/>
  <c r="F474" i="1"/>
  <c r="F473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1" i="1"/>
  <c r="F450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2" i="1"/>
  <c r="F421" i="1"/>
  <c r="F420" i="1"/>
  <c r="F419" i="1"/>
  <c r="F418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1" i="1"/>
  <c r="F360" i="1"/>
  <c r="F359" i="1"/>
  <c r="F356" i="1"/>
  <c r="F355" i="1"/>
  <c r="F354" i="1"/>
  <c r="F353" i="1"/>
  <c r="F352" i="1"/>
  <c r="F351" i="1"/>
  <c r="F350" i="1"/>
  <c r="F349" i="1"/>
  <c r="F348" i="1"/>
  <c r="F347" i="1"/>
  <c r="F346" i="1"/>
  <c r="F331" i="1"/>
  <c r="F330" i="1"/>
  <c r="F329" i="1"/>
  <c r="F328" i="1"/>
  <c r="F327" i="1"/>
  <c r="F326" i="1"/>
  <c r="F324" i="1"/>
  <c r="F322" i="1"/>
  <c r="F321" i="1"/>
  <c r="F303" i="1"/>
  <c r="F281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12" i="1"/>
  <c r="F211" i="1"/>
  <c r="F210" i="1"/>
  <c r="F209" i="1"/>
  <c r="F208" i="1"/>
  <c r="F206" i="1"/>
  <c r="F205" i="1"/>
  <c r="F202" i="1"/>
  <c r="F199" i="1"/>
  <c r="F198" i="1"/>
  <c r="F197" i="1"/>
  <c r="F196" i="1"/>
  <c r="F195" i="1"/>
  <c r="F194" i="1"/>
  <c r="F193" i="1"/>
  <c r="F192" i="1"/>
  <c r="F191" i="1"/>
  <c r="F190" i="1"/>
  <c r="F189" i="1"/>
  <c r="F167" i="1"/>
  <c r="F166" i="1"/>
  <c r="F164" i="1"/>
  <c r="F163" i="1"/>
  <c r="F162" i="1"/>
  <c r="F160" i="1"/>
  <c r="F158" i="1"/>
  <c r="F156" i="1"/>
  <c r="F155" i="1"/>
  <c r="F152" i="1"/>
  <c r="F151" i="1"/>
  <c r="F150" i="1"/>
  <c r="F149" i="1"/>
  <c r="F148" i="1"/>
  <c r="F147" i="1"/>
  <c r="F145" i="1"/>
  <c r="F143" i="1"/>
  <c r="F141" i="1"/>
  <c r="F139" i="1"/>
  <c r="F137" i="1"/>
  <c r="F114" i="1"/>
  <c r="F113" i="1"/>
  <c r="F111" i="1"/>
  <c r="F109" i="1"/>
  <c r="F108" i="1"/>
  <c r="F105" i="1"/>
  <c r="F104" i="1"/>
  <c r="F101" i="1"/>
  <c r="F99" i="1"/>
  <c r="F95" i="1"/>
  <c r="F93" i="1"/>
  <c r="F92" i="1"/>
  <c r="F90" i="1"/>
  <c r="F86" i="1"/>
  <c r="F84" i="1"/>
  <c r="F82" i="1"/>
  <c r="F80" i="1"/>
  <c r="F78" i="1"/>
  <c r="F49" i="1"/>
  <c r="F48" i="1"/>
  <c r="F44" i="1"/>
  <c r="F43" i="1"/>
  <c r="F41" i="1"/>
  <c r="F40" i="1"/>
  <c r="F38" i="1"/>
  <c r="F36" i="1"/>
  <c r="F27" i="1"/>
  <c r="F26" i="1"/>
  <c r="F19" i="1"/>
  <c r="F13" i="1"/>
  <c r="F11" i="1"/>
  <c r="F200" i="1" l="1"/>
  <c r="H188" i="1"/>
  <c r="H135" i="1"/>
  <c r="F35" i="1"/>
  <c r="F17" i="1"/>
  <c r="F29" i="1"/>
  <c r="F15" i="1"/>
  <c r="F20" i="1" l="1"/>
  <c r="F24" i="1"/>
  <c r="F33" i="1"/>
  <c r="F8" i="1"/>
  <c r="E716" i="1" l="1"/>
  <c r="H716" i="1" s="1"/>
  <c r="E599" i="1"/>
  <c r="H599" i="1" s="1"/>
  <c r="E478" i="1"/>
  <c r="H478" i="1" s="1"/>
  <c r="E361" i="1"/>
  <c r="H361" i="1" s="1"/>
  <c r="E209" i="1"/>
  <c r="H209" i="1" s="1"/>
  <c r="E208" i="1"/>
  <c r="H208" i="1" s="1"/>
  <c r="E163" i="1"/>
  <c r="H163" i="1" s="1"/>
  <c r="E162" i="1"/>
  <c r="H162" i="1" s="1"/>
  <c r="E109" i="1"/>
  <c r="H109" i="1" s="1"/>
  <c r="E108" i="1"/>
  <c r="H108" i="1" s="1"/>
  <c r="E43" i="1"/>
  <c r="H43" i="1" s="1"/>
  <c r="E41" i="1"/>
  <c r="H41" i="1" s="1"/>
  <c r="E40" i="1"/>
  <c r="H40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4" i="1"/>
  <c r="H24" i="1" s="1"/>
  <c r="E26" i="1"/>
  <c r="H26" i="1" s="1"/>
  <c r="E27" i="1"/>
  <c r="H27" i="1" s="1"/>
  <c r="E29" i="1"/>
  <c r="H29" i="1" s="1"/>
  <c r="E33" i="1"/>
  <c r="H33" i="1" s="1"/>
  <c r="E35" i="1"/>
  <c r="H35" i="1" s="1"/>
  <c r="E36" i="1"/>
  <c r="H36" i="1" s="1"/>
  <c r="E38" i="1"/>
  <c r="H38" i="1" s="1"/>
  <c r="E44" i="1"/>
  <c r="H44" i="1" s="1"/>
  <c r="E48" i="1"/>
  <c r="H48" i="1" s="1"/>
  <c r="E49" i="1"/>
  <c r="H49" i="1" s="1"/>
  <c r="E76" i="1"/>
  <c r="E78" i="1"/>
  <c r="H78" i="1" s="1"/>
  <c r="E80" i="1"/>
  <c r="H80" i="1" s="1"/>
  <c r="E82" i="1"/>
  <c r="H82" i="1" s="1"/>
  <c r="E84" i="1"/>
  <c r="H84" i="1" s="1"/>
  <c r="E86" i="1"/>
  <c r="H86" i="1" s="1"/>
  <c r="E88" i="1"/>
  <c r="E90" i="1"/>
  <c r="H90" i="1" s="1"/>
  <c r="E92" i="1"/>
  <c r="H92" i="1" s="1"/>
  <c r="E93" i="1"/>
  <c r="H93" i="1" s="1"/>
  <c r="E95" i="1"/>
  <c r="H95" i="1" s="1"/>
  <c r="E97" i="1"/>
  <c r="E99" i="1"/>
  <c r="H99" i="1" s="1"/>
  <c r="E101" i="1"/>
  <c r="H101" i="1" s="1"/>
  <c r="E102" i="1"/>
  <c r="E104" i="1"/>
  <c r="H104" i="1" s="1"/>
  <c r="E105" i="1"/>
  <c r="H105" i="1" s="1"/>
  <c r="E111" i="1"/>
  <c r="H111" i="1" s="1"/>
  <c r="E113" i="1"/>
  <c r="H113" i="1" s="1"/>
  <c r="E114" i="1"/>
  <c r="H114" i="1" s="1"/>
  <c r="E137" i="1"/>
  <c r="H137" i="1" s="1"/>
  <c r="E139" i="1"/>
  <c r="H139" i="1" s="1"/>
  <c r="E141" i="1"/>
  <c r="H141" i="1" s="1"/>
  <c r="E143" i="1"/>
  <c r="H143" i="1" s="1"/>
  <c r="E145" i="1"/>
  <c r="H145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E155" i="1"/>
  <c r="H155" i="1" s="1"/>
  <c r="E156" i="1"/>
  <c r="H156" i="1" s="1"/>
  <c r="E158" i="1"/>
  <c r="H158" i="1" s="1"/>
  <c r="E160" i="1"/>
  <c r="H160" i="1" s="1"/>
  <c r="E164" i="1"/>
  <c r="H164" i="1" s="1"/>
  <c r="E166" i="1"/>
  <c r="H166" i="1" s="1"/>
  <c r="E167" i="1"/>
  <c r="H167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2" i="1"/>
  <c r="H202" i="1" s="1"/>
  <c r="E205" i="1"/>
  <c r="H205" i="1" s="1"/>
  <c r="E206" i="1"/>
  <c r="H206" i="1" s="1"/>
  <c r="E210" i="1"/>
  <c r="H210" i="1" s="1"/>
  <c r="E211" i="1"/>
  <c r="H211" i="1" s="1"/>
  <c r="E212" i="1"/>
  <c r="H212" i="1" s="1"/>
  <c r="E228" i="1"/>
  <c r="E229" i="1"/>
  <c r="E230" i="1"/>
  <c r="E231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E274" i="1"/>
  <c r="E275" i="1"/>
  <c r="E276" i="1"/>
  <c r="E277" i="1"/>
  <c r="E278" i="1"/>
  <c r="E279" i="1"/>
  <c r="E280" i="1"/>
  <c r="E281" i="1"/>
  <c r="H281" i="1" s="1"/>
  <c r="E283" i="1"/>
  <c r="E284" i="1"/>
  <c r="E285" i="1"/>
  <c r="E286" i="1"/>
  <c r="E287" i="1"/>
  <c r="E288" i="1"/>
  <c r="E289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H303" i="1" s="1"/>
  <c r="E321" i="1"/>
  <c r="H321" i="1" s="1"/>
  <c r="E322" i="1"/>
  <c r="H322" i="1" s="1"/>
  <c r="E323" i="1"/>
  <c r="H323" i="1" s="1"/>
  <c r="E324" i="1"/>
  <c r="H324" i="1" s="1"/>
  <c r="E326" i="1"/>
  <c r="H326" i="1" s="1"/>
  <c r="E350" i="1"/>
  <c r="H350" i="1" s="1"/>
  <c r="E351" i="1"/>
  <c r="H351" i="1" s="1"/>
  <c r="E352" i="1"/>
  <c r="H35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8" i="1"/>
  <c r="H418" i="1" s="1"/>
  <c r="E419" i="1"/>
  <c r="H419" i="1" s="1"/>
  <c r="E420" i="1"/>
  <c r="H420" i="1" s="1"/>
  <c r="E421" i="1"/>
  <c r="H421" i="1" s="1"/>
  <c r="E422" i="1"/>
  <c r="H422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50" i="1"/>
  <c r="H450" i="1" s="1"/>
  <c r="E451" i="1"/>
  <c r="H451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3" i="1"/>
  <c r="H473" i="1" s="1"/>
  <c r="E474" i="1"/>
  <c r="H474" i="1" s="1"/>
  <c r="E475" i="1"/>
  <c r="H475" i="1" s="1"/>
  <c r="E476" i="1"/>
  <c r="H476" i="1" s="1"/>
  <c r="E477" i="1"/>
  <c r="H477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71" i="1"/>
  <c r="E572" i="1"/>
  <c r="E573" i="1"/>
  <c r="H573" i="1" s="1"/>
  <c r="E574" i="1"/>
  <c r="H574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4" i="1"/>
  <c r="H594" i="1" s="1"/>
  <c r="E595" i="1"/>
  <c r="H595" i="1" s="1"/>
  <c r="E596" i="1"/>
  <c r="H596" i="1" s="1"/>
  <c r="E597" i="1"/>
  <c r="H597" i="1" s="1"/>
  <c r="E598" i="1"/>
  <c r="H598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86" i="1"/>
  <c r="H686" i="1" s="1"/>
  <c r="E687" i="1"/>
  <c r="H687" i="1" s="1"/>
  <c r="E693" i="1"/>
  <c r="E694" i="1"/>
  <c r="E695" i="1"/>
  <c r="H695" i="1" s="1"/>
  <c r="E696" i="1"/>
  <c r="H696" i="1" s="1"/>
  <c r="E698" i="1"/>
  <c r="H698" i="1" s="1"/>
  <c r="E697" i="1"/>
  <c r="H697" i="1" s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E706" i="1"/>
  <c r="H706" i="1" s="1"/>
  <c r="E707" i="1"/>
  <c r="H707" i="1" s="1"/>
  <c r="E708" i="1"/>
  <c r="H708" i="1" s="1"/>
  <c r="E709" i="1"/>
  <c r="H709" i="1" s="1"/>
  <c r="E710" i="1"/>
  <c r="H710" i="1" s="1"/>
  <c r="E711" i="1"/>
  <c r="H711" i="1" s="1"/>
  <c r="E712" i="1"/>
  <c r="H712" i="1" s="1"/>
  <c r="E713" i="1"/>
  <c r="H713" i="1" s="1"/>
  <c r="E714" i="1"/>
  <c r="H714" i="1" s="1"/>
  <c r="E715" i="1"/>
  <c r="H715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323" i="1" l="1"/>
  <c r="F470" i="1" l="1"/>
  <c r="E471" i="1" l="1"/>
  <c r="H471" i="1" s="1"/>
  <c r="F471" i="1"/>
  <c r="E593" i="1"/>
  <c r="H593" i="1" s="1"/>
  <c r="E470" i="1"/>
  <c r="H470" i="1" s="1"/>
  <c r="F593" i="1" l="1"/>
  <c r="F472" i="1" l="1"/>
  <c r="E472" i="1" l="1"/>
  <c r="H472" i="1" s="1"/>
  <c r="F288" i="1" l="1"/>
  <c r="F300" i="1"/>
  <c r="F297" i="1"/>
  <c r="F301" i="1"/>
  <c r="F286" i="1"/>
  <c r="F294" i="1"/>
  <c r="F298" i="1"/>
  <c r="F302" i="1"/>
  <c r="F287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203" i="1"/>
  <c r="G154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80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201" i="1"/>
  <c r="BE9" i="3"/>
  <c r="AS9" i="3"/>
  <c r="BM9" i="3"/>
  <c r="BQ9" i="3"/>
  <c r="G353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48" i="1"/>
  <c r="CG9" i="3"/>
  <c r="AJ9" i="3"/>
  <c r="BW9" i="3"/>
  <c r="AU9" i="3"/>
  <c r="AR9" i="3"/>
  <c r="AY9" i="3"/>
  <c r="BR9" i="3"/>
  <c r="AD9" i="3"/>
  <c r="BK9" i="3"/>
  <c r="BZ9" i="3"/>
  <c r="G329" i="1"/>
  <c r="F233" i="1"/>
  <c r="G356" i="1"/>
  <c r="G348" i="1"/>
  <c r="G327" i="1"/>
  <c r="G355" i="1"/>
  <c r="G360" i="1"/>
  <c r="G330" i="1"/>
  <c r="G331" i="1"/>
  <c r="G354" i="1"/>
  <c r="G346" i="1"/>
  <c r="G328" i="1"/>
  <c r="G349" i="1"/>
  <c r="G572" i="1"/>
  <c r="H572" i="1" s="1"/>
  <c r="G276" i="1"/>
  <c r="H276" i="1" s="1"/>
  <c r="G241" i="1"/>
  <c r="H241" i="1" s="1"/>
  <c r="G235" i="1"/>
  <c r="H235" i="1" s="1"/>
  <c r="G246" i="1"/>
  <c r="H246" i="1" s="1"/>
  <c r="G298" i="1"/>
  <c r="H298" i="1" s="1"/>
  <c r="G256" i="1"/>
  <c r="H256" i="1" s="1"/>
  <c r="G229" i="1"/>
  <c r="H229" i="1" s="1"/>
  <c r="G231" i="1"/>
  <c r="H231" i="1" s="1"/>
  <c r="G237" i="1"/>
  <c r="H237" i="1" s="1"/>
  <c r="G252" i="1"/>
  <c r="H252" i="1" s="1"/>
  <c r="G292" i="1"/>
  <c r="H292" i="1" s="1"/>
  <c r="G97" i="1"/>
  <c r="H97" i="1" s="1"/>
  <c r="G694" i="1"/>
  <c r="H694" i="1" s="1"/>
  <c r="F232" i="1"/>
  <c r="G232" i="1"/>
  <c r="G253" i="1"/>
  <c r="H253" i="1" s="1"/>
  <c r="G244" i="1"/>
  <c r="H244" i="1" s="1"/>
  <c r="G300" i="1"/>
  <c r="H300" i="1" s="1"/>
  <c r="G302" i="1"/>
  <c r="H302" i="1" s="1"/>
  <c r="G245" i="1"/>
  <c r="H245" i="1" s="1"/>
  <c r="G240" i="1"/>
  <c r="H240" i="1" s="1"/>
  <c r="G296" i="1"/>
  <c r="H296" i="1" s="1"/>
  <c r="G285" i="1"/>
  <c r="H285" i="1" s="1"/>
  <c r="G277" i="1"/>
  <c r="H277" i="1" s="1"/>
  <c r="G249" i="1"/>
  <c r="H249" i="1" s="1"/>
  <c r="G234" i="1"/>
  <c r="H234" i="1" s="1"/>
  <c r="G301" i="1"/>
  <c r="H301" i="1" s="1"/>
  <c r="G273" i="1"/>
  <c r="H273" i="1" s="1"/>
  <c r="G275" i="1"/>
  <c r="H275" i="1" s="1"/>
  <c r="G254" i="1"/>
  <c r="H254" i="1" s="1"/>
  <c r="G248" i="1"/>
  <c r="H248" i="1" s="1"/>
  <c r="G299" i="1"/>
  <c r="H299" i="1" s="1"/>
  <c r="G290" i="1"/>
  <c r="H290" i="1" s="1"/>
  <c r="G233" i="1"/>
  <c r="G76" i="1"/>
  <c r="H76" i="1" s="1"/>
  <c r="G283" i="1"/>
  <c r="H283" i="1" s="1"/>
  <c r="G295" i="1"/>
  <c r="H295" i="1" s="1"/>
  <c r="G242" i="1"/>
  <c r="H242" i="1" s="1"/>
  <c r="G571" i="1"/>
  <c r="H571" i="1" s="1"/>
  <c r="G279" i="1"/>
  <c r="H279" i="1" s="1"/>
  <c r="G291" i="1"/>
  <c r="H291" i="1" s="1"/>
  <c r="G297" i="1"/>
  <c r="H297" i="1" s="1"/>
  <c r="G287" i="1"/>
  <c r="H287" i="1" s="1"/>
  <c r="G289" i="1"/>
  <c r="H289" i="1" s="1"/>
  <c r="G236" i="1"/>
  <c r="H236" i="1" s="1"/>
  <c r="G693" i="1"/>
  <c r="H693" i="1" s="1"/>
  <c r="G255" i="1"/>
  <c r="H255" i="1" s="1"/>
  <c r="G250" i="1"/>
  <c r="H250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74" i="1"/>
  <c r="H74" i="1" s="1"/>
  <c r="G293" i="1"/>
  <c r="H293" i="1" s="1"/>
  <c r="G251" i="1"/>
  <c r="H251" i="1" s="1"/>
  <c r="G278" i="1"/>
  <c r="H278" i="1" s="1"/>
  <c r="G238" i="1"/>
  <c r="H238" i="1" s="1"/>
  <c r="G288" i="1"/>
  <c r="H288" i="1" s="1"/>
  <c r="G294" i="1"/>
  <c r="H294" i="1" s="1"/>
  <c r="G247" i="1"/>
  <c r="H247" i="1" s="1"/>
  <c r="G274" i="1"/>
  <c r="H274" i="1" s="1"/>
  <c r="G280" i="1"/>
  <c r="H280" i="1" s="1"/>
  <c r="G239" i="1"/>
  <c r="H239" i="1" s="1"/>
  <c r="G284" i="1"/>
  <c r="H284" i="1" s="1"/>
  <c r="G102" i="1"/>
  <c r="H102" i="1" s="1"/>
  <c r="G243" i="1"/>
  <c r="H243" i="1" s="1"/>
  <c r="G286" i="1"/>
  <c r="H286" i="1" s="1"/>
  <c r="G88" i="1"/>
  <c r="H88" i="1" s="1"/>
  <c r="G153" i="1"/>
  <c r="H153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228" i="1"/>
  <c r="H228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E154" i="1"/>
  <c r="F154" i="1"/>
  <c r="F244" i="1"/>
  <c r="F252" i="1"/>
  <c r="F280" i="1"/>
  <c r="E327" i="1"/>
  <c r="E353" i="1"/>
  <c r="G483" i="1"/>
  <c r="F229" i="1"/>
  <c r="F241" i="1"/>
  <c r="F249" i="1"/>
  <c r="F277" i="1"/>
  <c r="F285" i="1"/>
  <c r="E328" i="1"/>
  <c r="G358" i="1"/>
  <c r="E358" i="1"/>
  <c r="G207" i="1"/>
  <c r="F207" i="1"/>
  <c r="F234" i="1"/>
  <c r="F242" i="1"/>
  <c r="F246" i="1"/>
  <c r="F250" i="1"/>
  <c r="F254" i="1"/>
  <c r="F274" i="1"/>
  <c r="F278" i="1"/>
  <c r="F290" i="1"/>
  <c r="E329" i="1"/>
  <c r="G347" i="1"/>
  <c r="E347" i="1"/>
  <c r="E355" i="1"/>
  <c r="G359" i="1"/>
  <c r="E359" i="1"/>
  <c r="G481" i="1"/>
  <c r="F481" i="1"/>
  <c r="F76" i="1"/>
  <c r="F236" i="1"/>
  <c r="F240" i="1"/>
  <c r="F248" i="1"/>
  <c r="F256" i="1"/>
  <c r="F276" i="1"/>
  <c r="F284" i="1"/>
  <c r="F292" i="1"/>
  <c r="F296" i="1"/>
  <c r="E331" i="1"/>
  <c r="E349" i="1"/>
  <c r="G449" i="1"/>
  <c r="E449" i="1"/>
  <c r="F203" i="1"/>
  <c r="E233" i="1"/>
  <c r="F237" i="1"/>
  <c r="F245" i="1"/>
  <c r="F253" i="1"/>
  <c r="F273" i="1"/>
  <c r="F289" i="1"/>
  <c r="F293" i="1"/>
  <c r="E346" i="1"/>
  <c r="E354" i="1"/>
  <c r="F480" i="1"/>
  <c r="F230" i="1"/>
  <c r="F238" i="1"/>
  <c r="F74" i="1"/>
  <c r="F88" i="1"/>
  <c r="F102" i="1"/>
  <c r="F97" i="1"/>
  <c r="F153" i="1"/>
  <c r="G161" i="1"/>
  <c r="F161" i="1"/>
  <c r="E161" i="1"/>
  <c r="I28" i="3"/>
  <c r="AU28" i="3"/>
  <c r="CP28" i="3"/>
  <c r="BN28" i="3"/>
  <c r="Y28" i="3"/>
  <c r="Y30" i="3"/>
  <c r="F231" i="1"/>
  <c r="F235" i="1"/>
  <c r="F239" i="1"/>
  <c r="F243" i="1"/>
  <c r="F247" i="1"/>
  <c r="F251" i="1"/>
  <c r="F255" i="1"/>
  <c r="F275" i="1"/>
  <c r="F279" i="1"/>
  <c r="F283" i="1"/>
  <c r="F291" i="1"/>
  <c r="F295" i="1"/>
  <c r="F299" i="1"/>
  <c r="E330" i="1"/>
  <c r="E348" i="1"/>
  <c r="E356" i="1"/>
  <c r="E360" i="1"/>
  <c r="G482" i="1"/>
  <c r="H360" i="1" l="1"/>
  <c r="H331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49" i="1"/>
  <c r="H233" i="1"/>
  <c r="H330" i="1"/>
  <c r="H355" i="1"/>
  <c r="H154" i="1"/>
  <c r="H353" i="1"/>
  <c r="H347" i="1"/>
  <c r="O28" i="3"/>
  <c r="BY28" i="3"/>
  <c r="AP28" i="3"/>
  <c r="BS28" i="3"/>
  <c r="G28" i="3"/>
  <c r="AF28" i="3"/>
  <c r="H449" i="1"/>
  <c r="BM28" i="3"/>
  <c r="CN28" i="3"/>
  <c r="BA28" i="3"/>
  <c r="H161" i="1"/>
  <c r="AM28" i="3"/>
  <c r="CE28" i="3"/>
  <c r="V28" i="3"/>
  <c r="R28" i="3"/>
  <c r="E203" i="1"/>
  <c r="H203" i="1" s="1"/>
  <c r="L28" i="3"/>
  <c r="AX28" i="3"/>
  <c r="BI28" i="3"/>
  <c r="BH28" i="3"/>
  <c r="BO28" i="3"/>
  <c r="BZ28" i="3"/>
  <c r="BU28" i="3"/>
  <c r="CJ28" i="3"/>
  <c r="F28" i="3"/>
  <c r="M28" i="3"/>
  <c r="X28" i="3"/>
  <c r="E201" i="1"/>
  <c r="H201" i="1" s="1"/>
  <c r="CM28" i="3"/>
  <c r="BB28" i="3"/>
  <c r="BP8" i="3"/>
  <c r="BZ8" i="3"/>
  <c r="E448" i="1"/>
  <c r="H448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32" i="1"/>
  <c r="H232" i="1" s="1"/>
  <c r="CP7" i="3"/>
  <c r="CS7" i="3"/>
  <c r="E482" i="1"/>
  <c r="H482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201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59" i="1"/>
  <c r="E480" i="1"/>
  <c r="H480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58" i="1"/>
  <c r="F483" i="1"/>
  <c r="E483" i="1"/>
  <c r="H483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228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54" i="1"/>
  <c r="H327" i="1"/>
  <c r="H329" i="1"/>
  <c r="E481" i="1"/>
  <c r="H481" i="1" s="1"/>
  <c r="E207" i="1"/>
  <c r="H207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28" i="1"/>
  <c r="H348" i="1"/>
  <c r="AW21" i="3"/>
  <c r="L21" i="3"/>
  <c r="BK21" i="3"/>
  <c r="BS21" i="3"/>
  <c r="H346" i="1"/>
  <c r="H356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48" i="1"/>
  <c r="O8" i="2" a="1"/>
  <c r="O8" i="2" s="1"/>
  <c r="F449" i="1"/>
  <c r="CP22" i="3"/>
  <c r="G8" i="2" a="1"/>
  <c r="G8" i="2" s="1"/>
  <c r="F482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71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94" i="1"/>
  <c r="F572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93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AG14" i="7" s="1" a="1"/>
  <c r="AG14" i="7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D14" i="7" s="1" a="1"/>
  <c r="AD14" i="7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AF14" i="7" s="1" a="1"/>
  <c r="AF14" i="7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AC14" i="7" s="1" a="1"/>
  <c r="AC14" i="7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AE14" i="7" s="1" a="1"/>
  <c r="AE14" i="7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AB14" i="7" s="1" a="1"/>
  <c r="AB14" i="7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G17" i="7" l="1"/>
  <c r="AE17" i="7"/>
  <c r="AF17" i="7"/>
  <c r="AD17" i="7"/>
  <c r="AC17" i="7"/>
  <c r="AB17" i="7"/>
  <c r="AA17" i="7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<sst xmlns="http://schemas.openxmlformats.org/spreadsheetml/2006/main" count="3029" uniqueCount="1253">
  <si>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</si>
  <si>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</si>
  <si>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</si>
  <si>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</si>
  <si>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</si>
  <si>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</si>
  <si>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</si>
  <si>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</si>
  <si>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</si>
  <si>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</si>
  <si>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</si>
  <si>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</si>
  <si>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</si>
  <si>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</si>
  <si>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</si>
  <si>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</si>
  <si>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</si>
  <si>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</si>
  <si>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</si>
  <si>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</si>
  <si>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</si>
  <si>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</si>
  <si>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</si>
  <si>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</si>
  <si>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</si>
  <si>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</si>
  <si>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</si>
  <si>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</si>
  <si>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</si>
  <si>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</si>
  <si>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</si>
  <si>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</si>
  <si>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</si>
  <si>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</si>
  <si>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</si>
  <si>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</si>
  <si>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</si>
  <si>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</si>
  <si>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</si>
  <si>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</si>
  <si>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</si>
  <si>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</si>
  <si>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</si>
  <si>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</si>
  <si>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</si>
  <si>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</si>
  <si>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</si>
  <si>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</si>
  <si>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</si>
  <si>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</si>
  <si>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</si>
  <si>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</si>
  <si>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</si>
  <si>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</si>
  <si>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</si>
  <si>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</si>
  <si>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</si>
  <si>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</si>
  <si>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</si>
  <si>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</si>
  <si>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</si>
  <si>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</si>
  <si>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</si>
  <si>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</si>
  <si>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</si>
  <si>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</si>
  <si>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</si>
  <si>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</si>
  <si>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</si>
  <si>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</si>
  <si>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</si>
  <si>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</si>
  <si>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</si>
  <si>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</si>
  <si>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</si>
  <si>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</si>
  <si>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</si>
  <si>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</si>
  <si>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</si>
  <si>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</si>
  <si>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</si>
  <si>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</si>
  <si>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</si>
  <si>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</si>
  <si>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</si>
  <si>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</si>
  <si>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</si>
  <si>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</si>
  <si>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</si>
  <si>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</si>
  <si>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MM-ZTK-1F-ZWP21-STR-CAL-2025</t>
  </si>
  <si>
    <t>ZWP21 MUDMAT FEA ANALYSIS</t>
  </si>
  <si>
    <t>MM-ZTK-1F-ZWP21-STR-CAL-2026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</si>
  <si>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</si>
  <si>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</si>
  <si>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</si>
  <si>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</si>
  <si>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</si>
  <si>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</si>
  <si>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</si>
  <si>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MM-ZTK-1F-ZWP21-STR-MTO-2002</t>
  </si>
  <si>
    <t>MM-ZTK-1F-ZWP23-STR-CAL-2001</t>
  </si>
  <si>
    <t>MM-ZTK-1F-ZWP23-STR-CAL-2011</t>
  </si>
  <si>
    <t>MM-ZTK-1F-ZWP23-STR-CAL-2012</t>
  </si>
  <si>
    <t>MM-ZTK-1F-ZWP23-STR-CAL-2014</t>
  </si>
  <si>
    <t>MM-ZTK-1F-ZWP23-STR-CAL-2015</t>
  </si>
  <si>
    <t>MM-ZTK-1F-ZWP23-STR-CAL-2016</t>
  </si>
  <si>
    <t>MM-ZTK-1F-ZWP23-STR-CAL-2017</t>
  </si>
  <si>
    <t>MM-ZTK-1F-ZWP23-STR-CAL-2018</t>
  </si>
  <si>
    <t>MM-ZTK-1F-ZWP23-STR-CAL-2019</t>
  </si>
  <si>
    <t>MM-ZTK-1F-ZWP23-STR-CAL-2020</t>
  </si>
  <si>
    <t>ZWP23 JACKET LEVELLING ANALYSIS</t>
  </si>
  <si>
    <t>MM-ZTK-1F-ZWP23-STR-CAL-2021</t>
  </si>
  <si>
    <t>MM-ZTK-1F-ZWP23-STR-CAL-2022</t>
  </si>
  <si>
    <t>MM-ZTK-1F-ZWP23-STR-CAL-2023</t>
  </si>
  <si>
    <t>MM-ZTK-1F-ZWP23-STR-CAL-2024</t>
  </si>
  <si>
    <t>MM-ZTK-1F-ZWP23-STR-CAL-2025</t>
  </si>
  <si>
    <t>ZWP23 MUDMAT FEA ANALYSIS</t>
  </si>
  <si>
    <t>MM-ZTK-1F-ZWP23-STR-CAL-2026</t>
  </si>
  <si>
    <t>MM-ZTK-1F-ZWP23-STR-CAL-2041</t>
  </si>
  <si>
    <t>ZWP23 JACKET PUSHOVER ANALYSIS</t>
  </si>
  <si>
    <t>MM-ZTK-1F-ZWP23-STR-CAL-2050</t>
  </si>
  <si>
    <t>ZWP23 JACKET CONSTRUCTION MODEL REPORT</t>
  </si>
  <si>
    <t>ZWP23 JACKET LAUNCH ANALYSIS REPORT</t>
  </si>
  <si>
    <t>MM-ZTK-1F-ZWP23-STR-WCR-2001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</si>
  <si>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</si>
  <si>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</si>
  <si>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</si>
  <si>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</si>
  <si>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</si>
  <si>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MM-ZTK-1F-ZWP22-STR-CAL-2011</t>
  </si>
  <si>
    <t>MM-ZTK-1F-ZWP22-STR-CAL-2012</t>
  </si>
  <si>
    <t>MM-ZTK-1F-ZWP22-STR-CAL-2014</t>
  </si>
  <si>
    <t>MM-ZTK-1F-ZWP22-STR-CAL-2015</t>
  </si>
  <si>
    <t>MM-ZTK-1F-ZWP22-STR-CAL-2016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</si>
  <si>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</si>
  <si>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</si>
  <si>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</si>
  <si>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</si>
  <si>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</si>
  <si>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</si>
  <si>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</si>
  <si>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</si>
  <si>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</si>
  <si>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</si>
  <si>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</si>
  <si>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</si>
  <si>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</si>
  <si>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</si>
  <si>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</si>
  <si>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</si>
  <si>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</si>
  <si>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</si>
  <si>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</si>
  <si>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</si>
  <si>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</si>
  <si>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</si>
  <si>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</si>
  <si>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</si>
  <si>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</si>
  <si>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</si>
  <si>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</si>
  <si>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</si>
  <si>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</si>
  <si>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</si>
  <si>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</si>
  <si>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</si>
  <si>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</si>
  <si>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</si>
  <si>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</si>
  <si>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</si>
  <si>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</si>
  <si>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</si>
  <si>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</si>
  <si>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</si>
  <si>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</si>
  <si>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</si>
  <si>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</si>
  <si>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</si>
  <si>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</si>
  <si>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</si>
  <si>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</si>
  <si>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</si>
  <si>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</si>
  <si>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</si>
  <si>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</si>
  <si>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</si>
  <si>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</si>
  <si>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</si>
  <si>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</si>
  <si>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</si>
  <si>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</si>
  <si>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</si>
  <si>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</si>
  <si>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</si>
  <si>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</si>
  <si>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</si>
  <si>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</si>
  <si>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</si>
  <si>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</si>
  <si>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</si>
  <si>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</si>
  <si>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</si>
  <si>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</si>
  <si>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</si>
  <si>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</si>
  <si>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</si>
  <si>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</si>
  <si>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</si>
  <si>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</si>
  <si>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</si>
  <si>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</si>
  <si>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</si>
  <si>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</si>
  <si>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</si>
  <si>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</si>
  <si>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</si>
  <si>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</si>
  <si>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</si>
  <si>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</si>
  <si>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</si>
  <si>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</si>
  <si>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</si>
  <si>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</si>
  <si>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</si>
  <si>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</si>
  <si>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</si>
  <si>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</si>
  <si>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</si>
  <si>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</si>
  <si>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</si>
  <si>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</si>
  <si>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</si>
  <si>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</si>
  <si>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</si>
  <si>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</si>
  <si>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</si>
  <si>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</si>
  <si>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</si>
  <si>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</si>
  <si>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</si>
  <si>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</si>
  <si>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</si>
  <si>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</si>
  <si>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</si>
  <si>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</si>
  <si>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</si>
  <si>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</si>
  <si>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</si>
  <si>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</si>
  <si>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</si>
  <si>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</si>
  <si>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</si>
  <si>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</si>
  <si>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</si>
  <si>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</si>
  <si>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</si>
  <si>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</si>
  <si>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</si>
  <si>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</si>
  <si>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</si>
  <si>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</si>
  <si>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</si>
  <si>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</si>
  <si>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</si>
  <si>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</si>
  <si>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</si>
  <si>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</si>
  <si>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</si>
  <si>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</si>
  <si>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</si>
  <si>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</si>
  <si>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</si>
  <si>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</si>
  <si>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</si>
  <si>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</si>
  <si>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</si>
  <si>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</si>
  <si>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</si>
  <si>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</si>
  <si>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</si>
  <si>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</si>
  <si>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</si>
  <si>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</si>
  <si>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</si>
  <si>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</si>
  <si>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</si>
  <si>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</si>
  <si>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</si>
  <si>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</si>
  <si>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</si>
  <si>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</si>
  <si>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</si>
  <si>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</si>
  <si>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</si>
  <si>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</si>
  <si>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</si>
  <si>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</si>
  <si>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</si>
  <si>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</si>
  <si>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</si>
  <si>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</si>
  <si>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</si>
  <si>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</si>
  <si>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</si>
  <si>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</si>
  <si>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</si>
  <si>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</si>
  <si>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</si>
  <si>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</si>
  <si>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</si>
  <si>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</si>
  <si>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</si>
  <si>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</si>
  <si>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</si>
  <si>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</si>
  <si>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</si>
  <si>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</si>
  <si>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</si>
  <si>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MM-ZTK-1F-ZWP21-STR-DWG-2932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</si>
  <si>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</si>
  <si>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</si>
  <si>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</si>
  <si>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</si>
  <si>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</si>
  <si>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</si>
  <si>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</si>
  <si>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</si>
  <si>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</si>
  <si>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</si>
  <si>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</si>
  <si>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</si>
  <si>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</si>
  <si>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</si>
  <si>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</si>
  <si>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</si>
  <si>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</si>
  <si>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</si>
  <si>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</si>
  <si>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</si>
  <si>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</si>
  <si>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</si>
  <si>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</si>
  <si>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</si>
  <si>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</si>
  <si>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</si>
  <si>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</si>
  <si>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</si>
  <si>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</si>
  <si>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</si>
  <si>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</si>
  <si>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</si>
  <si>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</si>
  <si>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</si>
  <si>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</si>
  <si>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</si>
  <si>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</si>
  <si>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</si>
  <si>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</si>
  <si>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</si>
  <si>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</si>
  <si>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</si>
  <si>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</si>
  <si>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</si>
  <si>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</si>
  <si>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</si>
  <si>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</si>
  <si>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</si>
  <si>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</si>
  <si>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</si>
  <si>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</si>
  <si>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</si>
  <si>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</si>
  <si>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</si>
  <si>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</si>
  <si>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</si>
  <si>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</si>
  <si>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</si>
  <si>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</si>
  <si>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</si>
  <si>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</si>
  <si>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</si>
  <si>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</si>
  <si>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</si>
  <si>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</si>
  <si>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</si>
  <si>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</si>
  <si>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</si>
  <si>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</si>
  <si>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</si>
  <si>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</si>
  <si>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</si>
  <si>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</si>
  <si>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</si>
  <si>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</si>
  <si>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</si>
  <si>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</si>
  <si>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</si>
  <si>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</si>
  <si>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</si>
  <si>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</si>
  <si>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</si>
  <si>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</si>
  <si>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</si>
  <si>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</si>
  <si>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</si>
  <si>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</si>
  <si>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</si>
  <si>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</si>
  <si>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</si>
  <si>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</si>
  <si>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</si>
  <si>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</si>
  <si>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</si>
  <si>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</si>
  <si>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</si>
  <si>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</si>
  <si>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</si>
  <si>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</si>
  <si>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</si>
  <si>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</si>
  <si>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</si>
  <si>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</si>
  <si>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</si>
  <si>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</si>
  <si>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</si>
  <si>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</si>
  <si>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</si>
  <si>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</si>
  <si>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</si>
  <si>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</si>
  <si>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</si>
  <si>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</si>
  <si>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</si>
  <si>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</si>
  <si>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</si>
  <si>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</si>
  <si>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</si>
  <si>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</si>
  <si>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</si>
  <si>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</si>
  <si>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</si>
  <si>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</si>
  <si>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</si>
  <si>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</si>
  <si>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</si>
  <si>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</si>
  <si>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</si>
  <si>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</si>
  <si>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</si>
  <si>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</si>
  <si>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</si>
  <si>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</si>
  <si>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</si>
  <si>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</si>
  <si>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</si>
  <si>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</si>
  <si>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</si>
  <si>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</si>
  <si>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</si>
  <si>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</si>
  <si>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</si>
  <si>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</si>
  <si>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</si>
  <si>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</si>
  <si>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</si>
  <si>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</si>
  <si>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</si>
  <si>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</si>
  <si>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</si>
  <si>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</si>
  <si>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</si>
  <si>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</si>
  <si>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</si>
  <si>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</si>
  <si>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</si>
  <si>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</si>
  <si>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</si>
  <si>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</si>
  <si>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</si>
  <si>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</si>
  <si>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</si>
  <si>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</si>
  <si>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</si>
  <si>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</si>
  <si>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</si>
  <si>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</si>
  <si>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</si>
  <si>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</si>
  <si>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</si>
  <si>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</si>
  <si>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</si>
  <si>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</si>
  <si>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</si>
  <si>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</si>
  <si>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</si>
  <si>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</si>
  <si>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</si>
  <si>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</si>
  <si>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</si>
  <si>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</si>
  <si>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</si>
  <si>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</si>
  <si>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</si>
  <si>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</si>
  <si>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</si>
  <si>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</si>
  <si>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</si>
  <si>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</si>
  <si>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</si>
  <si>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</si>
  <si>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</si>
  <si>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</si>
  <si>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</si>
  <si>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</si>
  <si>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</si>
  <si>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</si>
  <si>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</si>
  <si>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</si>
  <si>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</si>
  <si>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</si>
  <si>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</si>
  <si>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</si>
  <si>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</si>
  <si>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</si>
  <si>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</si>
  <si>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</si>
  <si>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</si>
  <si>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</si>
  <si>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</si>
  <si>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</si>
  <si>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</si>
  <si>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</si>
  <si>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</si>
  <si>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</si>
  <si>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</si>
  <si>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</si>
  <si>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</si>
  <si>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</si>
  <si>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</si>
  <si>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</si>
  <si>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</si>
  <si>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</si>
  <si>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</si>
  <si>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</si>
  <si>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</si>
  <si>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</si>
  <si>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</si>
  <si>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</si>
  <si>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</si>
  <si>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</si>
  <si>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</si>
  <si>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</si>
  <si>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</si>
  <si>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</si>
  <si>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</si>
  <si>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</si>
  <si>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</si>
  <si>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</si>
  <si>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</si>
  <si>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</si>
  <si>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</si>
  <si>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</si>
  <si>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</si>
  <si>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</si>
  <si>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</si>
  <si>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</si>
  <si>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</si>
  <si>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</si>
  <si>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</si>
  <si>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</si>
  <si>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</si>
  <si>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</si>
  <si>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</si>
  <si>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</si>
  <si>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</si>
  <si>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</si>
  <si>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</si>
  <si>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</si>
  <si>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</si>
  <si>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</si>
  <si>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</si>
  <si>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</si>
  <si>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</si>
  <si>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</si>
  <si>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</si>
  <si>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</si>
  <si>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</si>
  <si>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</si>
  <si>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</si>
  <si>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</si>
  <si>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</si>
  <si>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</si>
  <si>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</si>
  <si>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</si>
  <si>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</si>
  <si>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</si>
  <si>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</si>
  <si>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</si>
  <si>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</si>
  <si>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</si>
  <si>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</si>
  <si>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</si>
  <si>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</si>
  <si>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</si>
  <si>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</si>
  <si>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</si>
  <si>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</si>
  <si>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</si>
  <si>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</si>
  <si>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</si>
  <si>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</si>
  <si>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</si>
  <si>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</si>
  <si>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</si>
  <si>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</si>
  <si>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</si>
  <si>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</si>
  <si>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</si>
  <si>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</si>
  <si>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</si>
  <si>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</si>
  <si>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</si>
  <si>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</si>
  <si>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</si>
  <si>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</si>
  <si>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</si>
  <si>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</si>
  <si>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</si>
  <si>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</si>
  <si>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</si>
  <si>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</si>
  <si>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</si>
  <si>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</si>
  <si>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</si>
  <si>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</si>
  <si>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</si>
  <si>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</si>
  <si>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</si>
  <si>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</si>
  <si>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</si>
  <si>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</si>
  <si>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</si>
  <si>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</si>
  <si>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</si>
  <si>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</si>
  <si>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</si>
  <si>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</si>
  <si>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</si>
  <si>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</si>
  <si>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</si>
  <si>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</si>
  <si>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</si>
  <si>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</si>
  <si>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</si>
  <si>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</si>
  <si>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</si>
  <si>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</si>
  <si>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</si>
  <si>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</si>
  <si>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</si>
  <si>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</si>
  <si>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</si>
  <si>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</si>
  <si>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</si>
  <si>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</si>
  <si>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</si>
  <si>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</si>
  <si>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</si>
  <si>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</si>
  <si>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</si>
  <si>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</si>
  <si>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</si>
  <si>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</si>
  <si>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</si>
  <si>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</si>
  <si>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</si>
  <si>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</si>
  <si>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</si>
  <si>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</si>
  <si>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</si>
  <si>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</si>
  <si>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</si>
  <si>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</si>
  <si>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</si>
  <si>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</si>
  <si>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</si>
  <si>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</si>
  <si>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</si>
  <si>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</si>
  <si>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</si>
  <si>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</si>
  <si>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</si>
  <si>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</si>
  <si>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</si>
  <si>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</si>
  <si>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</si>
  <si>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</si>
  <si>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</si>
  <si>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</si>
  <si>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</si>
  <si>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</si>
  <si>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</si>
  <si>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</si>
  <si>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</si>
  <si>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</si>
  <si>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</si>
  <si>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</si>
  <si>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</si>
  <si>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</si>
  <si>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</si>
  <si>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</si>
  <si>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</si>
  <si>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</si>
  <si>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</si>
  <si>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</si>
  <si>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</si>
  <si>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</si>
  <si>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</si>
  <si>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</si>
  <si>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</si>
  <si>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</si>
  <si>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</si>
  <si>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</si>
  <si>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</si>
  <si>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</si>
  <si>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</si>
  <si>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</si>
  <si>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</si>
  <si>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</si>
  <si>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</si>
  <si>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</si>
  <si>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</si>
  <si>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</si>
  <si>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</si>
  <si>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</si>
  <si>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</si>
  <si>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</si>
  <si>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</si>
  <si>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</si>
  <si>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</si>
  <si>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</si>
  <si>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</si>
  <si>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</si>
  <si>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</si>
  <si>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</si>
  <si>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</si>
  <si>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</si>
  <si>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</si>
  <si>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</si>
  <si>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</si>
  <si>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</si>
  <si>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</si>
  <si>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</si>
  <si>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</si>
  <si>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</si>
  <si>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</si>
  <si>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</si>
  <si>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</si>
  <si>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</si>
  <si>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</si>
  <si>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</si>
  <si>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</si>
  <si>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</si>
  <si>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</si>
  <si>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</si>
  <si>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</si>
  <si>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</si>
  <si>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</si>
  <si>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</si>
  <si>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</si>
  <si>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</si>
  <si>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</si>
  <si>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</si>
  <si>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</si>
  <si>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</si>
  <si>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</si>
  <si>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</si>
  <si>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</si>
  <si>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</si>
  <si>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</si>
  <si>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</si>
  <si>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</si>
  <si>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</si>
  <si>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</si>
  <si>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</si>
  <si>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</si>
  <si>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MM-ZTK-1F-ZWP20-STR-MR-2002</t>
  </si>
  <si>
    <t>MM-ZTK-1F-ZWP20-STR-MR-2003</t>
  </si>
  <si>
    <t>MM-ZTK-1F-ZWP23-STR-MR-2001</t>
  </si>
  <si>
    <t>MM-ZTK-1F-ZWP23-STR-MR-2002</t>
  </si>
  <si>
    <t>MM-ZTK-1F-ZWP23-STR-MR-2003</t>
  </si>
  <si>
    <t>MM-ZTK-1F-ZWP22-STR-MR-2001</t>
  </si>
  <si>
    <t>MM-ZTK-1F-ZWP22-STR-MR-2002</t>
  </si>
  <si>
    <t>MM-ZTK-1F-ZWP22-STR-MR-2003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</si>
  <si>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</si>
  <si>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</si>
  <si>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</si>
  <si>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</si>
  <si>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</si>
  <si>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</si>
  <si>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</si>
  <si>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</si>
  <si>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</si>
  <si>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</si>
  <si>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</si>
  <si>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</si>
  <si>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</si>
  <si>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</si>
  <si>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</si>
  <si>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</si>
  <si>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</si>
  <si>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</si>
  <si>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</si>
  <si>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</si>
  <si>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</si>
  <si>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</si>
  <si>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</si>
  <si>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</si>
  <si>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</si>
  <si>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</si>
  <si>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</si>
  <si>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</si>
  <si>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</si>
  <si>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</si>
  <si>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</si>
  <si>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</si>
  <si>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</si>
  <si>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</si>
  <si>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</si>
  <si>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</si>
  <si>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</si>
  <si>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</si>
  <si>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</si>
  <si>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</si>
  <si>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</si>
  <si>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</si>
  <si>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</si>
  <si>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</si>
  <si>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</si>
  <si>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</si>
  <si>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</si>
  <si>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</si>
  <si>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</si>
  <si>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</si>
  <si>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</si>
  <si>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</si>
  <si>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</si>
  <si>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</si>
  <si>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</si>
  <si>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</si>
  <si>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</si>
  <si>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</si>
  <si>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</si>
  <si>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MM-ZTK-1F-ZWP21-COR-CAL-0001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</si>
  <si>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</si>
  <si>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</si>
  <si>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</si>
  <si>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</si>
  <si>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</si>
  <si>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</si>
  <si>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</si>
  <si>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</si>
  <si>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</si>
  <si>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</si>
  <si>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</si>
  <si>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</si>
  <si>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</si>
  <si>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</si>
  <si>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</si>
  <si>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</si>
  <si>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</si>
  <si>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</si>
  <si>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</si>
  <si>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</si>
  <si>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</si>
  <si>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</si>
  <si>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</si>
  <si>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</si>
  <si>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</si>
  <si>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</si>
  <si>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</si>
  <si>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</si>
  <si>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</si>
  <si>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</si>
  <si>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</si>
  <si>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</si>
  <si>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</si>
  <si>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</si>
  <si>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</si>
  <si>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</si>
  <si>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</si>
  <si>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</si>
  <si>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</si>
  <si>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</si>
  <si>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</si>
  <si>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</si>
  <si>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</si>
  <si>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</si>
  <si>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</si>
  <si>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</si>
  <si>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</si>
  <si>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</si>
  <si>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</si>
  <si>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</si>
  <si>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</si>
  <si>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</si>
  <si>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</si>
  <si>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</si>
  <si>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</si>
  <si>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</si>
  <si>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</si>
  <si>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</si>
  <si>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</si>
  <si>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</si>
  <si>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</si>
  <si>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</si>
  <si>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</si>
  <si>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</si>
  <si>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</si>
  <si>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</si>
  <si>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</si>
  <si>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</si>
  <si>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</si>
  <si>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</si>
  <si>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</si>
  <si>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</si>
  <si>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</si>
  <si>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</si>
  <si>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</si>
  <si>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</si>
  <si>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</si>
  <si>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</si>
  <si>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</si>
  <si>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</si>
  <si>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</si>
  <si>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</si>
  <si>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</si>
  <si>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</si>
  <si>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</si>
  <si>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</si>
  <si>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</si>
  <si>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</si>
  <si>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</si>
  <si>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</si>
  <si>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</si>
  <si>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</si>
  <si>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</si>
  <si>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</si>
  <si>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</si>
  <si>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</si>
  <si>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</si>
  <si>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</si>
  <si>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</si>
  <si>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</si>
  <si>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</si>
  <si>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</si>
  <si>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</si>
  <si>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</si>
  <si>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</si>
  <si>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</si>
  <si>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</si>
  <si>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</si>
  <si>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</si>
  <si>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</si>
  <si>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</si>
  <si>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</si>
  <si>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</si>
  <si>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</si>
  <si>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</si>
  <si>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</si>
  <si>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</si>
  <si>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</si>
  <si>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</si>
  <si>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</si>
  <si>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</si>
  <si>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</si>
  <si>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</si>
  <si>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</si>
  <si>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</si>
  <si>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</si>
  <si>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</si>
  <si>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</si>
  <si>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</si>
  <si>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</si>
  <si>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</si>
  <si>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</si>
  <si>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</si>
  <si>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</si>
  <si>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</si>
  <si>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</si>
  <si>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</si>
  <si>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</si>
  <si>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</si>
  <si>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</si>
  <si>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</si>
  <si>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</si>
  <si>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</si>
  <si>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</si>
  <si>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</si>
  <si>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</si>
  <si>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</si>
  <si>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</si>
  <si>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</si>
  <si>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</si>
  <si>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</si>
  <si>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</si>
  <si>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</si>
  <si>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</si>
  <si>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</si>
  <si>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</si>
  <si>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</si>
  <si>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</si>
  <si>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</si>
  <si>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</si>
  <si>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</si>
  <si>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</si>
  <si>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</si>
  <si>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</si>
  <si>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</si>
  <si>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</si>
  <si>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</si>
  <si>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</si>
  <si>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</si>
  <si>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</si>
  <si>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</si>
  <si>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</si>
  <si>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</si>
  <si>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</si>
  <si>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</si>
  <si>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</si>
  <si>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</si>
  <si>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</si>
  <si>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</si>
  <si>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</si>
  <si>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</si>
  <si>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</si>
  <si>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</si>
  <si>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</si>
  <si>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</si>
  <si>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</si>
  <si>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</si>
  <si>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</si>
  <si>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</si>
  <si>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</si>
  <si>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</si>
  <si>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</si>
  <si>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</si>
  <si>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</si>
  <si>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</si>
  <si>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</si>
  <si>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</si>
  <si>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</si>
  <si>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</si>
  <si>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</si>
  <si>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</si>
  <si>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</si>
  <si>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</si>
  <si>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</si>
  <si>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</si>
  <si>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</si>
  <si>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</si>
  <si>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</si>
  <si>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</si>
  <si>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</si>
  <si>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</si>
  <si>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</si>
  <si>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</si>
  <si>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</si>
  <si>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</si>
  <si>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</si>
  <si>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</si>
  <si>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</si>
  <si>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</si>
  <si>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</si>
  <si>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</si>
  <si>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</si>
  <si>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</si>
  <si>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</si>
  <si>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</si>
  <si>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</si>
  <si>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</si>
  <si>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</si>
  <si>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</si>
  <si>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</si>
  <si>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</si>
  <si>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</si>
  <si>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</si>
  <si>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</si>
  <si>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</si>
  <si>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</si>
  <si>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</si>
  <si>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</si>
  <si>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</si>
  <si>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</si>
  <si>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</si>
  <si>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</si>
  <si>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</si>
  <si>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</si>
  <si>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</si>
  <si>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</si>
  <si>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</si>
  <si>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</si>
  <si>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</si>
  <si>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</si>
  <si>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</si>
  <si>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</si>
  <si>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</si>
  <si>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</si>
  <si>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</si>
  <si>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</si>
  <si>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</si>
  <si>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</si>
  <si>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</si>
  <si>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</si>
  <si>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</si>
  <si>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</si>
  <si>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</si>
  <si>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</si>
  <si>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</si>
  <si>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</si>
  <si>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</si>
  <si>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</si>
  <si>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</si>
  <si>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</si>
  <si>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</si>
  <si>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</si>
  <si>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</si>
  <si>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</si>
  <si>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</si>
  <si>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</si>
  <si>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</si>
  <si>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</si>
  <si>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</si>
  <si>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</si>
  <si>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</si>
  <si>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</si>
  <si>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</si>
  <si>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</si>
  <si>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</si>
  <si>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</si>
  <si>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</si>
  <si>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</si>
  <si>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</si>
  <si>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</si>
  <si>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>MM-ZTK-1F-ZWP20-STR-DWG-XXXX</t>
  </si>
  <si>
    <t>ZWP20 JACKET - CLOSURE PLATE DETAILS - SHEET 1</t>
  </si>
  <si>
    <t>MATERIAL REQUISITION FOR ZWP21 JACKET PRIMARY STEEL (PLATE) - UPDATE WD - CENCELLED</t>
  </si>
  <si>
    <t>ZWP23 JACKET BARGE MOTION ANALYSIS - UPDATED BARGE</t>
  </si>
  <si>
    <t>MATERIAL REQUISITION FOR ZWP20 JACKET PRIMARY TUBULAR STEEL - CANCELLED, COMPLETED BY YARD ALREADY</t>
  </si>
  <si>
    <t>MATERIAL REQUISITION FOR ZWP20 JACKET PRIMARY STEEL (PLATE) - CANCELLED, COMPLETED BY YARD ALREADY</t>
  </si>
  <si>
    <t>MATERIAL REQUISITION FOR ZWP20 JACKET SECONDARY AND TERTIARY STEEL - CANCELLED, COMPLETED BY YARD ALREADY</t>
  </si>
  <si>
    <t>MATERIAL REQUISITION FOR ZWP20 JACKETMISCELLANEOUS STEEL - CANCELLED, COMPLETED BY YARD ALREADY</t>
  </si>
  <si>
    <t>MATERIAL REQUISITION FOR ZWP22 JACKET PRIMARY TUBULAR STEEL - CANCELLED, COMPLETED BY YARD ALREADY</t>
  </si>
  <si>
    <t>MATERIAL REQUISITION FOR ZWP22 JACKET PRIMARY STEEL (PLATE) - CANCELLED, COMPLETED BY YARD ALREADY</t>
  </si>
  <si>
    <t>MATERIAL REQUISITION FOR ZWP22 JACKET SECONDARY AND TERTIARY STEEL - CANCELLED, COMPLETED BY YARD ALREADY</t>
  </si>
  <si>
    <t>MATERIAL REQUISITION FOR ZWP22 JACKET MISCELLANEOUS STEEL - CANCELLED, COMPLETED BY YARD ALREADY</t>
  </si>
  <si>
    <t>MATERIAL REQUISITION FOR ZWP23 JACKET PRIMARY TUBULAR STEEL - CANCELLED, COMPLETED BY YARD ALREADY</t>
  </si>
  <si>
    <t>MATERIAL REQUISITION FOR ZWP23 JACKET PRIMARY STEEL (PLATE) - CANCELLED, COMPLETED BY YARD ALREADY</t>
  </si>
  <si>
    <t>MATERIAL REQUISITION FOR ZWP23 JACKET SECONDARY AND TERTIARY STEEL - CANCELLED, COMPLETED BY YARD ALREADY</t>
  </si>
  <si>
    <t>MATERIAL REQUISITION FOR ZWP23 JACKET MISCELLANEOUS STEEL - CANCELLED, COMPLETED BY YARD ALREADY</t>
  </si>
  <si>
    <t>MATERIAL REQUISITION FOR ZWP21 JACKET PRIMARY TUBULAR STEEL - CANCELLED, COMPLETED BY YARD ALREADY</t>
  </si>
  <si>
    <t>MATERIAL REQUISITION FOR ZWP21 JACKET PRIMARY TUBULAR STEEL - UPDATE WD - CANCELLED, COMPLETED BY YARD ALREADY</t>
  </si>
  <si>
    <t>MATERIAL REQUISITION FOR ZWP21 JACKET PRIMARY STEEL (PLATE) - CANCELLED, COMPLETED BY YARD ALREADY</t>
  </si>
  <si>
    <t>MATERIAL REQUISITION FOR ZWP21 JACKET SECONDARY AND TERTIARY STEEL - CANCELLED, COMPLETED BY YARD ALREADY</t>
  </si>
  <si>
    <t>MATERIAL REQUISITION FOR ZEP21 JACKET MISCELLANEOUS STEEL - CANCELLED, COMPLETED BY YARD ALREADY</t>
  </si>
  <si>
    <t>ZWP23 JACKET BARGE MOTION ANALYSIS - SUPERSEDED</t>
  </si>
  <si>
    <t>ZWP23 JACKET IN-PLACE ANALYSIS - SUPERSEDED</t>
  </si>
  <si>
    <t>ZWP23 JACKET DYNAMIC ANALYSIS - SUPERSEDED</t>
  </si>
  <si>
    <t>ZWP23 JACKET LOADOUT ANALYSIS - SUPERSEDED</t>
  </si>
  <si>
    <t>ZWP23 JACKET TRANSPORTATION ANALYSIS - SUPERSEDED</t>
  </si>
  <si>
    <t>ZWP23 JACKET IN-PLACE ANALYSIS - UPDATED WATER DEPTH</t>
  </si>
  <si>
    <t>ZWP23 JACKET DYNAMIC ANALYSIS - UPDATED WATER DEPTH</t>
  </si>
  <si>
    <t>ZWP23 JACKET LOADOUT ANALYSIS  - UPDATED WATER DEPTH</t>
  </si>
  <si>
    <t>ZWP23 JACKET TRANSPORTATION ANALYSIS  - UPDATED WATER DEPTH</t>
  </si>
  <si>
    <t>ZWP21 JACKET BOAT IMPACT ANALYSIS - UPDATED WATER DEPTH</t>
  </si>
  <si>
    <t>ZWP21 JACKET BOAT IMPACT ANALYSIS - SUPERSEDED</t>
  </si>
  <si>
    <t>ZWP23 JACKET TRANSPORTATION FATIGUE - SUPERSEDED</t>
  </si>
  <si>
    <t>ZWP23 JACKET TRANSPORTATION FATIGUE - UPDATED WATER DEPTH</t>
  </si>
  <si>
    <t>ZWP23 JACKET BOAT IMPACT ANALYSIS - CANCELLED</t>
  </si>
  <si>
    <t>ZWP23 JACKET BOAT IMPACT ANALYSIS - UPDATED WATER DEPTH</t>
  </si>
  <si>
    <t>ZWP23 JACKET ON-BOTTOM STABILITY ANALYSIS - SUPERSEDED</t>
  </si>
  <si>
    <t>ZWP23 JACKET ON-BOTTOM STABILITY ANALYSIS - UPDATED WATER DEPTH</t>
  </si>
  <si>
    <t>ZWP22 JACKET COMPUTER MODELING AND LOAD FORMULATION - SUPERSEDED</t>
  </si>
  <si>
    <t>ZWP22 JACKET IN-PLACE ANALYSIS - SUPERSEDED</t>
  </si>
  <si>
    <t>ZWP22 JACKET DYNAMIC ANALYSIS - SUPERSEDED</t>
  </si>
  <si>
    <t>ZWP22 JACKET LOADOUT ANALYSIS - SUPERSEDED</t>
  </si>
  <si>
    <t>ZWP22 JACKET TRANSPORTATION ANALYSIS - SUPERSEDED</t>
  </si>
  <si>
    <t>ZWP22 JACKET COMPUTER MODELING AND LOAD FORMULATION - UPDATED WATER DEPTH</t>
  </si>
  <si>
    <t>ZWP22 JACKET IN-PLACE ANALYSIS - UPDATED WATER DEPTH</t>
  </si>
  <si>
    <t>ZWP22 JACKET DYNAMIC ANALYSIS - UPDATED WATER DEPTH</t>
  </si>
  <si>
    <t>ZWP22 JACKET LOADOUT ANALYSIS - UPDATED WATER DEPTH</t>
  </si>
  <si>
    <t>ZWP22 JACKET TRANSPORTATION ANALYSIS - UPDATED WATER DEPTH</t>
  </si>
  <si>
    <t>ZWP21 JACKET - LAUNCHING SEQUENCE - SUPERSEDED</t>
  </si>
  <si>
    <t>ZWP21 JACKET - BALLAST / DEBASSAST SCHEMATIC - SUPERSEDED</t>
  </si>
  <si>
    <t>ZWP21 JACKET - GROUTING SCHEMATIC - SUPERSEDED</t>
  </si>
  <si>
    <t>ZWP21 JACKET - BALLAST SYSTEM AND GROUTING LINE ROUTING AT ROW A ELEVATION - SUPERSEDED</t>
  </si>
  <si>
    <t>ZWP21 JACKET - BALLAST SYSTEM AND GROUTING LINE ROUTING AT ROW B ELEVATION - SUPERSEDED</t>
  </si>
  <si>
    <t>ZWP21 JACKET - BALLAST AND GROUTING SYSTEM SUPPORT DETAILS SHEET 1 - SUPERSEDED</t>
  </si>
  <si>
    <t>ZWP21 JACKET - BALLAST AND GROUTING SYSTEM SUPPORT DETAILS SHEET 2 - SUPERSEDED</t>
  </si>
  <si>
    <t>ZWP21 JACKET - BALLAST SYSTEM VALVE DETAILS - SUPERSEDED</t>
  </si>
  <si>
    <t>ZWP21 JACKET -GROUT, SKIRT SLEEVE VENT AND FLOODING DETAILS AT SKIRT PILE SLEEVE SHEET 1 - SUPERSEDED</t>
  </si>
  <si>
    <t>ZWP21 JACKET -GROUT, SKIRT SLEEVE VENT AND FLOODING DETAILS AT SKIRT PILE SLEEVE SHEET 2 - SUPERSEDED</t>
  </si>
  <si>
    <t>ZWP21 JACKET - BALLAST SYSTEM AND GROUTING LINE ROUTING AT EL(+) 8000 - SUPERSEDED</t>
  </si>
  <si>
    <t>ZWP21 JACKET - GROUT SYSTEM DETAILS - SUPERSEDED</t>
  </si>
  <si>
    <t>ZWP21 JACKET - BALLAST / DEBASSAST SCHEMATIC - UPDATED WATER DEPTH</t>
  </si>
  <si>
    <t>ZWP21 JACKET - GROUTING SCHEMATIC - UPDATED WATER DEPTH</t>
  </si>
  <si>
    <t>ZWP21 JACKET - BALLAST SYSTEM AND GROUTING LINE ROUTING AT ROW A ELEVATION - UPDATED WATER DEPTH</t>
  </si>
  <si>
    <t>ZWP21 JACKET - BALLAST SYSTEM AND GROUTING LINE ROUTING AT ROW B ELEVATION - UPDATED WATER DEPTH</t>
  </si>
  <si>
    <t>ZWP21 JACKET - BALLAST AND GROUTING SYSTEM SUPPORT DETAILS SHEET 1 - UPDATED WATER DEPTH</t>
  </si>
  <si>
    <t>ZWP21 JACKET - BALLAST AND GROUTING SYSTEM SUPPORT DETAILS SHEET 2 - UPDATED WATER DEPTH</t>
  </si>
  <si>
    <t>ZWP21 JACKET - BALLAST SYSTEM VALVE DETAILS - UPDATED WATER DEPTH</t>
  </si>
  <si>
    <t>ZWP21 JACKET -GROUT, SKIRT SLEEVE VENT AND FLOODING DETAILS AT SKIRT PILE SLEEVE SHEET 1 - UPDATED WATER DEPTH</t>
  </si>
  <si>
    <t>ZWP21 JACKET -GROUT, SKIRT SLEEVE VENT AND FLOODING DETAILS AT SKIRT PILE SLEEVE SHEET 2 - UPDATED WATER DEPTH</t>
  </si>
  <si>
    <t>ZWP21 JACKET - BALLAST SYSTEM AND GROUTING LINE ROUTING AT EL(+) 8000 - UPDATED WATER DEPTH</t>
  </si>
  <si>
    <t>ZWP21 JACKET - GROUT SYSTEM DETAILS - UPDATED WATER DEPTH</t>
  </si>
  <si>
    <t>ZWP22 JACKET PUSHOVER ANALYSIS - UPDATED PILE PENETRATION</t>
  </si>
  <si>
    <t>ZWP22 JACKET PUSHOVER ANALYSIS - SUPERSEDED</t>
  </si>
  <si>
    <t>ZWP21 CATHODIC PROTECTION DESIGN REPORT - SUPERSEDED</t>
  </si>
  <si>
    <t>ZWP21 CATHODIC PROTECTION DESIGN REPORT - UPDATED WATER DEPTH</t>
  </si>
  <si>
    <t>ZWP23 PILE DRIVEABILITY AND PILE FATIGUE ANALYSIS - SUPERSEDED</t>
  </si>
  <si>
    <t xml:space="preserve">ZWP23 PILE DRIVEABILITY AND PILE FATIGUE ANALYSIS  - PILE PENETRATION OPTIMISATION </t>
  </si>
  <si>
    <t>ZWP23 JACKET PILE CLUSTER AND SKIRT PILE SLEEVE DESIGN WITH FEA - SUPERSEDED</t>
  </si>
  <si>
    <t>ZWP23 JACKET PILE CLUSTER AND SKIRT PILE SLEEVE DESIGN WITH FEA - PILE PENETRATION OPTIMISATION</t>
  </si>
  <si>
    <t>ZWP21 JACKET SECONDARY AND TERTIARY STEEL MTO REPORT - SUPERSEDED</t>
  </si>
  <si>
    <t>ZWP21 JACKET PRIMARY STEEL AND PILE MTO REPORT - SUPERSEDED</t>
  </si>
  <si>
    <t>ZWP21 JACKET SECONDARY AND TERTIARY STEEL MTO REPORT - UPDATED WATER DEPTH</t>
  </si>
  <si>
    <t>ZWP21 JACKET PRIMARY STEEL AND PILE MTO REPORT - UPDATE  WATER DEPTH</t>
  </si>
  <si>
    <t>ZWP20 JACKET - PULLING LUG DETAILS - CANCELLED</t>
  </si>
  <si>
    <t>ZWP21 JACKET - INSTALLATION PROCEDURE (T&amp;I ITEM)</t>
  </si>
  <si>
    <t>ZWP21 JACKET - INSTALLATION AID CLASH CHECK (T&amp;I ITEM)</t>
  </si>
  <si>
    <t>AWC</t>
  </si>
  <si>
    <t>AFC</t>
  </si>
  <si>
    <t>Status (AWC)</t>
  </si>
  <si>
    <t>ZWP23 JACKET MISCELLANEOUS DESIGN - SUPERSEDED</t>
  </si>
  <si>
    <t>ZWP23 JACKET MISCELLANEOUS DESIGN - UPDATE WATER DEPTH</t>
  </si>
  <si>
    <t>ZWP22 JACKET TRANSPORTATION FATIGUE SUPERSEDED</t>
  </si>
  <si>
    <t>ZWP22 JACKET TRANSPORTATION FATIGUE - UPDATE WATER DEPTH</t>
  </si>
  <si>
    <t>ZWP21 PILE GROUP EFFECT ANALYSIS - UPDATE WATER DEPTH</t>
  </si>
  <si>
    <t>ZWP21 PILE GROUP EFFECT ANALYSIS - SUPERSEDED</t>
  </si>
  <si>
    <t>ZWP23 PILE GROUP EFFECT ANALYSIS - SUPERSEDED</t>
  </si>
  <si>
    <t>ZWP23 PILE GROUP EFFECT ANALYSIS - UPDATE WATER DEPTH</t>
  </si>
  <si>
    <t>ZWP23 JACKET WEIGHT CONTROL REPORT - SUPERSEDED</t>
  </si>
  <si>
    <t>ZWP23 JACKET WEIGHT CONTROL REPORT - NEW WATER DEPTH</t>
  </si>
  <si>
    <t>ZWP22 JACKET WEIGHT CONTROL REPORT - SUPERSEDED</t>
  </si>
  <si>
    <t>ZWP22 JACKET WEIGHT CONTROL REPORT - NEW WATER DEPTH</t>
  </si>
  <si>
    <t>ZWP23 JACKET PILE TRANSPORTATION FATIGUE SUPERSEDED</t>
  </si>
  <si>
    <t>ZWP23 JACKET PILE TRANSPORTATION FATIGUE - UPDATED LOCATION</t>
  </si>
  <si>
    <t>ZWP21 JACKET PILE TRANSPORTATION FATIGUE - SUPERSEDED</t>
  </si>
  <si>
    <t>ZWP21 JACKET PILE TRANSPORTATION FATIGUE - UPDATED LOCATION</t>
  </si>
  <si>
    <t>ZWP23 JACKET PILE TRANSPORTATION FATIGUE - SUPERSEDED</t>
  </si>
  <si>
    <t>ZWP20 JACKET PILE TRANSPORTATION FATIGUE - SUPERSEDED</t>
  </si>
  <si>
    <t>ZWP20 JACKET PILE TRANSPORTATION FATIGUE - UPDATED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</si>
</sst>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b/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39" fillId="0" borderId="0"/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0" fillId="15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2" borderId="4" xfId="0" quotePrefix="1" applyFont="1" applyFill="1" applyBorder="1" applyAlignment="1">
      <alignment horizontal="center" vertical="center"/>
    </xf>
    <xf numFmtId="0" fontId="40" fillId="16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5" fontId="37" fillId="12" borderId="1" xfId="0" applyNumberFormat="1" applyFont="1" applyFill="1" applyBorder="1"/>
    <xf numFmtId="164" fontId="37" fillId="12" borderId="1" xfId="0" applyNumberFormat="1" applyFont="1" applyFill="1" applyBorder="1" applyAlignment="1">
      <alignment vertical="center"/>
    </xf>
    <xf numFmtId="15" fontId="37" fillId="13" borderId="1" xfId="0" applyNumberFormat="1" applyFont="1" applyFill="1" applyBorder="1"/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 applyAlignment="1">
      <alignment vertical="center"/>
    </xf>
    <xf numFmtId="164" fontId="38" fillId="11" borderId="1" xfId="0" applyNumberFormat="1" applyFont="1" applyFill="1" applyBorder="1"/>
    <xf numFmtId="0" fontId="43" fillId="3" borderId="2" xfId="0" applyFont="1" applyFill="1" applyBorder="1" applyAlignment="1">
      <alignment horizontal="center"/>
    </xf>
    <xf numFmtId="0" fontId="43" fillId="2" borderId="26" xfId="0" applyFont="1" applyFill="1" applyBorder="1" applyAlignment="1">
      <alignment horizontal="center" vertical="top" wrapText="1" readingOrder="1"/>
    </xf>
    <xf numFmtId="0" fontId="44" fillId="0" borderId="0" xfId="0" applyFont="1" applyAlignment="1">
      <alignment horizontal="center"/>
    </xf>
    <xf numFmtId="164" fontId="45" fillId="8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/>
    </xf>
    <xf numFmtId="164" fontId="45" fillId="11" borderId="1" xfId="0" applyNumberFormat="1" applyFont="1" applyFill="1" applyBorder="1" applyAlignment="1">
      <alignment horizontal="center"/>
    </xf>
    <xf numFmtId="15" fontId="46" fillId="11" borderId="1" xfId="0" applyNumberFormat="1" applyFont="1" applyFill="1" applyBorder="1" applyAlignment="1">
      <alignment horizontal="center"/>
    </xf>
    <xf numFmtId="15" fontId="45" fillId="11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 vertical="center"/>
    </xf>
    <xf numFmtId="164" fontId="45" fillId="11" borderId="1" xfId="0" applyNumberFormat="1" applyFont="1" applyFill="1" applyBorder="1" applyAlignment="1">
      <alignment horizontal="center" vertical="center"/>
    </xf>
    <xf numFmtId="164" fontId="45" fillId="10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/>
    </xf>
    <xf numFmtId="165" fontId="45" fillId="12" borderId="1" xfId="0" applyNumberFormat="1" applyFont="1" applyFill="1" applyBorder="1" applyAlignment="1">
      <alignment horizontal="center"/>
    </xf>
    <xf numFmtId="165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 vertical="center"/>
    </xf>
    <xf numFmtId="164" fontId="46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/>
    </xf>
    <xf numFmtId="165" fontId="45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 vertical="center"/>
    </xf>
    <xf numFmtId="164" fontId="45" fillId="14" borderId="1" xfId="0" applyNumberFormat="1" applyFont="1" applyFill="1" applyBorder="1" applyAlignment="1">
      <alignment horizontal="center"/>
    </xf>
    <xf numFmtId="165" fontId="45" fillId="14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5" fillId="14" borderId="1" xfId="0" applyNumberFormat="1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/>
    </xf>
    <xf numFmtId="165" fontId="46" fillId="13" borderId="1" xfId="0" applyNumberFormat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165" fontId="34" fillId="4" borderId="1" xfId="0" applyNumberFormat="1" applyFont="1" applyFill="1" applyBorder="1"/>
    <xf numFmtId="165" fontId="37" fillId="14" borderId="1" xfId="0" applyNumberFormat="1" applyFont="1" applyFill="1" applyBorder="1"/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5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0.13353499999999979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0.24807900000000074</c:v>
                </c:pt>
                <c:pt idx="13">
                  <c:v>0.29147400000000062</c:v>
                </c:pt>
                <c:pt idx="14">
                  <c:v>0.30147000000000063</c:v>
                </c:pt>
                <c:pt idx="15">
                  <c:v>0.32594400000000073</c:v>
                </c:pt>
                <c:pt idx="16">
                  <c:v>0.33982000000000073</c:v>
                </c:pt>
                <c:pt idx="17">
                  <c:v>0.3695960000000007</c:v>
                </c:pt>
                <c:pt idx="18">
                  <c:v>0.40104900000000088</c:v>
                </c:pt>
                <c:pt idx="19">
                  <c:v>0.42438800000000082</c:v>
                </c:pt>
                <c:pt idx="20">
                  <c:v>0.45514900000000091</c:v>
                </c:pt>
                <c:pt idx="21">
                  <c:v>0.49811300000000103</c:v>
                </c:pt>
                <c:pt idx="22">
                  <c:v>0.53614800000000107</c:v>
                </c:pt>
                <c:pt idx="23">
                  <c:v>0.5664840000000011</c:v>
                </c:pt>
                <c:pt idx="24">
                  <c:v>0.60186600000000134</c:v>
                </c:pt>
                <c:pt idx="25">
                  <c:v>0.63857000000000141</c:v>
                </c:pt>
                <c:pt idx="26">
                  <c:v>0.67024400000000151</c:v>
                </c:pt>
                <c:pt idx="27">
                  <c:v>0.70177000000000145</c:v>
                </c:pt>
                <c:pt idx="28">
                  <c:v>0.72381000000000162</c:v>
                </c:pt>
                <c:pt idx="29">
                  <c:v>0.74455100000000163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716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abSelected="1" topLeftCell="D2" zoomScaleNormal="100" workbookViewId="0">
      <selection activeCell="Q21" sqref="Q20:Q21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34</v>
      </c>
      <c r="G1" s="23">
        <f>O1-1</f>
        <v>34</v>
      </c>
      <c r="H1" s="23">
        <f t="shared" ref="H1:I1" si="0">P1-1</f>
        <v>34</v>
      </c>
      <c r="I1" s="23">
        <f t="shared" si="0"/>
        <v>34</v>
      </c>
      <c r="J1" s="23"/>
      <c r="K1" s="23"/>
      <c r="L1" s="23"/>
      <c r="M1" s="23"/>
      <c r="N1" s="23">
        <f>_xlfn.XLOOKUP(D3,'Progress%'!6:6,'Progress%'!1:1,0)</f>
        <v>35</v>
      </c>
      <c r="O1" s="23">
        <f>_xlfn.XLOOKUP(D3,'Progress%'!6:6,'Progress%'!1:1,0)</f>
        <v>35</v>
      </c>
      <c r="P1" s="23">
        <f>N1</f>
        <v>35</v>
      </c>
      <c r="Q1" s="23">
        <f>P1</f>
        <v>35</v>
      </c>
    </row>
    <row r="2" spans="1:17" collapsed="1" x14ac:dyDescent="0.35">
      <c r="D2" s="16" t="s">
        <v>32</v>
      </c>
    </row>
    <row r="3" spans="1:17" x14ac:dyDescent="0.35">
      <c r="D3" s="25">
        <v>46304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38" t="s">
        <v>24</v>
      </c>
      <c r="E6" s="238" t="s">
        <v>25</v>
      </c>
      <c r="F6" s="240" t="s">
        <v>31</v>
      </c>
      <c r="G6" s="241"/>
      <c r="H6" s="241"/>
      <c r="I6" s="242"/>
      <c r="J6" s="240" t="s">
        <v>26</v>
      </c>
      <c r="K6" s="241"/>
      <c r="L6" s="241"/>
      <c r="M6" s="242"/>
      <c r="N6" s="240" t="s">
        <v>27</v>
      </c>
      <c r="O6" s="241"/>
      <c r="P6" s="241"/>
      <c r="Q6" s="242"/>
    </row>
    <row r="7" spans="1:17" ht="24.5" customHeight="1" thickBot="1" x14ac:dyDescent="0.4">
      <c r="D7" s="239"/>
      <c r="E7" s="239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0.83356000000000097</v>
      </c>
      <c r="G8" s="19" cm="1">
        <f t="array" ref="G8">INDEX('Progress%'!$A$1:$CT$37,'Progress Summary'!$B8,'Progress Summary'!G$1)</f>
        <v>0.83356000000000097</v>
      </c>
      <c r="H8" s="19" cm="1">
        <f t="array" ref="H8">INDEX('Progress%'!$A$1:$CT$37,'Progress Summary'!$C8,'Progress Summary'!H$1)</f>
        <v>0.81599600000000128</v>
      </c>
      <c r="I8" s="19">
        <f>H8-F8</f>
        <v>-1.7563999999999691E-2</v>
      </c>
      <c r="J8" s="19">
        <f t="shared" ref="J8:M10" si="2">N8-F8</f>
        <v>1.9640000000000102E-2</v>
      </c>
      <c r="K8" s="19">
        <f t="shared" si="2"/>
        <v>1.9640000000000102E-2</v>
      </c>
      <c r="L8" s="19">
        <f t="shared" si="2"/>
        <v>6.7399999999999682E-3</v>
      </c>
      <c r="M8" s="19">
        <f t="shared" si="2"/>
        <v>-1.2900000000000134E-2</v>
      </c>
      <c r="N8" s="19" cm="1">
        <f t="array" ref="N8">INDEX('Progress%'!$A$1:$CT$37,'Progress Summary'!$A8,'Progress Summary'!N$1)</f>
        <v>0.85320000000000107</v>
      </c>
      <c r="O8" s="19" cm="1">
        <f t="array" ref="O8">INDEX('Progress%'!$A$1:$CT$37,'Progress Summary'!$B8,'Progress Summary'!O$1)</f>
        <v>0.85320000000000107</v>
      </c>
      <c r="P8" s="19" cm="1">
        <f t="array" ref="P8">INDEX('Progress%'!$A$1:$CT$37,'Progress Summary'!$C8,'Progress Summary'!P$1)</f>
        <v>0.82273600000000124</v>
      </c>
      <c r="Q8" s="19">
        <f>P8-N8</f>
        <v>-3.0463999999999825E-2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0.7583200000000021</v>
      </c>
      <c r="G9" s="19" cm="1">
        <f t="array" ref="G9">INDEX('Progress%'!$A$1:$CT$37,'Progress Summary'!$B9,'Progress Summary'!G$1)</f>
        <v>0.7583200000000021</v>
      </c>
      <c r="H9" s="19" cm="1">
        <f t="array" ref="H9">INDEX('Progress%'!$A$1:$CT$37,'Progress Summary'!$C9,'Progress Summary'!H$1)</f>
        <v>0.74821600000000177</v>
      </c>
      <c r="I9" s="19">
        <f>H9-F9</f>
        <v>-1.0104000000000335E-2</v>
      </c>
      <c r="J9" s="19">
        <f t="shared" si="2"/>
        <v>1.8016000000000032E-2</v>
      </c>
      <c r="K9" s="19">
        <f t="shared" si="2"/>
        <v>1.8016000000000032E-2</v>
      </c>
      <c r="L9" s="19">
        <f t="shared" si="2"/>
        <v>2.1392000000000189E-2</v>
      </c>
      <c r="M9" s="19">
        <f t="shared" si="2"/>
        <v>3.3760000000001567E-3</v>
      </c>
      <c r="N9" s="19" cm="1">
        <f t="array" ref="N9">INDEX('Progress%'!$A$1:$CT$37,'Progress Summary'!$A9,'Progress Summary'!N$1)</f>
        <v>0.77633600000000214</v>
      </c>
      <c r="O9" s="19" cm="1">
        <f t="array" ref="O9">INDEX('Progress%'!$A$1:$CT$37,'Progress Summary'!$B9,'Progress Summary'!O$1)</f>
        <v>0.77633600000000214</v>
      </c>
      <c r="P9" s="19" cm="1">
        <f t="array" ref="P9">INDEX('Progress%'!$A$1:$CT$37,'Progress Summary'!$C9,'Progress Summary'!P$1)</f>
        <v>0.76960800000000196</v>
      </c>
      <c r="Q9" s="19">
        <f>P9-N9</f>
        <v>-6.7280000000001783E-3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0.64806000000000163</v>
      </c>
      <c r="G10" s="19" cm="1">
        <f t="array" ref="G10">INDEX('Progress%'!$A$1:$CT$37,'Progress Summary'!$B10,'Progress Summary'!G$1)</f>
        <v>0.64806000000000163</v>
      </c>
      <c r="H10" s="19" cm="1">
        <f t="array" ref="H10">INDEX('Progress%'!$A$1:$CT$37,'Progress Summary'!$C10,'Progress Summary'!H$1)</f>
        <v>0.68223200000000161</v>
      </c>
      <c r="I10" s="19">
        <f>H10-F10</f>
        <v>3.417199999999998E-2</v>
      </c>
      <c r="J10" s="19">
        <f t="shared" si="2"/>
        <v>3.3956000000000208E-2</v>
      </c>
      <c r="K10" s="19">
        <f t="shared" si="2"/>
        <v>3.3956000000000208E-2</v>
      </c>
      <c r="L10" s="19">
        <f t="shared" si="2"/>
        <v>2.6516000000000206E-2</v>
      </c>
      <c r="M10" s="19">
        <f t="shared" si="2"/>
        <v>-7.4400000000000022E-3</v>
      </c>
      <c r="N10" s="19" cm="1">
        <f t="array" ref="N10">INDEX('Progress%'!$A$1:$CT$37,'Progress Summary'!$A10,'Progress Summary'!N$1)</f>
        <v>0.68201600000000184</v>
      </c>
      <c r="O10" s="19" cm="1">
        <f t="array" ref="O10">INDEX('Progress%'!$A$1:$CT$37,'Progress Summary'!$B10,'Progress Summary'!O$1)</f>
        <v>0.68201600000000184</v>
      </c>
      <c r="P10" s="19" cm="1">
        <f t="array" ref="P10">INDEX('Progress%'!$A$1:$CT$37,'Progress Summary'!$C10,'Progress Summary'!P$1)</f>
        <v>0.70874800000000182</v>
      </c>
      <c r="Q10" s="19">
        <f>P10-N10</f>
        <v>2.6731999999999978E-2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0.52473600000000142</v>
      </c>
      <c r="G11" s="19" cm="1">
        <f t="array" ref="G11">INDEX('Progress%'!$A$1:$CT$37,'Progress Summary'!$B11,'Progress Summary'!G$1)</f>
        <v>0.52473600000000142</v>
      </c>
      <c r="H11" s="19" cm="1">
        <f t="array" ref="H11">INDEX('Progress%'!$A$1:$CT$37,'Progress Summary'!$C11,'Progress Summary'!H$1)</f>
        <v>0.64879600000000148</v>
      </c>
      <c r="I11" s="19">
        <f t="shared" ref="I11" si="5">H11-F11</f>
        <v>0.12406000000000006</v>
      </c>
      <c r="J11" s="19">
        <f>N11-F11</f>
        <v>1.8888000000000127E-2</v>
      </c>
      <c r="K11" s="19">
        <f t="shared" ref="K11" si="6">O11-G11</f>
        <v>1.8888000000000127E-2</v>
      </c>
      <c r="L11" s="19">
        <f t="shared" ref="L11:M11" si="7">P11-H11</f>
        <v>2.8316000000000119E-2</v>
      </c>
      <c r="M11" s="19">
        <f t="shared" si="7"/>
        <v>9.4279999999999919E-3</v>
      </c>
      <c r="N11" s="19" cm="1">
        <f t="array" ref="N11">INDEX('Progress%'!$A$1:$CT$37,'Progress Summary'!$A11,'Progress Summary'!N$1)</f>
        <v>0.54362400000000155</v>
      </c>
      <c r="O11" s="19" cm="1">
        <f t="array" ref="O11">INDEX('Progress%'!$A$1:$CT$37,'Progress Summary'!$B11,'Progress Summary'!O$1)</f>
        <v>0.54362400000000155</v>
      </c>
      <c r="P11" s="19" cm="1">
        <f t="array" ref="P11">INDEX('Progress%'!$A$1:$CT$37,'Progress Summary'!$C11,'Progress Summary'!P$1)</f>
        <v>0.6771120000000016</v>
      </c>
      <c r="Q11" s="19">
        <f t="shared" ref="Q11" si="8">P11-N11</f>
        <v>0.13348800000000005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0.69116900000000148</v>
      </c>
      <c r="G12" s="20">
        <f t="shared" si="9"/>
        <v>0.69116900000000148</v>
      </c>
      <c r="H12" s="20">
        <f t="shared" si="9"/>
        <v>0.72381000000000162</v>
      </c>
      <c r="I12" s="20">
        <f t="shared" si="9"/>
        <v>3.2641000000000003E-2</v>
      </c>
      <c r="J12" s="20">
        <f t="shared" si="9"/>
        <v>2.2625000000000117E-2</v>
      </c>
      <c r="K12" s="20">
        <f t="shared" si="9"/>
        <v>2.2625000000000117E-2</v>
      </c>
      <c r="L12" s="20">
        <f t="shared" si="9"/>
        <v>2.074100000000012E-2</v>
      </c>
      <c r="M12" s="20">
        <f t="shared" si="9"/>
        <v>-1.8839999999999968E-3</v>
      </c>
      <c r="N12" s="20">
        <f t="shared" si="9"/>
        <v>0.7137940000000017</v>
      </c>
      <c r="O12" s="20">
        <f t="shared" si="9"/>
        <v>0.7137940000000017</v>
      </c>
      <c r="P12" s="20">
        <f t="shared" si="9"/>
        <v>0.74455100000000163</v>
      </c>
      <c r="Q12" s="20">
        <f t="shared" si="9"/>
        <v>3.0757000000000007E-2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A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46304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0.43570000000000031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0.47343200000000057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0.49693600000000065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0.5160240000000007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0.56376800000000082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0.59292400000000078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0.62526000000000048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0.65821600000000058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0.6939680000000007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0.71244400000000085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0.75032000000000099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0.77333600000000102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0.8009480000000011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0.82202400000000109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0.83356000000000097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0.85320000000000107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0.86040000000000094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0.86040000000000094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0.87400000000000089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0.87400000000000089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0.88360000000000094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0.88760000000000105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0.89400000000000102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0.89400000000000102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0.89400000000000102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0.89400000000000102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0.89400000000000102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0.89600000000000113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0.89600000000000113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0.90000000000000113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0.90000000000000113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0.90000000000000113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0.90000000000000113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0.90000000000000113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0.90000000000000113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0.90000000000000113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0.90000000000000113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0.90000000000000113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0.90000000000000113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0.90000000000000113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0.90000000000000113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0.90000000000000113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0.90000000000000113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0.90000000000000113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0.90000000000000113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0.90000000000000113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0.90000000000000113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0.90000000000000113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0.90000000000000113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0.90000000000000113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0.90000000000000113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0.90000000000000113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0.90000000000000113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0.90000000000000113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0.90000000000000113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0.90000000000000113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0.90000000000000113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0.90000000000000113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0.90000000000000113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0.90000000000000113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0.90000000000000113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0.90000000000000113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0.90000000000000113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0.90000000000000113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0.90000000000000113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0.90000000000000113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0.90000000000000113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0.90000000000000113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0.90000000000000113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0.90000000000000113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0.90000000000000113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0.90000000000000113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0.90000000000000113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0.90000000000000113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0.90000000000000113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0.90000000000000113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0.90000000000000113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0.90000000000000113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0.90000000000000113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0.43570000000000031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0.47343200000000057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0.49693600000000065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0.5160240000000007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0.56376800000000082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0.59292400000000078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0.62526000000000048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0.65821600000000058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0.6939680000000007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0.71244400000000085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0.75032000000000099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0.77333600000000102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0.8009480000000011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0.82202400000000109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0.83356000000000097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0.85320000000000107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0.86040000000000094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0.86040000000000094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0.87400000000000089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0.87400000000000089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0.88360000000000094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0.88760000000000105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0.89400000000000102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0.89400000000000102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0.89400000000000102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0.89400000000000102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0.89400000000000102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0.89600000000000113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0.89600000000000113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0.90000000000000113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0.90000000000000113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0.90000000000000113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0.90000000000000113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0.90000000000000113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0.90000000000000113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0.90000000000000113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0.90000000000000113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0.90000000000000113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0.90000000000000113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0.90000000000000113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0.90000000000000113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0.90000000000000113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0.90000000000000113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0.90000000000000113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0.90000000000000113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0.90000000000000113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0.90000000000000113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0.90000000000000113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0.90000000000000113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0.90000000000000113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0.90000000000000113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0.90000000000000113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0.90000000000000113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0.90000000000000113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0.90000000000000113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0.90000000000000113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0.90000000000000113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0.90000000000000113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0.90000000000000113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0.90000000000000113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0.90000000000000113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0.90000000000000113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0.90000000000000113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0.90000000000000113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0.90000000000000113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0.90000000000000113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0.90000000000000113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0.90000000000000113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0.90000000000000113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0.90000000000000113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0.90000000000000113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0.90000000000000113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0.90000000000000113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0.90000000000000113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0.90000000000000113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0.90000000000000113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0.90000000000000113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0.90000000000000113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0.90000000000000113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0.14005999999999974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0.15205999999999975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0.29026000000000074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0.3037960000000009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0.3779600000000003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0.41074400000000028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0.46274400000000038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0.49274400000000057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0.53596400000000055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0.56442000000000059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0.5958480000000006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0.62779200000000079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0.66230000000000089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0.68536400000000086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0.70774400000000104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0.71851200000000093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0.73708800000000096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0.75816000000000128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0.79503200000000118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0.81599600000000128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0.82273600000000124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0.82273600000000124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0.82273600000000124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0.82273600000000124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0.82273600000000124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0.82273600000000124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0.82273600000000124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0.82273600000000124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0.82273600000000124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0.82273600000000124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0.82273600000000124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0.82273600000000124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0.82273600000000124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0.82273600000000124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0.82273600000000124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0.82273600000000124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0.82273600000000124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0.82273600000000124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0.82273600000000124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0.82273600000000124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0.82273600000000124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0.82273600000000124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0.82273600000000124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0.82273600000000124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0.82273600000000124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0.82273600000000124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0.82273600000000124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0.82273600000000124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0.82273600000000124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0.82273600000000124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0.82273600000000124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0.82273600000000124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0.82273600000000124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0.82273600000000124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0.82273600000000124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0.82273600000000124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0.82273600000000124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0.82273600000000124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0.82273600000000124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0.82273600000000124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0.82273600000000124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0.82273600000000124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0.82273600000000124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0.82273600000000124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0.82273600000000124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0.82273600000000124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0.82273600000000124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0.82273600000000124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0.82273600000000124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0.82273600000000124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0.82273600000000124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0.82273600000000124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0.82273600000000124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0.82273600000000124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0.82273600000000124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0.82273600000000124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0.82273600000000124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0.82273600000000124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0.82273600000000124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0.82273600000000124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0.82273600000000124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0.82273600000000124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0.82273600000000124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0.82273600000000124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0.21170000000000036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0.23828000000000049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0.3046600000000006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0.35612000000000082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0.4202600000000008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0.4502000000000011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0.53382400000000152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0.58776800000000162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0.64406000000000174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0.72344400000000209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0.7583200000000021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0.77633600000000214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0.80594800000000233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0.21170000000000036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0.23828000000000049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0.3046600000000006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0.35612000000000082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0.4202600000000008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0.4502000000000011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0.53382400000000152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0.58776800000000162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0.64406000000000174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0.72344400000000209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0.7583200000000021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0.77633600000000214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0.80594800000000233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0.30878400000000089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0.46338400000000129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0.66952800000000157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0.70163200000000159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0.72187200000000162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0.74821600000000177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0.76960800000000196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0.76960800000000196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0.76960800000000196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0.76960800000000196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0.76960800000000196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0.76960800000000196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0.76960800000000196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0.76960800000000196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0.76960800000000196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0.76960800000000196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0.76960800000000196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0.76960800000000196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0.76960800000000196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0.76960800000000196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0.76960800000000196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0.76960800000000196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0.76960800000000196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0.76960800000000196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0.76960800000000196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0.76960800000000196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0.76960800000000196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0.76960800000000196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0.76960800000000196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0.76960800000000196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0.76960800000000196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0.76960800000000196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0.76960800000000196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0.76960800000000196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0.76960800000000196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0.76960800000000196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0.76960800000000196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0.76960800000000196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0.76960800000000196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0.76960800000000196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0.76960800000000196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0.76960800000000196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0.76960800000000196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0.76960800000000196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0.76960800000000196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0.76960800000000196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0.76960800000000196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0.76960800000000196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0.76960800000000196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0.76960800000000196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0.76960800000000196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0.76960800000000196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0.76960800000000196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0.76960800000000196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0.76960800000000196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0.76960800000000196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0.76960800000000196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0.76960800000000196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0.76960800000000196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0.76960800000000196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0.76960800000000196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0.76960800000000196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0.76960800000000196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0.76960800000000196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0.76960800000000196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0.76960800000000196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0.76960800000000196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0.76960800000000196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0.76960800000000196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0.76960800000000196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0.23170000000000035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0.32306000000000062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0.37212000000000089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0.47170000000000117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0.54162400000000144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0.58476800000000162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0.64806000000000163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0.71296800000000204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0.72744400000000209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0.7553200000000021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0.77633600000000214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0.79994800000000221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0.23170000000000035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0.32306000000000062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0.37212000000000089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0.47170000000000117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0.54162400000000144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0.58476800000000162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0.64806000000000163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0.71296800000000204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0.72744400000000209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0.7553200000000021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0.77633600000000214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0.79994800000000221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0.60122000000000153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0.63698000000000154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0.67040400000000144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0.68223200000000161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0.70874800000000182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0.70874800000000182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0.70874800000000182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0.70874800000000182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0.70874800000000182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0.70874800000000182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0.70874800000000182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0.70874800000000182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0.70874800000000182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0.70874800000000182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0.70874800000000182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0.70874800000000182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0.70874800000000182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0.70874800000000182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0.70874800000000182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0.70874800000000182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0.70874800000000182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0.70874800000000182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0.70874800000000182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0.70874800000000182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0.70874800000000182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0.70874800000000182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0.70874800000000182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0.70874800000000182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0.70874800000000182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0.70874800000000182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0.70874800000000182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0.70874800000000182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0.70874800000000182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0.70874800000000182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0.70874800000000182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0.70874800000000182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0.70874800000000182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0.70874800000000182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0.70874800000000182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0.70874800000000182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0.70874800000000182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0.70874800000000182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0.70874800000000182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0.70874800000000182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0.70874800000000182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0.70874800000000182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0.70874800000000182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0.70874800000000182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0.70874800000000182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0.70874800000000182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0.70874800000000182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0.70874800000000182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0.70874800000000182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0.70874800000000182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0.70874800000000182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0.70874800000000182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0.70874800000000182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0.70874800000000182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0.70874800000000182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0.70874800000000182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0.70874800000000182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0.70874800000000182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0.70874800000000182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0.70874800000000182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0.70874800000000182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0.70874800000000182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0.70874800000000182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0.70874800000000182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0.54644400000000137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0.5842040000000015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0.61977200000000154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0.64879600000000148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0.6771120000000016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0.6771120000000016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0.6771120000000016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0.6771120000000016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0.6771120000000016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0.6771120000000016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0.6771120000000016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0.6771120000000016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0.6771120000000016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0.6771120000000016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0.6771120000000016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0.6771120000000016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0.6771120000000016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0.6771120000000016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0.6771120000000016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0.6771120000000016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0.6771120000000016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0.6771120000000016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0.6771120000000016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0.6771120000000016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0.6771120000000016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0.6771120000000016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0.6771120000000016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0.6771120000000016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0.6771120000000016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0.6771120000000016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0.6771120000000016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0.6771120000000016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0.6771120000000016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0.6771120000000016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0.6771120000000016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0.6771120000000016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0.6771120000000016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0.6771120000000016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0.6771120000000016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0.6771120000000016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0.6771120000000016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0.6771120000000016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0.6771120000000016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0.6771120000000016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0.6771120000000016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0.6771120000000016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0.6771120000000016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0.6771120000000016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0.6771120000000016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0.6771120000000016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0.6771120000000016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0.6771120000000016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0.6771120000000016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0.6771120000000016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0.6771120000000016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0.6771120000000016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0.6771120000000016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0.6771120000000016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0.6771120000000016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0.6771120000000016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0.6771120000000016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0.6771120000000016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0.6771120000000016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0.6771120000000016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0.6771120000000016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0.6771120000000016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0.6771120000000016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0.6771120000000016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0.1853050000000003</v>
      </c>
      <c r="S35" s="15">
        <f t="shared" si="366"/>
        <v>0.2108100000000003</v>
      </c>
      <c r="T35" s="15">
        <f t="shared" si="366"/>
        <v>0.23838500000000018</v>
      </c>
      <c r="U35" s="15">
        <f t="shared" si="366"/>
        <v>0.27169800000000022</v>
      </c>
      <c r="V35" s="15">
        <f t="shared" si="366"/>
        <v>0.30348900000000045</v>
      </c>
      <c r="W35" s="15">
        <f t="shared" si="366"/>
        <v>0.33504100000000048</v>
      </c>
      <c r="X35" s="15">
        <f t="shared" si="366"/>
        <v>0.36595200000000061</v>
      </c>
      <c r="Y35" s="15">
        <f t="shared" si="366"/>
        <v>0.4019540000000007</v>
      </c>
      <c r="Z35" s="15">
        <f t="shared" si="366"/>
        <v>0.43975400000000076</v>
      </c>
      <c r="AA35" s="15">
        <f t="shared" si="366"/>
        <v>0.47722000000000087</v>
      </c>
      <c r="AB35" s="15">
        <f t="shared" si="366"/>
        <v>0.51431900000000097</v>
      </c>
      <c r="AC35" s="15">
        <f t="shared" si="366"/>
        <v>0.54356500000000119</v>
      </c>
      <c r="AD35" s="15">
        <f t="shared" si="366"/>
        <v>0.57779700000000123</v>
      </c>
      <c r="AE35" s="15">
        <f t="shared" si="366"/>
        <v>0.60958400000000124</v>
      </c>
      <c r="AF35" s="15">
        <f t="shared" si="366"/>
        <v>0.64109600000000144</v>
      </c>
      <c r="AG35" s="15">
        <f t="shared" si="366"/>
        <v>0.66780600000000157</v>
      </c>
      <c r="AH35" s="15">
        <f t="shared" si="366"/>
        <v>0.69116900000000148</v>
      </c>
      <c r="AI35" s="15">
        <f t="shared" si="366"/>
        <v>0.7137940000000017</v>
      </c>
      <c r="AJ35" s="15">
        <f t="shared" si="366"/>
        <v>0.74429000000000178</v>
      </c>
      <c r="AK35" s="15">
        <f t="shared" si="366"/>
        <v>0.75794800000000173</v>
      </c>
      <c r="AL35" s="15">
        <f t="shared" si="366"/>
        <v>0.78052300000000174</v>
      </c>
      <c r="AM35" s="15">
        <f t="shared" si="366"/>
        <v>0.79688800000000182</v>
      </c>
      <c r="AN35" s="15">
        <f t="shared" si="366"/>
        <v>0.81372900000000192</v>
      </c>
      <c r="AO35" s="15">
        <f t="shared" si="366"/>
        <v>0.82536700000000196</v>
      </c>
      <c r="AP35" s="15">
        <f t="shared" si="366"/>
        <v>0.84072000000000202</v>
      </c>
      <c r="AQ35" s="15">
        <f t="shared" si="366"/>
        <v>0.85038400000000214</v>
      </c>
      <c r="AR35" s="15">
        <f t="shared" si="366"/>
        <v>0.86148700000000211</v>
      </c>
      <c r="AS35" s="15">
        <f t="shared" si="366"/>
        <v>0.86675600000000219</v>
      </c>
      <c r="AT35" s="15">
        <f t="shared" si="366"/>
        <v>0.87439000000000222</v>
      </c>
      <c r="AU35" s="15">
        <f t="shared" si="366"/>
        <v>0.87980000000000225</v>
      </c>
      <c r="AV35" s="15">
        <f t="shared" si="366"/>
        <v>0.88350000000000217</v>
      </c>
      <c r="AW35" s="15">
        <f t="shared" si="366"/>
        <v>0.88550000000000217</v>
      </c>
      <c r="AX35" s="15">
        <f t="shared" si="366"/>
        <v>0.89050000000000218</v>
      </c>
      <c r="AY35" s="15">
        <f t="shared" si="366"/>
        <v>0.89100000000000235</v>
      </c>
      <c r="AZ35" s="15">
        <f t="shared" si="366"/>
        <v>0.8934000000000023</v>
      </c>
      <c r="BA35" s="15">
        <f t="shared" si="366"/>
        <v>0.89540000000000219</v>
      </c>
      <c r="BB35" s="15">
        <f t="shared" si="366"/>
        <v>0.89700000000000224</v>
      </c>
      <c r="BC35" s="15">
        <f>SUMPRODUCT($D7,BC7)+SUMPRODUCT($D14,BC14)+SUMPRODUCT($D21,BC21)+SUMPRODUCT($D28,BC28)/$D35</f>
        <v>0.89750000000000218</v>
      </c>
      <c r="BD35" s="15">
        <f t="shared" si="366"/>
        <v>0.89750000000000218</v>
      </c>
      <c r="BE35" s="15">
        <f t="shared" si="366"/>
        <v>0.8985000000000023</v>
      </c>
      <c r="BF35" s="15">
        <f t="shared" si="366"/>
        <v>0.8985000000000023</v>
      </c>
      <c r="BG35" s="15">
        <f t="shared" si="366"/>
        <v>0.89900000000000224</v>
      </c>
      <c r="BH35" s="15">
        <f t="shared" si="366"/>
        <v>0.89900000000000224</v>
      </c>
      <c r="BI35" s="15">
        <f t="shared" si="366"/>
        <v>0.90000000000000224</v>
      </c>
      <c r="BJ35" s="15">
        <f t="shared" si="366"/>
        <v>0.90000000000000224</v>
      </c>
      <c r="BK35" s="15">
        <f t="shared" si="366"/>
        <v>0.90000000000000224</v>
      </c>
      <c r="BL35" s="15">
        <f t="shared" si="366"/>
        <v>0.90000000000000224</v>
      </c>
      <c r="BM35" s="15">
        <f t="shared" si="366"/>
        <v>0.90000000000000224</v>
      </c>
      <c r="BN35" s="15">
        <f t="shared" si="366"/>
        <v>0.90000000000000224</v>
      </c>
      <c r="BO35" s="15">
        <f t="shared" si="366"/>
        <v>0.90000000000000224</v>
      </c>
      <c r="BP35" s="15">
        <f t="shared" si="366"/>
        <v>0.90000000000000224</v>
      </c>
      <c r="BQ35" s="15">
        <f t="shared" si="366"/>
        <v>0.90000000000000224</v>
      </c>
      <c r="BR35" s="15">
        <f t="shared" si="366"/>
        <v>0.90000000000000224</v>
      </c>
      <c r="BS35" s="15">
        <f t="shared" ref="BS35:CT35" si="367">SUMPRODUCT($D7,BS7)+SUMPRODUCT($D14,BS14)+SUMPRODUCT($D21,BS21)+SUMPRODUCT($D28,BS28)/$D35</f>
        <v>0.90000000000000224</v>
      </c>
      <c r="BT35" s="15">
        <f t="shared" si="367"/>
        <v>0.90000000000000224</v>
      </c>
      <c r="BU35" s="15">
        <f t="shared" si="367"/>
        <v>0.90000000000000224</v>
      </c>
      <c r="BV35" s="15">
        <f t="shared" si="367"/>
        <v>0.90000000000000224</v>
      </c>
      <c r="BW35" s="15">
        <f t="shared" si="367"/>
        <v>0.90000000000000224</v>
      </c>
      <c r="BX35" s="15">
        <f t="shared" si="367"/>
        <v>0.90000000000000224</v>
      </c>
      <c r="BY35" s="15">
        <f t="shared" si="367"/>
        <v>0.90000000000000224</v>
      </c>
      <c r="BZ35" s="15">
        <f t="shared" si="367"/>
        <v>0.90000000000000224</v>
      </c>
      <c r="CA35" s="15">
        <f t="shared" si="367"/>
        <v>0.90000000000000224</v>
      </c>
      <c r="CB35" s="15">
        <f t="shared" si="367"/>
        <v>0.90000000000000224</v>
      </c>
      <c r="CC35" s="15">
        <f t="shared" si="367"/>
        <v>0.90000000000000224</v>
      </c>
      <c r="CD35" s="15">
        <f t="shared" si="367"/>
        <v>0.90000000000000224</v>
      </c>
      <c r="CE35" s="15">
        <f t="shared" si="367"/>
        <v>0.90000000000000224</v>
      </c>
      <c r="CF35" s="15">
        <f t="shared" si="367"/>
        <v>0.90000000000000224</v>
      </c>
      <c r="CG35" s="15">
        <f t="shared" si="367"/>
        <v>0.90000000000000224</v>
      </c>
      <c r="CH35" s="15">
        <f t="shared" si="367"/>
        <v>0.90000000000000224</v>
      </c>
      <c r="CI35" s="15">
        <f t="shared" si="367"/>
        <v>0.90000000000000224</v>
      </c>
      <c r="CJ35" s="15">
        <f t="shared" si="367"/>
        <v>0.90000000000000224</v>
      </c>
      <c r="CK35" s="15">
        <f t="shared" si="367"/>
        <v>0.90000000000000224</v>
      </c>
      <c r="CL35" s="15">
        <f t="shared" si="367"/>
        <v>0.90000000000000224</v>
      </c>
      <c r="CM35" s="15">
        <f t="shared" si="367"/>
        <v>0.90000000000000224</v>
      </c>
      <c r="CN35" s="15">
        <f t="shared" si="367"/>
        <v>0.90000000000000224</v>
      </c>
      <c r="CO35" s="15">
        <f t="shared" si="367"/>
        <v>0.90000000000000224</v>
      </c>
      <c r="CP35" s="15">
        <f t="shared" si="367"/>
        <v>0.90000000000000224</v>
      </c>
      <c r="CQ35" s="15">
        <f t="shared" si="367"/>
        <v>0.90000000000000224</v>
      </c>
      <c r="CR35" s="15">
        <f t="shared" si="367"/>
        <v>0.90000000000000224</v>
      </c>
      <c r="CS35" s="15">
        <f t="shared" si="367"/>
        <v>0.90000000000000224</v>
      </c>
      <c r="CT35" s="15">
        <f t="shared" si="367"/>
        <v>0.90000000000000224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0.1853050000000003</v>
      </c>
      <c r="S36" s="15">
        <f t="shared" si="366"/>
        <v>0.2108100000000003</v>
      </c>
      <c r="T36" s="15">
        <f t="shared" si="366"/>
        <v>0.23838500000000018</v>
      </c>
      <c r="U36" s="15">
        <f t="shared" si="366"/>
        <v>0.27169800000000022</v>
      </c>
      <c r="V36" s="15">
        <f t="shared" si="366"/>
        <v>0.30348900000000045</v>
      </c>
      <c r="W36" s="15">
        <f t="shared" si="366"/>
        <v>0.33504100000000048</v>
      </c>
      <c r="X36" s="15">
        <f t="shared" si="366"/>
        <v>0.36595200000000061</v>
      </c>
      <c r="Y36" s="15">
        <f t="shared" si="366"/>
        <v>0.4019540000000007</v>
      </c>
      <c r="Z36" s="15">
        <f t="shared" si="366"/>
        <v>0.43975400000000076</v>
      </c>
      <c r="AA36" s="15">
        <f t="shared" si="366"/>
        <v>0.47722000000000087</v>
      </c>
      <c r="AB36" s="15">
        <f t="shared" si="366"/>
        <v>0.51431900000000097</v>
      </c>
      <c r="AC36" s="15">
        <f t="shared" si="366"/>
        <v>0.54356500000000119</v>
      </c>
      <c r="AD36" s="15">
        <f t="shared" si="366"/>
        <v>0.57779700000000123</v>
      </c>
      <c r="AE36" s="15">
        <f t="shared" si="366"/>
        <v>0.60958400000000124</v>
      </c>
      <c r="AF36" s="15">
        <f t="shared" si="366"/>
        <v>0.64109600000000144</v>
      </c>
      <c r="AG36" s="15">
        <f t="shared" si="366"/>
        <v>0.66780600000000157</v>
      </c>
      <c r="AH36" s="15">
        <f t="shared" si="366"/>
        <v>0.69116900000000148</v>
      </c>
      <c r="AI36" s="15">
        <f t="shared" si="366"/>
        <v>0.7137940000000017</v>
      </c>
      <c r="AJ36" s="15">
        <f t="shared" si="366"/>
        <v>0.74429000000000178</v>
      </c>
      <c r="AK36" s="15">
        <f t="shared" si="366"/>
        <v>0.75794800000000173</v>
      </c>
      <c r="AL36" s="15">
        <f t="shared" si="366"/>
        <v>0.78052300000000174</v>
      </c>
      <c r="AM36" s="15">
        <f t="shared" si="366"/>
        <v>0.79688800000000182</v>
      </c>
      <c r="AN36" s="15">
        <f t="shared" si="366"/>
        <v>0.81372900000000192</v>
      </c>
      <c r="AO36" s="15">
        <f t="shared" si="366"/>
        <v>0.82536700000000196</v>
      </c>
      <c r="AP36" s="15">
        <f t="shared" si="366"/>
        <v>0.84072000000000202</v>
      </c>
      <c r="AQ36" s="15">
        <f t="shared" si="366"/>
        <v>0.85038400000000214</v>
      </c>
      <c r="AR36" s="15">
        <f t="shared" si="366"/>
        <v>0.86148700000000211</v>
      </c>
      <c r="AS36" s="15">
        <f t="shared" si="366"/>
        <v>0.86675600000000219</v>
      </c>
      <c r="AT36" s="15">
        <f t="shared" si="366"/>
        <v>0.87439000000000222</v>
      </c>
      <c r="AU36" s="15">
        <f t="shared" si="366"/>
        <v>0.87980000000000225</v>
      </c>
      <c r="AV36" s="15">
        <f t="shared" si="366"/>
        <v>0.88350000000000217</v>
      </c>
      <c r="AW36" s="15">
        <f t="shared" si="366"/>
        <v>0.88550000000000217</v>
      </c>
      <c r="AX36" s="15">
        <f t="shared" si="366"/>
        <v>0.89050000000000218</v>
      </c>
      <c r="AY36" s="15">
        <f t="shared" si="366"/>
        <v>0.89100000000000235</v>
      </c>
      <c r="AZ36" s="15">
        <f t="shared" si="366"/>
        <v>0.8934000000000023</v>
      </c>
      <c r="BA36" s="15">
        <f t="shared" si="366"/>
        <v>0.89540000000000219</v>
      </c>
      <c r="BB36" s="15">
        <f t="shared" si="366"/>
        <v>0.89700000000000224</v>
      </c>
      <c r="BC36" s="15">
        <f>SUMPRODUCT($D8,BC8)+SUMPRODUCT($D15,BC15)+SUMPRODUCT($D22,BC22)+SUMPRODUCT($D29,BC29)/$D36</f>
        <v>0.89750000000000218</v>
      </c>
      <c r="BD36" s="15">
        <f t="shared" si="366"/>
        <v>0.89750000000000218</v>
      </c>
      <c r="BE36" s="15">
        <f t="shared" si="366"/>
        <v>0.8985000000000023</v>
      </c>
      <c r="BF36" s="15">
        <f t="shared" si="366"/>
        <v>0.8985000000000023</v>
      </c>
      <c r="BG36" s="15">
        <f t="shared" si="366"/>
        <v>0.89900000000000224</v>
      </c>
      <c r="BH36" s="15">
        <f t="shared" si="366"/>
        <v>0.89900000000000224</v>
      </c>
      <c r="BI36" s="15">
        <f t="shared" si="366"/>
        <v>0.90000000000000224</v>
      </c>
      <c r="BJ36" s="15">
        <f t="shared" si="366"/>
        <v>0.90000000000000224</v>
      </c>
      <c r="BK36" s="15">
        <f t="shared" si="366"/>
        <v>0.90000000000000224</v>
      </c>
      <c r="BL36" s="15">
        <f t="shared" si="366"/>
        <v>0.90000000000000224</v>
      </c>
      <c r="BM36" s="15">
        <f t="shared" si="366"/>
        <v>0.90000000000000224</v>
      </c>
      <c r="BN36" s="15">
        <f t="shared" si="366"/>
        <v>0.90000000000000224</v>
      </c>
      <c r="BO36" s="15">
        <f t="shared" si="366"/>
        <v>0.90000000000000224</v>
      </c>
      <c r="BP36" s="15">
        <f t="shared" si="366"/>
        <v>0.90000000000000224</v>
      </c>
      <c r="BQ36" s="15">
        <f t="shared" si="366"/>
        <v>0.90000000000000224</v>
      </c>
      <c r="BR36" s="15">
        <f t="shared" si="366"/>
        <v>0.90000000000000224</v>
      </c>
      <c r="BS36" s="15">
        <f t="shared" ref="BS36:CT36" si="368">SUMPRODUCT($D8,BS8)+SUMPRODUCT($D15,BS15)+SUMPRODUCT($D22,BS22)+SUMPRODUCT($D29,BS29)/$D36</f>
        <v>0.90000000000000224</v>
      </c>
      <c r="BT36" s="15">
        <f t="shared" si="368"/>
        <v>0.90000000000000224</v>
      </c>
      <c r="BU36" s="15">
        <f t="shared" si="368"/>
        <v>0.90000000000000224</v>
      </c>
      <c r="BV36" s="15">
        <f t="shared" si="368"/>
        <v>0.90000000000000224</v>
      </c>
      <c r="BW36" s="15">
        <f t="shared" si="368"/>
        <v>0.90000000000000224</v>
      </c>
      <c r="BX36" s="15">
        <f t="shared" si="368"/>
        <v>0.90000000000000224</v>
      </c>
      <c r="BY36" s="15">
        <f t="shared" si="368"/>
        <v>0.90000000000000224</v>
      </c>
      <c r="BZ36" s="15">
        <f t="shared" si="368"/>
        <v>0.90000000000000224</v>
      </c>
      <c r="CA36" s="15">
        <f t="shared" si="368"/>
        <v>0.90000000000000224</v>
      </c>
      <c r="CB36" s="15">
        <f t="shared" si="368"/>
        <v>0.90000000000000224</v>
      </c>
      <c r="CC36" s="15">
        <f t="shared" si="368"/>
        <v>0.90000000000000224</v>
      </c>
      <c r="CD36" s="15">
        <f t="shared" si="368"/>
        <v>0.90000000000000224</v>
      </c>
      <c r="CE36" s="15">
        <f t="shared" si="368"/>
        <v>0.90000000000000224</v>
      </c>
      <c r="CF36" s="15">
        <f t="shared" si="368"/>
        <v>0.90000000000000224</v>
      </c>
      <c r="CG36" s="15">
        <f t="shared" si="368"/>
        <v>0.90000000000000224</v>
      </c>
      <c r="CH36" s="15">
        <f t="shared" si="368"/>
        <v>0.90000000000000224</v>
      </c>
      <c r="CI36" s="15">
        <f t="shared" si="368"/>
        <v>0.90000000000000224</v>
      </c>
      <c r="CJ36" s="15">
        <f t="shared" si="368"/>
        <v>0.90000000000000224</v>
      </c>
      <c r="CK36" s="15">
        <f t="shared" si="368"/>
        <v>0.90000000000000224</v>
      </c>
      <c r="CL36" s="15">
        <f t="shared" si="368"/>
        <v>0.90000000000000224</v>
      </c>
      <c r="CM36" s="15">
        <f t="shared" si="368"/>
        <v>0.90000000000000224</v>
      </c>
      <c r="CN36" s="15">
        <f t="shared" si="368"/>
        <v>0.90000000000000224</v>
      </c>
      <c r="CO36" s="15">
        <f t="shared" si="368"/>
        <v>0.90000000000000224</v>
      </c>
      <c r="CP36" s="15">
        <f t="shared" si="368"/>
        <v>0.90000000000000224</v>
      </c>
      <c r="CQ36" s="15">
        <f t="shared" si="368"/>
        <v>0.90000000000000224</v>
      </c>
      <c r="CR36" s="15">
        <f t="shared" si="368"/>
        <v>0.90000000000000224</v>
      </c>
      <c r="CS36" s="15">
        <f t="shared" si="368"/>
        <v>0.90000000000000224</v>
      </c>
      <c r="CT36" s="15">
        <f t="shared" si="368"/>
        <v>0.90000000000000224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0.13353499999999979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0.24807900000000074</v>
      </c>
      <c r="S37" s="15">
        <f t="shared" si="369"/>
        <v>0.29147400000000062</v>
      </c>
      <c r="T37" s="15">
        <f t="shared" si="369"/>
        <v>0.30147000000000063</v>
      </c>
      <c r="U37" s="15">
        <f t="shared" si="369"/>
        <v>0.32594400000000073</v>
      </c>
      <c r="V37" s="15">
        <f t="shared" si="369"/>
        <v>0.33982000000000073</v>
      </c>
      <c r="W37" s="15">
        <f t="shared" si="369"/>
        <v>0.3695960000000007</v>
      </c>
      <c r="X37" s="15">
        <f t="shared" si="369"/>
        <v>0.40104900000000088</v>
      </c>
      <c r="Y37" s="15">
        <f t="shared" si="369"/>
        <v>0.42438800000000082</v>
      </c>
      <c r="Z37" s="15">
        <f t="shared" si="369"/>
        <v>0.45514900000000091</v>
      </c>
      <c r="AA37" s="15">
        <f t="shared" si="369"/>
        <v>0.49811300000000103</v>
      </c>
      <c r="AB37" s="15">
        <f t="shared" si="369"/>
        <v>0.53614800000000107</v>
      </c>
      <c r="AC37" s="15">
        <f t="shared" si="369"/>
        <v>0.5664840000000011</v>
      </c>
      <c r="AD37" s="15">
        <f t="shared" si="369"/>
        <v>0.60186600000000134</v>
      </c>
      <c r="AE37" s="15">
        <f t="shared" si="369"/>
        <v>0.63857000000000141</v>
      </c>
      <c r="AF37" s="15">
        <f t="shared" si="369"/>
        <v>0.67024400000000151</v>
      </c>
      <c r="AG37" s="15">
        <f t="shared" si="369"/>
        <v>0.70177000000000145</v>
      </c>
      <c r="AH37" s="15">
        <f t="shared" si="369"/>
        <v>0.72381000000000162</v>
      </c>
      <c r="AI37" s="15">
        <f t="shared" si="369"/>
        <v>0.74455100000000163</v>
      </c>
      <c r="AJ37" s="15">
        <f t="shared" si="369"/>
        <v>0.74455100000000163</v>
      </c>
      <c r="AK37" s="15">
        <f t="shared" si="369"/>
        <v>0.74455100000000163</v>
      </c>
      <c r="AL37" s="15">
        <f t="shared" si="369"/>
        <v>0.74455100000000163</v>
      </c>
      <c r="AM37" s="15">
        <f t="shared" si="369"/>
        <v>0.74455100000000163</v>
      </c>
      <c r="AN37" s="15">
        <f t="shared" si="369"/>
        <v>0.74455100000000163</v>
      </c>
      <c r="AO37" s="15">
        <f t="shared" si="369"/>
        <v>0.74455100000000163</v>
      </c>
      <c r="AP37" s="15">
        <f t="shared" si="369"/>
        <v>0.74455100000000163</v>
      </c>
      <c r="AQ37" s="15">
        <f t="shared" si="369"/>
        <v>0.74455100000000163</v>
      </c>
      <c r="AR37" s="15">
        <f t="shared" si="369"/>
        <v>0.74455100000000163</v>
      </c>
      <c r="AS37" s="15">
        <f t="shared" si="369"/>
        <v>0.74455100000000163</v>
      </c>
      <c r="AT37" s="15">
        <f t="shared" si="369"/>
        <v>0.74455100000000163</v>
      </c>
      <c r="AU37" s="15">
        <f t="shared" si="369"/>
        <v>0.74455100000000163</v>
      </c>
      <c r="AV37" s="15">
        <f t="shared" si="369"/>
        <v>0.74455100000000163</v>
      </c>
      <c r="AW37" s="15">
        <f t="shared" si="369"/>
        <v>0.74455100000000163</v>
      </c>
      <c r="AX37" s="15">
        <f t="shared" si="369"/>
        <v>0.74455100000000163</v>
      </c>
      <c r="AY37" s="15">
        <f t="shared" si="369"/>
        <v>0.74455100000000163</v>
      </c>
      <c r="AZ37" s="15">
        <f t="shared" si="369"/>
        <v>0.74455100000000163</v>
      </c>
      <c r="BA37" s="15">
        <f t="shared" si="369"/>
        <v>0.74455100000000163</v>
      </c>
      <c r="BB37" s="15">
        <f t="shared" si="369"/>
        <v>0.74455100000000163</v>
      </c>
      <c r="BC37" s="15">
        <f t="shared" si="369"/>
        <v>0.74455100000000163</v>
      </c>
      <c r="BD37" s="15">
        <f t="shared" si="369"/>
        <v>0.74455100000000163</v>
      </c>
      <c r="BE37" s="15">
        <f t="shared" si="369"/>
        <v>0.74455100000000163</v>
      </c>
      <c r="BF37" s="15">
        <f t="shared" si="369"/>
        <v>0.74455100000000163</v>
      </c>
      <c r="BG37" s="15">
        <f t="shared" si="369"/>
        <v>0.74455100000000163</v>
      </c>
      <c r="BH37" s="15">
        <f t="shared" si="369"/>
        <v>0.74455100000000163</v>
      </c>
      <c r="BI37" s="15">
        <f t="shared" si="369"/>
        <v>0.74455100000000163</v>
      </c>
      <c r="BJ37" s="15">
        <f t="shared" si="369"/>
        <v>0.74455100000000163</v>
      </c>
      <c r="BK37" s="15">
        <f t="shared" si="369"/>
        <v>0.74455100000000163</v>
      </c>
      <c r="BL37" s="15">
        <f t="shared" si="369"/>
        <v>0.74455100000000163</v>
      </c>
      <c r="BM37" s="15">
        <f t="shared" si="369"/>
        <v>0.74455100000000163</v>
      </c>
      <c r="BN37" s="15">
        <f t="shared" si="369"/>
        <v>0.74455100000000163</v>
      </c>
      <c r="BO37" s="15">
        <f t="shared" si="369"/>
        <v>0.74455100000000163</v>
      </c>
      <c r="BP37" s="15">
        <f t="shared" si="369"/>
        <v>0.74455100000000163</v>
      </c>
      <c r="BQ37" s="15">
        <f t="shared" si="369"/>
        <v>0.74455100000000163</v>
      </c>
      <c r="BR37" s="15">
        <f t="shared" si="369"/>
        <v>0.74455100000000163</v>
      </c>
      <c r="BS37" s="15">
        <f t="shared" ref="BS37:CT37" si="370">SUMPRODUCT($D9,BS9)+SUMPRODUCT($D16,BS16)+SUMPRODUCT($D23,BS23)+SUMPRODUCT($D30,BS30)/$D37</f>
        <v>0.74455100000000163</v>
      </c>
      <c r="BT37" s="15">
        <f t="shared" si="370"/>
        <v>0.74455100000000163</v>
      </c>
      <c r="BU37" s="15">
        <f t="shared" si="370"/>
        <v>0.74455100000000163</v>
      </c>
      <c r="BV37" s="15">
        <f t="shared" si="370"/>
        <v>0.74455100000000163</v>
      </c>
      <c r="BW37" s="15">
        <f t="shared" si="370"/>
        <v>0.74455100000000163</v>
      </c>
      <c r="BX37" s="15">
        <f t="shared" si="370"/>
        <v>0.74455100000000163</v>
      </c>
      <c r="BY37" s="15">
        <f t="shared" si="370"/>
        <v>0.74455100000000163</v>
      </c>
      <c r="BZ37" s="15">
        <f t="shared" si="370"/>
        <v>0.74455100000000163</v>
      </c>
      <c r="CA37" s="15">
        <f t="shared" si="370"/>
        <v>0.74455100000000163</v>
      </c>
      <c r="CB37" s="15">
        <f t="shared" si="370"/>
        <v>0.74455100000000163</v>
      </c>
      <c r="CC37" s="15">
        <f t="shared" si="370"/>
        <v>0.74455100000000163</v>
      </c>
      <c r="CD37" s="15">
        <f t="shared" si="370"/>
        <v>0.74455100000000163</v>
      </c>
      <c r="CE37" s="15">
        <f t="shared" si="370"/>
        <v>0.74455100000000163</v>
      </c>
      <c r="CF37" s="15">
        <f t="shared" si="370"/>
        <v>0.74455100000000163</v>
      </c>
      <c r="CG37" s="15">
        <f t="shared" si="370"/>
        <v>0.74455100000000163</v>
      </c>
      <c r="CH37" s="15">
        <f t="shared" si="370"/>
        <v>0.74455100000000163</v>
      </c>
      <c r="CI37" s="15">
        <f t="shared" si="370"/>
        <v>0.74455100000000163</v>
      </c>
      <c r="CJ37" s="15">
        <f t="shared" si="370"/>
        <v>0.74455100000000163</v>
      </c>
      <c r="CK37" s="15">
        <f t="shared" si="370"/>
        <v>0.74455100000000163</v>
      </c>
      <c r="CL37" s="15">
        <f t="shared" si="370"/>
        <v>0.74455100000000163</v>
      </c>
      <c r="CM37" s="15">
        <f t="shared" si="370"/>
        <v>0.74455100000000163</v>
      </c>
      <c r="CN37" s="15">
        <f t="shared" si="370"/>
        <v>0.74455100000000163</v>
      </c>
      <c r="CO37" s="15">
        <f t="shared" si="370"/>
        <v>0.74455100000000163</v>
      </c>
      <c r="CP37" s="15">
        <f t="shared" si="370"/>
        <v>0.74455100000000163</v>
      </c>
      <c r="CQ37" s="15">
        <f t="shared" si="370"/>
        <v>0.74455100000000163</v>
      </c>
      <c r="CR37" s="15">
        <f t="shared" si="370"/>
        <v>0.74455100000000163</v>
      </c>
      <c r="CS37" s="15">
        <f t="shared" si="370"/>
        <v>0.74455100000000163</v>
      </c>
      <c r="CT37" s="15">
        <f t="shared" si="370"/>
        <v>0.74455100000000163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F17" sqref="AF17:AG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43" t="s">
        <v>68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32"/>
    </row>
    <row r="5" spans="1:97" ht="45" x14ac:dyDescent="0.35">
      <c r="B5" s="31"/>
      <c r="C5" s="244" t="s">
        <v>40</v>
      </c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785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0.1853050000000003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0.23838500000000018</v>
      </c>
      <c r="S12" s="43" cm="1">
        <f t="array" ref="S12">INDEX('Progress%'!$A$1:$CT$37,'S-Curves'!$A12,'S-Curves'!S$10)</f>
        <v>0.27169800000000022</v>
      </c>
      <c r="T12" s="43" cm="1">
        <f t="array" ref="T12">INDEX('Progress%'!$A$1:$CT$37,'S-Curves'!$A12,'S-Curves'!T$10)</f>
        <v>0.30348900000000045</v>
      </c>
      <c r="U12" s="43" cm="1">
        <f t="array" ref="U12">INDEX('Progress%'!$A$1:$CT$37,'S-Curves'!$A12,'S-Curves'!U$10)</f>
        <v>0.33504100000000048</v>
      </c>
      <c r="V12" s="43" cm="1">
        <f t="array" ref="V12">INDEX('Progress%'!$A$1:$CT$37,'S-Curves'!$A12,'S-Curves'!V$10)</f>
        <v>0.36595200000000061</v>
      </c>
      <c r="W12" s="43" cm="1">
        <f t="array" ref="W12">INDEX('Progress%'!$A$1:$CT$37,'S-Curves'!$A12,'S-Curves'!W$10)</f>
        <v>0.4019540000000007</v>
      </c>
      <c r="X12" s="43" cm="1">
        <f t="array" ref="X12">INDEX('Progress%'!$A$1:$CT$37,'S-Curves'!$A12,'S-Curves'!X$10)</f>
        <v>0.43975400000000076</v>
      </c>
      <c r="Y12" s="43" cm="1">
        <f t="array" ref="Y12">INDEX('Progress%'!$A$1:$CT$37,'S-Curves'!$A12,'S-Curves'!Y$10)</f>
        <v>0.47722000000000087</v>
      </c>
      <c r="Z12" s="43" cm="1">
        <f t="array" ref="Z12">INDEX('Progress%'!$A$1:$CT$37,'S-Curves'!$A12,'S-Curves'!Z$10)</f>
        <v>0.51431900000000097</v>
      </c>
      <c r="AA12" s="43" cm="1">
        <f t="array" ref="AA12">INDEX('Progress%'!$A$1:$CT$37,'S-Curves'!$A12,'S-Curves'!AA$10)</f>
        <v>0.54356500000000119</v>
      </c>
      <c r="AB12" s="43" cm="1">
        <f t="array" ref="AB12">INDEX('Progress%'!$A$1:$CT$37,'S-Curves'!$A12,'S-Curves'!AB$10)</f>
        <v>0.57779700000000123</v>
      </c>
      <c r="AC12" s="43" cm="1">
        <f t="array" ref="AC12">INDEX('Progress%'!$A$1:$CT$37,'S-Curves'!$A12,'S-Curves'!AC$10)</f>
        <v>0.60958400000000124</v>
      </c>
      <c r="AD12" s="43" cm="1">
        <f t="array" ref="AD12">INDEX('Progress%'!$A$1:$CT$37,'S-Curves'!$A12,'S-Curves'!AD$10)</f>
        <v>0.64109600000000144</v>
      </c>
      <c r="AE12" s="43" cm="1">
        <f t="array" ref="AE12">INDEX('Progress%'!$A$1:$CT$37,'S-Curves'!$A12,'S-Curves'!AE$10)</f>
        <v>0.66780600000000157</v>
      </c>
      <c r="AF12" s="43" cm="1">
        <f t="array" ref="AF12">INDEX('Progress%'!$A$1:$CT$37,'S-Curves'!$A12,'S-Curves'!AF$10)</f>
        <v>0.69116900000000148</v>
      </c>
      <c r="AG12" s="43" cm="1">
        <f t="array" ref="AG12">INDEX('Progress%'!$A$1:$CT$37,'S-Curves'!$A12,'S-Curves'!AG$10)</f>
        <v>0.7137940000000017</v>
      </c>
      <c r="AH12" s="43" cm="1">
        <f t="array" ref="AH12">INDEX('Progress%'!$A$1:$CT$37,'S-Curves'!$A12,'S-Curves'!AH$10)</f>
        <v>0.74429000000000178</v>
      </c>
      <c r="AI12" s="43" cm="1">
        <f t="array" ref="AI12">INDEX('Progress%'!$A$1:$CT$37,'S-Curves'!$A12,'S-Curves'!AI$10)</f>
        <v>0.75794800000000173</v>
      </c>
      <c r="AJ12" s="43" cm="1">
        <f t="array" ref="AJ12">INDEX('Progress%'!$A$1:$CT$37,'S-Curves'!$A12,'S-Curves'!AJ$10)</f>
        <v>0.78052300000000174</v>
      </c>
      <c r="AK12" s="43" cm="1">
        <f t="array" ref="AK12">INDEX('Progress%'!$A$1:$CT$37,'S-Curves'!$A12,'S-Curves'!AK$10)</f>
        <v>0.79688800000000182</v>
      </c>
      <c r="AL12" s="43" cm="1">
        <f t="array" ref="AL12">INDEX('Progress%'!$A$1:$CT$37,'S-Curves'!$A12,'S-Curves'!AL$10)</f>
        <v>0.81372900000000192</v>
      </c>
      <c r="AM12" s="43" cm="1">
        <f t="array" ref="AM12">INDEX('Progress%'!$A$1:$CT$37,'S-Curves'!$A12,'S-Curves'!AM$10)</f>
        <v>0.82536700000000196</v>
      </c>
      <c r="AN12" s="43" cm="1">
        <f t="array" ref="AN12">INDEX('Progress%'!$A$1:$CT$37,'S-Curves'!$A12,'S-Curves'!AN$10)</f>
        <v>0.84072000000000202</v>
      </c>
      <c r="AO12" s="43" cm="1">
        <f t="array" ref="AO12">INDEX('Progress%'!$A$1:$CT$37,'S-Curves'!$A12,'S-Curves'!AO$10)</f>
        <v>0.85038400000000214</v>
      </c>
      <c r="AP12" s="43" cm="1">
        <f t="array" ref="AP12">INDEX('Progress%'!$A$1:$CT$37,'S-Curves'!$A12,'S-Curves'!AP$10)</f>
        <v>0.86148700000000211</v>
      </c>
      <c r="AQ12" s="43" cm="1">
        <f t="array" ref="AQ12">INDEX('Progress%'!$A$1:$CT$37,'S-Curves'!$A12,'S-Curves'!AQ$10)</f>
        <v>0.86675600000000219</v>
      </c>
      <c r="AR12" s="43" cm="1">
        <f t="array" ref="AR12">INDEX('Progress%'!$A$1:$CT$37,'S-Curves'!$A12,'S-Curves'!AR$10)</f>
        <v>0.87439000000000222</v>
      </c>
      <c r="AS12" s="43" cm="1">
        <f t="array" ref="AS12">INDEX('Progress%'!$A$1:$CT$37,'S-Curves'!$A12,'S-Curves'!AS$10)</f>
        <v>0.87980000000000225</v>
      </c>
      <c r="AT12" s="43" cm="1">
        <f t="array" ref="AT12">INDEX('Progress%'!$A$1:$CT$37,'S-Curves'!$A12,'S-Curves'!AT$10)</f>
        <v>0.88350000000000217</v>
      </c>
      <c r="AU12" s="43" cm="1">
        <f t="array" ref="AU12">INDEX('Progress%'!$A$1:$CT$37,'S-Curves'!$A12,'S-Curves'!AU$10)</f>
        <v>0.88550000000000217</v>
      </c>
      <c r="AV12" s="43" cm="1">
        <f t="array" ref="AV12">INDEX('Progress%'!$A$1:$CT$37,'S-Curves'!$A12,'S-Curves'!AV$10)</f>
        <v>0.89050000000000218</v>
      </c>
      <c r="AW12" s="43" cm="1">
        <f t="array" ref="AW12">INDEX('Progress%'!$A$1:$CT$37,'S-Curves'!$A12,'S-Curves'!AW$10)</f>
        <v>0.89100000000000235</v>
      </c>
      <c r="AX12" s="43" cm="1">
        <f t="array" ref="AX12">INDEX('Progress%'!$A$1:$CT$37,'S-Curves'!$A12,'S-Curves'!AX$10)</f>
        <v>0.8934000000000023</v>
      </c>
      <c r="AY12" s="43" cm="1">
        <f t="array" ref="AY12">INDEX('Progress%'!$A$1:$CT$37,'S-Curves'!$A12,'S-Curves'!AY$10)</f>
        <v>0.89540000000000219</v>
      </c>
      <c r="AZ12" s="43" cm="1">
        <f t="array" ref="AZ12">INDEX('Progress%'!$A$1:$CT$37,'S-Curves'!$A12,'S-Curves'!AZ$10)</f>
        <v>0.89700000000000224</v>
      </c>
      <c r="BA12" s="43" cm="1">
        <f t="array" ref="BA12">INDEX('Progress%'!$A$1:$CT$37,'S-Curves'!$A12,'S-Curves'!BA$10)</f>
        <v>0.89750000000000218</v>
      </c>
      <c r="BB12" s="43" cm="1">
        <f t="array" ref="BB12">INDEX('Progress%'!$A$1:$CT$37,'S-Curves'!$A12,'S-Curves'!BB$10)</f>
        <v>0.89750000000000218</v>
      </c>
      <c r="BC12" s="43" cm="1">
        <f t="array" ref="BC12">INDEX('Progress%'!$A$1:$CT$37,'S-Curves'!$A12,'S-Curves'!BC$10)</f>
        <v>0.8985000000000023</v>
      </c>
      <c r="BD12" s="43" cm="1">
        <f t="array" ref="BD12">INDEX('Progress%'!$A$1:$CT$37,'S-Curves'!$A12,'S-Curves'!BD$10)</f>
        <v>0.8985000000000023</v>
      </c>
      <c r="BE12" s="43" cm="1">
        <f t="array" ref="BE12">INDEX('Progress%'!$A$1:$CT$37,'S-Curves'!$A12,'S-Curves'!BE$10)</f>
        <v>0.89900000000000224</v>
      </c>
      <c r="BF12" s="43" cm="1">
        <f t="array" ref="BF12">INDEX('Progress%'!$A$1:$CT$37,'S-Curves'!$A12,'S-Curves'!BF$10)</f>
        <v>0.89900000000000224</v>
      </c>
      <c r="BG12" s="43" cm="1">
        <f t="array" ref="BG12">INDEX('Progress%'!$A$1:$CT$37,'S-Curves'!$A12,'S-Curves'!BG$10)</f>
        <v>0.90000000000000224</v>
      </c>
      <c r="BH12" s="43" cm="1">
        <f t="array" ref="BH12">INDEX('Progress%'!$A$1:$CT$37,'S-Curves'!$A12,'S-Curves'!BH$10)</f>
        <v>0.90000000000000224</v>
      </c>
      <c r="BI12" s="43" cm="1">
        <f t="array" ref="BI12">INDEX('Progress%'!$A$1:$CT$37,'S-Curves'!$A12,'S-Curves'!BI$10)</f>
        <v>0.90000000000000224</v>
      </c>
      <c r="BJ12" s="43" cm="1">
        <f t="array" ref="BJ12">INDEX('Progress%'!$A$1:$CT$37,'S-Curves'!$A12,'S-Curves'!BJ$10)</f>
        <v>0.90000000000000224</v>
      </c>
      <c r="BK12" s="43" cm="1">
        <f t="array" ref="BK12">INDEX('Progress%'!$A$1:$CT$37,'S-Curves'!$A12,'S-Curves'!BK$10)</f>
        <v>0.90000000000000224</v>
      </c>
      <c r="BL12" s="43" cm="1">
        <f t="array" ref="BL12">INDEX('Progress%'!$A$1:$CT$37,'S-Curves'!$A12,'S-Curves'!BL$10)</f>
        <v>0.90000000000000224</v>
      </c>
      <c r="BM12" s="43" cm="1">
        <f t="array" ref="BM12">INDEX('Progress%'!$A$1:$CT$37,'S-Curves'!$A12,'S-Curves'!BM$10)</f>
        <v>0.90000000000000224</v>
      </c>
      <c r="BN12" s="43" cm="1">
        <f t="array" ref="BN12">INDEX('Progress%'!$A$1:$CT$37,'S-Curves'!$A12,'S-Curves'!BN$10)</f>
        <v>0.90000000000000224</v>
      </c>
      <c r="BO12" s="43" cm="1">
        <f t="array" ref="BO12">INDEX('Progress%'!$A$1:$CT$37,'S-Curves'!$A12,'S-Curves'!BO$10)</f>
        <v>0.90000000000000224</v>
      </c>
      <c r="BP12" s="43" cm="1">
        <f t="array" ref="BP12">INDEX('Progress%'!$A$1:$CT$37,'S-Curves'!$A12,'S-Curves'!BP$10)</f>
        <v>0.90000000000000224</v>
      </c>
      <c r="BQ12" s="43" cm="1">
        <f t="array" ref="BQ12">INDEX('Progress%'!$A$1:$CT$37,'S-Curves'!$A12,'S-Curves'!BQ$10)</f>
        <v>0.90000000000000224</v>
      </c>
      <c r="BR12" s="43" cm="1">
        <f t="array" ref="BR12">INDEX('Progress%'!$A$1:$CT$37,'S-Curves'!$A12,'S-Curves'!BR$10)</f>
        <v>0.90000000000000224</v>
      </c>
      <c r="BS12" s="43" cm="1">
        <f t="array" ref="BS12">INDEX('Progress%'!$A$1:$CT$37,'S-Curves'!$A12,'S-Curves'!BS$10)</f>
        <v>0.90000000000000224</v>
      </c>
      <c r="BT12" s="43" cm="1">
        <f t="array" ref="BT12">INDEX('Progress%'!$A$1:$CT$37,'S-Curves'!$A12,'S-Curves'!BT$10)</f>
        <v>0.90000000000000224</v>
      </c>
      <c r="BU12" s="43" cm="1">
        <f t="array" ref="BU12">INDEX('Progress%'!$A$1:$CT$37,'S-Curves'!$A12,'S-Curves'!BU$10)</f>
        <v>0.90000000000000224</v>
      </c>
      <c r="BV12" s="43" cm="1">
        <f t="array" ref="BV12">INDEX('Progress%'!$A$1:$CT$37,'S-Curves'!$A12,'S-Curves'!BV$10)</f>
        <v>0.90000000000000224</v>
      </c>
      <c r="BW12" s="43" cm="1">
        <f t="array" ref="BW12">INDEX('Progress%'!$A$1:$CT$37,'S-Curves'!$A12,'S-Curves'!BW$10)</f>
        <v>0.90000000000000224</v>
      </c>
      <c r="BX12" s="43" cm="1">
        <f t="array" ref="BX12">INDEX('Progress%'!$A$1:$CT$37,'S-Curves'!$A12,'S-Curves'!BX$10)</f>
        <v>0.90000000000000224</v>
      </c>
      <c r="BY12" s="43" cm="1">
        <f t="array" ref="BY12">INDEX('Progress%'!$A$1:$CT$37,'S-Curves'!$A12,'S-Curves'!BY$10)</f>
        <v>0.90000000000000224</v>
      </c>
      <c r="BZ12" s="43" cm="1">
        <f t="array" ref="BZ12">INDEX('Progress%'!$A$1:$CT$37,'S-Curves'!$A12,'S-Curves'!BZ$10)</f>
        <v>0.90000000000000224</v>
      </c>
      <c r="CA12" s="43" cm="1">
        <f t="array" ref="CA12">INDEX('Progress%'!$A$1:$CT$37,'S-Curves'!$A12,'S-Curves'!CA$10)</f>
        <v>0.90000000000000224</v>
      </c>
      <c r="CB12" s="43" cm="1">
        <f t="array" ref="CB12">INDEX('Progress%'!$A$1:$CT$37,'S-Curves'!$A12,'S-Curves'!CB$10)</f>
        <v>0.90000000000000224</v>
      </c>
      <c r="CC12" s="43" cm="1">
        <f t="array" ref="CC12">INDEX('Progress%'!$A$1:$CT$37,'S-Curves'!$A12,'S-Curves'!CC$10)</f>
        <v>0.90000000000000224</v>
      </c>
      <c r="CD12" s="43" cm="1">
        <f t="array" ref="CD12">INDEX('Progress%'!$A$1:$CT$37,'S-Curves'!$A12,'S-Curves'!CD$10)</f>
        <v>0.90000000000000224</v>
      </c>
      <c r="CE12" s="43" cm="1">
        <f t="array" ref="CE12">INDEX('Progress%'!$A$1:$CT$37,'S-Curves'!$A12,'S-Curves'!CE$10)</f>
        <v>0.90000000000000224</v>
      </c>
      <c r="CF12" s="43" cm="1">
        <f t="array" ref="CF12">INDEX('Progress%'!$A$1:$CT$37,'S-Curves'!$A12,'S-Curves'!CF$10)</f>
        <v>0.90000000000000224</v>
      </c>
      <c r="CG12" s="43" cm="1">
        <f t="array" ref="CG12">INDEX('Progress%'!$A$1:$CT$37,'S-Curves'!$A12,'S-Curves'!CG$10)</f>
        <v>0.90000000000000224</v>
      </c>
      <c r="CH12" s="43" cm="1">
        <f t="array" ref="CH12">INDEX('Progress%'!$A$1:$CT$37,'S-Curves'!$A12,'S-Curves'!CH$10)</f>
        <v>0.90000000000000224</v>
      </c>
      <c r="CI12" s="43" cm="1">
        <f t="array" ref="CI12">INDEX('Progress%'!$A$1:$CT$37,'S-Curves'!$A12,'S-Curves'!CI$10)</f>
        <v>0.90000000000000224</v>
      </c>
      <c r="CJ12" s="43" cm="1">
        <f t="array" ref="CJ12">INDEX('Progress%'!$A$1:$CT$37,'S-Curves'!$A12,'S-Curves'!CJ$10)</f>
        <v>0.90000000000000224</v>
      </c>
      <c r="CK12" s="43" cm="1">
        <f t="array" ref="CK12">INDEX('Progress%'!$A$1:$CT$37,'S-Curves'!$A12,'S-Curves'!CK$10)</f>
        <v>0.90000000000000224</v>
      </c>
      <c r="CL12" s="43" cm="1">
        <f t="array" ref="CL12">INDEX('Progress%'!$A$1:$CT$37,'S-Curves'!$A12,'S-Curves'!CL$10)</f>
        <v>0.90000000000000224</v>
      </c>
      <c r="CM12" s="43" cm="1">
        <f t="array" ref="CM12">INDEX('Progress%'!$A$1:$CT$37,'S-Curves'!$A12,'S-Curves'!CM$10)</f>
        <v>0.90000000000000224</v>
      </c>
      <c r="CN12" s="43" cm="1">
        <f t="array" ref="CN12">INDEX('Progress%'!$A$1:$CT$37,'S-Curves'!$A12,'S-Curves'!CN$10)</f>
        <v>0.90000000000000224</v>
      </c>
      <c r="CO12" s="43" cm="1">
        <f t="array" ref="CO12">INDEX('Progress%'!$A$1:$CT$37,'S-Curves'!$A12,'S-Curves'!CO$10)</f>
        <v>0.90000000000000224</v>
      </c>
      <c r="CP12" s="43" cm="1">
        <f t="array" ref="CP12">INDEX('Progress%'!$A$1:$CT$37,'S-Curves'!$A12,'S-Curves'!CP$10)</f>
        <v>0.90000000000000224</v>
      </c>
      <c r="CQ12" s="43" cm="1">
        <f t="array" ref="CQ12">INDEX('Progress%'!$A$1:$CT$37,'S-Curves'!$A12,'S-Curves'!CQ$10)</f>
        <v>0.90000000000000224</v>
      </c>
      <c r="CR12" s="43" cm="1">
        <f t="array" ref="CR12">INDEX('Progress%'!$A$1:$CT$37,'S-Curves'!$A12,'S-Curves'!CR$10)</f>
        <v>0.90000000000000224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0.1853050000000003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0.23838500000000018</v>
      </c>
      <c r="S13" s="43" cm="1">
        <f t="array" ref="S13">INDEX('Progress%'!$A$1:$CT$37,'S-Curves'!$A13,'S-Curves'!S$10)</f>
        <v>0.27169800000000022</v>
      </c>
      <c r="T13" s="43" cm="1">
        <f t="array" ref="T13">INDEX('Progress%'!$A$1:$CT$37,'S-Curves'!$A13,'S-Curves'!T$10)</f>
        <v>0.30348900000000045</v>
      </c>
      <c r="U13" s="43" cm="1">
        <f t="array" ref="U13">INDEX('Progress%'!$A$1:$CT$37,'S-Curves'!$A13,'S-Curves'!U$10)</f>
        <v>0.33504100000000048</v>
      </c>
      <c r="V13" s="43" cm="1">
        <f t="array" ref="V13">INDEX('Progress%'!$A$1:$CT$37,'S-Curves'!$A13,'S-Curves'!V$10)</f>
        <v>0.36595200000000061</v>
      </c>
      <c r="W13" s="43" cm="1">
        <f t="array" ref="W13">INDEX('Progress%'!$A$1:$CT$37,'S-Curves'!$A13,'S-Curves'!W$10)</f>
        <v>0.4019540000000007</v>
      </c>
      <c r="X13" s="43" cm="1">
        <f t="array" ref="X13">INDEX('Progress%'!$A$1:$CT$37,'S-Curves'!$A13,'S-Curves'!X$10)</f>
        <v>0.43975400000000076</v>
      </c>
      <c r="Y13" s="43" cm="1">
        <f t="array" ref="Y13">INDEX('Progress%'!$A$1:$CT$37,'S-Curves'!$A13,'S-Curves'!Y$10)</f>
        <v>0.47722000000000087</v>
      </c>
      <c r="Z13" s="43" cm="1">
        <f t="array" ref="Z13">INDEX('Progress%'!$A$1:$CT$37,'S-Curves'!$A13,'S-Curves'!Z$10)</f>
        <v>0.51431900000000097</v>
      </c>
      <c r="AA13" s="43" cm="1">
        <f t="array" ref="AA13">INDEX('Progress%'!$A$1:$CT$37,'S-Curves'!$A13,'S-Curves'!AA$10)</f>
        <v>0.54356500000000119</v>
      </c>
      <c r="AB13" s="43" cm="1">
        <f t="array" ref="AB13">INDEX('Progress%'!$A$1:$CT$37,'S-Curves'!$A13,'S-Curves'!AB$10)</f>
        <v>0.57779700000000123</v>
      </c>
      <c r="AC13" s="43" cm="1">
        <f t="array" ref="AC13">INDEX('Progress%'!$A$1:$CT$37,'S-Curves'!$A13,'S-Curves'!AC$10)</f>
        <v>0.60958400000000124</v>
      </c>
      <c r="AD13" s="43" cm="1">
        <f t="array" ref="AD13">INDEX('Progress%'!$A$1:$CT$37,'S-Curves'!$A13,'S-Curves'!AD$10)</f>
        <v>0.64109600000000144</v>
      </c>
      <c r="AE13" s="43" cm="1">
        <f t="array" ref="AE13">INDEX('Progress%'!$A$1:$CT$37,'S-Curves'!$A13,'S-Curves'!AE$10)</f>
        <v>0.66780600000000157</v>
      </c>
      <c r="AF13" s="43" cm="1">
        <f t="array" ref="AF13">INDEX('Progress%'!$A$1:$CT$37,'S-Curves'!$A13,'S-Curves'!AF$10)</f>
        <v>0.69116900000000148</v>
      </c>
      <c r="AG13" s="43" cm="1">
        <f t="array" ref="AG13">INDEX('Progress%'!$A$1:$CT$37,'S-Curves'!$A13,'S-Curves'!AG$10)</f>
        <v>0.7137940000000017</v>
      </c>
      <c r="AH13" s="43" cm="1">
        <f t="array" ref="AH13">INDEX('Progress%'!$A$1:$CT$37,'S-Curves'!$A13,'S-Curves'!AH$10)</f>
        <v>0.74429000000000178</v>
      </c>
      <c r="AI13" s="43" cm="1">
        <f t="array" ref="AI13">INDEX('Progress%'!$A$1:$CT$37,'S-Curves'!$A13,'S-Curves'!AI$10)</f>
        <v>0.75794800000000173</v>
      </c>
      <c r="AJ13" s="43" cm="1">
        <f t="array" ref="AJ13">INDEX('Progress%'!$A$1:$CT$37,'S-Curves'!$A13,'S-Curves'!AJ$10)</f>
        <v>0.78052300000000174</v>
      </c>
      <c r="AK13" s="43" cm="1">
        <f t="array" ref="AK13">INDEX('Progress%'!$A$1:$CT$37,'S-Curves'!$A13,'S-Curves'!AK$10)</f>
        <v>0.79688800000000182</v>
      </c>
      <c r="AL13" s="43" cm="1">
        <f t="array" ref="AL13">INDEX('Progress%'!$A$1:$CT$37,'S-Curves'!$A13,'S-Curves'!AL$10)</f>
        <v>0.81372900000000192</v>
      </c>
      <c r="AM13" s="43" cm="1">
        <f t="array" ref="AM13">INDEX('Progress%'!$A$1:$CT$37,'S-Curves'!$A13,'S-Curves'!AM$10)</f>
        <v>0.82536700000000196</v>
      </c>
      <c r="AN13" s="43" cm="1">
        <f t="array" ref="AN13">INDEX('Progress%'!$A$1:$CT$37,'S-Curves'!$A13,'S-Curves'!AN$10)</f>
        <v>0.84072000000000202</v>
      </c>
      <c r="AO13" s="43" cm="1">
        <f t="array" ref="AO13">INDEX('Progress%'!$A$1:$CT$37,'S-Curves'!$A13,'S-Curves'!AO$10)</f>
        <v>0.85038400000000214</v>
      </c>
      <c r="AP13" s="43" cm="1">
        <f t="array" ref="AP13">INDEX('Progress%'!$A$1:$CT$37,'S-Curves'!$A13,'S-Curves'!AP$10)</f>
        <v>0.86148700000000211</v>
      </c>
      <c r="AQ13" s="43" cm="1">
        <f t="array" ref="AQ13">INDEX('Progress%'!$A$1:$CT$37,'S-Curves'!$A13,'S-Curves'!AQ$10)</f>
        <v>0.86675600000000219</v>
      </c>
      <c r="AR13" s="43" cm="1">
        <f t="array" ref="AR13">INDEX('Progress%'!$A$1:$CT$37,'S-Curves'!$A13,'S-Curves'!AR$10)</f>
        <v>0.87439000000000222</v>
      </c>
      <c r="AS13" s="43" cm="1">
        <f t="array" ref="AS13">INDEX('Progress%'!$A$1:$CT$37,'S-Curves'!$A13,'S-Curves'!AS$10)</f>
        <v>0.87980000000000225</v>
      </c>
      <c r="AT13" s="43" cm="1">
        <f t="array" ref="AT13">INDEX('Progress%'!$A$1:$CT$37,'S-Curves'!$A13,'S-Curves'!AT$10)</f>
        <v>0.88350000000000217</v>
      </c>
      <c r="AU13" s="43" cm="1">
        <f t="array" ref="AU13">INDEX('Progress%'!$A$1:$CT$37,'S-Curves'!$A13,'S-Curves'!AU$10)</f>
        <v>0.88550000000000217</v>
      </c>
      <c r="AV13" s="43" cm="1">
        <f t="array" ref="AV13">INDEX('Progress%'!$A$1:$CT$37,'S-Curves'!$A13,'S-Curves'!AV$10)</f>
        <v>0.89050000000000218</v>
      </c>
      <c r="AW13" s="43" cm="1">
        <f t="array" ref="AW13">INDEX('Progress%'!$A$1:$CT$37,'S-Curves'!$A13,'S-Curves'!AW$10)</f>
        <v>0.89100000000000235</v>
      </c>
      <c r="AX13" s="43" cm="1">
        <f t="array" ref="AX13">INDEX('Progress%'!$A$1:$CT$37,'S-Curves'!$A13,'S-Curves'!AX$10)</f>
        <v>0.8934000000000023</v>
      </c>
      <c r="AY13" s="43" cm="1">
        <f t="array" ref="AY13">INDEX('Progress%'!$A$1:$CT$37,'S-Curves'!$A13,'S-Curves'!AY$10)</f>
        <v>0.89540000000000219</v>
      </c>
      <c r="AZ13" s="43" cm="1">
        <f t="array" ref="AZ13">INDEX('Progress%'!$A$1:$CT$37,'S-Curves'!$A13,'S-Curves'!AZ$10)</f>
        <v>0.89700000000000224</v>
      </c>
      <c r="BA13" s="43" cm="1">
        <f t="array" ref="BA13">INDEX('Progress%'!$A$1:$CT$37,'S-Curves'!$A13,'S-Curves'!BA$10)</f>
        <v>0.89750000000000218</v>
      </c>
      <c r="BB13" s="43" cm="1">
        <f t="array" ref="BB13">INDEX('Progress%'!$A$1:$CT$37,'S-Curves'!$A13,'S-Curves'!BB$10)</f>
        <v>0.89750000000000218</v>
      </c>
      <c r="BC13" s="43" cm="1">
        <f t="array" ref="BC13">INDEX('Progress%'!$A$1:$CT$37,'S-Curves'!$A13,'S-Curves'!BC$10)</f>
        <v>0.8985000000000023</v>
      </c>
      <c r="BD13" s="43" cm="1">
        <f t="array" ref="BD13">INDEX('Progress%'!$A$1:$CT$37,'S-Curves'!$A13,'S-Curves'!BD$10)</f>
        <v>0.8985000000000023</v>
      </c>
      <c r="BE13" s="43" cm="1">
        <f t="array" ref="BE13">INDEX('Progress%'!$A$1:$CT$37,'S-Curves'!$A13,'S-Curves'!BE$10)</f>
        <v>0.89900000000000224</v>
      </c>
      <c r="BF13" s="43" cm="1">
        <f t="array" ref="BF13">INDEX('Progress%'!$A$1:$CT$37,'S-Curves'!$A13,'S-Curves'!BF$10)</f>
        <v>0.89900000000000224</v>
      </c>
      <c r="BG13" s="43" cm="1">
        <f t="array" ref="BG13">INDEX('Progress%'!$A$1:$CT$37,'S-Curves'!$A13,'S-Curves'!BG$10)</f>
        <v>0.90000000000000224</v>
      </c>
      <c r="BH13" s="43" cm="1">
        <f t="array" ref="BH13">INDEX('Progress%'!$A$1:$CT$37,'S-Curves'!$A13,'S-Curves'!BH$10)</f>
        <v>0.90000000000000224</v>
      </c>
      <c r="BI13" s="43" cm="1">
        <f t="array" ref="BI13">INDEX('Progress%'!$A$1:$CT$37,'S-Curves'!$A13,'S-Curves'!BI$10)</f>
        <v>0.90000000000000224</v>
      </c>
      <c r="BJ13" s="43" cm="1">
        <f t="array" ref="BJ13">INDEX('Progress%'!$A$1:$CT$37,'S-Curves'!$A13,'S-Curves'!BJ$10)</f>
        <v>0.90000000000000224</v>
      </c>
      <c r="BK13" s="43" cm="1">
        <f t="array" ref="BK13">INDEX('Progress%'!$A$1:$CT$37,'S-Curves'!$A13,'S-Curves'!BK$10)</f>
        <v>0.90000000000000224</v>
      </c>
      <c r="BL13" s="43" cm="1">
        <f t="array" ref="BL13">INDEX('Progress%'!$A$1:$CT$37,'S-Curves'!$A13,'S-Curves'!BL$10)</f>
        <v>0.90000000000000224</v>
      </c>
      <c r="BM13" s="43" cm="1">
        <f t="array" ref="BM13">INDEX('Progress%'!$A$1:$CT$37,'S-Curves'!$A13,'S-Curves'!BM$10)</f>
        <v>0.90000000000000224</v>
      </c>
      <c r="BN13" s="43" cm="1">
        <f t="array" ref="BN13">INDEX('Progress%'!$A$1:$CT$37,'S-Curves'!$A13,'S-Curves'!BN$10)</f>
        <v>0.90000000000000224</v>
      </c>
      <c r="BO13" s="43" cm="1">
        <f t="array" ref="BO13">INDEX('Progress%'!$A$1:$CT$37,'S-Curves'!$A13,'S-Curves'!BO$10)</f>
        <v>0.90000000000000224</v>
      </c>
      <c r="BP13" s="43" cm="1">
        <f t="array" ref="BP13">INDEX('Progress%'!$A$1:$CT$37,'S-Curves'!$A13,'S-Curves'!BP$10)</f>
        <v>0.90000000000000224</v>
      </c>
      <c r="BQ13" s="43" cm="1">
        <f t="array" ref="BQ13">INDEX('Progress%'!$A$1:$CT$37,'S-Curves'!$A13,'S-Curves'!BQ$10)</f>
        <v>0.90000000000000224</v>
      </c>
      <c r="BR13" s="43" cm="1">
        <f t="array" ref="BR13">INDEX('Progress%'!$A$1:$CT$37,'S-Curves'!$A13,'S-Curves'!BR$10)</f>
        <v>0.90000000000000224</v>
      </c>
      <c r="BS13" s="43" cm="1">
        <f t="array" ref="BS13">INDEX('Progress%'!$A$1:$CT$37,'S-Curves'!$A13,'S-Curves'!BS$10)</f>
        <v>0.90000000000000224</v>
      </c>
      <c r="BT13" s="43" cm="1">
        <f t="array" ref="BT13">INDEX('Progress%'!$A$1:$CT$37,'S-Curves'!$A13,'S-Curves'!BT$10)</f>
        <v>0.90000000000000224</v>
      </c>
      <c r="BU13" s="43" cm="1">
        <f t="array" ref="BU13">INDEX('Progress%'!$A$1:$CT$37,'S-Curves'!$A13,'S-Curves'!BU$10)</f>
        <v>0.90000000000000224</v>
      </c>
      <c r="BV13" s="43" cm="1">
        <f t="array" ref="BV13">INDEX('Progress%'!$A$1:$CT$37,'S-Curves'!$A13,'S-Curves'!BV$10)</f>
        <v>0.90000000000000224</v>
      </c>
      <c r="BW13" s="43" cm="1">
        <f t="array" ref="BW13">INDEX('Progress%'!$A$1:$CT$37,'S-Curves'!$A13,'S-Curves'!BW$10)</f>
        <v>0.90000000000000224</v>
      </c>
      <c r="BX13" s="43" cm="1">
        <f t="array" ref="BX13">INDEX('Progress%'!$A$1:$CT$37,'S-Curves'!$A13,'S-Curves'!BX$10)</f>
        <v>0.90000000000000224</v>
      </c>
      <c r="BY13" s="43" cm="1">
        <f t="array" ref="BY13">INDEX('Progress%'!$A$1:$CT$37,'S-Curves'!$A13,'S-Curves'!BY$10)</f>
        <v>0.90000000000000224</v>
      </c>
      <c r="BZ13" s="43" cm="1">
        <f t="array" ref="BZ13">INDEX('Progress%'!$A$1:$CT$37,'S-Curves'!$A13,'S-Curves'!BZ$10)</f>
        <v>0.90000000000000224</v>
      </c>
      <c r="CA13" s="43" cm="1">
        <f t="array" ref="CA13">INDEX('Progress%'!$A$1:$CT$37,'S-Curves'!$A13,'S-Curves'!CA$10)</f>
        <v>0.90000000000000224</v>
      </c>
      <c r="CB13" s="43" cm="1">
        <f t="array" ref="CB13">INDEX('Progress%'!$A$1:$CT$37,'S-Curves'!$A13,'S-Curves'!CB$10)</f>
        <v>0.90000000000000224</v>
      </c>
      <c r="CC13" s="43" cm="1">
        <f t="array" ref="CC13">INDEX('Progress%'!$A$1:$CT$37,'S-Curves'!$A13,'S-Curves'!CC$10)</f>
        <v>0.90000000000000224</v>
      </c>
      <c r="CD13" s="43" cm="1">
        <f t="array" ref="CD13">INDEX('Progress%'!$A$1:$CT$37,'S-Curves'!$A13,'S-Curves'!CD$10)</f>
        <v>0.90000000000000224</v>
      </c>
      <c r="CE13" s="43" cm="1">
        <f t="array" ref="CE13">INDEX('Progress%'!$A$1:$CT$37,'S-Curves'!$A13,'S-Curves'!CE$10)</f>
        <v>0.90000000000000224</v>
      </c>
      <c r="CF13" s="43" cm="1">
        <f t="array" ref="CF13">INDEX('Progress%'!$A$1:$CT$37,'S-Curves'!$A13,'S-Curves'!CF$10)</f>
        <v>0.90000000000000224</v>
      </c>
      <c r="CG13" s="43" cm="1">
        <f t="array" ref="CG13">INDEX('Progress%'!$A$1:$CT$37,'S-Curves'!$A13,'S-Curves'!CG$10)</f>
        <v>0.90000000000000224</v>
      </c>
      <c r="CH13" s="43" cm="1">
        <f t="array" ref="CH13">INDEX('Progress%'!$A$1:$CT$37,'S-Curves'!$A13,'S-Curves'!CH$10)</f>
        <v>0.90000000000000224</v>
      </c>
      <c r="CI13" s="43" cm="1">
        <f t="array" ref="CI13">INDEX('Progress%'!$A$1:$CT$37,'S-Curves'!$A13,'S-Curves'!CI$10)</f>
        <v>0.90000000000000224</v>
      </c>
      <c r="CJ13" s="43" cm="1">
        <f t="array" ref="CJ13">INDEX('Progress%'!$A$1:$CT$37,'S-Curves'!$A13,'S-Curves'!CJ$10)</f>
        <v>0.90000000000000224</v>
      </c>
      <c r="CK13" s="43" cm="1">
        <f t="array" ref="CK13">INDEX('Progress%'!$A$1:$CT$37,'S-Curves'!$A13,'S-Curves'!CK$10)</f>
        <v>0.90000000000000224</v>
      </c>
      <c r="CL13" s="43" cm="1">
        <f t="array" ref="CL13">INDEX('Progress%'!$A$1:$CT$37,'S-Curves'!$A13,'S-Curves'!CL$10)</f>
        <v>0.90000000000000224</v>
      </c>
      <c r="CM13" s="43" cm="1">
        <f t="array" ref="CM13">INDEX('Progress%'!$A$1:$CT$37,'S-Curves'!$A13,'S-Curves'!CM$10)</f>
        <v>0.90000000000000224</v>
      </c>
      <c r="CN13" s="43" cm="1">
        <f t="array" ref="CN13">INDEX('Progress%'!$A$1:$CT$37,'S-Curves'!$A13,'S-Curves'!CN$10)</f>
        <v>0.90000000000000224</v>
      </c>
      <c r="CO13" s="43" cm="1">
        <f t="array" ref="CO13">INDEX('Progress%'!$A$1:$CT$37,'S-Curves'!$A13,'S-Curves'!CO$10)</f>
        <v>0.90000000000000224</v>
      </c>
      <c r="CP13" s="43" cm="1">
        <f t="array" ref="CP13">INDEX('Progress%'!$A$1:$CT$37,'S-Curves'!$A13,'S-Curves'!CP$10)</f>
        <v>0.90000000000000224</v>
      </c>
      <c r="CQ13" s="43" cm="1">
        <f t="array" ref="CQ13">INDEX('Progress%'!$A$1:$CT$37,'S-Curves'!$A13,'S-Curves'!CQ$10)</f>
        <v>0.90000000000000224</v>
      </c>
      <c r="CR13" s="43" cm="1">
        <f t="array" ref="CR13">INDEX('Progress%'!$A$1:$CT$37,'S-Curves'!$A13,'S-Curves'!CR$10)</f>
        <v>0.90000000000000224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0.13353499999999979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0.24807900000000074</v>
      </c>
      <c r="Q14" s="43" cm="1">
        <f t="array" ref="Q14">INDEX('Progress%'!$A$1:$CT$37,'S-Curves'!$A14,'S-Curves'!Q$10)</f>
        <v>0.29147400000000062</v>
      </c>
      <c r="R14" s="43" cm="1">
        <f t="array" ref="R14">INDEX('Progress%'!$A$1:$CT$37,'S-Curves'!$A14,'S-Curves'!R$10)</f>
        <v>0.30147000000000063</v>
      </c>
      <c r="S14" s="43" cm="1">
        <f t="array" ref="S14">INDEX('Progress%'!$A$1:$CT$37,'S-Curves'!$A14,'S-Curves'!S$10)</f>
        <v>0.32594400000000073</v>
      </c>
      <c r="T14" s="43" cm="1">
        <f t="array" ref="T14">INDEX('Progress%'!$A$1:$CT$37,'S-Curves'!$A14,'S-Curves'!T$10)</f>
        <v>0.33982000000000073</v>
      </c>
      <c r="U14" s="43" cm="1">
        <f t="array" ref="U14">INDEX('Progress%'!$A$1:$CT$37,'S-Curves'!$A14,'S-Curves'!U$10)</f>
        <v>0.3695960000000007</v>
      </c>
      <c r="V14" s="43" cm="1">
        <f t="array" ref="V14">INDEX('Progress%'!$A$1:$CT$37,'S-Curves'!$A14,'S-Curves'!V$10)</f>
        <v>0.40104900000000088</v>
      </c>
      <c r="W14" s="43" cm="1">
        <f t="array" ref="W14">INDEX('Progress%'!$A$1:$CT$37,'S-Curves'!$A14,'S-Curves'!W$10)</f>
        <v>0.42438800000000082</v>
      </c>
      <c r="X14" s="43" cm="1">
        <f t="array" ref="X14">INDEX('Progress%'!$A$1:$CT$37,'S-Curves'!$A14,'S-Curves'!X$10)</f>
        <v>0.45514900000000091</v>
      </c>
      <c r="Y14" s="43" cm="1">
        <f t="array" ref="Y14">INDEX('Progress%'!$A$1:$CT$37,'S-Curves'!$A14,'S-Curves'!Y$10)</f>
        <v>0.49811300000000103</v>
      </c>
      <c r="Z14" s="43" cm="1">
        <f t="array" ref="Z14">INDEX('Progress%'!$A$1:$CT$37,'S-Curves'!$A14,'S-Curves'!Z$10)</f>
        <v>0.53614800000000107</v>
      </c>
      <c r="AA14" s="43" cm="1">
        <f t="array" ref="AA14">INDEX('Progress%'!$A$1:$CT$37,'S-Curves'!$A14,'S-Curves'!AA$10)</f>
        <v>0.5664840000000011</v>
      </c>
      <c r="AB14" s="43" cm="1">
        <f t="array" ref="AB14">INDEX('Progress%'!$A$1:$CT$37,'S-Curves'!$A14,'S-Curves'!AB$10)</f>
        <v>0.60186600000000134</v>
      </c>
      <c r="AC14" s="43" cm="1">
        <f t="array" ref="AC14">INDEX('Progress%'!$A$1:$CT$37,'S-Curves'!$A14,'S-Curves'!AC$10)</f>
        <v>0.63857000000000141</v>
      </c>
      <c r="AD14" s="43" cm="1">
        <f t="array" ref="AD14">INDEX('Progress%'!$A$1:$CT$37,'S-Curves'!$A14,'S-Curves'!AD$10)</f>
        <v>0.67024400000000151</v>
      </c>
      <c r="AE14" s="43" cm="1">
        <f t="array" ref="AE14">INDEX('Progress%'!$A$1:$CT$37,'S-Curves'!$A14,'S-Curves'!AE$10)</f>
        <v>0.70177000000000145</v>
      </c>
      <c r="AF14" s="43" cm="1">
        <f t="array" ref="AF14">INDEX('Progress%'!$A$1:$CT$37,'S-Curves'!$A14,'S-Curves'!AF$10)</f>
        <v>0.72381000000000162</v>
      </c>
      <c r="AG14" s="43" cm="1">
        <f t="array" ref="AG14">INDEX('Progress%'!$A$1:$CT$37,'S-Curves'!$A14,'S-Curves'!AG$10)</f>
        <v>0.74455100000000163</v>
      </c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7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2.4765000000000176E-2</v>
      </c>
      <c r="Q15" s="49">
        <f t="shared" si="0"/>
        <v>2.5505E-2</v>
      </c>
      <c r="R15" s="49">
        <f t="shared" si="0"/>
        <v>2.7574999999999877E-2</v>
      </c>
      <c r="S15" s="49">
        <f t="shared" si="0"/>
        <v>3.3313000000000037E-2</v>
      </c>
      <c r="T15" s="49">
        <f t="shared" si="0"/>
        <v>3.1791000000000236E-2</v>
      </c>
      <c r="U15" s="49">
        <f t="shared" si="0"/>
        <v>3.1552000000000024E-2</v>
      </c>
      <c r="V15" s="49">
        <f t="shared" si="0"/>
        <v>3.0911000000000133E-2</v>
      </c>
      <c r="W15" s="49">
        <f t="shared" si="0"/>
        <v>3.6002000000000089E-2</v>
      </c>
      <c r="X15" s="49">
        <f t="shared" si="0"/>
        <v>3.7800000000000056E-2</v>
      </c>
      <c r="Y15" s="49">
        <f t="shared" si="0"/>
        <v>3.746600000000011E-2</v>
      </c>
      <c r="Z15" s="49">
        <f t="shared" si="0"/>
        <v>3.7099000000000104E-2</v>
      </c>
      <c r="AA15" s="49">
        <f t="shared" si="0"/>
        <v>2.9246000000000216E-2</v>
      </c>
      <c r="AB15" s="49">
        <f t="shared" si="0"/>
        <v>3.423200000000004E-2</v>
      </c>
      <c r="AC15" s="49">
        <f t="shared" si="0"/>
        <v>3.178700000000001E-2</v>
      </c>
      <c r="AD15" s="49">
        <f t="shared" si="0"/>
        <v>3.1512000000000207E-2</v>
      </c>
      <c r="AE15" s="49">
        <f t="shared" si="0"/>
        <v>2.6710000000000123E-2</v>
      </c>
      <c r="AF15" s="49">
        <f t="shared" si="0"/>
        <v>2.3362999999999912E-2</v>
      </c>
      <c r="AG15" s="49">
        <f t="shared" si="0"/>
        <v>2.2625000000000228E-2</v>
      </c>
      <c r="AH15" s="49">
        <f t="shared" si="0"/>
        <v>3.0496000000000079E-2</v>
      </c>
      <c r="AI15" s="49">
        <f t="shared" si="0"/>
        <v>1.3657999999999948E-2</v>
      </c>
      <c r="AJ15" s="49">
        <f t="shared" si="0"/>
        <v>2.2575000000000012E-2</v>
      </c>
      <c r="AK15" s="49">
        <f t="shared" ref="AK15:BQ16" si="1">AK12-AJ12</f>
        <v>1.6365000000000074E-2</v>
      </c>
      <c r="AL15" s="49">
        <f t="shared" si="1"/>
        <v>1.6841000000000106E-2</v>
      </c>
      <c r="AM15" s="49">
        <f t="shared" si="1"/>
        <v>1.1638000000000037E-2</v>
      </c>
      <c r="AN15" s="49">
        <f t="shared" si="1"/>
        <v>1.5353000000000061E-2</v>
      </c>
      <c r="AO15" s="49">
        <f t="shared" si="1"/>
        <v>9.6640000000001169E-3</v>
      </c>
      <c r="AP15" s="49">
        <f t="shared" si="1"/>
        <v>1.1102999999999974E-2</v>
      </c>
      <c r="AQ15" s="49">
        <f t="shared" si="1"/>
        <v>5.2690000000000792E-3</v>
      </c>
      <c r="AR15" s="49">
        <f t="shared" si="1"/>
        <v>7.6340000000000297E-3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5.0000000000016698E-4</v>
      </c>
      <c r="AX15" s="49">
        <f t="shared" si="1"/>
        <v>2.3999999999999577E-3</v>
      </c>
      <c r="AY15" s="49">
        <f t="shared" si="1"/>
        <v>1.9999999999998908E-3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D17" si="12">O13-N13</f>
        <v>2.2680000000000006E-2</v>
      </c>
      <c r="P16" s="49">
        <f t="shared" si="12"/>
        <v>2.4765000000000176E-2</v>
      </c>
      <c r="Q16" s="49">
        <f t="shared" si="12"/>
        <v>2.5505E-2</v>
      </c>
      <c r="R16" s="49">
        <f t="shared" si="12"/>
        <v>2.7574999999999877E-2</v>
      </c>
      <c r="S16" s="49">
        <f t="shared" si="12"/>
        <v>3.3313000000000037E-2</v>
      </c>
      <c r="T16" s="49">
        <f t="shared" si="12"/>
        <v>3.1791000000000236E-2</v>
      </c>
      <c r="U16" s="49">
        <f t="shared" si="12"/>
        <v>3.1552000000000024E-2</v>
      </c>
      <c r="V16" s="49">
        <f t="shared" si="12"/>
        <v>3.0911000000000133E-2</v>
      </c>
      <c r="W16" s="49">
        <f t="shared" si="12"/>
        <v>3.6002000000000089E-2</v>
      </c>
      <c r="X16" s="49">
        <f t="shared" si="12"/>
        <v>3.7800000000000056E-2</v>
      </c>
      <c r="Y16" s="49">
        <f t="shared" si="12"/>
        <v>3.746600000000011E-2</v>
      </c>
      <c r="Z16" s="49">
        <f t="shared" si="0"/>
        <v>3.7099000000000104E-2</v>
      </c>
      <c r="AA16" s="49">
        <f t="shared" si="0"/>
        <v>2.9246000000000216E-2</v>
      </c>
      <c r="AB16" s="49">
        <f t="shared" si="0"/>
        <v>3.423200000000004E-2</v>
      </c>
      <c r="AC16" s="49">
        <f t="shared" si="0"/>
        <v>3.178700000000001E-2</v>
      </c>
      <c r="AD16" s="49">
        <f t="shared" si="0"/>
        <v>3.1512000000000207E-2</v>
      </c>
      <c r="AE16" s="49">
        <f t="shared" si="0"/>
        <v>2.6710000000000123E-2</v>
      </c>
      <c r="AF16" s="49">
        <f t="shared" si="0"/>
        <v>2.3362999999999912E-2</v>
      </c>
      <c r="AG16" s="49">
        <f t="shared" si="0"/>
        <v>2.2625000000000228E-2</v>
      </c>
      <c r="AH16" s="49">
        <f t="shared" si="0"/>
        <v>3.0496000000000079E-2</v>
      </c>
      <c r="AI16" s="49">
        <f t="shared" si="0"/>
        <v>1.3657999999999948E-2</v>
      </c>
      <c r="AJ16" s="49">
        <f t="shared" si="0"/>
        <v>2.2575000000000012E-2</v>
      </c>
      <c r="AK16" s="49">
        <f t="shared" si="1"/>
        <v>1.6365000000000074E-2</v>
      </c>
      <c r="AL16" s="49">
        <f t="shared" si="1"/>
        <v>1.6841000000000106E-2</v>
      </c>
      <c r="AM16" s="49">
        <f t="shared" si="1"/>
        <v>1.1638000000000037E-2</v>
      </c>
      <c r="AN16" s="49">
        <f t="shared" si="1"/>
        <v>1.5353000000000061E-2</v>
      </c>
      <c r="AO16" s="49">
        <f t="shared" si="1"/>
        <v>9.6640000000001169E-3</v>
      </c>
      <c r="AP16" s="49">
        <f t="shared" si="1"/>
        <v>1.1102999999999974E-2</v>
      </c>
      <c r="AQ16" s="49">
        <f t="shared" si="1"/>
        <v>5.2690000000000792E-3</v>
      </c>
      <c r="AR16" s="49">
        <f t="shared" si="1"/>
        <v>7.6340000000000297E-3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5.0000000000016698E-4</v>
      </c>
      <c r="AX16" s="49">
        <f t="shared" si="1"/>
        <v>2.3999999999999577E-3</v>
      </c>
      <c r="AY16" s="49">
        <f t="shared" si="1"/>
        <v>1.9999999999998908E-3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2.1614999999999926E-2</v>
      </c>
      <c r="L17" s="48">
        <f t="shared" si="8"/>
        <v>1.3860000000000039E-2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1.7934000000000144E-2</v>
      </c>
      <c r="Q17" s="48">
        <f t="shared" si="12"/>
        <v>4.3394999999999878E-2</v>
      </c>
      <c r="R17" s="48">
        <f t="shared" si="12"/>
        <v>9.9960000000000049E-3</v>
      </c>
      <c r="S17" s="48">
        <f t="shared" si="12"/>
        <v>2.4474000000000107E-2</v>
      </c>
      <c r="T17" s="48">
        <f t="shared" si="12"/>
        <v>1.3875999999999999E-2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2.3338999999999943E-2</v>
      </c>
      <c r="X17" s="48">
        <f t="shared" si="12"/>
        <v>3.0761000000000094E-2</v>
      </c>
      <c r="Y17" s="48">
        <f t="shared" si="12"/>
        <v>4.2964000000000113E-2</v>
      </c>
      <c r="Z17" s="48">
        <f t="shared" si="12"/>
        <v>3.8035000000000041E-2</v>
      </c>
      <c r="AA17" s="48">
        <f t="shared" si="12"/>
        <v>3.033600000000003E-2</v>
      </c>
      <c r="AB17" s="48">
        <f t="shared" si="12"/>
        <v>3.5382000000000247E-2</v>
      </c>
      <c r="AC17" s="48">
        <f t="shared" si="12"/>
        <v>3.670400000000007E-2</v>
      </c>
      <c r="AD17" s="48">
        <f t="shared" si="12"/>
        <v>3.1674000000000091E-2</v>
      </c>
      <c r="AE17" s="48">
        <f t="shared" si="0"/>
        <v>3.1525999999999943E-2</v>
      </c>
      <c r="AF17" s="48">
        <f t="shared" si="0"/>
        <v>2.2040000000000171E-2</v>
      </c>
      <c r="AG17" s="48">
        <f t="shared" si="0"/>
        <v>2.0741000000000009E-2</v>
      </c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4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717"/>
  <sheetViews>
    <sheetView topLeftCell="A185" zoomScaleNormal="100" workbookViewId="0">
      <selection activeCell="V214" sqref="V214"/>
    </sheetView>
  </sheetViews>
  <sheetFormatPr defaultRowHeight="14.5" x14ac:dyDescent="0.35"/>
  <cols>
    <col min="1" max="1" width="6.1796875" customWidth="1"/>
    <col min="2" max="2" width="8.08984375" customWidth="1"/>
    <col min="3" max="3" width="22.1796875" customWidth="1"/>
    <col min="4" max="4" width="43.36328125" customWidth="1"/>
    <col min="5" max="5" width="5.7265625" customWidth="1"/>
    <col min="6" max="6" width="5.81640625" customWidth="1"/>
    <col min="7" max="7" width="5.26953125" customWidth="1"/>
    <col min="8" max="8" width="4.90625" customWidth="1"/>
    <col min="9" max="9" width="5.54296875" customWidth="1"/>
    <col min="10" max="10" width="6.90625" customWidth="1"/>
    <col min="11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2" max="22" width="5.81640625" style="211" customWidth="1"/>
    <col min="24" max="24" width="13.81640625" style="161" customWidth="1"/>
    <col min="25" max="27" width="14.08984375" customWidth="1"/>
  </cols>
  <sheetData>
    <row r="1" spans="1:27" ht="15" thickBot="1" x14ac:dyDescent="0.4">
      <c r="A1" t="s">
        <v>43</v>
      </c>
      <c r="C1" s="21">
        <v>46304</v>
      </c>
    </row>
    <row r="2" spans="1:27" ht="19" thickBot="1" x14ac:dyDescent="0.5">
      <c r="A2" s="26" t="s">
        <v>33</v>
      </c>
      <c r="J2" s="245" t="s">
        <v>7</v>
      </c>
      <c r="K2" s="245"/>
      <c r="L2" s="245"/>
      <c r="M2" s="245" t="s">
        <v>9</v>
      </c>
      <c r="N2" s="245"/>
      <c r="O2" s="245"/>
      <c r="P2" s="245" t="s">
        <v>8</v>
      </c>
      <c r="Q2" s="245"/>
      <c r="R2" s="245"/>
      <c r="S2" s="245" t="s">
        <v>10</v>
      </c>
      <c r="T2" s="245"/>
      <c r="U2" s="245"/>
      <c r="V2" s="209" t="s">
        <v>1232</v>
      </c>
      <c r="X2" s="246" t="s">
        <v>1064</v>
      </c>
      <c r="Y2" s="247"/>
      <c r="Z2" s="247"/>
      <c r="AA2" s="248"/>
    </row>
    <row r="3" spans="1:27" s="70" customFormat="1" ht="24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V3" s="210" t="s">
        <v>1233</v>
      </c>
      <c r="X3" s="162" t="s">
        <v>7</v>
      </c>
      <c r="Y3" s="163" t="s">
        <v>9</v>
      </c>
      <c r="Z3" s="164" t="s">
        <v>8</v>
      </c>
      <c r="AA3" s="165" t="s">
        <v>10</v>
      </c>
    </row>
    <row r="4" spans="1:27" s="70" customFormat="1" ht="11.5" x14ac:dyDescent="0.25">
      <c r="A4" s="71" t="s">
        <v>66</v>
      </c>
      <c r="B4" s="87" t="s">
        <v>34</v>
      </c>
      <c r="C4" s="87" t="s">
        <v>906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36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V4" s="212"/>
      <c r="X4" s="166" t="str">
        <f t="shared" ref="X4:X68" ca="1" si="4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Y4" s="166" t="str">
        <f t="shared" ref="Y4:Y30" ca="1" si="5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Z4" s="166" t="str">
        <f t="shared" ref="Z4:Z30" ca="1" si="6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AA4" s="167" t="str">
        <f t="shared" ref="AA4:AA30" ca="1" si="7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7" s="70" customFormat="1" ht="11.5" x14ac:dyDescent="0.25">
      <c r="A5" s="71" t="s">
        <v>66</v>
      </c>
      <c r="B5" s="87" t="s">
        <v>34</v>
      </c>
      <c r="C5" s="87" t="s">
        <v>907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114" si="8">J5</f>
        <v>46115</v>
      </c>
      <c r="L5" s="85">
        <v>46115</v>
      </c>
      <c r="M5" s="85">
        <f t="shared" ref="M5:M114" si="9">J5+42</f>
        <v>46157</v>
      </c>
      <c r="N5" s="85">
        <f t="shared" ref="N5:N114" si="10">M5</f>
        <v>46157</v>
      </c>
      <c r="O5" s="145">
        <v>46171</v>
      </c>
      <c r="P5" s="85">
        <f t="shared" ref="P5:P114" si="11">M5+42</f>
        <v>46199</v>
      </c>
      <c r="Q5" s="85">
        <f t="shared" ref="Q5:Q114" si="12">P5</f>
        <v>46199</v>
      </c>
      <c r="R5" s="85">
        <v>46199</v>
      </c>
      <c r="S5" s="85">
        <f>P5+14</f>
        <v>46213</v>
      </c>
      <c r="T5" s="85">
        <f t="shared" ref="T5:T114" si="13">S5</f>
        <v>46213</v>
      </c>
      <c r="U5" s="85">
        <v>46204</v>
      </c>
      <c r="V5" s="212"/>
      <c r="X5" s="168" t="str">
        <f t="shared" ca="1" si="4"/>
        <v>Completed</v>
      </c>
      <c r="Y5" s="168" t="str">
        <f t="shared" ca="1" si="5"/>
        <v>Completed</v>
      </c>
      <c r="Z5" s="168" t="str">
        <f t="shared" ca="1" si="6"/>
        <v>Completed</v>
      </c>
      <c r="AA5" s="169" t="str">
        <f t="shared" ca="1" si="7"/>
        <v>Completed</v>
      </c>
    </row>
    <row r="6" spans="1:27" s="70" customFormat="1" ht="11.5" x14ac:dyDescent="0.25">
      <c r="A6" s="71" t="s">
        <v>66</v>
      </c>
      <c r="B6" s="87" t="s">
        <v>34</v>
      </c>
      <c r="C6" s="87" t="s">
        <v>908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8"/>
        <v>46115</v>
      </c>
      <c r="L6" s="85">
        <v>46115</v>
      </c>
      <c r="M6" s="85">
        <f t="shared" si="9"/>
        <v>46157</v>
      </c>
      <c r="N6" s="85">
        <f t="shared" si="10"/>
        <v>46157</v>
      </c>
      <c r="O6" s="145">
        <v>46171</v>
      </c>
      <c r="P6" s="85">
        <f t="shared" si="11"/>
        <v>46199</v>
      </c>
      <c r="Q6" s="85">
        <f t="shared" si="12"/>
        <v>46199</v>
      </c>
      <c r="R6" s="85">
        <v>46219</v>
      </c>
      <c r="S6" s="85">
        <f t="shared" ref="S6:S114" si="14">P6+14</f>
        <v>46213</v>
      </c>
      <c r="T6" s="85">
        <f t="shared" si="13"/>
        <v>46213</v>
      </c>
      <c r="U6" s="85">
        <v>46233</v>
      </c>
      <c r="V6" s="212"/>
      <c r="X6" s="168" t="str">
        <f t="shared" ca="1" si="4"/>
        <v>Completed</v>
      </c>
      <c r="Y6" s="168" t="str">
        <f t="shared" ca="1" si="5"/>
        <v>Completed</v>
      </c>
      <c r="Z6" s="168" t="str">
        <f t="shared" ca="1" si="6"/>
        <v>Completed</v>
      </c>
      <c r="AA6" s="169" t="str">
        <f t="shared" ca="1" si="7"/>
        <v>Completed</v>
      </c>
    </row>
    <row r="7" spans="1:27" s="70" customFormat="1" ht="11.5" x14ac:dyDescent="0.25">
      <c r="A7" s="71" t="s">
        <v>66</v>
      </c>
      <c r="B7" s="87" t="s">
        <v>34</v>
      </c>
      <c r="C7" s="87" t="s">
        <v>909</v>
      </c>
      <c r="D7" s="87" t="s">
        <v>1103</v>
      </c>
      <c r="E7" s="86">
        <f t="shared" si="0"/>
        <v>1</v>
      </c>
      <c r="F7" s="86">
        <f t="shared" si="1"/>
        <v>1</v>
      </c>
      <c r="G7" s="86">
        <f t="shared" si="2"/>
        <v>1</v>
      </c>
      <c r="H7" s="81">
        <f t="shared" si="3"/>
        <v>0</v>
      </c>
      <c r="I7" s="82">
        <v>0.2</v>
      </c>
      <c r="J7" s="85">
        <v>46115</v>
      </c>
      <c r="K7" s="85">
        <f t="shared" si="8"/>
        <v>46115</v>
      </c>
      <c r="L7" s="85">
        <v>46115</v>
      </c>
      <c r="M7" s="85">
        <f t="shared" si="9"/>
        <v>46157</v>
      </c>
      <c r="N7" s="85">
        <f t="shared" si="10"/>
        <v>46157</v>
      </c>
      <c r="O7" s="145">
        <v>46171</v>
      </c>
      <c r="P7" s="85">
        <f t="shared" si="11"/>
        <v>46199</v>
      </c>
      <c r="Q7" s="85">
        <f t="shared" si="12"/>
        <v>46199</v>
      </c>
      <c r="R7" s="85">
        <v>46274</v>
      </c>
      <c r="S7" s="85">
        <f t="shared" si="14"/>
        <v>46213</v>
      </c>
      <c r="T7" s="85">
        <f t="shared" si="13"/>
        <v>46213</v>
      </c>
      <c r="U7" s="85">
        <v>46288</v>
      </c>
      <c r="V7" s="212"/>
      <c r="X7" s="168" t="str">
        <f t="shared" ca="1" si="4"/>
        <v>Completed</v>
      </c>
      <c r="Y7" s="168" t="str">
        <f t="shared" ca="1" si="5"/>
        <v>Completed</v>
      </c>
      <c r="Z7" s="168" t="str">
        <f t="shared" ca="1" si="6"/>
        <v>Completed</v>
      </c>
      <c r="AA7" s="169" t="str">
        <f t="shared" ca="1" si="7"/>
        <v>Completed</v>
      </c>
    </row>
    <row r="8" spans="1:27" s="70" customFormat="1" ht="11.5" x14ac:dyDescent="0.25">
      <c r="A8" s="71" t="s">
        <v>66</v>
      </c>
      <c r="B8" s="87" t="s">
        <v>34</v>
      </c>
      <c r="C8" s="87" t="s">
        <v>910</v>
      </c>
      <c r="D8" s="87" t="s">
        <v>59</v>
      </c>
      <c r="E8" s="86">
        <f t="shared" ref="E8:E114" si="15">(COUNTIFS(J8,"&lt;="&amp;$C$1)*50%)+(COUNTIFS(M8,"&lt;="&amp;$C$1)*20%)+(COUNTIFS(P8,"&lt;="&amp;$C$1)*10%)+(COUNTIFS(S8,"&lt;="&amp;$C$1)*20%)</f>
        <v>1</v>
      </c>
      <c r="F8" s="86">
        <f t="shared" ref="F8:F114" si="16">(COUNTIFS(K8,"&lt;="&amp;$C$1)*50%)+(COUNTIFS(N8,"&lt;="&amp;$C$1)*20%)+(COUNTIFS(Q8,"&lt;="&amp;$C$1)*10%)+(COUNTIFS(T8,"&lt;="&amp;$C$1)*20%)</f>
        <v>1</v>
      </c>
      <c r="G8" s="86">
        <f t="shared" si="2"/>
        <v>1</v>
      </c>
      <c r="H8" s="81">
        <f t="shared" ref="H8:H114" si="17">G8-E8</f>
        <v>0</v>
      </c>
      <c r="I8" s="82">
        <v>0.2</v>
      </c>
      <c r="J8" s="85">
        <v>46115</v>
      </c>
      <c r="K8" s="85">
        <f t="shared" si="8"/>
        <v>46115</v>
      </c>
      <c r="L8" s="85">
        <v>46115</v>
      </c>
      <c r="M8" s="85">
        <f t="shared" si="9"/>
        <v>46157</v>
      </c>
      <c r="N8" s="85">
        <f t="shared" si="10"/>
        <v>46157</v>
      </c>
      <c r="O8" s="85">
        <v>46199</v>
      </c>
      <c r="P8" s="85">
        <f t="shared" si="11"/>
        <v>46199</v>
      </c>
      <c r="Q8" s="85">
        <f t="shared" si="12"/>
        <v>46199</v>
      </c>
      <c r="R8" s="85">
        <v>46205</v>
      </c>
      <c r="S8" s="85">
        <f t="shared" si="14"/>
        <v>46213</v>
      </c>
      <c r="T8" s="85">
        <f t="shared" si="13"/>
        <v>46213</v>
      </c>
      <c r="U8" s="85">
        <v>46213</v>
      </c>
      <c r="V8" s="212"/>
      <c r="X8" s="168" t="str">
        <f t="shared" ca="1" si="4"/>
        <v>Completed</v>
      </c>
      <c r="Y8" s="168" t="str">
        <f t="shared" ca="1" si="5"/>
        <v>Completed</v>
      </c>
      <c r="Z8" s="168" t="str">
        <f t="shared" ca="1" si="6"/>
        <v>Completed</v>
      </c>
      <c r="AA8" s="169" t="str">
        <f t="shared" ca="1" si="7"/>
        <v>Completed</v>
      </c>
    </row>
    <row r="9" spans="1:27" s="70" customFormat="1" ht="11.5" x14ac:dyDescent="0.25">
      <c r="A9" s="173" t="s">
        <v>66</v>
      </c>
      <c r="B9" s="157" t="s">
        <v>34</v>
      </c>
      <c r="C9" s="157" t="s">
        <v>74</v>
      </c>
      <c r="D9" s="157" t="s">
        <v>1066</v>
      </c>
      <c r="E9" s="158">
        <f t="shared" si="15"/>
        <v>1</v>
      </c>
      <c r="F9" s="158">
        <f t="shared" si="16"/>
        <v>1</v>
      </c>
      <c r="G9" s="158">
        <f t="shared" si="2"/>
        <v>1</v>
      </c>
      <c r="H9" s="152">
        <f t="shared" si="17"/>
        <v>0</v>
      </c>
      <c r="I9" s="153">
        <v>0.25</v>
      </c>
      <c r="J9" s="155">
        <v>46122</v>
      </c>
      <c r="K9" s="155">
        <f t="shared" si="8"/>
        <v>46122</v>
      </c>
      <c r="L9" s="155">
        <v>46142</v>
      </c>
      <c r="M9" s="155">
        <f t="shared" si="9"/>
        <v>46164</v>
      </c>
      <c r="N9" s="155">
        <f t="shared" si="10"/>
        <v>46164</v>
      </c>
      <c r="O9" s="155">
        <v>46206</v>
      </c>
      <c r="P9" s="155">
        <f t="shared" si="11"/>
        <v>46206</v>
      </c>
      <c r="Q9" s="155">
        <f t="shared" si="12"/>
        <v>46206</v>
      </c>
      <c r="R9" s="155">
        <v>46227</v>
      </c>
      <c r="S9" s="155">
        <f t="shared" si="14"/>
        <v>46220</v>
      </c>
      <c r="T9" s="155">
        <f t="shared" si="13"/>
        <v>46220</v>
      </c>
      <c r="U9" s="155">
        <v>46227</v>
      </c>
      <c r="V9" s="213"/>
      <c r="X9" s="168" t="str">
        <f t="shared" ca="1" si="4"/>
        <v>Completed</v>
      </c>
      <c r="Y9" s="168" t="str">
        <f t="shared" ca="1" si="5"/>
        <v>Completed</v>
      </c>
      <c r="Z9" s="168" t="str">
        <f t="shared" ca="1" si="6"/>
        <v>Completed</v>
      </c>
      <c r="AA9" s="169" t="str">
        <f t="shared" ca="1" si="7"/>
        <v>Completed</v>
      </c>
    </row>
    <row r="10" spans="1:27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1067</v>
      </c>
      <c r="E10" s="93">
        <f t="shared" ref="E10" si="18">(COUNTIFS(J10,"&lt;="&amp;$C$1)*50%)+(COUNTIFS(M10,"&lt;="&amp;$C$1)*20%)+(COUNTIFS(P10,"&lt;="&amp;$C$1)*10%)+(COUNTIFS(S10,"&lt;="&amp;$C$1)*20%)</f>
        <v>1</v>
      </c>
      <c r="F10" s="93">
        <f t="shared" ref="F10" si="19">(COUNTIFS(K10,"&lt;="&amp;$C$1)*50%)+(COUNTIFS(N10,"&lt;="&amp;$C$1)*20%)+(COUNTIFS(Q10,"&lt;="&amp;$C$1)*10%)+(COUNTIFS(T10,"&lt;="&amp;$C$1)*20%)</f>
        <v>1</v>
      </c>
      <c r="G10" s="93">
        <f t="shared" si="2"/>
        <v>0.79999999999999993</v>
      </c>
      <c r="H10" s="94">
        <f t="shared" ref="H10" si="20">G10-E10</f>
        <v>-0.20000000000000007</v>
      </c>
      <c r="I10" s="95">
        <v>0.25</v>
      </c>
      <c r="J10" s="89">
        <v>46122</v>
      </c>
      <c r="K10" s="89">
        <f t="shared" ref="K10" si="21">J10</f>
        <v>46122</v>
      </c>
      <c r="L10" s="89">
        <v>46142</v>
      </c>
      <c r="M10" s="89">
        <f t="shared" ref="M10" si="22">J10+42</f>
        <v>46164</v>
      </c>
      <c r="N10" s="89">
        <f t="shared" ref="N10" si="23">M10</f>
        <v>46164</v>
      </c>
      <c r="O10" s="89">
        <v>46206</v>
      </c>
      <c r="P10" s="89">
        <v>46249</v>
      </c>
      <c r="Q10" s="89">
        <f t="shared" ref="Q10" si="24">P10</f>
        <v>46249</v>
      </c>
      <c r="R10" s="89">
        <v>46290</v>
      </c>
      <c r="S10" s="89">
        <f t="shared" ref="S10" si="25">P10+14</f>
        <v>46263</v>
      </c>
      <c r="T10" s="89">
        <f t="shared" ref="T10" si="26">S10</f>
        <v>46263</v>
      </c>
      <c r="U10" s="89"/>
      <c r="V10" s="214"/>
      <c r="X10" s="168" t="str">
        <f t="shared" ca="1" si="4"/>
        <v>Completed</v>
      </c>
      <c r="Y10" s="168" t="str">
        <f t="shared" ca="1" si="5"/>
        <v>Completed</v>
      </c>
      <c r="Z10" s="168" t="str">
        <f t="shared" ca="1" si="6"/>
        <v>Completed</v>
      </c>
      <c r="AA10" s="169" t="str">
        <f t="shared" ca="1" si="7"/>
        <v>Overdue</v>
      </c>
    </row>
    <row r="11" spans="1:27" s="70" customFormat="1" ht="10.5" customHeight="1" x14ac:dyDescent="0.25">
      <c r="A11" s="173" t="s">
        <v>66</v>
      </c>
      <c r="B11" s="157" t="s">
        <v>34</v>
      </c>
      <c r="C11" s="157" t="s">
        <v>75</v>
      </c>
      <c r="D11" s="157" t="s">
        <v>1068</v>
      </c>
      <c r="E11" s="158">
        <f t="shared" si="15"/>
        <v>1</v>
      </c>
      <c r="F11" s="158">
        <f t="shared" si="16"/>
        <v>1</v>
      </c>
      <c r="G11" s="158">
        <f t="shared" si="2"/>
        <v>1</v>
      </c>
      <c r="H11" s="152">
        <f t="shared" si="17"/>
        <v>0</v>
      </c>
      <c r="I11" s="153">
        <v>0.25</v>
      </c>
      <c r="J11" s="155">
        <v>46136</v>
      </c>
      <c r="K11" s="155">
        <f t="shared" si="8"/>
        <v>46136</v>
      </c>
      <c r="L11" s="155">
        <v>46164</v>
      </c>
      <c r="M11" s="155">
        <f t="shared" si="9"/>
        <v>46178</v>
      </c>
      <c r="N11" s="155">
        <f t="shared" si="10"/>
        <v>46178</v>
      </c>
      <c r="O11" s="155">
        <v>46206</v>
      </c>
      <c r="P11" s="155">
        <f t="shared" si="11"/>
        <v>46220</v>
      </c>
      <c r="Q11" s="155">
        <f t="shared" si="12"/>
        <v>46220</v>
      </c>
      <c r="R11" s="155">
        <v>46227</v>
      </c>
      <c r="S11" s="155">
        <f t="shared" si="14"/>
        <v>46234</v>
      </c>
      <c r="T11" s="155">
        <f t="shared" si="13"/>
        <v>46234</v>
      </c>
      <c r="U11" s="155">
        <v>46227</v>
      </c>
      <c r="V11" s="213"/>
      <c r="X11" s="168" t="str">
        <f t="shared" ca="1" si="4"/>
        <v>Completed</v>
      </c>
      <c r="Y11" s="168" t="str">
        <f t="shared" ca="1" si="5"/>
        <v>Completed</v>
      </c>
      <c r="Z11" s="168" t="str">
        <f t="shared" ca="1" si="6"/>
        <v>Completed</v>
      </c>
      <c r="AA11" s="169" t="str">
        <f t="shared" ca="1" si="7"/>
        <v>Completed</v>
      </c>
    </row>
    <row r="12" spans="1:27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1069</v>
      </c>
      <c r="E12" s="93">
        <f t="shared" ref="E12" si="27">(COUNTIFS(J12,"&lt;="&amp;$C$1)*50%)+(COUNTIFS(M12,"&lt;="&amp;$C$1)*20%)+(COUNTIFS(P12,"&lt;="&amp;$C$1)*10%)+(COUNTIFS(S12,"&lt;="&amp;$C$1)*20%)</f>
        <v>1</v>
      </c>
      <c r="F12" s="93">
        <f t="shared" ref="F12" si="28">(COUNTIFS(K12,"&lt;="&amp;$C$1)*50%)+(COUNTIFS(N12,"&lt;="&amp;$C$1)*20%)+(COUNTIFS(Q12,"&lt;="&amp;$C$1)*10%)+(COUNTIFS(T12,"&lt;="&amp;$C$1)*20%)</f>
        <v>1</v>
      </c>
      <c r="G12" s="93">
        <f t="shared" si="2"/>
        <v>0.79999999999999993</v>
      </c>
      <c r="H12" s="94">
        <f t="shared" ref="H12" si="29">G12-E12</f>
        <v>-0.20000000000000007</v>
      </c>
      <c r="I12" s="95">
        <v>0.25</v>
      </c>
      <c r="J12" s="89">
        <v>46136</v>
      </c>
      <c r="K12" s="89">
        <f t="shared" ref="K12" si="30">J12</f>
        <v>46136</v>
      </c>
      <c r="L12" s="89">
        <v>46164</v>
      </c>
      <c r="M12" s="89">
        <f t="shared" ref="M12" si="31">J12+42</f>
        <v>46178</v>
      </c>
      <c r="N12" s="89">
        <f t="shared" ref="N12" si="32">M12</f>
        <v>46178</v>
      </c>
      <c r="O12" s="89">
        <v>46206</v>
      </c>
      <c r="P12" s="89">
        <v>46256</v>
      </c>
      <c r="Q12" s="89">
        <f t="shared" ref="Q12" si="33">P12</f>
        <v>46256</v>
      </c>
      <c r="R12" s="89">
        <v>46272</v>
      </c>
      <c r="S12" s="89">
        <f t="shared" ref="S12" si="34">P12+14</f>
        <v>46270</v>
      </c>
      <c r="T12" s="89">
        <f t="shared" ref="T12" si="35">S12</f>
        <v>46270</v>
      </c>
      <c r="U12" s="89"/>
      <c r="V12" s="214" t="s">
        <v>1231</v>
      </c>
      <c r="X12" s="168" t="str">
        <f t="shared" ca="1" si="4"/>
        <v>Completed</v>
      </c>
      <c r="Y12" s="168" t="str">
        <f t="shared" ca="1" si="5"/>
        <v>Completed</v>
      </c>
      <c r="Z12" s="168" t="str">
        <f t="shared" ca="1" si="6"/>
        <v>Completed</v>
      </c>
      <c r="AA12" s="169" t="str">
        <f t="shared" ca="1" si="7"/>
        <v>Overdue</v>
      </c>
    </row>
    <row r="13" spans="1:27" s="70" customFormat="1" ht="11.5" x14ac:dyDescent="0.25">
      <c r="A13" s="173" t="s">
        <v>66</v>
      </c>
      <c r="B13" s="173" t="s">
        <v>34</v>
      </c>
      <c r="C13" s="173" t="s">
        <v>76</v>
      </c>
      <c r="D13" s="173" t="s">
        <v>1070</v>
      </c>
      <c r="E13" s="152">
        <f t="shared" si="15"/>
        <v>1</v>
      </c>
      <c r="F13" s="152">
        <f t="shared" si="16"/>
        <v>1</v>
      </c>
      <c r="G13" s="152">
        <f t="shared" si="2"/>
        <v>1</v>
      </c>
      <c r="H13" s="152">
        <f t="shared" si="17"/>
        <v>0</v>
      </c>
      <c r="I13" s="153">
        <v>0.25</v>
      </c>
      <c r="J13" s="155">
        <v>46143</v>
      </c>
      <c r="K13" s="155">
        <f t="shared" si="8"/>
        <v>46143</v>
      </c>
      <c r="L13" s="174">
        <v>46161</v>
      </c>
      <c r="M13" s="155">
        <f t="shared" si="9"/>
        <v>46185</v>
      </c>
      <c r="N13" s="155">
        <f t="shared" si="10"/>
        <v>46185</v>
      </c>
      <c r="O13" s="155">
        <v>46199</v>
      </c>
      <c r="P13" s="155">
        <f t="shared" si="11"/>
        <v>46227</v>
      </c>
      <c r="Q13" s="155">
        <f t="shared" si="12"/>
        <v>46227</v>
      </c>
      <c r="R13" s="174">
        <v>46227</v>
      </c>
      <c r="S13" s="155">
        <f t="shared" si="14"/>
        <v>46241</v>
      </c>
      <c r="T13" s="155">
        <f t="shared" si="13"/>
        <v>46241</v>
      </c>
      <c r="U13" s="174">
        <v>46227</v>
      </c>
      <c r="V13" s="215"/>
      <c r="X13" s="168" t="str">
        <f t="shared" ca="1" si="4"/>
        <v>Completed</v>
      </c>
      <c r="Y13" s="168" t="str">
        <f t="shared" ca="1" si="5"/>
        <v>Completed</v>
      </c>
      <c r="Z13" s="168" t="str">
        <f t="shared" ca="1" si="6"/>
        <v>Completed</v>
      </c>
      <c r="AA13" s="169" t="str">
        <f t="shared" ca="1" si="7"/>
        <v>Completed</v>
      </c>
    </row>
    <row r="14" spans="1:27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1071</v>
      </c>
      <c r="E14" s="94">
        <f t="shared" ref="E14" si="36">(COUNTIFS(J14,"&lt;="&amp;$C$1)*50%)+(COUNTIFS(M14,"&lt;="&amp;$C$1)*20%)+(COUNTIFS(P14,"&lt;="&amp;$C$1)*10%)+(COUNTIFS(S14,"&lt;="&amp;$C$1)*20%)</f>
        <v>1</v>
      </c>
      <c r="F14" s="94">
        <f t="shared" ref="F14" si="37">(COUNTIFS(K14,"&lt;="&amp;$C$1)*50%)+(COUNTIFS(N14,"&lt;="&amp;$C$1)*20%)+(COUNTIFS(Q14,"&lt;="&amp;$C$1)*10%)+(COUNTIFS(T14,"&lt;="&amp;$C$1)*20%)</f>
        <v>1</v>
      </c>
      <c r="G14" s="94">
        <f t="shared" si="2"/>
        <v>1</v>
      </c>
      <c r="H14" s="94">
        <f t="shared" ref="H14" si="38">G14-E14</f>
        <v>0</v>
      </c>
      <c r="I14" s="95">
        <v>0.25</v>
      </c>
      <c r="J14" s="89">
        <v>46143</v>
      </c>
      <c r="K14" s="89">
        <f t="shared" ref="K14" si="39">J14</f>
        <v>46143</v>
      </c>
      <c r="L14" s="97">
        <v>46161</v>
      </c>
      <c r="M14" s="89">
        <f t="shared" ref="M14" si="40">J14+42</f>
        <v>46185</v>
      </c>
      <c r="N14" s="89">
        <f t="shared" ref="N14" si="41">M14</f>
        <v>46185</v>
      </c>
      <c r="O14" s="89">
        <v>46199</v>
      </c>
      <c r="P14" s="89">
        <v>46249</v>
      </c>
      <c r="Q14" s="89">
        <f t="shared" ref="Q14" si="42">P14</f>
        <v>46249</v>
      </c>
      <c r="R14" s="89">
        <v>46262</v>
      </c>
      <c r="S14" s="89">
        <f t="shared" ref="S14" si="43">P14+14</f>
        <v>46263</v>
      </c>
      <c r="T14" s="89">
        <f t="shared" ref="T14" si="44">S14</f>
        <v>46263</v>
      </c>
      <c r="U14" s="97">
        <v>46283</v>
      </c>
      <c r="V14" s="216"/>
      <c r="X14" s="168" t="str">
        <f t="shared" ca="1" si="4"/>
        <v>Completed</v>
      </c>
      <c r="Y14" s="168" t="str">
        <f t="shared" ca="1" si="5"/>
        <v>Completed</v>
      </c>
      <c r="Z14" s="168" t="str">
        <f t="shared" ca="1" si="6"/>
        <v>Completed</v>
      </c>
      <c r="AA14" s="169" t="str">
        <f t="shared" ca="1" si="7"/>
        <v>Completed</v>
      </c>
    </row>
    <row r="15" spans="1:27" s="70" customFormat="1" ht="11.5" x14ac:dyDescent="0.25">
      <c r="A15" s="173" t="s">
        <v>66</v>
      </c>
      <c r="B15" s="173" t="s">
        <v>34</v>
      </c>
      <c r="C15" s="173" t="s">
        <v>77</v>
      </c>
      <c r="D15" s="173" t="s">
        <v>1095</v>
      </c>
      <c r="E15" s="152">
        <f t="shared" si="15"/>
        <v>1</v>
      </c>
      <c r="F15" s="152">
        <f t="shared" si="16"/>
        <v>1</v>
      </c>
      <c r="G15" s="152">
        <f t="shared" si="2"/>
        <v>1</v>
      </c>
      <c r="H15" s="158">
        <f t="shared" si="17"/>
        <v>0</v>
      </c>
      <c r="I15" s="159">
        <v>0.2</v>
      </c>
      <c r="J15" s="155">
        <v>46150</v>
      </c>
      <c r="K15" s="155">
        <f t="shared" si="8"/>
        <v>46150</v>
      </c>
      <c r="L15" s="155">
        <v>46142</v>
      </c>
      <c r="M15" s="155">
        <f t="shared" si="9"/>
        <v>46192</v>
      </c>
      <c r="N15" s="155">
        <f t="shared" si="10"/>
        <v>46192</v>
      </c>
      <c r="O15" s="155">
        <v>46214</v>
      </c>
      <c r="P15" s="155">
        <f t="shared" si="11"/>
        <v>46234</v>
      </c>
      <c r="Q15" s="155">
        <f t="shared" si="12"/>
        <v>46234</v>
      </c>
      <c r="R15" s="155">
        <v>46255</v>
      </c>
      <c r="S15" s="155">
        <f t="shared" si="14"/>
        <v>46248</v>
      </c>
      <c r="T15" s="155">
        <f t="shared" si="13"/>
        <v>46248</v>
      </c>
      <c r="U15" s="155">
        <v>46255</v>
      </c>
      <c r="V15" s="213"/>
      <c r="X15" s="168" t="str">
        <f t="shared" ca="1" si="4"/>
        <v>Completed</v>
      </c>
      <c r="Y15" s="168" t="str">
        <f t="shared" ca="1" si="5"/>
        <v>Completed</v>
      </c>
      <c r="Z15" s="168" t="str">
        <f t="shared" ca="1" si="6"/>
        <v>Completed</v>
      </c>
      <c r="AA15" s="169" t="str">
        <f t="shared" ca="1" si="7"/>
        <v>Completed</v>
      </c>
    </row>
    <row r="16" spans="1:27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1099</v>
      </c>
      <c r="E16" s="94">
        <f t="shared" ref="E16" si="45">(COUNTIFS(J16,"&lt;="&amp;$C$1)*50%)+(COUNTIFS(M16,"&lt;="&amp;$C$1)*20%)+(COUNTIFS(P16,"&lt;="&amp;$C$1)*10%)+(COUNTIFS(S16,"&lt;="&amp;$C$1)*20%)</f>
        <v>1</v>
      </c>
      <c r="F16" s="94">
        <f t="shared" ref="F16" si="46">(COUNTIFS(K16,"&lt;="&amp;$C$1)*50%)+(COUNTIFS(N16,"&lt;="&amp;$C$1)*20%)+(COUNTIFS(Q16,"&lt;="&amp;$C$1)*10%)+(COUNTIFS(T16,"&lt;="&amp;$C$1)*20%)</f>
        <v>1</v>
      </c>
      <c r="G16" s="94">
        <f t="shared" si="2"/>
        <v>1</v>
      </c>
      <c r="H16" s="93">
        <f t="shared" ref="H16" si="47">G16-E16</f>
        <v>0</v>
      </c>
      <c r="I16" s="129">
        <v>0.3</v>
      </c>
      <c r="J16" s="89">
        <v>46150</v>
      </c>
      <c r="K16" s="89">
        <f t="shared" ref="K16" si="48">J16</f>
        <v>46150</v>
      </c>
      <c r="L16" s="89">
        <v>46142</v>
      </c>
      <c r="M16" s="89">
        <f t="shared" ref="M16" si="49">J16+42</f>
        <v>46192</v>
      </c>
      <c r="N16" s="89">
        <f t="shared" ref="N16" si="50">M16</f>
        <v>46192</v>
      </c>
      <c r="O16" s="89">
        <v>46214</v>
      </c>
      <c r="P16" s="89">
        <f t="shared" ref="P16" si="51">M16+42</f>
        <v>46234</v>
      </c>
      <c r="Q16" s="89">
        <f t="shared" ref="Q16" si="52">P16</f>
        <v>46234</v>
      </c>
      <c r="R16" s="146">
        <v>46269</v>
      </c>
      <c r="S16" s="89">
        <f t="shared" ref="S16" si="53">P16+14</f>
        <v>46248</v>
      </c>
      <c r="T16" s="89">
        <f t="shared" ref="T16" si="54">S16</f>
        <v>46248</v>
      </c>
      <c r="U16" s="89">
        <v>46288</v>
      </c>
      <c r="V16" s="214"/>
      <c r="X16" s="168" t="str">
        <f t="shared" ca="1" si="4"/>
        <v>Completed</v>
      </c>
      <c r="Y16" s="168" t="str">
        <f t="shared" ca="1" si="5"/>
        <v>Completed</v>
      </c>
      <c r="Z16" s="168" t="str">
        <f t="shared" ca="1" si="6"/>
        <v>Completed</v>
      </c>
      <c r="AA16" s="169" t="str">
        <f t="shared" ca="1" si="7"/>
        <v>Completed</v>
      </c>
    </row>
    <row r="17" spans="1:27" s="70" customFormat="1" ht="11.5" x14ac:dyDescent="0.25">
      <c r="A17" s="173" t="s">
        <v>66</v>
      </c>
      <c r="B17" s="173" t="s">
        <v>34</v>
      </c>
      <c r="C17" s="173" t="s">
        <v>78</v>
      </c>
      <c r="D17" s="173" t="s">
        <v>1091</v>
      </c>
      <c r="E17" s="152">
        <f t="shared" si="15"/>
        <v>1</v>
      </c>
      <c r="F17" s="152">
        <f t="shared" si="16"/>
        <v>1</v>
      </c>
      <c r="G17" s="152">
        <f t="shared" si="2"/>
        <v>1</v>
      </c>
      <c r="H17" s="158">
        <f t="shared" si="17"/>
        <v>0</v>
      </c>
      <c r="I17" s="159">
        <v>0.2</v>
      </c>
      <c r="J17" s="155">
        <v>46164</v>
      </c>
      <c r="K17" s="155">
        <f t="shared" si="8"/>
        <v>46164</v>
      </c>
      <c r="L17" s="155">
        <v>46155</v>
      </c>
      <c r="M17" s="155">
        <f t="shared" si="9"/>
        <v>46206</v>
      </c>
      <c r="N17" s="155">
        <f t="shared" si="10"/>
        <v>46206</v>
      </c>
      <c r="O17" s="195">
        <v>46217</v>
      </c>
      <c r="P17" s="155">
        <f t="shared" si="11"/>
        <v>46248</v>
      </c>
      <c r="Q17" s="155">
        <f t="shared" si="12"/>
        <v>46248</v>
      </c>
      <c r="R17" s="155">
        <v>46255</v>
      </c>
      <c r="S17" s="155">
        <f t="shared" si="14"/>
        <v>46262</v>
      </c>
      <c r="T17" s="155">
        <f t="shared" si="13"/>
        <v>46262</v>
      </c>
      <c r="U17" s="155">
        <v>46255</v>
      </c>
      <c r="V17" s="213"/>
      <c r="X17" s="168" t="str">
        <f t="shared" ca="1" si="4"/>
        <v>Completed</v>
      </c>
      <c r="Y17" s="168" t="str">
        <f t="shared" ca="1" si="5"/>
        <v>Completed</v>
      </c>
      <c r="Z17" s="168" t="str">
        <f t="shared" ca="1" si="6"/>
        <v>Completed</v>
      </c>
      <c r="AA17" s="169" t="str">
        <f t="shared" ca="1" si="7"/>
        <v>Completed</v>
      </c>
    </row>
    <row r="18" spans="1:27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1100</v>
      </c>
      <c r="E18" s="94">
        <f t="shared" ref="E18" si="55">(COUNTIFS(J18,"&lt;="&amp;$C$1)*50%)+(COUNTIFS(M18,"&lt;="&amp;$C$1)*20%)+(COUNTIFS(P18,"&lt;="&amp;$C$1)*10%)+(COUNTIFS(S18,"&lt;="&amp;$C$1)*20%)</f>
        <v>1</v>
      </c>
      <c r="F18" s="94">
        <f t="shared" ref="F18" si="56">(COUNTIFS(K18,"&lt;="&amp;$C$1)*50%)+(COUNTIFS(N18,"&lt;="&amp;$C$1)*20%)+(COUNTIFS(Q18,"&lt;="&amp;$C$1)*10%)+(COUNTIFS(T18,"&lt;="&amp;$C$1)*20%)</f>
        <v>1</v>
      </c>
      <c r="G18" s="94">
        <f t="shared" si="2"/>
        <v>1</v>
      </c>
      <c r="H18" s="93">
        <f t="shared" ref="H18" si="57">G18-E18</f>
        <v>0</v>
      </c>
      <c r="I18" s="129">
        <v>0.3</v>
      </c>
      <c r="J18" s="89">
        <v>46164</v>
      </c>
      <c r="K18" s="89">
        <f t="shared" ref="K18" si="58">J18</f>
        <v>46164</v>
      </c>
      <c r="L18" s="89">
        <v>46155</v>
      </c>
      <c r="M18" s="89">
        <f t="shared" ref="M18" si="59">J18+42</f>
        <v>46206</v>
      </c>
      <c r="N18" s="89">
        <f t="shared" ref="N18" si="60">M18</f>
        <v>46206</v>
      </c>
      <c r="O18" s="146">
        <v>46217</v>
      </c>
      <c r="P18" s="89">
        <f t="shared" ref="P18" si="61">M18+42</f>
        <v>46248</v>
      </c>
      <c r="Q18" s="89">
        <f t="shared" ref="Q18" si="62">P18</f>
        <v>46248</v>
      </c>
      <c r="R18" s="146">
        <v>46269</v>
      </c>
      <c r="S18" s="89">
        <f t="shared" ref="S18" si="63">P18+14</f>
        <v>46262</v>
      </c>
      <c r="T18" s="89">
        <f t="shared" ref="T18" si="64">S18</f>
        <v>46262</v>
      </c>
      <c r="U18" s="89">
        <v>46288</v>
      </c>
      <c r="V18" s="214"/>
      <c r="X18" s="168" t="str">
        <f t="shared" ca="1" si="4"/>
        <v>Completed</v>
      </c>
      <c r="Y18" s="168" t="str">
        <f t="shared" ca="1" si="5"/>
        <v>Completed</v>
      </c>
      <c r="Z18" s="168" t="str">
        <f t="shared" ca="1" si="6"/>
        <v>Completed</v>
      </c>
      <c r="AA18" s="169" t="str">
        <f t="shared" ca="1" si="7"/>
        <v>Completed</v>
      </c>
    </row>
    <row r="19" spans="1:27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1</v>
      </c>
      <c r="F19" s="94">
        <f t="shared" si="16"/>
        <v>1</v>
      </c>
      <c r="G19" s="94">
        <f t="shared" si="2"/>
        <v>1</v>
      </c>
      <c r="H19" s="93">
        <f t="shared" si="17"/>
        <v>0</v>
      </c>
      <c r="I19" s="129">
        <v>0.5</v>
      </c>
      <c r="J19" s="89">
        <v>46178</v>
      </c>
      <c r="K19" s="89">
        <f t="shared" si="8"/>
        <v>46178</v>
      </c>
      <c r="L19" s="89">
        <v>46178</v>
      </c>
      <c r="M19" s="89">
        <f t="shared" si="9"/>
        <v>46220</v>
      </c>
      <c r="N19" s="89">
        <f t="shared" si="10"/>
        <v>46220</v>
      </c>
      <c r="O19" s="89">
        <v>46226</v>
      </c>
      <c r="P19" s="89">
        <f t="shared" si="11"/>
        <v>46262</v>
      </c>
      <c r="Q19" s="89">
        <f t="shared" si="12"/>
        <v>46262</v>
      </c>
      <c r="R19" s="89">
        <v>46276</v>
      </c>
      <c r="S19" s="89">
        <f t="shared" si="14"/>
        <v>46276</v>
      </c>
      <c r="T19" s="89">
        <f t="shared" si="13"/>
        <v>46276</v>
      </c>
      <c r="U19" s="89">
        <v>46295</v>
      </c>
      <c r="V19" s="214"/>
      <c r="X19" s="168" t="str">
        <f t="shared" ca="1" si="4"/>
        <v>Completed</v>
      </c>
      <c r="Y19" s="168" t="str">
        <f t="shared" ca="1" si="5"/>
        <v>Completed</v>
      </c>
      <c r="Z19" s="168" t="str">
        <f t="shared" ca="1" si="6"/>
        <v>Completed</v>
      </c>
      <c r="AA19" s="169" t="str">
        <f t="shared" ca="1" si="7"/>
        <v>Completed</v>
      </c>
    </row>
    <row r="20" spans="1:27" s="70" customFormat="1" ht="11.5" x14ac:dyDescent="0.25">
      <c r="A20" s="173" t="s">
        <v>66</v>
      </c>
      <c r="B20" s="173" t="s">
        <v>34</v>
      </c>
      <c r="C20" s="173" t="s">
        <v>81</v>
      </c>
      <c r="D20" s="173" t="s">
        <v>1176</v>
      </c>
      <c r="E20" s="152">
        <f t="shared" si="15"/>
        <v>1</v>
      </c>
      <c r="F20" s="152">
        <f t="shared" si="16"/>
        <v>1</v>
      </c>
      <c r="G20" s="152">
        <f t="shared" si="2"/>
        <v>1</v>
      </c>
      <c r="H20" s="158">
        <f t="shared" si="17"/>
        <v>0</v>
      </c>
      <c r="I20" s="159">
        <v>0.3</v>
      </c>
      <c r="J20" s="155">
        <v>46192</v>
      </c>
      <c r="K20" s="155">
        <f t="shared" si="8"/>
        <v>46192</v>
      </c>
      <c r="L20" s="155">
        <v>46206</v>
      </c>
      <c r="M20" s="155">
        <f t="shared" si="9"/>
        <v>46234</v>
      </c>
      <c r="N20" s="155">
        <f t="shared" si="10"/>
        <v>46234</v>
      </c>
      <c r="O20" s="155">
        <v>46212</v>
      </c>
      <c r="P20" s="155">
        <f t="shared" si="11"/>
        <v>46276</v>
      </c>
      <c r="Q20" s="155">
        <f t="shared" si="12"/>
        <v>46276</v>
      </c>
      <c r="R20" s="155">
        <v>46283</v>
      </c>
      <c r="S20" s="155">
        <f t="shared" si="14"/>
        <v>46290</v>
      </c>
      <c r="T20" s="155">
        <f t="shared" si="13"/>
        <v>46290</v>
      </c>
      <c r="U20" s="155">
        <v>46283</v>
      </c>
      <c r="V20" s="213"/>
      <c r="X20" s="168" t="str">
        <f t="shared" ca="1" si="4"/>
        <v>Completed</v>
      </c>
      <c r="Y20" s="168" t="str">
        <f t="shared" ca="1" si="5"/>
        <v>Completed</v>
      </c>
      <c r="Z20" s="168" t="str">
        <f t="shared" ca="1" si="6"/>
        <v>Completed</v>
      </c>
      <c r="AA20" s="169" t="str">
        <f t="shared" ca="1" si="7"/>
        <v>Completed</v>
      </c>
    </row>
    <row r="21" spans="1:27" s="70" customFormat="1" ht="11.5" x14ac:dyDescent="0.25">
      <c r="A21" s="92" t="s">
        <v>66</v>
      </c>
      <c r="B21" s="92" t="s">
        <v>34</v>
      </c>
      <c r="C21" s="92" t="s">
        <v>81</v>
      </c>
      <c r="D21" s="92" t="s">
        <v>1175</v>
      </c>
      <c r="E21" s="94">
        <f t="shared" ref="E21" si="65">(COUNTIFS(J21,"&lt;="&amp;$C$1)*50%)+(COUNTIFS(M21,"&lt;="&amp;$C$1)*20%)+(COUNTIFS(P21,"&lt;="&amp;$C$1)*10%)+(COUNTIFS(S21,"&lt;="&amp;$C$1)*20%)</f>
        <v>1</v>
      </c>
      <c r="F21" s="94">
        <f t="shared" ref="F21" si="66">(COUNTIFS(K21,"&lt;="&amp;$C$1)*50%)+(COUNTIFS(N21,"&lt;="&amp;$C$1)*20%)+(COUNTIFS(Q21,"&lt;="&amp;$C$1)*10%)+(COUNTIFS(T21,"&lt;="&amp;$C$1)*20%)</f>
        <v>1</v>
      </c>
      <c r="G21" s="94">
        <f t="shared" si="2"/>
        <v>0.79999999999999993</v>
      </c>
      <c r="H21" s="93">
        <f t="shared" ref="H21" si="67">G21-E21</f>
        <v>-0.20000000000000007</v>
      </c>
      <c r="I21" s="129">
        <v>0.2</v>
      </c>
      <c r="J21" s="89">
        <v>46192</v>
      </c>
      <c r="K21" s="89">
        <f t="shared" ref="K21" si="68">J21</f>
        <v>46192</v>
      </c>
      <c r="L21" s="89">
        <v>46206</v>
      </c>
      <c r="M21" s="89">
        <f t="shared" ref="M21" si="69">J21+42</f>
        <v>46234</v>
      </c>
      <c r="N21" s="89">
        <f t="shared" ref="N21" si="70">M21</f>
        <v>46234</v>
      </c>
      <c r="O21" s="89">
        <v>46212</v>
      </c>
      <c r="P21" s="89">
        <f t="shared" ref="P21" si="71">M21+42</f>
        <v>46276</v>
      </c>
      <c r="Q21" s="89">
        <f t="shared" ref="Q21" si="72">P21</f>
        <v>46276</v>
      </c>
      <c r="R21" s="160">
        <v>46300</v>
      </c>
      <c r="S21" s="89">
        <f t="shared" ref="S21" si="73">P21+14</f>
        <v>46290</v>
      </c>
      <c r="T21" s="89">
        <f t="shared" ref="T21" si="74">S21</f>
        <v>46290</v>
      </c>
      <c r="U21" s="89"/>
      <c r="V21" s="214"/>
      <c r="X21" s="168" t="str">
        <f t="shared" ca="1" si="4"/>
        <v>Completed</v>
      </c>
      <c r="Y21" s="168" t="str">
        <f t="shared" ca="1" si="5"/>
        <v>Completed</v>
      </c>
      <c r="Z21" s="168" t="str">
        <f t="shared" ca="1" si="6"/>
        <v>Completed</v>
      </c>
      <c r="AA21" s="169" t="str">
        <f t="shared" ca="1" si="7"/>
        <v>Overdue</v>
      </c>
    </row>
    <row r="22" spans="1:27" s="70" customFormat="1" ht="11.5" x14ac:dyDescent="0.25">
      <c r="A22" s="173" t="s">
        <v>66</v>
      </c>
      <c r="B22" s="173" t="s">
        <v>34</v>
      </c>
      <c r="C22" s="173" t="s">
        <v>82</v>
      </c>
      <c r="D22" s="173" t="s">
        <v>1096</v>
      </c>
      <c r="E22" s="152">
        <f t="shared" si="15"/>
        <v>1</v>
      </c>
      <c r="F22" s="152">
        <f t="shared" si="16"/>
        <v>1</v>
      </c>
      <c r="G22" s="152">
        <f t="shared" si="2"/>
        <v>1</v>
      </c>
      <c r="H22" s="158">
        <f t="shared" si="17"/>
        <v>0</v>
      </c>
      <c r="I22" s="159">
        <v>0.2</v>
      </c>
      <c r="J22" s="155">
        <v>46157</v>
      </c>
      <c r="K22" s="155">
        <f t="shared" si="8"/>
        <v>46157</v>
      </c>
      <c r="L22" s="155">
        <v>46175</v>
      </c>
      <c r="M22" s="155">
        <f t="shared" si="9"/>
        <v>46199</v>
      </c>
      <c r="N22" s="155">
        <f t="shared" si="10"/>
        <v>46199</v>
      </c>
      <c r="O22" s="195">
        <v>46217</v>
      </c>
      <c r="P22" s="155">
        <f t="shared" si="11"/>
        <v>46241</v>
      </c>
      <c r="Q22" s="155">
        <f t="shared" si="12"/>
        <v>46241</v>
      </c>
      <c r="R22" s="155">
        <v>46255</v>
      </c>
      <c r="S22" s="155">
        <f t="shared" si="14"/>
        <v>46255</v>
      </c>
      <c r="T22" s="155">
        <f t="shared" si="13"/>
        <v>46255</v>
      </c>
      <c r="U22" s="155">
        <v>46255</v>
      </c>
      <c r="V22" s="213"/>
      <c r="X22" s="168" t="str">
        <f t="shared" ca="1" si="4"/>
        <v>Completed</v>
      </c>
      <c r="Y22" s="168" t="str">
        <f t="shared" ca="1" si="5"/>
        <v>Completed</v>
      </c>
      <c r="Z22" s="168" t="str">
        <f t="shared" ca="1" si="6"/>
        <v>Completed</v>
      </c>
      <c r="AA22" s="169" t="str">
        <f t="shared" ca="1" si="7"/>
        <v>Completed</v>
      </c>
    </row>
    <row r="23" spans="1:27" s="70" customFormat="1" ht="11.5" x14ac:dyDescent="0.25">
      <c r="A23" s="92" t="s">
        <v>66</v>
      </c>
      <c r="B23" s="92" t="s">
        <v>34</v>
      </c>
      <c r="C23" s="92" t="s">
        <v>82</v>
      </c>
      <c r="D23" s="92" t="s">
        <v>1101</v>
      </c>
      <c r="E23" s="94">
        <f>(COUNTIFS(J23,"&lt;="&amp;$C$1)*50%)+(COUNTIFS(M23,"&lt;="&amp;$C$1)*20%)+(COUNTIFS(P23,"&lt;="&amp;$C$1)*10%)+(COUNTIFS(S23,"&lt;="&amp;$C$1)*20%)</f>
        <v>1</v>
      </c>
      <c r="F23" s="94">
        <f>(COUNTIFS(K23,"&lt;="&amp;$C$1)*50%)+(COUNTIFS(N23,"&lt;="&amp;$C$1)*20%)+(COUNTIFS(Q23,"&lt;="&amp;$C$1)*10%)+(COUNTIFS(T23,"&lt;="&amp;$C$1)*20%)</f>
        <v>1</v>
      </c>
      <c r="G23" s="94">
        <f t="shared" si="2"/>
        <v>0.79999999999999993</v>
      </c>
      <c r="H23" s="93">
        <f>G23-E23</f>
        <v>-0.20000000000000007</v>
      </c>
      <c r="I23" s="129">
        <v>0.3</v>
      </c>
      <c r="J23" s="89">
        <v>46157</v>
      </c>
      <c r="K23" s="89">
        <f>J23</f>
        <v>46157</v>
      </c>
      <c r="L23" s="89">
        <v>46175</v>
      </c>
      <c r="M23" s="89">
        <f>J23+42</f>
        <v>46199</v>
      </c>
      <c r="N23" s="89">
        <f>M23</f>
        <v>46199</v>
      </c>
      <c r="O23" s="146">
        <v>46217</v>
      </c>
      <c r="P23" s="89">
        <f>M23+42</f>
        <v>46241</v>
      </c>
      <c r="Q23" s="89">
        <f>P23</f>
        <v>46241</v>
      </c>
      <c r="R23" s="89">
        <v>46290</v>
      </c>
      <c r="S23" s="89">
        <f>P23+14</f>
        <v>46255</v>
      </c>
      <c r="T23" s="89">
        <f>S23</f>
        <v>46255</v>
      </c>
      <c r="U23" s="89"/>
      <c r="V23" s="214"/>
      <c r="X23" s="168" t="str">
        <f t="shared" ca="1" si="4"/>
        <v>Completed</v>
      </c>
      <c r="Y23" s="168" t="str">
        <f t="shared" ca="1" si="5"/>
        <v>Completed</v>
      </c>
      <c r="Z23" s="168" t="str">
        <f t="shared" ca="1" si="6"/>
        <v>Completed</v>
      </c>
      <c r="AA23" s="169" t="str">
        <f t="shared" ca="1" si="7"/>
        <v>Overdue</v>
      </c>
    </row>
    <row r="24" spans="1:27" s="70" customFormat="1" ht="11.5" x14ac:dyDescent="0.25">
      <c r="A24" s="173" t="s">
        <v>66</v>
      </c>
      <c r="B24" s="173" t="s">
        <v>34</v>
      </c>
      <c r="C24" s="173" t="s">
        <v>83</v>
      </c>
      <c r="D24" s="173" t="s">
        <v>1080</v>
      </c>
      <c r="E24" s="152">
        <f t="shared" si="15"/>
        <v>1</v>
      </c>
      <c r="F24" s="152">
        <f t="shared" si="16"/>
        <v>1</v>
      </c>
      <c r="G24" s="152">
        <f t="shared" si="2"/>
        <v>1</v>
      </c>
      <c r="H24" s="158">
        <f t="shared" si="17"/>
        <v>0</v>
      </c>
      <c r="I24" s="159">
        <v>0.5</v>
      </c>
      <c r="J24" s="155">
        <v>46188</v>
      </c>
      <c r="K24" s="155">
        <f t="shared" si="8"/>
        <v>46188</v>
      </c>
      <c r="L24" s="155">
        <v>46192</v>
      </c>
      <c r="M24" s="155">
        <f t="shared" si="9"/>
        <v>46230</v>
      </c>
      <c r="N24" s="155">
        <f t="shared" si="10"/>
        <v>46230</v>
      </c>
      <c r="O24" s="155">
        <v>46248</v>
      </c>
      <c r="P24" s="155">
        <f t="shared" si="11"/>
        <v>46272</v>
      </c>
      <c r="Q24" s="155">
        <f t="shared" si="12"/>
        <v>46272</v>
      </c>
      <c r="R24" s="155">
        <v>46248</v>
      </c>
      <c r="S24" s="155">
        <f t="shared" si="14"/>
        <v>46286</v>
      </c>
      <c r="T24" s="155">
        <f t="shared" si="13"/>
        <v>46286</v>
      </c>
      <c r="U24" s="155">
        <v>46248</v>
      </c>
      <c r="V24" s="213"/>
      <c r="X24" s="168" t="str">
        <f t="shared" ca="1" si="4"/>
        <v>Completed</v>
      </c>
      <c r="Y24" s="168" t="str">
        <f t="shared" ca="1" si="5"/>
        <v>Completed</v>
      </c>
      <c r="Z24" s="168" t="str">
        <f t="shared" ca="1" si="6"/>
        <v>Completed</v>
      </c>
      <c r="AA24" s="169" t="str">
        <f t="shared" ca="1" si="7"/>
        <v>Completed</v>
      </c>
    </row>
    <row r="25" spans="1:27" s="70" customFormat="1" ht="11.5" x14ac:dyDescent="0.25">
      <c r="A25" s="91" t="s">
        <v>66</v>
      </c>
      <c r="B25" s="91" t="s">
        <v>34</v>
      </c>
      <c r="C25" s="91" t="s">
        <v>83</v>
      </c>
      <c r="D25" s="91" t="s">
        <v>1090</v>
      </c>
      <c r="E25" s="93">
        <f t="shared" ref="E25" si="75">(COUNTIFS(J25,"&lt;="&amp;$C$1)*50%)+(COUNTIFS(M25,"&lt;="&amp;$C$1)*20%)+(COUNTIFS(P25,"&lt;="&amp;$C$1)*10%)+(COUNTIFS(S25,"&lt;="&amp;$C$1)*20%)</f>
        <v>0.79999999999999993</v>
      </c>
      <c r="F25" s="93">
        <f t="shared" ref="F25" si="76">(COUNTIFS(K25,"&lt;="&amp;$C$1)*50%)+(COUNTIFS(N25,"&lt;="&amp;$C$1)*20%)+(COUNTIFS(Q25,"&lt;="&amp;$C$1)*10%)+(COUNTIFS(T25,"&lt;="&amp;$C$1)*20%)</f>
        <v>0.79999999999999993</v>
      </c>
      <c r="G25" s="93">
        <f t="shared" si="2"/>
        <v>0.7</v>
      </c>
      <c r="H25" s="93">
        <f t="shared" ref="H25" si="77">G25-E25</f>
        <v>-9.9999999999999978E-2</v>
      </c>
      <c r="I25" s="129">
        <v>0.25</v>
      </c>
      <c r="J25" s="89">
        <v>46188</v>
      </c>
      <c r="K25" s="89">
        <f t="shared" ref="K25" si="78">J25</f>
        <v>46188</v>
      </c>
      <c r="L25" s="89">
        <v>46192</v>
      </c>
      <c r="M25" s="89">
        <v>46230</v>
      </c>
      <c r="N25" s="89">
        <f t="shared" ref="N25" si="79">M25</f>
        <v>46230</v>
      </c>
      <c r="O25" s="89">
        <v>46288</v>
      </c>
      <c r="P25" s="89">
        <f>M25+63</f>
        <v>46293</v>
      </c>
      <c r="Q25" s="89">
        <f t="shared" ref="Q25" si="80">P25</f>
        <v>46293</v>
      </c>
      <c r="R25" s="89"/>
      <c r="S25" s="89">
        <f t="shared" ref="S25" si="81">P25+14</f>
        <v>46307</v>
      </c>
      <c r="T25" s="89">
        <f t="shared" ref="T25" si="82">S25</f>
        <v>46307</v>
      </c>
      <c r="U25" s="89"/>
      <c r="V25" s="214"/>
      <c r="X25" s="168" t="str">
        <f t="shared" ca="1" si="4"/>
        <v>Completed</v>
      </c>
      <c r="Y25" s="168" t="str">
        <f t="shared" ca="1" si="5"/>
        <v>Completed</v>
      </c>
      <c r="Z25" s="168" t="str">
        <f t="shared" ca="1" si="6"/>
        <v>Overdue</v>
      </c>
      <c r="AA25" s="169" t="str">
        <f t="shared" ca="1" si="7"/>
        <v>Follow-Next Week</v>
      </c>
    </row>
    <row r="26" spans="1:27" s="70" customFormat="1" ht="11.5" x14ac:dyDescent="0.25">
      <c r="A26" s="92" t="s">
        <v>66</v>
      </c>
      <c r="B26" s="92" t="s">
        <v>34</v>
      </c>
      <c r="C26" s="92" t="s">
        <v>84</v>
      </c>
      <c r="D26" s="92" t="s">
        <v>85</v>
      </c>
      <c r="E26" s="94">
        <f t="shared" si="15"/>
        <v>1</v>
      </c>
      <c r="F26" s="94">
        <f t="shared" si="16"/>
        <v>1</v>
      </c>
      <c r="G26" s="94">
        <f t="shared" si="2"/>
        <v>1</v>
      </c>
      <c r="H26" s="93">
        <f t="shared" si="17"/>
        <v>0</v>
      </c>
      <c r="I26" s="129">
        <v>0.5</v>
      </c>
      <c r="J26" s="89">
        <v>46206</v>
      </c>
      <c r="K26" s="89">
        <f t="shared" si="8"/>
        <v>46206</v>
      </c>
      <c r="L26" s="89">
        <v>46211</v>
      </c>
      <c r="M26" s="89">
        <f t="shared" si="9"/>
        <v>46248</v>
      </c>
      <c r="N26" s="89">
        <f t="shared" si="10"/>
        <v>46248</v>
      </c>
      <c r="O26" s="89">
        <v>46223</v>
      </c>
      <c r="P26" s="89">
        <f>M26+42</f>
        <v>46290</v>
      </c>
      <c r="Q26" s="89">
        <f t="shared" si="12"/>
        <v>46290</v>
      </c>
      <c r="R26" s="89">
        <v>46276</v>
      </c>
      <c r="S26" s="89">
        <f t="shared" si="14"/>
        <v>46304</v>
      </c>
      <c r="T26" s="89">
        <f t="shared" si="13"/>
        <v>46304</v>
      </c>
      <c r="U26" s="89">
        <v>46293</v>
      </c>
      <c r="V26" s="214"/>
      <c r="X26" s="168" t="str">
        <f t="shared" ca="1" si="4"/>
        <v>Completed</v>
      </c>
      <c r="Y26" s="168" t="str">
        <f t="shared" ca="1" si="5"/>
        <v>Completed</v>
      </c>
      <c r="Z26" s="168" t="str">
        <f t="shared" ca="1" si="6"/>
        <v>Completed</v>
      </c>
      <c r="AA26" s="169" t="str">
        <f t="shared" ca="1" si="7"/>
        <v>Completed</v>
      </c>
    </row>
    <row r="27" spans="1:27" s="70" customFormat="1" ht="11.5" x14ac:dyDescent="0.25">
      <c r="A27" s="173" t="s">
        <v>66</v>
      </c>
      <c r="B27" s="173" t="s">
        <v>34</v>
      </c>
      <c r="C27" s="173" t="s">
        <v>86</v>
      </c>
      <c r="D27" s="173" t="s">
        <v>1081</v>
      </c>
      <c r="E27" s="152">
        <f t="shared" si="15"/>
        <v>1</v>
      </c>
      <c r="F27" s="152">
        <f t="shared" si="16"/>
        <v>1</v>
      </c>
      <c r="G27" s="152">
        <f t="shared" si="2"/>
        <v>1</v>
      </c>
      <c r="H27" s="152">
        <f t="shared" si="17"/>
        <v>0</v>
      </c>
      <c r="I27" s="153">
        <v>0.25</v>
      </c>
      <c r="J27" s="155">
        <v>46150</v>
      </c>
      <c r="K27" s="155">
        <f t="shared" si="8"/>
        <v>46150</v>
      </c>
      <c r="L27" s="155">
        <v>46206</v>
      </c>
      <c r="M27" s="155">
        <f t="shared" si="9"/>
        <v>46192</v>
      </c>
      <c r="N27" s="155">
        <f t="shared" si="10"/>
        <v>46192</v>
      </c>
      <c r="O27" s="155">
        <v>46212</v>
      </c>
      <c r="P27" s="155">
        <f t="shared" si="11"/>
        <v>46234</v>
      </c>
      <c r="Q27" s="155">
        <f t="shared" si="12"/>
        <v>46234</v>
      </c>
      <c r="R27" s="155">
        <v>46248</v>
      </c>
      <c r="S27" s="155">
        <f t="shared" si="14"/>
        <v>46248</v>
      </c>
      <c r="T27" s="155">
        <f t="shared" si="13"/>
        <v>46248</v>
      </c>
      <c r="U27" s="155">
        <v>46248</v>
      </c>
      <c r="V27" s="213"/>
      <c r="X27" s="168" t="str">
        <f t="shared" ca="1" si="4"/>
        <v>Completed</v>
      </c>
      <c r="Y27" s="168" t="str">
        <f t="shared" ca="1" si="5"/>
        <v>Completed</v>
      </c>
      <c r="Z27" s="168" t="str">
        <f t="shared" ca="1" si="6"/>
        <v>Completed</v>
      </c>
      <c r="AA27" s="169" t="str">
        <f t="shared" ca="1" si="7"/>
        <v>Completed</v>
      </c>
    </row>
    <row r="28" spans="1:27" s="70" customFormat="1" ht="11.5" x14ac:dyDescent="0.25">
      <c r="A28" s="92" t="s">
        <v>66</v>
      </c>
      <c r="B28" s="92" t="s">
        <v>34</v>
      </c>
      <c r="C28" s="92" t="s">
        <v>86</v>
      </c>
      <c r="D28" s="92" t="s">
        <v>1082</v>
      </c>
      <c r="E28" s="94">
        <f t="shared" ref="E28" si="83">(COUNTIFS(J28,"&lt;="&amp;$C$1)*50%)+(COUNTIFS(M28,"&lt;="&amp;$C$1)*20%)+(COUNTIFS(P28,"&lt;="&amp;$C$1)*10%)+(COUNTIFS(S28,"&lt;="&amp;$C$1)*20%)</f>
        <v>1</v>
      </c>
      <c r="F28" s="94">
        <f t="shared" ref="F28" si="84">(COUNTIFS(K28,"&lt;="&amp;$C$1)*50%)+(COUNTIFS(N28,"&lt;="&amp;$C$1)*20%)+(COUNTIFS(Q28,"&lt;="&amp;$C$1)*10%)+(COUNTIFS(T28,"&lt;="&amp;$C$1)*20%)</f>
        <v>1</v>
      </c>
      <c r="G28" s="94">
        <f t="shared" si="2"/>
        <v>0.79999999999999993</v>
      </c>
      <c r="H28" s="94">
        <f t="shared" ref="H28" si="85">G28-E28</f>
        <v>-0.20000000000000007</v>
      </c>
      <c r="I28" s="95">
        <v>0.25</v>
      </c>
      <c r="J28" s="89">
        <v>46150</v>
      </c>
      <c r="K28" s="89">
        <f t="shared" ref="K28" si="86">J28</f>
        <v>46150</v>
      </c>
      <c r="L28" s="89">
        <v>46206</v>
      </c>
      <c r="M28" s="89">
        <f t="shared" ref="M28" si="87">J28+42</f>
        <v>46192</v>
      </c>
      <c r="N28" s="89">
        <f t="shared" ref="N28" si="88">M28</f>
        <v>46192</v>
      </c>
      <c r="O28" s="89">
        <v>46212</v>
      </c>
      <c r="P28" s="89">
        <v>46265</v>
      </c>
      <c r="Q28" s="89">
        <f t="shared" ref="Q28" si="89">P28</f>
        <v>46265</v>
      </c>
      <c r="R28" s="89">
        <v>46293</v>
      </c>
      <c r="S28" s="89">
        <f t="shared" ref="S28" si="90">P28+14</f>
        <v>46279</v>
      </c>
      <c r="T28" s="89">
        <f t="shared" ref="T28" si="91">S28</f>
        <v>46279</v>
      </c>
      <c r="U28" s="89"/>
      <c r="V28" s="214"/>
      <c r="X28" s="168" t="str">
        <f t="shared" ca="1" si="4"/>
        <v>Completed</v>
      </c>
      <c r="Y28" s="168" t="str">
        <f t="shared" ca="1" si="5"/>
        <v>Completed</v>
      </c>
      <c r="Z28" s="168" t="str">
        <f t="shared" ca="1" si="6"/>
        <v>Completed</v>
      </c>
      <c r="AA28" s="169" t="str">
        <f t="shared" ca="1" si="7"/>
        <v>Overdue</v>
      </c>
    </row>
    <row r="29" spans="1:27" s="70" customFormat="1" ht="11.5" x14ac:dyDescent="0.25">
      <c r="A29" s="173" t="s">
        <v>66</v>
      </c>
      <c r="B29" s="173" t="s">
        <v>34</v>
      </c>
      <c r="C29" s="173" t="s">
        <v>87</v>
      </c>
      <c r="D29" s="173" t="s">
        <v>1083</v>
      </c>
      <c r="E29" s="152">
        <f t="shared" si="15"/>
        <v>1</v>
      </c>
      <c r="F29" s="152">
        <f t="shared" si="16"/>
        <v>1</v>
      </c>
      <c r="G29" s="152">
        <f t="shared" si="2"/>
        <v>1</v>
      </c>
      <c r="H29" s="152">
        <f t="shared" si="17"/>
        <v>0</v>
      </c>
      <c r="I29" s="153">
        <v>0.25</v>
      </c>
      <c r="J29" s="155">
        <v>46157</v>
      </c>
      <c r="K29" s="155">
        <f t="shared" si="8"/>
        <v>46157</v>
      </c>
      <c r="L29" s="174">
        <v>46161</v>
      </c>
      <c r="M29" s="155">
        <f t="shared" si="9"/>
        <v>46199</v>
      </c>
      <c r="N29" s="155">
        <f t="shared" si="10"/>
        <v>46199</v>
      </c>
      <c r="O29" s="195">
        <v>46218</v>
      </c>
      <c r="P29" s="155">
        <f t="shared" si="11"/>
        <v>46241</v>
      </c>
      <c r="Q29" s="155">
        <f t="shared" si="12"/>
        <v>46241</v>
      </c>
      <c r="R29" s="155">
        <v>46248</v>
      </c>
      <c r="S29" s="155">
        <f t="shared" si="14"/>
        <v>46255</v>
      </c>
      <c r="T29" s="155">
        <f t="shared" si="13"/>
        <v>46255</v>
      </c>
      <c r="U29" s="155">
        <v>46248</v>
      </c>
      <c r="V29" s="213"/>
      <c r="X29" s="168" t="str">
        <f t="shared" ca="1" si="4"/>
        <v>Completed</v>
      </c>
      <c r="Y29" s="168" t="str">
        <f t="shared" ca="1" si="5"/>
        <v>Completed</v>
      </c>
      <c r="Z29" s="168" t="str">
        <f t="shared" ca="1" si="6"/>
        <v>Completed</v>
      </c>
      <c r="AA29" s="169" t="str">
        <f t="shared" ca="1" si="7"/>
        <v>Completed</v>
      </c>
    </row>
    <row r="30" spans="1:27" s="70" customFormat="1" ht="11.5" x14ac:dyDescent="0.25">
      <c r="A30" s="92" t="s">
        <v>66</v>
      </c>
      <c r="B30" s="92" t="s">
        <v>34</v>
      </c>
      <c r="C30" s="92" t="s">
        <v>87</v>
      </c>
      <c r="D30" s="92" t="s">
        <v>1084</v>
      </c>
      <c r="E30" s="94">
        <f t="shared" ref="E30" si="92">(COUNTIFS(J30,"&lt;="&amp;$C$1)*50%)+(COUNTIFS(M30,"&lt;="&amp;$C$1)*20%)+(COUNTIFS(P30,"&lt;="&amp;$C$1)*10%)+(COUNTIFS(S30,"&lt;="&amp;$C$1)*20%)</f>
        <v>1</v>
      </c>
      <c r="F30" s="94">
        <f t="shared" ref="F30" si="93">(COUNTIFS(K30,"&lt;="&amp;$C$1)*50%)+(COUNTIFS(N30,"&lt;="&amp;$C$1)*20%)+(COUNTIFS(Q30,"&lt;="&amp;$C$1)*10%)+(COUNTIFS(T30,"&lt;="&amp;$C$1)*20%)</f>
        <v>1</v>
      </c>
      <c r="G30" s="94">
        <f t="shared" si="2"/>
        <v>0.79999999999999993</v>
      </c>
      <c r="H30" s="94">
        <f t="shared" ref="H30" si="94">G30-E30</f>
        <v>-0.20000000000000007</v>
      </c>
      <c r="I30" s="95">
        <v>0.25</v>
      </c>
      <c r="J30" s="89">
        <v>46157</v>
      </c>
      <c r="K30" s="89">
        <f t="shared" ref="K30" si="95">J30</f>
        <v>46157</v>
      </c>
      <c r="L30" s="97">
        <v>46161</v>
      </c>
      <c r="M30" s="89">
        <f t="shared" ref="M30" si="96">J30+42</f>
        <v>46199</v>
      </c>
      <c r="N30" s="89">
        <f t="shared" ref="N30" si="97">M30</f>
        <v>46199</v>
      </c>
      <c r="O30" s="146">
        <v>46218</v>
      </c>
      <c r="P30" s="89">
        <v>46265</v>
      </c>
      <c r="Q30" s="89">
        <f t="shared" ref="Q30" si="98">P30</f>
        <v>46265</v>
      </c>
      <c r="R30" s="89">
        <v>46295</v>
      </c>
      <c r="S30" s="89">
        <f t="shared" ref="S30" si="99">P30+14</f>
        <v>46279</v>
      </c>
      <c r="T30" s="89">
        <f t="shared" ref="T30" si="100">S30</f>
        <v>46279</v>
      </c>
      <c r="U30" s="89"/>
      <c r="V30" s="214"/>
      <c r="X30" s="168" t="str">
        <f t="shared" ca="1" si="4"/>
        <v>Completed</v>
      </c>
      <c r="Y30" s="168" t="str">
        <f t="shared" ca="1" si="5"/>
        <v>Completed</v>
      </c>
      <c r="Z30" s="168" t="str">
        <f t="shared" ca="1" si="6"/>
        <v>Completed</v>
      </c>
      <c r="AA30" s="169" t="str">
        <f t="shared" ca="1" si="7"/>
        <v>Overdue</v>
      </c>
    </row>
    <row r="31" spans="1:27" s="70" customFormat="1" ht="11.5" x14ac:dyDescent="0.25">
      <c r="A31" s="173" t="s">
        <v>66</v>
      </c>
      <c r="B31" s="173" t="s">
        <v>34</v>
      </c>
      <c r="C31" s="173" t="s">
        <v>88</v>
      </c>
      <c r="D31" s="173" t="s">
        <v>1074</v>
      </c>
      <c r="E31" s="184">
        <f t="shared" ref="E31" si="101">(COUNTIFS(J31,"&lt;="&amp;$C$1)*50%)+(COUNTIFS(M31,"&lt;="&amp;$C$1)*20%)+(COUNTIFS(P31,"&lt;="&amp;$C$1)*10%)+(COUNTIFS(S31,"&lt;="&amp;$C$1)*20%)</f>
        <v>0.7</v>
      </c>
      <c r="F31" s="184">
        <f t="shared" ref="F31" si="102">(COUNTIFS(K31,"&lt;="&amp;$C$1)*50%)+(COUNTIFS(N31,"&lt;="&amp;$C$1)*20%)+(COUNTIFS(Q31,"&lt;="&amp;$C$1)*10%)+(COUNTIFS(T31,"&lt;="&amp;$C$1)*20%)</f>
        <v>0.7</v>
      </c>
      <c r="G31" s="184">
        <f t="shared" si="2"/>
        <v>1</v>
      </c>
      <c r="H31" s="184">
        <f t="shared" ref="H31" si="103">G31-E31</f>
        <v>0.30000000000000004</v>
      </c>
      <c r="I31" s="153">
        <v>0.4</v>
      </c>
      <c r="J31" s="155">
        <v>46227</v>
      </c>
      <c r="K31" s="155">
        <f t="shared" ref="K31" si="104">J31</f>
        <v>46227</v>
      </c>
      <c r="L31" s="155">
        <v>46234</v>
      </c>
      <c r="M31" s="155">
        <f t="shared" ref="M31" si="105">J31+42</f>
        <v>46269</v>
      </c>
      <c r="N31" s="155">
        <f t="shared" ref="N31" si="106">M31</f>
        <v>46269</v>
      </c>
      <c r="O31" s="155">
        <v>46234</v>
      </c>
      <c r="P31" s="155">
        <f t="shared" ref="P31" si="107">M31+42</f>
        <v>46311</v>
      </c>
      <c r="Q31" s="155">
        <f t="shared" ref="Q31" si="108">P31</f>
        <v>46311</v>
      </c>
      <c r="R31" s="155">
        <v>46234</v>
      </c>
      <c r="S31" s="155">
        <f t="shared" ref="S31" si="109">P31+14</f>
        <v>46325</v>
      </c>
      <c r="T31" s="155">
        <f t="shared" ref="T31" si="110">S31</f>
        <v>46325</v>
      </c>
      <c r="U31" s="155">
        <v>46234</v>
      </c>
      <c r="V31" s="213"/>
      <c r="X31" s="182" t="str">
        <f t="shared" ca="1" si="4"/>
        <v>Completed</v>
      </c>
      <c r="Y31" s="182"/>
      <c r="Z31" s="182"/>
      <c r="AA31" s="183"/>
    </row>
    <row r="32" spans="1:27" s="70" customFormat="1" ht="11.5" x14ac:dyDescent="0.25">
      <c r="A32" s="92" t="s">
        <v>66</v>
      </c>
      <c r="B32" s="92" t="s">
        <v>34</v>
      </c>
      <c r="C32" s="92" t="s">
        <v>88</v>
      </c>
      <c r="D32" s="92" t="s">
        <v>1075</v>
      </c>
      <c r="E32" s="94">
        <f t="shared" ref="E32" si="111">(COUNTIFS(J32,"&lt;="&amp;$C$1)*50%)+(COUNTIFS(M32,"&lt;="&amp;$C$1)*20%)+(COUNTIFS(P32,"&lt;="&amp;$C$1)*10%)+(COUNTIFS(S32,"&lt;="&amp;$C$1)*20%)</f>
        <v>0.7</v>
      </c>
      <c r="F32" s="94">
        <f t="shared" ref="F32" si="112">(COUNTIFS(K32,"&lt;="&amp;$C$1)*50%)+(COUNTIFS(N32,"&lt;="&amp;$C$1)*20%)+(COUNTIFS(Q32,"&lt;="&amp;$C$1)*10%)+(COUNTIFS(T32,"&lt;="&amp;$C$1)*20%)</f>
        <v>0.7</v>
      </c>
      <c r="G32" s="94">
        <f t="shared" si="2"/>
        <v>0.7</v>
      </c>
      <c r="H32" s="94">
        <f t="shared" ref="H32" si="113">G32-E32</f>
        <v>0</v>
      </c>
      <c r="I32" s="95">
        <v>0.4</v>
      </c>
      <c r="J32" s="89">
        <v>46227</v>
      </c>
      <c r="K32" s="89">
        <f t="shared" ref="K32" si="114">J32</f>
        <v>46227</v>
      </c>
      <c r="L32" s="89">
        <v>46234</v>
      </c>
      <c r="M32" s="89">
        <f t="shared" ref="M32" si="115">J32+42</f>
        <v>46269</v>
      </c>
      <c r="N32" s="89">
        <f t="shared" ref="N32" si="116">M32</f>
        <v>46269</v>
      </c>
      <c r="O32" s="89">
        <v>46248</v>
      </c>
      <c r="P32" s="89">
        <f t="shared" ref="P32" si="117">M32+42</f>
        <v>46311</v>
      </c>
      <c r="Q32" s="89">
        <f t="shared" ref="Q32" si="118">P32</f>
        <v>46311</v>
      </c>
      <c r="R32" s="89"/>
      <c r="S32" s="89">
        <f t="shared" ref="S32" si="119">P32+14</f>
        <v>46325</v>
      </c>
      <c r="T32" s="89">
        <f t="shared" ref="T32" si="120">S32</f>
        <v>46325</v>
      </c>
      <c r="U32" s="89"/>
      <c r="V32" s="214"/>
      <c r="X32" s="182" t="str">
        <f t="shared" ca="1" si="4"/>
        <v>Completed</v>
      </c>
      <c r="Y32" s="182" t="str">
        <f t="shared" ref="Y32:Y97" ca="1" si="121">IF(OR(O32&lt;&gt;""),"Completed",IF(N32="","",
IF(N32&lt;TODAY(),"Overdue",
IF(AND(N32&gt;=TODAY()-WEEKDAY(TODAY(),2)+1,N32&lt;=TODAY()-WEEKDAY(TODAY(),2)+7),"Follow-This Week",
IF(AND(N32&gt;=TODAY()-WEEKDAY(TODAY(),2)+8,N32&lt;=TODAY()-WEEKDAY(TODAY(),2)+14),"Follow-Next Week","")))))</f>
        <v>Completed</v>
      </c>
      <c r="Z32" s="182" t="str">
        <f t="shared" ref="Z32:Z97" ca="1" si="122">IF(OR(R32&lt;&gt;""),"Completed",IF(Q32="","",
IF(Q32&lt;TODAY(),"Overdue",
IF(AND(Q32&gt;=TODAY()-WEEKDAY(TODAY(),2)+1,Q32&lt;=TODAY()-WEEKDAY(TODAY(),2)+7),"Follow-This Week",
IF(AND(Q32&gt;=TODAY()-WEEKDAY(TODAY(),2)+8,Q32&lt;=TODAY()-WEEKDAY(TODAY(),2)+14),"Follow-Next Week","")))))</f>
        <v>Follow-Next Week</v>
      </c>
      <c r="AA32" s="183" t="str">
        <f t="shared" ref="AA32:AA97" ca="1" si="123">IF(OR(U32&lt;&gt;""),"Completed",IF(T32="","",
IF(T32&lt;TODAY(),"Overdue",
IF(AND(T32&gt;=TODAY()-WEEKDAY(TODAY(),2)+1,T32&lt;=TODAY()-WEEKDAY(TODAY(),2)+7),"Follow-This Week",
IF(AND(T32&gt;=TODAY()-WEEKDAY(TODAY(),2)+8,T32&lt;=TODAY()-WEEKDAY(TODAY(),2)+14),"Follow-Next Week","")))))</f>
        <v/>
      </c>
    </row>
    <row r="33" spans="1:27" s="70" customFormat="1" ht="11.5" x14ac:dyDescent="0.25">
      <c r="A33" s="173" t="s">
        <v>66</v>
      </c>
      <c r="B33" s="173" t="s">
        <v>34</v>
      </c>
      <c r="C33" s="173" t="s">
        <v>89</v>
      </c>
      <c r="D33" s="173" t="s">
        <v>1239</v>
      </c>
      <c r="E33" s="152">
        <f t="shared" si="15"/>
        <v>0.7</v>
      </c>
      <c r="F33" s="152">
        <f t="shared" si="16"/>
        <v>0.7</v>
      </c>
      <c r="G33" s="152">
        <f t="shared" si="2"/>
        <v>1</v>
      </c>
      <c r="H33" s="152">
        <f t="shared" si="17"/>
        <v>0.30000000000000004</v>
      </c>
      <c r="I33" s="153">
        <v>0.4</v>
      </c>
      <c r="J33" s="155">
        <v>46241</v>
      </c>
      <c r="K33" s="155">
        <f t="shared" si="8"/>
        <v>46241</v>
      </c>
      <c r="L33" s="155">
        <v>46178</v>
      </c>
      <c r="M33" s="155">
        <f t="shared" si="9"/>
        <v>46283</v>
      </c>
      <c r="N33" s="155">
        <f t="shared" si="10"/>
        <v>46283</v>
      </c>
      <c r="O33" s="155">
        <v>46192</v>
      </c>
      <c r="P33" s="155">
        <f t="shared" si="11"/>
        <v>46325</v>
      </c>
      <c r="Q33" s="155">
        <f t="shared" si="12"/>
        <v>46325</v>
      </c>
      <c r="R33" s="155">
        <v>46297</v>
      </c>
      <c r="S33" s="155">
        <f t="shared" si="14"/>
        <v>46339</v>
      </c>
      <c r="T33" s="155">
        <f t="shared" si="13"/>
        <v>46339</v>
      </c>
      <c r="U33" s="155">
        <v>46297</v>
      </c>
      <c r="V33" s="214"/>
      <c r="X33" s="168" t="str">
        <f t="shared" ca="1" si="4"/>
        <v>Completed</v>
      </c>
      <c r="Y33" s="168" t="str">
        <f t="shared" ca="1" si="121"/>
        <v>Completed</v>
      </c>
      <c r="Z33" s="168" t="str">
        <f t="shared" ca="1" si="122"/>
        <v>Completed</v>
      </c>
      <c r="AA33" s="169" t="str">
        <f t="shared" ca="1" si="123"/>
        <v>Completed</v>
      </c>
    </row>
    <row r="34" spans="1:27" s="70" customFormat="1" ht="11.5" x14ac:dyDescent="0.25">
      <c r="A34" s="92" t="s">
        <v>66</v>
      </c>
      <c r="B34" s="92" t="s">
        <v>34</v>
      </c>
      <c r="C34" s="92" t="s">
        <v>89</v>
      </c>
      <c r="D34" s="92" t="s">
        <v>1238</v>
      </c>
      <c r="E34" s="94">
        <f t="shared" ref="E34" si="124">(COUNTIFS(J34,"&lt;="&amp;$C$1)*50%)+(COUNTIFS(M34,"&lt;="&amp;$C$1)*20%)+(COUNTIFS(P34,"&lt;="&amp;$C$1)*10%)+(COUNTIFS(S34,"&lt;="&amp;$C$1)*20%)</f>
        <v>0.7</v>
      </c>
      <c r="F34" s="94">
        <f t="shared" ref="F34" si="125">(COUNTIFS(K34,"&lt;="&amp;$C$1)*50%)+(COUNTIFS(N34,"&lt;="&amp;$C$1)*20%)+(COUNTIFS(Q34,"&lt;="&amp;$C$1)*10%)+(COUNTIFS(T34,"&lt;="&amp;$C$1)*20%)</f>
        <v>0.7</v>
      </c>
      <c r="G34" s="94">
        <f t="shared" ref="G34" si="126">(COUNTIFS(L34,"&lt;="&amp;$C$1)*50%)+(COUNTIFS(O34,"&lt;="&amp;$C$1)*20%)+(COUNTIFS(R34,"&lt;="&amp;$C$1)*10%)+(COUNTIFS(U34,"&lt;="&amp;$C$1)*20%)</f>
        <v>0.7</v>
      </c>
      <c r="H34" s="94">
        <f t="shared" ref="H34" si="127">G34-E34</f>
        <v>0</v>
      </c>
      <c r="I34" s="95">
        <v>0.4</v>
      </c>
      <c r="J34" s="89">
        <v>46241</v>
      </c>
      <c r="K34" s="89">
        <f t="shared" ref="K34" si="128">J34</f>
        <v>46241</v>
      </c>
      <c r="L34" s="89">
        <v>46178</v>
      </c>
      <c r="M34" s="89">
        <f t="shared" ref="M34" si="129">J34+42</f>
        <v>46283</v>
      </c>
      <c r="N34" s="89">
        <f t="shared" ref="N34" si="130">M34</f>
        <v>46283</v>
      </c>
      <c r="O34" s="89">
        <v>46192</v>
      </c>
      <c r="P34" s="89">
        <f t="shared" ref="P34" si="131">M34+42</f>
        <v>46325</v>
      </c>
      <c r="Q34" s="89">
        <f t="shared" ref="Q34" si="132">P34</f>
        <v>46325</v>
      </c>
      <c r="R34" s="89"/>
      <c r="S34" s="89">
        <f t="shared" ref="S34" si="133">P34+14</f>
        <v>46339</v>
      </c>
      <c r="T34" s="89">
        <f t="shared" ref="T34" si="134">S34</f>
        <v>46339</v>
      </c>
      <c r="U34" s="89"/>
      <c r="V34" s="214"/>
      <c r="X34" s="168" t="str">
        <f t="shared" ref="X34" ca="1" si="135">IF(OR(L34&lt;&gt;""),"Completed",
IF(K34="","",IF(K34&lt;TODAY(),"Overdue",
IF(AND(K34&gt;=TODAY()-WEEKDAY(TODAY(),2)+1,K34&lt;=TODAY()-WEEKDAY(TODAY(),2)+7),"Follow-This Week",
IF(AND(K34&gt;=TODAY()-WEEKDAY(TODAY(),2)+8,K34&lt;=TODAY()-WEEKDAY(TODAY(),2)+14),"Follow-Next Week","")))))</f>
        <v>Completed</v>
      </c>
      <c r="Y34" s="168" t="str">
        <f t="shared" ref="Y34" ca="1" si="136">IF(OR(O34&lt;&gt;""),"Completed",IF(N34="","",
IF(N34&lt;TODAY(),"Overdue",
IF(AND(N34&gt;=TODAY()-WEEKDAY(TODAY(),2)+1,N34&lt;=TODAY()-WEEKDAY(TODAY(),2)+7),"Follow-This Week",
IF(AND(N34&gt;=TODAY()-WEEKDAY(TODAY(),2)+8,N34&lt;=TODAY()-WEEKDAY(TODAY(),2)+14),"Follow-Next Week","")))))</f>
        <v>Completed</v>
      </c>
      <c r="Z34" s="168" t="str">
        <f t="shared" ref="Z34" ca="1" si="137">IF(OR(R34&lt;&gt;""),"Completed",IF(Q34="","",
IF(Q34&lt;TODAY(),"Overdue",
IF(AND(Q34&gt;=TODAY()-WEEKDAY(TODAY(),2)+1,Q34&lt;=TODAY()-WEEKDAY(TODAY(),2)+7),"Follow-This Week",
IF(AND(Q34&gt;=TODAY()-WEEKDAY(TODAY(),2)+8,Q34&lt;=TODAY()-WEEKDAY(TODAY(),2)+14),"Follow-Next Week","")))))</f>
        <v/>
      </c>
      <c r="AA34" s="169" t="str">
        <f t="shared" ref="AA34" ca="1" si="138">IF(OR(U34&lt;&gt;""),"Completed",IF(T34="","",
IF(T34&lt;TODAY(),"Overdue",
IF(AND(T34&gt;=TODAY()-WEEKDAY(TODAY(),2)+1,T34&lt;=TODAY()-WEEKDAY(TODAY(),2)+7),"Follow-This Week",
IF(AND(T34&gt;=TODAY()-WEEKDAY(TODAY(),2)+8,T34&lt;=TODAY()-WEEKDAY(TODAY(),2)+14),"Follow-Next Week","")))))</f>
        <v/>
      </c>
    </row>
    <row r="35" spans="1:27" s="70" customFormat="1" ht="11.5" x14ac:dyDescent="0.25">
      <c r="A35" s="92" t="s">
        <v>66</v>
      </c>
      <c r="B35" s="92" t="s">
        <v>34</v>
      </c>
      <c r="C35" s="92" t="s">
        <v>90</v>
      </c>
      <c r="D35" s="92" t="s">
        <v>91</v>
      </c>
      <c r="E35" s="94">
        <f t="shared" si="15"/>
        <v>0.7</v>
      </c>
      <c r="F35" s="94">
        <f t="shared" si="16"/>
        <v>0.7</v>
      </c>
      <c r="G35" s="94">
        <f t="shared" si="2"/>
        <v>0.7</v>
      </c>
      <c r="H35" s="94">
        <f t="shared" si="17"/>
        <v>0</v>
      </c>
      <c r="I35" s="95">
        <v>0.8</v>
      </c>
      <c r="J35" s="89">
        <v>46249</v>
      </c>
      <c r="K35" s="89">
        <f t="shared" si="8"/>
        <v>46249</v>
      </c>
      <c r="L35" s="89">
        <v>46241</v>
      </c>
      <c r="M35" s="89">
        <f t="shared" si="9"/>
        <v>46291</v>
      </c>
      <c r="N35" s="89">
        <f t="shared" si="10"/>
        <v>46291</v>
      </c>
      <c r="O35" s="89">
        <v>46248</v>
      </c>
      <c r="P35" s="89">
        <f t="shared" si="11"/>
        <v>46333</v>
      </c>
      <c r="Q35" s="89">
        <f t="shared" si="12"/>
        <v>46333</v>
      </c>
      <c r="R35" s="89"/>
      <c r="S35" s="89">
        <f t="shared" si="14"/>
        <v>46347</v>
      </c>
      <c r="T35" s="89">
        <f t="shared" si="13"/>
        <v>46347</v>
      </c>
      <c r="U35" s="89"/>
      <c r="V35" s="214"/>
      <c r="X35" s="168" t="str">
        <f t="shared" ca="1" si="4"/>
        <v>Completed</v>
      </c>
      <c r="Y35" s="168" t="str">
        <f t="shared" ca="1" si="121"/>
        <v>Completed</v>
      </c>
      <c r="Z35" s="168" t="str">
        <f t="shared" ca="1" si="122"/>
        <v/>
      </c>
      <c r="AA35" s="169" t="str">
        <f t="shared" ca="1" si="123"/>
        <v/>
      </c>
    </row>
    <row r="36" spans="1:27" s="70" customFormat="1" ht="11.5" x14ac:dyDescent="0.25">
      <c r="A36" s="173" t="s">
        <v>66</v>
      </c>
      <c r="B36" s="173" t="s">
        <v>34</v>
      </c>
      <c r="C36" s="173" t="s">
        <v>92</v>
      </c>
      <c r="D36" s="173" t="s">
        <v>1248</v>
      </c>
      <c r="E36" s="152">
        <f t="shared" si="15"/>
        <v>0.5</v>
      </c>
      <c r="F36" s="152">
        <f t="shared" si="16"/>
        <v>0.5</v>
      </c>
      <c r="G36" s="152">
        <f t="shared" si="2"/>
        <v>1</v>
      </c>
      <c r="H36" s="152">
        <f t="shared" si="17"/>
        <v>0.5</v>
      </c>
      <c r="I36" s="153">
        <v>0.25</v>
      </c>
      <c r="J36" s="155">
        <v>46302</v>
      </c>
      <c r="K36" s="155">
        <f t="shared" si="8"/>
        <v>46302</v>
      </c>
      <c r="L36" s="155">
        <v>46290</v>
      </c>
      <c r="M36" s="155">
        <f t="shared" si="9"/>
        <v>46344</v>
      </c>
      <c r="N36" s="155">
        <f t="shared" si="10"/>
        <v>46344</v>
      </c>
      <c r="O36" s="155">
        <v>46290</v>
      </c>
      <c r="P36" s="155">
        <f t="shared" si="11"/>
        <v>46386</v>
      </c>
      <c r="Q36" s="155">
        <f t="shared" si="12"/>
        <v>46386</v>
      </c>
      <c r="R36" s="155">
        <v>46290</v>
      </c>
      <c r="S36" s="155">
        <f t="shared" si="14"/>
        <v>46400</v>
      </c>
      <c r="T36" s="155">
        <f t="shared" si="13"/>
        <v>46400</v>
      </c>
      <c r="U36" s="155">
        <v>46290</v>
      </c>
      <c r="V36" s="213"/>
      <c r="X36" s="168" t="str">
        <f t="shared" ca="1" si="4"/>
        <v>Completed</v>
      </c>
      <c r="Y36" s="168" t="str">
        <f t="shared" ca="1" si="121"/>
        <v>Completed</v>
      </c>
      <c r="Z36" s="168" t="str">
        <f t="shared" ca="1" si="122"/>
        <v>Completed</v>
      </c>
      <c r="AA36" s="169" t="str">
        <f t="shared" ca="1" si="123"/>
        <v>Completed</v>
      </c>
    </row>
    <row r="37" spans="1:27" s="70" customFormat="1" ht="11.5" x14ac:dyDescent="0.25">
      <c r="A37" s="92" t="s">
        <v>66</v>
      </c>
      <c r="B37" s="92" t="s">
        <v>34</v>
      </c>
      <c r="C37" s="92" t="s">
        <v>92</v>
      </c>
      <c r="D37" s="92" t="s">
        <v>1249</v>
      </c>
      <c r="E37" s="94">
        <f t="shared" ref="E37" si="139">(COUNTIFS(J37,"&lt;="&amp;$C$1)*50%)+(COUNTIFS(M37,"&lt;="&amp;$C$1)*20%)+(COUNTIFS(P37,"&lt;="&amp;$C$1)*10%)+(COUNTIFS(S37,"&lt;="&amp;$C$1)*20%)</f>
        <v>0.5</v>
      </c>
      <c r="F37" s="94">
        <f t="shared" ref="F37" si="140">(COUNTIFS(K37,"&lt;="&amp;$C$1)*50%)+(COUNTIFS(N37,"&lt;="&amp;$C$1)*20%)+(COUNTIFS(Q37,"&lt;="&amp;$C$1)*10%)+(COUNTIFS(T37,"&lt;="&amp;$C$1)*20%)</f>
        <v>0.5</v>
      </c>
      <c r="G37" s="94">
        <f t="shared" ref="G37:G67" si="141">(COUNTIFS(L37,"&lt;="&amp;$C$1)*50%)+(COUNTIFS(O37,"&lt;="&amp;$C$1)*20%)+(COUNTIFS(R37,"&lt;="&amp;$C$1)*10%)+(COUNTIFS(U37,"&lt;="&amp;$C$1)*20%)</f>
        <v>0.5</v>
      </c>
      <c r="H37" s="94">
        <f t="shared" ref="H37" si="142">G37-E37</f>
        <v>0</v>
      </c>
      <c r="I37" s="95">
        <v>0.25</v>
      </c>
      <c r="J37" s="89">
        <v>46302</v>
      </c>
      <c r="K37" s="89">
        <f t="shared" ref="K37" si="143">J37</f>
        <v>46302</v>
      </c>
      <c r="L37" s="160">
        <v>46304</v>
      </c>
      <c r="M37" s="89">
        <f t="shared" ref="M37" si="144">J37+42</f>
        <v>46344</v>
      </c>
      <c r="N37" s="89">
        <f t="shared" ref="N37" si="145">M37</f>
        <v>46344</v>
      </c>
      <c r="O37" s="89"/>
      <c r="P37" s="89">
        <f t="shared" ref="P37" si="146">M37+42</f>
        <v>46386</v>
      </c>
      <c r="Q37" s="89">
        <f t="shared" ref="Q37" si="147">P37</f>
        <v>46386</v>
      </c>
      <c r="R37" s="89"/>
      <c r="S37" s="89">
        <f t="shared" ref="S37" si="148">P37+14</f>
        <v>46400</v>
      </c>
      <c r="T37" s="89">
        <f t="shared" ref="T37" si="149">S37</f>
        <v>46400</v>
      </c>
      <c r="U37" s="89"/>
      <c r="V37" s="214"/>
      <c r="X37" s="168" t="str">
        <f t="shared" ca="1" si="4"/>
        <v>Completed</v>
      </c>
      <c r="Y37" s="168" t="str">
        <f t="shared" ca="1" si="121"/>
        <v/>
      </c>
      <c r="Z37" s="168" t="str">
        <f t="shared" ca="1" si="122"/>
        <v/>
      </c>
      <c r="AA37" s="169" t="str">
        <f t="shared" ca="1" si="123"/>
        <v/>
      </c>
    </row>
    <row r="38" spans="1:27" s="70" customFormat="1" ht="11.5" x14ac:dyDescent="0.25">
      <c r="A38" s="173" t="s">
        <v>66</v>
      </c>
      <c r="B38" s="173" t="s">
        <v>34</v>
      </c>
      <c r="C38" s="173" t="s">
        <v>93</v>
      </c>
      <c r="D38" s="173" t="s">
        <v>1092</v>
      </c>
      <c r="E38" s="152">
        <f t="shared" si="15"/>
        <v>1</v>
      </c>
      <c r="F38" s="152">
        <f t="shared" si="16"/>
        <v>1</v>
      </c>
      <c r="G38" s="152">
        <f t="shared" si="141"/>
        <v>1</v>
      </c>
      <c r="H38" s="152">
        <f t="shared" si="17"/>
        <v>0</v>
      </c>
      <c r="I38" s="153">
        <v>0.2</v>
      </c>
      <c r="J38" s="155">
        <v>46171</v>
      </c>
      <c r="K38" s="155">
        <f t="shared" si="8"/>
        <v>46171</v>
      </c>
      <c r="L38" s="155">
        <v>46178</v>
      </c>
      <c r="M38" s="155">
        <f t="shared" si="9"/>
        <v>46213</v>
      </c>
      <c r="N38" s="155">
        <f t="shared" si="10"/>
        <v>46213</v>
      </c>
      <c r="O38" s="155">
        <v>46220</v>
      </c>
      <c r="P38" s="155">
        <f t="shared" si="11"/>
        <v>46255</v>
      </c>
      <c r="Q38" s="155">
        <f t="shared" si="12"/>
        <v>46255</v>
      </c>
      <c r="R38" s="155">
        <v>46255</v>
      </c>
      <c r="S38" s="155">
        <f t="shared" si="14"/>
        <v>46269</v>
      </c>
      <c r="T38" s="155">
        <f t="shared" si="13"/>
        <v>46269</v>
      </c>
      <c r="U38" s="155">
        <v>46255</v>
      </c>
      <c r="V38" s="213"/>
      <c r="X38" s="168" t="str">
        <f t="shared" ca="1" si="4"/>
        <v>Completed</v>
      </c>
      <c r="Y38" s="168" t="str">
        <f t="shared" ca="1" si="121"/>
        <v>Completed</v>
      </c>
      <c r="Z38" s="168" t="str">
        <f t="shared" ca="1" si="122"/>
        <v>Completed</v>
      </c>
      <c r="AA38" s="169" t="str">
        <f t="shared" ca="1" si="123"/>
        <v>Completed</v>
      </c>
    </row>
    <row r="39" spans="1:27" s="70" customFormat="1" ht="11.5" x14ac:dyDescent="0.25">
      <c r="A39" s="92" t="s">
        <v>66</v>
      </c>
      <c r="B39" s="92" t="s">
        <v>34</v>
      </c>
      <c r="C39" s="92" t="s">
        <v>93</v>
      </c>
      <c r="D39" s="92" t="s">
        <v>1093</v>
      </c>
      <c r="E39" s="94">
        <f t="shared" ref="E39" si="150">(COUNTIFS(J39,"&lt;="&amp;$C$1)*50%)+(COUNTIFS(M39,"&lt;="&amp;$C$1)*20%)+(COUNTIFS(P39,"&lt;="&amp;$C$1)*10%)+(COUNTIFS(S39,"&lt;="&amp;$C$1)*20%)</f>
        <v>1</v>
      </c>
      <c r="F39" s="94">
        <f t="shared" ref="F39" si="151">(COUNTIFS(K39,"&lt;="&amp;$C$1)*50%)+(COUNTIFS(N39,"&lt;="&amp;$C$1)*20%)+(COUNTIFS(Q39,"&lt;="&amp;$C$1)*10%)+(COUNTIFS(T39,"&lt;="&amp;$C$1)*20%)</f>
        <v>1</v>
      </c>
      <c r="G39" s="94">
        <f t="shared" si="141"/>
        <v>0.79999999999999993</v>
      </c>
      <c r="H39" s="94">
        <f t="shared" ref="H39" si="152">G39-E39</f>
        <v>-0.20000000000000007</v>
      </c>
      <c r="I39" s="95">
        <v>0.3</v>
      </c>
      <c r="J39" s="89">
        <v>46171</v>
      </c>
      <c r="K39" s="89">
        <f t="shared" ref="K39" si="153">J39</f>
        <v>46171</v>
      </c>
      <c r="L39" s="89">
        <v>46178</v>
      </c>
      <c r="M39" s="89">
        <f t="shared" ref="M39" si="154">J39+42</f>
        <v>46213</v>
      </c>
      <c r="N39" s="89">
        <f t="shared" ref="N39" si="155">M39</f>
        <v>46213</v>
      </c>
      <c r="O39" s="89">
        <v>46220</v>
      </c>
      <c r="P39" s="89">
        <f t="shared" ref="P39" si="156">M39+42</f>
        <v>46255</v>
      </c>
      <c r="Q39" s="89">
        <f t="shared" ref="Q39" si="157">P39</f>
        <v>46255</v>
      </c>
      <c r="R39" s="89">
        <v>46293</v>
      </c>
      <c r="S39" s="89">
        <f t="shared" ref="S39" si="158">P39+14</f>
        <v>46269</v>
      </c>
      <c r="T39" s="89">
        <f t="shared" ref="T39" si="159">S39</f>
        <v>46269</v>
      </c>
      <c r="U39" s="89"/>
      <c r="V39" s="214"/>
      <c r="X39" s="168" t="str">
        <f t="shared" ca="1" si="4"/>
        <v>Completed</v>
      </c>
      <c r="Y39" s="168" t="str">
        <f t="shared" ca="1" si="121"/>
        <v>Completed</v>
      </c>
      <c r="Z39" s="168" t="str">
        <f t="shared" ca="1" si="122"/>
        <v>Completed</v>
      </c>
      <c r="AA39" s="169" t="str">
        <f t="shared" ca="1" si="123"/>
        <v>Overdue</v>
      </c>
    </row>
    <row r="40" spans="1:27" s="70" customFormat="1" ht="11.5" x14ac:dyDescent="0.25">
      <c r="A40" s="92" t="s">
        <v>66</v>
      </c>
      <c r="B40" s="92" t="s">
        <v>34</v>
      </c>
      <c r="C40" s="92" t="s">
        <v>94</v>
      </c>
      <c r="D40" s="92" t="s">
        <v>95</v>
      </c>
      <c r="E40" s="94">
        <f t="shared" si="15"/>
        <v>0.7</v>
      </c>
      <c r="F40" s="94">
        <f t="shared" si="16"/>
        <v>0.7</v>
      </c>
      <c r="G40" s="94">
        <f t="shared" si="141"/>
        <v>0.79999999999999993</v>
      </c>
      <c r="H40" s="94">
        <f t="shared" si="17"/>
        <v>9.9999999999999978E-2</v>
      </c>
      <c r="I40" s="95">
        <v>0.5</v>
      </c>
      <c r="J40" s="89">
        <v>46227</v>
      </c>
      <c r="K40" s="89">
        <f t="shared" si="8"/>
        <v>46227</v>
      </c>
      <c r="L40" s="89">
        <v>46142</v>
      </c>
      <c r="M40" s="89">
        <f t="shared" si="9"/>
        <v>46269</v>
      </c>
      <c r="N40" s="89">
        <f t="shared" si="10"/>
        <v>46269</v>
      </c>
      <c r="O40" s="146">
        <v>46218</v>
      </c>
      <c r="P40" s="89">
        <f t="shared" si="11"/>
        <v>46311</v>
      </c>
      <c r="Q40" s="89">
        <f t="shared" si="12"/>
        <v>46311</v>
      </c>
      <c r="R40" s="89">
        <v>46290</v>
      </c>
      <c r="S40" s="89">
        <f t="shared" si="14"/>
        <v>46325</v>
      </c>
      <c r="T40" s="89">
        <f t="shared" si="13"/>
        <v>46325</v>
      </c>
      <c r="U40" s="89"/>
      <c r="V40" s="214"/>
      <c r="X40" s="168" t="str">
        <f t="shared" ca="1" si="4"/>
        <v>Completed</v>
      </c>
      <c r="Y40" s="168" t="str">
        <f t="shared" ca="1" si="121"/>
        <v>Completed</v>
      </c>
      <c r="Z40" s="168" t="str">
        <f t="shared" ca="1" si="122"/>
        <v>Completed</v>
      </c>
      <c r="AA40" s="169" t="str">
        <f t="shared" ca="1" si="123"/>
        <v/>
      </c>
    </row>
    <row r="41" spans="1:27" s="70" customFormat="1" ht="11.5" x14ac:dyDescent="0.25">
      <c r="A41" s="173" t="s">
        <v>66</v>
      </c>
      <c r="B41" s="173" t="s">
        <v>34</v>
      </c>
      <c r="C41" s="173" t="s">
        <v>795</v>
      </c>
      <c r="D41" s="173" t="s">
        <v>1094</v>
      </c>
      <c r="E41" s="152">
        <f t="shared" si="15"/>
        <v>1</v>
      </c>
      <c r="F41" s="152">
        <f t="shared" si="16"/>
        <v>1</v>
      </c>
      <c r="G41" s="152">
        <f t="shared" si="141"/>
        <v>1</v>
      </c>
      <c r="H41" s="152">
        <f t="shared" si="17"/>
        <v>0</v>
      </c>
      <c r="I41" s="153">
        <v>0.25</v>
      </c>
      <c r="J41" s="155">
        <v>46164</v>
      </c>
      <c r="K41" s="155">
        <f t="shared" si="8"/>
        <v>46164</v>
      </c>
      <c r="L41" s="174">
        <v>46161</v>
      </c>
      <c r="M41" s="155">
        <f t="shared" si="9"/>
        <v>46206</v>
      </c>
      <c r="N41" s="155">
        <f t="shared" si="10"/>
        <v>46206</v>
      </c>
      <c r="O41" s="195">
        <v>46217</v>
      </c>
      <c r="P41" s="155">
        <f t="shared" si="11"/>
        <v>46248</v>
      </c>
      <c r="Q41" s="155">
        <f t="shared" si="12"/>
        <v>46248</v>
      </c>
      <c r="R41" s="155">
        <v>46255</v>
      </c>
      <c r="S41" s="155">
        <f t="shared" si="14"/>
        <v>46262</v>
      </c>
      <c r="T41" s="155">
        <f t="shared" si="13"/>
        <v>46262</v>
      </c>
      <c r="U41" s="155">
        <v>46255</v>
      </c>
      <c r="V41" s="213"/>
      <c r="X41" s="168" t="str">
        <f t="shared" ca="1" si="4"/>
        <v>Completed</v>
      </c>
      <c r="Y41" s="168" t="str">
        <f t="shared" ca="1" si="121"/>
        <v>Completed</v>
      </c>
      <c r="Z41" s="168" t="str">
        <f t="shared" ca="1" si="122"/>
        <v>Completed</v>
      </c>
      <c r="AA41" s="169" t="str">
        <f t="shared" ca="1" si="123"/>
        <v>Completed</v>
      </c>
    </row>
    <row r="42" spans="1:27" s="70" customFormat="1" ht="11.5" x14ac:dyDescent="0.25">
      <c r="A42" s="92" t="s">
        <v>66</v>
      </c>
      <c r="B42" s="92" t="s">
        <v>34</v>
      </c>
      <c r="C42" s="92" t="s">
        <v>795</v>
      </c>
      <c r="D42" s="92" t="s">
        <v>1102</v>
      </c>
      <c r="E42" s="94">
        <f t="shared" ref="E42" si="160">(COUNTIFS(J42,"&lt;="&amp;$C$1)*50%)+(COUNTIFS(M42,"&lt;="&amp;$C$1)*20%)+(COUNTIFS(P42,"&lt;="&amp;$C$1)*10%)+(COUNTIFS(S42,"&lt;="&amp;$C$1)*20%)</f>
        <v>1</v>
      </c>
      <c r="F42" s="94">
        <f t="shared" ref="F42" si="161">(COUNTIFS(K42,"&lt;="&amp;$C$1)*50%)+(COUNTIFS(N42,"&lt;="&amp;$C$1)*20%)+(COUNTIFS(Q42,"&lt;="&amp;$C$1)*10%)+(COUNTIFS(T42,"&lt;="&amp;$C$1)*20%)</f>
        <v>1</v>
      </c>
      <c r="G42" s="94">
        <f t="shared" si="141"/>
        <v>0.79999999999999993</v>
      </c>
      <c r="H42" s="94">
        <f t="shared" ref="H42" si="162">G42-E42</f>
        <v>-0.20000000000000007</v>
      </c>
      <c r="I42" s="95">
        <v>0.3</v>
      </c>
      <c r="J42" s="89">
        <v>46164</v>
      </c>
      <c r="K42" s="89">
        <f t="shared" ref="K42" si="163">J42</f>
        <v>46164</v>
      </c>
      <c r="L42" s="97">
        <v>46161</v>
      </c>
      <c r="M42" s="89">
        <f t="shared" ref="M42" si="164">J42+42</f>
        <v>46206</v>
      </c>
      <c r="N42" s="89">
        <f t="shared" ref="N42" si="165">M42</f>
        <v>46206</v>
      </c>
      <c r="O42" s="146">
        <v>46217</v>
      </c>
      <c r="P42" s="89">
        <f t="shared" ref="P42" si="166">M42+42</f>
        <v>46248</v>
      </c>
      <c r="Q42" s="89">
        <f t="shared" ref="Q42" si="167">P42</f>
        <v>46248</v>
      </c>
      <c r="R42" s="89">
        <v>46262</v>
      </c>
      <c r="S42" s="89">
        <f t="shared" ref="S42" si="168">P42+14</f>
        <v>46262</v>
      </c>
      <c r="T42" s="89">
        <f t="shared" ref="T42" si="169">S42</f>
        <v>46262</v>
      </c>
      <c r="U42" s="89"/>
      <c r="V42" s="214" t="s">
        <v>1231</v>
      </c>
      <c r="X42" s="168" t="str">
        <f t="shared" ca="1" si="4"/>
        <v>Completed</v>
      </c>
      <c r="Y42" s="168" t="str">
        <f t="shared" ca="1" si="121"/>
        <v>Completed</v>
      </c>
      <c r="Z42" s="168" t="str">
        <f t="shared" ca="1" si="122"/>
        <v>Completed</v>
      </c>
      <c r="AA42" s="169" t="str">
        <f t="shared" ca="1" si="123"/>
        <v>Overdue</v>
      </c>
    </row>
    <row r="43" spans="1:27" s="70" customFormat="1" ht="11.5" x14ac:dyDescent="0.25">
      <c r="A43" s="92" t="s">
        <v>66</v>
      </c>
      <c r="B43" s="92" t="s">
        <v>34</v>
      </c>
      <c r="C43" s="92" t="s">
        <v>796</v>
      </c>
      <c r="D43" s="92" t="s">
        <v>96</v>
      </c>
      <c r="E43" s="94">
        <f t="shared" si="15"/>
        <v>1</v>
      </c>
      <c r="F43" s="94">
        <f t="shared" si="16"/>
        <v>1</v>
      </c>
      <c r="G43" s="94">
        <f t="shared" si="141"/>
        <v>1</v>
      </c>
      <c r="H43" s="94">
        <f t="shared" si="17"/>
        <v>0</v>
      </c>
      <c r="I43" s="95">
        <v>0.55000000000000004</v>
      </c>
      <c r="J43" s="89">
        <v>46171</v>
      </c>
      <c r="K43" s="89">
        <f t="shared" si="8"/>
        <v>46171</v>
      </c>
      <c r="L43" s="90">
        <v>46171</v>
      </c>
      <c r="M43" s="89">
        <f t="shared" si="9"/>
        <v>46213</v>
      </c>
      <c r="N43" s="89">
        <f t="shared" si="10"/>
        <v>46213</v>
      </c>
      <c r="O43" s="89">
        <v>46214</v>
      </c>
      <c r="P43" s="89">
        <f t="shared" si="11"/>
        <v>46255</v>
      </c>
      <c r="Q43" s="89">
        <f t="shared" si="12"/>
        <v>46255</v>
      </c>
      <c r="R43" s="89">
        <v>46276</v>
      </c>
      <c r="S43" s="89">
        <f t="shared" si="14"/>
        <v>46269</v>
      </c>
      <c r="T43" s="89">
        <f t="shared" si="13"/>
        <v>46269</v>
      </c>
      <c r="U43" s="89">
        <v>46295</v>
      </c>
      <c r="V43" s="214"/>
      <c r="X43" s="168" t="str">
        <f t="shared" ca="1" si="4"/>
        <v>Completed</v>
      </c>
      <c r="Y43" s="168" t="str">
        <f t="shared" ca="1" si="121"/>
        <v>Completed</v>
      </c>
      <c r="Z43" s="168" t="str">
        <f t="shared" ca="1" si="122"/>
        <v>Completed</v>
      </c>
      <c r="AA43" s="169" t="str">
        <f t="shared" ca="1" si="123"/>
        <v>Completed</v>
      </c>
    </row>
    <row r="44" spans="1:27" s="70" customFormat="1" ht="11.5" x14ac:dyDescent="0.25">
      <c r="A44" s="92" t="s">
        <v>66</v>
      </c>
      <c r="B44" s="92" t="s">
        <v>34</v>
      </c>
      <c r="C44" s="92" t="s">
        <v>797</v>
      </c>
      <c r="D44" s="92" t="s">
        <v>97</v>
      </c>
      <c r="E44" s="94">
        <f t="shared" si="15"/>
        <v>1</v>
      </c>
      <c r="F44" s="94">
        <f t="shared" si="16"/>
        <v>1</v>
      </c>
      <c r="G44" s="94">
        <f t="shared" si="141"/>
        <v>1</v>
      </c>
      <c r="H44" s="94">
        <f t="shared" si="17"/>
        <v>0</v>
      </c>
      <c r="I44" s="95">
        <v>0.75</v>
      </c>
      <c r="J44" s="89">
        <v>46192</v>
      </c>
      <c r="K44" s="96">
        <f t="shared" si="8"/>
        <v>46192</v>
      </c>
      <c r="L44" s="89">
        <v>46192</v>
      </c>
      <c r="M44" s="89">
        <f t="shared" si="9"/>
        <v>46234</v>
      </c>
      <c r="N44" s="96">
        <f t="shared" si="10"/>
        <v>46234</v>
      </c>
      <c r="O44" s="89">
        <v>46220</v>
      </c>
      <c r="P44" s="89">
        <f t="shared" si="11"/>
        <v>46276</v>
      </c>
      <c r="Q44" s="96">
        <f t="shared" si="12"/>
        <v>46276</v>
      </c>
      <c r="R44" s="89">
        <v>46272</v>
      </c>
      <c r="S44" s="89">
        <f t="shared" si="14"/>
        <v>46290</v>
      </c>
      <c r="T44" s="96">
        <f t="shared" si="13"/>
        <v>46290</v>
      </c>
      <c r="U44" s="89">
        <v>46288</v>
      </c>
      <c r="V44" s="214"/>
      <c r="X44" s="168" t="str">
        <f t="shared" ca="1" si="4"/>
        <v>Completed</v>
      </c>
      <c r="Y44" s="168" t="str">
        <f t="shared" ca="1" si="121"/>
        <v>Completed</v>
      </c>
      <c r="Z44" s="168" t="str">
        <f t="shared" ca="1" si="122"/>
        <v>Completed</v>
      </c>
      <c r="AA44" s="169" t="str">
        <f t="shared" ca="1" si="123"/>
        <v>Completed</v>
      </c>
    </row>
    <row r="45" spans="1:27" s="70" customFormat="1" ht="11.5" x14ac:dyDescent="0.25">
      <c r="A45" s="173" t="s">
        <v>66</v>
      </c>
      <c r="B45" s="173" t="s">
        <v>34</v>
      </c>
      <c r="C45" s="173" t="s">
        <v>98</v>
      </c>
      <c r="D45" s="173" t="s">
        <v>1072</v>
      </c>
      <c r="E45" s="152">
        <f t="shared" si="15"/>
        <v>1</v>
      </c>
      <c r="F45" s="152">
        <f t="shared" si="16"/>
        <v>1</v>
      </c>
      <c r="G45" s="152">
        <f t="shared" si="141"/>
        <v>1</v>
      </c>
      <c r="H45" s="152">
        <f t="shared" si="17"/>
        <v>0</v>
      </c>
      <c r="I45" s="153">
        <v>0.5</v>
      </c>
      <c r="J45" s="155">
        <v>46115</v>
      </c>
      <c r="K45" s="155">
        <f t="shared" si="8"/>
        <v>46115</v>
      </c>
      <c r="L45" s="155">
        <v>46122</v>
      </c>
      <c r="M45" s="155">
        <f t="shared" si="9"/>
        <v>46157</v>
      </c>
      <c r="N45" s="155">
        <f t="shared" si="10"/>
        <v>46157</v>
      </c>
      <c r="O45" s="155">
        <v>46199</v>
      </c>
      <c r="P45" s="155">
        <f t="shared" si="11"/>
        <v>46199</v>
      </c>
      <c r="Q45" s="155">
        <f t="shared" si="12"/>
        <v>46199</v>
      </c>
      <c r="R45" s="155">
        <v>46227</v>
      </c>
      <c r="S45" s="155">
        <f t="shared" si="14"/>
        <v>46213</v>
      </c>
      <c r="T45" s="155">
        <f t="shared" si="13"/>
        <v>46213</v>
      </c>
      <c r="U45" s="155">
        <v>46227</v>
      </c>
      <c r="V45" s="213"/>
      <c r="X45" s="168" t="str">
        <f t="shared" ca="1" si="4"/>
        <v>Completed</v>
      </c>
      <c r="Y45" s="168" t="str">
        <f t="shared" ca="1" si="121"/>
        <v>Completed</v>
      </c>
      <c r="Z45" s="168" t="str">
        <f t="shared" ca="1" si="122"/>
        <v>Completed</v>
      </c>
      <c r="AA45" s="169" t="str">
        <f t="shared" ca="1" si="123"/>
        <v>Completed</v>
      </c>
    </row>
    <row r="46" spans="1:27" s="70" customFormat="1" ht="11.5" x14ac:dyDescent="0.25">
      <c r="A46" s="92" t="s">
        <v>66</v>
      </c>
      <c r="B46" s="92" t="s">
        <v>34</v>
      </c>
      <c r="C46" s="92" t="s">
        <v>98</v>
      </c>
      <c r="D46" s="92" t="s">
        <v>1073</v>
      </c>
      <c r="E46" s="94">
        <f t="shared" ref="E46:E47" si="170">(COUNTIFS(J46,"&lt;="&amp;$C$1)*50%)+(COUNTIFS(M46,"&lt;="&amp;$C$1)*20%)+(COUNTIFS(P46,"&lt;="&amp;$C$1)*10%)+(COUNTIFS(S46,"&lt;="&amp;$C$1)*20%)</f>
        <v>1</v>
      </c>
      <c r="F46" s="94">
        <f t="shared" ref="F46:F47" si="171">(COUNTIFS(K46,"&lt;="&amp;$C$1)*50%)+(COUNTIFS(N46,"&lt;="&amp;$C$1)*20%)+(COUNTIFS(Q46,"&lt;="&amp;$C$1)*10%)+(COUNTIFS(T46,"&lt;="&amp;$C$1)*20%)</f>
        <v>1</v>
      </c>
      <c r="G46" s="94">
        <f t="shared" si="141"/>
        <v>0.79999999999999993</v>
      </c>
      <c r="H46" s="94">
        <f t="shared" ref="H46:H47" si="172">G46-E46</f>
        <v>-0.20000000000000007</v>
      </c>
      <c r="I46" s="95">
        <v>0.5</v>
      </c>
      <c r="J46" s="89">
        <v>46115</v>
      </c>
      <c r="K46" s="89">
        <f t="shared" ref="K46:K47" si="173">J46</f>
        <v>46115</v>
      </c>
      <c r="L46" s="89">
        <v>46122</v>
      </c>
      <c r="M46" s="89">
        <f t="shared" ref="M46:M47" si="174">J46+42</f>
        <v>46157</v>
      </c>
      <c r="N46" s="89">
        <f t="shared" ref="N46:N47" si="175">M46</f>
        <v>46157</v>
      </c>
      <c r="O46" s="89">
        <v>46199</v>
      </c>
      <c r="P46" s="89">
        <v>46249</v>
      </c>
      <c r="Q46" s="89">
        <f t="shared" ref="Q46:Q47" si="176">P46</f>
        <v>46249</v>
      </c>
      <c r="R46" s="89">
        <v>46249</v>
      </c>
      <c r="S46" s="89">
        <f t="shared" ref="S46:S47" si="177">P46+14</f>
        <v>46263</v>
      </c>
      <c r="T46" s="89">
        <f t="shared" ref="T46:T47" si="178">S46</f>
        <v>46263</v>
      </c>
      <c r="U46" s="89"/>
      <c r="V46" s="214" t="s">
        <v>1231</v>
      </c>
      <c r="X46" s="168" t="str">
        <f t="shared" ca="1" si="4"/>
        <v>Completed</v>
      </c>
      <c r="Y46" s="168" t="str">
        <f t="shared" ca="1" si="121"/>
        <v>Completed</v>
      </c>
      <c r="Z46" s="168" t="str">
        <f t="shared" ca="1" si="122"/>
        <v>Completed</v>
      </c>
      <c r="AA46" s="169" t="str">
        <f t="shared" ca="1" si="123"/>
        <v>Overdue</v>
      </c>
    </row>
    <row r="47" spans="1:27" s="70" customFormat="1" ht="11.5" x14ac:dyDescent="0.25">
      <c r="A47" s="173" t="s">
        <v>66</v>
      </c>
      <c r="B47" s="173" t="s">
        <v>34</v>
      </c>
      <c r="C47" s="173" t="s">
        <v>99</v>
      </c>
      <c r="D47" s="173" t="s">
        <v>1225</v>
      </c>
      <c r="E47" s="152">
        <f t="shared" si="170"/>
        <v>1</v>
      </c>
      <c r="F47" s="152">
        <f t="shared" si="171"/>
        <v>1</v>
      </c>
      <c r="G47" s="152">
        <f t="shared" si="141"/>
        <v>1</v>
      </c>
      <c r="H47" s="152">
        <f t="shared" si="172"/>
        <v>0</v>
      </c>
      <c r="I47" s="153">
        <v>0.4</v>
      </c>
      <c r="J47" s="155">
        <v>46178</v>
      </c>
      <c r="K47" s="155">
        <f t="shared" si="173"/>
        <v>46178</v>
      </c>
      <c r="L47" s="155">
        <v>46206</v>
      </c>
      <c r="M47" s="155">
        <f t="shared" si="174"/>
        <v>46220</v>
      </c>
      <c r="N47" s="155">
        <f t="shared" si="175"/>
        <v>46220</v>
      </c>
      <c r="O47" s="155">
        <v>46212</v>
      </c>
      <c r="P47" s="155">
        <f t="shared" ref="P47" si="179">M47+42</f>
        <v>46262</v>
      </c>
      <c r="Q47" s="155">
        <f t="shared" si="176"/>
        <v>46262</v>
      </c>
      <c r="R47" s="155">
        <v>46262</v>
      </c>
      <c r="S47" s="155">
        <f t="shared" si="177"/>
        <v>46276</v>
      </c>
      <c r="T47" s="155">
        <f t="shared" si="178"/>
        <v>46276</v>
      </c>
      <c r="U47" s="155">
        <v>46262</v>
      </c>
      <c r="V47" s="213"/>
      <c r="X47" s="168" t="str">
        <f t="shared" ca="1" si="4"/>
        <v>Completed</v>
      </c>
      <c r="Y47" s="168" t="str">
        <f t="shared" ca="1" si="121"/>
        <v>Completed</v>
      </c>
      <c r="Z47" s="168" t="str">
        <f t="shared" ca="1" si="122"/>
        <v>Completed</v>
      </c>
      <c r="AA47" s="169" t="str">
        <f t="shared" ca="1" si="123"/>
        <v>Completed</v>
      </c>
    </row>
    <row r="48" spans="1:27" s="70" customFormat="1" ht="11.5" x14ac:dyDescent="0.25">
      <c r="A48" s="92" t="s">
        <v>66</v>
      </c>
      <c r="B48" s="92" t="s">
        <v>34</v>
      </c>
      <c r="C48" s="92" t="s">
        <v>99</v>
      </c>
      <c r="D48" s="92" t="s">
        <v>1227</v>
      </c>
      <c r="E48" s="94">
        <f t="shared" si="15"/>
        <v>1</v>
      </c>
      <c r="F48" s="94">
        <f t="shared" si="16"/>
        <v>1</v>
      </c>
      <c r="G48" s="94">
        <f t="shared" si="141"/>
        <v>0.7</v>
      </c>
      <c r="H48" s="94">
        <f t="shared" si="17"/>
        <v>-0.30000000000000004</v>
      </c>
      <c r="I48" s="95">
        <v>0.1</v>
      </c>
      <c r="J48" s="89">
        <v>46178</v>
      </c>
      <c r="K48" s="89">
        <f t="shared" si="8"/>
        <v>46178</v>
      </c>
      <c r="L48" s="89">
        <v>46206</v>
      </c>
      <c r="M48" s="89">
        <f t="shared" si="9"/>
        <v>46220</v>
      </c>
      <c r="N48" s="89">
        <f t="shared" si="10"/>
        <v>46220</v>
      </c>
      <c r="O48" s="89">
        <v>46212</v>
      </c>
      <c r="P48" s="89">
        <f t="shared" si="11"/>
        <v>46262</v>
      </c>
      <c r="Q48" s="89">
        <f t="shared" si="12"/>
        <v>46262</v>
      </c>
      <c r="R48" s="89"/>
      <c r="S48" s="89">
        <f t="shared" si="14"/>
        <v>46276</v>
      </c>
      <c r="T48" s="89">
        <f t="shared" si="13"/>
        <v>46276</v>
      </c>
      <c r="U48" s="89"/>
      <c r="V48" s="214"/>
      <c r="X48" s="168" t="str">
        <f t="shared" ca="1" si="4"/>
        <v>Completed</v>
      </c>
      <c r="Y48" s="168" t="str">
        <f t="shared" ca="1" si="121"/>
        <v>Completed</v>
      </c>
      <c r="Z48" s="168" t="str">
        <f t="shared" ca="1" si="122"/>
        <v>Overdue</v>
      </c>
      <c r="AA48" s="169" t="str">
        <f t="shared" ca="1" si="123"/>
        <v>Overdue</v>
      </c>
    </row>
    <row r="49" spans="1:27" s="70" customFormat="1" ht="11.5" x14ac:dyDescent="0.25">
      <c r="A49" s="151" t="s">
        <v>66</v>
      </c>
      <c r="B49" s="151" t="s">
        <v>34</v>
      </c>
      <c r="C49" s="151" t="s">
        <v>100</v>
      </c>
      <c r="D49" s="173" t="s">
        <v>1224</v>
      </c>
      <c r="E49" s="207">
        <f t="shared" si="15"/>
        <v>1</v>
      </c>
      <c r="F49" s="207">
        <f t="shared" si="16"/>
        <v>1</v>
      </c>
      <c r="G49" s="207">
        <f t="shared" si="141"/>
        <v>1</v>
      </c>
      <c r="H49" s="207">
        <f t="shared" si="17"/>
        <v>0</v>
      </c>
      <c r="I49" s="153">
        <v>0.4</v>
      </c>
      <c r="J49" s="154">
        <v>46185</v>
      </c>
      <c r="K49" s="154">
        <f t="shared" si="8"/>
        <v>46185</v>
      </c>
      <c r="L49" s="155">
        <v>46206</v>
      </c>
      <c r="M49" s="154">
        <f t="shared" si="9"/>
        <v>46227</v>
      </c>
      <c r="N49" s="154">
        <f t="shared" si="10"/>
        <v>46227</v>
      </c>
      <c r="O49" s="155">
        <v>46212</v>
      </c>
      <c r="P49" s="154">
        <f t="shared" si="11"/>
        <v>46269</v>
      </c>
      <c r="Q49" s="154">
        <f t="shared" si="12"/>
        <v>46269</v>
      </c>
      <c r="R49" s="154">
        <v>46276</v>
      </c>
      <c r="S49" s="155">
        <f t="shared" si="14"/>
        <v>46283</v>
      </c>
      <c r="T49" s="154">
        <f t="shared" si="13"/>
        <v>46283</v>
      </c>
      <c r="U49" s="154">
        <v>46276</v>
      </c>
      <c r="V49" s="217"/>
      <c r="X49" s="168" t="str">
        <f t="shared" ca="1" si="4"/>
        <v>Completed</v>
      </c>
      <c r="Y49" s="168" t="str">
        <f t="shared" ca="1" si="121"/>
        <v>Completed</v>
      </c>
      <c r="Z49" s="168" t="str">
        <f t="shared" ca="1" si="122"/>
        <v>Completed</v>
      </c>
      <c r="AA49" s="169" t="str">
        <f t="shared" ca="1" si="123"/>
        <v>Completed</v>
      </c>
    </row>
    <row r="50" spans="1:27" s="70" customFormat="1" ht="11.5" x14ac:dyDescent="0.25">
      <c r="A50" s="98" t="s">
        <v>66</v>
      </c>
      <c r="B50" s="98" t="s">
        <v>34</v>
      </c>
      <c r="C50" s="98" t="s">
        <v>100</v>
      </c>
      <c r="D50" s="92" t="s">
        <v>1226</v>
      </c>
      <c r="E50" s="100">
        <f t="shared" ref="E50:E51" si="180">(COUNTIFS(J50,"&lt;="&amp;$C$1)*50%)+(COUNTIFS(M50,"&lt;="&amp;$C$1)*20%)+(COUNTIFS(P50,"&lt;="&amp;$C$1)*10%)+(COUNTIFS(S50,"&lt;="&amp;$C$1)*20%)</f>
        <v>1</v>
      </c>
      <c r="F50" s="100">
        <f t="shared" ref="F50:F51" si="181">(COUNTIFS(K50,"&lt;="&amp;$C$1)*50%)+(COUNTIFS(N50,"&lt;="&amp;$C$1)*20%)+(COUNTIFS(Q50,"&lt;="&amp;$C$1)*10%)+(COUNTIFS(T50,"&lt;="&amp;$C$1)*20%)</f>
        <v>1</v>
      </c>
      <c r="G50" s="100">
        <f t="shared" si="141"/>
        <v>0.7</v>
      </c>
      <c r="H50" s="100">
        <f t="shared" ref="H50:H51" si="182">G50-E50</f>
        <v>-0.30000000000000004</v>
      </c>
      <c r="I50" s="95">
        <v>0.1</v>
      </c>
      <c r="J50" s="90">
        <v>46185</v>
      </c>
      <c r="K50" s="90">
        <f t="shared" ref="K50" si="183">J50</f>
        <v>46185</v>
      </c>
      <c r="L50" s="89">
        <v>46206</v>
      </c>
      <c r="M50" s="90">
        <f t="shared" ref="M50" si="184">J50+42</f>
        <v>46227</v>
      </c>
      <c r="N50" s="90">
        <f t="shared" ref="N50" si="185">M50</f>
        <v>46227</v>
      </c>
      <c r="O50" s="89">
        <v>46212</v>
      </c>
      <c r="P50" s="90">
        <f t="shared" ref="P50" si="186">M50+42</f>
        <v>46269</v>
      </c>
      <c r="Q50" s="90">
        <f t="shared" ref="Q50" si="187">P50</f>
        <v>46269</v>
      </c>
      <c r="R50" s="90"/>
      <c r="S50" s="89">
        <f t="shared" ref="S50" si="188">P50+14</f>
        <v>46283</v>
      </c>
      <c r="T50" s="90">
        <f t="shared" ref="T50" si="189">S50</f>
        <v>46283</v>
      </c>
      <c r="U50" s="90"/>
      <c r="V50" s="218"/>
      <c r="X50" s="168" t="str">
        <f t="shared" ca="1" si="4"/>
        <v>Completed</v>
      </c>
      <c r="Y50" s="168" t="str">
        <f t="shared" ca="1" si="121"/>
        <v>Completed</v>
      </c>
      <c r="Z50" s="168" t="str">
        <f t="shared" ca="1" si="122"/>
        <v>Overdue</v>
      </c>
      <c r="AA50" s="169" t="str">
        <f t="shared" ca="1" si="123"/>
        <v>Overdue</v>
      </c>
    </row>
    <row r="51" spans="1:27" s="70" customFormat="1" ht="11.5" x14ac:dyDescent="0.25">
      <c r="A51" s="173" t="s">
        <v>66</v>
      </c>
      <c r="B51" s="173" t="s">
        <v>34</v>
      </c>
      <c r="C51" s="151" t="s">
        <v>851</v>
      </c>
      <c r="D51" s="151" t="s">
        <v>1161</v>
      </c>
      <c r="E51" s="100">
        <f t="shared" si="180"/>
        <v>1</v>
      </c>
      <c r="F51" s="100">
        <f t="shared" si="181"/>
        <v>1</v>
      </c>
      <c r="G51" s="100">
        <f t="shared" si="141"/>
        <v>1</v>
      </c>
      <c r="H51" s="100">
        <f t="shared" si="182"/>
        <v>0</v>
      </c>
      <c r="I51" s="153">
        <v>0.3</v>
      </c>
      <c r="J51" s="154">
        <v>46122</v>
      </c>
      <c r="K51" s="154">
        <f t="shared" ref="K51" si="190">J51</f>
        <v>46122</v>
      </c>
      <c r="L51" s="155">
        <v>46115</v>
      </c>
      <c r="M51" s="155">
        <f t="shared" si="9"/>
        <v>46164</v>
      </c>
      <c r="N51" s="155">
        <f t="shared" si="10"/>
        <v>46164</v>
      </c>
      <c r="O51" s="155">
        <v>46191</v>
      </c>
      <c r="P51" s="155">
        <f t="shared" si="11"/>
        <v>46206</v>
      </c>
      <c r="Q51" s="155">
        <f t="shared" si="12"/>
        <v>46206</v>
      </c>
      <c r="R51" s="155">
        <v>46262</v>
      </c>
      <c r="S51" s="155">
        <f t="shared" si="14"/>
        <v>46220</v>
      </c>
      <c r="T51" s="155">
        <f t="shared" si="13"/>
        <v>46220</v>
      </c>
      <c r="U51" s="155">
        <v>46262</v>
      </c>
      <c r="V51" s="213"/>
      <c r="X51" s="168" t="str">
        <f t="shared" ca="1" si="4"/>
        <v>Completed</v>
      </c>
      <c r="Y51" s="168" t="str">
        <f t="shared" ca="1" si="121"/>
        <v>Completed</v>
      </c>
      <c r="Z51" s="168" t="str">
        <f t="shared" ca="1" si="122"/>
        <v>Completed</v>
      </c>
      <c r="AA51" s="169" t="str">
        <f t="shared" ca="1" si="123"/>
        <v>Completed</v>
      </c>
    </row>
    <row r="52" spans="1:27" s="70" customFormat="1" ht="11.5" x14ac:dyDescent="0.25">
      <c r="A52" s="173" t="s">
        <v>66</v>
      </c>
      <c r="B52" s="173" t="s">
        <v>34</v>
      </c>
      <c r="C52" s="151" t="s">
        <v>851</v>
      </c>
      <c r="D52" s="151" t="s">
        <v>1162</v>
      </c>
      <c r="E52" s="100">
        <f t="shared" ref="E52:E56" si="191">(COUNTIFS(J52,"&lt;="&amp;$C$1)*50%)+(COUNTIFS(M52,"&lt;="&amp;$C$1)*20%)+(COUNTIFS(P52,"&lt;="&amp;$C$1)*10%)+(COUNTIFS(S52,"&lt;="&amp;$C$1)*20%)</f>
        <v>1</v>
      </c>
      <c r="F52" s="100">
        <f t="shared" ref="F52:F56" si="192">(COUNTIFS(K52,"&lt;="&amp;$C$1)*50%)+(COUNTIFS(N52,"&lt;="&amp;$C$1)*20%)+(COUNTIFS(Q52,"&lt;="&amp;$C$1)*10%)+(COUNTIFS(T52,"&lt;="&amp;$C$1)*20%)</f>
        <v>1</v>
      </c>
      <c r="G52" s="100">
        <f t="shared" si="141"/>
        <v>1</v>
      </c>
      <c r="H52" s="100">
        <f t="shared" ref="H52:H56" si="193">G52-E52</f>
        <v>0</v>
      </c>
      <c r="I52" s="153">
        <v>0.1</v>
      </c>
      <c r="J52" s="154">
        <v>46122</v>
      </c>
      <c r="K52" s="154">
        <f t="shared" si="8"/>
        <v>46122</v>
      </c>
      <c r="L52" s="155">
        <v>46115</v>
      </c>
      <c r="M52" s="155">
        <f t="shared" ref="M52:M58" si="194">J52+42</f>
        <v>46164</v>
      </c>
      <c r="N52" s="155">
        <f t="shared" ref="N52:N58" si="195">M52</f>
        <v>46164</v>
      </c>
      <c r="O52" s="155">
        <v>46191</v>
      </c>
      <c r="P52" s="155">
        <f t="shared" ref="P52:P58" si="196">M52+42</f>
        <v>46206</v>
      </c>
      <c r="Q52" s="155">
        <f t="shared" ref="Q52:Q58" si="197">P52</f>
        <v>46206</v>
      </c>
      <c r="R52" s="155">
        <v>46276</v>
      </c>
      <c r="S52" s="155">
        <f t="shared" ref="S52:S58" si="198">P52+14</f>
        <v>46220</v>
      </c>
      <c r="T52" s="155">
        <f t="shared" ref="T52:T58" si="199">S52</f>
        <v>46220</v>
      </c>
      <c r="U52" s="154">
        <v>46276</v>
      </c>
      <c r="V52" s="217"/>
      <c r="X52" s="168" t="str">
        <f t="shared" ca="1" si="4"/>
        <v>Completed</v>
      </c>
      <c r="Y52" s="168" t="str">
        <f t="shared" ca="1" si="121"/>
        <v>Completed</v>
      </c>
      <c r="Z52" s="168" t="str">
        <f t="shared" ca="1" si="122"/>
        <v>Completed</v>
      </c>
      <c r="AA52" s="169" t="str">
        <f t="shared" ca="1" si="123"/>
        <v>Completed</v>
      </c>
    </row>
    <row r="53" spans="1:27" s="70" customFormat="1" ht="11.5" x14ac:dyDescent="0.25">
      <c r="A53" s="173" t="s">
        <v>66</v>
      </c>
      <c r="B53" s="173" t="s">
        <v>34</v>
      </c>
      <c r="C53" s="151" t="s">
        <v>852</v>
      </c>
      <c r="D53" s="151" t="s">
        <v>1163</v>
      </c>
      <c r="E53" s="100">
        <f t="shared" si="191"/>
        <v>1</v>
      </c>
      <c r="F53" s="100">
        <f t="shared" si="192"/>
        <v>1</v>
      </c>
      <c r="G53" s="100">
        <f t="shared" si="141"/>
        <v>1</v>
      </c>
      <c r="H53" s="100">
        <f t="shared" si="193"/>
        <v>0</v>
      </c>
      <c r="I53" s="153">
        <v>0.3</v>
      </c>
      <c r="J53" s="154">
        <v>46129</v>
      </c>
      <c r="K53" s="154">
        <f t="shared" ref="K53" si="200">J53</f>
        <v>46129</v>
      </c>
      <c r="L53" s="155">
        <v>46142</v>
      </c>
      <c r="M53" s="154">
        <f t="shared" ref="M53" si="201">J53+42</f>
        <v>46171</v>
      </c>
      <c r="N53" s="154">
        <f t="shared" ref="N53" si="202">M53</f>
        <v>46171</v>
      </c>
      <c r="O53" s="155">
        <v>46191</v>
      </c>
      <c r="P53" s="154">
        <f t="shared" ref="P53" si="203">M53+42</f>
        <v>46213</v>
      </c>
      <c r="Q53" s="154">
        <f t="shared" ref="Q53" si="204">P53</f>
        <v>46213</v>
      </c>
      <c r="R53" s="155">
        <v>46262</v>
      </c>
      <c r="S53" s="155">
        <f t="shared" ref="S53" si="205">P53+14</f>
        <v>46227</v>
      </c>
      <c r="T53" s="154">
        <f t="shared" ref="T53" si="206">S53</f>
        <v>46227</v>
      </c>
      <c r="U53" s="155">
        <v>46262</v>
      </c>
      <c r="V53" s="213"/>
      <c r="X53" s="168" t="str">
        <f t="shared" ca="1" si="4"/>
        <v>Completed</v>
      </c>
      <c r="Y53" s="168" t="str">
        <f t="shared" ca="1" si="121"/>
        <v>Completed</v>
      </c>
      <c r="Z53" s="168" t="str">
        <f t="shared" ca="1" si="122"/>
        <v>Completed</v>
      </c>
      <c r="AA53" s="169" t="str">
        <f t="shared" ca="1" si="123"/>
        <v>Completed</v>
      </c>
    </row>
    <row r="54" spans="1:27" s="70" customFormat="1" ht="11.5" x14ac:dyDescent="0.25">
      <c r="A54" s="173" t="s">
        <v>66</v>
      </c>
      <c r="B54" s="173" t="s">
        <v>34</v>
      </c>
      <c r="C54" s="151" t="s">
        <v>852</v>
      </c>
      <c r="D54" s="151" t="s">
        <v>1147</v>
      </c>
      <c r="E54" s="100">
        <f t="shared" si="191"/>
        <v>1</v>
      </c>
      <c r="F54" s="100">
        <f t="shared" si="192"/>
        <v>1</v>
      </c>
      <c r="G54" s="100">
        <f t="shared" si="141"/>
        <v>1</v>
      </c>
      <c r="H54" s="100">
        <f t="shared" si="193"/>
        <v>0</v>
      </c>
      <c r="I54" s="153">
        <v>0.1</v>
      </c>
      <c r="J54" s="154">
        <v>46129</v>
      </c>
      <c r="K54" s="154">
        <f t="shared" si="8"/>
        <v>46129</v>
      </c>
      <c r="L54" s="155">
        <v>46142</v>
      </c>
      <c r="M54" s="154">
        <f t="shared" si="194"/>
        <v>46171</v>
      </c>
      <c r="N54" s="154">
        <f t="shared" si="195"/>
        <v>46171</v>
      </c>
      <c r="O54" s="155">
        <v>46191</v>
      </c>
      <c r="P54" s="154">
        <f t="shared" si="196"/>
        <v>46213</v>
      </c>
      <c r="Q54" s="154">
        <f t="shared" si="197"/>
        <v>46213</v>
      </c>
      <c r="R54" s="154">
        <v>46276</v>
      </c>
      <c r="S54" s="155">
        <f t="shared" si="198"/>
        <v>46227</v>
      </c>
      <c r="T54" s="154">
        <f t="shared" si="199"/>
        <v>46227</v>
      </c>
      <c r="U54" s="154">
        <v>46276</v>
      </c>
      <c r="V54" s="217"/>
      <c r="X54" s="168" t="str">
        <f t="shared" ca="1" si="4"/>
        <v>Completed</v>
      </c>
      <c r="Y54" s="168" t="str">
        <f t="shared" ca="1" si="121"/>
        <v>Completed</v>
      </c>
      <c r="Z54" s="168" t="str">
        <f t="shared" ca="1" si="122"/>
        <v>Completed</v>
      </c>
      <c r="AA54" s="169" t="str">
        <f t="shared" ca="1" si="123"/>
        <v>Completed</v>
      </c>
    </row>
    <row r="55" spans="1:27" s="70" customFormat="1" ht="11.5" x14ac:dyDescent="0.25">
      <c r="A55" s="151" t="s">
        <v>66</v>
      </c>
      <c r="B55" s="151" t="s">
        <v>34</v>
      </c>
      <c r="C55" s="151" t="s">
        <v>853</v>
      </c>
      <c r="D55" s="151" t="s">
        <v>1164</v>
      </c>
      <c r="E55" s="100">
        <f t="shared" si="191"/>
        <v>1</v>
      </c>
      <c r="F55" s="100">
        <f t="shared" si="192"/>
        <v>1</v>
      </c>
      <c r="G55" s="100">
        <f t="shared" si="141"/>
        <v>1</v>
      </c>
      <c r="H55" s="100">
        <f t="shared" si="193"/>
        <v>0</v>
      </c>
      <c r="I55" s="153">
        <v>0.2</v>
      </c>
      <c r="J55" s="154">
        <v>46142</v>
      </c>
      <c r="K55" s="154">
        <f t="shared" si="8"/>
        <v>46142</v>
      </c>
      <c r="L55" s="155">
        <v>46199</v>
      </c>
      <c r="M55" s="155">
        <f t="shared" si="194"/>
        <v>46184</v>
      </c>
      <c r="N55" s="155">
        <f t="shared" si="195"/>
        <v>46184</v>
      </c>
      <c r="O55" s="155">
        <v>46199</v>
      </c>
      <c r="P55" s="155">
        <f t="shared" si="196"/>
        <v>46226</v>
      </c>
      <c r="Q55" s="155">
        <f t="shared" si="197"/>
        <v>46226</v>
      </c>
      <c r="R55" s="155">
        <v>46213</v>
      </c>
      <c r="S55" s="155">
        <f t="shared" si="198"/>
        <v>46240</v>
      </c>
      <c r="T55" s="155">
        <f t="shared" si="199"/>
        <v>46240</v>
      </c>
      <c r="U55" s="155">
        <v>46240</v>
      </c>
      <c r="V55" s="213"/>
      <c r="X55" s="168" t="str">
        <f t="shared" ca="1" si="4"/>
        <v>Completed</v>
      </c>
      <c r="Y55" s="168" t="str">
        <f t="shared" ca="1" si="121"/>
        <v>Completed</v>
      </c>
      <c r="Z55" s="168" t="str">
        <f t="shared" ca="1" si="122"/>
        <v>Completed</v>
      </c>
      <c r="AA55" s="169" t="str">
        <f t="shared" ca="1" si="123"/>
        <v>Completed</v>
      </c>
    </row>
    <row r="56" spans="1:27" s="70" customFormat="1" ht="11.5" x14ac:dyDescent="0.25">
      <c r="A56" s="173" t="s">
        <v>66</v>
      </c>
      <c r="B56" s="173" t="s">
        <v>34</v>
      </c>
      <c r="C56" s="151" t="s">
        <v>853</v>
      </c>
      <c r="D56" s="151" t="s">
        <v>1165</v>
      </c>
      <c r="E56" s="100">
        <f t="shared" si="191"/>
        <v>1</v>
      </c>
      <c r="F56" s="100">
        <f t="shared" si="192"/>
        <v>1</v>
      </c>
      <c r="G56" s="100">
        <f t="shared" si="141"/>
        <v>1</v>
      </c>
      <c r="H56" s="100">
        <f t="shared" si="193"/>
        <v>0</v>
      </c>
      <c r="I56" s="153"/>
      <c r="J56" s="154">
        <v>46195</v>
      </c>
      <c r="K56" s="154">
        <f t="shared" si="8"/>
        <v>46195</v>
      </c>
      <c r="L56" s="155">
        <v>46213</v>
      </c>
      <c r="M56" s="155">
        <f t="shared" ref="M56" si="207">J56+42</f>
        <v>46237</v>
      </c>
      <c r="N56" s="155">
        <f t="shared" ref="N56" si="208">M56</f>
        <v>46237</v>
      </c>
      <c r="O56" s="155">
        <v>46213</v>
      </c>
      <c r="P56" s="155">
        <f t="shared" ref="P56" si="209">M56+42</f>
        <v>46279</v>
      </c>
      <c r="Q56" s="155">
        <f t="shared" ref="Q56" si="210">P56</f>
        <v>46279</v>
      </c>
      <c r="R56" s="155">
        <v>46213</v>
      </c>
      <c r="S56" s="155">
        <f t="shared" ref="S56" si="211">P56+14</f>
        <v>46293</v>
      </c>
      <c r="T56" s="155">
        <f t="shared" ref="T56" si="212">S56</f>
        <v>46293</v>
      </c>
      <c r="U56" s="154">
        <v>46276</v>
      </c>
      <c r="V56" s="217"/>
      <c r="X56" s="168" t="str">
        <f t="shared" ca="1" si="4"/>
        <v>Completed</v>
      </c>
      <c r="Y56" s="168" t="str">
        <f t="shared" ca="1" si="121"/>
        <v>Completed</v>
      </c>
      <c r="Z56" s="168" t="str">
        <f t="shared" ca="1" si="122"/>
        <v>Completed</v>
      </c>
      <c r="AA56" s="169" t="str">
        <f t="shared" ca="1" si="123"/>
        <v>Completed</v>
      </c>
    </row>
    <row r="57" spans="1:27" s="70" customFormat="1" ht="11.5" x14ac:dyDescent="0.25">
      <c r="A57" s="92" t="s">
        <v>66</v>
      </c>
      <c r="B57" s="92" t="s">
        <v>34</v>
      </c>
      <c r="C57" s="98" t="s">
        <v>847</v>
      </c>
      <c r="D57" s="92" t="s">
        <v>849</v>
      </c>
      <c r="E57" s="100">
        <f t="shared" ref="E57:E58" si="213">(COUNTIFS(J57,"&lt;="&amp;$C$1)*50%)+(COUNTIFS(M57,"&lt;="&amp;$C$1)*20%)+(COUNTIFS(P57,"&lt;="&amp;$C$1)*10%)+(COUNTIFS(S57,"&lt;="&amp;$C$1)*20%)</f>
        <v>1</v>
      </c>
      <c r="F57" s="100">
        <f t="shared" ref="F57:F58" si="214">(COUNTIFS(K57,"&lt;="&amp;$C$1)*50%)+(COUNTIFS(N57,"&lt;="&amp;$C$1)*20%)+(COUNTIFS(Q57,"&lt;="&amp;$C$1)*10%)+(COUNTIFS(T57,"&lt;="&amp;$C$1)*20%)</f>
        <v>1</v>
      </c>
      <c r="G57" s="100">
        <f t="shared" si="141"/>
        <v>1</v>
      </c>
      <c r="H57" s="100">
        <f t="shared" ref="H57:H58" si="215">G57-E57</f>
        <v>0</v>
      </c>
      <c r="I57" s="95">
        <v>0.2</v>
      </c>
      <c r="J57" s="90">
        <v>46157</v>
      </c>
      <c r="K57" s="90">
        <f t="shared" si="8"/>
        <v>46157</v>
      </c>
      <c r="L57" s="89">
        <v>46150</v>
      </c>
      <c r="M57" s="89">
        <f t="shared" si="194"/>
        <v>46199</v>
      </c>
      <c r="N57" s="89">
        <f t="shared" si="195"/>
        <v>46199</v>
      </c>
      <c r="O57" s="89">
        <v>46191</v>
      </c>
      <c r="P57" s="89">
        <f t="shared" si="196"/>
        <v>46241</v>
      </c>
      <c r="Q57" s="89">
        <f t="shared" si="197"/>
        <v>46241</v>
      </c>
      <c r="R57" s="89">
        <v>46227</v>
      </c>
      <c r="S57" s="89">
        <f t="shared" si="198"/>
        <v>46255</v>
      </c>
      <c r="T57" s="89">
        <f t="shared" si="199"/>
        <v>46255</v>
      </c>
      <c r="U57" s="90">
        <v>46239</v>
      </c>
      <c r="V57" s="218"/>
      <c r="X57" s="168" t="str">
        <f t="shared" ca="1" si="4"/>
        <v>Completed</v>
      </c>
      <c r="Y57" s="168" t="str">
        <f t="shared" ca="1" si="121"/>
        <v>Completed</v>
      </c>
      <c r="Z57" s="168" t="str">
        <f t="shared" ca="1" si="122"/>
        <v>Completed</v>
      </c>
      <c r="AA57" s="169" t="str">
        <f t="shared" ca="1" si="123"/>
        <v>Completed</v>
      </c>
    </row>
    <row r="58" spans="1:27" s="70" customFormat="1" ht="11.5" x14ac:dyDescent="0.25">
      <c r="A58" s="98" t="s">
        <v>66</v>
      </c>
      <c r="B58" s="98" t="s">
        <v>34</v>
      </c>
      <c r="C58" s="98" t="s">
        <v>848</v>
      </c>
      <c r="D58" s="92" t="s">
        <v>850</v>
      </c>
      <c r="E58" s="94">
        <f t="shared" si="213"/>
        <v>1</v>
      </c>
      <c r="F58" s="94">
        <f t="shared" si="214"/>
        <v>1</v>
      </c>
      <c r="G58" s="94">
        <f t="shared" si="141"/>
        <v>1</v>
      </c>
      <c r="H58" s="94">
        <f t="shared" si="215"/>
        <v>0</v>
      </c>
      <c r="I58" s="95">
        <v>0.2</v>
      </c>
      <c r="J58" s="90">
        <v>46157</v>
      </c>
      <c r="K58" s="90">
        <f t="shared" si="8"/>
        <v>46157</v>
      </c>
      <c r="L58" s="89">
        <v>46150</v>
      </c>
      <c r="M58" s="89">
        <f t="shared" si="194"/>
        <v>46199</v>
      </c>
      <c r="N58" s="89">
        <f t="shared" si="195"/>
        <v>46199</v>
      </c>
      <c r="O58" s="89">
        <v>46191</v>
      </c>
      <c r="P58" s="89">
        <f t="shared" si="196"/>
        <v>46241</v>
      </c>
      <c r="Q58" s="89">
        <f t="shared" si="197"/>
        <v>46241</v>
      </c>
      <c r="R58" s="89">
        <v>46227</v>
      </c>
      <c r="S58" s="89">
        <f t="shared" si="198"/>
        <v>46255</v>
      </c>
      <c r="T58" s="89">
        <f t="shared" si="199"/>
        <v>46255</v>
      </c>
      <c r="U58" s="90">
        <v>46239</v>
      </c>
      <c r="V58" s="218"/>
      <c r="X58" s="168" t="str">
        <f t="shared" ca="1" si="4"/>
        <v>Completed</v>
      </c>
      <c r="Y58" s="168" t="str">
        <f t="shared" ca="1" si="121"/>
        <v>Completed</v>
      </c>
      <c r="Z58" s="168" t="str">
        <f t="shared" ca="1" si="122"/>
        <v>Completed</v>
      </c>
      <c r="AA58" s="169" t="str">
        <f t="shared" ca="1" si="123"/>
        <v>Completed</v>
      </c>
    </row>
    <row r="59" spans="1:27" s="70" customFormat="1" ht="11.5" x14ac:dyDescent="0.25">
      <c r="A59" s="92" t="s">
        <v>66</v>
      </c>
      <c r="B59" s="92" t="s">
        <v>34</v>
      </c>
      <c r="C59" s="98" t="s">
        <v>841</v>
      </c>
      <c r="D59" s="99" t="s">
        <v>843</v>
      </c>
      <c r="E59" s="100">
        <f t="shared" ref="E59:E60" si="216">(COUNTIFS(J59,"&lt;="&amp;$C$1)*50%)+(COUNTIFS(M59,"&lt;="&amp;$C$1)*20%)+(COUNTIFS(P59,"&lt;="&amp;$C$1)*10%)+(COUNTIFS(S59,"&lt;="&amp;$C$1)*20%)</f>
        <v>1</v>
      </c>
      <c r="F59" s="100">
        <f t="shared" ref="F59:F60" si="217">(COUNTIFS(K59,"&lt;="&amp;$C$1)*50%)+(COUNTIFS(N59,"&lt;="&amp;$C$1)*20%)+(COUNTIFS(Q59,"&lt;="&amp;$C$1)*10%)+(COUNTIFS(T59,"&lt;="&amp;$C$1)*20%)</f>
        <v>1</v>
      </c>
      <c r="G59" s="100">
        <f t="shared" si="141"/>
        <v>1</v>
      </c>
      <c r="H59" s="100">
        <f t="shared" ref="H59:H60" si="218">G59-E59</f>
        <v>0</v>
      </c>
      <c r="I59" s="95">
        <v>0.2</v>
      </c>
      <c r="J59" s="90">
        <v>46143</v>
      </c>
      <c r="K59" s="90">
        <f t="shared" ref="K59" si="219">J59</f>
        <v>46143</v>
      </c>
      <c r="L59" s="89">
        <v>46142</v>
      </c>
      <c r="M59" s="89">
        <f t="shared" ref="M59" si="220">J59+42</f>
        <v>46185</v>
      </c>
      <c r="N59" s="89">
        <f t="shared" ref="N59" si="221">M59</f>
        <v>46185</v>
      </c>
      <c r="O59" s="89">
        <v>46191</v>
      </c>
      <c r="P59" s="89">
        <f t="shared" ref="P59" si="222">M59+42</f>
        <v>46227</v>
      </c>
      <c r="Q59" s="89">
        <f t="shared" ref="Q59" si="223">P59</f>
        <v>46227</v>
      </c>
      <c r="R59" s="146">
        <v>46202</v>
      </c>
      <c r="S59" s="89">
        <f t="shared" ref="S59" si="224">P59+14</f>
        <v>46241</v>
      </c>
      <c r="T59" s="89">
        <f t="shared" ref="T59" si="225">S59</f>
        <v>46241</v>
      </c>
      <c r="U59" s="90">
        <v>46209</v>
      </c>
      <c r="V59" s="218"/>
      <c r="X59" s="168" t="str">
        <f t="shared" ca="1" si="4"/>
        <v>Completed</v>
      </c>
      <c r="Y59" s="168" t="str">
        <f t="shared" ca="1" si="121"/>
        <v>Completed</v>
      </c>
      <c r="Z59" s="168" t="str">
        <f t="shared" ca="1" si="122"/>
        <v>Completed</v>
      </c>
      <c r="AA59" s="169" t="str">
        <f t="shared" ca="1" si="123"/>
        <v>Completed</v>
      </c>
    </row>
    <row r="60" spans="1:27" s="70" customFormat="1" ht="11.5" x14ac:dyDescent="0.25">
      <c r="A60" s="98" t="s">
        <v>66</v>
      </c>
      <c r="B60" s="98" t="s">
        <v>34</v>
      </c>
      <c r="C60" s="98" t="s">
        <v>842</v>
      </c>
      <c r="D60" s="99" t="s">
        <v>844</v>
      </c>
      <c r="E60" s="94">
        <f t="shared" si="216"/>
        <v>1</v>
      </c>
      <c r="F60" s="94">
        <f t="shared" si="217"/>
        <v>1</v>
      </c>
      <c r="G60" s="94">
        <f t="shared" si="141"/>
        <v>1</v>
      </c>
      <c r="H60" s="94">
        <f t="shared" si="218"/>
        <v>0</v>
      </c>
      <c r="I60" s="95">
        <v>0.2</v>
      </c>
      <c r="J60" s="90">
        <v>46143</v>
      </c>
      <c r="K60" s="90">
        <f t="shared" ref="K60:K64" si="226">J60</f>
        <v>46143</v>
      </c>
      <c r="L60" s="89">
        <v>46142</v>
      </c>
      <c r="M60" s="89">
        <f t="shared" ref="M60:M64" si="227">J60+42</f>
        <v>46185</v>
      </c>
      <c r="N60" s="89">
        <f t="shared" ref="N60:N61" si="228">M60</f>
        <v>46185</v>
      </c>
      <c r="O60" s="89">
        <v>46191</v>
      </c>
      <c r="P60" s="89">
        <f t="shared" ref="P60:P64" si="229">M60+42</f>
        <v>46227</v>
      </c>
      <c r="Q60" s="89">
        <f t="shared" ref="Q60:Q61" si="230">P60</f>
        <v>46227</v>
      </c>
      <c r="R60" s="89">
        <v>46254</v>
      </c>
      <c r="S60" s="89">
        <f t="shared" ref="S60:T64" si="231">P60+14</f>
        <v>46241</v>
      </c>
      <c r="T60" s="89">
        <f t="shared" ref="T60:T62" si="232">S60</f>
        <v>46241</v>
      </c>
      <c r="U60" s="90">
        <v>46269</v>
      </c>
      <c r="V60" s="218"/>
      <c r="X60" s="168" t="str">
        <f t="shared" ca="1" si="4"/>
        <v>Completed</v>
      </c>
      <c r="Y60" s="168" t="str">
        <f t="shared" ca="1" si="121"/>
        <v>Completed</v>
      </c>
      <c r="Z60" s="168" t="str">
        <f t="shared" ca="1" si="122"/>
        <v>Completed</v>
      </c>
      <c r="AA60" s="169" t="str">
        <f t="shared" ca="1" si="123"/>
        <v>Completed</v>
      </c>
    </row>
    <row r="61" spans="1:27" s="70" customFormat="1" ht="11.5" x14ac:dyDescent="0.25">
      <c r="A61" s="92" t="s">
        <v>66</v>
      </c>
      <c r="B61" s="92" t="s">
        <v>34</v>
      </c>
      <c r="C61" s="98" t="s">
        <v>845</v>
      </c>
      <c r="D61" s="99" t="s">
        <v>846</v>
      </c>
      <c r="E61" s="94">
        <f t="shared" ref="E61:E64" si="233">(COUNTIFS(J61,"&lt;="&amp;$C$1)*50%)+(COUNTIFS(M61,"&lt;="&amp;$C$1)*20%)+(COUNTIFS(P61,"&lt;="&amp;$C$1)*10%)+(COUNTIFS(S61,"&lt;="&amp;$C$1)*20%)</f>
        <v>1</v>
      </c>
      <c r="F61" s="94">
        <f t="shared" ref="F61:F64" si="234">(COUNTIFS(K61,"&lt;="&amp;$C$1)*50%)+(COUNTIFS(N61,"&lt;="&amp;$C$1)*20%)+(COUNTIFS(Q61,"&lt;="&amp;$C$1)*10%)+(COUNTIFS(T61,"&lt;="&amp;$C$1)*20%)</f>
        <v>1</v>
      </c>
      <c r="G61" s="94">
        <f t="shared" si="141"/>
        <v>1</v>
      </c>
      <c r="H61" s="94">
        <f t="shared" ref="H61:H64" si="235">G61-E61</f>
        <v>0</v>
      </c>
      <c r="I61" s="95">
        <v>0.2</v>
      </c>
      <c r="J61" s="90">
        <v>46157</v>
      </c>
      <c r="K61" s="90">
        <f t="shared" si="226"/>
        <v>46157</v>
      </c>
      <c r="L61" s="89">
        <v>46150</v>
      </c>
      <c r="M61" s="89">
        <f t="shared" si="227"/>
        <v>46199</v>
      </c>
      <c r="N61" s="89">
        <f t="shared" si="228"/>
        <v>46199</v>
      </c>
      <c r="O61" s="89">
        <v>46191</v>
      </c>
      <c r="P61" s="89">
        <f t="shared" si="229"/>
        <v>46241</v>
      </c>
      <c r="Q61" s="89">
        <f t="shared" si="230"/>
        <v>46241</v>
      </c>
      <c r="R61" s="146">
        <v>46204</v>
      </c>
      <c r="S61" s="89">
        <f t="shared" si="231"/>
        <v>46255</v>
      </c>
      <c r="T61" s="89">
        <f t="shared" si="232"/>
        <v>46255</v>
      </c>
      <c r="U61" s="90">
        <v>46223</v>
      </c>
      <c r="V61" s="218"/>
      <c r="X61" s="168" t="str">
        <f t="shared" ca="1" si="4"/>
        <v>Completed</v>
      </c>
      <c r="Y61" s="168" t="str">
        <f t="shared" ca="1" si="121"/>
        <v>Completed</v>
      </c>
      <c r="Z61" s="168" t="str">
        <f t="shared" ca="1" si="122"/>
        <v>Completed</v>
      </c>
      <c r="AA61" s="169" t="str">
        <f t="shared" ca="1" si="123"/>
        <v>Completed</v>
      </c>
    </row>
    <row r="62" spans="1:27" s="70" customFormat="1" ht="11.5" x14ac:dyDescent="0.25">
      <c r="A62" s="173" t="s">
        <v>66</v>
      </c>
      <c r="B62" s="151" t="s">
        <v>34</v>
      </c>
      <c r="C62" s="151" t="s">
        <v>854</v>
      </c>
      <c r="D62" s="206" t="s">
        <v>1218</v>
      </c>
      <c r="E62" s="152">
        <f t="shared" si="233"/>
        <v>1</v>
      </c>
      <c r="F62" s="152">
        <f t="shared" si="234"/>
        <v>1</v>
      </c>
      <c r="G62" s="152">
        <f t="shared" si="141"/>
        <v>1</v>
      </c>
      <c r="H62" s="152">
        <f t="shared" si="235"/>
        <v>0</v>
      </c>
      <c r="I62" s="153">
        <v>0.3</v>
      </c>
      <c r="J62" s="154">
        <v>46185</v>
      </c>
      <c r="K62" s="154">
        <f t="shared" si="226"/>
        <v>46185</v>
      </c>
      <c r="L62" s="154">
        <v>46171</v>
      </c>
      <c r="M62" s="155">
        <f t="shared" si="227"/>
        <v>46227</v>
      </c>
      <c r="N62" s="155">
        <f t="shared" ref="N62" si="236">K62+42</f>
        <v>46227</v>
      </c>
      <c r="O62" s="155">
        <v>46240</v>
      </c>
      <c r="P62" s="155">
        <f t="shared" si="229"/>
        <v>46269</v>
      </c>
      <c r="Q62" s="155">
        <f t="shared" ref="Q62:Q64" si="237">N62+42</f>
        <v>46269</v>
      </c>
      <c r="R62" s="155">
        <v>46283</v>
      </c>
      <c r="S62" s="155">
        <f t="shared" si="231"/>
        <v>46283</v>
      </c>
      <c r="T62" s="155">
        <f t="shared" si="232"/>
        <v>46283</v>
      </c>
      <c r="U62" s="154">
        <v>46283</v>
      </c>
      <c r="V62" s="217"/>
      <c r="X62" s="168" t="str">
        <f t="shared" ca="1" si="4"/>
        <v>Completed</v>
      </c>
      <c r="Y62" s="168" t="str">
        <f t="shared" ca="1" si="121"/>
        <v>Completed</v>
      </c>
      <c r="Z62" s="168" t="str">
        <f t="shared" ca="1" si="122"/>
        <v>Completed</v>
      </c>
      <c r="AA62" s="169" t="str">
        <f t="shared" ca="1" si="123"/>
        <v>Completed</v>
      </c>
    </row>
    <row r="63" spans="1:27" s="70" customFormat="1" ht="11.5" x14ac:dyDescent="0.25">
      <c r="A63" s="92" t="s">
        <v>66</v>
      </c>
      <c r="B63" s="98" t="s">
        <v>34</v>
      </c>
      <c r="C63" s="98" t="s">
        <v>854</v>
      </c>
      <c r="D63" s="92" t="s">
        <v>1219</v>
      </c>
      <c r="E63" s="94">
        <f t="shared" ref="E63" si="238">(COUNTIFS(J63,"&lt;="&amp;$C$1)*50%)+(COUNTIFS(M63,"&lt;="&amp;$C$1)*20%)+(COUNTIFS(P63,"&lt;="&amp;$C$1)*10%)+(COUNTIFS(S63,"&lt;="&amp;$C$1)*20%)</f>
        <v>1</v>
      </c>
      <c r="F63" s="94">
        <f t="shared" ref="F63" si="239">(COUNTIFS(K63,"&lt;="&amp;$C$1)*50%)+(COUNTIFS(N63,"&lt;="&amp;$C$1)*20%)+(COUNTIFS(Q63,"&lt;="&amp;$C$1)*10%)+(COUNTIFS(T63,"&lt;="&amp;$C$1)*20%)</f>
        <v>1</v>
      </c>
      <c r="G63" s="94">
        <f t="shared" si="141"/>
        <v>0.7</v>
      </c>
      <c r="H63" s="94">
        <f t="shared" ref="H63" si="240">G63-E63</f>
        <v>-0.30000000000000004</v>
      </c>
      <c r="I63" s="95">
        <v>0.2</v>
      </c>
      <c r="J63" s="90">
        <v>46185</v>
      </c>
      <c r="K63" s="90">
        <f t="shared" ref="K63" si="241">J63</f>
        <v>46185</v>
      </c>
      <c r="L63" s="90">
        <v>46171</v>
      </c>
      <c r="M63" s="89">
        <f t="shared" ref="M63" si="242">J63+42</f>
        <v>46227</v>
      </c>
      <c r="N63" s="89">
        <f t="shared" ref="N63" si="243">K63+42</f>
        <v>46227</v>
      </c>
      <c r="O63" s="89">
        <v>46240</v>
      </c>
      <c r="P63" s="89">
        <f t="shared" ref="P63" si="244">M63+42</f>
        <v>46269</v>
      </c>
      <c r="Q63" s="89">
        <f t="shared" ref="Q63" si="245">N63+42</f>
        <v>46269</v>
      </c>
      <c r="R63" s="89"/>
      <c r="S63" s="89">
        <f t="shared" ref="S63" si="246">P63+14</f>
        <v>46283</v>
      </c>
      <c r="T63" s="89">
        <f t="shared" ref="T63" si="247">S63</f>
        <v>46283</v>
      </c>
      <c r="U63" s="90"/>
      <c r="V63" s="218"/>
      <c r="X63" s="168" t="str">
        <f t="shared" ca="1" si="4"/>
        <v>Completed</v>
      </c>
      <c r="Y63" s="168" t="str">
        <f t="shared" ca="1" si="121"/>
        <v>Completed</v>
      </c>
      <c r="Z63" s="168" t="str">
        <f t="shared" ca="1" si="122"/>
        <v>Overdue</v>
      </c>
      <c r="AA63" s="169" t="str">
        <f t="shared" ca="1" si="123"/>
        <v>Overdue</v>
      </c>
    </row>
    <row r="64" spans="1:27" s="70" customFormat="1" ht="11.5" x14ac:dyDescent="0.25">
      <c r="A64" s="92" t="s">
        <v>66</v>
      </c>
      <c r="B64" s="92" t="s">
        <v>34</v>
      </c>
      <c r="C64" s="92" t="s">
        <v>893</v>
      </c>
      <c r="D64" s="92" t="s">
        <v>894</v>
      </c>
      <c r="E64" s="94">
        <f t="shared" si="233"/>
        <v>0.5</v>
      </c>
      <c r="F64" s="94">
        <f t="shared" si="234"/>
        <v>0.5</v>
      </c>
      <c r="G64" s="94">
        <f t="shared" si="141"/>
        <v>0.5</v>
      </c>
      <c r="H64" s="94">
        <f t="shared" si="235"/>
        <v>0</v>
      </c>
      <c r="I64" s="95"/>
      <c r="J64" s="89">
        <v>46302</v>
      </c>
      <c r="K64" s="89">
        <f t="shared" si="226"/>
        <v>46302</v>
      </c>
      <c r="L64" s="89">
        <v>46289</v>
      </c>
      <c r="M64" s="89">
        <f t="shared" si="227"/>
        <v>46344</v>
      </c>
      <c r="N64" s="89">
        <f t="shared" ref="N64" si="248">M64</f>
        <v>46344</v>
      </c>
      <c r="O64" s="89"/>
      <c r="P64" s="89">
        <f t="shared" si="229"/>
        <v>46386</v>
      </c>
      <c r="Q64" s="89">
        <f t="shared" si="237"/>
        <v>46386</v>
      </c>
      <c r="R64" s="89"/>
      <c r="S64" s="89">
        <f t="shared" si="231"/>
        <v>46400</v>
      </c>
      <c r="T64" s="89">
        <f t="shared" si="231"/>
        <v>46400</v>
      </c>
      <c r="U64" s="90"/>
      <c r="V64" s="218"/>
      <c r="X64" s="168" t="str">
        <f t="shared" ca="1" si="4"/>
        <v>Completed</v>
      </c>
      <c r="Y64" s="168" t="str">
        <f t="shared" ca="1" si="121"/>
        <v/>
      </c>
      <c r="Z64" s="168" t="str">
        <f t="shared" ca="1" si="122"/>
        <v/>
      </c>
      <c r="AA64" s="169" t="str">
        <f t="shared" ca="1" si="123"/>
        <v/>
      </c>
    </row>
    <row r="65" spans="1:27" s="70" customFormat="1" ht="11.5" x14ac:dyDescent="0.25">
      <c r="A65" s="71" t="s">
        <v>66</v>
      </c>
      <c r="B65" s="71" t="s">
        <v>34</v>
      </c>
      <c r="C65" s="71" t="s">
        <v>911</v>
      </c>
      <c r="D65" s="71" t="s">
        <v>773</v>
      </c>
      <c r="E65" s="81">
        <f t="shared" ref="E65:E67" si="249">(COUNTIFS(J65,"&lt;="&amp;$C$1)*50%)+(COUNTIFS(M65,"&lt;="&amp;$C$1)*20%)+(COUNTIFS(P65,"&lt;="&amp;$C$1)*10%)+(COUNTIFS(S65,"&lt;="&amp;$C$1)*20%)</f>
        <v>0</v>
      </c>
      <c r="F65" s="81">
        <f t="shared" ref="F65:F67" si="250">(COUNTIFS(K65,"&lt;="&amp;$C$1)*50%)+(COUNTIFS(N65,"&lt;="&amp;$C$1)*20%)+(COUNTIFS(Q65,"&lt;="&amp;$C$1)*10%)+(COUNTIFS(T65,"&lt;="&amp;$C$1)*20%)</f>
        <v>0</v>
      </c>
      <c r="G65" s="81">
        <f t="shared" si="141"/>
        <v>0</v>
      </c>
      <c r="H65" s="81">
        <f t="shared" ref="H65:H67" si="251">G65-E65</f>
        <v>0</v>
      </c>
      <c r="I65" s="82">
        <v>0.2</v>
      </c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212"/>
      <c r="X65" s="168" t="str">
        <f t="shared" ca="1" si="4"/>
        <v/>
      </c>
      <c r="Y65" s="168" t="str">
        <f t="shared" ca="1" si="121"/>
        <v/>
      </c>
      <c r="Z65" s="168" t="str">
        <f t="shared" ca="1" si="122"/>
        <v/>
      </c>
      <c r="AA65" s="169" t="str">
        <f t="shared" ca="1" si="123"/>
        <v/>
      </c>
    </row>
    <row r="66" spans="1:27" s="70" customFormat="1" ht="11.5" x14ac:dyDescent="0.25">
      <c r="A66" s="71" t="s">
        <v>66</v>
      </c>
      <c r="B66" s="71" t="s">
        <v>34</v>
      </c>
      <c r="C66" s="71" t="s">
        <v>912</v>
      </c>
      <c r="D66" s="71" t="s">
        <v>774</v>
      </c>
      <c r="E66" s="81">
        <f t="shared" si="249"/>
        <v>0</v>
      </c>
      <c r="F66" s="81">
        <f t="shared" si="250"/>
        <v>0</v>
      </c>
      <c r="G66" s="81">
        <f t="shared" si="141"/>
        <v>0</v>
      </c>
      <c r="H66" s="81">
        <f t="shared" si="251"/>
        <v>0</v>
      </c>
      <c r="I66" s="82">
        <v>0.4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212"/>
      <c r="X66" s="168" t="str">
        <f t="shared" ca="1" si="4"/>
        <v/>
      </c>
      <c r="Y66" s="168" t="str">
        <f t="shared" ca="1" si="121"/>
        <v/>
      </c>
      <c r="Z66" s="168" t="str">
        <f t="shared" ca="1" si="122"/>
        <v/>
      </c>
      <c r="AA66" s="169" t="str">
        <f t="shared" ca="1" si="123"/>
        <v/>
      </c>
    </row>
    <row r="67" spans="1:27" s="70" customFormat="1" ht="11.5" x14ac:dyDescent="0.25">
      <c r="A67" s="71" t="s">
        <v>66</v>
      </c>
      <c r="B67" s="71" t="s">
        <v>34</v>
      </c>
      <c r="C67" s="71" t="s">
        <v>913</v>
      </c>
      <c r="D67" s="71" t="s">
        <v>775</v>
      </c>
      <c r="E67" s="81">
        <f t="shared" si="249"/>
        <v>0</v>
      </c>
      <c r="F67" s="81">
        <f t="shared" si="250"/>
        <v>0</v>
      </c>
      <c r="G67" s="81">
        <f t="shared" si="141"/>
        <v>0</v>
      </c>
      <c r="H67" s="81">
        <f t="shared" si="251"/>
        <v>0</v>
      </c>
      <c r="I67" s="82">
        <v>0.4</v>
      </c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212"/>
      <c r="X67" s="168" t="str">
        <f t="shared" ca="1" si="4"/>
        <v/>
      </c>
      <c r="Y67" s="168" t="str">
        <f t="shared" ca="1" si="121"/>
        <v/>
      </c>
      <c r="Z67" s="168" t="str">
        <f t="shared" ca="1" si="122"/>
        <v/>
      </c>
      <c r="AA67" s="169" t="str">
        <f t="shared" ca="1" si="123"/>
        <v/>
      </c>
    </row>
    <row r="68" spans="1:27" s="70" customFormat="1" ht="11.5" x14ac:dyDescent="0.25">
      <c r="A68" s="73"/>
      <c r="B68" s="73"/>
      <c r="C68" s="77"/>
      <c r="D68" s="78"/>
      <c r="E68" s="79"/>
      <c r="F68" s="79"/>
      <c r="G68" s="79"/>
      <c r="H68" s="79"/>
      <c r="I68" s="75"/>
      <c r="J68" s="76"/>
      <c r="K68" s="76"/>
      <c r="L68" s="76"/>
      <c r="M68" s="80"/>
      <c r="N68" s="76"/>
      <c r="O68" s="76"/>
      <c r="P68" s="80"/>
      <c r="Q68" s="76"/>
      <c r="R68" s="76"/>
      <c r="S68" s="80"/>
      <c r="T68" s="76"/>
      <c r="U68" s="76"/>
      <c r="V68" s="219"/>
      <c r="X68" s="168" t="str">
        <f t="shared" ca="1" si="4"/>
        <v/>
      </c>
      <c r="Y68" s="168" t="str">
        <f t="shared" ca="1" si="121"/>
        <v/>
      </c>
      <c r="Z68" s="168" t="str">
        <f t="shared" ca="1" si="122"/>
        <v/>
      </c>
      <c r="AA68" s="169" t="str">
        <f t="shared" ca="1" si="123"/>
        <v/>
      </c>
    </row>
    <row r="69" spans="1:27" s="70" customFormat="1" ht="11.5" x14ac:dyDescent="0.25">
      <c r="A69" s="71" t="s">
        <v>64</v>
      </c>
      <c r="B69" s="87" t="s">
        <v>34</v>
      </c>
      <c r="C69" s="87" t="s">
        <v>914</v>
      </c>
      <c r="D69" s="87" t="s">
        <v>56</v>
      </c>
      <c r="E69" s="86">
        <f t="shared" si="15"/>
        <v>1</v>
      </c>
      <c r="F69" s="86">
        <f t="shared" si="16"/>
        <v>1</v>
      </c>
      <c r="G69" s="81">
        <f t="shared" ref="G69:G118" si="252">(COUNTIFS(L69,"&lt;="&amp;$C$1)*50%)+(COUNTIFS(O69,"&lt;="&amp;$C$1)*20%)+(COUNTIFS(R69,"&lt;="&amp;$C$1)*10%)+(COUNTIFS(U69,"&lt;="&amp;$C$1)*20%)</f>
        <v>1</v>
      </c>
      <c r="H69" s="81">
        <f t="shared" si="17"/>
        <v>0</v>
      </c>
      <c r="I69" s="82">
        <v>0.2</v>
      </c>
      <c r="J69" s="85">
        <v>46115</v>
      </c>
      <c r="K69" s="85">
        <f t="shared" si="8"/>
        <v>46115</v>
      </c>
      <c r="L69" s="85">
        <v>46115</v>
      </c>
      <c r="M69" s="85">
        <f t="shared" si="9"/>
        <v>46157</v>
      </c>
      <c r="N69" s="85">
        <f t="shared" si="10"/>
        <v>46157</v>
      </c>
      <c r="O69" s="85">
        <v>46191</v>
      </c>
      <c r="P69" s="85">
        <f t="shared" si="11"/>
        <v>46199</v>
      </c>
      <c r="Q69" s="85">
        <f t="shared" si="12"/>
        <v>46199</v>
      </c>
      <c r="R69" s="85">
        <v>46219</v>
      </c>
      <c r="S69" s="85">
        <f t="shared" si="14"/>
        <v>46213</v>
      </c>
      <c r="T69" s="85">
        <f t="shared" si="13"/>
        <v>46213</v>
      </c>
      <c r="U69" s="85">
        <v>46262</v>
      </c>
      <c r="V69" s="212"/>
      <c r="X69" s="168" t="str">
        <f t="shared" ref="X69:X135" ca="1" si="253">IF(OR(L69&lt;&gt;""),"Completed",
IF(K69="","",IF(K69&lt;TODAY(),"Overdue",
IF(AND(K69&gt;=TODAY()-WEEKDAY(TODAY(),2)+1,K69&lt;=TODAY()-WEEKDAY(TODAY(),2)+7),"Follow-This Week",
IF(AND(K69&gt;=TODAY()-WEEKDAY(TODAY(),2)+8,K69&lt;=TODAY()-WEEKDAY(TODAY(),2)+14),"Follow-Next Week","")))))</f>
        <v>Completed</v>
      </c>
      <c r="Y69" s="168" t="str">
        <f t="shared" ca="1" si="121"/>
        <v>Completed</v>
      </c>
      <c r="Z69" s="168" t="str">
        <f t="shared" ca="1" si="122"/>
        <v>Completed</v>
      </c>
      <c r="AA69" s="169" t="str">
        <f t="shared" ca="1" si="123"/>
        <v>Completed</v>
      </c>
    </row>
    <row r="70" spans="1:27" s="70" customFormat="1" ht="11.5" x14ac:dyDescent="0.25">
      <c r="A70" s="71" t="s">
        <v>64</v>
      </c>
      <c r="B70" s="87" t="s">
        <v>34</v>
      </c>
      <c r="C70" s="87" t="s">
        <v>915</v>
      </c>
      <c r="D70" s="87" t="s">
        <v>57</v>
      </c>
      <c r="E70" s="86">
        <f t="shared" si="15"/>
        <v>1</v>
      </c>
      <c r="F70" s="86">
        <f t="shared" si="16"/>
        <v>1</v>
      </c>
      <c r="G70" s="81">
        <f t="shared" si="252"/>
        <v>1</v>
      </c>
      <c r="H70" s="81">
        <f t="shared" si="17"/>
        <v>0</v>
      </c>
      <c r="I70" s="82">
        <v>0.2</v>
      </c>
      <c r="J70" s="85">
        <v>46115</v>
      </c>
      <c r="K70" s="85">
        <f t="shared" si="8"/>
        <v>46115</v>
      </c>
      <c r="L70" s="85">
        <v>46115</v>
      </c>
      <c r="M70" s="85">
        <f t="shared" si="9"/>
        <v>46157</v>
      </c>
      <c r="N70" s="85">
        <f t="shared" si="10"/>
        <v>46157</v>
      </c>
      <c r="O70" s="145">
        <v>46171</v>
      </c>
      <c r="P70" s="85">
        <f t="shared" si="11"/>
        <v>46199</v>
      </c>
      <c r="Q70" s="85">
        <f t="shared" si="12"/>
        <v>46199</v>
      </c>
      <c r="R70" s="85">
        <v>46199</v>
      </c>
      <c r="S70" s="85">
        <f t="shared" si="14"/>
        <v>46213</v>
      </c>
      <c r="T70" s="85">
        <f t="shared" si="13"/>
        <v>46213</v>
      </c>
      <c r="U70" s="85">
        <v>46204</v>
      </c>
      <c r="V70" s="212"/>
      <c r="X70" s="168" t="str">
        <f t="shared" ca="1" si="253"/>
        <v>Completed</v>
      </c>
      <c r="Y70" s="168" t="str">
        <f t="shared" ca="1" si="121"/>
        <v>Completed</v>
      </c>
      <c r="Z70" s="168" t="str">
        <f t="shared" ca="1" si="122"/>
        <v>Completed</v>
      </c>
      <c r="AA70" s="169" t="str">
        <f t="shared" ca="1" si="123"/>
        <v>Completed</v>
      </c>
    </row>
    <row r="71" spans="1:27" s="70" customFormat="1" ht="11.5" x14ac:dyDescent="0.25">
      <c r="A71" s="71" t="s">
        <v>64</v>
      </c>
      <c r="B71" s="87" t="s">
        <v>34</v>
      </c>
      <c r="C71" s="87" t="s">
        <v>916</v>
      </c>
      <c r="D71" s="87" t="s">
        <v>58</v>
      </c>
      <c r="E71" s="86">
        <f t="shared" si="15"/>
        <v>1</v>
      </c>
      <c r="F71" s="86">
        <f t="shared" si="16"/>
        <v>1</v>
      </c>
      <c r="G71" s="81">
        <f t="shared" si="252"/>
        <v>1</v>
      </c>
      <c r="H71" s="81">
        <f t="shared" si="17"/>
        <v>0</v>
      </c>
      <c r="I71" s="82">
        <v>0.2</v>
      </c>
      <c r="J71" s="85">
        <v>46115</v>
      </c>
      <c r="K71" s="85">
        <f t="shared" si="8"/>
        <v>46115</v>
      </c>
      <c r="L71" s="85">
        <v>46115</v>
      </c>
      <c r="M71" s="85">
        <f t="shared" si="9"/>
        <v>46157</v>
      </c>
      <c r="N71" s="85">
        <f t="shared" si="10"/>
        <v>46157</v>
      </c>
      <c r="O71" s="145">
        <v>46171</v>
      </c>
      <c r="P71" s="85">
        <f t="shared" si="11"/>
        <v>46199</v>
      </c>
      <c r="Q71" s="85">
        <f t="shared" si="12"/>
        <v>46199</v>
      </c>
      <c r="R71" s="85">
        <v>46219</v>
      </c>
      <c r="S71" s="85">
        <f t="shared" si="14"/>
        <v>46213</v>
      </c>
      <c r="T71" s="85">
        <f t="shared" si="13"/>
        <v>46213</v>
      </c>
      <c r="U71" s="85">
        <v>46233</v>
      </c>
      <c r="V71" s="212"/>
      <c r="X71" s="168" t="str">
        <f t="shared" ca="1" si="253"/>
        <v>Completed</v>
      </c>
      <c r="Y71" s="168" t="str">
        <f t="shared" ca="1" si="121"/>
        <v>Completed</v>
      </c>
      <c r="Z71" s="168" t="str">
        <f t="shared" ca="1" si="122"/>
        <v>Completed</v>
      </c>
      <c r="AA71" s="169" t="str">
        <f t="shared" ca="1" si="123"/>
        <v>Completed</v>
      </c>
    </row>
    <row r="72" spans="1:27" s="70" customFormat="1" ht="11.5" x14ac:dyDescent="0.25">
      <c r="A72" s="71" t="s">
        <v>64</v>
      </c>
      <c r="B72" s="87" t="s">
        <v>34</v>
      </c>
      <c r="C72" s="87" t="s">
        <v>917</v>
      </c>
      <c r="D72" s="87" t="s">
        <v>1103</v>
      </c>
      <c r="E72" s="86">
        <f t="shared" si="15"/>
        <v>1</v>
      </c>
      <c r="F72" s="86">
        <f t="shared" si="16"/>
        <v>1</v>
      </c>
      <c r="G72" s="81">
        <f t="shared" si="252"/>
        <v>1</v>
      </c>
      <c r="H72" s="81">
        <f t="shared" si="17"/>
        <v>0</v>
      </c>
      <c r="I72" s="82">
        <v>0.2</v>
      </c>
      <c r="J72" s="85">
        <v>46115</v>
      </c>
      <c r="K72" s="85">
        <f t="shared" si="8"/>
        <v>46115</v>
      </c>
      <c r="L72" s="85">
        <v>46115</v>
      </c>
      <c r="M72" s="85">
        <f t="shared" si="9"/>
        <v>46157</v>
      </c>
      <c r="N72" s="85">
        <f t="shared" si="10"/>
        <v>46157</v>
      </c>
      <c r="O72" s="145">
        <v>46171</v>
      </c>
      <c r="P72" s="85">
        <f t="shared" si="11"/>
        <v>46199</v>
      </c>
      <c r="Q72" s="85">
        <f t="shared" si="12"/>
        <v>46199</v>
      </c>
      <c r="R72" s="85">
        <v>46274</v>
      </c>
      <c r="S72" s="85">
        <f t="shared" si="14"/>
        <v>46213</v>
      </c>
      <c r="T72" s="85">
        <f t="shared" si="13"/>
        <v>46213</v>
      </c>
      <c r="U72" s="85">
        <v>46288</v>
      </c>
      <c r="V72" s="212"/>
      <c r="X72" s="168" t="str">
        <f t="shared" ca="1" si="253"/>
        <v>Completed</v>
      </c>
      <c r="Y72" s="168" t="str">
        <f t="shared" ca="1" si="121"/>
        <v>Completed</v>
      </c>
      <c r="Z72" s="168" t="str">
        <f t="shared" ca="1" si="122"/>
        <v>Completed</v>
      </c>
      <c r="AA72" s="169" t="str">
        <f t="shared" ca="1" si="123"/>
        <v>Completed</v>
      </c>
    </row>
    <row r="73" spans="1:27" s="70" customFormat="1" ht="11.5" x14ac:dyDescent="0.25">
      <c r="A73" s="71" t="s">
        <v>64</v>
      </c>
      <c r="B73" s="87" t="s">
        <v>34</v>
      </c>
      <c r="C73" s="87" t="s">
        <v>918</v>
      </c>
      <c r="D73" s="87" t="s">
        <v>59</v>
      </c>
      <c r="E73" s="86">
        <f t="shared" ref="E73" si="254">(COUNTIFS(J73,"&lt;="&amp;$C$1)*50%)+(COUNTIFS(M73,"&lt;="&amp;$C$1)*20%)+(COUNTIFS(P73,"&lt;="&amp;$C$1)*10%)+(COUNTIFS(S73,"&lt;="&amp;$C$1)*20%)</f>
        <v>1</v>
      </c>
      <c r="F73" s="86">
        <f t="shared" ref="F73" si="255">(COUNTIFS(K73,"&lt;="&amp;$C$1)*50%)+(COUNTIFS(N73,"&lt;="&amp;$C$1)*20%)+(COUNTIFS(Q73,"&lt;="&amp;$C$1)*10%)+(COUNTIFS(T73,"&lt;="&amp;$C$1)*20%)</f>
        <v>1</v>
      </c>
      <c r="G73" s="81">
        <f t="shared" si="252"/>
        <v>1</v>
      </c>
      <c r="H73" s="81">
        <f t="shared" ref="H73" si="256">G73-E73</f>
        <v>0</v>
      </c>
      <c r="I73" s="82">
        <v>0.2</v>
      </c>
      <c r="J73" s="85">
        <v>46115</v>
      </c>
      <c r="K73" s="85">
        <f t="shared" si="8"/>
        <v>46115</v>
      </c>
      <c r="L73" s="85">
        <v>46115</v>
      </c>
      <c r="M73" s="85">
        <f t="shared" si="9"/>
        <v>46157</v>
      </c>
      <c r="N73" s="85">
        <f t="shared" si="10"/>
        <v>46157</v>
      </c>
      <c r="O73" s="85">
        <v>46199</v>
      </c>
      <c r="P73" s="85">
        <f t="shared" si="11"/>
        <v>46199</v>
      </c>
      <c r="Q73" s="85">
        <f t="shared" si="12"/>
        <v>46199</v>
      </c>
      <c r="R73" s="85">
        <v>46204</v>
      </c>
      <c r="S73" s="85">
        <f t="shared" si="14"/>
        <v>46213</v>
      </c>
      <c r="T73" s="85">
        <f t="shared" si="13"/>
        <v>46213</v>
      </c>
      <c r="U73" s="85">
        <v>46213</v>
      </c>
      <c r="V73" s="212"/>
      <c r="X73" s="168" t="str">
        <f t="shared" ca="1" si="253"/>
        <v>Completed</v>
      </c>
      <c r="Y73" s="168" t="str">
        <f t="shared" ca="1" si="121"/>
        <v>Completed</v>
      </c>
      <c r="Z73" s="168" t="str">
        <f t="shared" ca="1" si="122"/>
        <v>Completed</v>
      </c>
      <c r="AA73" s="169" t="str">
        <f t="shared" ca="1" si="123"/>
        <v>Completed</v>
      </c>
    </row>
    <row r="74" spans="1:27" s="70" customFormat="1" ht="11.5" x14ac:dyDescent="0.25">
      <c r="A74" s="175" t="s">
        <v>64</v>
      </c>
      <c r="B74" s="185" t="s">
        <v>34</v>
      </c>
      <c r="C74" s="185" t="s">
        <v>101</v>
      </c>
      <c r="D74" s="185" t="s">
        <v>1076</v>
      </c>
      <c r="E74" s="186">
        <f t="shared" si="15"/>
        <v>1</v>
      </c>
      <c r="F74" s="186">
        <f t="shared" si="16"/>
        <v>1</v>
      </c>
      <c r="G74" s="176">
        <f t="shared" si="252"/>
        <v>1</v>
      </c>
      <c r="H74" s="176">
        <f t="shared" si="17"/>
        <v>0</v>
      </c>
      <c r="I74" s="177">
        <v>0.25</v>
      </c>
      <c r="J74" s="178">
        <f>J9+28</f>
        <v>46150</v>
      </c>
      <c r="K74" s="178">
        <f t="shared" si="8"/>
        <v>46150</v>
      </c>
      <c r="L74" s="178">
        <v>46150</v>
      </c>
      <c r="M74" s="178">
        <f t="shared" si="9"/>
        <v>46192</v>
      </c>
      <c r="N74" s="178">
        <f t="shared" si="10"/>
        <v>46192</v>
      </c>
      <c r="O74" s="178">
        <v>46220</v>
      </c>
      <c r="P74" s="178">
        <f t="shared" si="11"/>
        <v>46234</v>
      </c>
      <c r="Q74" s="178">
        <f t="shared" si="12"/>
        <v>46234</v>
      </c>
      <c r="R74" s="178">
        <v>46241</v>
      </c>
      <c r="S74" s="178">
        <f t="shared" si="14"/>
        <v>46248</v>
      </c>
      <c r="T74" s="178">
        <f t="shared" si="13"/>
        <v>46248</v>
      </c>
      <c r="U74" s="178">
        <v>46241</v>
      </c>
      <c r="V74" s="220"/>
      <c r="X74" s="168" t="str">
        <f t="shared" ca="1" si="253"/>
        <v>Completed</v>
      </c>
      <c r="Y74" s="168" t="str">
        <f t="shared" ca="1" si="121"/>
        <v>Completed</v>
      </c>
      <c r="Z74" s="168" t="str">
        <f t="shared" ca="1" si="122"/>
        <v>Completed</v>
      </c>
      <c r="AA74" s="169" t="str">
        <f t="shared" ca="1" si="123"/>
        <v>Completed</v>
      </c>
    </row>
    <row r="75" spans="1:27" s="70" customFormat="1" ht="11.5" x14ac:dyDescent="0.25">
      <c r="A75" s="101" t="s">
        <v>64</v>
      </c>
      <c r="B75" s="102" t="s">
        <v>34</v>
      </c>
      <c r="C75" s="102" t="s">
        <v>101</v>
      </c>
      <c r="D75" s="102" t="s">
        <v>1077</v>
      </c>
      <c r="E75" s="103">
        <f t="shared" ref="E75" si="257">(COUNTIFS(J75,"&lt;="&amp;$C$1)*50%)+(COUNTIFS(M75,"&lt;="&amp;$C$1)*20%)+(COUNTIFS(P75,"&lt;="&amp;$C$1)*10%)+(COUNTIFS(S75,"&lt;="&amp;$C$1)*20%)</f>
        <v>1</v>
      </c>
      <c r="F75" s="103">
        <f t="shared" ref="F75" si="258">(COUNTIFS(K75,"&lt;="&amp;$C$1)*50%)+(COUNTIFS(N75,"&lt;="&amp;$C$1)*20%)+(COUNTIFS(Q75,"&lt;="&amp;$C$1)*10%)+(COUNTIFS(T75,"&lt;="&amp;$C$1)*20%)</f>
        <v>1</v>
      </c>
      <c r="G75" s="104">
        <f t="shared" si="252"/>
        <v>0.79999999999999993</v>
      </c>
      <c r="H75" s="104">
        <f t="shared" ref="H75" si="259">G75-E75</f>
        <v>-0.20000000000000007</v>
      </c>
      <c r="I75" s="105">
        <v>0.25</v>
      </c>
      <c r="J75" s="106">
        <f>J10+28</f>
        <v>46150</v>
      </c>
      <c r="K75" s="106">
        <f t="shared" ref="K75" si="260">J75</f>
        <v>46150</v>
      </c>
      <c r="L75" s="106">
        <v>46150</v>
      </c>
      <c r="M75" s="106">
        <f t="shared" ref="M75" si="261">J75+42</f>
        <v>46192</v>
      </c>
      <c r="N75" s="106">
        <f t="shared" ref="N75" si="262">M75</f>
        <v>46192</v>
      </c>
      <c r="O75" s="106">
        <v>46220</v>
      </c>
      <c r="P75" s="106">
        <v>46277</v>
      </c>
      <c r="Q75" s="106">
        <f t="shared" ref="Q75" si="263">P75</f>
        <v>46277</v>
      </c>
      <c r="R75" s="106">
        <v>46290</v>
      </c>
      <c r="S75" s="106">
        <f t="shared" ref="S75" si="264">P75+14</f>
        <v>46291</v>
      </c>
      <c r="T75" s="106">
        <f t="shared" ref="T75" si="265">S75</f>
        <v>46291</v>
      </c>
      <c r="U75" s="106"/>
      <c r="V75" s="221"/>
      <c r="X75" s="168" t="str">
        <f t="shared" ca="1" si="253"/>
        <v>Completed</v>
      </c>
      <c r="Y75" s="168" t="str">
        <f t="shared" ca="1" si="121"/>
        <v>Completed</v>
      </c>
      <c r="Z75" s="168" t="str">
        <f t="shared" ca="1" si="122"/>
        <v>Completed</v>
      </c>
      <c r="AA75" s="169" t="str">
        <f t="shared" ca="1" si="123"/>
        <v>Overdue</v>
      </c>
    </row>
    <row r="76" spans="1:27" s="70" customFormat="1" ht="11.5" x14ac:dyDescent="0.25">
      <c r="A76" s="175" t="s">
        <v>64</v>
      </c>
      <c r="B76" s="185" t="s">
        <v>34</v>
      </c>
      <c r="C76" s="185" t="s">
        <v>102</v>
      </c>
      <c r="D76" s="185" t="s">
        <v>1167</v>
      </c>
      <c r="E76" s="186">
        <f t="shared" si="15"/>
        <v>1</v>
      </c>
      <c r="F76" s="186">
        <f t="shared" si="16"/>
        <v>1</v>
      </c>
      <c r="G76" s="176">
        <f t="shared" si="252"/>
        <v>1</v>
      </c>
      <c r="H76" s="176">
        <f t="shared" si="17"/>
        <v>0</v>
      </c>
      <c r="I76" s="177">
        <v>0.25</v>
      </c>
      <c r="J76" s="178">
        <f>J11+28</f>
        <v>46164</v>
      </c>
      <c r="K76" s="178">
        <f t="shared" si="8"/>
        <v>46164</v>
      </c>
      <c r="L76" s="178">
        <v>46178</v>
      </c>
      <c r="M76" s="178">
        <f t="shared" si="9"/>
        <v>46206</v>
      </c>
      <c r="N76" s="178">
        <f t="shared" si="10"/>
        <v>46206</v>
      </c>
      <c r="O76" s="178">
        <v>46227</v>
      </c>
      <c r="P76" s="178">
        <f t="shared" si="11"/>
        <v>46248</v>
      </c>
      <c r="Q76" s="178">
        <f t="shared" si="12"/>
        <v>46248</v>
      </c>
      <c r="R76" s="178">
        <v>46276</v>
      </c>
      <c r="S76" s="178">
        <f t="shared" si="14"/>
        <v>46262</v>
      </c>
      <c r="T76" s="178">
        <f t="shared" si="13"/>
        <v>46262</v>
      </c>
      <c r="U76" s="178">
        <v>46276</v>
      </c>
      <c r="V76" s="220"/>
      <c r="X76" s="168" t="str">
        <f t="shared" ca="1" si="253"/>
        <v>Completed</v>
      </c>
      <c r="Y76" s="168" t="str">
        <f t="shared" ca="1" si="121"/>
        <v>Completed</v>
      </c>
      <c r="Z76" s="168" t="str">
        <f t="shared" ca="1" si="122"/>
        <v>Completed</v>
      </c>
      <c r="AA76" s="169" t="str">
        <f t="shared" ca="1" si="123"/>
        <v>Completed</v>
      </c>
    </row>
    <row r="77" spans="1:27" s="70" customFormat="1" ht="11.5" x14ac:dyDescent="0.25">
      <c r="A77" s="101" t="s">
        <v>64</v>
      </c>
      <c r="B77" s="102" t="s">
        <v>34</v>
      </c>
      <c r="C77" s="102" t="s">
        <v>102</v>
      </c>
      <c r="D77" s="102" t="s">
        <v>1171</v>
      </c>
      <c r="E77" s="103">
        <f t="shared" si="15"/>
        <v>1</v>
      </c>
      <c r="F77" s="103">
        <f t="shared" si="16"/>
        <v>1</v>
      </c>
      <c r="G77" s="104">
        <f t="shared" si="252"/>
        <v>0.7</v>
      </c>
      <c r="H77" s="104">
        <f t="shared" si="17"/>
        <v>-0.30000000000000004</v>
      </c>
      <c r="I77" s="105">
        <v>0.25</v>
      </c>
      <c r="J77" s="106">
        <f>J11+28</f>
        <v>46164</v>
      </c>
      <c r="K77" s="106">
        <f t="shared" si="8"/>
        <v>46164</v>
      </c>
      <c r="L77" s="106">
        <v>46178</v>
      </c>
      <c r="M77" s="106">
        <f t="shared" si="9"/>
        <v>46206</v>
      </c>
      <c r="N77" s="106">
        <f t="shared" si="10"/>
        <v>46206</v>
      </c>
      <c r="O77" s="106">
        <v>46227</v>
      </c>
      <c r="P77" s="106">
        <f t="shared" si="11"/>
        <v>46248</v>
      </c>
      <c r="Q77" s="106">
        <f t="shared" si="12"/>
        <v>46248</v>
      </c>
      <c r="R77" s="106"/>
      <c r="S77" s="106">
        <f t="shared" si="14"/>
        <v>46262</v>
      </c>
      <c r="T77" s="106">
        <f t="shared" si="13"/>
        <v>46262</v>
      </c>
      <c r="U77" s="107"/>
      <c r="V77" s="222"/>
      <c r="X77" s="168" t="str">
        <f t="shared" ca="1" si="253"/>
        <v>Completed</v>
      </c>
      <c r="Y77" s="168" t="str">
        <f t="shared" ca="1" si="121"/>
        <v>Completed</v>
      </c>
      <c r="Z77" s="168" t="str">
        <f t="shared" ca="1" si="122"/>
        <v>Overdue</v>
      </c>
      <c r="AA77" s="169" t="str">
        <f t="shared" ca="1" si="123"/>
        <v>Overdue</v>
      </c>
    </row>
    <row r="78" spans="1:27" s="70" customFormat="1" ht="11.5" x14ac:dyDescent="0.25">
      <c r="A78" s="175" t="s">
        <v>64</v>
      </c>
      <c r="B78" s="175" t="s">
        <v>34</v>
      </c>
      <c r="C78" s="175" t="s">
        <v>103</v>
      </c>
      <c r="D78" s="175" t="s">
        <v>1168</v>
      </c>
      <c r="E78" s="176">
        <f t="shared" si="15"/>
        <v>1</v>
      </c>
      <c r="F78" s="176">
        <f t="shared" si="16"/>
        <v>1</v>
      </c>
      <c r="G78" s="176">
        <f t="shared" si="252"/>
        <v>1</v>
      </c>
      <c r="H78" s="176">
        <f t="shared" si="17"/>
        <v>0</v>
      </c>
      <c r="I78" s="177">
        <v>0.25</v>
      </c>
      <c r="J78" s="178">
        <f>J13+28</f>
        <v>46171</v>
      </c>
      <c r="K78" s="181">
        <f t="shared" si="8"/>
        <v>46171</v>
      </c>
      <c r="L78" s="203">
        <v>46161</v>
      </c>
      <c r="M78" s="178">
        <f t="shared" si="9"/>
        <v>46213</v>
      </c>
      <c r="N78" s="181">
        <f t="shared" si="10"/>
        <v>46213</v>
      </c>
      <c r="O78" s="204">
        <v>46223</v>
      </c>
      <c r="P78" s="178">
        <f t="shared" si="11"/>
        <v>46255</v>
      </c>
      <c r="Q78" s="181">
        <f t="shared" si="12"/>
        <v>46255</v>
      </c>
      <c r="R78" s="178">
        <v>46276</v>
      </c>
      <c r="S78" s="178">
        <f t="shared" si="14"/>
        <v>46269</v>
      </c>
      <c r="T78" s="181">
        <f t="shared" si="13"/>
        <v>46269</v>
      </c>
      <c r="U78" s="178">
        <v>46276</v>
      </c>
      <c r="V78" s="220"/>
      <c r="X78" s="168" t="str">
        <f t="shared" ca="1" si="253"/>
        <v>Completed</v>
      </c>
      <c r="Y78" s="168" t="str">
        <f t="shared" ca="1" si="121"/>
        <v>Completed</v>
      </c>
      <c r="Z78" s="168" t="str">
        <f t="shared" ca="1" si="122"/>
        <v>Completed</v>
      </c>
      <c r="AA78" s="169" t="str">
        <f t="shared" ca="1" si="123"/>
        <v>Completed</v>
      </c>
    </row>
    <row r="79" spans="1:27" s="70" customFormat="1" ht="11.5" x14ac:dyDescent="0.25">
      <c r="A79" s="101" t="s">
        <v>64</v>
      </c>
      <c r="B79" s="101" t="s">
        <v>34</v>
      </c>
      <c r="C79" s="101" t="s">
        <v>103</v>
      </c>
      <c r="D79" s="101" t="s">
        <v>1172</v>
      </c>
      <c r="E79" s="104">
        <f t="shared" si="15"/>
        <v>1</v>
      </c>
      <c r="F79" s="104">
        <f t="shared" si="16"/>
        <v>1</v>
      </c>
      <c r="G79" s="104">
        <f t="shared" si="252"/>
        <v>1</v>
      </c>
      <c r="H79" s="104">
        <f t="shared" si="17"/>
        <v>0</v>
      </c>
      <c r="I79" s="105">
        <v>0.25</v>
      </c>
      <c r="J79" s="106">
        <f>J13+28</f>
        <v>46171</v>
      </c>
      <c r="K79" s="108">
        <f t="shared" si="8"/>
        <v>46171</v>
      </c>
      <c r="L79" s="142">
        <v>46161</v>
      </c>
      <c r="M79" s="106">
        <f t="shared" si="9"/>
        <v>46213</v>
      </c>
      <c r="N79" s="108">
        <f t="shared" si="10"/>
        <v>46213</v>
      </c>
      <c r="O79" s="137">
        <v>46223</v>
      </c>
      <c r="P79" s="106">
        <f t="shared" si="11"/>
        <v>46255</v>
      </c>
      <c r="Q79" s="108">
        <f t="shared" si="12"/>
        <v>46255</v>
      </c>
      <c r="R79" s="106">
        <v>46283</v>
      </c>
      <c r="S79" s="106">
        <f t="shared" si="14"/>
        <v>46269</v>
      </c>
      <c r="T79" s="108">
        <f t="shared" si="13"/>
        <v>46269</v>
      </c>
      <c r="U79" s="160">
        <v>46300</v>
      </c>
      <c r="V79" s="221"/>
      <c r="X79" s="168" t="str">
        <f t="shared" ca="1" si="253"/>
        <v>Completed</v>
      </c>
      <c r="Y79" s="168" t="str">
        <f t="shared" ca="1" si="121"/>
        <v>Completed</v>
      </c>
      <c r="Z79" s="168" t="str">
        <f t="shared" ca="1" si="122"/>
        <v>Completed</v>
      </c>
      <c r="AA79" s="169" t="str">
        <f t="shared" ca="1" si="123"/>
        <v>Completed</v>
      </c>
    </row>
    <row r="80" spans="1:27" s="70" customFormat="1" ht="11.5" x14ac:dyDescent="0.25">
      <c r="A80" s="175" t="s">
        <v>64</v>
      </c>
      <c r="B80" s="175" t="s">
        <v>34</v>
      </c>
      <c r="C80" s="175" t="s">
        <v>104</v>
      </c>
      <c r="D80" s="175" t="s">
        <v>1169</v>
      </c>
      <c r="E80" s="176">
        <f t="shared" si="15"/>
        <v>1</v>
      </c>
      <c r="F80" s="176">
        <f t="shared" si="16"/>
        <v>1</v>
      </c>
      <c r="G80" s="176">
        <f t="shared" si="252"/>
        <v>1</v>
      </c>
      <c r="H80" s="176">
        <f t="shared" si="17"/>
        <v>0</v>
      </c>
      <c r="I80" s="177">
        <v>0.25</v>
      </c>
      <c r="J80" s="178">
        <f>J15+28</f>
        <v>46178</v>
      </c>
      <c r="K80" s="178">
        <f t="shared" si="8"/>
        <v>46178</v>
      </c>
      <c r="L80" s="178">
        <v>46150</v>
      </c>
      <c r="M80" s="178">
        <f t="shared" si="9"/>
        <v>46220</v>
      </c>
      <c r="N80" s="178">
        <f t="shared" si="10"/>
        <v>46220</v>
      </c>
      <c r="O80" s="178">
        <v>46230</v>
      </c>
      <c r="P80" s="178">
        <f t="shared" si="11"/>
        <v>46262</v>
      </c>
      <c r="Q80" s="178">
        <f t="shared" si="12"/>
        <v>46262</v>
      </c>
      <c r="R80" s="178">
        <v>46276</v>
      </c>
      <c r="S80" s="178">
        <f t="shared" si="14"/>
        <v>46276</v>
      </c>
      <c r="T80" s="178">
        <f t="shared" si="13"/>
        <v>46276</v>
      </c>
      <c r="U80" s="178">
        <v>46276</v>
      </c>
      <c r="V80" s="220"/>
      <c r="X80" s="168" t="str">
        <f t="shared" ca="1" si="253"/>
        <v>Completed</v>
      </c>
      <c r="Y80" s="168" t="str">
        <f t="shared" ca="1" si="121"/>
        <v>Completed</v>
      </c>
      <c r="Z80" s="168" t="str">
        <f t="shared" ca="1" si="122"/>
        <v>Completed</v>
      </c>
      <c r="AA80" s="169" t="str">
        <f t="shared" ca="1" si="123"/>
        <v>Completed</v>
      </c>
    </row>
    <row r="81" spans="1:27" s="70" customFormat="1" ht="11.5" x14ac:dyDescent="0.25">
      <c r="A81" s="101" t="s">
        <v>64</v>
      </c>
      <c r="B81" s="101" t="s">
        <v>34</v>
      </c>
      <c r="C81" s="101" t="s">
        <v>104</v>
      </c>
      <c r="D81" s="101" t="s">
        <v>1173</v>
      </c>
      <c r="E81" s="104">
        <f t="shared" si="15"/>
        <v>1</v>
      </c>
      <c r="F81" s="104">
        <f t="shared" si="16"/>
        <v>1</v>
      </c>
      <c r="G81" s="104">
        <f t="shared" si="252"/>
        <v>1</v>
      </c>
      <c r="H81" s="104">
        <f t="shared" si="17"/>
        <v>0</v>
      </c>
      <c r="I81" s="105">
        <v>0.25</v>
      </c>
      <c r="J81" s="106">
        <f>J15+28</f>
        <v>46178</v>
      </c>
      <c r="K81" s="106">
        <f t="shared" si="8"/>
        <v>46178</v>
      </c>
      <c r="L81" s="106">
        <v>46150</v>
      </c>
      <c r="M81" s="106">
        <f t="shared" si="9"/>
        <v>46220</v>
      </c>
      <c r="N81" s="106">
        <f t="shared" si="10"/>
        <v>46220</v>
      </c>
      <c r="O81" s="106">
        <v>46230</v>
      </c>
      <c r="P81" s="106">
        <f t="shared" si="11"/>
        <v>46262</v>
      </c>
      <c r="Q81" s="106">
        <f t="shared" si="12"/>
        <v>46262</v>
      </c>
      <c r="R81" s="106">
        <v>46283</v>
      </c>
      <c r="S81" s="106">
        <f t="shared" si="14"/>
        <v>46276</v>
      </c>
      <c r="T81" s="106">
        <f t="shared" si="13"/>
        <v>46276</v>
      </c>
      <c r="U81" s="106">
        <v>46295</v>
      </c>
      <c r="V81" s="221"/>
      <c r="X81" s="168" t="str">
        <f t="shared" ca="1" si="253"/>
        <v>Completed</v>
      </c>
      <c r="Y81" s="168" t="str">
        <f t="shared" ca="1" si="121"/>
        <v>Completed</v>
      </c>
      <c r="Z81" s="168" t="str">
        <f t="shared" ca="1" si="122"/>
        <v>Completed</v>
      </c>
      <c r="AA81" s="169" t="str">
        <f t="shared" ca="1" si="123"/>
        <v>Completed</v>
      </c>
    </row>
    <row r="82" spans="1:27" s="70" customFormat="1" ht="11.5" x14ac:dyDescent="0.25">
      <c r="A82" s="175" t="s">
        <v>64</v>
      </c>
      <c r="B82" s="175" t="s">
        <v>34</v>
      </c>
      <c r="C82" s="175" t="s">
        <v>105</v>
      </c>
      <c r="D82" s="175" t="s">
        <v>1170</v>
      </c>
      <c r="E82" s="176">
        <f t="shared" si="15"/>
        <v>1</v>
      </c>
      <c r="F82" s="176">
        <f t="shared" si="16"/>
        <v>1</v>
      </c>
      <c r="G82" s="176">
        <f t="shared" si="252"/>
        <v>1</v>
      </c>
      <c r="H82" s="176">
        <f t="shared" si="17"/>
        <v>0</v>
      </c>
      <c r="I82" s="177">
        <v>0.25</v>
      </c>
      <c r="J82" s="178">
        <f>J17+28</f>
        <v>46192</v>
      </c>
      <c r="K82" s="178">
        <f t="shared" si="8"/>
        <v>46192</v>
      </c>
      <c r="L82" s="178">
        <v>46155</v>
      </c>
      <c r="M82" s="178">
        <f t="shared" si="9"/>
        <v>46234</v>
      </c>
      <c r="N82" s="178">
        <f t="shared" si="10"/>
        <v>46234</v>
      </c>
      <c r="O82" s="178">
        <v>46230</v>
      </c>
      <c r="P82" s="178">
        <f t="shared" si="11"/>
        <v>46276</v>
      </c>
      <c r="Q82" s="178">
        <f t="shared" si="12"/>
        <v>46276</v>
      </c>
      <c r="R82" s="178">
        <v>46276</v>
      </c>
      <c r="S82" s="178">
        <f t="shared" si="14"/>
        <v>46290</v>
      </c>
      <c r="T82" s="178">
        <f t="shared" si="13"/>
        <v>46290</v>
      </c>
      <c r="U82" s="178">
        <v>46276</v>
      </c>
      <c r="V82" s="220"/>
      <c r="X82" s="168" t="str">
        <f t="shared" ca="1" si="253"/>
        <v>Completed</v>
      </c>
      <c r="Y82" s="168" t="str">
        <f t="shared" ca="1" si="121"/>
        <v>Completed</v>
      </c>
      <c r="Z82" s="168" t="str">
        <f t="shared" ca="1" si="122"/>
        <v>Completed</v>
      </c>
      <c r="AA82" s="169" t="str">
        <f t="shared" ca="1" si="123"/>
        <v>Completed</v>
      </c>
    </row>
    <row r="83" spans="1:27" s="70" customFormat="1" ht="11.5" x14ac:dyDescent="0.25">
      <c r="A83" s="101" t="s">
        <v>64</v>
      </c>
      <c r="B83" s="101" t="s">
        <v>34</v>
      </c>
      <c r="C83" s="101" t="s">
        <v>105</v>
      </c>
      <c r="D83" s="101" t="s">
        <v>1174</v>
      </c>
      <c r="E83" s="104">
        <f t="shared" ref="E83" si="266">(COUNTIFS(J83,"&lt;="&amp;$C$1)*50%)+(COUNTIFS(M83,"&lt;="&amp;$C$1)*20%)+(COUNTIFS(P83,"&lt;="&amp;$C$1)*10%)+(COUNTIFS(S83,"&lt;="&amp;$C$1)*20%)</f>
        <v>1</v>
      </c>
      <c r="F83" s="104">
        <f t="shared" ref="F83" si="267">(COUNTIFS(K83,"&lt;="&amp;$C$1)*50%)+(COUNTIFS(N83,"&lt;="&amp;$C$1)*20%)+(COUNTIFS(Q83,"&lt;="&amp;$C$1)*10%)+(COUNTIFS(T83,"&lt;="&amp;$C$1)*20%)</f>
        <v>1</v>
      </c>
      <c r="G83" s="104">
        <f t="shared" si="252"/>
        <v>1</v>
      </c>
      <c r="H83" s="104">
        <f t="shared" ref="H83" si="268">G83-E83</f>
        <v>0</v>
      </c>
      <c r="I83" s="105">
        <v>0.25</v>
      </c>
      <c r="J83" s="106">
        <f>J22+28</f>
        <v>46185</v>
      </c>
      <c r="K83" s="106">
        <f t="shared" ref="K83" si="269">J83</f>
        <v>46185</v>
      </c>
      <c r="L83" s="106">
        <v>46155</v>
      </c>
      <c r="M83" s="106">
        <f t="shared" ref="M83" si="270">J83+42</f>
        <v>46227</v>
      </c>
      <c r="N83" s="106">
        <f t="shared" ref="N83" si="271">M83</f>
        <v>46227</v>
      </c>
      <c r="O83" s="106">
        <v>46230</v>
      </c>
      <c r="P83" s="106">
        <f t="shared" ref="P83" si="272">M83+42</f>
        <v>46269</v>
      </c>
      <c r="Q83" s="106">
        <f t="shared" ref="Q83" si="273">P83</f>
        <v>46269</v>
      </c>
      <c r="R83" s="106">
        <v>46283</v>
      </c>
      <c r="S83" s="106">
        <f t="shared" ref="S83" si="274">P83+14</f>
        <v>46283</v>
      </c>
      <c r="T83" s="106">
        <f t="shared" ref="T83" si="275">S83</f>
        <v>46283</v>
      </c>
      <c r="U83" s="106">
        <v>46295</v>
      </c>
      <c r="V83" s="221"/>
      <c r="X83" s="168" t="str">
        <f t="shared" ca="1" si="253"/>
        <v>Completed</v>
      </c>
      <c r="Y83" s="168" t="str">
        <f t="shared" ca="1" si="121"/>
        <v>Completed</v>
      </c>
      <c r="Z83" s="168" t="str">
        <f t="shared" ca="1" si="122"/>
        <v>Completed</v>
      </c>
      <c r="AA83" s="169" t="str">
        <f t="shared" ca="1" si="123"/>
        <v>Completed</v>
      </c>
    </row>
    <row r="84" spans="1:27" s="70" customFormat="1" ht="11.5" x14ac:dyDescent="0.25">
      <c r="A84" s="175" t="s">
        <v>64</v>
      </c>
      <c r="B84" s="175" t="s">
        <v>34</v>
      </c>
      <c r="C84" s="175" t="s">
        <v>106</v>
      </c>
      <c r="D84" s="175" t="s">
        <v>1177</v>
      </c>
      <c r="E84" s="176">
        <f t="shared" si="15"/>
        <v>1</v>
      </c>
      <c r="F84" s="176">
        <f t="shared" si="16"/>
        <v>1</v>
      </c>
      <c r="G84" s="176">
        <f t="shared" si="252"/>
        <v>1</v>
      </c>
      <c r="H84" s="176">
        <f t="shared" si="17"/>
        <v>0</v>
      </c>
      <c r="I84" s="177">
        <v>0.25</v>
      </c>
      <c r="J84" s="178">
        <f>J19+28</f>
        <v>46206</v>
      </c>
      <c r="K84" s="179">
        <f t="shared" si="8"/>
        <v>46206</v>
      </c>
      <c r="L84" s="179">
        <v>46185</v>
      </c>
      <c r="M84" s="178">
        <f t="shared" si="9"/>
        <v>46248</v>
      </c>
      <c r="N84" s="179">
        <f t="shared" si="10"/>
        <v>46248</v>
      </c>
      <c r="O84" s="179">
        <v>46241</v>
      </c>
      <c r="P84" s="178">
        <f t="shared" si="11"/>
        <v>46290</v>
      </c>
      <c r="Q84" s="179">
        <f t="shared" si="12"/>
        <v>46290</v>
      </c>
      <c r="R84" s="178">
        <v>46283</v>
      </c>
      <c r="S84" s="178">
        <f t="shared" si="14"/>
        <v>46304</v>
      </c>
      <c r="T84" s="179">
        <f t="shared" si="13"/>
        <v>46304</v>
      </c>
      <c r="U84" s="178">
        <v>46283</v>
      </c>
      <c r="V84" s="220"/>
      <c r="X84" s="168" t="str">
        <f t="shared" ca="1" si="253"/>
        <v>Completed</v>
      </c>
      <c r="Y84" s="168" t="str">
        <f t="shared" ca="1" si="121"/>
        <v>Completed</v>
      </c>
      <c r="Z84" s="168" t="str">
        <f t="shared" ca="1" si="122"/>
        <v>Completed</v>
      </c>
      <c r="AA84" s="169" t="str">
        <f t="shared" ca="1" si="123"/>
        <v>Completed</v>
      </c>
    </row>
    <row r="85" spans="1:27" s="70" customFormat="1" ht="11.5" x14ac:dyDescent="0.25">
      <c r="A85" s="101" t="s">
        <v>64</v>
      </c>
      <c r="B85" s="101" t="s">
        <v>34</v>
      </c>
      <c r="C85" s="101" t="s">
        <v>106</v>
      </c>
      <c r="D85" s="101" t="s">
        <v>1178</v>
      </c>
      <c r="E85" s="104">
        <f t="shared" ref="E85" si="276">(COUNTIFS(J85,"&lt;="&amp;$C$1)*50%)+(COUNTIFS(M85,"&lt;="&amp;$C$1)*20%)+(COUNTIFS(P85,"&lt;="&amp;$C$1)*10%)+(COUNTIFS(S85,"&lt;="&amp;$C$1)*20%)</f>
        <v>0.79999999999999993</v>
      </c>
      <c r="F85" s="104">
        <f t="shared" ref="F85" si="277">(COUNTIFS(K85,"&lt;="&amp;$C$1)*50%)+(COUNTIFS(N85,"&lt;="&amp;$C$1)*20%)+(COUNTIFS(Q85,"&lt;="&amp;$C$1)*10%)+(COUNTIFS(T85,"&lt;="&amp;$C$1)*20%)</f>
        <v>0.79999999999999993</v>
      </c>
      <c r="G85" s="104">
        <f t="shared" si="252"/>
        <v>0.79999999999999993</v>
      </c>
      <c r="H85" s="104">
        <f t="shared" ref="H85" si="278">G85-E85</f>
        <v>0</v>
      </c>
      <c r="I85" s="105">
        <v>0.25</v>
      </c>
      <c r="J85" s="106">
        <f>J20+28</f>
        <v>46220</v>
      </c>
      <c r="K85" s="107">
        <f t="shared" ref="K85" si="279">J85</f>
        <v>46220</v>
      </c>
      <c r="L85" s="107">
        <v>46185</v>
      </c>
      <c r="M85" s="106">
        <f t="shared" ref="M85" si="280">J85+42</f>
        <v>46262</v>
      </c>
      <c r="N85" s="107">
        <f t="shared" ref="N85" si="281">M85</f>
        <v>46262</v>
      </c>
      <c r="O85" s="107">
        <v>46241</v>
      </c>
      <c r="P85" s="106">
        <f t="shared" ref="P85" si="282">M85+42</f>
        <v>46304</v>
      </c>
      <c r="Q85" s="107">
        <f t="shared" ref="Q85" si="283">P85</f>
        <v>46304</v>
      </c>
      <c r="R85" s="106">
        <v>46293</v>
      </c>
      <c r="S85" s="106">
        <f t="shared" ref="S85" si="284">P85+14</f>
        <v>46318</v>
      </c>
      <c r="T85" s="107">
        <f t="shared" ref="T85" si="285">S85</f>
        <v>46318</v>
      </c>
      <c r="U85" s="106"/>
      <c r="V85" s="221"/>
      <c r="X85" s="168" t="str">
        <f t="shared" ca="1" si="253"/>
        <v>Completed</v>
      </c>
      <c r="Y85" s="168" t="str">
        <f t="shared" ca="1" si="121"/>
        <v>Completed</v>
      </c>
      <c r="Z85" s="168" t="str">
        <f t="shared" ca="1" si="122"/>
        <v>Completed</v>
      </c>
      <c r="AA85" s="169" t="str">
        <f t="shared" ca="1" si="123"/>
        <v/>
      </c>
    </row>
    <row r="86" spans="1:27" s="70" customFormat="1" ht="11.5" x14ac:dyDescent="0.25">
      <c r="A86" s="175" t="s">
        <v>64</v>
      </c>
      <c r="B86" s="175" t="s">
        <v>34</v>
      </c>
      <c r="C86" s="175" t="s">
        <v>107</v>
      </c>
      <c r="D86" s="175" t="s">
        <v>1179</v>
      </c>
      <c r="E86" s="176">
        <f t="shared" si="15"/>
        <v>0.79999999999999993</v>
      </c>
      <c r="F86" s="176">
        <f t="shared" si="16"/>
        <v>0.79999999999999993</v>
      </c>
      <c r="G86" s="176">
        <f t="shared" si="252"/>
        <v>1</v>
      </c>
      <c r="H86" s="176">
        <f t="shared" si="17"/>
        <v>0.20000000000000007</v>
      </c>
      <c r="I86" s="177">
        <v>0.25</v>
      </c>
      <c r="J86" s="178">
        <f t="shared" ref="J86:J93" si="286">J20+28</f>
        <v>46220</v>
      </c>
      <c r="K86" s="179">
        <f t="shared" si="8"/>
        <v>46220</v>
      </c>
      <c r="L86" s="204">
        <v>46223</v>
      </c>
      <c r="M86" s="178">
        <f t="shared" si="9"/>
        <v>46262</v>
      </c>
      <c r="N86" s="179">
        <f t="shared" si="10"/>
        <v>46262</v>
      </c>
      <c r="O86" s="179">
        <v>46248</v>
      </c>
      <c r="P86" s="178">
        <f t="shared" si="11"/>
        <v>46304</v>
      </c>
      <c r="Q86" s="179">
        <f t="shared" si="12"/>
        <v>46304</v>
      </c>
      <c r="R86" s="178">
        <v>46283</v>
      </c>
      <c r="S86" s="178">
        <f t="shared" si="14"/>
        <v>46318</v>
      </c>
      <c r="T86" s="179">
        <f t="shared" si="13"/>
        <v>46318</v>
      </c>
      <c r="U86" s="178">
        <v>46283</v>
      </c>
      <c r="V86" s="220"/>
      <c r="X86" s="168" t="str">
        <f t="shared" ca="1" si="253"/>
        <v>Completed</v>
      </c>
      <c r="Y86" s="168" t="str">
        <f t="shared" ca="1" si="121"/>
        <v>Completed</v>
      </c>
      <c r="Z86" s="168" t="str">
        <f t="shared" ca="1" si="122"/>
        <v>Completed</v>
      </c>
      <c r="AA86" s="169" t="str">
        <f t="shared" ca="1" si="123"/>
        <v>Completed</v>
      </c>
    </row>
    <row r="87" spans="1:27" s="70" customFormat="1" ht="11.5" x14ac:dyDescent="0.25">
      <c r="A87" s="101" t="s">
        <v>64</v>
      </c>
      <c r="B87" s="101" t="s">
        <v>34</v>
      </c>
      <c r="C87" s="101" t="s">
        <v>107</v>
      </c>
      <c r="D87" s="101" t="s">
        <v>1180</v>
      </c>
      <c r="E87" s="104">
        <f t="shared" ref="E87" si="287">(COUNTIFS(J87,"&lt;="&amp;$C$1)*50%)+(COUNTIFS(M87,"&lt;="&amp;$C$1)*20%)+(COUNTIFS(P87,"&lt;="&amp;$C$1)*10%)+(COUNTIFS(S87,"&lt;="&amp;$C$1)*20%)</f>
        <v>0.79999999999999993</v>
      </c>
      <c r="F87" s="104">
        <f t="shared" ref="F87" si="288">(COUNTIFS(K87,"&lt;="&amp;$C$1)*50%)+(COUNTIFS(N87,"&lt;="&amp;$C$1)*20%)+(COUNTIFS(Q87,"&lt;="&amp;$C$1)*10%)+(COUNTIFS(T87,"&lt;="&amp;$C$1)*20%)</f>
        <v>0.79999999999999993</v>
      </c>
      <c r="G87" s="104">
        <f t="shared" si="252"/>
        <v>0.7</v>
      </c>
      <c r="H87" s="104">
        <f t="shared" ref="H87" si="289">G87-E87</f>
        <v>-9.9999999999999978E-2</v>
      </c>
      <c r="I87" s="105">
        <v>0.25</v>
      </c>
      <c r="J87" s="106">
        <f t="shared" si="286"/>
        <v>46220</v>
      </c>
      <c r="K87" s="107">
        <f t="shared" ref="K87" si="290">J87</f>
        <v>46220</v>
      </c>
      <c r="L87" s="137">
        <v>46223</v>
      </c>
      <c r="M87" s="106">
        <f t="shared" ref="M87" si="291">J87+42</f>
        <v>46262</v>
      </c>
      <c r="N87" s="107">
        <f t="shared" ref="N87" si="292">M87</f>
        <v>46262</v>
      </c>
      <c r="O87" s="107">
        <v>46248</v>
      </c>
      <c r="P87" s="106">
        <f t="shared" ref="P87" si="293">M87+42</f>
        <v>46304</v>
      </c>
      <c r="Q87" s="107">
        <f t="shared" ref="Q87" si="294">P87</f>
        <v>46304</v>
      </c>
      <c r="R87" s="106"/>
      <c r="S87" s="106">
        <f t="shared" ref="S87" si="295">P87+14</f>
        <v>46318</v>
      </c>
      <c r="T87" s="107">
        <f t="shared" ref="T87" si="296">S87</f>
        <v>46318</v>
      </c>
      <c r="U87" s="106"/>
      <c r="V87" s="221"/>
      <c r="X87" s="168" t="str">
        <f t="shared" ca="1" si="253"/>
        <v>Completed</v>
      </c>
      <c r="Y87" s="168" t="str">
        <f t="shared" ca="1" si="121"/>
        <v>Completed</v>
      </c>
      <c r="Z87" s="168" t="str">
        <f t="shared" ca="1" si="122"/>
        <v>Overdue</v>
      </c>
      <c r="AA87" s="169" t="str">
        <f t="shared" ca="1" si="123"/>
        <v/>
      </c>
    </row>
    <row r="88" spans="1:27" s="70" customFormat="1" ht="11.5" x14ac:dyDescent="0.25">
      <c r="A88" s="175" t="s">
        <v>64</v>
      </c>
      <c r="B88" s="175" t="s">
        <v>34</v>
      </c>
      <c r="C88" s="175" t="s">
        <v>108</v>
      </c>
      <c r="D88" s="175" t="s">
        <v>1181</v>
      </c>
      <c r="E88" s="176">
        <f t="shared" si="15"/>
        <v>1</v>
      </c>
      <c r="F88" s="176">
        <f t="shared" si="16"/>
        <v>1</v>
      </c>
      <c r="G88" s="176">
        <f t="shared" si="252"/>
        <v>1</v>
      </c>
      <c r="H88" s="176">
        <f t="shared" si="17"/>
        <v>0</v>
      </c>
      <c r="I88" s="177">
        <v>0.25</v>
      </c>
      <c r="J88" s="178">
        <f t="shared" si="286"/>
        <v>46185</v>
      </c>
      <c r="K88" s="179">
        <f t="shared" si="8"/>
        <v>46185</v>
      </c>
      <c r="L88" s="179">
        <v>46181</v>
      </c>
      <c r="M88" s="178">
        <f t="shared" si="9"/>
        <v>46227</v>
      </c>
      <c r="N88" s="179">
        <f t="shared" si="10"/>
        <v>46227</v>
      </c>
      <c r="O88" s="178">
        <v>46227</v>
      </c>
      <c r="P88" s="178">
        <f t="shared" si="11"/>
        <v>46269</v>
      </c>
      <c r="Q88" s="179">
        <f t="shared" si="12"/>
        <v>46269</v>
      </c>
      <c r="R88" s="178">
        <v>46283</v>
      </c>
      <c r="S88" s="178">
        <f t="shared" si="14"/>
        <v>46283</v>
      </c>
      <c r="T88" s="179">
        <f t="shared" si="13"/>
        <v>46283</v>
      </c>
      <c r="U88" s="178">
        <v>46283</v>
      </c>
      <c r="V88" s="220"/>
      <c r="X88" s="168" t="str">
        <f t="shared" ca="1" si="253"/>
        <v>Completed</v>
      </c>
      <c r="Y88" s="168" t="str">
        <f t="shared" ca="1" si="121"/>
        <v>Completed</v>
      </c>
      <c r="Z88" s="168" t="str">
        <f t="shared" ca="1" si="122"/>
        <v>Completed</v>
      </c>
      <c r="AA88" s="169" t="str">
        <f t="shared" ca="1" si="123"/>
        <v>Completed</v>
      </c>
    </row>
    <row r="89" spans="1:27" s="70" customFormat="1" ht="11.5" x14ac:dyDescent="0.25">
      <c r="A89" s="101" t="s">
        <v>64</v>
      </c>
      <c r="B89" s="101" t="s">
        <v>34</v>
      </c>
      <c r="C89" s="101" t="s">
        <v>108</v>
      </c>
      <c r="D89" s="101" t="s">
        <v>1182</v>
      </c>
      <c r="E89" s="104">
        <f t="shared" ref="E89" si="297">(COUNTIFS(J89,"&lt;="&amp;$C$1)*50%)+(COUNTIFS(M89,"&lt;="&amp;$C$1)*20%)+(COUNTIFS(P89,"&lt;="&amp;$C$1)*10%)+(COUNTIFS(S89,"&lt;="&amp;$C$1)*20%)</f>
        <v>1</v>
      </c>
      <c r="F89" s="104">
        <f t="shared" ref="F89" si="298">(COUNTIFS(K89,"&lt;="&amp;$C$1)*50%)+(COUNTIFS(N89,"&lt;="&amp;$C$1)*20%)+(COUNTIFS(Q89,"&lt;="&amp;$C$1)*10%)+(COUNTIFS(T89,"&lt;="&amp;$C$1)*20%)</f>
        <v>1</v>
      </c>
      <c r="G89" s="104">
        <f t="shared" si="252"/>
        <v>0.79999999999999993</v>
      </c>
      <c r="H89" s="104">
        <f t="shared" ref="H89" si="299">G89-E89</f>
        <v>-0.20000000000000007</v>
      </c>
      <c r="I89" s="105">
        <v>0.25</v>
      </c>
      <c r="J89" s="106">
        <f t="shared" si="286"/>
        <v>46185</v>
      </c>
      <c r="K89" s="107">
        <f t="shared" ref="K89" si="300">J89</f>
        <v>46185</v>
      </c>
      <c r="L89" s="107">
        <v>46181</v>
      </c>
      <c r="M89" s="106">
        <f t="shared" ref="M89" si="301">J89+42</f>
        <v>46227</v>
      </c>
      <c r="N89" s="107">
        <f t="shared" ref="N89" si="302">M89</f>
        <v>46227</v>
      </c>
      <c r="O89" s="106">
        <v>46227</v>
      </c>
      <c r="P89" s="106">
        <f t="shared" ref="P89" si="303">M89+42</f>
        <v>46269</v>
      </c>
      <c r="Q89" s="107">
        <f t="shared" ref="Q89" si="304">P89</f>
        <v>46269</v>
      </c>
      <c r="R89" s="236">
        <v>46304</v>
      </c>
      <c r="S89" s="106">
        <f t="shared" ref="S89" si="305">P89+14</f>
        <v>46283</v>
      </c>
      <c r="T89" s="107">
        <f t="shared" ref="T89" si="306">S89</f>
        <v>46283</v>
      </c>
      <c r="U89" s="106"/>
      <c r="V89" s="221"/>
      <c r="X89" s="168" t="str">
        <f t="shared" ca="1" si="253"/>
        <v>Completed</v>
      </c>
      <c r="Y89" s="168" t="str">
        <f t="shared" ca="1" si="121"/>
        <v>Completed</v>
      </c>
      <c r="Z89" s="168" t="str">
        <f t="shared" ca="1" si="122"/>
        <v>Completed</v>
      </c>
      <c r="AA89" s="169" t="str">
        <f t="shared" ca="1" si="123"/>
        <v>Overdue</v>
      </c>
    </row>
    <row r="90" spans="1:27" s="70" customFormat="1" ht="11.5" x14ac:dyDescent="0.25">
      <c r="A90" s="175" t="s">
        <v>64</v>
      </c>
      <c r="B90" s="175" t="s">
        <v>34</v>
      </c>
      <c r="C90" s="175" t="s">
        <v>109</v>
      </c>
      <c r="D90" s="175" t="s">
        <v>1234</v>
      </c>
      <c r="E90" s="176">
        <f t="shared" si="15"/>
        <v>0.79999999999999993</v>
      </c>
      <c r="F90" s="176">
        <f t="shared" si="16"/>
        <v>0.79999999999999993</v>
      </c>
      <c r="G90" s="176">
        <f t="shared" si="252"/>
        <v>1</v>
      </c>
      <c r="H90" s="176">
        <f t="shared" si="17"/>
        <v>0.20000000000000007</v>
      </c>
      <c r="I90" s="180">
        <v>0.375</v>
      </c>
      <c r="J90" s="178">
        <f t="shared" si="286"/>
        <v>46216</v>
      </c>
      <c r="K90" s="178">
        <f t="shared" si="8"/>
        <v>46216</v>
      </c>
      <c r="L90" s="179">
        <v>46219</v>
      </c>
      <c r="M90" s="178">
        <f>J90+35</f>
        <v>46251</v>
      </c>
      <c r="N90" s="178">
        <f t="shared" si="10"/>
        <v>46251</v>
      </c>
      <c r="O90" s="179">
        <v>46283</v>
      </c>
      <c r="P90" s="178">
        <f t="shared" si="11"/>
        <v>46293</v>
      </c>
      <c r="Q90" s="178">
        <f t="shared" si="12"/>
        <v>46293</v>
      </c>
      <c r="R90" s="179">
        <v>46297</v>
      </c>
      <c r="S90" s="178">
        <f t="shared" si="14"/>
        <v>46307</v>
      </c>
      <c r="T90" s="178">
        <f t="shared" si="13"/>
        <v>46307</v>
      </c>
      <c r="U90" s="179">
        <v>46297</v>
      </c>
      <c r="V90" s="222"/>
      <c r="X90" s="168" t="str">
        <f t="shared" ca="1" si="253"/>
        <v>Completed</v>
      </c>
      <c r="Y90" s="168" t="str">
        <f t="shared" ca="1" si="121"/>
        <v>Completed</v>
      </c>
      <c r="Z90" s="168" t="str">
        <f t="shared" ca="1" si="122"/>
        <v>Completed</v>
      </c>
      <c r="AA90" s="169" t="str">
        <f t="shared" ca="1" si="123"/>
        <v>Completed</v>
      </c>
    </row>
    <row r="91" spans="1:27" s="70" customFormat="1" ht="11.5" x14ac:dyDescent="0.25">
      <c r="A91" s="101" t="s">
        <v>64</v>
      </c>
      <c r="B91" s="101" t="s">
        <v>34</v>
      </c>
      <c r="C91" s="101" t="s">
        <v>109</v>
      </c>
      <c r="D91" s="101" t="s">
        <v>1235</v>
      </c>
      <c r="E91" s="104">
        <f t="shared" ref="E91" si="307">(COUNTIFS(J91,"&lt;="&amp;$C$1)*50%)+(COUNTIFS(M91,"&lt;="&amp;$C$1)*20%)+(COUNTIFS(P91,"&lt;="&amp;$C$1)*10%)+(COUNTIFS(S91,"&lt;="&amp;$C$1)*20%)</f>
        <v>0.79999999999999993</v>
      </c>
      <c r="F91" s="104">
        <f t="shared" ref="F91" si="308">(COUNTIFS(K91,"&lt;="&amp;$C$1)*50%)+(COUNTIFS(N91,"&lt;="&amp;$C$1)*20%)+(COUNTIFS(Q91,"&lt;="&amp;$C$1)*10%)+(COUNTIFS(T91,"&lt;="&amp;$C$1)*20%)</f>
        <v>0.79999999999999993</v>
      </c>
      <c r="G91" s="104">
        <f t="shared" ref="G91" si="309">(COUNTIFS(L91,"&lt;="&amp;$C$1)*50%)+(COUNTIFS(O91,"&lt;="&amp;$C$1)*20%)+(COUNTIFS(R91,"&lt;="&amp;$C$1)*10%)+(COUNTIFS(U91,"&lt;="&amp;$C$1)*20%)</f>
        <v>0.7</v>
      </c>
      <c r="H91" s="104">
        <f t="shared" ref="H91" si="310">G91-E91</f>
        <v>-9.9999999999999978E-2</v>
      </c>
      <c r="I91" s="109">
        <v>0.375</v>
      </c>
      <c r="J91" s="106">
        <f t="shared" si="286"/>
        <v>46216</v>
      </c>
      <c r="K91" s="106">
        <f t="shared" ref="K91" si="311">J91</f>
        <v>46216</v>
      </c>
      <c r="L91" s="107">
        <v>46219</v>
      </c>
      <c r="M91" s="106">
        <f>J91+35</f>
        <v>46251</v>
      </c>
      <c r="N91" s="106">
        <f t="shared" ref="N91" si="312">M91</f>
        <v>46251</v>
      </c>
      <c r="O91" s="107">
        <v>46283</v>
      </c>
      <c r="P91" s="106">
        <f t="shared" ref="P91" si="313">M91+42</f>
        <v>46293</v>
      </c>
      <c r="Q91" s="106">
        <f t="shared" ref="Q91" si="314">P91</f>
        <v>46293</v>
      </c>
      <c r="R91" s="107"/>
      <c r="S91" s="106">
        <f t="shared" ref="S91" si="315">P91+14</f>
        <v>46307</v>
      </c>
      <c r="T91" s="106">
        <f t="shared" ref="T91" si="316">S91</f>
        <v>46307</v>
      </c>
      <c r="U91" s="107"/>
      <c r="V91" s="222"/>
      <c r="X91" s="168" t="str">
        <f t="shared" ref="X91" ca="1" si="317">IF(OR(L91&lt;&gt;""),"Completed",
IF(K91="","",IF(K91&lt;TODAY(),"Overdue",
IF(AND(K91&gt;=TODAY()-WEEKDAY(TODAY(),2)+1,K91&lt;=TODAY()-WEEKDAY(TODAY(),2)+7),"Follow-This Week",
IF(AND(K91&gt;=TODAY()-WEEKDAY(TODAY(),2)+8,K91&lt;=TODAY()-WEEKDAY(TODAY(),2)+14),"Follow-Next Week","")))))</f>
        <v>Completed</v>
      </c>
      <c r="Y91" s="168" t="str">
        <f t="shared" ref="Y91" ca="1" si="318">IF(OR(O91&lt;&gt;""),"Completed",IF(N91="","",
IF(N91&lt;TODAY(),"Overdue",
IF(AND(N91&gt;=TODAY()-WEEKDAY(TODAY(),2)+1,N91&lt;=TODAY()-WEEKDAY(TODAY(),2)+7),"Follow-This Week",
IF(AND(N91&gt;=TODAY()-WEEKDAY(TODAY(),2)+8,N91&lt;=TODAY()-WEEKDAY(TODAY(),2)+14),"Follow-Next Week","")))))</f>
        <v>Completed</v>
      </c>
      <c r="Z91" s="168" t="str">
        <f t="shared" ref="Z91" ca="1" si="319">IF(OR(R91&lt;&gt;""),"Completed",IF(Q91="","",
IF(Q91&lt;TODAY(),"Overdue",
IF(AND(Q91&gt;=TODAY()-WEEKDAY(TODAY(),2)+1,Q91&lt;=TODAY()-WEEKDAY(TODAY(),2)+7),"Follow-This Week",
IF(AND(Q91&gt;=TODAY()-WEEKDAY(TODAY(),2)+8,Q91&lt;=TODAY()-WEEKDAY(TODAY(),2)+14),"Follow-Next Week","")))))</f>
        <v>Overdue</v>
      </c>
      <c r="AA91" s="169" t="str">
        <f t="shared" ref="AA91" ca="1" si="320">IF(OR(U91&lt;&gt;""),"Completed",IF(T91="","",
IF(T91&lt;TODAY(),"Overdue",
IF(AND(T91&gt;=TODAY()-WEEKDAY(TODAY(),2)+1,T91&lt;=TODAY()-WEEKDAY(TODAY(),2)+7),"Follow-This Week",
IF(AND(T91&gt;=TODAY()-WEEKDAY(TODAY(),2)+8,T91&lt;=TODAY()-WEEKDAY(TODAY(),2)+14),"Follow-Next Week","")))))</f>
        <v>Follow-Next Week</v>
      </c>
    </row>
    <row r="92" spans="1:27" s="70" customFormat="1" ht="11.5" x14ac:dyDescent="0.25">
      <c r="A92" s="101" t="s">
        <v>64</v>
      </c>
      <c r="B92" s="101" t="s">
        <v>34</v>
      </c>
      <c r="C92" s="101" t="s">
        <v>110</v>
      </c>
      <c r="D92" s="101" t="s">
        <v>111</v>
      </c>
      <c r="E92" s="104">
        <f t="shared" si="15"/>
        <v>0.7</v>
      </c>
      <c r="F92" s="104">
        <f t="shared" si="16"/>
        <v>0.7</v>
      </c>
      <c r="G92" s="104">
        <f t="shared" si="252"/>
        <v>0.79999999999999993</v>
      </c>
      <c r="H92" s="104">
        <f t="shared" si="17"/>
        <v>9.9999999999999978E-2</v>
      </c>
      <c r="I92" s="109">
        <v>0.5</v>
      </c>
      <c r="J92" s="106">
        <f t="shared" si="286"/>
        <v>46234</v>
      </c>
      <c r="K92" s="106">
        <f t="shared" si="8"/>
        <v>46234</v>
      </c>
      <c r="L92" s="106">
        <v>46218</v>
      </c>
      <c r="M92" s="106">
        <f t="shared" si="9"/>
        <v>46276</v>
      </c>
      <c r="N92" s="106">
        <f t="shared" si="10"/>
        <v>46276</v>
      </c>
      <c r="O92" s="107">
        <v>46248</v>
      </c>
      <c r="P92" s="106">
        <f t="shared" si="11"/>
        <v>46318</v>
      </c>
      <c r="Q92" s="106">
        <f t="shared" si="12"/>
        <v>46318</v>
      </c>
      <c r="R92" s="160">
        <v>46300</v>
      </c>
      <c r="S92" s="106">
        <f t="shared" si="14"/>
        <v>46332</v>
      </c>
      <c r="T92" s="106">
        <f t="shared" si="13"/>
        <v>46332</v>
      </c>
      <c r="U92" s="107"/>
      <c r="V92" s="222"/>
      <c r="X92" s="168" t="str">
        <f t="shared" ca="1" si="253"/>
        <v>Completed</v>
      </c>
      <c r="Y92" s="168" t="str">
        <f t="shared" ca="1" si="121"/>
        <v>Completed</v>
      </c>
      <c r="Z92" s="168" t="str">
        <f t="shared" ca="1" si="122"/>
        <v>Completed</v>
      </c>
      <c r="AA92" s="169" t="str">
        <f t="shared" ca="1" si="123"/>
        <v/>
      </c>
    </row>
    <row r="93" spans="1:27" s="70" customFormat="1" ht="11.5" x14ac:dyDescent="0.25">
      <c r="A93" s="175" t="s">
        <v>64</v>
      </c>
      <c r="B93" s="175" t="s">
        <v>34</v>
      </c>
      <c r="C93" s="175" t="s">
        <v>112</v>
      </c>
      <c r="D93" s="175" t="s">
        <v>1078</v>
      </c>
      <c r="E93" s="176">
        <f t="shared" si="15"/>
        <v>1</v>
      </c>
      <c r="F93" s="176">
        <f t="shared" si="16"/>
        <v>1</v>
      </c>
      <c r="G93" s="176">
        <f t="shared" si="252"/>
        <v>1</v>
      </c>
      <c r="H93" s="176">
        <f t="shared" si="17"/>
        <v>0</v>
      </c>
      <c r="I93" s="180">
        <v>0.25</v>
      </c>
      <c r="J93" s="178">
        <f t="shared" si="286"/>
        <v>46178</v>
      </c>
      <c r="K93" s="181">
        <f t="shared" si="8"/>
        <v>46178</v>
      </c>
      <c r="L93" s="178">
        <v>46218</v>
      </c>
      <c r="M93" s="178">
        <f t="shared" si="9"/>
        <v>46220</v>
      </c>
      <c r="N93" s="181">
        <f t="shared" si="10"/>
        <v>46220</v>
      </c>
      <c r="O93" s="178">
        <v>46234</v>
      </c>
      <c r="P93" s="178">
        <f t="shared" si="11"/>
        <v>46262</v>
      </c>
      <c r="Q93" s="181">
        <f t="shared" si="12"/>
        <v>46262</v>
      </c>
      <c r="R93" s="178">
        <v>46234</v>
      </c>
      <c r="S93" s="178">
        <f t="shared" si="14"/>
        <v>46276</v>
      </c>
      <c r="T93" s="181">
        <f t="shared" si="13"/>
        <v>46276</v>
      </c>
      <c r="U93" s="178">
        <v>46234</v>
      </c>
      <c r="V93" s="220"/>
      <c r="X93" s="168" t="str">
        <f t="shared" ca="1" si="253"/>
        <v>Completed</v>
      </c>
      <c r="Y93" s="168" t="str">
        <f t="shared" ca="1" si="121"/>
        <v>Completed</v>
      </c>
      <c r="Z93" s="168" t="str">
        <f t="shared" ca="1" si="122"/>
        <v>Completed</v>
      </c>
      <c r="AA93" s="169" t="str">
        <f t="shared" ca="1" si="123"/>
        <v>Completed</v>
      </c>
    </row>
    <row r="94" spans="1:27" s="70" customFormat="1" ht="11.5" x14ac:dyDescent="0.25">
      <c r="A94" s="101" t="s">
        <v>64</v>
      </c>
      <c r="B94" s="101" t="s">
        <v>34</v>
      </c>
      <c r="C94" s="101" t="s">
        <v>112</v>
      </c>
      <c r="D94" s="101" t="s">
        <v>1079</v>
      </c>
      <c r="E94" s="104">
        <f t="shared" ref="E94" si="321">(COUNTIFS(J94,"&lt;="&amp;$C$1)*50%)+(COUNTIFS(M94,"&lt;="&amp;$C$1)*20%)+(COUNTIFS(P94,"&lt;="&amp;$C$1)*10%)+(COUNTIFS(S94,"&lt;="&amp;$C$1)*20%)</f>
        <v>1</v>
      </c>
      <c r="F94" s="104">
        <f t="shared" ref="F94" si="322">(COUNTIFS(K94,"&lt;="&amp;$C$1)*50%)+(COUNTIFS(N94,"&lt;="&amp;$C$1)*20%)+(COUNTIFS(Q94,"&lt;="&amp;$C$1)*10%)+(COUNTIFS(T94,"&lt;="&amp;$C$1)*20%)</f>
        <v>1</v>
      </c>
      <c r="G94" s="104">
        <f t="shared" si="252"/>
        <v>0.7</v>
      </c>
      <c r="H94" s="104">
        <f t="shared" ref="H94" si="323">G94-E94</f>
        <v>-0.30000000000000004</v>
      </c>
      <c r="I94" s="109">
        <v>0.25</v>
      </c>
      <c r="J94" s="106">
        <f>J29+28</f>
        <v>46185</v>
      </c>
      <c r="K94" s="108">
        <f t="shared" ref="K94" si="324">J94</f>
        <v>46185</v>
      </c>
      <c r="L94" s="106">
        <v>46218</v>
      </c>
      <c r="M94" s="106">
        <v>46241</v>
      </c>
      <c r="N94" s="108">
        <f t="shared" ref="N94" si="325">M94</f>
        <v>46241</v>
      </c>
      <c r="O94" s="107">
        <v>46248</v>
      </c>
      <c r="P94" s="106">
        <f t="shared" ref="P94" si="326">M94+42</f>
        <v>46283</v>
      </c>
      <c r="Q94" s="108">
        <f t="shared" ref="Q94" si="327">P94</f>
        <v>46283</v>
      </c>
      <c r="R94" s="106"/>
      <c r="S94" s="106">
        <f t="shared" ref="S94" si="328">P94+14</f>
        <v>46297</v>
      </c>
      <c r="T94" s="108">
        <f t="shared" ref="T94" si="329">S94</f>
        <v>46297</v>
      </c>
      <c r="U94" s="106"/>
      <c r="V94" s="221"/>
      <c r="X94" s="168" t="str">
        <f t="shared" ca="1" si="253"/>
        <v>Completed</v>
      </c>
      <c r="Y94" s="168" t="str">
        <f t="shared" ca="1" si="121"/>
        <v>Completed</v>
      </c>
      <c r="Z94" s="168" t="str">
        <f t="shared" ca="1" si="122"/>
        <v>Overdue</v>
      </c>
      <c r="AA94" s="169" t="str">
        <f t="shared" ca="1" si="123"/>
        <v>Overdue</v>
      </c>
    </row>
    <row r="95" spans="1:27" s="70" customFormat="1" ht="11.5" x14ac:dyDescent="0.25">
      <c r="A95" s="175" t="s">
        <v>64</v>
      </c>
      <c r="B95" s="175" t="s">
        <v>34</v>
      </c>
      <c r="C95" s="175" t="s">
        <v>113</v>
      </c>
      <c r="D95" s="175" t="s">
        <v>1220</v>
      </c>
      <c r="E95" s="176">
        <f t="shared" si="15"/>
        <v>1</v>
      </c>
      <c r="F95" s="176">
        <f t="shared" si="16"/>
        <v>1</v>
      </c>
      <c r="G95" s="176">
        <f t="shared" si="252"/>
        <v>1</v>
      </c>
      <c r="H95" s="176">
        <f t="shared" si="17"/>
        <v>0</v>
      </c>
      <c r="I95" s="180">
        <v>0.25</v>
      </c>
      <c r="J95" s="178">
        <f t="shared" ref="J95:J104" si="330">J29+28</f>
        <v>46185</v>
      </c>
      <c r="K95" s="179">
        <f t="shared" si="8"/>
        <v>46185</v>
      </c>
      <c r="L95" s="179">
        <v>46185</v>
      </c>
      <c r="M95" s="178">
        <f t="shared" si="9"/>
        <v>46227</v>
      </c>
      <c r="N95" s="179">
        <f t="shared" si="10"/>
        <v>46227</v>
      </c>
      <c r="O95" s="178">
        <v>46225</v>
      </c>
      <c r="P95" s="178">
        <f t="shared" si="11"/>
        <v>46269</v>
      </c>
      <c r="Q95" s="179">
        <f t="shared" si="12"/>
        <v>46269</v>
      </c>
      <c r="R95" s="179">
        <v>46283</v>
      </c>
      <c r="S95" s="178">
        <f t="shared" si="14"/>
        <v>46283</v>
      </c>
      <c r="T95" s="179">
        <f t="shared" si="13"/>
        <v>46283</v>
      </c>
      <c r="U95" s="179">
        <v>46283</v>
      </c>
      <c r="V95" s="223"/>
      <c r="X95" s="168" t="str">
        <f t="shared" ca="1" si="253"/>
        <v>Completed</v>
      </c>
      <c r="Y95" s="168" t="str">
        <f t="shared" ca="1" si="121"/>
        <v>Completed</v>
      </c>
      <c r="Z95" s="168" t="str">
        <f t="shared" ca="1" si="122"/>
        <v>Completed</v>
      </c>
      <c r="AA95" s="169" t="str">
        <f t="shared" ca="1" si="123"/>
        <v>Completed</v>
      </c>
    </row>
    <row r="96" spans="1:27" s="70" customFormat="1" ht="11.5" x14ac:dyDescent="0.25">
      <c r="A96" s="101" t="s">
        <v>64</v>
      </c>
      <c r="B96" s="101" t="s">
        <v>34</v>
      </c>
      <c r="C96" s="101" t="s">
        <v>113</v>
      </c>
      <c r="D96" s="101" t="s">
        <v>1221</v>
      </c>
      <c r="E96" s="104">
        <f t="shared" ref="E96" si="331">(COUNTIFS(J96,"&lt;="&amp;$C$1)*50%)+(COUNTIFS(M96,"&lt;="&amp;$C$1)*20%)+(COUNTIFS(P96,"&lt;="&amp;$C$1)*10%)+(COUNTIFS(S96,"&lt;="&amp;$C$1)*20%)</f>
        <v>1</v>
      </c>
      <c r="F96" s="104">
        <f t="shared" ref="F96" si="332">(COUNTIFS(K96,"&lt;="&amp;$C$1)*50%)+(COUNTIFS(N96,"&lt;="&amp;$C$1)*20%)+(COUNTIFS(Q96,"&lt;="&amp;$C$1)*10%)+(COUNTIFS(T96,"&lt;="&amp;$C$1)*20%)</f>
        <v>1</v>
      </c>
      <c r="G96" s="104">
        <f t="shared" si="252"/>
        <v>0.79999999999999993</v>
      </c>
      <c r="H96" s="104">
        <f t="shared" ref="H96" si="333">G96-E96</f>
        <v>-0.20000000000000007</v>
      </c>
      <c r="I96" s="109">
        <v>0.25</v>
      </c>
      <c r="J96" s="106">
        <f t="shared" si="330"/>
        <v>46185</v>
      </c>
      <c r="K96" s="107">
        <f t="shared" ref="K96" si="334">J96</f>
        <v>46185</v>
      </c>
      <c r="L96" s="107">
        <v>46185</v>
      </c>
      <c r="M96" s="106">
        <f t="shared" ref="M96" si="335">J96+42</f>
        <v>46227</v>
      </c>
      <c r="N96" s="107">
        <f t="shared" ref="N96" si="336">M96</f>
        <v>46227</v>
      </c>
      <c r="O96" s="106">
        <v>46225</v>
      </c>
      <c r="P96" s="106">
        <f t="shared" ref="P96" si="337">M96+42</f>
        <v>46269</v>
      </c>
      <c r="Q96" s="107">
        <f t="shared" ref="Q96" si="338">P96</f>
        <v>46269</v>
      </c>
      <c r="R96" s="160">
        <v>46300</v>
      </c>
      <c r="S96" s="106">
        <f t="shared" ref="S96" si="339">P96+14</f>
        <v>46283</v>
      </c>
      <c r="T96" s="107">
        <f t="shared" ref="T96" si="340">S96</f>
        <v>46283</v>
      </c>
      <c r="U96" s="107"/>
      <c r="V96" s="222"/>
      <c r="X96" s="168" t="str">
        <f t="shared" ca="1" si="253"/>
        <v>Completed</v>
      </c>
      <c r="Y96" s="168" t="str">
        <f t="shared" ca="1" si="121"/>
        <v>Completed</v>
      </c>
      <c r="Z96" s="168" t="str">
        <f t="shared" ca="1" si="122"/>
        <v>Completed</v>
      </c>
      <c r="AA96" s="169" t="str">
        <f t="shared" ca="1" si="123"/>
        <v>Overdue</v>
      </c>
    </row>
    <row r="97" spans="1:27" s="70" customFormat="1" ht="11.5" x14ac:dyDescent="0.25">
      <c r="A97" s="175" t="s">
        <v>64</v>
      </c>
      <c r="B97" s="175" t="s">
        <v>34</v>
      </c>
      <c r="C97" s="175" t="s">
        <v>114</v>
      </c>
      <c r="D97" s="175" t="s">
        <v>1222</v>
      </c>
      <c r="E97" s="176">
        <f t="shared" si="15"/>
        <v>0.7</v>
      </c>
      <c r="F97" s="176">
        <f t="shared" si="16"/>
        <v>0.7</v>
      </c>
      <c r="G97" s="176">
        <f t="shared" si="252"/>
        <v>1</v>
      </c>
      <c r="H97" s="176">
        <f t="shared" si="17"/>
        <v>0.30000000000000004</v>
      </c>
      <c r="I97" s="177">
        <v>0.4</v>
      </c>
      <c r="J97" s="178">
        <f t="shared" si="330"/>
        <v>46255</v>
      </c>
      <c r="K97" s="178">
        <f t="shared" si="8"/>
        <v>46255</v>
      </c>
      <c r="L97" s="179">
        <v>46248</v>
      </c>
      <c r="M97" s="178">
        <f t="shared" si="9"/>
        <v>46297</v>
      </c>
      <c r="N97" s="178">
        <f t="shared" si="10"/>
        <v>46297</v>
      </c>
      <c r="O97" s="178">
        <v>46269</v>
      </c>
      <c r="P97" s="178">
        <f t="shared" si="11"/>
        <v>46339</v>
      </c>
      <c r="Q97" s="178">
        <f t="shared" si="12"/>
        <v>46339</v>
      </c>
      <c r="R97" s="179">
        <v>46283</v>
      </c>
      <c r="S97" s="178">
        <f t="shared" si="14"/>
        <v>46353</v>
      </c>
      <c r="T97" s="178">
        <f t="shared" si="13"/>
        <v>46353</v>
      </c>
      <c r="U97" s="179">
        <v>46283</v>
      </c>
      <c r="V97" s="223"/>
      <c r="X97" s="168" t="str">
        <f t="shared" ca="1" si="253"/>
        <v>Completed</v>
      </c>
      <c r="Y97" s="168" t="str">
        <f t="shared" ca="1" si="121"/>
        <v>Completed</v>
      </c>
      <c r="Z97" s="168" t="str">
        <f t="shared" ca="1" si="122"/>
        <v>Completed</v>
      </c>
      <c r="AA97" s="169" t="str">
        <f t="shared" ca="1" si="123"/>
        <v>Completed</v>
      </c>
    </row>
    <row r="98" spans="1:27" s="70" customFormat="1" ht="11.5" x14ac:dyDescent="0.25">
      <c r="A98" s="101" t="s">
        <v>64</v>
      </c>
      <c r="B98" s="101" t="s">
        <v>34</v>
      </c>
      <c r="C98" s="101" t="s">
        <v>114</v>
      </c>
      <c r="D98" s="101" t="s">
        <v>1223</v>
      </c>
      <c r="E98" s="104">
        <f t="shared" ref="E98" si="341">(COUNTIFS(J98,"&lt;="&amp;$C$1)*50%)+(COUNTIFS(M98,"&lt;="&amp;$C$1)*20%)+(COUNTIFS(P98,"&lt;="&amp;$C$1)*10%)+(COUNTIFS(S98,"&lt;="&amp;$C$1)*20%)</f>
        <v>0.7</v>
      </c>
      <c r="F98" s="104">
        <f t="shared" ref="F98" si="342">(COUNTIFS(K98,"&lt;="&amp;$C$1)*50%)+(COUNTIFS(N98,"&lt;="&amp;$C$1)*20%)+(COUNTIFS(Q98,"&lt;="&amp;$C$1)*10%)+(COUNTIFS(T98,"&lt;="&amp;$C$1)*20%)</f>
        <v>0.7</v>
      </c>
      <c r="G98" s="104">
        <f t="shared" si="252"/>
        <v>0.7</v>
      </c>
      <c r="H98" s="104">
        <f t="shared" ref="H98" si="343">G98-E98</f>
        <v>0</v>
      </c>
      <c r="I98" s="105">
        <v>0.4</v>
      </c>
      <c r="J98" s="106">
        <f t="shared" si="330"/>
        <v>46255</v>
      </c>
      <c r="K98" s="106">
        <f t="shared" ref="K98" si="344">J98</f>
        <v>46255</v>
      </c>
      <c r="L98" s="107">
        <v>46248</v>
      </c>
      <c r="M98" s="106">
        <f t="shared" ref="M98" si="345">J98+42</f>
        <v>46297</v>
      </c>
      <c r="N98" s="106">
        <f t="shared" ref="N98" si="346">M98</f>
        <v>46297</v>
      </c>
      <c r="O98" s="106">
        <v>46269</v>
      </c>
      <c r="P98" s="106">
        <f t="shared" ref="P98" si="347">M98+42</f>
        <v>46339</v>
      </c>
      <c r="Q98" s="106">
        <f t="shared" ref="Q98" si="348">P98</f>
        <v>46339</v>
      </c>
      <c r="R98" s="107"/>
      <c r="S98" s="106">
        <f t="shared" ref="S98" si="349">P98+14</f>
        <v>46353</v>
      </c>
      <c r="T98" s="106">
        <f t="shared" ref="T98" si="350">S98</f>
        <v>46353</v>
      </c>
      <c r="U98" s="107"/>
      <c r="V98" s="222"/>
      <c r="X98" s="168" t="str">
        <f t="shared" ca="1" si="253"/>
        <v>Completed</v>
      </c>
      <c r="Y98" s="168" t="str">
        <f t="shared" ref="Y98:Y166" ca="1" si="351">IF(OR(O98&lt;&gt;""),"Completed",IF(N98="","",
IF(N98&lt;TODAY(),"Overdue",
IF(AND(N98&gt;=TODAY()-WEEKDAY(TODAY(),2)+1,N98&lt;=TODAY()-WEEKDAY(TODAY(),2)+7),"Follow-This Week",
IF(AND(N98&gt;=TODAY()-WEEKDAY(TODAY(),2)+8,N98&lt;=TODAY()-WEEKDAY(TODAY(),2)+14),"Follow-Next Week","")))))</f>
        <v>Completed</v>
      </c>
      <c r="Z98" s="168" t="str">
        <f t="shared" ref="Z98:Z166" ca="1" si="352">IF(OR(R98&lt;&gt;""),"Completed",IF(Q98="","",
IF(Q98&lt;TODAY(),"Overdue",
IF(AND(Q98&gt;=TODAY()-WEEKDAY(TODAY(),2)+1,Q98&lt;=TODAY()-WEEKDAY(TODAY(),2)+7),"Follow-This Week",
IF(AND(Q98&gt;=TODAY()-WEEKDAY(TODAY(),2)+8,Q98&lt;=TODAY()-WEEKDAY(TODAY(),2)+14),"Follow-Next Week","")))))</f>
        <v/>
      </c>
      <c r="AA98" s="169" t="str">
        <f t="shared" ref="AA98:AA166" ca="1" si="353">IF(OR(U98&lt;&gt;""),"Completed",IF(T98="","",
IF(T98&lt;TODAY(),"Overdue",
IF(AND(T98&gt;=TODAY()-WEEKDAY(TODAY(),2)+1,T98&lt;=TODAY()-WEEKDAY(TODAY(),2)+7),"Follow-This Week",
IF(AND(T98&gt;=TODAY()-WEEKDAY(TODAY(),2)+8,T98&lt;=TODAY()-WEEKDAY(TODAY(),2)+14),"Follow-Next Week","")))))</f>
        <v/>
      </c>
    </row>
    <row r="99" spans="1:27" s="70" customFormat="1" ht="11.5" x14ac:dyDescent="0.25">
      <c r="A99" s="175" t="s">
        <v>64</v>
      </c>
      <c r="B99" s="175" t="s">
        <v>34</v>
      </c>
      <c r="C99" s="175" t="s">
        <v>115</v>
      </c>
      <c r="D99" s="175" t="s">
        <v>1240</v>
      </c>
      <c r="E99" s="176">
        <f t="shared" si="15"/>
        <v>0.5</v>
      </c>
      <c r="F99" s="176">
        <f t="shared" si="16"/>
        <v>0.5</v>
      </c>
      <c r="G99" s="176">
        <f t="shared" si="252"/>
        <v>1</v>
      </c>
      <c r="H99" s="176">
        <f t="shared" si="17"/>
        <v>0.5</v>
      </c>
      <c r="I99" s="177">
        <v>0.4</v>
      </c>
      <c r="J99" s="178">
        <f t="shared" si="330"/>
        <v>46269</v>
      </c>
      <c r="K99" s="178">
        <f t="shared" si="8"/>
        <v>46269</v>
      </c>
      <c r="L99" s="179">
        <v>46202</v>
      </c>
      <c r="M99" s="178">
        <f t="shared" si="9"/>
        <v>46311</v>
      </c>
      <c r="N99" s="178">
        <f t="shared" si="10"/>
        <v>46311</v>
      </c>
      <c r="O99" s="204">
        <v>46209</v>
      </c>
      <c r="P99" s="178">
        <f t="shared" si="11"/>
        <v>46353</v>
      </c>
      <c r="Q99" s="178">
        <f t="shared" si="12"/>
        <v>46353</v>
      </c>
      <c r="R99" s="179">
        <v>46297</v>
      </c>
      <c r="S99" s="178">
        <f t="shared" si="14"/>
        <v>46367</v>
      </c>
      <c r="T99" s="178">
        <f t="shared" si="13"/>
        <v>46367</v>
      </c>
      <c r="U99" s="179">
        <v>46297</v>
      </c>
      <c r="V99" s="222"/>
      <c r="X99" s="168" t="str">
        <f t="shared" ca="1" si="253"/>
        <v>Completed</v>
      </c>
      <c r="Y99" s="168" t="str">
        <f t="shared" ca="1" si="351"/>
        <v>Completed</v>
      </c>
      <c r="Z99" s="168" t="str">
        <f t="shared" ca="1" si="352"/>
        <v>Completed</v>
      </c>
      <c r="AA99" s="169" t="str">
        <f t="shared" ca="1" si="353"/>
        <v>Completed</v>
      </c>
    </row>
    <row r="100" spans="1:27" s="70" customFormat="1" ht="11.5" x14ac:dyDescent="0.25">
      <c r="A100" s="101" t="s">
        <v>64</v>
      </c>
      <c r="B100" s="101" t="s">
        <v>34</v>
      </c>
      <c r="C100" s="101" t="s">
        <v>115</v>
      </c>
      <c r="D100" s="101" t="s">
        <v>1241</v>
      </c>
      <c r="E100" s="104">
        <f t="shared" ref="E100" si="354">(COUNTIFS(J100,"&lt;="&amp;$C$1)*50%)+(COUNTIFS(M100,"&lt;="&amp;$C$1)*20%)+(COUNTIFS(P100,"&lt;="&amp;$C$1)*10%)+(COUNTIFS(S100,"&lt;="&amp;$C$1)*20%)</f>
        <v>0.5</v>
      </c>
      <c r="F100" s="104">
        <f t="shared" ref="F100" si="355">(COUNTIFS(K100,"&lt;="&amp;$C$1)*50%)+(COUNTIFS(N100,"&lt;="&amp;$C$1)*20%)+(COUNTIFS(Q100,"&lt;="&amp;$C$1)*10%)+(COUNTIFS(T100,"&lt;="&amp;$C$1)*20%)</f>
        <v>0.5</v>
      </c>
      <c r="G100" s="104">
        <f t="shared" ref="G100" si="356">(COUNTIFS(L100,"&lt;="&amp;$C$1)*50%)+(COUNTIFS(O100,"&lt;="&amp;$C$1)*20%)+(COUNTIFS(R100,"&lt;="&amp;$C$1)*10%)+(COUNTIFS(U100,"&lt;="&amp;$C$1)*20%)</f>
        <v>0.7</v>
      </c>
      <c r="H100" s="104">
        <f t="shared" ref="H100" si="357">G100-E100</f>
        <v>0.19999999999999996</v>
      </c>
      <c r="I100" s="105">
        <v>0.4</v>
      </c>
      <c r="J100" s="106">
        <f t="shared" si="330"/>
        <v>46269</v>
      </c>
      <c r="K100" s="106">
        <f t="shared" ref="K100" si="358">J100</f>
        <v>46269</v>
      </c>
      <c r="L100" s="107">
        <v>46202</v>
      </c>
      <c r="M100" s="106">
        <f t="shared" ref="M100" si="359">J100+42</f>
        <v>46311</v>
      </c>
      <c r="N100" s="106">
        <f t="shared" ref="N100" si="360">M100</f>
        <v>46311</v>
      </c>
      <c r="O100" s="137">
        <v>46209</v>
      </c>
      <c r="P100" s="106">
        <f t="shared" ref="P100" si="361">M100+42</f>
        <v>46353</v>
      </c>
      <c r="Q100" s="106">
        <f t="shared" ref="Q100" si="362">P100</f>
        <v>46353</v>
      </c>
      <c r="R100" s="107"/>
      <c r="S100" s="106">
        <f t="shared" ref="S100" si="363">P100+14</f>
        <v>46367</v>
      </c>
      <c r="T100" s="106">
        <f t="shared" ref="T100" si="364">S100</f>
        <v>46367</v>
      </c>
      <c r="U100" s="107"/>
      <c r="V100" s="222"/>
      <c r="X100" s="168" t="str">
        <f t="shared" ref="X100" ca="1" si="365">IF(OR(L100&lt;&gt;""),"Completed",
IF(K100="","",IF(K100&lt;TODAY(),"Overdue",
IF(AND(K100&gt;=TODAY()-WEEKDAY(TODAY(),2)+1,K100&lt;=TODAY()-WEEKDAY(TODAY(),2)+7),"Follow-This Week",
IF(AND(K100&gt;=TODAY()-WEEKDAY(TODAY(),2)+8,K100&lt;=TODAY()-WEEKDAY(TODAY(),2)+14),"Follow-Next Week","")))))</f>
        <v>Completed</v>
      </c>
      <c r="Y100" s="168" t="str">
        <f t="shared" ref="Y100" ca="1" si="366">IF(OR(O100&lt;&gt;""),"Completed",IF(N100="","",
IF(N100&lt;TODAY(),"Overdue",
IF(AND(N100&gt;=TODAY()-WEEKDAY(TODAY(),2)+1,N100&lt;=TODAY()-WEEKDAY(TODAY(),2)+7),"Follow-This Week",
IF(AND(N100&gt;=TODAY()-WEEKDAY(TODAY(),2)+8,N100&lt;=TODAY()-WEEKDAY(TODAY(),2)+14),"Follow-Next Week","")))))</f>
        <v>Completed</v>
      </c>
      <c r="Z100" s="168" t="str">
        <f t="shared" ref="Z100" ca="1" si="367">IF(OR(R100&lt;&gt;""),"Completed",IF(Q100="","",
IF(Q100&lt;TODAY(),"Overdue",
IF(AND(Q100&gt;=TODAY()-WEEKDAY(TODAY(),2)+1,Q100&lt;=TODAY()-WEEKDAY(TODAY(),2)+7),"Follow-This Week",
IF(AND(Q100&gt;=TODAY()-WEEKDAY(TODAY(),2)+8,Q100&lt;=TODAY()-WEEKDAY(TODAY(),2)+14),"Follow-Next Week","")))))</f>
        <v/>
      </c>
      <c r="AA100" s="169" t="str">
        <f t="shared" ref="AA100" ca="1" si="368">IF(OR(U100&lt;&gt;""),"Completed",IF(T100="","",
IF(T100&lt;TODAY(),"Overdue",
IF(AND(T100&gt;=TODAY()-WEEKDAY(TODAY(),2)+1,T100&lt;=TODAY()-WEEKDAY(TODAY(),2)+7),"Follow-This Week",
IF(AND(T100&gt;=TODAY()-WEEKDAY(TODAY(),2)+8,T100&lt;=TODAY()-WEEKDAY(TODAY(),2)+14),"Follow-Next Week","")))))</f>
        <v/>
      </c>
    </row>
    <row r="101" spans="1:27" s="70" customFormat="1" ht="11.5" x14ac:dyDescent="0.25">
      <c r="A101" s="101" t="s">
        <v>64</v>
      </c>
      <c r="B101" s="101" t="s">
        <v>34</v>
      </c>
      <c r="C101" s="101" t="s">
        <v>116</v>
      </c>
      <c r="D101" s="101" t="s">
        <v>117</v>
      </c>
      <c r="E101" s="104">
        <f t="shared" si="15"/>
        <v>0.5</v>
      </c>
      <c r="F101" s="104">
        <f t="shared" si="16"/>
        <v>0.5</v>
      </c>
      <c r="G101" s="104">
        <f t="shared" si="252"/>
        <v>0.7</v>
      </c>
      <c r="H101" s="104">
        <f t="shared" si="17"/>
        <v>0.19999999999999996</v>
      </c>
      <c r="I101" s="105">
        <v>0.8</v>
      </c>
      <c r="J101" s="106">
        <f t="shared" si="330"/>
        <v>46277</v>
      </c>
      <c r="K101" s="106">
        <f t="shared" si="8"/>
        <v>46277</v>
      </c>
      <c r="L101" s="106">
        <v>46248</v>
      </c>
      <c r="M101" s="106">
        <f t="shared" si="9"/>
        <v>46319</v>
      </c>
      <c r="N101" s="106">
        <f t="shared" si="10"/>
        <v>46319</v>
      </c>
      <c r="O101" s="106">
        <v>46269</v>
      </c>
      <c r="P101" s="106">
        <f t="shared" si="11"/>
        <v>46361</v>
      </c>
      <c r="Q101" s="106">
        <f t="shared" si="12"/>
        <v>46361</v>
      </c>
      <c r="R101" s="106"/>
      <c r="S101" s="106">
        <f t="shared" si="14"/>
        <v>46375</v>
      </c>
      <c r="T101" s="106">
        <f t="shared" si="13"/>
        <v>46375</v>
      </c>
      <c r="U101" s="106"/>
      <c r="V101" s="221"/>
      <c r="X101" s="168" t="str">
        <f t="shared" ca="1" si="253"/>
        <v>Completed</v>
      </c>
      <c r="Y101" s="168" t="str">
        <f t="shared" ca="1" si="351"/>
        <v>Completed</v>
      </c>
      <c r="Z101" s="168" t="str">
        <f t="shared" ca="1" si="352"/>
        <v/>
      </c>
      <c r="AA101" s="169" t="str">
        <f t="shared" ca="1" si="353"/>
        <v/>
      </c>
    </row>
    <row r="102" spans="1:27" s="70" customFormat="1" ht="11.5" x14ac:dyDescent="0.25">
      <c r="A102" s="175" t="s">
        <v>64</v>
      </c>
      <c r="B102" s="175" t="s">
        <v>34</v>
      </c>
      <c r="C102" s="175" t="s">
        <v>118</v>
      </c>
      <c r="D102" s="175" t="s">
        <v>1246</v>
      </c>
      <c r="E102" s="176">
        <f t="shared" si="15"/>
        <v>0</v>
      </c>
      <c r="F102" s="176">
        <f t="shared" si="16"/>
        <v>0</v>
      </c>
      <c r="G102" s="176">
        <f t="shared" si="252"/>
        <v>1</v>
      </c>
      <c r="H102" s="176">
        <f t="shared" si="17"/>
        <v>1</v>
      </c>
      <c r="I102" s="177">
        <v>0.25</v>
      </c>
      <c r="J102" s="178">
        <f t="shared" si="330"/>
        <v>46330</v>
      </c>
      <c r="K102" s="178">
        <f t="shared" si="8"/>
        <v>46330</v>
      </c>
      <c r="L102" s="178">
        <v>46290</v>
      </c>
      <c r="M102" s="178">
        <f t="shared" si="9"/>
        <v>46372</v>
      </c>
      <c r="N102" s="178">
        <f t="shared" si="10"/>
        <v>46372</v>
      </c>
      <c r="O102" s="178">
        <v>46290</v>
      </c>
      <c r="P102" s="178">
        <f t="shared" si="11"/>
        <v>46414</v>
      </c>
      <c r="Q102" s="178">
        <f t="shared" si="12"/>
        <v>46414</v>
      </c>
      <c r="R102" s="178">
        <v>46290</v>
      </c>
      <c r="S102" s="178">
        <f t="shared" si="14"/>
        <v>46428</v>
      </c>
      <c r="T102" s="178">
        <f t="shared" si="13"/>
        <v>46428</v>
      </c>
      <c r="U102" s="178">
        <v>46290</v>
      </c>
      <c r="V102" s="220"/>
      <c r="X102" s="168" t="str">
        <f t="shared" ca="1" si="253"/>
        <v>Completed</v>
      </c>
      <c r="Y102" s="168" t="str">
        <f t="shared" ca="1" si="351"/>
        <v>Completed</v>
      </c>
      <c r="Z102" s="168" t="str">
        <f t="shared" ca="1" si="352"/>
        <v>Completed</v>
      </c>
      <c r="AA102" s="169" t="str">
        <f t="shared" ca="1" si="353"/>
        <v>Completed</v>
      </c>
    </row>
    <row r="103" spans="1:27" s="70" customFormat="1" ht="11.5" x14ac:dyDescent="0.25">
      <c r="A103" s="101" t="s">
        <v>64</v>
      </c>
      <c r="B103" s="101" t="s">
        <v>34</v>
      </c>
      <c r="C103" s="101" t="s">
        <v>118</v>
      </c>
      <c r="D103" s="101" t="s">
        <v>1247</v>
      </c>
      <c r="E103" s="104">
        <f t="shared" ref="E103" si="369">(COUNTIFS(J103,"&lt;="&amp;$C$1)*50%)+(COUNTIFS(M103,"&lt;="&amp;$C$1)*20%)+(COUNTIFS(P103,"&lt;="&amp;$C$1)*10%)+(COUNTIFS(S103,"&lt;="&amp;$C$1)*20%)</f>
        <v>0</v>
      </c>
      <c r="F103" s="104">
        <f t="shared" ref="F103" si="370">(COUNTIFS(K103,"&lt;="&amp;$C$1)*50%)+(COUNTIFS(N103,"&lt;="&amp;$C$1)*20%)+(COUNTIFS(Q103,"&lt;="&amp;$C$1)*10%)+(COUNTIFS(T103,"&lt;="&amp;$C$1)*20%)</f>
        <v>0</v>
      </c>
      <c r="G103" s="104">
        <f t="shared" si="252"/>
        <v>0.5</v>
      </c>
      <c r="H103" s="104">
        <f t="shared" ref="H103" si="371">G103-E103</f>
        <v>0.5</v>
      </c>
      <c r="I103" s="105">
        <v>0.25</v>
      </c>
      <c r="J103" s="106">
        <f t="shared" si="330"/>
        <v>46330</v>
      </c>
      <c r="K103" s="106">
        <f t="shared" ref="K103" si="372">J103</f>
        <v>46330</v>
      </c>
      <c r="L103" s="160">
        <v>46304</v>
      </c>
      <c r="M103" s="106">
        <f t="shared" ref="M103" si="373">J103+42</f>
        <v>46372</v>
      </c>
      <c r="N103" s="106">
        <f t="shared" ref="N103" si="374">M103</f>
        <v>46372</v>
      </c>
      <c r="O103" s="106"/>
      <c r="P103" s="106">
        <f t="shared" ref="P103" si="375">M103+42</f>
        <v>46414</v>
      </c>
      <c r="Q103" s="106">
        <f t="shared" ref="Q103" si="376">P103</f>
        <v>46414</v>
      </c>
      <c r="R103" s="106"/>
      <c r="S103" s="106">
        <f t="shared" ref="S103" si="377">P103+14</f>
        <v>46428</v>
      </c>
      <c r="T103" s="106">
        <f t="shared" ref="T103" si="378">S103</f>
        <v>46428</v>
      </c>
      <c r="U103" s="106"/>
      <c r="V103" s="221"/>
      <c r="X103" s="168" t="str">
        <f t="shared" ca="1" si="253"/>
        <v>Completed</v>
      </c>
      <c r="Y103" s="168" t="str">
        <f t="shared" ca="1" si="351"/>
        <v/>
      </c>
      <c r="Z103" s="168" t="str">
        <f t="shared" ca="1" si="352"/>
        <v/>
      </c>
      <c r="AA103" s="169" t="str">
        <f t="shared" ca="1" si="353"/>
        <v/>
      </c>
    </row>
    <row r="104" spans="1:27" s="70" customFormat="1" ht="11.5" x14ac:dyDescent="0.25">
      <c r="A104" s="101" t="s">
        <v>64</v>
      </c>
      <c r="B104" s="101" t="s">
        <v>34</v>
      </c>
      <c r="C104" s="101" t="s">
        <v>119</v>
      </c>
      <c r="D104" s="101" t="s">
        <v>120</v>
      </c>
      <c r="E104" s="104">
        <f t="shared" si="15"/>
        <v>1</v>
      </c>
      <c r="F104" s="104">
        <f t="shared" si="16"/>
        <v>1</v>
      </c>
      <c r="G104" s="104">
        <f t="shared" si="252"/>
        <v>0.7</v>
      </c>
      <c r="H104" s="104">
        <f t="shared" si="17"/>
        <v>-0.30000000000000004</v>
      </c>
      <c r="I104" s="105">
        <v>0.5</v>
      </c>
      <c r="J104" s="106">
        <f t="shared" si="330"/>
        <v>46199</v>
      </c>
      <c r="K104" s="106">
        <f t="shared" si="8"/>
        <v>46199</v>
      </c>
      <c r="L104" s="106">
        <v>46192</v>
      </c>
      <c r="M104" s="106">
        <f t="shared" si="9"/>
        <v>46241</v>
      </c>
      <c r="N104" s="106">
        <f t="shared" si="10"/>
        <v>46241</v>
      </c>
      <c r="O104" s="107">
        <v>46237</v>
      </c>
      <c r="P104" s="106">
        <f t="shared" si="11"/>
        <v>46283</v>
      </c>
      <c r="Q104" s="106">
        <f t="shared" si="12"/>
        <v>46283</v>
      </c>
      <c r="R104" s="106"/>
      <c r="S104" s="106">
        <f t="shared" si="14"/>
        <v>46297</v>
      </c>
      <c r="T104" s="106">
        <f t="shared" si="13"/>
        <v>46297</v>
      </c>
      <c r="U104" s="106"/>
      <c r="V104" s="221"/>
      <c r="X104" s="168" t="str">
        <f t="shared" ca="1" si="253"/>
        <v>Completed</v>
      </c>
      <c r="Y104" s="168" t="str">
        <f t="shared" ca="1" si="351"/>
        <v>Completed</v>
      </c>
      <c r="Z104" s="168" t="str">
        <f t="shared" ca="1" si="352"/>
        <v>Overdue</v>
      </c>
      <c r="AA104" s="169" t="str">
        <f t="shared" ca="1" si="353"/>
        <v>Overdue</v>
      </c>
    </row>
    <row r="105" spans="1:27" s="70" customFormat="1" ht="11.5" x14ac:dyDescent="0.25">
      <c r="A105" s="101" t="s">
        <v>64</v>
      </c>
      <c r="B105" s="101" t="s">
        <v>34</v>
      </c>
      <c r="C105" s="101" t="s">
        <v>121</v>
      </c>
      <c r="D105" s="101" t="s">
        <v>122</v>
      </c>
      <c r="E105" s="104">
        <f t="shared" si="15"/>
        <v>0.7</v>
      </c>
      <c r="F105" s="104">
        <f t="shared" si="16"/>
        <v>0.7</v>
      </c>
      <c r="G105" s="104">
        <f t="shared" si="252"/>
        <v>0.79999999999999993</v>
      </c>
      <c r="H105" s="104">
        <f t="shared" si="17"/>
        <v>9.9999999999999978E-2</v>
      </c>
      <c r="I105" s="105">
        <v>0.5</v>
      </c>
      <c r="J105" s="106">
        <f>J40+28</f>
        <v>46255</v>
      </c>
      <c r="K105" s="107">
        <f t="shared" si="8"/>
        <v>46255</v>
      </c>
      <c r="L105" s="106">
        <v>46150</v>
      </c>
      <c r="M105" s="106">
        <f t="shared" si="9"/>
        <v>46297</v>
      </c>
      <c r="N105" s="107">
        <f t="shared" si="10"/>
        <v>46297</v>
      </c>
      <c r="O105" s="106">
        <v>46220</v>
      </c>
      <c r="P105" s="106">
        <f t="shared" si="11"/>
        <v>46339</v>
      </c>
      <c r="Q105" s="107">
        <f t="shared" si="12"/>
        <v>46339</v>
      </c>
      <c r="R105" s="106">
        <v>46290</v>
      </c>
      <c r="S105" s="106">
        <f t="shared" si="14"/>
        <v>46353</v>
      </c>
      <c r="T105" s="107">
        <f t="shared" si="13"/>
        <v>46353</v>
      </c>
      <c r="U105" s="106"/>
      <c r="V105" s="221"/>
      <c r="X105" s="168" t="str">
        <f t="shared" ca="1" si="253"/>
        <v>Completed</v>
      </c>
      <c r="Y105" s="168" t="str">
        <f t="shared" ca="1" si="351"/>
        <v>Completed</v>
      </c>
      <c r="Z105" s="168" t="str">
        <f t="shared" ca="1" si="352"/>
        <v>Completed</v>
      </c>
      <c r="AA105" s="169" t="str">
        <f t="shared" ca="1" si="353"/>
        <v/>
      </c>
    </row>
    <row r="106" spans="1:27" s="70" customFormat="1" ht="11.5" x14ac:dyDescent="0.25">
      <c r="A106" s="175" t="s">
        <v>64</v>
      </c>
      <c r="B106" s="175" t="s">
        <v>34</v>
      </c>
      <c r="C106" s="175" t="s">
        <v>798</v>
      </c>
      <c r="D106" s="175" t="s">
        <v>1166</v>
      </c>
      <c r="E106" s="176">
        <f t="shared" si="15"/>
        <v>1</v>
      </c>
      <c r="F106" s="176">
        <f t="shared" si="16"/>
        <v>1</v>
      </c>
      <c r="G106" s="176">
        <f t="shared" si="252"/>
        <v>1</v>
      </c>
      <c r="H106" s="176">
        <f t="shared" si="17"/>
        <v>0</v>
      </c>
      <c r="I106" s="177">
        <v>0.27500000000000002</v>
      </c>
      <c r="J106" s="178">
        <f>J41+28</f>
        <v>46192</v>
      </c>
      <c r="K106" s="178">
        <f t="shared" si="8"/>
        <v>46192</v>
      </c>
      <c r="L106" s="178">
        <v>46192</v>
      </c>
      <c r="M106" s="178">
        <f t="shared" si="9"/>
        <v>46234</v>
      </c>
      <c r="N106" s="178">
        <f t="shared" si="10"/>
        <v>46234</v>
      </c>
      <c r="O106" s="178">
        <v>46227</v>
      </c>
      <c r="P106" s="178">
        <f t="shared" si="11"/>
        <v>46276</v>
      </c>
      <c r="Q106" s="178">
        <f t="shared" si="12"/>
        <v>46276</v>
      </c>
      <c r="R106" s="178">
        <v>46276</v>
      </c>
      <c r="S106" s="178">
        <f t="shared" si="14"/>
        <v>46290</v>
      </c>
      <c r="T106" s="178">
        <f t="shared" si="13"/>
        <v>46290</v>
      </c>
      <c r="U106" s="179">
        <v>46276</v>
      </c>
      <c r="V106" s="223"/>
      <c r="X106" s="168" t="str">
        <f t="shared" ca="1" si="253"/>
        <v>Completed</v>
      </c>
      <c r="Y106" s="168" t="str">
        <f t="shared" ca="1" si="351"/>
        <v>Completed</v>
      </c>
      <c r="Z106" s="168" t="str">
        <f t="shared" ca="1" si="352"/>
        <v>Completed</v>
      </c>
      <c r="AA106" s="169" t="str">
        <f t="shared" ca="1" si="353"/>
        <v>Completed</v>
      </c>
    </row>
    <row r="107" spans="1:27" s="70" customFormat="1" ht="11.5" x14ac:dyDescent="0.25">
      <c r="A107" s="101" t="s">
        <v>64</v>
      </c>
      <c r="B107" s="101" t="s">
        <v>34</v>
      </c>
      <c r="C107" s="101" t="s">
        <v>798</v>
      </c>
      <c r="D107" s="101" t="s">
        <v>1148</v>
      </c>
      <c r="E107" s="104">
        <f t="shared" ref="E107" si="379">(COUNTIFS(J107,"&lt;="&amp;$C$1)*50%)+(COUNTIFS(M107,"&lt;="&amp;$C$1)*20%)+(COUNTIFS(P107,"&lt;="&amp;$C$1)*10%)+(COUNTIFS(S107,"&lt;="&amp;$C$1)*20%)</f>
        <v>1</v>
      </c>
      <c r="F107" s="104">
        <f t="shared" ref="F107" si="380">(COUNTIFS(K107,"&lt;="&amp;$C$1)*50%)+(COUNTIFS(N107,"&lt;="&amp;$C$1)*20%)+(COUNTIFS(Q107,"&lt;="&amp;$C$1)*10%)+(COUNTIFS(T107,"&lt;="&amp;$C$1)*20%)</f>
        <v>1</v>
      </c>
      <c r="G107" s="104">
        <f t="shared" si="252"/>
        <v>1</v>
      </c>
      <c r="H107" s="104">
        <f t="shared" ref="H107" si="381">G107-E107</f>
        <v>0</v>
      </c>
      <c r="I107" s="105">
        <v>0.27500000000000002</v>
      </c>
      <c r="J107" s="106">
        <f>J42+28</f>
        <v>46192</v>
      </c>
      <c r="K107" s="106">
        <f t="shared" ref="K107" si="382">J107</f>
        <v>46192</v>
      </c>
      <c r="L107" s="106">
        <v>46192</v>
      </c>
      <c r="M107" s="106">
        <f t="shared" ref="M107" si="383">J107+42</f>
        <v>46234</v>
      </c>
      <c r="N107" s="106">
        <f t="shared" ref="N107" si="384">M107</f>
        <v>46234</v>
      </c>
      <c r="O107" s="106">
        <v>46227</v>
      </c>
      <c r="P107" s="106">
        <f t="shared" ref="P107" si="385">M107+42</f>
        <v>46276</v>
      </c>
      <c r="Q107" s="106">
        <f t="shared" ref="Q107" si="386">P107</f>
        <v>46276</v>
      </c>
      <c r="R107" s="106">
        <v>46283</v>
      </c>
      <c r="S107" s="106">
        <f t="shared" ref="S107" si="387">P107+14</f>
        <v>46290</v>
      </c>
      <c r="T107" s="106">
        <f t="shared" ref="T107" si="388">S107</f>
        <v>46290</v>
      </c>
      <c r="U107" s="106">
        <v>46295</v>
      </c>
      <c r="V107" s="222"/>
      <c r="X107" s="168" t="str">
        <f t="shared" ca="1" si="253"/>
        <v>Completed</v>
      </c>
      <c r="Y107" s="168" t="str">
        <f t="shared" ca="1" si="351"/>
        <v>Completed</v>
      </c>
      <c r="Z107" s="168" t="str">
        <f t="shared" ca="1" si="352"/>
        <v>Completed</v>
      </c>
      <c r="AA107" s="169" t="str">
        <f t="shared" ca="1" si="353"/>
        <v>Completed</v>
      </c>
    </row>
    <row r="108" spans="1:27" s="70" customFormat="1" ht="11.5" x14ac:dyDescent="0.25">
      <c r="A108" s="101" t="s">
        <v>64</v>
      </c>
      <c r="B108" s="101" t="s">
        <v>34</v>
      </c>
      <c r="C108" s="101" t="s">
        <v>799</v>
      </c>
      <c r="D108" s="101" t="s">
        <v>123</v>
      </c>
      <c r="E108" s="104">
        <f t="shared" si="15"/>
        <v>1</v>
      </c>
      <c r="F108" s="104">
        <f t="shared" si="16"/>
        <v>1</v>
      </c>
      <c r="G108" s="104">
        <f t="shared" si="252"/>
        <v>1</v>
      </c>
      <c r="H108" s="104">
        <f t="shared" si="17"/>
        <v>0</v>
      </c>
      <c r="I108" s="105">
        <v>0.55000000000000004</v>
      </c>
      <c r="J108" s="106">
        <f>J43+28</f>
        <v>46199</v>
      </c>
      <c r="K108" s="107">
        <f t="shared" si="8"/>
        <v>46199</v>
      </c>
      <c r="L108" s="106">
        <v>46155</v>
      </c>
      <c r="M108" s="106">
        <f t="shared" si="9"/>
        <v>46241</v>
      </c>
      <c r="N108" s="107">
        <f t="shared" si="10"/>
        <v>46241</v>
      </c>
      <c r="O108" s="107">
        <v>46244</v>
      </c>
      <c r="P108" s="107">
        <f t="shared" si="11"/>
        <v>46283</v>
      </c>
      <c r="Q108" s="107">
        <f t="shared" si="12"/>
        <v>46283</v>
      </c>
      <c r="R108" s="106">
        <v>46283</v>
      </c>
      <c r="S108" s="106">
        <f t="shared" si="14"/>
        <v>46297</v>
      </c>
      <c r="T108" s="107">
        <f t="shared" si="13"/>
        <v>46297</v>
      </c>
      <c r="U108" s="106">
        <v>46295</v>
      </c>
      <c r="V108" s="222"/>
      <c r="X108" s="168" t="str">
        <f t="shared" ca="1" si="253"/>
        <v>Completed</v>
      </c>
      <c r="Y108" s="168" t="str">
        <f t="shared" ca="1" si="351"/>
        <v>Completed</v>
      </c>
      <c r="Z108" s="168" t="str">
        <f t="shared" ca="1" si="352"/>
        <v>Completed</v>
      </c>
      <c r="AA108" s="169" t="str">
        <f t="shared" ca="1" si="353"/>
        <v>Completed</v>
      </c>
    </row>
    <row r="109" spans="1:27" s="70" customFormat="1" ht="11.5" x14ac:dyDescent="0.25">
      <c r="A109" s="175" t="s">
        <v>64</v>
      </c>
      <c r="B109" s="175" t="s">
        <v>34</v>
      </c>
      <c r="C109" s="175" t="s">
        <v>800</v>
      </c>
      <c r="D109" s="175" t="s">
        <v>1097</v>
      </c>
      <c r="E109" s="176">
        <f t="shared" si="15"/>
        <v>0.79999999999999993</v>
      </c>
      <c r="F109" s="176">
        <f t="shared" si="16"/>
        <v>0.79999999999999993</v>
      </c>
      <c r="G109" s="176">
        <f t="shared" si="252"/>
        <v>1</v>
      </c>
      <c r="H109" s="176">
        <f t="shared" si="17"/>
        <v>0.20000000000000007</v>
      </c>
      <c r="I109" s="177">
        <v>0.375</v>
      </c>
      <c r="J109" s="178">
        <f>J44+28</f>
        <v>46220</v>
      </c>
      <c r="K109" s="179">
        <f t="shared" si="8"/>
        <v>46220</v>
      </c>
      <c r="L109" s="178">
        <v>46234</v>
      </c>
      <c r="M109" s="178">
        <f t="shared" si="9"/>
        <v>46262</v>
      </c>
      <c r="N109" s="179">
        <f t="shared" si="10"/>
        <v>46262</v>
      </c>
      <c r="O109" s="179">
        <v>46234</v>
      </c>
      <c r="P109" s="179">
        <f t="shared" si="11"/>
        <v>46304</v>
      </c>
      <c r="Q109" s="179">
        <f t="shared" si="12"/>
        <v>46304</v>
      </c>
      <c r="R109" s="179">
        <v>46234</v>
      </c>
      <c r="S109" s="178">
        <f t="shared" si="14"/>
        <v>46318</v>
      </c>
      <c r="T109" s="179">
        <f t="shared" si="13"/>
        <v>46318</v>
      </c>
      <c r="U109" s="179">
        <v>46234</v>
      </c>
      <c r="V109" s="223"/>
      <c r="X109" s="168" t="str">
        <f t="shared" ca="1" si="253"/>
        <v>Completed</v>
      </c>
      <c r="Y109" s="168" t="str">
        <f t="shared" ca="1" si="351"/>
        <v>Completed</v>
      </c>
      <c r="Z109" s="168" t="str">
        <f t="shared" ca="1" si="352"/>
        <v>Completed</v>
      </c>
      <c r="AA109" s="169" t="str">
        <f t="shared" ca="1" si="353"/>
        <v>Completed</v>
      </c>
    </row>
    <row r="110" spans="1:27" s="70" customFormat="1" ht="11.5" x14ac:dyDescent="0.25">
      <c r="A110" s="101" t="s">
        <v>64</v>
      </c>
      <c r="B110" s="101" t="s">
        <v>34</v>
      </c>
      <c r="C110" s="101" t="s">
        <v>800</v>
      </c>
      <c r="D110" s="101" t="s">
        <v>1098</v>
      </c>
      <c r="E110" s="104">
        <f t="shared" ref="E110" si="389">(COUNTIFS(J110,"&lt;="&amp;$C$1)*50%)+(COUNTIFS(M110,"&lt;="&amp;$C$1)*20%)+(COUNTIFS(P110,"&lt;="&amp;$C$1)*10%)+(COUNTIFS(S110,"&lt;="&amp;$C$1)*20%)</f>
        <v>0.79999999999999993</v>
      </c>
      <c r="F110" s="104">
        <f t="shared" ref="F110" si="390">(COUNTIFS(K110,"&lt;="&amp;$C$1)*50%)+(COUNTIFS(N110,"&lt;="&amp;$C$1)*20%)+(COUNTIFS(Q110,"&lt;="&amp;$C$1)*10%)+(COUNTIFS(T110,"&lt;="&amp;$C$1)*20%)</f>
        <v>0.79999999999999993</v>
      </c>
      <c r="G110" s="104">
        <f t="shared" si="252"/>
        <v>1</v>
      </c>
      <c r="H110" s="104">
        <f t="shared" ref="H110" si="391">G110-E110</f>
        <v>0.20000000000000007</v>
      </c>
      <c r="I110" s="105">
        <v>0.375</v>
      </c>
      <c r="J110" s="106">
        <v>46241</v>
      </c>
      <c r="K110" s="107">
        <v>46241</v>
      </c>
      <c r="L110" s="107">
        <v>46237</v>
      </c>
      <c r="M110" s="106">
        <v>46262</v>
      </c>
      <c r="N110" s="107">
        <v>46262</v>
      </c>
      <c r="O110" s="107">
        <v>46252</v>
      </c>
      <c r="P110" s="107">
        <v>46304</v>
      </c>
      <c r="Q110" s="107">
        <v>46304</v>
      </c>
      <c r="R110" s="106">
        <v>46283</v>
      </c>
      <c r="S110" s="106">
        <v>46318</v>
      </c>
      <c r="T110" s="107">
        <v>46318</v>
      </c>
      <c r="U110" s="106">
        <v>46295</v>
      </c>
      <c r="V110" s="222"/>
      <c r="X110" s="168" t="str">
        <f t="shared" ca="1" si="253"/>
        <v>Completed</v>
      </c>
      <c r="Y110" s="168" t="str">
        <f t="shared" ca="1" si="351"/>
        <v>Completed</v>
      </c>
      <c r="Z110" s="168" t="str">
        <f t="shared" ca="1" si="352"/>
        <v>Completed</v>
      </c>
      <c r="AA110" s="169" t="str">
        <f t="shared" ca="1" si="353"/>
        <v>Completed</v>
      </c>
    </row>
    <row r="111" spans="1:27" s="70" customFormat="1" ht="11.5" x14ac:dyDescent="0.25">
      <c r="A111" s="175" t="s">
        <v>64</v>
      </c>
      <c r="B111" s="175" t="s">
        <v>34</v>
      </c>
      <c r="C111" s="175" t="s">
        <v>124</v>
      </c>
      <c r="D111" s="175" t="s">
        <v>1242</v>
      </c>
      <c r="E111" s="176">
        <f t="shared" si="15"/>
        <v>1</v>
      </c>
      <c r="F111" s="176">
        <f t="shared" si="16"/>
        <v>1</v>
      </c>
      <c r="G111" s="176">
        <f t="shared" si="252"/>
        <v>1</v>
      </c>
      <c r="H111" s="176">
        <f t="shared" si="17"/>
        <v>0</v>
      </c>
      <c r="I111" s="177">
        <v>0.5</v>
      </c>
      <c r="J111" s="178">
        <f>J45+28</f>
        <v>46143</v>
      </c>
      <c r="K111" s="179">
        <f t="shared" si="8"/>
        <v>46143</v>
      </c>
      <c r="L111" s="178">
        <v>46122</v>
      </c>
      <c r="M111" s="178">
        <f t="shared" si="9"/>
        <v>46185</v>
      </c>
      <c r="N111" s="179">
        <f t="shared" si="10"/>
        <v>46185</v>
      </c>
      <c r="O111" s="179">
        <v>46213</v>
      </c>
      <c r="P111" s="178">
        <f t="shared" si="11"/>
        <v>46227</v>
      </c>
      <c r="Q111" s="179">
        <f t="shared" si="12"/>
        <v>46227</v>
      </c>
      <c r="R111" s="178">
        <v>46273</v>
      </c>
      <c r="S111" s="178">
        <f t="shared" si="14"/>
        <v>46241</v>
      </c>
      <c r="T111" s="179">
        <f t="shared" si="13"/>
        <v>46241</v>
      </c>
      <c r="U111" s="178">
        <v>46304</v>
      </c>
      <c r="V111" s="220"/>
      <c r="X111" s="168" t="str">
        <f t="shared" ca="1" si="253"/>
        <v>Completed</v>
      </c>
      <c r="Y111" s="168" t="str">
        <f t="shared" ca="1" si="351"/>
        <v>Completed</v>
      </c>
      <c r="Z111" s="168" t="str">
        <f t="shared" ca="1" si="352"/>
        <v>Completed</v>
      </c>
      <c r="AA111" s="169" t="str">
        <f t="shared" ca="1" si="353"/>
        <v>Completed</v>
      </c>
    </row>
    <row r="112" spans="1:27" s="70" customFormat="1" ht="11.5" x14ac:dyDescent="0.25">
      <c r="A112" s="101" t="s">
        <v>64</v>
      </c>
      <c r="B112" s="101" t="s">
        <v>34</v>
      </c>
      <c r="C112" s="101" t="s">
        <v>124</v>
      </c>
      <c r="D112" s="101" t="s">
        <v>1243</v>
      </c>
      <c r="E112" s="104">
        <f t="shared" ref="E112" si="392">(COUNTIFS(J112,"&lt;="&amp;$C$1)*50%)+(COUNTIFS(M112,"&lt;="&amp;$C$1)*20%)+(COUNTIFS(P112,"&lt;="&amp;$C$1)*10%)+(COUNTIFS(S112,"&lt;="&amp;$C$1)*20%)</f>
        <v>1</v>
      </c>
      <c r="F112" s="104">
        <f t="shared" ref="F112" si="393">(COUNTIFS(K112,"&lt;="&amp;$C$1)*50%)+(COUNTIFS(N112,"&lt;="&amp;$C$1)*20%)+(COUNTIFS(Q112,"&lt;="&amp;$C$1)*10%)+(COUNTIFS(T112,"&lt;="&amp;$C$1)*20%)</f>
        <v>1</v>
      </c>
      <c r="G112" s="104">
        <f t="shared" ref="G112" si="394">(COUNTIFS(L112,"&lt;="&amp;$C$1)*50%)+(COUNTIFS(O112,"&lt;="&amp;$C$1)*20%)+(COUNTIFS(R112,"&lt;="&amp;$C$1)*10%)+(COUNTIFS(U112,"&lt;="&amp;$C$1)*20%)</f>
        <v>0.79999999999999993</v>
      </c>
      <c r="H112" s="104">
        <f t="shared" ref="H112" si="395">G112-E112</f>
        <v>-0.20000000000000007</v>
      </c>
      <c r="I112" s="105">
        <v>0.5</v>
      </c>
      <c r="J112" s="106">
        <f>J46+28</f>
        <v>46143</v>
      </c>
      <c r="K112" s="107">
        <f t="shared" ref="K112" si="396">J112</f>
        <v>46143</v>
      </c>
      <c r="L112" s="106">
        <v>46122</v>
      </c>
      <c r="M112" s="106">
        <f t="shared" ref="M112" si="397">J112+42</f>
        <v>46185</v>
      </c>
      <c r="N112" s="107">
        <f t="shared" ref="N112" si="398">M112</f>
        <v>46185</v>
      </c>
      <c r="O112" s="107">
        <v>46213</v>
      </c>
      <c r="P112" s="106">
        <f t="shared" ref="P112" si="399">M112+42</f>
        <v>46227</v>
      </c>
      <c r="Q112" s="107">
        <f t="shared" ref="Q112" si="400">P112</f>
        <v>46227</v>
      </c>
      <c r="R112" s="106">
        <v>46273</v>
      </c>
      <c r="S112" s="106">
        <f t="shared" ref="S112" si="401">P112+14</f>
        <v>46241</v>
      </c>
      <c r="T112" s="107">
        <f t="shared" ref="T112" si="402">S112</f>
        <v>46241</v>
      </c>
      <c r="U112" s="106"/>
      <c r="V112" s="221" t="s">
        <v>1231</v>
      </c>
      <c r="X112" s="168" t="str">
        <f t="shared" ref="X112" ca="1" si="403">IF(OR(L112&lt;&gt;""),"Completed",
IF(K112="","",IF(K112&lt;TODAY(),"Overdue",
IF(AND(K112&gt;=TODAY()-WEEKDAY(TODAY(),2)+1,K112&lt;=TODAY()-WEEKDAY(TODAY(),2)+7),"Follow-This Week",
IF(AND(K112&gt;=TODAY()-WEEKDAY(TODAY(),2)+8,K112&lt;=TODAY()-WEEKDAY(TODAY(),2)+14),"Follow-Next Week","")))))</f>
        <v>Completed</v>
      </c>
      <c r="Y112" s="168" t="str">
        <f t="shared" ref="Y112" ca="1" si="404">IF(OR(O112&lt;&gt;""),"Completed",IF(N112="","",
IF(N112&lt;TODAY(),"Overdue",
IF(AND(N112&gt;=TODAY()-WEEKDAY(TODAY(),2)+1,N112&lt;=TODAY()-WEEKDAY(TODAY(),2)+7),"Follow-This Week",
IF(AND(N112&gt;=TODAY()-WEEKDAY(TODAY(),2)+8,N112&lt;=TODAY()-WEEKDAY(TODAY(),2)+14),"Follow-Next Week","")))))</f>
        <v>Completed</v>
      </c>
      <c r="Z112" s="168" t="str">
        <f t="shared" ref="Z112" ca="1" si="405">IF(OR(R112&lt;&gt;""),"Completed",IF(Q112="","",
IF(Q112&lt;TODAY(),"Overdue",
IF(AND(Q112&gt;=TODAY()-WEEKDAY(TODAY(),2)+1,Q112&lt;=TODAY()-WEEKDAY(TODAY(),2)+7),"Follow-This Week",
IF(AND(Q112&gt;=TODAY()-WEEKDAY(TODAY(),2)+8,Q112&lt;=TODAY()-WEEKDAY(TODAY(),2)+14),"Follow-Next Week","")))))</f>
        <v>Completed</v>
      </c>
      <c r="AA112" s="169" t="str">
        <f t="shared" ref="AA112" ca="1" si="406">IF(OR(U112&lt;&gt;""),"Completed",IF(T112="","",
IF(T112&lt;TODAY(),"Overdue",
IF(AND(T112&gt;=TODAY()-WEEKDAY(TODAY(),2)+1,T112&lt;=TODAY()-WEEKDAY(TODAY(),2)+7),"Follow-This Week",
IF(AND(T112&gt;=TODAY()-WEEKDAY(TODAY(),2)+8,T112&lt;=TODAY()-WEEKDAY(TODAY(),2)+14),"Follow-Next Week","")))))</f>
        <v>Overdue</v>
      </c>
    </row>
    <row r="113" spans="1:27" s="70" customFormat="1" ht="11.5" x14ac:dyDescent="0.25">
      <c r="A113" s="101" t="s">
        <v>64</v>
      </c>
      <c r="B113" s="101" t="s">
        <v>34</v>
      </c>
      <c r="C113" s="101" t="s">
        <v>125</v>
      </c>
      <c r="D113" s="101" t="s">
        <v>126</v>
      </c>
      <c r="E113" s="104">
        <f t="shared" si="15"/>
        <v>1</v>
      </c>
      <c r="F113" s="104">
        <f t="shared" si="16"/>
        <v>1</v>
      </c>
      <c r="G113" s="104">
        <f t="shared" si="252"/>
        <v>0.7</v>
      </c>
      <c r="H113" s="104">
        <f t="shared" si="17"/>
        <v>-0.30000000000000004</v>
      </c>
      <c r="I113" s="105">
        <v>0.5</v>
      </c>
      <c r="J113" s="106">
        <f>J48+28</f>
        <v>46206</v>
      </c>
      <c r="K113" s="107">
        <f t="shared" si="8"/>
        <v>46206</v>
      </c>
      <c r="L113" s="106">
        <v>46220</v>
      </c>
      <c r="M113" s="106">
        <f t="shared" si="9"/>
        <v>46248</v>
      </c>
      <c r="N113" s="107">
        <f t="shared" si="10"/>
        <v>46248</v>
      </c>
      <c r="O113" s="107">
        <v>46252</v>
      </c>
      <c r="P113" s="106">
        <f t="shared" si="11"/>
        <v>46290</v>
      </c>
      <c r="Q113" s="107">
        <f t="shared" si="12"/>
        <v>46290</v>
      </c>
      <c r="R113" s="106"/>
      <c r="S113" s="106">
        <f t="shared" si="14"/>
        <v>46304</v>
      </c>
      <c r="T113" s="107">
        <f t="shared" si="13"/>
        <v>46304</v>
      </c>
      <c r="U113" s="106"/>
      <c r="V113" s="221"/>
      <c r="X113" s="168" t="str">
        <f t="shared" ca="1" si="253"/>
        <v>Completed</v>
      </c>
      <c r="Y113" s="168" t="str">
        <f t="shared" ca="1" si="351"/>
        <v>Completed</v>
      </c>
      <c r="Z113" s="168" t="str">
        <f t="shared" ca="1" si="352"/>
        <v>Overdue</v>
      </c>
      <c r="AA113" s="169" t="str">
        <f t="shared" ca="1" si="353"/>
        <v>Overdue</v>
      </c>
    </row>
    <row r="114" spans="1:27" s="70" customFormat="1" ht="11.5" x14ac:dyDescent="0.25">
      <c r="A114" s="101" t="s">
        <v>64</v>
      </c>
      <c r="B114" s="101" t="s">
        <v>34</v>
      </c>
      <c r="C114" s="101" t="s">
        <v>127</v>
      </c>
      <c r="D114" s="101" t="s">
        <v>128</v>
      </c>
      <c r="E114" s="104">
        <f t="shared" si="15"/>
        <v>0.79999999999999993</v>
      </c>
      <c r="F114" s="104">
        <f t="shared" si="16"/>
        <v>0.79999999999999993</v>
      </c>
      <c r="G114" s="104">
        <f t="shared" si="252"/>
        <v>0.7</v>
      </c>
      <c r="H114" s="104">
        <f t="shared" si="17"/>
        <v>-9.9999999999999978E-2</v>
      </c>
      <c r="I114" s="105">
        <v>0.5</v>
      </c>
      <c r="J114" s="106">
        <f>J49+28</f>
        <v>46213</v>
      </c>
      <c r="K114" s="107">
        <f t="shared" si="8"/>
        <v>46213</v>
      </c>
      <c r="L114" s="106">
        <v>46220</v>
      </c>
      <c r="M114" s="106">
        <f t="shared" si="9"/>
        <v>46255</v>
      </c>
      <c r="N114" s="107">
        <f t="shared" si="10"/>
        <v>46255</v>
      </c>
      <c r="O114" s="107">
        <v>46248</v>
      </c>
      <c r="P114" s="106">
        <f t="shared" si="11"/>
        <v>46297</v>
      </c>
      <c r="Q114" s="107">
        <f t="shared" si="12"/>
        <v>46297</v>
      </c>
      <c r="R114" s="106"/>
      <c r="S114" s="106">
        <f t="shared" si="14"/>
        <v>46311</v>
      </c>
      <c r="T114" s="107">
        <f t="shared" si="13"/>
        <v>46311</v>
      </c>
      <c r="U114" s="106"/>
      <c r="V114" s="221"/>
      <c r="X114" s="168" t="str">
        <f t="shared" ca="1" si="253"/>
        <v>Completed</v>
      </c>
      <c r="Y114" s="168" t="str">
        <f t="shared" ca="1" si="351"/>
        <v>Completed</v>
      </c>
      <c r="Z114" s="168" t="str">
        <f t="shared" ca="1" si="352"/>
        <v>Overdue</v>
      </c>
      <c r="AA114" s="169" t="str">
        <f t="shared" ca="1" si="353"/>
        <v>Follow-Next Week</v>
      </c>
    </row>
    <row r="115" spans="1:27" s="70" customFormat="1" ht="11.5" x14ac:dyDescent="0.25">
      <c r="A115" s="175" t="s">
        <v>64</v>
      </c>
      <c r="B115" s="175" t="s">
        <v>34</v>
      </c>
      <c r="C115" s="175" t="s">
        <v>789</v>
      </c>
      <c r="D115" s="175" t="s">
        <v>1157</v>
      </c>
      <c r="E115" s="104">
        <f t="shared" ref="E115:E118" si="407">(COUNTIFS(J115,"&lt;="&amp;$C$1)*50%)+(COUNTIFS(M115,"&lt;="&amp;$C$1)*20%)+(COUNTIFS(P115,"&lt;="&amp;$C$1)*10%)+(COUNTIFS(S115,"&lt;="&amp;$C$1)*20%)</f>
        <v>1</v>
      </c>
      <c r="F115" s="104">
        <f t="shared" ref="F115:F118" si="408">(COUNTIFS(K115,"&lt;="&amp;$C$1)*50%)+(COUNTIFS(N115,"&lt;="&amp;$C$1)*20%)+(COUNTIFS(Q115,"&lt;="&amp;$C$1)*10%)+(COUNTIFS(T115,"&lt;="&amp;$C$1)*20%)</f>
        <v>1</v>
      </c>
      <c r="G115" s="104">
        <f t="shared" si="252"/>
        <v>1</v>
      </c>
      <c r="H115" s="104">
        <f t="shared" ref="H115:H118" si="409">G115-E115</f>
        <v>0</v>
      </c>
      <c r="I115" s="177">
        <v>0.4</v>
      </c>
      <c r="J115" s="178">
        <v>46122</v>
      </c>
      <c r="K115" s="179">
        <f t="shared" ref="K115:K117" si="410">J115</f>
        <v>46122</v>
      </c>
      <c r="L115" s="178">
        <v>46115</v>
      </c>
      <c r="M115" s="178">
        <f t="shared" ref="M115:M117" si="411">J115+42</f>
        <v>46164</v>
      </c>
      <c r="N115" s="179">
        <f t="shared" ref="N115:N117" si="412">M115</f>
        <v>46164</v>
      </c>
      <c r="O115" s="178">
        <v>46191</v>
      </c>
      <c r="P115" s="178">
        <f t="shared" ref="P115:P117" si="413">M115+42</f>
        <v>46206</v>
      </c>
      <c r="Q115" s="179">
        <f t="shared" ref="Q115:Q117" si="414">P115</f>
        <v>46206</v>
      </c>
      <c r="R115" s="178">
        <v>46276</v>
      </c>
      <c r="S115" s="178">
        <f t="shared" ref="S115:S117" si="415">P115+14</f>
        <v>46220</v>
      </c>
      <c r="T115" s="179">
        <f t="shared" ref="T115:T117" si="416">S115</f>
        <v>46220</v>
      </c>
      <c r="U115" s="178">
        <v>46276</v>
      </c>
      <c r="V115" s="220"/>
      <c r="X115" s="168" t="str">
        <f t="shared" ca="1" si="253"/>
        <v>Completed</v>
      </c>
      <c r="Y115" s="168" t="str">
        <f t="shared" ca="1" si="351"/>
        <v>Completed</v>
      </c>
      <c r="Z115" s="168" t="str">
        <f t="shared" ca="1" si="352"/>
        <v>Completed</v>
      </c>
      <c r="AA115" s="169" t="str">
        <f t="shared" ca="1" si="353"/>
        <v>Completed</v>
      </c>
    </row>
    <row r="116" spans="1:27" s="70" customFormat="1" ht="11.5" x14ac:dyDescent="0.25">
      <c r="A116" s="175" t="s">
        <v>64</v>
      </c>
      <c r="B116" s="175" t="s">
        <v>34</v>
      </c>
      <c r="C116" s="175" t="s">
        <v>790</v>
      </c>
      <c r="D116" s="175" t="s">
        <v>1158</v>
      </c>
      <c r="E116" s="104">
        <f t="shared" si="407"/>
        <v>1</v>
      </c>
      <c r="F116" s="104">
        <f t="shared" si="408"/>
        <v>1</v>
      </c>
      <c r="G116" s="104">
        <f t="shared" si="252"/>
        <v>1</v>
      </c>
      <c r="H116" s="104">
        <f t="shared" si="409"/>
        <v>0</v>
      </c>
      <c r="I116" s="177">
        <v>0.4</v>
      </c>
      <c r="J116" s="178">
        <v>46129</v>
      </c>
      <c r="K116" s="179">
        <f t="shared" si="410"/>
        <v>46129</v>
      </c>
      <c r="L116" s="178">
        <v>46142</v>
      </c>
      <c r="M116" s="178">
        <f t="shared" si="411"/>
        <v>46171</v>
      </c>
      <c r="N116" s="179">
        <f t="shared" si="412"/>
        <v>46171</v>
      </c>
      <c r="O116" s="178">
        <v>46191</v>
      </c>
      <c r="P116" s="178">
        <f t="shared" si="413"/>
        <v>46213</v>
      </c>
      <c r="Q116" s="179">
        <f t="shared" si="414"/>
        <v>46213</v>
      </c>
      <c r="R116" s="178">
        <v>46276</v>
      </c>
      <c r="S116" s="178">
        <f t="shared" si="415"/>
        <v>46227</v>
      </c>
      <c r="T116" s="179">
        <f t="shared" si="416"/>
        <v>46227</v>
      </c>
      <c r="U116" s="178">
        <v>46276</v>
      </c>
      <c r="V116" s="220"/>
      <c r="X116" s="168" t="str">
        <f t="shared" ca="1" si="253"/>
        <v>Completed</v>
      </c>
      <c r="Y116" s="168" t="str">
        <f t="shared" ca="1" si="351"/>
        <v>Completed</v>
      </c>
      <c r="Z116" s="168" t="str">
        <f t="shared" ca="1" si="352"/>
        <v>Completed</v>
      </c>
      <c r="AA116" s="169" t="str">
        <f t="shared" ca="1" si="353"/>
        <v>Completed</v>
      </c>
    </row>
    <row r="117" spans="1:27" s="70" customFormat="1" ht="11.5" x14ac:dyDescent="0.25">
      <c r="A117" s="175" t="s">
        <v>64</v>
      </c>
      <c r="B117" s="175" t="s">
        <v>34</v>
      </c>
      <c r="C117" s="175" t="s">
        <v>791</v>
      </c>
      <c r="D117" s="175" t="s">
        <v>1159</v>
      </c>
      <c r="E117" s="104">
        <f t="shared" si="407"/>
        <v>1</v>
      </c>
      <c r="F117" s="104">
        <f t="shared" si="408"/>
        <v>1</v>
      </c>
      <c r="G117" s="104">
        <f t="shared" si="252"/>
        <v>1</v>
      </c>
      <c r="H117" s="104">
        <f t="shared" si="409"/>
        <v>0</v>
      </c>
      <c r="I117" s="177">
        <v>0.2</v>
      </c>
      <c r="J117" s="178">
        <v>46142</v>
      </c>
      <c r="K117" s="179">
        <f t="shared" si="410"/>
        <v>46142</v>
      </c>
      <c r="L117" s="178">
        <v>46248</v>
      </c>
      <c r="M117" s="178">
        <f t="shared" si="411"/>
        <v>46184</v>
      </c>
      <c r="N117" s="179">
        <f t="shared" si="412"/>
        <v>46184</v>
      </c>
      <c r="O117" s="178">
        <v>46248</v>
      </c>
      <c r="P117" s="178">
        <f t="shared" si="413"/>
        <v>46226</v>
      </c>
      <c r="Q117" s="179">
        <f t="shared" si="414"/>
        <v>46226</v>
      </c>
      <c r="R117" s="178">
        <v>46248</v>
      </c>
      <c r="S117" s="178">
        <f t="shared" si="415"/>
        <v>46240</v>
      </c>
      <c r="T117" s="179">
        <f t="shared" si="416"/>
        <v>46240</v>
      </c>
      <c r="U117" s="178">
        <v>46248</v>
      </c>
      <c r="V117" s="220"/>
      <c r="X117" s="168" t="str">
        <f t="shared" ca="1" si="253"/>
        <v>Completed</v>
      </c>
      <c r="Y117" s="168" t="str">
        <f t="shared" ca="1" si="351"/>
        <v>Completed</v>
      </c>
      <c r="Z117" s="168" t="str">
        <f t="shared" ca="1" si="352"/>
        <v>Completed</v>
      </c>
      <c r="AA117" s="169" t="str">
        <f t="shared" ca="1" si="353"/>
        <v>Completed</v>
      </c>
    </row>
    <row r="118" spans="1:27" s="70" customFormat="1" ht="11.5" x14ac:dyDescent="0.25">
      <c r="A118" s="175" t="s">
        <v>64</v>
      </c>
      <c r="B118" s="175" t="s">
        <v>34</v>
      </c>
      <c r="C118" s="175" t="s">
        <v>791</v>
      </c>
      <c r="D118" s="175" t="s">
        <v>1160</v>
      </c>
      <c r="E118" s="104">
        <f t="shared" si="407"/>
        <v>1</v>
      </c>
      <c r="F118" s="104">
        <f t="shared" si="408"/>
        <v>1</v>
      </c>
      <c r="G118" s="104">
        <f t="shared" si="252"/>
        <v>1</v>
      </c>
      <c r="H118" s="104">
        <f t="shared" si="409"/>
        <v>0</v>
      </c>
      <c r="I118" s="177"/>
      <c r="J118" s="178">
        <v>46142</v>
      </c>
      <c r="K118" s="179">
        <f t="shared" ref="K118" si="417">J118</f>
        <v>46142</v>
      </c>
      <c r="L118" s="178">
        <v>46276</v>
      </c>
      <c r="M118" s="178">
        <f t="shared" ref="M118" si="418">J118+42</f>
        <v>46184</v>
      </c>
      <c r="N118" s="179">
        <f t="shared" ref="N118" si="419">M118</f>
        <v>46184</v>
      </c>
      <c r="O118" s="178">
        <v>46276</v>
      </c>
      <c r="P118" s="178">
        <f t="shared" ref="P118" si="420">M118+42</f>
        <v>46226</v>
      </c>
      <c r="Q118" s="179">
        <f t="shared" ref="Q118" si="421">P118</f>
        <v>46226</v>
      </c>
      <c r="R118" s="178">
        <v>46276</v>
      </c>
      <c r="S118" s="178">
        <f t="shared" ref="S118" si="422">P118+14</f>
        <v>46240</v>
      </c>
      <c r="T118" s="179">
        <f t="shared" ref="T118" si="423">S118</f>
        <v>46240</v>
      </c>
      <c r="U118" s="178">
        <v>46276</v>
      </c>
      <c r="V118" s="220"/>
      <c r="X118" s="168" t="str">
        <f t="shared" ca="1" si="253"/>
        <v>Completed</v>
      </c>
      <c r="Y118" s="168" t="str">
        <f t="shared" ca="1" si="351"/>
        <v>Completed</v>
      </c>
      <c r="Z118" s="168" t="str">
        <f t="shared" ca="1" si="352"/>
        <v>Completed</v>
      </c>
      <c r="AA118" s="169" t="str">
        <f t="shared" ca="1" si="353"/>
        <v>Completed</v>
      </c>
    </row>
    <row r="119" spans="1:27" s="70" customFormat="1" ht="11.5" x14ac:dyDescent="0.25">
      <c r="A119" s="101" t="s">
        <v>64</v>
      </c>
      <c r="B119" s="101" t="s">
        <v>34</v>
      </c>
      <c r="C119" s="134" t="s">
        <v>847</v>
      </c>
      <c r="D119" s="101" t="s">
        <v>849</v>
      </c>
      <c r="E119" s="104">
        <v>0</v>
      </c>
      <c r="F119" s="104">
        <v>0</v>
      </c>
      <c r="G119" s="104">
        <v>0.5</v>
      </c>
      <c r="H119" s="104">
        <v>0.5</v>
      </c>
      <c r="I119" s="105">
        <v>0.2</v>
      </c>
      <c r="J119" s="106">
        <v>46157</v>
      </c>
      <c r="K119" s="107">
        <v>46157</v>
      </c>
      <c r="L119" s="106">
        <v>46150</v>
      </c>
      <c r="M119" s="106">
        <v>46199</v>
      </c>
      <c r="N119" s="107">
        <v>46199</v>
      </c>
      <c r="O119" s="106">
        <v>46191</v>
      </c>
      <c r="P119" s="106">
        <v>46241</v>
      </c>
      <c r="Q119" s="107">
        <v>46241</v>
      </c>
      <c r="R119" s="106">
        <v>46227</v>
      </c>
      <c r="S119" s="106">
        <v>46255</v>
      </c>
      <c r="T119" s="107">
        <v>46255</v>
      </c>
      <c r="U119" s="137">
        <v>46239</v>
      </c>
      <c r="V119" s="224"/>
      <c r="X119" s="168" t="str">
        <f t="shared" ca="1" si="253"/>
        <v>Completed</v>
      </c>
      <c r="Y119" s="168" t="str">
        <f t="shared" ca="1" si="351"/>
        <v>Completed</v>
      </c>
      <c r="Z119" s="168" t="str">
        <f t="shared" ca="1" si="352"/>
        <v>Completed</v>
      </c>
      <c r="AA119" s="169" t="str">
        <f t="shared" ca="1" si="353"/>
        <v>Completed</v>
      </c>
    </row>
    <row r="120" spans="1:27" s="70" customFormat="1" ht="11.5" x14ac:dyDescent="0.25">
      <c r="A120" s="101" t="s">
        <v>64</v>
      </c>
      <c r="B120" s="134" t="s">
        <v>34</v>
      </c>
      <c r="C120" s="134" t="s">
        <v>848</v>
      </c>
      <c r="D120" s="101" t="s">
        <v>850</v>
      </c>
      <c r="E120" s="104">
        <v>0</v>
      </c>
      <c r="F120" s="104">
        <v>0</v>
      </c>
      <c r="G120" s="104">
        <v>0.5</v>
      </c>
      <c r="H120" s="104">
        <v>0.5</v>
      </c>
      <c r="I120" s="105">
        <v>0.2</v>
      </c>
      <c r="J120" s="106">
        <v>46157</v>
      </c>
      <c r="K120" s="107">
        <v>46157</v>
      </c>
      <c r="L120" s="106">
        <v>46150</v>
      </c>
      <c r="M120" s="106">
        <v>46199</v>
      </c>
      <c r="N120" s="107">
        <v>46199</v>
      </c>
      <c r="O120" s="106">
        <v>46191</v>
      </c>
      <c r="P120" s="106">
        <v>46241</v>
      </c>
      <c r="Q120" s="107">
        <v>46241</v>
      </c>
      <c r="R120" s="106">
        <v>46227</v>
      </c>
      <c r="S120" s="106">
        <v>46255</v>
      </c>
      <c r="T120" s="107">
        <v>46255</v>
      </c>
      <c r="U120" s="137">
        <v>46239</v>
      </c>
      <c r="V120" s="224"/>
      <c r="X120" s="168" t="str">
        <f t="shared" ca="1" si="253"/>
        <v>Completed</v>
      </c>
      <c r="Y120" s="168" t="str">
        <f t="shared" ca="1" si="351"/>
        <v>Completed</v>
      </c>
      <c r="Z120" s="168" t="str">
        <f t="shared" ca="1" si="352"/>
        <v>Completed</v>
      </c>
      <c r="AA120" s="169" t="str">
        <f t="shared" ca="1" si="353"/>
        <v>Completed</v>
      </c>
    </row>
    <row r="121" spans="1:27" s="70" customFormat="1" ht="11.5" x14ac:dyDescent="0.25">
      <c r="A121" s="101" t="s">
        <v>64</v>
      </c>
      <c r="B121" s="101" t="s">
        <v>34</v>
      </c>
      <c r="C121" s="134" t="s">
        <v>841</v>
      </c>
      <c r="D121" s="135" t="s">
        <v>843</v>
      </c>
      <c r="E121" s="136">
        <v>0.5</v>
      </c>
      <c r="F121" s="136">
        <v>0.5</v>
      </c>
      <c r="G121" s="136">
        <v>0.5</v>
      </c>
      <c r="H121" s="136">
        <v>0</v>
      </c>
      <c r="I121" s="105">
        <v>0.2</v>
      </c>
      <c r="J121" s="137">
        <v>46143</v>
      </c>
      <c r="K121" s="137">
        <v>46143</v>
      </c>
      <c r="L121" s="106">
        <v>46142</v>
      </c>
      <c r="M121" s="106">
        <v>46185</v>
      </c>
      <c r="N121" s="106">
        <v>46185</v>
      </c>
      <c r="O121" s="106">
        <v>46191</v>
      </c>
      <c r="P121" s="106">
        <v>46227</v>
      </c>
      <c r="Q121" s="106">
        <v>46227</v>
      </c>
      <c r="R121" s="107">
        <v>46202</v>
      </c>
      <c r="S121" s="106">
        <v>46241</v>
      </c>
      <c r="T121" s="106">
        <v>46241</v>
      </c>
      <c r="U121" s="137">
        <v>46209</v>
      </c>
      <c r="V121" s="224"/>
      <c r="X121" s="168" t="str">
        <f t="shared" ca="1" si="253"/>
        <v>Completed</v>
      </c>
      <c r="Y121" s="168" t="str">
        <f t="shared" ca="1" si="351"/>
        <v>Completed</v>
      </c>
      <c r="Z121" s="168" t="str">
        <f t="shared" ca="1" si="352"/>
        <v>Completed</v>
      </c>
      <c r="AA121" s="169" t="str">
        <f t="shared" ca="1" si="353"/>
        <v>Completed</v>
      </c>
    </row>
    <row r="122" spans="1:27" s="70" customFormat="1" ht="11.5" x14ac:dyDescent="0.25">
      <c r="A122" s="101" t="s">
        <v>64</v>
      </c>
      <c r="B122" s="134" t="s">
        <v>34</v>
      </c>
      <c r="C122" s="134" t="s">
        <v>842</v>
      </c>
      <c r="D122" s="135" t="s">
        <v>844</v>
      </c>
      <c r="E122" s="104">
        <v>0.5</v>
      </c>
      <c r="F122" s="104">
        <v>0.5</v>
      </c>
      <c r="G122" s="104">
        <v>0.5</v>
      </c>
      <c r="H122" s="104">
        <v>0</v>
      </c>
      <c r="I122" s="105">
        <v>0.2</v>
      </c>
      <c r="J122" s="137">
        <v>46143</v>
      </c>
      <c r="K122" s="137">
        <v>46143</v>
      </c>
      <c r="L122" s="106">
        <v>46142</v>
      </c>
      <c r="M122" s="106">
        <v>46185</v>
      </c>
      <c r="N122" s="106">
        <v>46185</v>
      </c>
      <c r="O122" s="106">
        <v>46191</v>
      </c>
      <c r="P122" s="106">
        <v>46227</v>
      </c>
      <c r="Q122" s="106">
        <v>46227</v>
      </c>
      <c r="R122" s="106">
        <v>46254</v>
      </c>
      <c r="S122" s="106">
        <v>46241</v>
      </c>
      <c r="T122" s="106">
        <v>46241</v>
      </c>
      <c r="U122" s="137">
        <v>46269</v>
      </c>
      <c r="V122" s="224"/>
      <c r="X122" s="168" t="str">
        <f t="shared" ca="1" si="253"/>
        <v>Completed</v>
      </c>
      <c r="Y122" s="168" t="str">
        <f t="shared" ca="1" si="351"/>
        <v>Completed</v>
      </c>
      <c r="Z122" s="168" t="str">
        <f t="shared" ca="1" si="352"/>
        <v>Completed</v>
      </c>
      <c r="AA122" s="169" t="str">
        <f t="shared" ca="1" si="353"/>
        <v>Completed</v>
      </c>
    </row>
    <row r="123" spans="1:27" s="70" customFormat="1" ht="11.5" x14ac:dyDescent="0.25">
      <c r="A123" s="101" t="s">
        <v>64</v>
      </c>
      <c r="B123" s="101" t="s">
        <v>34</v>
      </c>
      <c r="C123" s="134" t="s">
        <v>845</v>
      </c>
      <c r="D123" s="135" t="s">
        <v>846</v>
      </c>
      <c r="E123" s="104">
        <v>0</v>
      </c>
      <c r="F123" s="104">
        <v>0</v>
      </c>
      <c r="G123" s="104">
        <v>0.5</v>
      </c>
      <c r="H123" s="104">
        <v>0.5</v>
      </c>
      <c r="I123" s="105">
        <v>0.2</v>
      </c>
      <c r="J123" s="137">
        <v>46157</v>
      </c>
      <c r="K123" s="137">
        <v>46157</v>
      </c>
      <c r="L123" s="106">
        <v>46150</v>
      </c>
      <c r="M123" s="106">
        <v>46199</v>
      </c>
      <c r="N123" s="106">
        <v>46199</v>
      </c>
      <c r="O123" s="106">
        <v>46191</v>
      </c>
      <c r="P123" s="106">
        <v>46241</v>
      </c>
      <c r="Q123" s="106">
        <v>46241</v>
      </c>
      <c r="R123" s="107">
        <v>46204</v>
      </c>
      <c r="S123" s="106">
        <v>46255</v>
      </c>
      <c r="T123" s="106">
        <v>46255</v>
      </c>
      <c r="U123" s="137">
        <v>46223</v>
      </c>
      <c r="V123" s="224"/>
      <c r="X123" s="168" t="str">
        <f t="shared" ca="1" si="253"/>
        <v>Completed</v>
      </c>
      <c r="Y123" s="168" t="str">
        <f t="shared" ca="1" si="351"/>
        <v>Completed</v>
      </c>
      <c r="Z123" s="168" t="str">
        <f t="shared" ca="1" si="352"/>
        <v>Completed</v>
      </c>
      <c r="AA123" s="169" t="str">
        <f t="shared" ca="1" si="353"/>
        <v>Completed</v>
      </c>
    </row>
    <row r="124" spans="1:27" s="70" customFormat="1" ht="11.5" x14ac:dyDescent="0.25">
      <c r="A124" s="101" t="s">
        <v>64</v>
      </c>
      <c r="B124" s="101" t="s">
        <v>34</v>
      </c>
      <c r="C124" s="134" t="s">
        <v>855</v>
      </c>
      <c r="D124" s="135" t="s">
        <v>856</v>
      </c>
      <c r="E124" s="104">
        <v>0</v>
      </c>
      <c r="F124" s="104">
        <v>0</v>
      </c>
      <c r="G124" s="104">
        <v>0.5</v>
      </c>
      <c r="H124" s="104">
        <v>0.5</v>
      </c>
      <c r="I124" s="105">
        <v>0.5</v>
      </c>
      <c r="J124" s="137">
        <f>J62+28</f>
        <v>46213</v>
      </c>
      <c r="K124" s="137">
        <f>K62+28</f>
        <v>46213</v>
      </c>
      <c r="L124" s="106">
        <v>46171</v>
      </c>
      <c r="M124" s="106">
        <f>J124+42</f>
        <v>46255</v>
      </c>
      <c r="N124" s="106">
        <f>K124+42</f>
        <v>46255</v>
      </c>
      <c r="O124" s="106">
        <v>46255</v>
      </c>
      <c r="P124" s="106">
        <f>M124+42</f>
        <v>46297</v>
      </c>
      <c r="Q124" s="106">
        <f>N124+42</f>
        <v>46297</v>
      </c>
      <c r="R124" s="106"/>
      <c r="S124" s="106">
        <f>P124+14</f>
        <v>46311</v>
      </c>
      <c r="T124" s="106">
        <f>Q124+14</f>
        <v>46311</v>
      </c>
      <c r="U124" s="137"/>
      <c r="V124" s="224"/>
      <c r="X124" s="168" t="str">
        <f t="shared" ca="1" si="253"/>
        <v>Completed</v>
      </c>
      <c r="Y124" s="168" t="str">
        <f t="shared" ca="1" si="351"/>
        <v>Completed</v>
      </c>
      <c r="Z124" s="168" t="str">
        <f t="shared" ca="1" si="352"/>
        <v>Overdue</v>
      </c>
      <c r="AA124" s="169" t="str">
        <f t="shared" ca="1" si="353"/>
        <v>Follow-Next Week</v>
      </c>
    </row>
    <row r="125" spans="1:27" s="70" customFormat="1" ht="11.5" x14ac:dyDescent="0.25">
      <c r="A125" s="101" t="s">
        <v>64</v>
      </c>
      <c r="B125" s="101" t="s">
        <v>34</v>
      </c>
      <c r="C125" s="101" t="s">
        <v>895</v>
      </c>
      <c r="D125" s="101" t="s">
        <v>896</v>
      </c>
      <c r="E125" s="104">
        <v>0</v>
      </c>
      <c r="F125" s="104">
        <v>0</v>
      </c>
      <c r="G125" s="104">
        <v>0.5</v>
      </c>
      <c r="H125" s="104">
        <v>0.5</v>
      </c>
      <c r="I125" s="105"/>
      <c r="J125" s="137">
        <f>J64+28</f>
        <v>46330</v>
      </c>
      <c r="K125" s="106">
        <f>K64+28</f>
        <v>46330</v>
      </c>
      <c r="L125" s="106">
        <v>46290</v>
      </c>
      <c r="M125" s="106">
        <f>J125+42</f>
        <v>46372</v>
      </c>
      <c r="N125" s="106">
        <f>N64+28</f>
        <v>46372</v>
      </c>
      <c r="O125" s="106"/>
      <c r="P125" s="106">
        <f>M125+42</f>
        <v>46414</v>
      </c>
      <c r="Q125" s="106">
        <f>Q64+28</f>
        <v>46414</v>
      </c>
      <c r="R125" s="106"/>
      <c r="S125" s="106">
        <f>P125+14</f>
        <v>46428</v>
      </c>
      <c r="T125" s="106">
        <f t="shared" ref="T125" si="424">Q125+14</f>
        <v>46428</v>
      </c>
      <c r="U125" s="137"/>
      <c r="V125" s="224"/>
      <c r="X125" s="168" t="str">
        <f t="shared" ca="1" si="253"/>
        <v>Completed</v>
      </c>
      <c r="Y125" s="168" t="str">
        <f t="shared" ca="1" si="351"/>
        <v/>
      </c>
      <c r="Z125" s="168" t="str">
        <f t="shared" ca="1" si="352"/>
        <v/>
      </c>
      <c r="AA125" s="169" t="str">
        <f t="shared" ca="1" si="353"/>
        <v/>
      </c>
    </row>
    <row r="126" spans="1:27" s="70" customFormat="1" ht="11.5" x14ac:dyDescent="0.25">
      <c r="A126" s="71" t="s">
        <v>64</v>
      </c>
      <c r="B126" s="71" t="s">
        <v>34</v>
      </c>
      <c r="C126" s="71" t="s">
        <v>919</v>
      </c>
      <c r="D126" s="71" t="s">
        <v>782</v>
      </c>
      <c r="E126" s="81">
        <f t="shared" ref="E126:E128" si="425">(COUNTIFS(J126,"&lt;="&amp;$C$1)*50%)+(COUNTIFS(M126,"&lt;="&amp;$C$1)*20%)+(COUNTIFS(P126,"&lt;="&amp;$C$1)*10%)+(COUNTIFS(S126,"&lt;="&amp;$C$1)*20%)</f>
        <v>0</v>
      </c>
      <c r="F126" s="81">
        <f t="shared" ref="F126:F128" si="426">(COUNTIFS(K126,"&lt;="&amp;$C$1)*50%)+(COUNTIFS(N126,"&lt;="&amp;$C$1)*20%)+(COUNTIFS(Q126,"&lt;="&amp;$C$1)*10%)+(COUNTIFS(T126,"&lt;="&amp;$C$1)*20%)</f>
        <v>0</v>
      </c>
      <c r="G126" s="81">
        <f>(COUNTIFS(L126,"&lt;="&amp;$C$1)*50%)+(COUNTIFS(O126,"&lt;="&amp;$C$1)*20%)+(COUNTIFS(R126,"&lt;="&amp;$C$1)*10%)+(COUNTIFS(U126,"&lt;="&amp;$C$1)*20%)</f>
        <v>0</v>
      </c>
      <c r="H126" s="81">
        <f t="shared" ref="H126:H128" si="427">G126-E126</f>
        <v>0</v>
      </c>
      <c r="I126" s="82">
        <v>0.2</v>
      </c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212"/>
      <c r="X126" s="168" t="str">
        <f t="shared" ca="1" si="253"/>
        <v/>
      </c>
      <c r="Y126" s="168" t="str">
        <f t="shared" ca="1" si="351"/>
        <v/>
      </c>
      <c r="Z126" s="168" t="str">
        <f t="shared" ca="1" si="352"/>
        <v/>
      </c>
      <c r="AA126" s="169" t="str">
        <f t="shared" ca="1" si="353"/>
        <v/>
      </c>
    </row>
    <row r="127" spans="1:27" s="70" customFormat="1" ht="11.5" x14ac:dyDescent="0.25">
      <c r="A127" s="71" t="s">
        <v>64</v>
      </c>
      <c r="B127" s="71" t="s">
        <v>34</v>
      </c>
      <c r="C127" s="71" t="s">
        <v>920</v>
      </c>
      <c r="D127" s="71" t="s">
        <v>783</v>
      </c>
      <c r="E127" s="81">
        <f t="shared" si="425"/>
        <v>0</v>
      </c>
      <c r="F127" s="81">
        <f t="shared" si="426"/>
        <v>0</v>
      </c>
      <c r="G127" s="81">
        <f>(COUNTIFS(L127,"&lt;="&amp;$C$1)*50%)+(COUNTIFS(O127,"&lt;="&amp;$C$1)*20%)+(COUNTIFS(R127,"&lt;="&amp;$C$1)*10%)+(COUNTIFS(U127,"&lt;="&amp;$C$1)*20%)</f>
        <v>0</v>
      </c>
      <c r="H127" s="81">
        <f t="shared" si="427"/>
        <v>0</v>
      </c>
      <c r="I127" s="82">
        <v>0.4</v>
      </c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212"/>
      <c r="X127" s="168" t="str">
        <f t="shared" ca="1" si="253"/>
        <v/>
      </c>
      <c r="Y127" s="168" t="str">
        <f t="shared" ca="1" si="351"/>
        <v/>
      </c>
      <c r="Z127" s="168" t="str">
        <f t="shared" ca="1" si="352"/>
        <v/>
      </c>
      <c r="AA127" s="169" t="str">
        <f t="shared" ca="1" si="353"/>
        <v/>
      </c>
    </row>
    <row r="128" spans="1:27" s="70" customFormat="1" ht="11.5" x14ac:dyDescent="0.25">
      <c r="A128" s="71" t="s">
        <v>64</v>
      </c>
      <c r="B128" s="71" t="s">
        <v>34</v>
      </c>
      <c r="C128" s="71" t="s">
        <v>921</v>
      </c>
      <c r="D128" s="71" t="s">
        <v>784</v>
      </c>
      <c r="E128" s="81">
        <f t="shared" si="425"/>
        <v>0</v>
      </c>
      <c r="F128" s="81">
        <f t="shared" si="426"/>
        <v>0</v>
      </c>
      <c r="G128" s="81">
        <f>(COUNTIFS(L128,"&lt;="&amp;$C$1)*50%)+(COUNTIFS(O128,"&lt;="&amp;$C$1)*20%)+(COUNTIFS(R128,"&lt;="&amp;$C$1)*10%)+(COUNTIFS(U128,"&lt;="&amp;$C$1)*20%)</f>
        <v>0</v>
      </c>
      <c r="H128" s="81">
        <f t="shared" si="427"/>
        <v>0</v>
      </c>
      <c r="I128" s="82">
        <v>0.4</v>
      </c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212"/>
      <c r="X128" s="168" t="str">
        <f t="shared" ca="1" si="253"/>
        <v/>
      </c>
      <c r="Y128" s="168" t="str">
        <f t="shared" ca="1" si="351"/>
        <v/>
      </c>
      <c r="Z128" s="168" t="str">
        <f t="shared" ca="1" si="352"/>
        <v/>
      </c>
      <c r="AA128" s="169" t="str">
        <f t="shared" ca="1" si="353"/>
        <v/>
      </c>
    </row>
    <row r="129" spans="1:27" s="70" customFormat="1" ht="11.5" x14ac:dyDescent="0.25">
      <c r="A129" s="73"/>
      <c r="B129" s="73"/>
      <c r="C129" s="77"/>
      <c r="D129" s="78"/>
      <c r="E129" s="79"/>
      <c r="F129" s="79"/>
      <c r="G129" s="79"/>
      <c r="H129" s="79"/>
      <c r="I129" s="75"/>
      <c r="J129" s="76"/>
      <c r="K129" s="76"/>
      <c r="L129" s="76"/>
      <c r="M129" s="80"/>
      <c r="N129" s="76"/>
      <c r="O129" s="76"/>
      <c r="P129" s="80"/>
      <c r="Q129" s="76"/>
      <c r="R129" s="76"/>
      <c r="S129" s="80"/>
      <c r="T129" s="76"/>
      <c r="U129" s="76"/>
      <c r="V129" s="219"/>
      <c r="X129" s="168" t="str">
        <f t="shared" ca="1" si="253"/>
        <v/>
      </c>
      <c r="Y129" s="168" t="str">
        <f t="shared" ca="1" si="351"/>
        <v/>
      </c>
      <c r="Z129" s="168" t="str">
        <f t="shared" ca="1" si="352"/>
        <v/>
      </c>
      <c r="AA129" s="169" t="str">
        <f t="shared" ca="1" si="353"/>
        <v/>
      </c>
    </row>
    <row r="130" spans="1:27" s="70" customFormat="1" ht="11.5" x14ac:dyDescent="0.25">
      <c r="A130" s="71" t="s">
        <v>67</v>
      </c>
      <c r="B130" s="87" t="s">
        <v>34</v>
      </c>
      <c r="C130" s="87" t="s">
        <v>914</v>
      </c>
      <c r="D130" s="87" t="s">
        <v>56</v>
      </c>
      <c r="E130" s="86">
        <f t="shared" ref="E130:E211" si="428">(COUNTIFS(J130,"&lt;="&amp;$C$1)*50%)+(COUNTIFS(M130,"&lt;="&amp;$C$1)*20%)+(COUNTIFS(P130,"&lt;="&amp;$C$1)*10%)+(COUNTIFS(S130,"&lt;="&amp;$C$1)*20%)</f>
        <v>1</v>
      </c>
      <c r="F130" s="86">
        <f t="shared" ref="F130:F211" si="429">(COUNTIFS(K130,"&lt;="&amp;$C$1)*50%)+(COUNTIFS(N130,"&lt;="&amp;$C$1)*20%)+(COUNTIFS(Q130,"&lt;="&amp;$C$1)*10%)+(COUNTIFS(T130,"&lt;="&amp;$C$1)*20%)</f>
        <v>1</v>
      </c>
      <c r="G130" s="86">
        <f t="shared" ref="G130:G171" si="430">(COUNTIFS(L130,"&lt;="&amp;$C$1)*50%)+(COUNTIFS(O130,"&lt;="&amp;$C$1)*20%)+(COUNTIFS(R130,"&lt;="&amp;$C$1)*10%)+(COUNTIFS(U130,"&lt;="&amp;$C$1)*20%)</f>
        <v>1</v>
      </c>
      <c r="H130" s="86">
        <f t="shared" ref="H130:H211" si="431">G130-E130</f>
        <v>0</v>
      </c>
      <c r="I130" s="82">
        <v>0.2</v>
      </c>
      <c r="J130" s="85">
        <v>46115</v>
      </c>
      <c r="K130" s="85">
        <f t="shared" ref="K130:K212" si="432">J130</f>
        <v>46115</v>
      </c>
      <c r="L130" s="85">
        <v>46115</v>
      </c>
      <c r="M130" s="85">
        <f t="shared" ref="M130:M212" si="433">J130+42</f>
        <v>46157</v>
      </c>
      <c r="N130" s="85">
        <f t="shared" ref="N130:N212" si="434">M130</f>
        <v>46157</v>
      </c>
      <c r="O130" s="85">
        <v>46191</v>
      </c>
      <c r="P130" s="85">
        <f t="shared" ref="P130:P212" si="435">M130+42</f>
        <v>46199</v>
      </c>
      <c r="Q130" s="85">
        <f t="shared" ref="Q130:Q212" si="436">P130</f>
        <v>46199</v>
      </c>
      <c r="R130" s="85">
        <v>46219</v>
      </c>
      <c r="S130" s="85">
        <f t="shared" ref="S130:S212" si="437">P130+14</f>
        <v>46213</v>
      </c>
      <c r="T130" s="85">
        <f t="shared" ref="T130:T212" si="438">S130</f>
        <v>46213</v>
      </c>
      <c r="U130" s="85">
        <v>46262</v>
      </c>
      <c r="V130" s="212"/>
      <c r="X130" s="168" t="str">
        <f t="shared" ca="1" si="253"/>
        <v>Completed</v>
      </c>
      <c r="Y130" s="168" t="str">
        <f t="shared" ca="1" si="351"/>
        <v>Completed</v>
      </c>
      <c r="Z130" s="168" t="str">
        <f t="shared" ca="1" si="352"/>
        <v>Completed</v>
      </c>
      <c r="AA130" s="169" t="str">
        <f t="shared" ca="1" si="353"/>
        <v>Completed</v>
      </c>
    </row>
    <row r="131" spans="1:27" s="70" customFormat="1" ht="11.5" x14ac:dyDescent="0.25">
      <c r="A131" s="71" t="s">
        <v>67</v>
      </c>
      <c r="B131" s="87" t="s">
        <v>34</v>
      </c>
      <c r="C131" s="87" t="s">
        <v>915</v>
      </c>
      <c r="D131" s="87" t="s">
        <v>57</v>
      </c>
      <c r="E131" s="86">
        <f t="shared" si="428"/>
        <v>1</v>
      </c>
      <c r="F131" s="86">
        <f t="shared" si="429"/>
        <v>1</v>
      </c>
      <c r="G131" s="86">
        <f t="shared" si="430"/>
        <v>1</v>
      </c>
      <c r="H131" s="86">
        <f t="shared" si="431"/>
        <v>0</v>
      </c>
      <c r="I131" s="82">
        <v>0.2</v>
      </c>
      <c r="J131" s="85">
        <v>46115</v>
      </c>
      <c r="K131" s="85">
        <f t="shared" si="432"/>
        <v>46115</v>
      </c>
      <c r="L131" s="85">
        <v>46115</v>
      </c>
      <c r="M131" s="85">
        <f t="shared" si="433"/>
        <v>46157</v>
      </c>
      <c r="N131" s="85">
        <f t="shared" si="434"/>
        <v>46157</v>
      </c>
      <c r="O131" s="145">
        <v>46171</v>
      </c>
      <c r="P131" s="85">
        <f t="shared" si="435"/>
        <v>46199</v>
      </c>
      <c r="Q131" s="85">
        <f t="shared" si="436"/>
        <v>46199</v>
      </c>
      <c r="R131" s="85">
        <v>46199</v>
      </c>
      <c r="S131" s="85">
        <f t="shared" si="437"/>
        <v>46213</v>
      </c>
      <c r="T131" s="85">
        <f t="shared" si="438"/>
        <v>46213</v>
      </c>
      <c r="U131" s="85">
        <v>46204</v>
      </c>
      <c r="V131" s="212"/>
      <c r="X131" s="168" t="str">
        <f t="shared" ca="1" si="253"/>
        <v>Completed</v>
      </c>
      <c r="Y131" s="168" t="str">
        <f t="shared" ca="1" si="351"/>
        <v>Completed</v>
      </c>
      <c r="Z131" s="168" t="str">
        <f t="shared" ca="1" si="352"/>
        <v>Completed</v>
      </c>
      <c r="AA131" s="169" t="str">
        <f t="shared" ca="1" si="353"/>
        <v>Completed</v>
      </c>
    </row>
    <row r="132" spans="1:27" s="70" customFormat="1" ht="11.5" x14ac:dyDescent="0.25">
      <c r="A132" s="71" t="s">
        <v>67</v>
      </c>
      <c r="B132" s="87" t="s">
        <v>34</v>
      </c>
      <c r="C132" s="87" t="s">
        <v>916</v>
      </c>
      <c r="D132" s="87" t="s">
        <v>58</v>
      </c>
      <c r="E132" s="86">
        <f t="shared" si="428"/>
        <v>1</v>
      </c>
      <c r="F132" s="86">
        <f t="shared" si="429"/>
        <v>1</v>
      </c>
      <c r="G132" s="86">
        <f t="shared" si="430"/>
        <v>1</v>
      </c>
      <c r="H132" s="86">
        <f t="shared" si="431"/>
        <v>0</v>
      </c>
      <c r="I132" s="82">
        <v>0.2</v>
      </c>
      <c r="J132" s="85">
        <v>46115</v>
      </c>
      <c r="K132" s="85">
        <f t="shared" si="432"/>
        <v>46115</v>
      </c>
      <c r="L132" s="85">
        <v>46115</v>
      </c>
      <c r="M132" s="85">
        <f t="shared" si="433"/>
        <v>46157</v>
      </c>
      <c r="N132" s="85">
        <f t="shared" si="434"/>
        <v>46157</v>
      </c>
      <c r="O132" s="145">
        <v>46171</v>
      </c>
      <c r="P132" s="85">
        <f t="shared" si="435"/>
        <v>46199</v>
      </c>
      <c r="Q132" s="85">
        <f t="shared" si="436"/>
        <v>46199</v>
      </c>
      <c r="R132" s="85">
        <v>46219</v>
      </c>
      <c r="S132" s="85">
        <f t="shared" si="437"/>
        <v>46213</v>
      </c>
      <c r="T132" s="85">
        <f t="shared" si="438"/>
        <v>46213</v>
      </c>
      <c r="U132" s="85">
        <v>46233</v>
      </c>
      <c r="V132" s="212"/>
      <c r="X132" s="168" t="str">
        <f t="shared" ca="1" si="253"/>
        <v>Completed</v>
      </c>
      <c r="Y132" s="168" t="str">
        <f t="shared" ca="1" si="351"/>
        <v>Completed</v>
      </c>
      <c r="Z132" s="168" t="str">
        <f t="shared" ca="1" si="352"/>
        <v>Completed</v>
      </c>
      <c r="AA132" s="169" t="str">
        <f t="shared" ca="1" si="353"/>
        <v>Completed</v>
      </c>
    </row>
    <row r="133" spans="1:27" s="70" customFormat="1" ht="11.5" x14ac:dyDescent="0.25">
      <c r="A133" s="71" t="s">
        <v>67</v>
      </c>
      <c r="B133" s="87" t="s">
        <v>34</v>
      </c>
      <c r="C133" s="87" t="s">
        <v>917</v>
      </c>
      <c r="D133" s="87" t="s">
        <v>1103</v>
      </c>
      <c r="E133" s="86">
        <f t="shared" si="428"/>
        <v>1</v>
      </c>
      <c r="F133" s="86">
        <f t="shared" si="429"/>
        <v>1</v>
      </c>
      <c r="G133" s="86">
        <f t="shared" si="430"/>
        <v>1</v>
      </c>
      <c r="H133" s="86">
        <f t="shared" si="431"/>
        <v>0</v>
      </c>
      <c r="I133" s="82">
        <v>0.2</v>
      </c>
      <c r="J133" s="85">
        <v>46115</v>
      </c>
      <c r="K133" s="85">
        <f t="shared" si="432"/>
        <v>46115</v>
      </c>
      <c r="L133" s="85">
        <v>46115</v>
      </c>
      <c r="M133" s="85">
        <f t="shared" si="433"/>
        <v>46157</v>
      </c>
      <c r="N133" s="85">
        <f t="shared" si="434"/>
        <v>46157</v>
      </c>
      <c r="O133" s="145">
        <v>46171</v>
      </c>
      <c r="P133" s="85">
        <f t="shared" si="435"/>
        <v>46199</v>
      </c>
      <c r="Q133" s="85">
        <f t="shared" si="436"/>
        <v>46199</v>
      </c>
      <c r="R133" s="85">
        <v>46274</v>
      </c>
      <c r="S133" s="85">
        <f t="shared" si="437"/>
        <v>46213</v>
      </c>
      <c r="T133" s="85">
        <f t="shared" si="438"/>
        <v>46213</v>
      </c>
      <c r="U133" s="85">
        <v>46288</v>
      </c>
      <c r="V133" s="212"/>
      <c r="X133" s="168" t="str">
        <f t="shared" ca="1" si="253"/>
        <v>Completed</v>
      </c>
      <c r="Y133" s="168" t="str">
        <f t="shared" ca="1" si="351"/>
        <v>Completed</v>
      </c>
      <c r="Z133" s="168" t="str">
        <f t="shared" ca="1" si="352"/>
        <v>Completed</v>
      </c>
      <c r="AA133" s="169" t="str">
        <f t="shared" ca="1" si="353"/>
        <v>Completed</v>
      </c>
    </row>
    <row r="134" spans="1:27" s="70" customFormat="1" ht="11.5" x14ac:dyDescent="0.25">
      <c r="A134" s="71" t="s">
        <v>67</v>
      </c>
      <c r="B134" s="87" t="s">
        <v>34</v>
      </c>
      <c r="C134" s="87" t="s">
        <v>918</v>
      </c>
      <c r="D134" s="87" t="s">
        <v>59</v>
      </c>
      <c r="E134" s="86">
        <f t="shared" si="428"/>
        <v>1</v>
      </c>
      <c r="F134" s="86">
        <f t="shared" si="429"/>
        <v>1</v>
      </c>
      <c r="G134" s="86">
        <f t="shared" si="430"/>
        <v>1</v>
      </c>
      <c r="H134" s="86">
        <f t="shared" si="431"/>
        <v>0</v>
      </c>
      <c r="I134" s="82">
        <v>0.2</v>
      </c>
      <c r="J134" s="85">
        <v>46115</v>
      </c>
      <c r="K134" s="85">
        <f t="shared" si="432"/>
        <v>46115</v>
      </c>
      <c r="L134" s="85">
        <v>46115</v>
      </c>
      <c r="M134" s="85">
        <f t="shared" si="433"/>
        <v>46157</v>
      </c>
      <c r="N134" s="85">
        <f t="shared" si="434"/>
        <v>46157</v>
      </c>
      <c r="O134" s="85">
        <v>46199</v>
      </c>
      <c r="P134" s="85">
        <f t="shared" si="435"/>
        <v>46199</v>
      </c>
      <c r="Q134" s="85">
        <f t="shared" si="436"/>
        <v>46199</v>
      </c>
      <c r="R134" s="85">
        <v>46204</v>
      </c>
      <c r="S134" s="85">
        <f t="shared" si="437"/>
        <v>46213</v>
      </c>
      <c r="T134" s="85">
        <f t="shared" si="438"/>
        <v>46213</v>
      </c>
      <c r="U134" s="85">
        <v>46213</v>
      </c>
      <c r="V134" s="212"/>
      <c r="X134" s="168" t="str">
        <f t="shared" ca="1" si="253"/>
        <v>Completed</v>
      </c>
      <c r="Y134" s="168" t="str">
        <f t="shared" ca="1" si="351"/>
        <v>Completed</v>
      </c>
      <c r="Z134" s="168" t="str">
        <f t="shared" ca="1" si="352"/>
        <v>Completed</v>
      </c>
      <c r="AA134" s="169" t="str">
        <f t="shared" ca="1" si="353"/>
        <v>Completed</v>
      </c>
    </row>
    <row r="135" spans="1:27" s="70" customFormat="1" ht="11.5" x14ac:dyDescent="0.25">
      <c r="A135" s="187" t="s">
        <v>67</v>
      </c>
      <c r="B135" s="197" t="s">
        <v>34</v>
      </c>
      <c r="C135" s="197" t="s">
        <v>129</v>
      </c>
      <c r="D135" s="197" t="s">
        <v>1183</v>
      </c>
      <c r="E135" s="198">
        <f t="shared" si="428"/>
        <v>1</v>
      </c>
      <c r="F135" s="198">
        <f t="shared" si="429"/>
        <v>1</v>
      </c>
      <c r="G135" s="198">
        <f t="shared" si="430"/>
        <v>1</v>
      </c>
      <c r="H135" s="198">
        <f t="shared" si="431"/>
        <v>0</v>
      </c>
      <c r="I135" s="189">
        <v>0.25</v>
      </c>
      <c r="J135" s="190">
        <f t="shared" ref="J135:J147" si="439">J74+28</f>
        <v>46178</v>
      </c>
      <c r="K135" s="190">
        <f t="shared" si="432"/>
        <v>46178</v>
      </c>
      <c r="L135" s="205">
        <v>46161</v>
      </c>
      <c r="M135" s="190">
        <f t="shared" si="433"/>
        <v>46220</v>
      </c>
      <c r="N135" s="190">
        <f t="shared" si="434"/>
        <v>46220</v>
      </c>
      <c r="O135" s="190">
        <v>46262</v>
      </c>
      <c r="P135" s="190">
        <f t="shared" si="435"/>
        <v>46262</v>
      </c>
      <c r="Q135" s="190">
        <f t="shared" si="436"/>
        <v>46262</v>
      </c>
      <c r="R135" s="190">
        <v>46283</v>
      </c>
      <c r="S135" s="190">
        <f t="shared" si="437"/>
        <v>46276</v>
      </c>
      <c r="T135" s="190">
        <f t="shared" si="438"/>
        <v>46276</v>
      </c>
      <c r="U135" s="190">
        <v>46283</v>
      </c>
      <c r="V135" s="225"/>
      <c r="X135" s="168" t="str">
        <f t="shared" ca="1" si="253"/>
        <v>Completed</v>
      </c>
      <c r="Y135" s="168" t="str">
        <f t="shared" ca="1" si="351"/>
        <v>Completed</v>
      </c>
      <c r="Z135" s="168" t="str">
        <f t="shared" ca="1" si="352"/>
        <v>Completed</v>
      </c>
      <c r="AA135" s="169" t="str">
        <f t="shared" ca="1" si="353"/>
        <v>Completed</v>
      </c>
    </row>
    <row r="136" spans="1:27" s="70" customFormat="1" ht="11.5" x14ac:dyDescent="0.25">
      <c r="A136" s="111" t="s">
        <v>67</v>
      </c>
      <c r="B136" s="117" t="s">
        <v>34</v>
      </c>
      <c r="C136" s="117" t="s">
        <v>129</v>
      </c>
      <c r="D136" s="117" t="s">
        <v>1188</v>
      </c>
      <c r="E136" s="118">
        <f t="shared" ref="E136" si="440">(COUNTIFS(J136,"&lt;="&amp;$C$1)*50%)+(COUNTIFS(M136,"&lt;="&amp;$C$1)*20%)+(COUNTIFS(P136,"&lt;="&amp;$C$1)*10%)+(COUNTIFS(S136,"&lt;="&amp;$C$1)*20%)</f>
        <v>1</v>
      </c>
      <c r="F136" s="118">
        <f t="shared" ref="F136" si="441">(COUNTIFS(K136,"&lt;="&amp;$C$1)*50%)+(COUNTIFS(N136,"&lt;="&amp;$C$1)*20%)+(COUNTIFS(Q136,"&lt;="&amp;$C$1)*10%)+(COUNTIFS(T136,"&lt;="&amp;$C$1)*20%)</f>
        <v>1</v>
      </c>
      <c r="G136" s="118">
        <f t="shared" si="430"/>
        <v>0.7</v>
      </c>
      <c r="H136" s="118">
        <f t="shared" ref="H136" si="442">G136-E136</f>
        <v>-0.30000000000000004</v>
      </c>
      <c r="I136" s="113">
        <v>0.25</v>
      </c>
      <c r="J136" s="114">
        <f t="shared" si="439"/>
        <v>46178</v>
      </c>
      <c r="K136" s="114">
        <f t="shared" ref="K136" si="443">J136</f>
        <v>46178</v>
      </c>
      <c r="L136" s="143">
        <v>46161</v>
      </c>
      <c r="M136" s="114">
        <f t="shared" ref="M136" si="444">J136+42</f>
        <v>46220</v>
      </c>
      <c r="N136" s="114">
        <f t="shared" ref="N136" si="445">M136</f>
        <v>46220</v>
      </c>
      <c r="O136" s="114">
        <v>46262</v>
      </c>
      <c r="P136" s="114">
        <f t="shared" ref="P136" si="446">M136+42</f>
        <v>46262</v>
      </c>
      <c r="Q136" s="114">
        <f t="shared" ref="Q136" si="447">P136</f>
        <v>46262</v>
      </c>
      <c r="R136" s="114"/>
      <c r="S136" s="114">
        <f t="shared" ref="S136" si="448">P136+14</f>
        <v>46276</v>
      </c>
      <c r="T136" s="114">
        <f t="shared" ref="T136" si="449">S136</f>
        <v>46276</v>
      </c>
      <c r="U136" s="114"/>
      <c r="V136" s="226"/>
      <c r="X136" s="168" t="str">
        <f t="shared" ref="X136:X202" ca="1" si="450">IF(OR(L136&lt;&gt;""),"Completed",
IF(K136="","",IF(K136&lt;TODAY(),"Overdue",
IF(AND(K136&gt;=TODAY()-WEEKDAY(TODAY(),2)+1,K136&lt;=TODAY()-WEEKDAY(TODAY(),2)+7),"Follow-This Week",
IF(AND(K136&gt;=TODAY()-WEEKDAY(TODAY(),2)+8,K136&lt;=TODAY()-WEEKDAY(TODAY(),2)+14),"Follow-Next Week","")))))</f>
        <v>Completed</v>
      </c>
      <c r="Y136" s="168" t="str">
        <f t="shared" ca="1" si="351"/>
        <v>Completed</v>
      </c>
      <c r="Z136" s="168" t="str">
        <f t="shared" ca="1" si="352"/>
        <v>Overdue</v>
      </c>
      <c r="AA136" s="169" t="str">
        <f t="shared" ca="1" si="353"/>
        <v>Overdue</v>
      </c>
    </row>
    <row r="137" spans="1:27" s="70" customFormat="1" ht="11.5" x14ac:dyDescent="0.25">
      <c r="A137" s="187" t="s">
        <v>67</v>
      </c>
      <c r="B137" s="197" t="s">
        <v>34</v>
      </c>
      <c r="C137" s="197" t="s">
        <v>130</v>
      </c>
      <c r="D137" s="197" t="s">
        <v>1184</v>
      </c>
      <c r="E137" s="198">
        <f t="shared" si="428"/>
        <v>1</v>
      </c>
      <c r="F137" s="198">
        <f t="shared" si="429"/>
        <v>1</v>
      </c>
      <c r="G137" s="198">
        <f t="shared" si="430"/>
        <v>1</v>
      </c>
      <c r="H137" s="198">
        <f t="shared" si="431"/>
        <v>0</v>
      </c>
      <c r="I137" s="189">
        <v>0.25</v>
      </c>
      <c r="J137" s="190">
        <f t="shared" si="439"/>
        <v>46192</v>
      </c>
      <c r="K137" s="190">
        <f t="shared" si="432"/>
        <v>46192</v>
      </c>
      <c r="L137" s="196">
        <v>46202</v>
      </c>
      <c r="M137" s="190">
        <f t="shared" si="433"/>
        <v>46234</v>
      </c>
      <c r="N137" s="190">
        <f t="shared" si="434"/>
        <v>46234</v>
      </c>
      <c r="O137" s="196">
        <v>46248</v>
      </c>
      <c r="P137" s="190">
        <f t="shared" si="435"/>
        <v>46276</v>
      </c>
      <c r="Q137" s="190">
        <f t="shared" si="436"/>
        <v>46276</v>
      </c>
      <c r="R137" s="190">
        <v>46283</v>
      </c>
      <c r="S137" s="190">
        <f t="shared" si="437"/>
        <v>46290</v>
      </c>
      <c r="T137" s="190">
        <f t="shared" si="438"/>
        <v>46290</v>
      </c>
      <c r="U137" s="190">
        <v>46283</v>
      </c>
      <c r="V137" s="225"/>
      <c r="X137" s="168" t="str">
        <f t="shared" ca="1" si="450"/>
        <v>Completed</v>
      </c>
      <c r="Y137" s="168" t="str">
        <f t="shared" ca="1" si="351"/>
        <v>Completed</v>
      </c>
      <c r="Z137" s="168" t="str">
        <f t="shared" ca="1" si="352"/>
        <v>Completed</v>
      </c>
      <c r="AA137" s="169" t="str">
        <f t="shared" ca="1" si="353"/>
        <v>Completed</v>
      </c>
    </row>
    <row r="138" spans="1:27" s="70" customFormat="1" ht="11.5" x14ac:dyDescent="0.25">
      <c r="A138" s="111" t="s">
        <v>67</v>
      </c>
      <c r="B138" s="117" t="s">
        <v>34</v>
      </c>
      <c r="C138" s="117" t="s">
        <v>130</v>
      </c>
      <c r="D138" s="117" t="s">
        <v>1189</v>
      </c>
      <c r="E138" s="118">
        <f t="shared" ref="E138" si="451">(COUNTIFS(J138,"&lt;="&amp;$C$1)*50%)+(COUNTIFS(M138,"&lt;="&amp;$C$1)*20%)+(COUNTIFS(P138,"&lt;="&amp;$C$1)*10%)+(COUNTIFS(S138,"&lt;="&amp;$C$1)*20%)</f>
        <v>1</v>
      </c>
      <c r="F138" s="118">
        <f t="shared" ref="F138" si="452">(COUNTIFS(K138,"&lt;="&amp;$C$1)*50%)+(COUNTIFS(N138,"&lt;="&amp;$C$1)*20%)+(COUNTIFS(Q138,"&lt;="&amp;$C$1)*10%)+(COUNTIFS(T138,"&lt;="&amp;$C$1)*20%)</f>
        <v>1</v>
      </c>
      <c r="G138" s="118">
        <f t="shared" si="430"/>
        <v>0.7</v>
      </c>
      <c r="H138" s="118">
        <f t="shared" ref="H138" si="453">G138-E138</f>
        <v>-0.30000000000000004</v>
      </c>
      <c r="I138" s="113">
        <v>0.25</v>
      </c>
      <c r="J138" s="114">
        <f t="shared" si="439"/>
        <v>46192</v>
      </c>
      <c r="K138" s="114">
        <f t="shared" ref="K138" si="454">J138</f>
        <v>46192</v>
      </c>
      <c r="L138" s="115">
        <v>46202</v>
      </c>
      <c r="M138" s="114">
        <f t="shared" ref="M138" si="455">J138+42</f>
        <v>46234</v>
      </c>
      <c r="N138" s="114">
        <f t="shared" ref="N138" si="456">M138</f>
        <v>46234</v>
      </c>
      <c r="O138" s="115">
        <v>46248</v>
      </c>
      <c r="P138" s="114">
        <f t="shared" ref="P138" si="457">M138+42</f>
        <v>46276</v>
      </c>
      <c r="Q138" s="114">
        <f t="shared" ref="Q138" si="458">P138</f>
        <v>46276</v>
      </c>
      <c r="R138" s="114"/>
      <c r="S138" s="114">
        <f t="shared" ref="S138" si="459">P138+14</f>
        <v>46290</v>
      </c>
      <c r="T138" s="114">
        <f t="shared" ref="T138" si="460">S138</f>
        <v>46290</v>
      </c>
      <c r="U138" s="114"/>
      <c r="V138" s="226"/>
      <c r="X138" s="168" t="str">
        <f t="shared" ca="1" si="450"/>
        <v>Completed</v>
      </c>
      <c r="Y138" s="168" t="str">
        <f t="shared" ca="1" si="351"/>
        <v>Completed</v>
      </c>
      <c r="Z138" s="168" t="str">
        <f t="shared" ca="1" si="352"/>
        <v>Overdue</v>
      </c>
      <c r="AA138" s="169" t="str">
        <f t="shared" ca="1" si="353"/>
        <v>Overdue</v>
      </c>
    </row>
    <row r="139" spans="1:27" s="70" customFormat="1" ht="11.5" x14ac:dyDescent="0.25">
      <c r="A139" s="187" t="s">
        <v>67</v>
      </c>
      <c r="B139" s="197" t="s">
        <v>34</v>
      </c>
      <c r="C139" s="197" t="s">
        <v>131</v>
      </c>
      <c r="D139" s="197" t="s">
        <v>1185</v>
      </c>
      <c r="E139" s="198">
        <f t="shared" si="428"/>
        <v>1</v>
      </c>
      <c r="F139" s="198">
        <f t="shared" si="429"/>
        <v>1</v>
      </c>
      <c r="G139" s="198">
        <f t="shared" si="430"/>
        <v>1</v>
      </c>
      <c r="H139" s="198">
        <f t="shared" si="431"/>
        <v>0</v>
      </c>
      <c r="I139" s="189">
        <v>0.25</v>
      </c>
      <c r="J139" s="190">
        <f t="shared" si="439"/>
        <v>46199</v>
      </c>
      <c r="K139" s="190">
        <f t="shared" si="432"/>
        <v>46199</v>
      </c>
      <c r="L139" s="190">
        <v>46175</v>
      </c>
      <c r="M139" s="190">
        <f t="shared" si="433"/>
        <v>46241</v>
      </c>
      <c r="N139" s="190">
        <f t="shared" si="434"/>
        <v>46241</v>
      </c>
      <c r="O139" s="190">
        <v>46241</v>
      </c>
      <c r="P139" s="190">
        <f t="shared" si="435"/>
        <v>46283</v>
      </c>
      <c r="Q139" s="190">
        <f t="shared" si="436"/>
        <v>46283</v>
      </c>
      <c r="R139" s="190">
        <v>46283</v>
      </c>
      <c r="S139" s="190">
        <f t="shared" si="437"/>
        <v>46297</v>
      </c>
      <c r="T139" s="190">
        <f t="shared" si="438"/>
        <v>46297</v>
      </c>
      <c r="U139" s="190">
        <v>46283</v>
      </c>
      <c r="V139" s="225"/>
      <c r="X139" s="168" t="str">
        <f t="shared" ca="1" si="450"/>
        <v>Completed</v>
      </c>
      <c r="Y139" s="168" t="str">
        <f t="shared" ca="1" si="351"/>
        <v>Completed</v>
      </c>
      <c r="Z139" s="168" t="str">
        <f t="shared" ca="1" si="352"/>
        <v>Completed</v>
      </c>
      <c r="AA139" s="169" t="str">
        <f t="shared" ca="1" si="353"/>
        <v>Completed</v>
      </c>
    </row>
    <row r="140" spans="1:27" s="70" customFormat="1" ht="11.5" x14ac:dyDescent="0.25">
      <c r="A140" s="111" t="s">
        <v>67</v>
      </c>
      <c r="B140" s="117" t="s">
        <v>34</v>
      </c>
      <c r="C140" s="117" t="s">
        <v>131</v>
      </c>
      <c r="D140" s="117" t="s">
        <v>1190</v>
      </c>
      <c r="E140" s="118">
        <f t="shared" ref="E140" si="461">(COUNTIFS(J140,"&lt;="&amp;$C$1)*50%)+(COUNTIFS(M140,"&lt;="&amp;$C$1)*20%)+(COUNTIFS(P140,"&lt;="&amp;$C$1)*10%)+(COUNTIFS(S140,"&lt;="&amp;$C$1)*20%)</f>
        <v>1</v>
      </c>
      <c r="F140" s="118">
        <f t="shared" ref="F140" si="462">(COUNTIFS(K140,"&lt;="&amp;$C$1)*50%)+(COUNTIFS(N140,"&lt;="&amp;$C$1)*20%)+(COUNTIFS(Q140,"&lt;="&amp;$C$1)*10%)+(COUNTIFS(T140,"&lt;="&amp;$C$1)*20%)</f>
        <v>1</v>
      </c>
      <c r="G140" s="118">
        <f t="shared" si="430"/>
        <v>0.7</v>
      </c>
      <c r="H140" s="118">
        <f t="shared" ref="H140" si="463">G140-E140</f>
        <v>-0.30000000000000004</v>
      </c>
      <c r="I140" s="113">
        <v>0.25</v>
      </c>
      <c r="J140" s="114">
        <f t="shared" si="439"/>
        <v>46199</v>
      </c>
      <c r="K140" s="114">
        <f t="shared" ref="K140" si="464">J140</f>
        <v>46199</v>
      </c>
      <c r="L140" s="114">
        <v>46175</v>
      </c>
      <c r="M140" s="114">
        <f t="shared" ref="M140" si="465">J140+42</f>
        <v>46241</v>
      </c>
      <c r="N140" s="114">
        <f t="shared" ref="N140" si="466">M140</f>
        <v>46241</v>
      </c>
      <c r="O140" s="114">
        <v>46241</v>
      </c>
      <c r="P140" s="114">
        <f t="shared" ref="P140" si="467">M140+42</f>
        <v>46283</v>
      </c>
      <c r="Q140" s="114">
        <f t="shared" ref="Q140" si="468">P140</f>
        <v>46283</v>
      </c>
      <c r="R140" s="114"/>
      <c r="S140" s="114">
        <f t="shared" ref="S140" si="469">P140+14</f>
        <v>46297</v>
      </c>
      <c r="T140" s="114">
        <f t="shared" ref="T140" si="470">S140</f>
        <v>46297</v>
      </c>
      <c r="U140" s="114"/>
      <c r="V140" s="226"/>
      <c r="X140" s="168" t="str">
        <f t="shared" ca="1" si="450"/>
        <v>Completed</v>
      </c>
      <c r="Y140" s="168" t="str">
        <f t="shared" ca="1" si="351"/>
        <v>Completed</v>
      </c>
      <c r="Z140" s="168" t="str">
        <f t="shared" ca="1" si="352"/>
        <v>Overdue</v>
      </c>
      <c r="AA140" s="169" t="str">
        <f t="shared" ca="1" si="353"/>
        <v>Overdue</v>
      </c>
    </row>
    <row r="141" spans="1:27" s="70" customFormat="1" ht="11.5" x14ac:dyDescent="0.25">
      <c r="A141" s="187" t="s">
        <v>67</v>
      </c>
      <c r="B141" s="197" t="s">
        <v>34</v>
      </c>
      <c r="C141" s="197" t="s">
        <v>132</v>
      </c>
      <c r="D141" s="197" t="s">
        <v>1186</v>
      </c>
      <c r="E141" s="198">
        <f t="shared" si="428"/>
        <v>1</v>
      </c>
      <c r="F141" s="198">
        <f t="shared" si="429"/>
        <v>1</v>
      </c>
      <c r="G141" s="198">
        <f t="shared" si="430"/>
        <v>1</v>
      </c>
      <c r="H141" s="198">
        <f t="shared" si="431"/>
        <v>0</v>
      </c>
      <c r="I141" s="189">
        <v>0.25</v>
      </c>
      <c r="J141" s="190">
        <f t="shared" si="439"/>
        <v>46206</v>
      </c>
      <c r="K141" s="190">
        <f t="shared" si="432"/>
        <v>46206</v>
      </c>
      <c r="L141" s="205">
        <v>46161</v>
      </c>
      <c r="M141" s="196">
        <f t="shared" si="433"/>
        <v>46248</v>
      </c>
      <c r="N141" s="190">
        <f t="shared" si="434"/>
        <v>46248</v>
      </c>
      <c r="O141" s="190">
        <v>46241</v>
      </c>
      <c r="P141" s="190">
        <f t="shared" si="435"/>
        <v>46290</v>
      </c>
      <c r="Q141" s="190">
        <f t="shared" si="436"/>
        <v>46290</v>
      </c>
      <c r="R141" s="190">
        <v>46283</v>
      </c>
      <c r="S141" s="190">
        <f t="shared" si="437"/>
        <v>46304</v>
      </c>
      <c r="T141" s="190">
        <f t="shared" si="438"/>
        <v>46304</v>
      </c>
      <c r="U141" s="190">
        <v>46283</v>
      </c>
      <c r="V141" s="225"/>
      <c r="X141" s="168" t="str">
        <f t="shared" ca="1" si="450"/>
        <v>Completed</v>
      </c>
      <c r="Y141" s="168" t="str">
        <f t="shared" ca="1" si="351"/>
        <v>Completed</v>
      </c>
      <c r="Z141" s="168" t="str">
        <f t="shared" ca="1" si="352"/>
        <v>Completed</v>
      </c>
      <c r="AA141" s="169" t="str">
        <f t="shared" ca="1" si="353"/>
        <v>Completed</v>
      </c>
    </row>
    <row r="142" spans="1:27" s="70" customFormat="1" ht="11.5" x14ac:dyDescent="0.25">
      <c r="A142" s="111" t="s">
        <v>67</v>
      </c>
      <c r="B142" s="117" t="s">
        <v>34</v>
      </c>
      <c r="C142" s="117" t="s">
        <v>132</v>
      </c>
      <c r="D142" s="117" t="s">
        <v>1191</v>
      </c>
      <c r="E142" s="118">
        <f t="shared" ref="E142" si="471">(COUNTIFS(J142,"&lt;="&amp;$C$1)*50%)+(COUNTIFS(M142,"&lt;="&amp;$C$1)*20%)+(COUNTIFS(P142,"&lt;="&amp;$C$1)*10%)+(COUNTIFS(S142,"&lt;="&amp;$C$1)*20%)</f>
        <v>1</v>
      </c>
      <c r="F142" s="118">
        <f t="shared" ref="F142" si="472">(COUNTIFS(K142,"&lt;="&amp;$C$1)*50%)+(COUNTIFS(N142,"&lt;="&amp;$C$1)*20%)+(COUNTIFS(Q142,"&lt;="&amp;$C$1)*10%)+(COUNTIFS(T142,"&lt;="&amp;$C$1)*20%)</f>
        <v>1</v>
      </c>
      <c r="G142" s="118">
        <f t="shared" si="430"/>
        <v>0.79999999999999993</v>
      </c>
      <c r="H142" s="118">
        <f t="shared" ref="H142" si="473">G142-E142</f>
        <v>-0.20000000000000007</v>
      </c>
      <c r="I142" s="113">
        <v>0.25</v>
      </c>
      <c r="J142" s="114">
        <f t="shared" si="439"/>
        <v>46206</v>
      </c>
      <c r="K142" s="114">
        <f t="shared" ref="K142" si="474">J142</f>
        <v>46206</v>
      </c>
      <c r="L142" s="143">
        <v>46161</v>
      </c>
      <c r="M142" s="115">
        <f t="shared" ref="M142" si="475">J142+42</f>
        <v>46248</v>
      </c>
      <c r="N142" s="114">
        <f t="shared" ref="N142" si="476">M142</f>
        <v>46248</v>
      </c>
      <c r="O142" s="114">
        <v>46241</v>
      </c>
      <c r="P142" s="114">
        <f t="shared" ref="P142" si="477">M142+42</f>
        <v>46290</v>
      </c>
      <c r="Q142" s="114">
        <f t="shared" ref="Q142" si="478">P142</f>
        <v>46290</v>
      </c>
      <c r="R142" s="160">
        <v>46300</v>
      </c>
      <c r="S142" s="114">
        <f t="shared" ref="S142" si="479">P142+14</f>
        <v>46304</v>
      </c>
      <c r="T142" s="114">
        <f t="shared" ref="T142" si="480">S142</f>
        <v>46304</v>
      </c>
      <c r="U142" s="114"/>
      <c r="V142" s="226"/>
      <c r="X142" s="168" t="str">
        <f t="shared" ca="1" si="450"/>
        <v>Completed</v>
      </c>
      <c r="Y142" s="168" t="str">
        <f t="shared" ca="1" si="351"/>
        <v>Completed</v>
      </c>
      <c r="Z142" s="168" t="str">
        <f t="shared" ca="1" si="352"/>
        <v>Completed</v>
      </c>
      <c r="AA142" s="169" t="str">
        <f t="shared" ca="1" si="353"/>
        <v>Overdue</v>
      </c>
    </row>
    <row r="143" spans="1:27" s="70" customFormat="1" ht="11.5" x14ac:dyDescent="0.25">
      <c r="A143" s="187" t="s">
        <v>67</v>
      </c>
      <c r="B143" s="197" t="s">
        <v>34</v>
      </c>
      <c r="C143" s="197" t="s">
        <v>133</v>
      </c>
      <c r="D143" s="197" t="s">
        <v>1187</v>
      </c>
      <c r="E143" s="198">
        <f t="shared" si="428"/>
        <v>0.79999999999999993</v>
      </c>
      <c r="F143" s="198">
        <f t="shared" si="429"/>
        <v>0.79999999999999993</v>
      </c>
      <c r="G143" s="198">
        <f t="shared" si="430"/>
        <v>1</v>
      </c>
      <c r="H143" s="198">
        <f t="shared" si="431"/>
        <v>0.20000000000000007</v>
      </c>
      <c r="I143" s="189">
        <v>0.25</v>
      </c>
      <c r="J143" s="190">
        <f t="shared" si="439"/>
        <v>46220</v>
      </c>
      <c r="K143" s="190">
        <f t="shared" si="432"/>
        <v>46220</v>
      </c>
      <c r="L143" s="205">
        <v>46161</v>
      </c>
      <c r="M143" s="190">
        <f t="shared" si="433"/>
        <v>46262</v>
      </c>
      <c r="N143" s="190">
        <f t="shared" si="434"/>
        <v>46262</v>
      </c>
      <c r="O143" s="196">
        <v>46252</v>
      </c>
      <c r="P143" s="190">
        <f t="shared" si="435"/>
        <v>46304</v>
      </c>
      <c r="Q143" s="190">
        <f t="shared" si="436"/>
        <v>46304</v>
      </c>
      <c r="R143" s="190">
        <v>46283</v>
      </c>
      <c r="S143" s="190">
        <f t="shared" si="437"/>
        <v>46318</v>
      </c>
      <c r="T143" s="190">
        <f t="shared" si="438"/>
        <v>46318</v>
      </c>
      <c r="U143" s="190">
        <v>46283</v>
      </c>
      <c r="V143" s="225"/>
      <c r="X143" s="168" t="str">
        <f t="shared" ca="1" si="450"/>
        <v>Completed</v>
      </c>
      <c r="Y143" s="168" t="str">
        <f t="shared" ca="1" si="351"/>
        <v>Completed</v>
      </c>
      <c r="Z143" s="168" t="str">
        <f t="shared" ca="1" si="352"/>
        <v>Completed</v>
      </c>
      <c r="AA143" s="169" t="str">
        <f t="shared" ca="1" si="353"/>
        <v>Completed</v>
      </c>
    </row>
    <row r="144" spans="1:27" s="70" customFormat="1" ht="11.5" x14ac:dyDescent="0.25">
      <c r="A144" s="111" t="s">
        <v>67</v>
      </c>
      <c r="B144" s="117" t="s">
        <v>34</v>
      </c>
      <c r="C144" s="117" t="s">
        <v>133</v>
      </c>
      <c r="D144" s="117" t="s">
        <v>1192</v>
      </c>
      <c r="E144" s="118">
        <f t="shared" ref="E144" si="481">(COUNTIFS(J144,"&lt;="&amp;$C$1)*50%)+(COUNTIFS(M144,"&lt;="&amp;$C$1)*20%)+(COUNTIFS(P144,"&lt;="&amp;$C$1)*10%)+(COUNTIFS(S144,"&lt;="&amp;$C$1)*20%)</f>
        <v>0.79999999999999993</v>
      </c>
      <c r="F144" s="118">
        <f t="shared" ref="F144" si="482">(COUNTIFS(K144,"&lt;="&amp;$C$1)*50%)+(COUNTIFS(N144,"&lt;="&amp;$C$1)*20%)+(COUNTIFS(Q144,"&lt;="&amp;$C$1)*10%)+(COUNTIFS(T144,"&lt;="&amp;$C$1)*20%)</f>
        <v>0.79999999999999993</v>
      </c>
      <c r="G144" s="118">
        <f t="shared" si="430"/>
        <v>0.7</v>
      </c>
      <c r="H144" s="118">
        <f t="shared" ref="H144" si="483">G144-E144</f>
        <v>-9.9999999999999978E-2</v>
      </c>
      <c r="I144" s="113">
        <v>0.25</v>
      </c>
      <c r="J144" s="114">
        <f t="shared" si="439"/>
        <v>46213</v>
      </c>
      <c r="K144" s="114">
        <f t="shared" ref="K144" si="484">J144</f>
        <v>46213</v>
      </c>
      <c r="L144" s="143">
        <v>46161</v>
      </c>
      <c r="M144" s="114">
        <f t="shared" ref="M144" si="485">J144+42</f>
        <v>46255</v>
      </c>
      <c r="N144" s="114">
        <f t="shared" ref="N144" si="486">M144</f>
        <v>46255</v>
      </c>
      <c r="O144" s="115">
        <v>46252</v>
      </c>
      <c r="P144" s="114">
        <f t="shared" ref="P144" si="487">M144+42</f>
        <v>46297</v>
      </c>
      <c r="Q144" s="114">
        <f t="shared" ref="Q144" si="488">P144</f>
        <v>46297</v>
      </c>
      <c r="R144" s="115"/>
      <c r="S144" s="114">
        <f t="shared" ref="S144" si="489">P144+14</f>
        <v>46311</v>
      </c>
      <c r="T144" s="114">
        <f t="shared" ref="T144" si="490">S144</f>
        <v>46311</v>
      </c>
      <c r="U144" s="114"/>
      <c r="V144" s="226"/>
      <c r="X144" s="168" t="str">
        <f t="shared" ca="1" si="450"/>
        <v>Completed</v>
      </c>
      <c r="Y144" s="168" t="str">
        <f t="shared" ca="1" si="351"/>
        <v>Completed</v>
      </c>
      <c r="Z144" s="168" t="str">
        <f t="shared" ca="1" si="352"/>
        <v>Overdue</v>
      </c>
      <c r="AA144" s="169" t="str">
        <f t="shared" ca="1" si="353"/>
        <v>Follow-Next Week</v>
      </c>
    </row>
    <row r="145" spans="1:27" s="70" customFormat="1" ht="11.5" x14ac:dyDescent="0.25">
      <c r="A145" s="187" t="s">
        <v>67</v>
      </c>
      <c r="B145" s="187" t="s">
        <v>34</v>
      </c>
      <c r="C145" s="187" t="s">
        <v>134</v>
      </c>
      <c r="D145" s="187" t="s">
        <v>1236</v>
      </c>
      <c r="E145" s="188">
        <f t="shared" si="428"/>
        <v>0.7</v>
      </c>
      <c r="F145" s="188">
        <f t="shared" si="429"/>
        <v>0.7</v>
      </c>
      <c r="G145" s="188">
        <f t="shared" si="430"/>
        <v>1</v>
      </c>
      <c r="H145" s="198">
        <f t="shared" si="431"/>
        <v>0.30000000000000004</v>
      </c>
      <c r="I145" s="189">
        <v>0.25</v>
      </c>
      <c r="J145" s="190">
        <f t="shared" si="439"/>
        <v>46234</v>
      </c>
      <c r="K145" s="190">
        <f t="shared" si="432"/>
        <v>46234</v>
      </c>
      <c r="L145" s="196">
        <v>46237</v>
      </c>
      <c r="M145" s="190">
        <f t="shared" si="433"/>
        <v>46276</v>
      </c>
      <c r="N145" s="190">
        <f t="shared" si="434"/>
        <v>46276</v>
      </c>
      <c r="O145" s="196">
        <v>46255</v>
      </c>
      <c r="P145" s="190">
        <f t="shared" si="435"/>
        <v>46318</v>
      </c>
      <c r="Q145" s="190">
        <f t="shared" si="436"/>
        <v>46318</v>
      </c>
      <c r="R145" s="190">
        <v>46297</v>
      </c>
      <c r="S145" s="190">
        <f t="shared" si="437"/>
        <v>46332</v>
      </c>
      <c r="T145" s="190">
        <f t="shared" si="438"/>
        <v>46332</v>
      </c>
      <c r="U145" s="190">
        <v>46297</v>
      </c>
      <c r="V145" s="226"/>
      <c r="X145" s="168" t="str">
        <f t="shared" ca="1" si="450"/>
        <v>Completed</v>
      </c>
      <c r="Y145" s="168" t="str">
        <f t="shared" ca="1" si="351"/>
        <v>Completed</v>
      </c>
      <c r="Z145" s="168" t="str">
        <f t="shared" ca="1" si="352"/>
        <v>Completed</v>
      </c>
      <c r="AA145" s="169" t="str">
        <f t="shared" ca="1" si="353"/>
        <v>Completed</v>
      </c>
    </row>
    <row r="146" spans="1:27" s="70" customFormat="1" ht="11.5" x14ac:dyDescent="0.25">
      <c r="A146" s="111" t="s">
        <v>67</v>
      </c>
      <c r="B146" s="111" t="s">
        <v>34</v>
      </c>
      <c r="C146" s="111" t="s">
        <v>134</v>
      </c>
      <c r="D146" s="111" t="s">
        <v>1237</v>
      </c>
      <c r="E146" s="112">
        <f t="shared" ref="E146" si="491">(COUNTIFS(J146,"&lt;="&amp;$C$1)*50%)+(COUNTIFS(M146,"&lt;="&amp;$C$1)*20%)+(COUNTIFS(P146,"&lt;="&amp;$C$1)*10%)+(COUNTIFS(S146,"&lt;="&amp;$C$1)*20%)</f>
        <v>0.7</v>
      </c>
      <c r="F146" s="112">
        <f t="shared" ref="F146" si="492">(COUNTIFS(K146,"&lt;="&amp;$C$1)*50%)+(COUNTIFS(N146,"&lt;="&amp;$C$1)*20%)+(COUNTIFS(Q146,"&lt;="&amp;$C$1)*10%)+(COUNTIFS(T146,"&lt;="&amp;$C$1)*20%)</f>
        <v>0.7</v>
      </c>
      <c r="G146" s="112">
        <f t="shared" ref="G146" si="493">(COUNTIFS(L146,"&lt;="&amp;$C$1)*50%)+(COUNTIFS(O146,"&lt;="&amp;$C$1)*20%)+(COUNTIFS(R146,"&lt;="&amp;$C$1)*10%)+(COUNTIFS(U146,"&lt;="&amp;$C$1)*20%)</f>
        <v>0.79999999999999993</v>
      </c>
      <c r="H146" s="118">
        <f t="shared" ref="H146" si="494">G146-E146</f>
        <v>9.9999999999999978E-2</v>
      </c>
      <c r="I146" s="113">
        <v>0.25</v>
      </c>
      <c r="J146" s="114">
        <f t="shared" si="439"/>
        <v>46248</v>
      </c>
      <c r="K146" s="114">
        <f t="shared" ref="K146" si="495">J146</f>
        <v>46248</v>
      </c>
      <c r="L146" s="115">
        <v>46237</v>
      </c>
      <c r="M146" s="114">
        <f t="shared" ref="M146" si="496">J146+42</f>
        <v>46290</v>
      </c>
      <c r="N146" s="114">
        <f t="shared" ref="N146" si="497">M146</f>
        <v>46290</v>
      </c>
      <c r="O146" s="115">
        <v>46255</v>
      </c>
      <c r="P146" s="114">
        <f t="shared" ref="P146" si="498">M146+42</f>
        <v>46332</v>
      </c>
      <c r="Q146" s="114">
        <f t="shared" ref="Q146" si="499">P146</f>
        <v>46332</v>
      </c>
      <c r="R146" s="236">
        <v>46304</v>
      </c>
      <c r="S146" s="114">
        <f t="shared" ref="S146" si="500">P146+14</f>
        <v>46346</v>
      </c>
      <c r="T146" s="114">
        <f t="shared" ref="T146" si="501">S146</f>
        <v>46346</v>
      </c>
      <c r="U146" s="114"/>
      <c r="V146" s="226"/>
      <c r="X146" s="168" t="str">
        <f t="shared" ref="X146" ca="1" si="502">IF(OR(L146&lt;&gt;""),"Completed",
IF(K146="","",IF(K146&lt;TODAY(),"Overdue",
IF(AND(K146&gt;=TODAY()-WEEKDAY(TODAY(),2)+1,K146&lt;=TODAY()-WEEKDAY(TODAY(),2)+7),"Follow-This Week",
IF(AND(K146&gt;=TODAY()-WEEKDAY(TODAY(),2)+8,K146&lt;=TODAY()-WEEKDAY(TODAY(),2)+14),"Follow-Next Week","")))))</f>
        <v>Completed</v>
      </c>
      <c r="Y146" s="168" t="str">
        <f t="shared" ref="Y146" ca="1" si="503">IF(OR(O146&lt;&gt;""),"Completed",IF(N146="","",
IF(N146&lt;TODAY(),"Overdue",
IF(AND(N146&gt;=TODAY()-WEEKDAY(TODAY(),2)+1,N146&lt;=TODAY()-WEEKDAY(TODAY(),2)+7),"Follow-This Week",
IF(AND(N146&gt;=TODAY()-WEEKDAY(TODAY(),2)+8,N146&lt;=TODAY()-WEEKDAY(TODAY(),2)+14),"Follow-Next Week","")))))</f>
        <v>Completed</v>
      </c>
      <c r="Z146" s="168" t="str">
        <f t="shared" ref="Z146" ca="1" si="504">IF(OR(R146&lt;&gt;""),"Completed",IF(Q146="","",
IF(Q146&lt;TODAY(),"Overdue",
IF(AND(Q146&gt;=TODAY()-WEEKDAY(TODAY(),2)+1,Q146&lt;=TODAY()-WEEKDAY(TODAY(),2)+7),"Follow-This Week",
IF(AND(Q146&gt;=TODAY()-WEEKDAY(TODAY(),2)+8,Q146&lt;=TODAY()-WEEKDAY(TODAY(),2)+14),"Follow-Next Week","")))))</f>
        <v>Completed</v>
      </c>
      <c r="AA146" s="169" t="str">
        <f t="shared" ref="AA146" ca="1" si="505">IF(OR(U146&lt;&gt;""),"Completed",IF(T146="","",
IF(T146&lt;TODAY(),"Overdue",
IF(AND(T146&gt;=TODAY()-WEEKDAY(TODAY(),2)+1,T146&lt;=TODAY()-WEEKDAY(TODAY(),2)+7),"Follow-This Week",
IF(AND(T146&gt;=TODAY()-WEEKDAY(TODAY(),2)+8,T146&lt;=TODAY()-WEEKDAY(TODAY(),2)+14),"Follow-Next Week","")))))</f>
        <v/>
      </c>
    </row>
    <row r="147" spans="1:27" s="70" customFormat="1" ht="11.5" x14ac:dyDescent="0.25">
      <c r="A147" s="111" t="s">
        <v>67</v>
      </c>
      <c r="B147" s="111" t="s">
        <v>34</v>
      </c>
      <c r="C147" s="111" t="s">
        <v>135</v>
      </c>
      <c r="D147" s="111" t="s">
        <v>136</v>
      </c>
      <c r="E147" s="112">
        <f t="shared" si="428"/>
        <v>0.7</v>
      </c>
      <c r="F147" s="112">
        <f t="shared" si="429"/>
        <v>0.7</v>
      </c>
      <c r="G147" s="112">
        <f t="shared" si="430"/>
        <v>0.7</v>
      </c>
      <c r="H147" s="118">
        <f t="shared" si="431"/>
        <v>0</v>
      </c>
      <c r="I147" s="119">
        <v>0.5</v>
      </c>
      <c r="J147" s="114">
        <f t="shared" si="439"/>
        <v>46248</v>
      </c>
      <c r="K147" s="114">
        <f t="shared" si="432"/>
        <v>46248</v>
      </c>
      <c r="L147" s="114">
        <v>46227</v>
      </c>
      <c r="M147" s="114">
        <f t="shared" si="433"/>
        <v>46290</v>
      </c>
      <c r="N147" s="114">
        <f t="shared" si="434"/>
        <v>46290</v>
      </c>
      <c r="O147" s="115">
        <v>46248</v>
      </c>
      <c r="P147" s="114">
        <f t="shared" si="435"/>
        <v>46332</v>
      </c>
      <c r="Q147" s="114">
        <f t="shared" si="436"/>
        <v>46332</v>
      </c>
      <c r="R147" s="114"/>
      <c r="S147" s="114">
        <f t="shared" si="437"/>
        <v>46346</v>
      </c>
      <c r="T147" s="114">
        <f t="shared" si="438"/>
        <v>46346</v>
      </c>
      <c r="U147" s="114"/>
      <c r="V147" s="226"/>
      <c r="X147" s="168" t="str">
        <f t="shared" ca="1" si="450"/>
        <v>Completed</v>
      </c>
      <c r="Y147" s="168" t="str">
        <f t="shared" ca="1" si="351"/>
        <v>Completed</v>
      </c>
      <c r="Z147" s="168" t="str">
        <f t="shared" ca="1" si="352"/>
        <v/>
      </c>
      <c r="AA147" s="169" t="str">
        <f t="shared" ca="1" si="353"/>
        <v/>
      </c>
    </row>
    <row r="148" spans="1:27" s="70" customFormat="1" ht="11.5" x14ac:dyDescent="0.25">
      <c r="A148" s="111" t="s">
        <v>67</v>
      </c>
      <c r="B148" s="111" t="s">
        <v>34</v>
      </c>
      <c r="C148" s="111" t="s">
        <v>137</v>
      </c>
      <c r="D148" s="111" t="s">
        <v>138</v>
      </c>
      <c r="E148" s="112">
        <f t="shared" si="428"/>
        <v>0.79999999999999993</v>
      </c>
      <c r="F148" s="112">
        <f t="shared" si="429"/>
        <v>0.79999999999999993</v>
      </c>
      <c r="G148" s="112">
        <f t="shared" si="430"/>
        <v>0.7</v>
      </c>
      <c r="H148" s="118">
        <f t="shared" si="431"/>
        <v>-9.9999999999999978E-2</v>
      </c>
      <c r="I148" s="119">
        <v>0.5</v>
      </c>
      <c r="J148" s="114">
        <f>J88+28</f>
        <v>46213</v>
      </c>
      <c r="K148" s="114">
        <f t="shared" si="432"/>
        <v>46213</v>
      </c>
      <c r="L148" s="115">
        <v>46237</v>
      </c>
      <c r="M148" s="114">
        <f t="shared" si="433"/>
        <v>46255</v>
      </c>
      <c r="N148" s="114">
        <f t="shared" si="434"/>
        <v>46255</v>
      </c>
      <c r="O148" s="115">
        <v>46248</v>
      </c>
      <c r="P148" s="114">
        <f t="shared" si="435"/>
        <v>46297</v>
      </c>
      <c r="Q148" s="114">
        <f t="shared" si="436"/>
        <v>46297</v>
      </c>
      <c r="R148" s="114"/>
      <c r="S148" s="114">
        <f t="shared" si="437"/>
        <v>46311</v>
      </c>
      <c r="T148" s="114">
        <f t="shared" si="438"/>
        <v>46311</v>
      </c>
      <c r="U148" s="114"/>
      <c r="V148" s="226"/>
      <c r="X148" s="168" t="str">
        <f t="shared" ca="1" si="450"/>
        <v>Completed</v>
      </c>
      <c r="Y148" s="168" t="str">
        <f t="shared" ca="1" si="351"/>
        <v>Completed</v>
      </c>
      <c r="Z148" s="168" t="str">
        <f t="shared" ca="1" si="352"/>
        <v>Overdue</v>
      </c>
      <c r="AA148" s="169" t="str">
        <f t="shared" ca="1" si="353"/>
        <v>Follow-Next Week</v>
      </c>
    </row>
    <row r="149" spans="1:27" s="70" customFormat="1" ht="11.5" x14ac:dyDescent="0.25">
      <c r="A149" s="111" t="s">
        <v>67</v>
      </c>
      <c r="B149" s="111" t="s">
        <v>34</v>
      </c>
      <c r="C149" s="111" t="s">
        <v>139</v>
      </c>
      <c r="D149" s="111" t="s">
        <v>140</v>
      </c>
      <c r="E149" s="112">
        <f t="shared" si="428"/>
        <v>0.7</v>
      </c>
      <c r="F149" s="112">
        <f t="shared" si="429"/>
        <v>0.7</v>
      </c>
      <c r="G149" s="112">
        <f t="shared" si="430"/>
        <v>0.7</v>
      </c>
      <c r="H149" s="118">
        <f t="shared" si="431"/>
        <v>0</v>
      </c>
      <c r="I149" s="119">
        <v>0.75</v>
      </c>
      <c r="J149" s="114">
        <f>J90+28</f>
        <v>46244</v>
      </c>
      <c r="K149" s="114">
        <f t="shared" si="432"/>
        <v>46244</v>
      </c>
      <c r="L149" s="114">
        <v>46226</v>
      </c>
      <c r="M149" s="114">
        <f t="shared" si="433"/>
        <v>46286</v>
      </c>
      <c r="N149" s="114">
        <f t="shared" si="434"/>
        <v>46286</v>
      </c>
      <c r="O149" s="115">
        <v>46283</v>
      </c>
      <c r="P149" s="114">
        <f t="shared" si="435"/>
        <v>46328</v>
      </c>
      <c r="Q149" s="114">
        <f t="shared" si="436"/>
        <v>46328</v>
      </c>
      <c r="R149" s="114"/>
      <c r="S149" s="114">
        <f t="shared" si="437"/>
        <v>46342</v>
      </c>
      <c r="T149" s="114">
        <f t="shared" si="438"/>
        <v>46342</v>
      </c>
      <c r="U149" s="114"/>
      <c r="V149" s="226"/>
      <c r="X149" s="168" t="str">
        <f t="shared" ca="1" si="450"/>
        <v>Completed</v>
      </c>
      <c r="Y149" s="168" t="str">
        <f t="shared" ca="1" si="351"/>
        <v>Completed</v>
      </c>
      <c r="Z149" s="168" t="str">
        <f t="shared" ca="1" si="352"/>
        <v/>
      </c>
      <c r="AA149" s="169" t="str">
        <f t="shared" ca="1" si="353"/>
        <v/>
      </c>
    </row>
    <row r="150" spans="1:27" s="70" customFormat="1" ht="11.5" x14ac:dyDescent="0.25">
      <c r="A150" s="111" t="s">
        <v>67</v>
      </c>
      <c r="B150" s="111" t="s">
        <v>34</v>
      </c>
      <c r="C150" s="111" t="s">
        <v>141</v>
      </c>
      <c r="D150" s="111" t="s">
        <v>142</v>
      </c>
      <c r="E150" s="112">
        <f t="shared" si="428"/>
        <v>0.7</v>
      </c>
      <c r="F150" s="112">
        <f t="shared" si="429"/>
        <v>0.7</v>
      </c>
      <c r="G150" s="112">
        <f t="shared" si="430"/>
        <v>0.5</v>
      </c>
      <c r="H150" s="118">
        <f t="shared" si="431"/>
        <v>-0.19999999999999996</v>
      </c>
      <c r="I150" s="119">
        <v>0.5</v>
      </c>
      <c r="J150" s="114">
        <f>J92+28</f>
        <v>46262</v>
      </c>
      <c r="K150" s="114">
        <f t="shared" si="432"/>
        <v>46262</v>
      </c>
      <c r="L150" s="114">
        <v>46288</v>
      </c>
      <c r="M150" s="114">
        <f t="shared" si="433"/>
        <v>46304</v>
      </c>
      <c r="N150" s="114">
        <f t="shared" si="434"/>
        <v>46304</v>
      </c>
      <c r="O150" s="114"/>
      <c r="P150" s="114">
        <f t="shared" si="435"/>
        <v>46346</v>
      </c>
      <c r="Q150" s="114">
        <f t="shared" si="436"/>
        <v>46346</v>
      </c>
      <c r="R150" s="114"/>
      <c r="S150" s="114">
        <f t="shared" si="437"/>
        <v>46360</v>
      </c>
      <c r="T150" s="114">
        <f t="shared" si="438"/>
        <v>46360</v>
      </c>
      <c r="U150" s="114"/>
      <c r="V150" s="226"/>
      <c r="X150" s="168" t="str">
        <f t="shared" ca="1" si="450"/>
        <v>Completed</v>
      </c>
      <c r="Y150" s="168" t="str">
        <f t="shared" ca="1" si="351"/>
        <v>Overdue</v>
      </c>
      <c r="Z150" s="168" t="str">
        <f t="shared" ca="1" si="352"/>
        <v/>
      </c>
      <c r="AA150" s="169" t="str">
        <f t="shared" ca="1" si="353"/>
        <v/>
      </c>
    </row>
    <row r="151" spans="1:27" s="70" customFormat="1" ht="11.5" x14ac:dyDescent="0.25">
      <c r="A151" s="111" t="s">
        <v>67</v>
      </c>
      <c r="B151" s="111" t="s">
        <v>34</v>
      </c>
      <c r="C151" s="111" t="s">
        <v>143</v>
      </c>
      <c r="D151" s="111" t="s">
        <v>144</v>
      </c>
      <c r="E151" s="112">
        <f t="shared" si="428"/>
        <v>1</v>
      </c>
      <c r="F151" s="112">
        <f t="shared" si="429"/>
        <v>1</v>
      </c>
      <c r="G151" s="112">
        <f t="shared" si="430"/>
        <v>0.7</v>
      </c>
      <c r="H151" s="118">
        <f t="shared" si="431"/>
        <v>-0.30000000000000004</v>
      </c>
      <c r="I151" s="119">
        <v>0.5</v>
      </c>
      <c r="J151" s="114">
        <f>J93+28</f>
        <v>46206</v>
      </c>
      <c r="K151" s="114">
        <f t="shared" si="432"/>
        <v>46206</v>
      </c>
      <c r="L151" s="114">
        <v>46255</v>
      </c>
      <c r="M151" s="114">
        <f t="shared" si="433"/>
        <v>46248</v>
      </c>
      <c r="N151" s="114">
        <f t="shared" si="434"/>
        <v>46248</v>
      </c>
      <c r="O151" s="114">
        <v>46269</v>
      </c>
      <c r="P151" s="114">
        <f t="shared" si="435"/>
        <v>46290</v>
      </c>
      <c r="Q151" s="114">
        <f t="shared" si="436"/>
        <v>46290</v>
      </c>
      <c r="R151" s="114"/>
      <c r="S151" s="114">
        <f t="shared" si="437"/>
        <v>46304</v>
      </c>
      <c r="T151" s="114">
        <f t="shared" si="438"/>
        <v>46304</v>
      </c>
      <c r="U151" s="114"/>
      <c r="V151" s="226"/>
      <c r="X151" s="168" t="str">
        <f t="shared" ca="1" si="450"/>
        <v>Completed</v>
      </c>
      <c r="Y151" s="168" t="str">
        <f t="shared" ca="1" si="351"/>
        <v>Completed</v>
      </c>
      <c r="Z151" s="168" t="str">
        <f t="shared" ca="1" si="352"/>
        <v>Overdue</v>
      </c>
      <c r="AA151" s="169" t="str">
        <f t="shared" ca="1" si="353"/>
        <v>Overdue</v>
      </c>
    </row>
    <row r="152" spans="1:27" s="70" customFormat="1" ht="11.5" x14ac:dyDescent="0.25">
      <c r="A152" s="111" t="s">
        <v>67</v>
      </c>
      <c r="B152" s="111" t="s">
        <v>34</v>
      </c>
      <c r="C152" s="111" t="s">
        <v>145</v>
      </c>
      <c r="D152" s="111" t="s">
        <v>146</v>
      </c>
      <c r="E152" s="112">
        <f t="shared" si="428"/>
        <v>0.79999999999999993</v>
      </c>
      <c r="F152" s="112">
        <f t="shared" si="429"/>
        <v>0.79999999999999993</v>
      </c>
      <c r="G152" s="112">
        <f t="shared" si="430"/>
        <v>0.79999999999999993</v>
      </c>
      <c r="H152" s="112">
        <f t="shared" si="431"/>
        <v>0</v>
      </c>
      <c r="I152" s="113">
        <v>0.5</v>
      </c>
      <c r="J152" s="114">
        <f>J95+28</f>
        <v>46213</v>
      </c>
      <c r="K152" s="114">
        <f t="shared" si="432"/>
        <v>46213</v>
      </c>
      <c r="L152" s="115">
        <v>46248</v>
      </c>
      <c r="M152" s="114">
        <f t="shared" si="433"/>
        <v>46255</v>
      </c>
      <c r="N152" s="114">
        <f t="shared" si="434"/>
        <v>46255</v>
      </c>
      <c r="O152" s="114">
        <v>46269</v>
      </c>
      <c r="P152" s="114">
        <f t="shared" si="435"/>
        <v>46297</v>
      </c>
      <c r="Q152" s="114">
        <f t="shared" si="436"/>
        <v>46297</v>
      </c>
      <c r="R152" s="236">
        <v>46304</v>
      </c>
      <c r="S152" s="114">
        <f t="shared" si="437"/>
        <v>46311</v>
      </c>
      <c r="T152" s="114">
        <f t="shared" si="438"/>
        <v>46311</v>
      </c>
      <c r="U152" s="114"/>
      <c r="V152" s="226"/>
      <c r="X152" s="168" t="str">
        <f t="shared" ca="1" si="450"/>
        <v>Completed</v>
      </c>
      <c r="Y152" s="168" t="str">
        <f t="shared" ca="1" si="351"/>
        <v>Completed</v>
      </c>
      <c r="Z152" s="168" t="str">
        <f t="shared" ca="1" si="352"/>
        <v>Completed</v>
      </c>
      <c r="AA152" s="169" t="str">
        <f t="shared" ca="1" si="353"/>
        <v>Follow-Next Week</v>
      </c>
    </row>
    <row r="153" spans="1:27" s="70" customFormat="1" ht="11.5" x14ac:dyDescent="0.25">
      <c r="A153" s="111" t="s">
        <v>67</v>
      </c>
      <c r="B153" s="111" t="s">
        <v>34</v>
      </c>
      <c r="C153" s="111" t="s">
        <v>147</v>
      </c>
      <c r="D153" s="111" t="s">
        <v>148</v>
      </c>
      <c r="E153" s="112">
        <f t="shared" si="428"/>
        <v>0.5</v>
      </c>
      <c r="F153" s="112">
        <f t="shared" si="429"/>
        <v>0.5</v>
      </c>
      <c r="G153" s="112">
        <f t="shared" si="430"/>
        <v>0.7</v>
      </c>
      <c r="H153" s="112">
        <f t="shared" si="431"/>
        <v>0.19999999999999996</v>
      </c>
      <c r="I153" s="113">
        <v>0.8</v>
      </c>
      <c r="J153" s="114">
        <f>J97+28</f>
        <v>46283</v>
      </c>
      <c r="K153" s="114">
        <f t="shared" si="432"/>
        <v>46283</v>
      </c>
      <c r="L153" s="114">
        <v>46262</v>
      </c>
      <c r="M153" s="114">
        <f t="shared" si="433"/>
        <v>46325</v>
      </c>
      <c r="N153" s="114">
        <f t="shared" si="434"/>
        <v>46325</v>
      </c>
      <c r="O153" s="114">
        <v>46288</v>
      </c>
      <c r="P153" s="114">
        <f t="shared" si="435"/>
        <v>46367</v>
      </c>
      <c r="Q153" s="114">
        <f t="shared" si="436"/>
        <v>46367</v>
      </c>
      <c r="R153" s="114"/>
      <c r="S153" s="114">
        <f t="shared" si="437"/>
        <v>46381</v>
      </c>
      <c r="T153" s="114">
        <f t="shared" si="438"/>
        <v>46381</v>
      </c>
      <c r="U153" s="114"/>
      <c r="V153" s="226"/>
      <c r="X153" s="168" t="str">
        <f t="shared" ca="1" si="450"/>
        <v>Completed</v>
      </c>
      <c r="Y153" s="168" t="str">
        <f t="shared" ca="1" si="351"/>
        <v>Completed</v>
      </c>
      <c r="Z153" s="168" t="str">
        <f t="shared" ca="1" si="352"/>
        <v/>
      </c>
      <c r="AA153" s="169" t="str">
        <f t="shared" ca="1" si="353"/>
        <v/>
      </c>
    </row>
    <row r="154" spans="1:27" s="70" customFormat="1" ht="11.5" x14ac:dyDescent="0.25">
      <c r="A154" s="111" t="s">
        <v>67</v>
      </c>
      <c r="B154" s="111" t="s">
        <v>34</v>
      </c>
      <c r="C154" s="111" t="s">
        <v>149</v>
      </c>
      <c r="D154" s="111" t="s">
        <v>150</v>
      </c>
      <c r="E154" s="112">
        <f t="shared" si="428"/>
        <v>0.5</v>
      </c>
      <c r="F154" s="112">
        <f t="shared" si="429"/>
        <v>0.5</v>
      </c>
      <c r="G154" s="112">
        <f t="shared" si="430"/>
        <v>0.7</v>
      </c>
      <c r="H154" s="112">
        <f t="shared" si="431"/>
        <v>0.19999999999999996</v>
      </c>
      <c r="I154" s="113">
        <v>0.8</v>
      </c>
      <c r="J154" s="114">
        <f>J99+28</f>
        <v>46297</v>
      </c>
      <c r="K154" s="114">
        <f t="shared" si="432"/>
        <v>46297</v>
      </c>
      <c r="L154" s="114">
        <v>46226</v>
      </c>
      <c r="M154" s="114">
        <f t="shared" si="433"/>
        <v>46339</v>
      </c>
      <c r="N154" s="114">
        <f t="shared" si="434"/>
        <v>46339</v>
      </c>
      <c r="O154" s="115">
        <v>46248</v>
      </c>
      <c r="P154" s="114">
        <f t="shared" si="435"/>
        <v>46381</v>
      </c>
      <c r="Q154" s="114">
        <f t="shared" si="436"/>
        <v>46381</v>
      </c>
      <c r="R154" s="114"/>
      <c r="S154" s="114">
        <f t="shared" si="437"/>
        <v>46395</v>
      </c>
      <c r="T154" s="114">
        <f t="shared" si="438"/>
        <v>46395</v>
      </c>
      <c r="U154" s="114"/>
      <c r="V154" s="226"/>
      <c r="X154" s="168" t="str">
        <f t="shared" ca="1" si="450"/>
        <v>Completed</v>
      </c>
      <c r="Y154" s="168" t="str">
        <f t="shared" ca="1" si="351"/>
        <v>Completed</v>
      </c>
      <c r="Z154" s="168" t="str">
        <f t="shared" ca="1" si="352"/>
        <v/>
      </c>
      <c r="AA154" s="169" t="str">
        <f t="shared" ca="1" si="353"/>
        <v/>
      </c>
    </row>
    <row r="155" spans="1:27" s="70" customFormat="1" ht="11.5" x14ac:dyDescent="0.25">
      <c r="A155" s="111" t="s">
        <v>67</v>
      </c>
      <c r="B155" s="111" t="s">
        <v>34</v>
      </c>
      <c r="C155" s="111" t="s">
        <v>151</v>
      </c>
      <c r="D155" s="111" t="s">
        <v>152</v>
      </c>
      <c r="E155" s="112">
        <f t="shared" si="428"/>
        <v>0</v>
      </c>
      <c r="F155" s="112">
        <f t="shared" si="429"/>
        <v>0</v>
      </c>
      <c r="G155" s="112">
        <f t="shared" si="430"/>
        <v>0.7</v>
      </c>
      <c r="H155" s="112">
        <f t="shared" si="431"/>
        <v>0.7</v>
      </c>
      <c r="I155" s="113">
        <v>0.8</v>
      </c>
      <c r="J155" s="114">
        <f>J101+28</f>
        <v>46305</v>
      </c>
      <c r="K155" s="114">
        <f t="shared" si="432"/>
        <v>46305</v>
      </c>
      <c r="L155" s="115">
        <v>46276</v>
      </c>
      <c r="M155" s="114">
        <f t="shared" si="433"/>
        <v>46347</v>
      </c>
      <c r="N155" s="114">
        <f t="shared" si="434"/>
        <v>46347</v>
      </c>
      <c r="O155" s="114">
        <v>46288</v>
      </c>
      <c r="P155" s="114">
        <f t="shared" si="435"/>
        <v>46389</v>
      </c>
      <c r="Q155" s="114">
        <f t="shared" si="436"/>
        <v>46389</v>
      </c>
      <c r="R155" s="114"/>
      <c r="S155" s="114">
        <f t="shared" si="437"/>
        <v>46403</v>
      </c>
      <c r="T155" s="114">
        <f t="shared" si="438"/>
        <v>46403</v>
      </c>
      <c r="U155" s="114"/>
      <c r="V155" s="226"/>
      <c r="X155" s="168" t="str">
        <f t="shared" ca="1" si="450"/>
        <v>Completed</v>
      </c>
      <c r="Y155" s="168" t="str">
        <f t="shared" ca="1" si="351"/>
        <v>Completed</v>
      </c>
      <c r="Z155" s="168" t="str">
        <f t="shared" ca="1" si="352"/>
        <v/>
      </c>
      <c r="AA155" s="169" t="str">
        <f t="shared" ca="1" si="353"/>
        <v/>
      </c>
    </row>
    <row r="156" spans="1:27" s="70" customFormat="1" ht="11.5" x14ac:dyDescent="0.25">
      <c r="A156" s="187" t="s">
        <v>67</v>
      </c>
      <c r="B156" s="187" t="s">
        <v>34</v>
      </c>
      <c r="C156" s="187" t="s">
        <v>153</v>
      </c>
      <c r="D156" s="187" t="s">
        <v>1250</v>
      </c>
      <c r="E156" s="188">
        <f t="shared" si="428"/>
        <v>0</v>
      </c>
      <c r="F156" s="188">
        <f t="shared" si="429"/>
        <v>0</v>
      </c>
      <c r="G156" s="188">
        <f t="shared" si="430"/>
        <v>1</v>
      </c>
      <c r="H156" s="188">
        <f t="shared" si="431"/>
        <v>1</v>
      </c>
      <c r="I156" s="189">
        <v>0.25</v>
      </c>
      <c r="J156" s="190">
        <f>J102+28</f>
        <v>46358</v>
      </c>
      <c r="K156" s="190">
        <f t="shared" si="432"/>
        <v>46358</v>
      </c>
      <c r="L156" s="190">
        <v>46304</v>
      </c>
      <c r="M156" s="190">
        <f t="shared" si="433"/>
        <v>46400</v>
      </c>
      <c r="N156" s="190">
        <f t="shared" si="434"/>
        <v>46400</v>
      </c>
      <c r="O156" s="196">
        <v>46304</v>
      </c>
      <c r="P156" s="190">
        <f t="shared" si="435"/>
        <v>46442</v>
      </c>
      <c r="Q156" s="190">
        <f t="shared" si="436"/>
        <v>46442</v>
      </c>
      <c r="R156" s="196">
        <v>46304</v>
      </c>
      <c r="S156" s="190">
        <f t="shared" si="437"/>
        <v>46456</v>
      </c>
      <c r="T156" s="190">
        <f t="shared" si="438"/>
        <v>46456</v>
      </c>
      <c r="U156" s="196">
        <v>46304</v>
      </c>
      <c r="V156" s="227"/>
      <c r="X156" s="168" t="str">
        <f t="shared" ca="1" si="450"/>
        <v>Completed</v>
      </c>
      <c r="Y156" s="168" t="str">
        <f t="shared" ca="1" si="351"/>
        <v>Completed</v>
      </c>
      <c r="Z156" s="168" t="str">
        <f t="shared" ca="1" si="352"/>
        <v>Completed</v>
      </c>
      <c r="AA156" s="169" t="str">
        <f t="shared" ca="1" si="353"/>
        <v>Completed</v>
      </c>
    </row>
    <row r="157" spans="1:27" s="70" customFormat="1" ht="11.5" x14ac:dyDescent="0.25">
      <c r="A157" s="111" t="s">
        <v>67</v>
      </c>
      <c r="B157" s="111" t="s">
        <v>34</v>
      </c>
      <c r="C157" s="111" t="s">
        <v>153</v>
      </c>
      <c r="D157" s="111" t="s">
        <v>1247</v>
      </c>
      <c r="E157" s="112">
        <f t="shared" ref="E157" si="506">(COUNTIFS(J157,"&lt;="&amp;$C$1)*50%)+(COUNTIFS(M157,"&lt;="&amp;$C$1)*20%)+(COUNTIFS(P157,"&lt;="&amp;$C$1)*10%)+(COUNTIFS(S157,"&lt;="&amp;$C$1)*20%)</f>
        <v>0</v>
      </c>
      <c r="F157" s="112">
        <f t="shared" ref="F157" si="507">(COUNTIFS(K157,"&lt;="&amp;$C$1)*50%)+(COUNTIFS(N157,"&lt;="&amp;$C$1)*20%)+(COUNTIFS(Q157,"&lt;="&amp;$C$1)*10%)+(COUNTIFS(T157,"&lt;="&amp;$C$1)*20%)</f>
        <v>0</v>
      </c>
      <c r="G157" s="112">
        <f t="shared" ref="G157" si="508">(COUNTIFS(L157,"&lt;="&amp;$C$1)*50%)+(COUNTIFS(O157,"&lt;="&amp;$C$1)*20%)+(COUNTIFS(R157,"&lt;="&amp;$C$1)*10%)+(COUNTIFS(U157,"&lt;="&amp;$C$1)*20%)</f>
        <v>0.5</v>
      </c>
      <c r="H157" s="112">
        <f t="shared" ref="H157" si="509">G157-E157</f>
        <v>0.5</v>
      </c>
      <c r="I157" s="113">
        <v>0.25</v>
      </c>
      <c r="J157" s="114">
        <f>J103+28</f>
        <v>46358</v>
      </c>
      <c r="K157" s="114">
        <f t="shared" ref="K157" si="510">J157</f>
        <v>46358</v>
      </c>
      <c r="L157" s="160">
        <v>46304</v>
      </c>
      <c r="M157" s="114">
        <f t="shared" ref="M157" si="511">J157+42</f>
        <v>46400</v>
      </c>
      <c r="N157" s="114">
        <f t="shared" ref="N157" si="512">M157</f>
        <v>46400</v>
      </c>
      <c r="O157" s="115"/>
      <c r="P157" s="114">
        <f t="shared" ref="P157" si="513">M157+42</f>
        <v>46442</v>
      </c>
      <c r="Q157" s="114">
        <f t="shared" ref="Q157" si="514">P157</f>
        <v>46442</v>
      </c>
      <c r="R157" s="115"/>
      <c r="S157" s="114">
        <f t="shared" ref="S157" si="515">P157+14</f>
        <v>46456</v>
      </c>
      <c r="T157" s="114">
        <f t="shared" ref="T157" si="516">S157</f>
        <v>46456</v>
      </c>
      <c r="U157" s="115"/>
      <c r="V157" s="227"/>
      <c r="X157" s="168" t="str">
        <f t="shared" ref="X157" ca="1" si="517">IF(OR(L157&lt;&gt;""),"Completed",
IF(K157="","",IF(K157&lt;TODAY(),"Overdue",
IF(AND(K157&gt;=TODAY()-WEEKDAY(TODAY(),2)+1,K157&lt;=TODAY()-WEEKDAY(TODAY(),2)+7),"Follow-This Week",
IF(AND(K157&gt;=TODAY()-WEEKDAY(TODAY(),2)+8,K157&lt;=TODAY()-WEEKDAY(TODAY(),2)+14),"Follow-Next Week","")))))</f>
        <v>Completed</v>
      </c>
      <c r="Y157" s="168" t="str">
        <f t="shared" ref="Y157" ca="1" si="518">IF(OR(O157&lt;&gt;""),"Completed",IF(N157="","",
IF(N157&lt;TODAY(),"Overdue",
IF(AND(N157&gt;=TODAY()-WEEKDAY(TODAY(),2)+1,N157&lt;=TODAY()-WEEKDAY(TODAY(),2)+7),"Follow-This Week",
IF(AND(N157&gt;=TODAY()-WEEKDAY(TODAY(),2)+8,N157&lt;=TODAY()-WEEKDAY(TODAY(),2)+14),"Follow-Next Week","")))))</f>
        <v/>
      </c>
      <c r="Z157" s="168" t="str">
        <f t="shared" ref="Z157" ca="1" si="519">IF(OR(R157&lt;&gt;""),"Completed",IF(Q157="","",
IF(Q157&lt;TODAY(),"Overdue",
IF(AND(Q157&gt;=TODAY()-WEEKDAY(TODAY(),2)+1,Q157&lt;=TODAY()-WEEKDAY(TODAY(),2)+7),"Follow-This Week",
IF(AND(Q157&gt;=TODAY()-WEEKDAY(TODAY(),2)+8,Q157&lt;=TODAY()-WEEKDAY(TODAY(),2)+14),"Follow-Next Week","")))))</f>
        <v/>
      </c>
      <c r="AA157" s="169" t="str">
        <f t="shared" ref="AA157" ca="1" si="520">IF(OR(U157&lt;&gt;""),"Completed",IF(T157="","",
IF(T157&lt;TODAY(),"Overdue",
IF(AND(T157&gt;=TODAY()-WEEKDAY(TODAY(),2)+1,T157&lt;=TODAY()-WEEKDAY(TODAY(),2)+7),"Follow-This Week",
IF(AND(T157&gt;=TODAY()-WEEKDAY(TODAY(),2)+8,T157&lt;=TODAY()-WEEKDAY(TODAY(),2)+14),"Follow-Next Week","")))))</f>
        <v/>
      </c>
    </row>
    <row r="158" spans="1:27" s="70" customFormat="1" ht="11.5" x14ac:dyDescent="0.25">
      <c r="A158" s="187" t="s">
        <v>67</v>
      </c>
      <c r="B158" s="187" t="s">
        <v>34</v>
      </c>
      <c r="C158" s="187" t="s">
        <v>154</v>
      </c>
      <c r="D158" s="187" t="s">
        <v>1217</v>
      </c>
      <c r="E158" s="188">
        <f t="shared" si="428"/>
        <v>0.7</v>
      </c>
      <c r="F158" s="188">
        <f t="shared" si="429"/>
        <v>0.7</v>
      </c>
      <c r="G158" s="188">
        <f t="shared" si="430"/>
        <v>1</v>
      </c>
      <c r="H158" s="188">
        <f t="shared" si="431"/>
        <v>0.30000000000000004</v>
      </c>
      <c r="I158" s="189">
        <v>0.25</v>
      </c>
      <c r="J158" s="190">
        <f>J104+28</f>
        <v>46227</v>
      </c>
      <c r="K158" s="190">
        <f t="shared" si="432"/>
        <v>46227</v>
      </c>
      <c r="L158" s="190">
        <v>46269</v>
      </c>
      <c r="M158" s="190">
        <f t="shared" si="433"/>
        <v>46269</v>
      </c>
      <c r="N158" s="190">
        <f t="shared" si="434"/>
        <v>46269</v>
      </c>
      <c r="O158" s="190">
        <v>46283</v>
      </c>
      <c r="P158" s="190">
        <f t="shared" si="435"/>
        <v>46311</v>
      </c>
      <c r="Q158" s="190">
        <f t="shared" si="436"/>
        <v>46311</v>
      </c>
      <c r="R158" s="190">
        <v>46283</v>
      </c>
      <c r="S158" s="190">
        <f t="shared" si="437"/>
        <v>46325</v>
      </c>
      <c r="T158" s="190">
        <f t="shared" si="438"/>
        <v>46325</v>
      </c>
      <c r="U158" s="190">
        <v>46283</v>
      </c>
      <c r="V158" s="225"/>
      <c r="X158" s="168" t="str">
        <f t="shared" ca="1" si="450"/>
        <v>Completed</v>
      </c>
      <c r="Y158" s="168" t="str">
        <f t="shared" ca="1" si="351"/>
        <v>Completed</v>
      </c>
      <c r="Z158" s="168" t="str">
        <f t="shared" ca="1" si="352"/>
        <v>Completed</v>
      </c>
      <c r="AA158" s="169" t="str">
        <f t="shared" ca="1" si="353"/>
        <v>Completed</v>
      </c>
    </row>
    <row r="159" spans="1:27" s="70" customFormat="1" ht="11.5" x14ac:dyDescent="0.25">
      <c r="A159" s="111" t="s">
        <v>67</v>
      </c>
      <c r="B159" s="111" t="s">
        <v>34</v>
      </c>
      <c r="C159" s="111" t="s">
        <v>154</v>
      </c>
      <c r="D159" s="111" t="s">
        <v>1216</v>
      </c>
      <c r="E159" s="112">
        <f t="shared" ref="E159" si="521">(COUNTIFS(J159,"&lt;="&amp;$C$1)*50%)+(COUNTIFS(M159,"&lt;="&amp;$C$1)*20%)+(COUNTIFS(P159,"&lt;="&amp;$C$1)*10%)+(COUNTIFS(S159,"&lt;="&amp;$C$1)*20%)</f>
        <v>0.7</v>
      </c>
      <c r="F159" s="112">
        <f t="shared" ref="F159" si="522">(COUNTIFS(K159,"&lt;="&amp;$C$1)*50%)+(COUNTIFS(N159,"&lt;="&amp;$C$1)*20%)+(COUNTIFS(Q159,"&lt;="&amp;$C$1)*10%)+(COUNTIFS(T159,"&lt;="&amp;$C$1)*20%)</f>
        <v>0.7</v>
      </c>
      <c r="G159" s="112">
        <f t="shared" si="430"/>
        <v>0.7</v>
      </c>
      <c r="H159" s="112">
        <f t="shared" ref="H159" si="523">G159-E159</f>
        <v>0</v>
      </c>
      <c r="I159" s="113">
        <v>0.25</v>
      </c>
      <c r="J159" s="114">
        <v>46227</v>
      </c>
      <c r="K159" s="114">
        <v>46227</v>
      </c>
      <c r="L159" s="114">
        <v>46269</v>
      </c>
      <c r="M159" s="114">
        <v>46269</v>
      </c>
      <c r="N159" s="114">
        <v>46269</v>
      </c>
      <c r="O159" s="114">
        <v>46283</v>
      </c>
      <c r="P159" s="114">
        <v>46311</v>
      </c>
      <c r="Q159" s="114">
        <v>46311</v>
      </c>
      <c r="R159" s="114"/>
      <c r="S159" s="114">
        <v>46325</v>
      </c>
      <c r="T159" s="114">
        <v>46325</v>
      </c>
      <c r="U159" s="114"/>
      <c r="V159" s="226"/>
      <c r="X159" s="168" t="str">
        <f t="shared" ca="1" si="450"/>
        <v>Completed</v>
      </c>
      <c r="Y159" s="168" t="str">
        <f t="shared" ca="1" si="351"/>
        <v>Completed</v>
      </c>
      <c r="Z159" s="168" t="str">
        <f t="shared" ca="1" si="352"/>
        <v>Follow-Next Week</v>
      </c>
      <c r="AA159" s="169" t="str">
        <f t="shared" ca="1" si="353"/>
        <v/>
      </c>
    </row>
    <row r="160" spans="1:27" s="70" customFormat="1" ht="11.5" x14ac:dyDescent="0.25">
      <c r="A160" s="111" t="s">
        <v>67</v>
      </c>
      <c r="B160" s="111" t="s">
        <v>34</v>
      </c>
      <c r="C160" s="111" t="s">
        <v>155</v>
      </c>
      <c r="D160" s="111" t="s">
        <v>156</v>
      </c>
      <c r="E160" s="112">
        <f t="shared" si="428"/>
        <v>0.5</v>
      </c>
      <c r="F160" s="112">
        <f t="shared" si="429"/>
        <v>0.5</v>
      </c>
      <c r="G160" s="112">
        <f t="shared" si="430"/>
        <v>0.7</v>
      </c>
      <c r="H160" s="112">
        <f t="shared" si="431"/>
        <v>0.19999999999999996</v>
      </c>
      <c r="I160" s="113">
        <v>0.5</v>
      </c>
      <c r="J160" s="114">
        <f>J105+28</f>
        <v>46283</v>
      </c>
      <c r="K160" s="114">
        <f t="shared" si="432"/>
        <v>46283</v>
      </c>
      <c r="L160" s="143">
        <v>46161</v>
      </c>
      <c r="M160" s="114">
        <f t="shared" si="433"/>
        <v>46325</v>
      </c>
      <c r="N160" s="114">
        <f t="shared" si="434"/>
        <v>46325</v>
      </c>
      <c r="O160" s="114">
        <v>46262</v>
      </c>
      <c r="P160" s="114">
        <f t="shared" si="435"/>
        <v>46367</v>
      </c>
      <c r="Q160" s="114">
        <f t="shared" si="436"/>
        <v>46367</v>
      </c>
      <c r="R160" s="114"/>
      <c r="S160" s="114">
        <f t="shared" si="437"/>
        <v>46381</v>
      </c>
      <c r="T160" s="114">
        <f t="shared" si="438"/>
        <v>46381</v>
      </c>
      <c r="U160" s="114"/>
      <c r="V160" s="226"/>
      <c r="X160" s="168" t="str">
        <f t="shared" ca="1" si="450"/>
        <v>Completed</v>
      </c>
      <c r="Y160" s="168" t="str">
        <f t="shared" ca="1" si="351"/>
        <v>Completed</v>
      </c>
      <c r="Z160" s="168" t="str">
        <f t="shared" ca="1" si="352"/>
        <v/>
      </c>
      <c r="AA160" s="169" t="str">
        <f t="shared" ca="1" si="353"/>
        <v/>
      </c>
    </row>
    <row r="161" spans="1:27" s="70" customFormat="1" ht="11.5" x14ac:dyDescent="0.25">
      <c r="A161" s="111" t="s">
        <v>67</v>
      </c>
      <c r="B161" s="111" t="s">
        <v>34</v>
      </c>
      <c r="C161" s="111" t="s">
        <v>801</v>
      </c>
      <c r="D161" s="111" t="s">
        <v>157</v>
      </c>
      <c r="E161" s="112">
        <f t="shared" si="428"/>
        <v>0.79999999999999993</v>
      </c>
      <c r="F161" s="112">
        <f t="shared" si="429"/>
        <v>0.79999999999999993</v>
      </c>
      <c r="G161" s="112">
        <f t="shared" si="430"/>
        <v>0.7</v>
      </c>
      <c r="H161" s="112">
        <f t="shared" si="431"/>
        <v>-9.9999999999999978E-2</v>
      </c>
      <c r="I161" s="113">
        <v>0.55000000000000004</v>
      </c>
      <c r="J161" s="114">
        <f>J106+28</f>
        <v>46220</v>
      </c>
      <c r="K161" s="114">
        <f t="shared" si="432"/>
        <v>46220</v>
      </c>
      <c r="L161" s="114">
        <v>46255</v>
      </c>
      <c r="M161" s="114">
        <f t="shared" si="433"/>
        <v>46262</v>
      </c>
      <c r="N161" s="114">
        <f t="shared" si="434"/>
        <v>46262</v>
      </c>
      <c r="O161" s="115">
        <v>46276</v>
      </c>
      <c r="P161" s="114">
        <f t="shared" si="435"/>
        <v>46304</v>
      </c>
      <c r="Q161" s="114">
        <f t="shared" si="436"/>
        <v>46304</v>
      </c>
      <c r="R161" s="115"/>
      <c r="S161" s="114">
        <f t="shared" si="437"/>
        <v>46318</v>
      </c>
      <c r="T161" s="114">
        <f t="shared" si="438"/>
        <v>46318</v>
      </c>
      <c r="U161" s="115"/>
      <c r="V161" s="227"/>
      <c r="X161" s="168" t="str">
        <f t="shared" ca="1" si="450"/>
        <v>Completed</v>
      </c>
      <c r="Y161" s="168" t="str">
        <f t="shared" ca="1" si="351"/>
        <v>Completed</v>
      </c>
      <c r="Z161" s="168" t="str">
        <f t="shared" ca="1" si="352"/>
        <v>Overdue</v>
      </c>
      <c r="AA161" s="169" t="str">
        <f t="shared" ca="1" si="353"/>
        <v/>
      </c>
    </row>
    <row r="162" spans="1:27" s="70" customFormat="1" ht="11.5" x14ac:dyDescent="0.25">
      <c r="A162" s="111" t="s">
        <v>67</v>
      </c>
      <c r="B162" s="111" t="s">
        <v>34</v>
      </c>
      <c r="C162" s="111" t="s">
        <v>802</v>
      </c>
      <c r="D162" s="111" t="s">
        <v>158</v>
      </c>
      <c r="E162" s="112">
        <f t="shared" si="428"/>
        <v>0.7</v>
      </c>
      <c r="F162" s="112">
        <f t="shared" si="429"/>
        <v>0.7</v>
      </c>
      <c r="G162" s="112">
        <f t="shared" si="430"/>
        <v>0.79999999999999993</v>
      </c>
      <c r="H162" s="112">
        <f t="shared" si="431"/>
        <v>9.9999999999999978E-2</v>
      </c>
      <c r="I162" s="113">
        <v>0.55000000000000004</v>
      </c>
      <c r="J162" s="114">
        <f>J108+28</f>
        <v>46227</v>
      </c>
      <c r="K162" s="114">
        <f t="shared" si="432"/>
        <v>46227</v>
      </c>
      <c r="L162" s="114">
        <v>46175</v>
      </c>
      <c r="M162" s="114">
        <f t="shared" si="433"/>
        <v>46269</v>
      </c>
      <c r="N162" s="114">
        <f t="shared" si="434"/>
        <v>46269</v>
      </c>
      <c r="O162" s="114">
        <v>46255</v>
      </c>
      <c r="P162" s="114">
        <f t="shared" si="435"/>
        <v>46311</v>
      </c>
      <c r="Q162" s="114">
        <f t="shared" si="436"/>
        <v>46311</v>
      </c>
      <c r="R162" s="160">
        <v>46300</v>
      </c>
      <c r="S162" s="114">
        <f t="shared" si="437"/>
        <v>46325</v>
      </c>
      <c r="T162" s="114">
        <f t="shared" si="438"/>
        <v>46325</v>
      </c>
      <c r="U162" s="114"/>
      <c r="V162" s="226"/>
      <c r="X162" s="168" t="str">
        <f t="shared" ca="1" si="450"/>
        <v>Completed</v>
      </c>
      <c r="Y162" s="168" t="str">
        <f t="shared" ca="1" si="351"/>
        <v>Completed</v>
      </c>
      <c r="Z162" s="168" t="str">
        <f t="shared" ca="1" si="352"/>
        <v>Completed</v>
      </c>
      <c r="AA162" s="169" t="str">
        <f t="shared" ca="1" si="353"/>
        <v/>
      </c>
    </row>
    <row r="163" spans="1:27" s="70" customFormat="1" ht="11.5" x14ac:dyDescent="0.25">
      <c r="A163" s="111" t="s">
        <v>67</v>
      </c>
      <c r="B163" s="111" t="s">
        <v>34</v>
      </c>
      <c r="C163" s="111" t="s">
        <v>803</v>
      </c>
      <c r="D163" s="111" t="s">
        <v>159</v>
      </c>
      <c r="E163" s="112">
        <f t="shared" si="428"/>
        <v>0.7</v>
      </c>
      <c r="F163" s="112">
        <f t="shared" si="429"/>
        <v>0.7</v>
      </c>
      <c r="G163" s="112">
        <f t="shared" si="430"/>
        <v>0.79999999999999993</v>
      </c>
      <c r="H163" s="112">
        <f t="shared" si="431"/>
        <v>9.9999999999999978E-2</v>
      </c>
      <c r="I163" s="113">
        <v>0.75</v>
      </c>
      <c r="J163" s="114">
        <f>J109+28</f>
        <v>46248</v>
      </c>
      <c r="K163" s="114">
        <f t="shared" si="432"/>
        <v>46248</v>
      </c>
      <c r="L163" s="115">
        <v>46248</v>
      </c>
      <c r="M163" s="114">
        <f t="shared" si="433"/>
        <v>46290</v>
      </c>
      <c r="N163" s="114">
        <f t="shared" si="434"/>
        <v>46290</v>
      </c>
      <c r="O163" s="115">
        <v>46252</v>
      </c>
      <c r="P163" s="114">
        <f t="shared" si="435"/>
        <v>46332</v>
      </c>
      <c r="Q163" s="114">
        <f t="shared" si="436"/>
        <v>46332</v>
      </c>
      <c r="R163" s="114">
        <v>46293</v>
      </c>
      <c r="S163" s="114">
        <f t="shared" si="437"/>
        <v>46346</v>
      </c>
      <c r="T163" s="114">
        <f t="shared" si="438"/>
        <v>46346</v>
      </c>
      <c r="U163" s="114"/>
      <c r="V163" s="226"/>
      <c r="X163" s="168" t="str">
        <f t="shared" ca="1" si="450"/>
        <v>Completed</v>
      </c>
      <c r="Y163" s="168" t="str">
        <f t="shared" ca="1" si="351"/>
        <v>Completed</v>
      </c>
      <c r="Z163" s="168" t="str">
        <f t="shared" ca="1" si="352"/>
        <v>Completed</v>
      </c>
      <c r="AA163" s="169" t="str">
        <f t="shared" ca="1" si="353"/>
        <v/>
      </c>
    </row>
    <row r="164" spans="1:27" s="70" customFormat="1" ht="11.5" x14ac:dyDescent="0.25">
      <c r="A164" s="187" t="s">
        <v>67</v>
      </c>
      <c r="B164" s="187" t="s">
        <v>34</v>
      </c>
      <c r="C164" s="187" t="s">
        <v>160</v>
      </c>
      <c r="D164" s="187" t="s">
        <v>1244</v>
      </c>
      <c r="E164" s="188">
        <f t="shared" si="428"/>
        <v>1</v>
      </c>
      <c r="F164" s="188">
        <f t="shared" si="429"/>
        <v>1</v>
      </c>
      <c r="G164" s="188">
        <f t="shared" si="430"/>
        <v>1</v>
      </c>
      <c r="H164" s="188">
        <f t="shared" si="431"/>
        <v>0</v>
      </c>
      <c r="I164" s="189">
        <v>0.5</v>
      </c>
      <c r="J164" s="190">
        <f>J111+28</f>
        <v>46171</v>
      </c>
      <c r="K164" s="190">
        <f t="shared" si="432"/>
        <v>46171</v>
      </c>
      <c r="L164" s="190">
        <v>46130</v>
      </c>
      <c r="M164" s="190">
        <f t="shared" si="433"/>
        <v>46213</v>
      </c>
      <c r="N164" s="190">
        <f t="shared" si="434"/>
        <v>46213</v>
      </c>
      <c r="O164" s="190">
        <v>46230</v>
      </c>
      <c r="P164" s="190">
        <f t="shared" si="435"/>
        <v>46255</v>
      </c>
      <c r="Q164" s="190">
        <f t="shared" si="436"/>
        <v>46255</v>
      </c>
      <c r="R164" s="190">
        <v>46283</v>
      </c>
      <c r="S164" s="190">
        <f t="shared" si="437"/>
        <v>46269</v>
      </c>
      <c r="T164" s="190">
        <f t="shared" si="438"/>
        <v>46269</v>
      </c>
      <c r="U164" s="190">
        <v>46304</v>
      </c>
      <c r="V164" s="225"/>
      <c r="X164" s="168" t="str">
        <f t="shared" ca="1" si="450"/>
        <v>Completed</v>
      </c>
      <c r="Y164" s="168" t="str">
        <f t="shared" ca="1" si="351"/>
        <v>Completed</v>
      </c>
      <c r="Z164" s="168" t="str">
        <f t="shared" ca="1" si="352"/>
        <v>Completed</v>
      </c>
      <c r="AA164" s="169" t="str">
        <f t="shared" ca="1" si="353"/>
        <v>Completed</v>
      </c>
    </row>
    <row r="165" spans="1:27" s="70" customFormat="1" ht="11.5" x14ac:dyDescent="0.25">
      <c r="A165" s="111" t="s">
        <v>67</v>
      </c>
      <c r="B165" s="111" t="s">
        <v>34</v>
      </c>
      <c r="C165" s="111" t="s">
        <v>160</v>
      </c>
      <c r="D165" s="111" t="s">
        <v>1245</v>
      </c>
      <c r="E165" s="112">
        <f t="shared" ref="E165" si="524">(COUNTIFS(J165,"&lt;="&amp;$C$1)*50%)+(COUNTIFS(M165,"&lt;="&amp;$C$1)*20%)+(COUNTIFS(P165,"&lt;="&amp;$C$1)*10%)+(COUNTIFS(S165,"&lt;="&amp;$C$1)*20%)</f>
        <v>1</v>
      </c>
      <c r="F165" s="112">
        <f t="shared" ref="F165" si="525">(COUNTIFS(K165,"&lt;="&amp;$C$1)*50%)+(COUNTIFS(N165,"&lt;="&amp;$C$1)*20%)+(COUNTIFS(Q165,"&lt;="&amp;$C$1)*10%)+(COUNTIFS(T165,"&lt;="&amp;$C$1)*20%)</f>
        <v>1</v>
      </c>
      <c r="G165" s="112">
        <f t="shared" ref="G165" si="526">(COUNTIFS(L165,"&lt;="&amp;$C$1)*50%)+(COUNTIFS(O165,"&lt;="&amp;$C$1)*20%)+(COUNTIFS(R165,"&lt;="&amp;$C$1)*10%)+(COUNTIFS(U165,"&lt;="&amp;$C$1)*20%)</f>
        <v>0.79999999999999993</v>
      </c>
      <c r="H165" s="112">
        <f t="shared" ref="H165" si="527">G165-E165</f>
        <v>-0.20000000000000007</v>
      </c>
      <c r="I165" s="113">
        <v>0.5</v>
      </c>
      <c r="J165" s="114">
        <f>J112+28</f>
        <v>46171</v>
      </c>
      <c r="K165" s="114">
        <f t="shared" ref="K165" si="528">J165</f>
        <v>46171</v>
      </c>
      <c r="L165" s="114">
        <v>46130</v>
      </c>
      <c r="M165" s="114">
        <f t="shared" ref="M165" si="529">J165+42</f>
        <v>46213</v>
      </c>
      <c r="N165" s="114">
        <f t="shared" ref="N165" si="530">M165</f>
        <v>46213</v>
      </c>
      <c r="O165" s="114">
        <v>46230</v>
      </c>
      <c r="P165" s="114">
        <f t="shared" ref="P165" si="531">M165+42</f>
        <v>46255</v>
      </c>
      <c r="Q165" s="114">
        <f t="shared" ref="Q165" si="532">P165</f>
        <v>46255</v>
      </c>
      <c r="R165" s="114">
        <v>46283</v>
      </c>
      <c r="S165" s="114">
        <f t="shared" ref="S165" si="533">P165+14</f>
        <v>46269</v>
      </c>
      <c r="T165" s="114">
        <f t="shared" ref="T165" si="534">S165</f>
        <v>46269</v>
      </c>
      <c r="U165" s="114"/>
      <c r="V165" s="226" t="s">
        <v>1231</v>
      </c>
      <c r="X165" s="168" t="str">
        <f t="shared" ref="X165" ca="1" si="535">IF(OR(L165&lt;&gt;""),"Completed",
IF(K165="","",IF(K165&lt;TODAY(),"Overdue",
IF(AND(K165&gt;=TODAY()-WEEKDAY(TODAY(),2)+1,K165&lt;=TODAY()-WEEKDAY(TODAY(),2)+7),"Follow-This Week",
IF(AND(K165&gt;=TODAY()-WEEKDAY(TODAY(),2)+8,K165&lt;=TODAY()-WEEKDAY(TODAY(),2)+14),"Follow-Next Week","")))))</f>
        <v>Completed</v>
      </c>
      <c r="Y165" s="168" t="str">
        <f t="shared" ref="Y165" ca="1" si="536">IF(OR(O165&lt;&gt;""),"Completed",IF(N165="","",
IF(N165&lt;TODAY(),"Overdue",
IF(AND(N165&gt;=TODAY()-WEEKDAY(TODAY(),2)+1,N165&lt;=TODAY()-WEEKDAY(TODAY(),2)+7),"Follow-This Week",
IF(AND(N165&gt;=TODAY()-WEEKDAY(TODAY(),2)+8,N165&lt;=TODAY()-WEEKDAY(TODAY(),2)+14),"Follow-Next Week","")))))</f>
        <v>Completed</v>
      </c>
      <c r="Z165" s="168" t="str">
        <f t="shared" ref="Z165" ca="1" si="537">IF(OR(R165&lt;&gt;""),"Completed",IF(Q165="","",
IF(Q165&lt;TODAY(),"Overdue",
IF(AND(Q165&gt;=TODAY()-WEEKDAY(TODAY(),2)+1,Q165&lt;=TODAY()-WEEKDAY(TODAY(),2)+7),"Follow-This Week",
IF(AND(Q165&gt;=TODAY()-WEEKDAY(TODAY(),2)+8,Q165&lt;=TODAY()-WEEKDAY(TODAY(),2)+14),"Follow-Next Week","")))))</f>
        <v>Completed</v>
      </c>
      <c r="AA165" s="169" t="str">
        <f t="shared" ref="AA165" ca="1" si="538">IF(OR(U165&lt;&gt;""),"Completed",IF(T165="","",
IF(T165&lt;TODAY(),"Overdue",
IF(AND(T165&gt;=TODAY()-WEEKDAY(TODAY(),2)+1,T165&lt;=TODAY()-WEEKDAY(TODAY(),2)+7),"Follow-This Week",
IF(AND(T165&gt;=TODAY()-WEEKDAY(TODAY(),2)+8,T165&lt;=TODAY()-WEEKDAY(TODAY(),2)+14),"Follow-Next Week","")))))</f>
        <v>Overdue</v>
      </c>
    </row>
    <row r="166" spans="1:27" s="70" customFormat="1" ht="11.5" x14ac:dyDescent="0.25">
      <c r="A166" s="111" t="s">
        <v>67</v>
      </c>
      <c r="B166" s="111" t="s">
        <v>34</v>
      </c>
      <c r="C166" s="111" t="s">
        <v>161</v>
      </c>
      <c r="D166" s="111" t="s">
        <v>162</v>
      </c>
      <c r="E166" s="112">
        <f t="shared" si="428"/>
        <v>0.7</v>
      </c>
      <c r="F166" s="112">
        <f t="shared" si="429"/>
        <v>0.7</v>
      </c>
      <c r="G166" s="112">
        <f t="shared" si="430"/>
        <v>0.7</v>
      </c>
      <c r="H166" s="112">
        <f t="shared" si="431"/>
        <v>0</v>
      </c>
      <c r="I166" s="113">
        <v>0.5</v>
      </c>
      <c r="J166" s="114">
        <f>J113+28</f>
        <v>46234</v>
      </c>
      <c r="K166" s="114">
        <f t="shared" si="432"/>
        <v>46234</v>
      </c>
      <c r="L166" s="114">
        <v>46230</v>
      </c>
      <c r="M166" s="114">
        <f t="shared" si="433"/>
        <v>46276</v>
      </c>
      <c r="N166" s="114">
        <f t="shared" si="434"/>
        <v>46276</v>
      </c>
      <c r="O166" s="115">
        <v>46248</v>
      </c>
      <c r="P166" s="114">
        <f t="shared" si="435"/>
        <v>46318</v>
      </c>
      <c r="Q166" s="114">
        <f t="shared" si="436"/>
        <v>46318</v>
      </c>
      <c r="R166" s="114"/>
      <c r="S166" s="114">
        <f t="shared" si="437"/>
        <v>46332</v>
      </c>
      <c r="T166" s="114">
        <f t="shared" si="438"/>
        <v>46332</v>
      </c>
      <c r="U166" s="114"/>
      <c r="V166" s="226"/>
      <c r="X166" s="168" t="str">
        <f t="shared" ca="1" si="450"/>
        <v>Completed</v>
      </c>
      <c r="Y166" s="168" t="str">
        <f t="shared" ca="1" si="351"/>
        <v>Completed</v>
      </c>
      <c r="Z166" s="168" t="str">
        <f t="shared" ca="1" si="352"/>
        <v/>
      </c>
      <c r="AA166" s="169" t="str">
        <f t="shared" ca="1" si="353"/>
        <v/>
      </c>
    </row>
    <row r="167" spans="1:27" s="70" customFormat="1" ht="11.5" x14ac:dyDescent="0.25">
      <c r="A167" s="111" t="s">
        <v>67</v>
      </c>
      <c r="B167" s="111" t="s">
        <v>34</v>
      </c>
      <c r="C167" s="111" t="s">
        <v>163</v>
      </c>
      <c r="D167" s="111" t="s">
        <v>164</v>
      </c>
      <c r="E167" s="112">
        <f t="shared" si="428"/>
        <v>0.7</v>
      </c>
      <c r="F167" s="112">
        <f t="shared" si="429"/>
        <v>0.7</v>
      </c>
      <c r="G167" s="112">
        <f t="shared" si="430"/>
        <v>0.7</v>
      </c>
      <c r="H167" s="112">
        <f t="shared" si="431"/>
        <v>0</v>
      </c>
      <c r="I167" s="113">
        <v>0.5</v>
      </c>
      <c r="J167" s="114">
        <f>J114+28</f>
        <v>46241</v>
      </c>
      <c r="K167" s="114">
        <f t="shared" si="432"/>
        <v>46241</v>
      </c>
      <c r="L167" s="114">
        <v>46230</v>
      </c>
      <c r="M167" s="114">
        <f t="shared" si="433"/>
        <v>46283</v>
      </c>
      <c r="N167" s="114">
        <f t="shared" si="434"/>
        <v>46283</v>
      </c>
      <c r="O167" s="115">
        <v>46248</v>
      </c>
      <c r="P167" s="114">
        <f t="shared" si="435"/>
        <v>46325</v>
      </c>
      <c r="Q167" s="114">
        <f t="shared" si="436"/>
        <v>46325</v>
      </c>
      <c r="R167" s="114"/>
      <c r="S167" s="114">
        <f t="shared" si="437"/>
        <v>46339</v>
      </c>
      <c r="T167" s="114">
        <f t="shared" si="438"/>
        <v>46339</v>
      </c>
      <c r="U167" s="114"/>
      <c r="V167" s="226"/>
      <c r="X167" s="168" t="str">
        <f t="shared" ca="1" si="450"/>
        <v>Completed</v>
      </c>
      <c r="Y167" s="168" t="str">
        <f t="shared" ref="Y167:Y231" ca="1" si="539">IF(OR(O167&lt;&gt;""),"Completed",IF(N167="","",
IF(N167&lt;TODAY(),"Overdue",
IF(AND(N167&gt;=TODAY()-WEEKDAY(TODAY(),2)+1,N167&lt;=TODAY()-WEEKDAY(TODAY(),2)+7),"Follow-This Week",
IF(AND(N167&gt;=TODAY()-WEEKDAY(TODAY(),2)+8,N167&lt;=TODAY()-WEEKDAY(TODAY(),2)+14),"Follow-Next Week","")))))</f>
        <v>Completed</v>
      </c>
      <c r="Z167" s="168" t="str">
        <f t="shared" ref="Z167:Z231" ca="1" si="540">IF(OR(R167&lt;&gt;""),"Completed",IF(Q167="","",
IF(Q167&lt;TODAY(),"Overdue",
IF(AND(Q167&gt;=TODAY()-WEEKDAY(TODAY(),2)+1,Q167&lt;=TODAY()-WEEKDAY(TODAY(),2)+7),"Follow-This Week",
IF(AND(Q167&gt;=TODAY()-WEEKDAY(TODAY(),2)+8,Q167&lt;=TODAY()-WEEKDAY(TODAY(),2)+14),"Follow-Next Week","")))))</f>
        <v/>
      </c>
      <c r="AA167" s="169" t="str">
        <f t="shared" ref="AA167:AA231" ca="1" si="541">IF(OR(U167&lt;&gt;""),"Completed",IF(T167="","",
IF(T167&lt;TODAY(),"Overdue",
IF(AND(T167&gt;=TODAY()-WEEKDAY(TODAY(),2)+1,T167&lt;=TODAY()-WEEKDAY(TODAY(),2)+7),"Follow-This Week",
IF(AND(T167&gt;=TODAY()-WEEKDAY(TODAY(),2)+8,T167&lt;=TODAY()-WEEKDAY(TODAY(),2)+14),"Follow-Next Week","")))))</f>
        <v/>
      </c>
    </row>
    <row r="168" spans="1:27" s="70" customFormat="1" ht="11.5" x14ac:dyDescent="0.25">
      <c r="A168" s="187" t="s">
        <v>67</v>
      </c>
      <c r="B168" s="187" t="s">
        <v>34</v>
      </c>
      <c r="C168" s="187" t="s">
        <v>792</v>
      </c>
      <c r="D168" s="187" t="s">
        <v>1153</v>
      </c>
      <c r="E168" s="112">
        <f t="shared" ref="E168:E171" si="542">(COUNTIFS(J168,"&lt;="&amp;$C$1)*50%)+(COUNTIFS(M168,"&lt;="&amp;$C$1)*20%)+(COUNTIFS(P168,"&lt;="&amp;$C$1)*10%)+(COUNTIFS(S168,"&lt;="&amp;$C$1)*20%)</f>
        <v>1</v>
      </c>
      <c r="F168" s="112">
        <f t="shared" ref="F168:F171" si="543">(COUNTIFS(K168,"&lt;="&amp;$C$1)*50%)+(COUNTIFS(N168,"&lt;="&amp;$C$1)*20%)+(COUNTIFS(Q168,"&lt;="&amp;$C$1)*10%)+(COUNTIFS(T168,"&lt;="&amp;$C$1)*20%)</f>
        <v>1</v>
      </c>
      <c r="G168" s="112">
        <f t="shared" si="430"/>
        <v>1</v>
      </c>
      <c r="H168" s="112">
        <f t="shared" ref="H168:H171" si="544">G168-E168</f>
        <v>0</v>
      </c>
      <c r="I168" s="189">
        <v>0.4</v>
      </c>
      <c r="J168" s="190">
        <v>46122</v>
      </c>
      <c r="K168" s="190">
        <f t="shared" ref="K168:K170" si="545">J168</f>
        <v>46122</v>
      </c>
      <c r="L168" s="190">
        <v>46115</v>
      </c>
      <c r="M168" s="190">
        <f t="shared" ref="M168:M170" si="546">J168+42</f>
        <v>46164</v>
      </c>
      <c r="N168" s="190">
        <f t="shared" ref="N168:N170" si="547">M168</f>
        <v>46164</v>
      </c>
      <c r="O168" s="190">
        <v>46191</v>
      </c>
      <c r="P168" s="190">
        <f t="shared" ref="P168:P170" si="548">M168+42</f>
        <v>46206</v>
      </c>
      <c r="Q168" s="190">
        <f t="shared" ref="Q168:Q170" si="549">P168</f>
        <v>46206</v>
      </c>
      <c r="R168" s="190">
        <v>46276</v>
      </c>
      <c r="S168" s="190">
        <f t="shared" ref="S168:S170" si="550">P168+14</f>
        <v>46220</v>
      </c>
      <c r="T168" s="190">
        <f t="shared" ref="T168:T170" si="551">S168</f>
        <v>46220</v>
      </c>
      <c r="U168" s="190">
        <v>46276</v>
      </c>
      <c r="V168" s="225"/>
      <c r="X168" s="168" t="str">
        <f t="shared" ca="1" si="450"/>
        <v>Completed</v>
      </c>
      <c r="Y168" s="168" t="str">
        <f t="shared" ca="1" si="539"/>
        <v>Completed</v>
      </c>
      <c r="Z168" s="168" t="str">
        <f t="shared" ca="1" si="540"/>
        <v>Completed</v>
      </c>
      <c r="AA168" s="169" t="str">
        <f t="shared" ca="1" si="541"/>
        <v>Completed</v>
      </c>
    </row>
    <row r="169" spans="1:27" s="70" customFormat="1" ht="11.5" x14ac:dyDescent="0.25">
      <c r="A169" s="187" t="s">
        <v>67</v>
      </c>
      <c r="B169" s="187" t="s">
        <v>34</v>
      </c>
      <c r="C169" s="187" t="s">
        <v>793</v>
      </c>
      <c r="D169" s="187" t="s">
        <v>1154</v>
      </c>
      <c r="E169" s="112">
        <f t="shared" si="542"/>
        <v>1</v>
      </c>
      <c r="F169" s="112">
        <f t="shared" si="543"/>
        <v>1</v>
      </c>
      <c r="G169" s="112">
        <f t="shared" si="430"/>
        <v>1</v>
      </c>
      <c r="H169" s="112">
        <f t="shared" si="544"/>
        <v>0</v>
      </c>
      <c r="I169" s="189">
        <v>0.4</v>
      </c>
      <c r="J169" s="190">
        <v>46129</v>
      </c>
      <c r="K169" s="190">
        <f t="shared" si="545"/>
        <v>46129</v>
      </c>
      <c r="L169" s="190">
        <v>46142</v>
      </c>
      <c r="M169" s="190">
        <f t="shared" si="546"/>
        <v>46171</v>
      </c>
      <c r="N169" s="190">
        <f t="shared" si="547"/>
        <v>46171</v>
      </c>
      <c r="O169" s="190">
        <v>46191</v>
      </c>
      <c r="P169" s="190">
        <f t="shared" si="548"/>
        <v>46213</v>
      </c>
      <c r="Q169" s="190">
        <f t="shared" si="549"/>
        <v>46213</v>
      </c>
      <c r="R169" s="190">
        <v>46276</v>
      </c>
      <c r="S169" s="190">
        <f t="shared" si="550"/>
        <v>46227</v>
      </c>
      <c r="T169" s="190">
        <f t="shared" si="551"/>
        <v>46227</v>
      </c>
      <c r="U169" s="190">
        <v>46276</v>
      </c>
      <c r="V169" s="225"/>
      <c r="X169" s="168" t="str">
        <f t="shared" ca="1" si="450"/>
        <v>Completed</v>
      </c>
      <c r="Y169" s="168" t="str">
        <f t="shared" ca="1" si="539"/>
        <v>Completed</v>
      </c>
      <c r="Z169" s="168" t="str">
        <f t="shared" ca="1" si="540"/>
        <v>Completed</v>
      </c>
      <c r="AA169" s="169" t="str">
        <f t="shared" ca="1" si="541"/>
        <v>Completed</v>
      </c>
    </row>
    <row r="170" spans="1:27" s="70" customFormat="1" ht="11.5" x14ac:dyDescent="0.25">
      <c r="A170" s="187" t="s">
        <v>67</v>
      </c>
      <c r="B170" s="187" t="s">
        <v>34</v>
      </c>
      <c r="C170" s="187" t="s">
        <v>794</v>
      </c>
      <c r="D170" s="187" t="s">
        <v>1155</v>
      </c>
      <c r="E170" s="112">
        <f t="shared" si="542"/>
        <v>1</v>
      </c>
      <c r="F170" s="112">
        <f t="shared" si="543"/>
        <v>1</v>
      </c>
      <c r="G170" s="112">
        <f t="shared" si="430"/>
        <v>1</v>
      </c>
      <c r="H170" s="112">
        <f t="shared" si="544"/>
        <v>0</v>
      </c>
      <c r="I170" s="189">
        <v>0.2</v>
      </c>
      <c r="J170" s="190">
        <v>46142</v>
      </c>
      <c r="K170" s="190">
        <f t="shared" si="545"/>
        <v>46142</v>
      </c>
      <c r="L170" s="190">
        <v>46248</v>
      </c>
      <c r="M170" s="190">
        <f t="shared" si="546"/>
        <v>46184</v>
      </c>
      <c r="N170" s="190">
        <f t="shared" si="547"/>
        <v>46184</v>
      </c>
      <c r="O170" s="190">
        <v>46248</v>
      </c>
      <c r="P170" s="190">
        <f t="shared" si="548"/>
        <v>46226</v>
      </c>
      <c r="Q170" s="190">
        <f t="shared" si="549"/>
        <v>46226</v>
      </c>
      <c r="R170" s="190">
        <v>46248</v>
      </c>
      <c r="S170" s="190">
        <f t="shared" si="550"/>
        <v>46240</v>
      </c>
      <c r="T170" s="190">
        <f t="shared" si="551"/>
        <v>46240</v>
      </c>
      <c r="U170" s="190">
        <v>46248</v>
      </c>
      <c r="V170" s="225"/>
      <c r="X170" s="168" t="str">
        <f t="shared" ca="1" si="450"/>
        <v>Completed</v>
      </c>
      <c r="Y170" s="168" t="str">
        <f t="shared" ca="1" si="539"/>
        <v>Completed</v>
      </c>
      <c r="Z170" s="168" t="str">
        <f t="shared" ca="1" si="540"/>
        <v>Completed</v>
      </c>
      <c r="AA170" s="169" t="str">
        <f t="shared" ca="1" si="541"/>
        <v>Completed</v>
      </c>
    </row>
    <row r="171" spans="1:27" s="70" customFormat="1" ht="11.5" x14ac:dyDescent="0.25">
      <c r="A171" s="187" t="s">
        <v>67</v>
      </c>
      <c r="B171" s="187" t="s">
        <v>34</v>
      </c>
      <c r="C171" s="187" t="s">
        <v>794</v>
      </c>
      <c r="D171" s="187" t="s">
        <v>1156</v>
      </c>
      <c r="E171" s="112">
        <f t="shared" si="542"/>
        <v>1</v>
      </c>
      <c r="F171" s="112">
        <f t="shared" si="543"/>
        <v>1</v>
      </c>
      <c r="G171" s="112">
        <f t="shared" si="430"/>
        <v>1</v>
      </c>
      <c r="H171" s="112">
        <f t="shared" si="544"/>
        <v>0</v>
      </c>
      <c r="I171" s="189"/>
      <c r="J171" s="190">
        <v>46142</v>
      </c>
      <c r="K171" s="190">
        <f t="shared" ref="K171" si="552">J171</f>
        <v>46142</v>
      </c>
      <c r="L171" s="190">
        <v>46276</v>
      </c>
      <c r="M171" s="190">
        <f t="shared" ref="M171" si="553">J171+42</f>
        <v>46184</v>
      </c>
      <c r="N171" s="190">
        <f t="shared" ref="N171" si="554">M171</f>
        <v>46184</v>
      </c>
      <c r="O171" s="190">
        <v>46276</v>
      </c>
      <c r="P171" s="190">
        <f t="shared" ref="P171" si="555">M171+42</f>
        <v>46226</v>
      </c>
      <c r="Q171" s="190">
        <f t="shared" ref="Q171" si="556">P171</f>
        <v>46226</v>
      </c>
      <c r="R171" s="190">
        <v>46276</v>
      </c>
      <c r="S171" s="190">
        <f t="shared" ref="S171" si="557">P171+14</f>
        <v>46240</v>
      </c>
      <c r="T171" s="190">
        <f t="shared" ref="T171" si="558">S171</f>
        <v>46240</v>
      </c>
      <c r="U171" s="190">
        <v>46276</v>
      </c>
      <c r="V171" s="225"/>
      <c r="X171" s="168" t="str">
        <f t="shared" ca="1" si="450"/>
        <v>Completed</v>
      </c>
      <c r="Y171" s="168" t="str">
        <f t="shared" ca="1" si="539"/>
        <v>Completed</v>
      </c>
      <c r="Z171" s="168" t="str">
        <f t="shared" ca="1" si="540"/>
        <v>Completed</v>
      </c>
      <c r="AA171" s="169" t="str">
        <f t="shared" ca="1" si="541"/>
        <v>Completed</v>
      </c>
    </row>
    <row r="172" spans="1:27" s="70" customFormat="1" ht="11.5" x14ac:dyDescent="0.25">
      <c r="A172" s="111" t="s">
        <v>67</v>
      </c>
      <c r="B172" s="111" t="s">
        <v>34</v>
      </c>
      <c r="C172" s="138" t="s">
        <v>847</v>
      </c>
      <c r="D172" s="111" t="s">
        <v>849</v>
      </c>
      <c r="E172" s="112">
        <v>0</v>
      </c>
      <c r="F172" s="112">
        <v>0</v>
      </c>
      <c r="G172" s="112">
        <v>0.5</v>
      </c>
      <c r="H172" s="112">
        <v>0.5</v>
      </c>
      <c r="I172" s="113">
        <v>0.2</v>
      </c>
      <c r="J172" s="114">
        <v>46157</v>
      </c>
      <c r="K172" s="114">
        <v>46157</v>
      </c>
      <c r="L172" s="114">
        <v>46150</v>
      </c>
      <c r="M172" s="114">
        <v>46199</v>
      </c>
      <c r="N172" s="114">
        <v>46199</v>
      </c>
      <c r="O172" s="114">
        <v>46191</v>
      </c>
      <c r="P172" s="114">
        <v>46241</v>
      </c>
      <c r="Q172" s="114">
        <v>46241</v>
      </c>
      <c r="R172" s="114">
        <v>46227</v>
      </c>
      <c r="S172" s="114">
        <v>46255</v>
      </c>
      <c r="T172" s="114">
        <v>46255</v>
      </c>
      <c r="U172" s="114">
        <v>46239</v>
      </c>
      <c r="V172" s="226"/>
      <c r="X172" s="168" t="str">
        <f t="shared" ca="1" si="450"/>
        <v>Completed</v>
      </c>
      <c r="Y172" s="168" t="str">
        <f t="shared" ca="1" si="539"/>
        <v>Completed</v>
      </c>
      <c r="Z172" s="168" t="str">
        <f t="shared" ca="1" si="540"/>
        <v>Completed</v>
      </c>
      <c r="AA172" s="169" t="str">
        <f t="shared" ca="1" si="541"/>
        <v>Completed</v>
      </c>
    </row>
    <row r="173" spans="1:27" s="70" customFormat="1" ht="11.5" x14ac:dyDescent="0.25">
      <c r="A173" s="111" t="s">
        <v>67</v>
      </c>
      <c r="B173" s="138" t="s">
        <v>34</v>
      </c>
      <c r="C173" s="138" t="s">
        <v>848</v>
      </c>
      <c r="D173" s="111" t="s">
        <v>850</v>
      </c>
      <c r="E173" s="112">
        <v>0</v>
      </c>
      <c r="F173" s="112">
        <v>0</v>
      </c>
      <c r="G173" s="112">
        <v>0.5</v>
      </c>
      <c r="H173" s="112">
        <v>0.5</v>
      </c>
      <c r="I173" s="113">
        <v>0.2</v>
      </c>
      <c r="J173" s="114">
        <v>46157</v>
      </c>
      <c r="K173" s="114">
        <v>46157</v>
      </c>
      <c r="L173" s="114">
        <v>46150</v>
      </c>
      <c r="M173" s="114">
        <v>46199</v>
      </c>
      <c r="N173" s="114">
        <v>46199</v>
      </c>
      <c r="O173" s="114">
        <v>46191</v>
      </c>
      <c r="P173" s="114">
        <v>46241</v>
      </c>
      <c r="Q173" s="114">
        <v>46241</v>
      </c>
      <c r="R173" s="114">
        <v>46227</v>
      </c>
      <c r="S173" s="114">
        <v>46255</v>
      </c>
      <c r="T173" s="114">
        <v>46255</v>
      </c>
      <c r="U173" s="114">
        <v>46239</v>
      </c>
      <c r="V173" s="226"/>
      <c r="X173" s="168" t="str">
        <f t="shared" ca="1" si="450"/>
        <v>Completed</v>
      </c>
      <c r="Y173" s="168" t="str">
        <f t="shared" ca="1" si="539"/>
        <v>Completed</v>
      </c>
      <c r="Z173" s="168" t="str">
        <f t="shared" ca="1" si="540"/>
        <v>Completed</v>
      </c>
      <c r="AA173" s="169" t="str">
        <f t="shared" ca="1" si="541"/>
        <v>Completed</v>
      </c>
    </row>
    <row r="174" spans="1:27" s="70" customFormat="1" ht="11.5" x14ac:dyDescent="0.25">
      <c r="A174" s="111" t="s">
        <v>67</v>
      </c>
      <c r="B174" s="111" t="s">
        <v>34</v>
      </c>
      <c r="C174" s="138" t="s">
        <v>841</v>
      </c>
      <c r="D174" s="139" t="s">
        <v>843</v>
      </c>
      <c r="E174" s="140">
        <v>0.5</v>
      </c>
      <c r="F174" s="140">
        <v>0.5</v>
      </c>
      <c r="G174" s="140">
        <v>0.5</v>
      </c>
      <c r="H174" s="140">
        <v>0</v>
      </c>
      <c r="I174" s="113">
        <v>0.2</v>
      </c>
      <c r="J174" s="141">
        <v>46143</v>
      </c>
      <c r="K174" s="141">
        <v>46143</v>
      </c>
      <c r="L174" s="114">
        <v>46142</v>
      </c>
      <c r="M174" s="114">
        <v>46185</v>
      </c>
      <c r="N174" s="114">
        <v>46185</v>
      </c>
      <c r="O174" s="114">
        <v>46191</v>
      </c>
      <c r="P174" s="114">
        <v>46227</v>
      </c>
      <c r="Q174" s="114">
        <v>46227</v>
      </c>
      <c r="R174" s="115">
        <v>46202</v>
      </c>
      <c r="S174" s="114">
        <v>46241</v>
      </c>
      <c r="T174" s="114">
        <v>46241</v>
      </c>
      <c r="U174" s="141">
        <v>46209</v>
      </c>
      <c r="V174" s="228"/>
      <c r="X174" s="168" t="str">
        <f t="shared" ca="1" si="450"/>
        <v>Completed</v>
      </c>
      <c r="Y174" s="168" t="str">
        <f t="shared" ca="1" si="539"/>
        <v>Completed</v>
      </c>
      <c r="Z174" s="168" t="str">
        <f t="shared" ca="1" si="540"/>
        <v>Completed</v>
      </c>
      <c r="AA174" s="169" t="str">
        <f t="shared" ca="1" si="541"/>
        <v>Completed</v>
      </c>
    </row>
    <row r="175" spans="1:27" s="70" customFormat="1" ht="11.5" x14ac:dyDescent="0.25">
      <c r="A175" s="111" t="s">
        <v>67</v>
      </c>
      <c r="B175" s="138" t="s">
        <v>34</v>
      </c>
      <c r="C175" s="138" t="s">
        <v>842</v>
      </c>
      <c r="D175" s="139" t="s">
        <v>844</v>
      </c>
      <c r="E175" s="112">
        <v>0.5</v>
      </c>
      <c r="F175" s="112">
        <v>0.5</v>
      </c>
      <c r="G175" s="112">
        <v>0.5</v>
      </c>
      <c r="H175" s="112">
        <v>0</v>
      </c>
      <c r="I175" s="113">
        <v>0.2</v>
      </c>
      <c r="J175" s="141">
        <v>46143</v>
      </c>
      <c r="K175" s="141">
        <v>46143</v>
      </c>
      <c r="L175" s="114">
        <v>46142</v>
      </c>
      <c r="M175" s="114">
        <v>46185</v>
      </c>
      <c r="N175" s="114">
        <v>46185</v>
      </c>
      <c r="O175" s="114">
        <v>46191</v>
      </c>
      <c r="P175" s="114">
        <v>46227</v>
      </c>
      <c r="Q175" s="114">
        <v>46227</v>
      </c>
      <c r="R175" s="114">
        <v>46254</v>
      </c>
      <c r="S175" s="114">
        <v>46241</v>
      </c>
      <c r="T175" s="114">
        <v>46241</v>
      </c>
      <c r="U175" s="141">
        <v>46269</v>
      </c>
      <c r="V175" s="228"/>
      <c r="X175" s="168" t="str">
        <f t="shared" ca="1" si="450"/>
        <v>Completed</v>
      </c>
      <c r="Y175" s="168" t="str">
        <f t="shared" ca="1" si="539"/>
        <v>Completed</v>
      </c>
      <c r="Z175" s="168" t="str">
        <f t="shared" ca="1" si="540"/>
        <v>Completed</v>
      </c>
      <c r="AA175" s="169" t="str">
        <f t="shared" ca="1" si="541"/>
        <v>Completed</v>
      </c>
    </row>
    <row r="176" spans="1:27" s="70" customFormat="1" ht="11.5" x14ac:dyDescent="0.25">
      <c r="A176" s="111" t="s">
        <v>67</v>
      </c>
      <c r="B176" s="111" t="s">
        <v>34</v>
      </c>
      <c r="C176" s="138" t="s">
        <v>845</v>
      </c>
      <c r="D176" s="139" t="s">
        <v>846</v>
      </c>
      <c r="E176" s="112">
        <v>0</v>
      </c>
      <c r="F176" s="112">
        <v>0</v>
      </c>
      <c r="G176" s="112">
        <v>0.5</v>
      </c>
      <c r="H176" s="112">
        <v>0.5</v>
      </c>
      <c r="I176" s="113">
        <v>0.2</v>
      </c>
      <c r="J176" s="141">
        <v>46157</v>
      </c>
      <c r="K176" s="141">
        <v>46157</v>
      </c>
      <c r="L176" s="114">
        <v>46150</v>
      </c>
      <c r="M176" s="114">
        <v>46199</v>
      </c>
      <c r="N176" s="114">
        <v>46199</v>
      </c>
      <c r="O176" s="114">
        <v>46191</v>
      </c>
      <c r="P176" s="114">
        <v>46241</v>
      </c>
      <c r="Q176" s="114">
        <v>46241</v>
      </c>
      <c r="R176" s="115">
        <v>46204</v>
      </c>
      <c r="S176" s="114">
        <v>46255</v>
      </c>
      <c r="T176" s="114">
        <v>46255</v>
      </c>
      <c r="U176" s="141">
        <v>46223</v>
      </c>
      <c r="V176" s="228"/>
      <c r="X176" s="168" t="str">
        <f t="shared" ca="1" si="450"/>
        <v>Completed</v>
      </c>
      <c r="Y176" s="168" t="str">
        <f t="shared" ca="1" si="539"/>
        <v>Completed</v>
      </c>
      <c r="Z176" s="168" t="str">
        <f t="shared" ca="1" si="540"/>
        <v>Completed</v>
      </c>
      <c r="AA176" s="169" t="str">
        <f t="shared" ca="1" si="541"/>
        <v>Completed</v>
      </c>
    </row>
    <row r="177" spans="1:27" s="70" customFormat="1" ht="11.5" x14ac:dyDescent="0.25">
      <c r="A177" s="111" t="s">
        <v>67</v>
      </c>
      <c r="B177" s="111" t="s">
        <v>34</v>
      </c>
      <c r="C177" s="138" t="s">
        <v>857</v>
      </c>
      <c r="D177" s="139" t="s">
        <v>858</v>
      </c>
      <c r="E177" s="112">
        <v>0</v>
      </c>
      <c r="F177" s="112">
        <v>0</v>
      </c>
      <c r="G177" s="112">
        <v>0.5</v>
      </c>
      <c r="H177" s="112">
        <v>0.5</v>
      </c>
      <c r="I177" s="113">
        <v>0.5</v>
      </c>
      <c r="J177" s="141">
        <f>J124+28</f>
        <v>46241</v>
      </c>
      <c r="K177" s="141">
        <f>K124+28</f>
        <v>46241</v>
      </c>
      <c r="L177" s="114">
        <v>46171</v>
      </c>
      <c r="M177" s="114">
        <f>J177+42</f>
        <v>46283</v>
      </c>
      <c r="N177" s="114">
        <f>K177+42</f>
        <v>46283</v>
      </c>
      <c r="O177" s="114">
        <v>46262</v>
      </c>
      <c r="P177" s="114">
        <f>M177+42</f>
        <v>46325</v>
      </c>
      <c r="Q177" s="114">
        <f>N177+42</f>
        <v>46325</v>
      </c>
      <c r="R177" s="114"/>
      <c r="S177" s="114">
        <f>P177+14</f>
        <v>46339</v>
      </c>
      <c r="T177" s="114">
        <f>Q177+14</f>
        <v>46339</v>
      </c>
      <c r="U177" s="141"/>
      <c r="V177" s="228"/>
      <c r="X177" s="168" t="str">
        <f t="shared" ca="1" si="450"/>
        <v>Completed</v>
      </c>
      <c r="Y177" s="168" t="str">
        <f t="shared" ca="1" si="539"/>
        <v>Completed</v>
      </c>
      <c r="Z177" s="168" t="str">
        <f t="shared" ca="1" si="540"/>
        <v/>
      </c>
      <c r="AA177" s="169" t="str">
        <f t="shared" ca="1" si="541"/>
        <v/>
      </c>
    </row>
    <row r="178" spans="1:27" s="70" customFormat="1" ht="11.5" x14ac:dyDescent="0.25">
      <c r="A178" s="111" t="s">
        <v>67</v>
      </c>
      <c r="B178" s="111" t="s">
        <v>34</v>
      </c>
      <c r="C178" s="111" t="s">
        <v>897</v>
      </c>
      <c r="D178" s="111" t="s">
        <v>898</v>
      </c>
      <c r="E178" s="112">
        <v>0</v>
      </c>
      <c r="F178" s="112">
        <v>0</v>
      </c>
      <c r="G178" s="112">
        <v>0.5</v>
      </c>
      <c r="H178" s="112">
        <v>0.5</v>
      </c>
      <c r="I178" s="113"/>
      <c r="J178" s="141">
        <f>J125+28</f>
        <v>46358</v>
      </c>
      <c r="K178" s="141">
        <f>K125+28</f>
        <v>46358</v>
      </c>
      <c r="L178" s="114">
        <v>46289</v>
      </c>
      <c r="M178" s="114">
        <f>J178+42</f>
        <v>46400</v>
      </c>
      <c r="N178" s="114">
        <f>K178+42</f>
        <v>46400</v>
      </c>
      <c r="O178" s="114"/>
      <c r="P178" s="114">
        <f>M178+42</f>
        <v>46442</v>
      </c>
      <c r="Q178" s="114">
        <f t="shared" ref="Q178" si="559">N178+14</f>
        <v>46414</v>
      </c>
      <c r="R178" s="114"/>
      <c r="S178" s="114">
        <f>P178+14</f>
        <v>46456</v>
      </c>
      <c r="T178" s="114">
        <f t="shared" ref="T178" si="560">Q178+14</f>
        <v>46428</v>
      </c>
      <c r="U178" s="141"/>
      <c r="V178" s="228"/>
      <c r="X178" s="168" t="str">
        <f t="shared" ca="1" si="450"/>
        <v>Completed</v>
      </c>
      <c r="Y178" s="168" t="str">
        <f t="shared" ca="1" si="539"/>
        <v/>
      </c>
      <c r="Z178" s="168" t="str">
        <f t="shared" ca="1" si="540"/>
        <v/>
      </c>
      <c r="AA178" s="169" t="str">
        <f t="shared" ca="1" si="541"/>
        <v/>
      </c>
    </row>
    <row r="179" spans="1:27" s="70" customFormat="1" ht="11.5" x14ac:dyDescent="0.25">
      <c r="A179" s="71" t="s">
        <v>67</v>
      </c>
      <c r="B179" s="71" t="s">
        <v>34</v>
      </c>
      <c r="C179" s="71" t="s">
        <v>922</v>
      </c>
      <c r="D179" s="71" t="s">
        <v>779</v>
      </c>
      <c r="E179" s="81">
        <f t="shared" si="428"/>
        <v>0</v>
      </c>
      <c r="F179" s="81">
        <f t="shared" si="429"/>
        <v>0</v>
      </c>
      <c r="G179" s="81">
        <f>(COUNTIFS(L179,"&lt;="&amp;$C$1)*50%)+(COUNTIFS(O179,"&lt;="&amp;$C$1)*20%)+(COUNTIFS(R179,"&lt;="&amp;$C$1)*10%)+(COUNTIFS(U179,"&lt;="&amp;$C$1)*20%)</f>
        <v>0</v>
      </c>
      <c r="H179" s="81">
        <f t="shared" si="431"/>
        <v>0</v>
      </c>
      <c r="I179" s="82">
        <v>0.2</v>
      </c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212"/>
      <c r="X179" s="168" t="str">
        <f t="shared" ca="1" si="450"/>
        <v/>
      </c>
      <c r="Y179" s="168" t="str">
        <f t="shared" ca="1" si="539"/>
        <v/>
      </c>
      <c r="Z179" s="168" t="str">
        <f t="shared" ca="1" si="540"/>
        <v/>
      </c>
      <c r="AA179" s="169" t="str">
        <f t="shared" ca="1" si="541"/>
        <v/>
      </c>
    </row>
    <row r="180" spans="1:27" s="70" customFormat="1" ht="11.5" x14ac:dyDescent="0.25">
      <c r="A180" s="71" t="s">
        <v>67</v>
      </c>
      <c r="B180" s="71" t="s">
        <v>34</v>
      </c>
      <c r="C180" s="71" t="s">
        <v>923</v>
      </c>
      <c r="D180" s="71" t="s">
        <v>780</v>
      </c>
      <c r="E180" s="81">
        <f t="shared" si="428"/>
        <v>0</v>
      </c>
      <c r="F180" s="81">
        <f t="shared" si="429"/>
        <v>0</v>
      </c>
      <c r="G180" s="81">
        <f>(COUNTIFS(L180,"&lt;="&amp;$C$1)*50%)+(COUNTIFS(O180,"&lt;="&amp;$C$1)*20%)+(COUNTIFS(R180,"&lt;="&amp;$C$1)*10%)+(COUNTIFS(U180,"&lt;="&amp;$C$1)*20%)</f>
        <v>0</v>
      </c>
      <c r="H180" s="81">
        <f t="shared" si="431"/>
        <v>0</v>
      </c>
      <c r="I180" s="82">
        <v>0.4</v>
      </c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212"/>
      <c r="X180" s="168" t="str">
        <f t="shared" ca="1" si="450"/>
        <v/>
      </c>
      <c r="Y180" s="168" t="str">
        <f t="shared" ca="1" si="539"/>
        <v/>
      </c>
      <c r="Z180" s="168" t="str">
        <f t="shared" ca="1" si="540"/>
        <v/>
      </c>
      <c r="AA180" s="169" t="str">
        <f t="shared" ca="1" si="541"/>
        <v/>
      </c>
    </row>
    <row r="181" spans="1:27" s="70" customFormat="1" ht="11.5" x14ac:dyDescent="0.25">
      <c r="A181" s="71" t="s">
        <v>67</v>
      </c>
      <c r="B181" s="71" t="s">
        <v>34</v>
      </c>
      <c r="C181" s="71" t="s">
        <v>924</v>
      </c>
      <c r="D181" s="71" t="s">
        <v>781</v>
      </c>
      <c r="E181" s="81">
        <f t="shared" si="428"/>
        <v>0</v>
      </c>
      <c r="F181" s="81">
        <f t="shared" si="429"/>
        <v>0</v>
      </c>
      <c r="G181" s="81">
        <f>(COUNTIFS(L181,"&lt;="&amp;$C$1)*50%)+(COUNTIFS(O181,"&lt;="&amp;$C$1)*20%)+(COUNTIFS(R181,"&lt;="&amp;$C$1)*10%)+(COUNTIFS(U181,"&lt;="&amp;$C$1)*20%)</f>
        <v>0</v>
      </c>
      <c r="H181" s="81">
        <f t="shared" si="431"/>
        <v>0</v>
      </c>
      <c r="I181" s="82">
        <v>0.4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212"/>
      <c r="X181" s="168" t="str">
        <f t="shared" ca="1" si="450"/>
        <v/>
      </c>
      <c r="Y181" s="168" t="str">
        <f t="shared" ca="1" si="539"/>
        <v/>
      </c>
      <c r="Z181" s="168" t="str">
        <f t="shared" ca="1" si="540"/>
        <v/>
      </c>
      <c r="AA181" s="169" t="str">
        <f t="shared" ca="1" si="541"/>
        <v/>
      </c>
    </row>
    <row r="182" spans="1:27" s="70" customFormat="1" ht="11.5" x14ac:dyDescent="0.25">
      <c r="A182" s="73"/>
      <c r="B182" s="73"/>
      <c r="C182" s="77"/>
      <c r="D182" s="78"/>
      <c r="E182" s="79"/>
      <c r="F182" s="79"/>
      <c r="G182" s="79"/>
      <c r="H182" s="79"/>
      <c r="I182" s="75"/>
      <c r="J182" s="76"/>
      <c r="K182" s="76"/>
      <c r="L182" s="76"/>
      <c r="M182" s="80"/>
      <c r="N182" s="76"/>
      <c r="O182" s="76"/>
      <c r="P182" s="80"/>
      <c r="Q182" s="76"/>
      <c r="R182" s="76"/>
      <c r="S182" s="80"/>
      <c r="T182" s="76"/>
      <c r="U182" s="76"/>
      <c r="V182" s="219"/>
      <c r="X182" s="168" t="str">
        <f t="shared" ca="1" si="450"/>
        <v/>
      </c>
      <c r="Y182" s="168" t="str">
        <f t="shared" ca="1" si="539"/>
        <v/>
      </c>
      <c r="Z182" s="168" t="str">
        <f t="shared" ca="1" si="540"/>
        <v/>
      </c>
      <c r="AA182" s="169" t="str">
        <f t="shared" ca="1" si="541"/>
        <v/>
      </c>
    </row>
    <row r="183" spans="1:27" s="70" customFormat="1" ht="11.5" x14ac:dyDescent="0.25">
      <c r="A183" s="71" t="s">
        <v>65</v>
      </c>
      <c r="B183" s="87" t="s">
        <v>34</v>
      </c>
      <c r="C183" s="87" t="s">
        <v>914</v>
      </c>
      <c r="D183" s="87" t="s">
        <v>56</v>
      </c>
      <c r="E183" s="81">
        <f t="shared" ref="E183:E187" si="561">(COUNTIFS(J183,"&lt;="&amp;$C$1)*50%)+(COUNTIFS(M183,"&lt;="&amp;$C$1)*20%)+(COUNTIFS(P183,"&lt;="&amp;$C$1)*10%)+(COUNTIFS(S183,"&lt;="&amp;$C$1)*20%)</f>
        <v>1</v>
      </c>
      <c r="F183" s="81">
        <f t="shared" ref="F183:F187" si="562">(COUNTIFS(K183,"&lt;="&amp;$C$1)*50%)+(COUNTIFS(N183,"&lt;="&amp;$C$1)*20%)+(COUNTIFS(Q183,"&lt;="&amp;$C$1)*10%)+(COUNTIFS(T183,"&lt;="&amp;$C$1)*20%)</f>
        <v>1</v>
      </c>
      <c r="G183" s="81">
        <f t="shared" ref="G183:G216" si="563">(COUNTIFS(L183,"&lt;="&amp;$C$1)*50%)+(COUNTIFS(O183,"&lt;="&amp;$C$1)*20%)+(COUNTIFS(R183,"&lt;="&amp;$C$1)*10%)+(COUNTIFS(U183,"&lt;="&amp;$C$1)*20%)</f>
        <v>1</v>
      </c>
      <c r="H183" s="81">
        <f t="shared" ref="H183:H187" si="564">G183-E183</f>
        <v>0</v>
      </c>
      <c r="I183" s="82">
        <v>0.2</v>
      </c>
      <c r="J183" s="85">
        <v>46115</v>
      </c>
      <c r="K183" s="85">
        <f t="shared" si="432"/>
        <v>46115</v>
      </c>
      <c r="L183" s="85">
        <v>46115</v>
      </c>
      <c r="M183" s="85">
        <f t="shared" si="433"/>
        <v>46157</v>
      </c>
      <c r="N183" s="85">
        <f t="shared" si="434"/>
        <v>46157</v>
      </c>
      <c r="O183" s="85">
        <v>46191</v>
      </c>
      <c r="P183" s="85">
        <f t="shared" si="435"/>
        <v>46199</v>
      </c>
      <c r="Q183" s="85">
        <f t="shared" si="436"/>
        <v>46199</v>
      </c>
      <c r="R183" s="85">
        <v>46219</v>
      </c>
      <c r="S183" s="85">
        <f t="shared" si="437"/>
        <v>46213</v>
      </c>
      <c r="T183" s="85">
        <f t="shared" si="438"/>
        <v>46213</v>
      </c>
      <c r="U183" s="85">
        <v>46262</v>
      </c>
      <c r="V183" s="212"/>
      <c r="X183" s="168" t="str">
        <f t="shared" ca="1" si="450"/>
        <v>Completed</v>
      </c>
      <c r="Y183" s="168" t="str">
        <f t="shared" ca="1" si="539"/>
        <v>Completed</v>
      </c>
      <c r="Z183" s="168" t="str">
        <f t="shared" ca="1" si="540"/>
        <v>Completed</v>
      </c>
      <c r="AA183" s="169" t="str">
        <f t="shared" ca="1" si="541"/>
        <v>Completed</v>
      </c>
    </row>
    <row r="184" spans="1:27" s="70" customFormat="1" ht="11.5" x14ac:dyDescent="0.25">
      <c r="A184" s="71" t="s">
        <v>65</v>
      </c>
      <c r="B184" s="87" t="s">
        <v>34</v>
      </c>
      <c r="C184" s="87" t="s">
        <v>915</v>
      </c>
      <c r="D184" s="87" t="s">
        <v>57</v>
      </c>
      <c r="E184" s="81">
        <f t="shared" si="561"/>
        <v>1</v>
      </c>
      <c r="F184" s="81">
        <f t="shared" si="562"/>
        <v>1</v>
      </c>
      <c r="G184" s="81">
        <f t="shared" si="563"/>
        <v>1</v>
      </c>
      <c r="H184" s="81">
        <f t="shared" si="564"/>
        <v>0</v>
      </c>
      <c r="I184" s="82">
        <v>0.2</v>
      </c>
      <c r="J184" s="85">
        <v>46115</v>
      </c>
      <c r="K184" s="85">
        <f t="shared" si="432"/>
        <v>46115</v>
      </c>
      <c r="L184" s="85">
        <v>46115</v>
      </c>
      <c r="M184" s="85">
        <f t="shared" si="433"/>
        <v>46157</v>
      </c>
      <c r="N184" s="85">
        <f t="shared" si="434"/>
        <v>46157</v>
      </c>
      <c r="O184" s="145">
        <v>46171</v>
      </c>
      <c r="P184" s="85">
        <f t="shared" si="435"/>
        <v>46199</v>
      </c>
      <c r="Q184" s="85">
        <f t="shared" si="436"/>
        <v>46199</v>
      </c>
      <c r="R184" s="85">
        <v>46199</v>
      </c>
      <c r="S184" s="85">
        <f t="shared" si="437"/>
        <v>46213</v>
      </c>
      <c r="T184" s="85">
        <f t="shared" si="438"/>
        <v>46213</v>
      </c>
      <c r="U184" s="85">
        <v>46204</v>
      </c>
      <c r="V184" s="212"/>
      <c r="X184" s="168" t="str">
        <f t="shared" ca="1" si="450"/>
        <v>Completed</v>
      </c>
      <c r="Y184" s="168" t="str">
        <f t="shared" ca="1" si="539"/>
        <v>Completed</v>
      </c>
      <c r="Z184" s="168" t="str">
        <f t="shared" ca="1" si="540"/>
        <v>Completed</v>
      </c>
      <c r="AA184" s="169" t="str">
        <f t="shared" ca="1" si="541"/>
        <v>Completed</v>
      </c>
    </row>
    <row r="185" spans="1:27" s="70" customFormat="1" ht="11.5" x14ac:dyDescent="0.25">
      <c r="A185" s="71" t="s">
        <v>65</v>
      </c>
      <c r="B185" s="87" t="s">
        <v>34</v>
      </c>
      <c r="C185" s="87" t="s">
        <v>916</v>
      </c>
      <c r="D185" s="87" t="s">
        <v>58</v>
      </c>
      <c r="E185" s="81">
        <f t="shared" si="561"/>
        <v>1</v>
      </c>
      <c r="F185" s="81">
        <f t="shared" si="562"/>
        <v>1</v>
      </c>
      <c r="G185" s="81">
        <f t="shared" si="563"/>
        <v>1</v>
      </c>
      <c r="H185" s="81">
        <f t="shared" si="564"/>
        <v>0</v>
      </c>
      <c r="I185" s="82">
        <v>0.2</v>
      </c>
      <c r="J185" s="85">
        <v>46115</v>
      </c>
      <c r="K185" s="85">
        <f t="shared" si="432"/>
        <v>46115</v>
      </c>
      <c r="L185" s="85">
        <v>46115</v>
      </c>
      <c r="M185" s="85">
        <f t="shared" si="433"/>
        <v>46157</v>
      </c>
      <c r="N185" s="85">
        <f t="shared" si="434"/>
        <v>46157</v>
      </c>
      <c r="O185" s="145">
        <v>46171</v>
      </c>
      <c r="P185" s="85">
        <f t="shared" si="435"/>
        <v>46199</v>
      </c>
      <c r="Q185" s="85">
        <f t="shared" si="436"/>
        <v>46199</v>
      </c>
      <c r="R185" s="85">
        <v>46219</v>
      </c>
      <c r="S185" s="85">
        <f t="shared" si="437"/>
        <v>46213</v>
      </c>
      <c r="T185" s="85">
        <f t="shared" si="438"/>
        <v>46213</v>
      </c>
      <c r="U185" s="85">
        <v>46233</v>
      </c>
      <c r="V185" s="212"/>
      <c r="X185" s="168" t="str">
        <f t="shared" ca="1" si="450"/>
        <v>Completed</v>
      </c>
      <c r="Y185" s="168" t="str">
        <f t="shared" ca="1" si="539"/>
        <v>Completed</v>
      </c>
      <c r="Z185" s="168" t="str">
        <f t="shared" ca="1" si="540"/>
        <v>Completed</v>
      </c>
      <c r="AA185" s="169" t="str">
        <f t="shared" ca="1" si="541"/>
        <v>Completed</v>
      </c>
    </row>
    <row r="186" spans="1:27" s="70" customFormat="1" ht="11.5" x14ac:dyDescent="0.25">
      <c r="A186" s="71" t="s">
        <v>65</v>
      </c>
      <c r="B186" s="87" t="s">
        <v>34</v>
      </c>
      <c r="C186" s="87" t="s">
        <v>917</v>
      </c>
      <c r="D186" s="87" t="s">
        <v>1103</v>
      </c>
      <c r="E186" s="81">
        <f t="shared" si="561"/>
        <v>1</v>
      </c>
      <c r="F186" s="81">
        <f t="shared" si="562"/>
        <v>1</v>
      </c>
      <c r="G186" s="81">
        <f t="shared" si="563"/>
        <v>1</v>
      </c>
      <c r="H186" s="81">
        <f t="shared" si="564"/>
        <v>0</v>
      </c>
      <c r="I186" s="82">
        <v>0.2</v>
      </c>
      <c r="J186" s="85">
        <v>46115</v>
      </c>
      <c r="K186" s="85">
        <f t="shared" si="432"/>
        <v>46115</v>
      </c>
      <c r="L186" s="85">
        <v>46115</v>
      </c>
      <c r="M186" s="85">
        <f t="shared" si="433"/>
        <v>46157</v>
      </c>
      <c r="N186" s="85">
        <f t="shared" si="434"/>
        <v>46157</v>
      </c>
      <c r="O186" s="145">
        <v>46171</v>
      </c>
      <c r="P186" s="85">
        <f t="shared" si="435"/>
        <v>46199</v>
      </c>
      <c r="Q186" s="85">
        <f t="shared" si="436"/>
        <v>46199</v>
      </c>
      <c r="R186" s="85">
        <v>46274</v>
      </c>
      <c r="S186" s="85">
        <f t="shared" si="437"/>
        <v>46213</v>
      </c>
      <c r="T186" s="85">
        <f t="shared" si="438"/>
        <v>46213</v>
      </c>
      <c r="U186" s="85">
        <v>46288</v>
      </c>
      <c r="V186" s="212"/>
      <c r="X186" s="168" t="str">
        <f t="shared" ca="1" si="450"/>
        <v>Completed</v>
      </c>
      <c r="Y186" s="168" t="str">
        <f t="shared" ca="1" si="539"/>
        <v>Completed</v>
      </c>
      <c r="Z186" s="168" t="str">
        <f t="shared" ca="1" si="540"/>
        <v>Completed</v>
      </c>
      <c r="AA186" s="169" t="str">
        <f t="shared" ca="1" si="541"/>
        <v>Completed</v>
      </c>
    </row>
    <row r="187" spans="1:27" s="70" customFormat="1" ht="11.5" x14ac:dyDescent="0.25">
      <c r="A187" s="71" t="s">
        <v>65</v>
      </c>
      <c r="B187" s="87" t="s">
        <v>34</v>
      </c>
      <c r="C187" s="87" t="s">
        <v>918</v>
      </c>
      <c r="D187" s="87" t="s">
        <v>59</v>
      </c>
      <c r="E187" s="81">
        <f t="shared" si="561"/>
        <v>1</v>
      </c>
      <c r="F187" s="81">
        <f t="shared" si="562"/>
        <v>1</v>
      </c>
      <c r="G187" s="81">
        <f t="shared" si="563"/>
        <v>1</v>
      </c>
      <c r="H187" s="81">
        <f t="shared" si="564"/>
        <v>0</v>
      </c>
      <c r="I187" s="82">
        <v>0.2</v>
      </c>
      <c r="J187" s="85">
        <v>46115</v>
      </c>
      <c r="K187" s="85">
        <f t="shared" si="432"/>
        <v>46115</v>
      </c>
      <c r="L187" s="85">
        <v>46115</v>
      </c>
      <c r="M187" s="85">
        <f t="shared" si="433"/>
        <v>46157</v>
      </c>
      <c r="N187" s="85">
        <f t="shared" si="434"/>
        <v>46157</v>
      </c>
      <c r="O187" s="85">
        <v>46199</v>
      </c>
      <c r="P187" s="85">
        <f t="shared" si="435"/>
        <v>46199</v>
      </c>
      <c r="Q187" s="85">
        <f t="shared" si="436"/>
        <v>46199</v>
      </c>
      <c r="R187" s="85">
        <v>46204</v>
      </c>
      <c r="S187" s="85">
        <f t="shared" si="437"/>
        <v>46213</v>
      </c>
      <c r="T187" s="85">
        <f t="shared" si="438"/>
        <v>46213</v>
      </c>
      <c r="U187" s="85">
        <v>46213</v>
      </c>
      <c r="V187" s="212"/>
      <c r="X187" s="168" t="str">
        <f t="shared" ca="1" si="450"/>
        <v>Completed</v>
      </c>
      <c r="Y187" s="168" t="str">
        <f t="shared" ca="1" si="539"/>
        <v>Completed</v>
      </c>
      <c r="Z187" s="168" t="str">
        <f t="shared" ca="1" si="540"/>
        <v>Completed</v>
      </c>
      <c r="AA187" s="169" t="str">
        <f t="shared" ca="1" si="541"/>
        <v>Completed</v>
      </c>
    </row>
    <row r="188" spans="1:27" s="70" customFormat="1" ht="11.5" x14ac:dyDescent="0.25">
      <c r="A188" s="120" t="s">
        <v>65</v>
      </c>
      <c r="B188" s="121" t="s">
        <v>34</v>
      </c>
      <c r="C188" s="121" t="s">
        <v>165</v>
      </c>
      <c r="D188" s="121" t="s">
        <v>166</v>
      </c>
      <c r="E188" s="122">
        <f t="shared" si="428"/>
        <v>1</v>
      </c>
      <c r="F188" s="122">
        <f t="shared" si="429"/>
        <v>1</v>
      </c>
      <c r="G188" s="122">
        <f t="shared" si="563"/>
        <v>0.7</v>
      </c>
      <c r="H188" s="122">
        <f t="shared" si="431"/>
        <v>-0.30000000000000004</v>
      </c>
      <c r="I188" s="123">
        <v>0.5</v>
      </c>
      <c r="J188" s="124">
        <f>K135+28</f>
        <v>46206</v>
      </c>
      <c r="K188" s="124">
        <f t="shared" si="432"/>
        <v>46206</v>
      </c>
      <c r="L188" s="144">
        <v>46162</v>
      </c>
      <c r="M188" s="124">
        <f t="shared" si="433"/>
        <v>46248</v>
      </c>
      <c r="N188" s="124">
        <f t="shared" si="434"/>
        <v>46248</v>
      </c>
      <c r="O188" s="124">
        <v>46297</v>
      </c>
      <c r="P188" s="124">
        <f t="shared" si="435"/>
        <v>46290</v>
      </c>
      <c r="Q188" s="124">
        <f t="shared" si="436"/>
        <v>46290</v>
      </c>
      <c r="R188" s="124"/>
      <c r="S188" s="124">
        <f t="shared" si="437"/>
        <v>46304</v>
      </c>
      <c r="T188" s="124">
        <f t="shared" si="438"/>
        <v>46304</v>
      </c>
      <c r="U188" s="124"/>
      <c r="V188" s="229"/>
      <c r="X188" s="168" t="str">
        <f t="shared" ca="1" si="450"/>
        <v>Completed</v>
      </c>
      <c r="Y188" s="168" t="str">
        <f t="shared" ca="1" si="539"/>
        <v>Completed</v>
      </c>
      <c r="Z188" s="168" t="str">
        <f t="shared" ca="1" si="540"/>
        <v>Overdue</v>
      </c>
      <c r="AA188" s="169" t="str">
        <f t="shared" ca="1" si="541"/>
        <v>Overdue</v>
      </c>
    </row>
    <row r="189" spans="1:27" s="70" customFormat="1" ht="11.5" x14ac:dyDescent="0.25">
      <c r="A189" s="120" t="s">
        <v>65</v>
      </c>
      <c r="B189" s="121" t="s">
        <v>34</v>
      </c>
      <c r="C189" s="121" t="s">
        <v>167</v>
      </c>
      <c r="D189" s="121" t="s">
        <v>168</v>
      </c>
      <c r="E189" s="122">
        <f t="shared" si="428"/>
        <v>0.79999999999999993</v>
      </c>
      <c r="F189" s="122">
        <f t="shared" si="429"/>
        <v>0.79999999999999993</v>
      </c>
      <c r="G189" s="122">
        <f t="shared" si="563"/>
        <v>0.7</v>
      </c>
      <c r="H189" s="122">
        <f t="shared" si="431"/>
        <v>-9.9999999999999978E-2</v>
      </c>
      <c r="I189" s="123">
        <v>0.5</v>
      </c>
      <c r="J189" s="124">
        <f>K137+28</f>
        <v>46220</v>
      </c>
      <c r="K189" s="124">
        <f t="shared" si="432"/>
        <v>46220</v>
      </c>
      <c r="L189" s="126">
        <v>46237</v>
      </c>
      <c r="M189" s="124">
        <f t="shared" si="433"/>
        <v>46262</v>
      </c>
      <c r="N189" s="124">
        <f t="shared" si="434"/>
        <v>46262</v>
      </c>
      <c r="O189" s="124">
        <v>46275</v>
      </c>
      <c r="P189" s="124">
        <f t="shared" si="435"/>
        <v>46304</v>
      </c>
      <c r="Q189" s="124">
        <f t="shared" si="436"/>
        <v>46304</v>
      </c>
      <c r="R189" s="124"/>
      <c r="S189" s="124">
        <f t="shared" si="437"/>
        <v>46318</v>
      </c>
      <c r="T189" s="124">
        <f t="shared" si="438"/>
        <v>46318</v>
      </c>
      <c r="U189" s="124"/>
      <c r="V189" s="229"/>
      <c r="X189" s="168" t="str">
        <f t="shared" ca="1" si="450"/>
        <v>Completed</v>
      </c>
      <c r="Y189" s="168" t="str">
        <f t="shared" ca="1" si="539"/>
        <v>Completed</v>
      </c>
      <c r="Z189" s="168" t="str">
        <f t="shared" ca="1" si="540"/>
        <v>Overdue</v>
      </c>
      <c r="AA189" s="169" t="str">
        <f t="shared" ca="1" si="541"/>
        <v/>
      </c>
    </row>
    <row r="190" spans="1:27" s="70" customFormat="1" ht="11.5" x14ac:dyDescent="0.25">
      <c r="A190" s="120" t="s">
        <v>65</v>
      </c>
      <c r="B190" s="120" t="s">
        <v>34</v>
      </c>
      <c r="C190" s="120" t="s">
        <v>169</v>
      </c>
      <c r="D190" s="120" t="s">
        <v>170</v>
      </c>
      <c r="E190" s="122">
        <f t="shared" si="428"/>
        <v>0.7</v>
      </c>
      <c r="F190" s="122">
        <f t="shared" si="429"/>
        <v>0.7</v>
      </c>
      <c r="G190" s="122">
        <f t="shared" si="563"/>
        <v>0.7</v>
      </c>
      <c r="H190" s="122">
        <f t="shared" si="431"/>
        <v>0</v>
      </c>
      <c r="I190" s="123">
        <v>0.5</v>
      </c>
      <c r="J190" s="124">
        <f>K139+28</f>
        <v>46227</v>
      </c>
      <c r="K190" s="124">
        <f t="shared" si="432"/>
        <v>46227</v>
      </c>
      <c r="L190" s="124">
        <v>46175</v>
      </c>
      <c r="M190" s="124">
        <f t="shared" si="433"/>
        <v>46269</v>
      </c>
      <c r="N190" s="124">
        <f t="shared" si="434"/>
        <v>46269</v>
      </c>
      <c r="O190" s="124">
        <v>46262</v>
      </c>
      <c r="P190" s="124">
        <f t="shared" si="435"/>
        <v>46311</v>
      </c>
      <c r="Q190" s="124">
        <f t="shared" si="436"/>
        <v>46311</v>
      </c>
      <c r="R190" s="124"/>
      <c r="S190" s="124">
        <f t="shared" si="437"/>
        <v>46325</v>
      </c>
      <c r="T190" s="124">
        <f t="shared" si="438"/>
        <v>46325</v>
      </c>
      <c r="U190" s="124"/>
      <c r="V190" s="229"/>
      <c r="X190" s="168" t="str">
        <f t="shared" ca="1" si="450"/>
        <v>Completed</v>
      </c>
      <c r="Y190" s="168" t="str">
        <f t="shared" ca="1" si="539"/>
        <v>Completed</v>
      </c>
      <c r="Z190" s="168" t="str">
        <f t="shared" ca="1" si="540"/>
        <v>Follow-Next Week</v>
      </c>
      <c r="AA190" s="169" t="str">
        <f t="shared" ca="1" si="541"/>
        <v/>
      </c>
    </row>
    <row r="191" spans="1:27" s="70" customFormat="1" ht="11.5" x14ac:dyDescent="0.25">
      <c r="A191" s="120" t="s">
        <v>65</v>
      </c>
      <c r="B191" s="120" t="s">
        <v>34</v>
      </c>
      <c r="C191" s="120" t="s">
        <v>171</v>
      </c>
      <c r="D191" s="120" t="s">
        <v>172</v>
      </c>
      <c r="E191" s="122">
        <f t="shared" si="428"/>
        <v>0.7</v>
      </c>
      <c r="F191" s="122">
        <f t="shared" si="429"/>
        <v>0.7</v>
      </c>
      <c r="G191" s="122">
        <f t="shared" si="563"/>
        <v>0.79999999999999993</v>
      </c>
      <c r="H191" s="122">
        <f t="shared" si="431"/>
        <v>9.9999999999999978E-2</v>
      </c>
      <c r="I191" s="123">
        <v>0.5</v>
      </c>
      <c r="J191" s="124">
        <f>K141+28</f>
        <v>46234</v>
      </c>
      <c r="K191" s="124">
        <f t="shared" si="432"/>
        <v>46234</v>
      </c>
      <c r="L191" s="124">
        <v>46175</v>
      </c>
      <c r="M191" s="124">
        <f t="shared" si="433"/>
        <v>46276</v>
      </c>
      <c r="N191" s="124">
        <f t="shared" si="434"/>
        <v>46276</v>
      </c>
      <c r="O191" s="124">
        <v>46297</v>
      </c>
      <c r="P191" s="124">
        <f t="shared" si="435"/>
        <v>46318</v>
      </c>
      <c r="Q191" s="124">
        <f t="shared" si="436"/>
        <v>46318</v>
      </c>
      <c r="R191" s="160">
        <v>46300</v>
      </c>
      <c r="S191" s="124">
        <f t="shared" si="437"/>
        <v>46332</v>
      </c>
      <c r="T191" s="124">
        <f t="shared" si="438"/>
        <v>46332</v>
      </c>
      <c r="U191" s="124"/>
      <c r="V191" s="229"/>
      <c r="X191" s="168" t="str">
        <f t="shared" ca="1" si="450"/>
        <v>Completed</v>
      </c>
      <c r="Y191" s="168" t="str">
        <f t="shared" ca="1" si="539"/>
        <v>Completed</v>
      </c>
      <c r="Z191" s="168" t="str">
        <f t="shared" ca="1" si="540"/>
        <v>Completed</v>
      </c>
      <c r="AA191" s="169" t="str">
        <f t="shared" ca="1" si="541"/>
        <v/>
      </c>
    </row>
    <row r="192" spans="1:27" s="70" customFormat="1" ht="11.5" x14ac:dyDescent="0.25">
      <c r="A192" s="120" t="s">
        <v>65</v>
      </c>
      <c r="B192" s="120" t="s">
        <v>34</v>
      </c>
      <c r="C192" s="120" t="s">
        <v>173</v>
      </c>
      <c r="D192" s="120" t="s">
        <v>174</v>
      </c>
      <c r="E192" s="122">
        <f t="shared" si="428"/>
        <v>0.7</v>
      </c>
      <c r="F192" s="122">
        <f t="shared" si="429"/>
        <v>0.7</v>
      </c>
      <c r="G192" s="122">
        <f t="shared" si="563"/>
        <v>0.7</v>
      </c>
      <c r="H192" s="122">
        <f t="shared" si="431"/>
        <v>0</v>
      </c>
      <c r="I192" s="123">
        <v>0.5</v>
      </c>
      <c r="J192" s="124">
        <f>K143+28</f>
        <v>46248</v>
      </c>
      <c r="K192" s="124">
        <f t="shared" si="432"/>
        <v>46248</v>
      </c>
      <c r="L192" s="144">
        <v>46162</v>
      </c>
      <c r="M192" s="124">
        <f t="shared" si="433"/>
        <v>46290</v>
      </c>
      <c r="N192" s="124">
        <f t="shared" si="434"/>
        <v>46290</v>
      </c>
      <c r="O192" s="124">
        <v>46279</v>
      </c>
      <c r="P192" s="124">
        <f t="shared" si="435"/>
        <v>46332</v>
      </c>
      <c r="Q192" s="124">
        <f t="shared" si="436"/>
        <v>46332</v>
      </c>
      <c r="R192" s="124"/>
      <c r="S192" s="124">
        <f t="shared" si="437"/>
        <v>46346</v>
      </c>
      <c r="T192" s="124">
        <f t="shared" si="438"/>
        <v>46346</v>
      </c>
      <c r="U192" s="124"/>
      <c r="V192" s="229"/>
      <c r="X192" s="168" t="str">
        <f t="shared" ca="1" si="450"/>
        <v>Completed</v>
      </c>
      <c r="Y192" s="168" t="str">
        <f t="shared" ca="1" si="539"/>
        <v>Completed</v>
      </c>
      <c r="Z192" s="168" t="str">
        <f t="shared" ca="1" si="540"/>
        <v/>
      </c>
      <c r="AA192" s="169" t="str">
        <f t="shared" ca="1" si="541"/>
        <v/>
      </c>
    </row>
    <row r="193" spans="1:27" s="70" customFormat="1" ht="11.5" x14ac:dyDescent="0.25">
      <c r="A193" s="120" t="s">
        <v>65</v>
      </c>
      <c r="B193" s="120" t="s">
        <v>34</v>
      </c>
      <c r="C193" s="120" t="s">
        <v>175</v>
      </c>
      <c r="D193" s="120" t="s">
        <v>176</v>
      </c>
      <c r="E193" s="122">
        <f t="shared" si="428"/>
        <v>0.7</v>
      </c>
      <c r="F193" s="122">
        <f t="shared" si="429"/>
        <v>0.7</v>
      </c>
      <c r="G193" s="122">
        <f t="shared" si="563"/>
        <v>0.7</v>
      </c>
      <c r="H193" s="127">
        <f t="shared" si="431"/>
        <v>0</v>
      </c>
      <c r="I193" s="125">
        <v>0.5</v>
      </c>
      <c r="J193" s="124">
        <f>K145+28</f>
        <v>46262</v>
      </c>
      <c r="K193" s="124">
        <f t="shared" si="432"/>
        <v>46262</v>
      </c>
      <c r="L193" s="124">
        <v>46254</v>
      </c>
      <c r="M193" s="124">
        <f t="shared" si="433"/>
        <v>46304</v>
      </c>
      <c r="N193" s="124">
        <f t="shared" si="434"/>
        <v>46304</v>
      </c>
      <c r="O193" s="124">
        <v>46297</v>
      </c>
      <c r="P193" s="124">
        <f t="shared" si="435"/>
        <v>46346</v>
      </c>
      <c r="Q193" s="124">
        <f t="shared" si="436"/>
        <v>46346</v>
      </c>
      <c r="R193" s="124"/>
      <c r="S193" s="124">
        <f t="shared" si="437"/>
        <v>46360</v>
      </c>
      <c r="T193" s="124">
        <f t="shared" si="438"/>
        <v>46360</v>
      </c>
      <c r="U193" s="124"/>
      <c r="V193" s="229"/>
      <c r="X193" s="168" t="str">
        <f t="shared" ca="1" si="450"/>
        <v>Completed</v>
      </c>
      <c r="Y193" s="168" t="str">
        <f t="shared" ca="1" si="539"/>
        <v>Completed</v>
      </c>
      <c r="Z193" s="168" t="str">
        <f t="shared" ca="1" si="540"/>
        <v/>
      </c>
      <c r="AA193" s="169" t="str">
        <f t="shared" ca="1" si="541"/>
        <v/>
      </c>
    </row>
    <row r="194" spans="1:27" s="70" customFormat="1" ht="11.5" x14ac:dyDescent="0.25">
      <c r="A194" s="120" t="s">
        <v>65</v>
      </c>
      <c r="B194" s="120" t="s">
        <v>34</v>
      </c>
      <c r="C194" s="120" t="s">
        <v>177</v>
      </c>
      <c r="D194" s="120" t="s">
        <v>178</v>
      </c>
      <c r="E194" s="122">
        <f t="shared" si="428"/>
        <v>0.5</v>
      </c>
      <c r="F194" s="122">
        <f t="shared" si="429"/>
        <v>0.5</v>
      </c>
      <c r="G194" s="122">
        <f t="shared" si="563"/>
        <v>0.7</v>
      </c>
      <c r="H194" s="127">
        <f t="shared" si="431"/>
        <v>0.19999999999999996</v>
      </c>
      <c r="I194" s="125">
        <v>0.5</v>
      </c>
      <c r="J194" s="124">
        <f t="shared" ref="J194:J205" si="565">K147+28</f>
        <v>46276</v>
      </c>
      <c r="K194" s="124">
        <f t="shared" si="432"/>
        <v>46276</v>
      </c>
      <c r="L194" s="124">
        <v>46255</v>
      </c>
      <c r="M194" s="124">
        <f t="shared" si="433"/>
        <v>46318</v>
      </c>
      <c r="N194" s="124">
        <f t="shared" si="434"/>
        <v>46318</v>
      </c>
      <c r="O194" s="124">
        <v>46269</v>
      </c>
      <c r="P194" s="124">
        <f t="shared" si="435"/>
        <v>46360</v>
      </c>
      <c r="Q194" s="124">
        <f t="shared" si="436"/>
        <v>46360</v>
      </c>
      <c r="R194" s="124"/>
      <c r="S194" s="124">
        <f t="shared" si="437"/>
        <v>46374</v>
      </c>
      <c r="T194" s="124">
        <f t="shared" si="438"/>
        <v>46374</v>
      </c>
      <c r="U194" s="124"/>
      <c r="V194" s="229"/>
      <c r="X194" s="168" t="str">
        <f t="shared" ca="1" si="450"/>
        <v>Completed</v>
      </c>
      <c r="Y194" s="168" t="str">
        <f t="shared" ca="1" si="539"/>
        <v>Completed</v>
      </c>
      <c r="Z194" s="168" t="str">
        <f t="shared" ca="1" si="540"/>
        <v/>
      </c>
      <c r="AA194" s="169" t="str">
        <f t="shared" ca="1" si="541"/>
        <v/>
      </c>
    </row>
    <row r="195" spans="1:27" s="70" customFormat="1" ht="11.5" x14ac:dyDescent="0.25">
      <c r="A195" s="120" t="s">
        <v>65</v>
      </c>
      <c r="B195" s="120" t="s">
        <v>34</v>
      </c>
      <c r="C195" s="120" t="s">
        <v>179</v>
      </c>
      <c r="D195" s="120" t="s">
        <v>180</v>
      </c>
      <c r="E195" s="122">
        <f t="shared" si="428"/>
        <v>0.7</v>
      </c>
      <c r="F195" s="122">
        <f t="shared" si="429"/>
        <v>0.7</v>
      </c>
      <c r="G195" s="122">
        <f t="shared" si="563"/>
        <v>0.7</v>
      </c>
      <c r="H195" s="127">
        <f t="shared" si="431"/>
        <v>0</v>
      </c>
      <c r="I195" s="125">
        <v>0.5</v>
      </c>
      <c r="J195" s="124">
        <f t="shared" si="565"/>
        <v>46241</v>
      </c>
      <c r="K195" s="124">
        <f t="shared" si="432"/>
        <v>46241</v>
      </c>
      <c r="L195" s="124">
        <v>46241</v>
      </c>
      <c r="M195" s="124">
        <f t="shared" si="433"/>
        <v>46283</v>
      </c>
      <c r="N195" s="124">
        <f t="shared" si="434"/>
        <v>46283</v>
      </c>
      <c r="O195" s="124">
        <v>46248</v>
      </c>
      <c r="P195" s="124">
        <f t="shared" si="435"/>
        <v>46325</v>
      </c>
      <c r="Q195" s="124">
        <f t="shared" si="436"/>
        <v>46325</v>
      </c>
      <c r="R195" s="124"/>
      <c r="S195" s="124">
        <f t="shared" si="437"/>
        <v>46339</v>
      </c>
      <c r="T195" s="124">
        <f t="shared" si="438"/>
        <v>46339</v>
      </c>
      <c r="U195" s="124"/>
      <c r="V195" s="229"/>
      <c r="X195" s="168" t="str">
        <f t="shared" ca="1" si="450"/>
        <v>Completed</v>
      </c>
      <c r="Y195" s="168" t="str">
        <f t="shared" ca="1" si="539"/>
        <v>Completed</v>
      </c>
      <c r="Z195" s="168" t="str">
        <f t="shared" ca="1" si="540"/>
        <v/>
      </c>
      <c r="AA195" s="169" t="str">
        <f t="shared" ca="1" si="541"/>
        <v/>
      </c>
    </row>
    <row r="196" spans="1:27" s="70" customFormat="1" ht="11.5" x14ac:dyDescent="0.25">
      <c r="A196" s="120" t="s">
        <v>65</v>
      </c>
      <c r="B196" s="120" t="s">
        <v>34</v>
      </c>
      <c r="C196" s="120" t="s">
        <v>181</v>
      </c>
      <c r="D196" s="120" t="s">
        <v>182</v>
      </c>
      <c r="E196" s="122">
        <f t="shared" si="428"/>
        <v>0.5</v>
      </c>
      <c r="F196" s="122">
        <f t="shared" si="429"/>
        <v>0.5</v>
      </c>
      <c r="G196" s="122">
        <f t="shared" si="563"/>
        <v>0.7</v>
      </c>
      <c r="H196" s="127">
        <f t="shared" si="431"/>
        <v>0.19999999999999996</v>
      </c>
      <c r="I196" s="125">
        <v>0.75</v>
      </c>
      <c r="J196" s="124">
        <f t="shared" si="565"/>
        <v>46272</v>
      </c>
      <c r="K196" s="124">
        <f t="shared" si="432"/>
        <v>46272</v>
      </c>
      <c r="L196" s="124">
        <v>46241</v>
      </c>
      <c r="M196" s="124">
        <f>J196+35</f>
        <v>46307</v>
      </c>
      <c r="N196" s="124">
        <f t="shared" si="434"/>
        <v>46307</v>
      </c>
      <c r="O196" s="126">
        <v>46283</v>
      </c>
      <c r="P196" s="124">
        <f t="shared" si="435"/>
        <v>46349</v>
      </c>
      <c r="Q196" s="124">
        <f t="shared" si="436"/>
        <v>46349</v>
      </c>
      <c r="R196" s="124"/>
      <c r="S196" s="124">
        <f t="shared" si="437"/>
        <v>46363</v>
      </c>
      <c r="T196" s="124">
        <f t="shared" si="438"/>
        <v>46363</v>
      </c>
      <c r="U196" s="124"/>
      <c r="V196" s="229"/>
      <c r="X196" s="168" t="str">
        <f t="shared" ca="1" si="450"/>
        <v>Completed</v>
      </c>
      <c r="Y196" s="168" t="str">
        <f t="shared" ca="1" si="539"/>
        <v>Completed</v>
      </c>
      <c r="Z196" s="168" t="str">
        <f t="shared" ca="1" si="540"/>
        <v/>
      </c>
      <c r="AA196" s="169" t="str">
        <f t="shared" ca="1" si="541"/>
        <v/>
      </c>
    </row>
    <row r="197" spans="1:27" s="70" customFormat="1" ht="11.5" x14ac:dyDescent="0.25">
      <c r="A197" s="120" t="s">
        <v>65</v>
      </c>
      <c r="B197" s="120" t="s">
        <v>34</v>
      </c>
      <c r="C197" s="120" t="s">
        <v>183</v>
      </c>
      <c r="D197" s="120" t="s">
        <v>184</v>
      </c>
      <c r="E197" s="122">
        <f t="shared" si="428"/>
        <v>0.5</v>
      </c>
      <c r="F197" s="122">
        <f t="shared" si="429"/>
        <v>0.5</v>
      </c>
      <c r="G197" s="122">
        <f t="shared" si="563"/>
        <v>0.5</v>
      </c>
      <c r="H197" s="127">
        <f t="shared" si="431"/>
        <v>0</v>
      </c>
      <c r="I197" s="125">
        <v>0.5</v>
      </c>
      <c r="J197" s="124">
        <f t="shared" si="565"/>
        <v>46290</v>
      </c>
      <c r="K197" s="124">
        <f t="shared" si="432"/>
        <v>46290</v>
      </c>
      <c r="L197" s="160">
        <v>46300</v>
      </c>
      <c r="M197" s="124">
        <f t="shared" si="433"/>
        <v>46332</v>
      </c>
      <c r="N197" s="124">
        <f t="shared" si="434"/>
        <v>46332</v>
      </c>
      <c r="O197" s="124"/>
      <c r="P197" s="124">
        <f t="shared" si="435"/>
        <v>46374</v>
      </c>
      <c r="Q197" s="124">
        <f t="shared" si="436"/>
        <v>46374</v>
      </c>
      <c r="R197" s="124"/>
      <c r="S197" s="124">
        <f t="shared" si="437"/>
        <v>46388</v>
      </c>
      <c r="T197" s="124">
        <f t="shared" si="438"/>
        <v>46388</v>
      </c>
      <c r="U197" s="124"/>
      <c r="V197" s="229"/>
      <c r="X197" s="168" t="str">
        <f t="shared" ca="1" si="450"/>
        <v>Completed</v>
      </c>
      <c r="Y197" s="168" t="str">
        <f t="shared" ca="1" si="539"/>
        <v/>
      </c>
      <c r="Z197" s="168" t="str">
        <f t="shared" ca="1" si="540"/>
        <v/>
      </c>
      <c r="AA197" s="169" t="str">
        <f t="shared" ca="1" si="541"/>
        <v/>
      </c>
    </row>
    <row r="198" spans="1:27" s="70" customFormat="1" ht="11.5" x14ac:dyDescent="0.25">
      <c r="A198" s="120" t="s">
        <v>65</v>
      </c>
      <c r="B198" s="120" t="s">
        <v>34</v>
      </c>
      <c r="C198" s="120" t="s">
        <v>185</v>
      </c>
      <c r="D198" s="120" t="s">
        <v>186</v>
      </c>
      <c r="E198" s="122">
        <f t="shared" si="428"/>
        <v>0.7</v>
      </c>
      <c r="F198" s="122">
        <f t="shared" si="429"/>
        <v>0.7</v>
      </c>
      <c r="G198" s="122">
        <f t="shared" si="563"/>
        <v>0.7</v>
      </c>
      <c r="H198" s="122">
        <f t="shared" si="431"/>
        <v>0</v>
      </c>
      <c r="I198" s="125">
        <v>0.5</v>
      </c>
      <c r="J198" s="124">
        <f t="shared" si="565"/>
        <v>46234</v>
      </c>
      <c r="K198" s="124">
        <f t="shared" si="432"/>
        <v>46234</v>
      </c>
      <c r="L198" s="124">
        <v>46255</v>
      </c>
      <c r="M198" s="124">
        <f t="shared" si="433"/>
        <v>46276</v>
      </c>
      <c r="N198" s="124">
        <f t="shared" si="434"/>
        <v>46276</v>
      </c>
      <c r="O198" s="124">
        <v>46269</v>
      </c>
      <c r="P198" s="124">
        <f t="shared" si="435"/>
        <v>46318</v>
      </c>
      <c r="Q198" s="124">
        <f t="shared" si="436"/>
        <v>46318</v>
      </c>
      <c r="R198" s="124"/>
      <c r="S198" s="124">
        <f t="shared" si="437"/>
        <v>46332</v>
      </c>
      <c r="T198" s="124">
        <f t="shared" si="438"/>
        <v>46332</v>
      </c>
      <c r="U198" s="124"/>
      <c r="V198" s="229"/>
      <c r="X198" s="168" t="str">
        <f t="shared" ca="1" si="450"/>
        <v>Completed</v>
      </c>
      <c r="Y198" s="168" t="str">
        <f t="shared" ca="1" si="539"/>
        <v>Completed</v>
      </c>
      <c r="Z198" s="168" t="str">
        <f t="shared" ca="1" si="540"/>
        <v/>
      </c>
      <c r="AA198" s="169" t="str">
        <f t="shared" ca="1" si="541"/>
        <v/>
      </c>
    </row>
    <row r="199" spans="1:27" s="70" customFormat="1" ht="11.5" x14ac:dyDescent="0.25">
      <c r="A199" s="120" t="s">
        <v>65</v>
      </c>
      <c r="B199" s="120" t="s">
        <v>34</v>
      </c>
      <c r="C199" s="120" t="s">
        <v>187</v>
      </c>
      <c r="D199" s="120" t="s">
        <v>188</v>
      </c>
      <c r="E199" s="122">
        <f t="shared" si="428"/>
        <v>0.7</v>
      </c>
      <c r="F199" s="122">
        <f t="shared" si="429"/>
        <v>0.7</v>
      </c>
      <c r="G199" s="122">
        <f t="shared" si="563"/>
        <v>0.7</v>
      </c>
      <c r="H199" s="122">
        <f t="shared" si="431"/>
        <v>0</v>
      </c>
      <c r="I199" s="123">
        <v>0.5</v>
      </c>
      <c r="J199" s="124">
        <f t="shared" si="565"/>
        <v>46241</v>
      </c>
      <c r="K199" s="124">
        <f t="shared" si="432"/>
        <v>46241</v>
      </c>
      <c r="L199" s="124">
        <v>46255</v>
      </c>
      <c r="M199" s="124">
        <f t="shared" si="433"/>
        <v>46283</v>
      </c>
      <c r="N199" s="124">
        <f t="shared" si="434"/>
        <v>46283</v>
      </c>
      <c r="O199" s="124">
        <v>46269</v>
      </c>
      <c r="P199" s="124">
        <f t="shared" si="435"/>
        <v>46325</v>
      </c>
      <c r="Q199" s="124">
        <f t="shared" si="436"/>
        <v>46325</v>
      </c>
      <c r="R199" s="124"/>
      <c r="S199" s="124">
        <f t="shared" si="437"/>
        <v>46339</v>
      </c>
      <c r="T199" s="124">
        <f t="shared" si="438"/>
        <v>46339</v>
      </c>
      <c r="U199" s="124"/>
      <c r="V199" s="229"/>
      <c r="X199" s="168" t="str">
        <f t="shared" ca="1" si="450"/>
        <v>Completed</v>
      </c>
      <c r="Y199" s="168" t="str">
        <f t="shared" ca="1" si="539"/>
        <v>Completed</v>
      </c>
      <c r="Z199" s="168" t="str">
        <f t="shared" ca="1" si="540"/>
        <v/>
      </c>
      <c r="AA199" s="169" t="str">
        <f t="shared" ca="1" si="541"/>
        <v/>
      </c>
    </row>
    <row r="200" spans="1:27" s="70" customFormat="1" ht="11.5" x14ac:dyDescent="0.25">
      <c r="A200" s="120" t="s">
        <v>65</v>
      </c>
      <c r="B200" s="120" t="s">
        <v>34</v>
      </c>
      <c r="C200" s="120" t="s">
        <v>189</v>
      </c>
      <c r="D200" s="120" t="s">
        <v>190</v>
      </c>
      <c r="E200" s="122">
        <f t="shared" si="428"/>
        <v>0</v>
      </c>
      <c r="F200" s="122">
        <f t="shared" si="429"/>
        <v>0</v>
      </c>
      <c r="G200" s="122">
        <f t="shared" si="563"/>
        <v>0.7</v>
      </c>
      <c r="H200" s="122">
        <f t="shared" si="431"/>
        <v>0.7</v>
      </c>
      <c r="I200" s="123">
        <v>0.8</v>
      </c>
      <c r="J200" s="124">
        <f t="shared" si="565"/>
        <v>46311</v>
      </c>
      <c r="K200" s="124">
        <f t="shared" si="432"/>
        <v>46311</v>
      </c>
      <c r="L200" s="124">
        <v>46272</v>
      </c>
      <c r="M200" s="124">
        <f t="shared" si="433"/>
        <v>46353</v>
      </c>
      <c r="N200" s="124">
        <f t="shared" si="434"/>
        <v>46353</v>
      </c>
      <c r="O200" s="124">
        <v>46288</v>
      </c>
      <c r="P200" s="124">
        <f t="shared" si="435"/>
        <v>46395</v>
      </c>
      <c r="Q200" s="124">
        <f t="shared" si="436"/>
        <v>46395</v>
      </c>
      <c r="R200" s="124"/>
      <c r="S200" s="124">
        <f t="shared" si="437"/>
        <v>46409</v>
      </c>
      <c r="T200" s="124">
        <f t="shared" si="438"/>
        <v>46409</v>
      </c>
      <c r="U200" s="124"/>
      <c r="V200" s="229"/>
      <c r="X200" s="168" t="str">
        <f t="shared" ca="1" si="450"/>
        <v>Completed</v>
      </c>
      <c r="Y200" s="168" t="str">
        <f t="shared" ca="1" si="539"/>
        <v>Completed</v>
      </c>
      <c r="Z200" s="168" t="str">
        <f t="shared" ca="1" si="540"/>
        <v/>
      </c>
      <c r="AA200" s="169" t="str">
        <f t="shared" ca="1" si="541"/>
        <v/>
      </c>
    </row>
    <row r="201" spans="1:27" s="70" customFormat="1" ht="11.5" x14ac:dyDescent="0.25">
      <c r="A201" s="120" t="s">
        <v>65</v>
      </c>
      <c r="B201" s="120" t="s">
        <v>34</v>
      </c>
      <c r="C201" s="120" t="s">
        <v>191</v>
      </c>
      <c r="D201" s="120" t="s">
        <v>192</v>
      </c>
      <c r="E201" s="122">
        <f t="shared" si="428"/>
        <v>0</v>
      </c>
      <c r="F201" s="122">
        <f t="shared" si="429"/>
        <v>0</v>
      </c>
      <c r="G201" s="122">
        <f t="shared" si="563"/>
        <v>0.7</v>
      </c>
      <c r="H201" s="122">
        <f t="shared" si="431"/>
        <v>0.7</v>
      </c>
      <c r="I201" s="123">
        <v>0.8</v>
      </c>
      <c r="J201" s="124">
        <f t="shared" si="565"/>
        <v>46325</v>
      </c>
      <c r="K201" s="124">
        <f t="shared" si="432"/>
        <v>46325</v>
      </c>
      <c r="L201" s="124">
        <v>46254</v>
      </c>
      <c r="M201" s="124">
        <f t="shared" si="433"/>
        <v>46367</v>
      </c>
      <c r="N201" s="124">
        <f t="shared" si="434"/>
        <v>46367</v>
      </c>
      <c r="O201" s="124">
        <v>46269</v>
      </c>
      <c r="P201" s="124">
        <f t="shared" si="435"/>
        <v>46409</v>
      </c>
      <c r="Q201" s="124">
        <f t="shared" si="436"/>
        <v>46409</v>
      </c>
      <c r="R201" s="126"/>
      <c r="S201" s="124">
        <f t="shared" si="437"/>
        <v>46423</v>
      </c>
      <c r="T201" s="124">
        <f t="shared" si="438"/>
        <v>46423</v>
      </c>
      <c r="U201" s="126"/>
      <c r="V201" s="230"/>
      <c r="X201" s="168" t="str">
        <f t="shared" ca="1" si="450"/>
        <v>Completed</v>
      </c>
      <c r="Y201" s="168" t="str">
        <f t="shared" ca="1" si="539"/>
        <v>Completed</v>
      </c>
      <c r="Z201" s="168" t="str">
        <f t="shared" ca="1" si="540"/>
        <v/>
      </c>
      <c r="AA201" s="169" t="str">
        <f t="shared" ca="1" si="541"/>
        <v/>
      </c>
    </row>
    <row r="202" spans="1:27" s="70" customFormat="1" ht="11.5" x14ac:dyDescent="0.25">
      <c r="A202" s="120" t="s">
        <v>65</v>
      </c>
      <c r="B202" s="120" t="s">
        <v>34</v>
      </c>
      <c r="C202" s="120" t="s">
        <v>193</v>
      </c>
      <c r="D202" s="120" t="s">
        <v>194</v>
      </c>
      <c r="E202" s="122">
        <f t="shared" si="428"/>
        <v>0</v>
      </c>
      <c r="F202" s="122">
        <f t="shared" si="429"/>
        <v>0</v>
      </c>
      <c r="G202" s="122">
        <f t="shared" si="563"/>
        <v>0.7</v>
      </c>
      <c r="H202" s="122">
        <f t="shared" si="431"/>
        <v>0.7</v>
      </c>
      <c r="I202" s="123">
        <v>0.8</v>
      </c>
      <c r="J202" s="124">
        <f t="shared" si="565"/>
        <v>46333</v>
      </c>
      <c r="K202" s="124">
        <f t="shared" si="432"/>
        <v>46333</v>
      </c>
      <c r="L202" s="124">
        <v>46281</v>
      </c>
      <c r="M202" s="124">
        <f t="shared" si="433"/>
        <v>46375</v>
      </c>
      <c r="N202" s="124">
        <f t="shared" si="434"/>
        <v>46375</v>
      </c>
      <c r="O202" s="124">
        <v>46288</v>
      </c>
      <c r="P202" s="124">
        <f t="shared" si="435"/>
        <v>46417</v>
      </c>
      <c r="Q202" s="124">
        <f t="shared" si="436"/>
        <v>46417</v>
      </c>
      <c r="R202" s="124"/>
      <c r="S202" s="124">
        <f t="shared" si="437"/>
        <v>46431</v>
      </c>
      <c r="T202" s="124">
        <f t="shared" si="438"/>
        <v>46431</v>
      </c>
      <c r="U202" s="124"/>
      <c r="V202" s="229"/>
      <c r="X202" s="168" t="str">
        <f t="shared" ca="1" si="450"/>
        <v>Completed</v>
      </c>
      <c r="Y202" s="168" t="str">
        <f t="shared" ca="1" si="539"/>
        <v>Completed</v>
      </c>
      <c r="Z202" s="168" t="str">
        <f t="shared" ca="1" si="540"/>
        <v/>
      </c>
      <c r="AA202" s="169" t="str">
        <f t="shared" ca="1" si="541"/>
        <v/>
      </c>
    </row>
    <row r="203" spans="1:27" s="70" customFormat="1" ht="11.5" x14ac:dyDescent="0.25">
      <c r="A203" s="191" t="s">
        <v>65</v>
      </c>
      <c r="B203" s="191" t="s">
        <v>34</v>
      </c>
      <c r="C203" s="191" t="s">
        <v>195</v>
      </c>
      <c r="D203" s="191" t="s">
        <v>1251</v>
      </c>
      <c r="E203" s="192">
        <f t="shared" si="428"/>
        <v>0</v>
      </c>
      <c r="F203" s="192">
        <f t="shared" si="429"/>
        <v>0</v>
      </c>
      <c r="G203" s="192">
        <f t="shared" si="563"/>
        <v>1</v>
      </c>
      <c r="H203" s="192">
        <f t="shared" si="431"/>
        <v>1</v>
      </c>
      <c r="I203" s="193">
        <v>0.25</v>
      </c>
      <c r="J203" s="194">
        <f t="shared" si="565"/>
        <v>46386</v>
      </c>
      <c r="K203" s="194">
        <f t="shared" si="432"/>
        <v>46386</v>
      </c>
      <c r="L203" s="237">
        <v>46304</v>
      </c>
      <c r="M203" s="194">
        <f t="shared" si="433"/>
        <v>46428</v>
      </c>
      <c r="N203" s="194">
        <f t="shared" si="434"/>
        <v>46428</v>
      </c>
      <c r="O203" s="237">
        <v>46304</v>
      </c>
      <c r="P203" s="194">
        <f t="shared" si="435"/>
        <v>46470</v>
      </c>
      <c r="Q203" s="194">
        <f t="shared" si="436"/>
        <v>46470</v>
      </c>
      <c r="R203" s="237">
        <v>46304</v>
      </c>
      <c r="S203" s="194">
        <f t="shared" si="437"/>
        <v>46484</v>
      </c>
      <c r="T203" s="194">
        <f t="shared" si="438"/>
        <v>46484</v>
      </c>
      <c r="U203" s="237">
        <v>46304</v>
      </c>
      <c r="V203" s="230"/>
      <c r="X203" s="168" t="str">
        <f t="shared" ref="X203:X267" ca="1" si="566">IF(OR(L203&lt;&gt;""),"Completed",
IF(K203="","",IF(K203&lt;TODAY(),"Overdue",
IF(AND(K203&gt;=TODAY()-WEEKDAY(TODAY(),2)+1,K203&lt;=TODAY()-WEEKDAY(TODAY(),2)+7),"Follow-This Week",
IF(AND(K203&gt;=TODAY()-WEEKDAY(TODAY(),2)+8,K203&lt;=TODAY()-WEEKDAY(TODAY(),2)+14),"Follow-Next Week","")))))</f>
        <v>Completed</v>
      </c>
      <c r="Y203" s="168" t="str">
        <f t="shared" ca="1" si="539"/>
        <v>Completed</v>
      </c>
      <c r="Z203" s="168" t="str">
        <f t="shared" ca="1" si="540"/>
        <v>Completed</v>
      </c>
      <c r="AA203" s="169" t="str">
        <f t="shared" ca="1" si="541"/>
        <v>Completed</v>
      </c>
    </row>
    <row r="204" spans="1:27" s="70" customFormat="1" ht="11.5" x14ac:dyDescent="0.25">
      <c r="A204" s="120" t="s">
        <v>65</v>
      </c>
      <c r="B204" s="120" t="s">
        <v>34</v>
      </c>
      <c r="C204" s="120" t="s">
        <v>195</v>
      </c>
      <c r="D204" s="120" t="s">
        <v>1252</v>
      </c>
      <c r="E204" s="122">
        <f t="shared" ref="E204" si="567">(COUNTIFS(J204,"&lt;="&amp;$C$1)*50%)+(COUNTIFS(M204,"&lt;="&amp;$C$1)*20%)+(COUNTIFS(P204,"&lt;="&amp;$C$1)*10%)+(COUNTIFS(S204,"&lt;="&amp;$C$1)*20%)</f>
        <v>0</v>
      </c>
      <c r="F204" s="122">
        <f t="shared" ref="F204" si="568">(COUNTIFS(K204,"&lt;="&amp;$C$1)*50%)+(COUNTIFS(N204,"&lt;="&amp;$C$1)*20%)+(COUNTIFS(Q204,"&lt;="&amp;$C$1)*10%)+(COUNTIFS(T204,"&lt;="&amp;$C$1)*20%)</f>
        <v>0</v>
      </c>
      <c r="G204" s="122">
        <f t="shared" ref="G204" si="569">(COUNTIFS(L204,"&lt;="&amp;$C$1)*50%)+(COUNTIFS(O204,"&lt;="&amp;$C$1)*20%)+(COUNTIFS(R204,"&lt;="&amp;$C$1)*10%)+(COUNTIFS(U204,"&lt;="&amp;$C$1)*20%)</f>
        <v>0.5</v>
      </c>
      <c r="H204" s="122">
        <f t="shared" ref="H204" si="570">G204-E204</f>
        <v>0.5</v>
      </c>
      <c r="I204" s="123">
        <v>0.25</v>
      </c>
      <c r="J204" s="124">
        <f t="shared" si="565"/>
        <v>46386</v>
      </c>
      <c r="K204" s="124">
        <f t="shared" ref="K204" si="571">J204</f>
        <v>46386</v>
      </c>
      <c r="L204" s="236">
        <v>46304</v>
      </c>
      <c r="M204" s="124">
        <f t="shared" ref="M204" si="572">J204+42</f>
        <v>46428</v>
      </c>
      <c r="N204" s="124">
        <f t="shared" ref="N204" si="573">M204</f>
        <v>46428</v>
      </c>
      <c r="O204" s="126"/>
      <c r="P204" s="124">
        <f t="shared" ref="P204" si="574">M204+42</f>
        <v>46470</v>
      </c>
      <c r="Q204" s="124">
        <f t="shared" ref="Q204" si="575">P204</f>
        <v>46470</v>
      </c>
      <c r="R204" s="126"/>
      <c r="S204" s="124">
        <f t="shared" ref="S204" si="576">P204+14</f>
        <v>46484</v>
      </c>
      <c r="T204" s="124">
        <f t="shared" ref="T204" si="577">S204</f>
        <v>46484</v>
      </c>
      <c r="U204" s="126"/>
      <c r="V204" s="230"/>
      <c r="X204" s="168" t="str">
        <f t="shared" ref="X204" ca="1" si="578">IF(OR(L204&lt;&gt;""),"Completed",
IF(K204="","",IF(K204&lt;TODAY(),"Overdue",
IF(AND(K204&gt;=TODAY()-WEEKDAY(TODAY(),2)+1,K204&lt;=TODAY()-WEEKDAY(TODAY(),2)+7),"Follow-This Week",
IF(AND(K204&gt;=TODAY()-WEEKDAY(TODAY(),2)+8,K204&lt;=TODAY()-WEEKDAY(TODAY(),2)+14),"Follow-Next Week","")))))</f>
        <v>Completed</v>
      </c>
      <c r="Y204" s="168" t="str">
        <f t="shared" ref="Y204" ca="1" si="579">IF(OR(O204&lt;&gt;""),"Completed",IF(N204="","",
IF(N204&lt;TODAY(),"Overdue",
IF(AND(N204&gt;=TODAY()-WEEKDAY(TODAY(),2)+1,N204&lt;=TODAY()-WEEKDAY(TODAY(),2)+7),"Follow-This Week",
IF(AND(N204&gt;=TODAY()-WEEKDAY(TODAY(),2)+8,N204&lt;=TODAY()-WEEKDAY(TODAY(),2)+14),"Follow-Next Week","")))))</f>
        <v/>
      </c>
      <c r="Z204" s="168" t="str">
        <f t="shared" ref="Z204" ca="1" si="580">IF(OR(R204&lt;&gt;""),"Completed",IF(Q204="","",
IF(Q204&lt;TODAY(),"Overdue",
IF(AND(Q204&gt;=TODAY()-WEEKDAY(TODAY(),2)+1,Q204&lt;=TODAY()-WEEKDAY(TODAY(),2)+7),"Follow-This Week",
IF(AND(Q204&gt;=TODAY()-WEEKDAY(TODAY(),2)+8,Q204&lt;=TODAY()-WEEKDAY(TODAY(),2)+14),"Follow-Next Week","")))))</f>
        <v/>
      </c>
      <c r="AA204" s="169" t="str">
        <f t="shared" ref="AA204" ca="1" si="581">IF(OR(U204&lt;&gt;""),"Completed",IF(T204="","",
IF(T204&lt;TODAY(),"Overdue",
IF(AND(T204&gt;=TODAY()-WEEKDAY(TODAY(),2)+1,T204&lt;=TODAY()-WEEKDAY(TODAY(),2)+7),"Follow-This Week",
IF(AND(T204&gt;=TODAY()-WEEKDAY(TODAY(),2)+8,T204&lt;=TODAY()-WEEKDAY(TODAY(),2)+14),"Follow-Next Week","")))))</f>
        <v/>
      </c>
    </row>
    <row r="205" spans="1:27" s="70" customFormat="1" ht="11.5" x14ac:dyDescent="0.25">
      <c r="A205" s="120" t="s">
        <v>65</v>
      </c>
      <c r="B205" s="120" t="s">
        <v>34</v>
      </c>
      <c r="C205" s="120" t="s">
        <v>196</v>
      </c>
      <c r="D205" s="120" t="s">
        <v>197</v>
      </c>
      <c r="E205" s="122">
        <f t="shared" si="428"/>
        <v>0.7</v>
      </c>
      <c r="F205" s="122">
        <f t="shared" si="429"/>
        <v>0.7</v>
      </c>
      <c r="G205" s="122">
        <f t="shared" si="563"/>
        <v>0.7</v>
      </c>
      <c r="H205" s="122">
        <f t="shared" si="431"/>
        <v>0</v>
      </c>
      <c r="I205" s="123">
        <v>0.5</v>
      </c>
      <c r="J205" s="124">
        <f t="shared" si="565"/>
        <v>46255</v>
      </c>
      <c r="K205" s="124">
        <f t="shared" si="432"/>
        <v>46255</v>
      </c>
      <c r="L205" s="124">
        <v>46275</v>
      </c>
      <c r="M205" s="124">
        <f t="shared" si="433"/>
        <v>46297</v>
      </c>
      <c r="N205" s="124">
        <f t="shared" si="434"/>
        <v>46297</v>
      </c>
      <c r="O205" s="124">
        <v>46288</v>
      </c>
      <c r="P205" s="124">
        <f t="shared" si="435"/>
        <v>46339</v>
      </c>
      <c r="Q205" s="124">
        <f t="shared" si="436"/>
        <v>46339</v>
      </c>
      <c r="R205" s="124"/>
      <c r="S205" s="124">
        <f t="shared" si="437"/>
        <v>46353</v>
      </c>
      <c r="T205" s="124">
        <f t="shared" si="438"/>
        <v>46353</v>
      </c>
      <c r="U205" s="124"/>
      <c r="V205" s="229"/>
      <c r="X205" s="168" t="str">
        <f t="shared" ca="1" si="566"/>
        <v>Completed</v>
      </c>
      <c r="Y205" s="168" t="str">
        <f t="shared" ca="1" si="539"/>
        <v>Completed</v>
      </c>
      <c r="Z205" s="168" t="str">
        <f t="shared" ca="1" si="540"/>
        <v/>
      </c>
      <c r="AA205" s="169" t="str">
        <f t="shared" ca="1" si="541"/>
        <v/>
      </c>
    </row>
    <row r="206" spans="1:27" s="70" customFormat="1" ht="11.5" x14ac:dyDescent="0.25">
      <c r="A206" s="120" t="s">
        <v>65</v>
      </c>
      <c r="B206" s="120" t="s">
        <v>34</v>
      </c>
      <c r="C206" s="120" t="s">
        <v>198</v>
      </c>
      <c r="D206" s="120" t="s">
        <v>199</v>
      </c>
      <c r="E206" s="122">
        <f>(COUNTIFS(J206,"&lt;="&amp;$C$1)*50%)+(COUNTIFS(M206,"&lt;="&amp;$C$1)*20%)+(COUNTIFS(P206,"&lt;="&amp;$C$1)*10%)+(COUNTIFS(S206,"&lt;="&amp;$C$1)*20%)</f>
        <v>0</v>
      </c>
      <c r="F206" s="122">
        <f t="shared" si="429"/>
        <v>0</v>
      </c>
      <c r="G206" s="122">
        <f t="shared" si="563"/>
        <v>0.7</v>
      </c>
      <c r="H206" s="122">
        <f t="shared" si="431"/>
        <v>0.7</v>
      </c>
      <c r="I206" s="123">
        <v>0.5</v>
      </c>
      <c r="J206" s="124">
        <f>K160+28</f>
        <v>46311</v>
      </c>
      <c r="K206" s="124">
        <f t="shared" si="432"/>
        <v>46311</v>
      </c>
      <c r="L206" s="144">
        <v>46162</v>
      </c>
      <c r="M206" s="124">
        <f t="shared" si="433"/>
        <v>46353</v>
      </c>
      <c r="N206" s="124">
        <f t="shared" si="434"/>
        <v>46353</v>
      </c>
      <c r="O206" s="124">
        <v>46297</v>
      </c>
      <c r="P206" s="124">
        <f t="shared" si="435"/>
        <v>46395</v>
      </c>
      <c r="Q206" s="124">
        <f t="shared" si="436"/>
        <v>46395</v>
      </c>
      <c r="R206" s="124"/>
      <c r="S206" s="124">
        <f t="shared" si="437"/>
        <v>46409</v>
      </c>
      <c r="T206" s="124">
        <f t="shared" si="438"/>
        <v>46409</v>
      </c>
      <c r="U206" s="124"/>
      <c r="V206" s="229"/>
      <c r="X206" s="168" t="str">
        <f t="shared" ca="1" si="566"/>
        <v>Completed</v>
      </c>
      <c r="Y206" s="168" t="str">
        <f t="shared" ca="1" si="539"/>
        <v>Completed</v>
      </c>
      <c r="Z206" s="168" t="str">
        <f t="shared" ca="1" si="540"/>
        <v/>
      </c>
      <c r="AA206" s="169" t="str">
        <f t="shared" ca="1" si="541"/>
        <v/>
      </c>
    </row>
    <row r="207" spans="1:27" s="70" customFormat="1" ht="11.5" x14ac:dyDescent="0.25">
      <c r="A207" s="120" t="s">
        <v>65</v>
      </c>
      <c r="B207" s="120" t="s">
        <v>34</v>
      </c>
      <c r="C207" s="120" t="s">
        <v>804</v>
      </c>
      <c r="D207" s="120" t="s">
        <v>200</v>
      </c>
      <c r="E207" s="122">
        <f>(COUNTIFS(J207,"&lt;="&amp;$C$1)*50%)+(COUNTIFS(M207,"&lt;="&amp;$C$1)*20%)+(COUNTIFS(P207,"&lt;="&amp;$C$1)*10%)+(COUNTIFS(S207,"&lt;="&amp;$C$1)*20%)</f>
        <v>0.7</v>
      </c>
      <c r="F207" s="122">
        <f t="shared" si="429"/>
        <v>0.7</v>
      </c>
      <c r="G207" s="122">
        <f t="shared" si="563"/>
        <v>0.7</v>
      </c>
      <c r="H207" s="122">
        <f t="shared" si="431"/>
        <v>0</v>
      </c>
      <c r="I207" s="123">
        <v>0.55000000000000004</v>
      </c>
      <c r="J207" s="124">
        <f>K161+28</f>
        <v>46248</v>
      </c>
      <c r="K207" s="124">
        <f t="shared" si="432"/>
        <v>46248</v>
      </c>
      <c r="L207" s="124">
        <v>46269</v>
      </c>
      <c r="M207" s="124">
        <f t="shared" si="433"/>
        <v>46290</v>
      </c>
      <c r="N207" s="124">
        <f t="shared" si="434"/>
        <v>46290</v>
      </c>
      <c r="O207" s="126">
        <v>46290</v>
      </c>
      <c r="P207" s="124">
        <f t="shared" si="435"/>
        <v>46332</v>
      </c>
      <c r="Q207" s="124">
        <f t="shared" si="436"/>
        <v>46332</v>
      </c>
      <c r="R207" s="126"/>
      <c r="S207" s="124">
        <f t="shared" si="437"/>
        <v>46346</v>
      </c>
      <c r="T207" s="124">
        <f t="shared" si="438"/>
        <v>46346</v>
      </c>
      <c r="U207" s="126"/>
      <c r="V207" s="230"/>
      <c r="X207" s="168" t="str">
        <f t="shared" ca="1" si="566"/>
        <v>Completed</v>
      </c>
      <c r="Y207" s="168" t="str">
        <f t="shared" ca="1" si="539"/>
        <v>Completed</v>
      </c>
      <c r="Z207" s="168" t="str">
        <f t="shared" ca="1" si="540"/>
        <v/>
      </c>
      <c r="AA207" s="169" t="str">
        <f t="shared" ca="1" si="541"/>
        <v/>
      </c>
    </row>
    <row r="208" spans="1:27" s="70" customFormat="1" ht="11.5" x14ac:dyDescent="0.25">
      <c r="A208" s="120" t="s">
        <v>65</v>
      </c>
      <c r="B208" s="120" t="s">
        <v>34</v>
      </c>
      <c r="C208" s="120" t="s">
        <v>805</v>
      </c>
      <c r="D208" s="120" t="s">
        <v>201</v>
      </c>
      <c r="E208" s="122">
        <f t="shared" si="428"/>
        <v>0.7</v>
      </c>
      <c r="F208" s="122">
        <f t="shared" si="429"/>
        <v>0.7</v>
      </c>
      <c r="G208" s="122">
        <f t="shared" si="563"/>
        <v>0.7</v>
      </c>
      <c r="H208" s="122">
        <f t="shared" si="431"/>
        <v>0</v>
      </c>
      <c r="I208" s="123">
        <v>0.55000000000000004</v>
      </c>
      <c r="J208" s="124">
        <f>K162+28</f>
        <v>46255</v>
      </c>
      <c r="K208" s="124">
        <f t="shared" si="432"/>
        <v>46255</v>
      </c>
      <c r="L208" s="124">
        <v>46188</v>
      </c>
      <c r="M208" s="124">
        <f t="shared" si="433"/>
        <v>46297</v>
      </c>
      <c r="N208" s="124">
        <f t="shared" si="434"/>
        <v>46297</v>
      </c>
      <c r="O208" s="126">
        <v>46276</v>
      </c>
      <c r="P208" s="124">
        <f t="shared" si="435"/>
        <v>46339</v>
      </c>
      <c r="Q208" s="124">
        <f t="shared" si="436"/>
        <v>46339</v>
      </c>
      <c r="R208" s="124"/>
      <c r="S208" s="124">
        <f t="shared" si="437"/>
        <v>46353</v>
      </c>
      <c r="T208" s="124">
        <f t="shared" si="438"/>
        <v>46353</v>
      </c>
      <c r="U208" s="124"/>
      <c r="V208" s="229"/>
      <c r="X208" s="168" t="str">
        <f t="shared" ca="1" si="566"/>
        <v>Completed</v>
      </c>
      <c r="Y208" s="168" t="str">
        <f t="shared" ca="1" si="539"/>
        <v>Completed</v>
      </c>
      <c r="Z208" s="168" t="str">
        <f t="shared" ca="1" si="540"/>
        <v/>
      </c>
      <c r="AA208" s="169" t="str">
        <f t="shared" ca="1" si="541"/>
        <v/>
      </c>
    </row>
    <row r="209" spans="1:27" s="70" customFormat="1" ht="11.5" x14ac:dyDescent="0.25">
      <c r="A209" s="120" t="s">
        <v>65</v>
      </c>
      <c r="B209" s="120" t="s">
        <v>34</v>
      </c>
      <c r="C209" s="120" t="s">
        <v>806</v>
      </c>
      <c r="D209" s="120" t="s">
        <v>202</v>
      </c>
      <c r="E209" s="122">
        <f t="shared" si="428"/>
        <v>0.5</v>
      </c>
      <c r="F209" s="122">
        <f t="shared" si="429"/>
        <v>0.5</v>
      </c>
      <c r="G209" s="122">
        <f t="shared" si="563"/>
        <v>0.7</v>
      </c>
      <c r="H209" s="122">
        <f t="shared" si="431"/>
        <v>0.19999999999999996</v>
      </c>
      <c r="I209" s="123">
        <v>0.75</v>
      </c>
      <c r="J209" s="124">
        <f>K163+28</f>
        <v>46276</v>
      </c>
      <c r="K209" s="124">
        <f t="shared" si="432"/>
        <v>46276</v>
      </c>
      <c r="L209" s="124">
        <v>46269</v>
      </c>
      <c r="M209" s="124">
        <f t="shared" si="433"/>
        <v>46318</v>
      </c>
      <c r="N209" s="124">
        <f t="shared" si="434"/>
        <v>46318</v>
      </c>
      <c r="O209" s="124">
        <v>46290</v>
      </c>
      <c r="P209" s="124">
        <f t="shared" si="435"/>
        <v>46360</v>
      </c>
      <c r="Q209" s="124">
        <f t="shared" si="436"/>
        <v>46360</v>
      </c>
      <c r="R209" s="124"/>
      <c r="S209" s="124">
        <f t="shared" si="437"/>
        <v>46374</v>
      </c>
      <c r="T209" s="124">
        <f t="shared" si="438"/>
        <v>46374</v>
      </c>
      <c r="U209" s="124"/>
      <c r="V209" s="229"/>
      <c r="X209" s="168" t="str">
        <f t="shared" ca="1" si="566"/>
        <v>Completed</v>
      </c>
      <c r="Y209" s="168" t="str">
        <f t="shared" ca="1" si="539"/>
        <v>Completed</v>
      </c>
      <c r="Z209" s="168" t="str">
        <f t="shared" ca="1" si="540"/>
        <v/>
      </c>
      <c r="AA209" s="169" t="str">
        <f t="shared" ca="1" si="541"/>
        <v/>
      </c>
    </row>
    <row r="210" spans="1:27" s="70" customFormat="1" ht="11.5" x14ac:dyDescent="0.25">
      <c r="A210" s="120" t="s">
        <v>65</v>
      </c>
      <c r="B210" s="120" t="s">
        <v>34</v>
      </c>
      <c r="C210" s="120" t="s">
        <v>203</v>
      </c>
      <c r="D210" s="120" t="s">
        <v>204</v>
      </c>
      <c r="E210" s="122">
        <f t="shared" si="428"/>
        <v>1</v>
      </c>
      <c r="F210" s="122">
        <f t="shared" si="429"/>
        <v>1</v>
      </c>
      <c r="G210" s="122">
        <f t="shared" si="563"/>
        <v>0.79999999999999993</v>
      </c>
      <c r="H210" s="122">
        <f t="shared" si="431"/>
        <v>-0.20000000000000007</v>
      </c>
      <c r="I210" s="123">
        <v>1</v>
      </c>
      <c r="J210" s="124">
        <f>K164+28</f>
        <v>46199</v>
      </c>
      <c r="K210" s="124">
        <f t="shared" si="432"/>
        <v>46199</v>
      </c>
      <c r="L210" s="124">
        <v>46130</v>
      </c>
      <c r="M210" s="124">
        <f t="shared" si="433"/>
        <v>46241</v>
      </c>
      <c r="N210" s="124">
        <f t="shared" si="434"/>
        <v>46241</v>
      </c>
      <c r="O210" s="124">
        <v>46255</v>
      </c>
      <c r="P210" s="124">
        <f t="shared" si="435"/>
        <v>46283</v>
      </c>
      <c r="Q210" s="124">
        <f t="shared" si="436"/>
        <v>46283</v>
      </c>
      <c r="R210" s="124">
        <v>46293</v>
      </c>
      <c r="S210" s="124">
        <f t="shared" si="437"/>
        <v>46297</v>
      </c>
      <c r="T210" s="124">
        <f t="shared" si="438"/>
        <v>46297</v>
      </c>
      <c r="U210" s="124"/>
      <c r="V210" s="229" t="s">
        <v>1231</v>
      </c>
      <c r="X210" s="168" t="str">
        <f t="shared" ca="1" si="566"/>
        <v>Completed</v>
      </c>
      <c r="Y210" s="168" t="str">
        <f t="shared" ca="1" si="539"/>
        <v>Completed</v>
      </c>
      <c r="Z210" s="168" t="str">
        <f t="shared" ca="1" si="540"/>
        <v>Completed</v>
      </c>
      <c r="AA210" s="169" t="str">
        <f t="shared" ca="1" si="541"/>
        <v>Overdue</v>
      </c>
    </row>
    <row r="211" spans="1:27" s="70" customFormat="1" ht="11.5" x14ac:dyDescent="0.25">
      <c r="A211" s="120" t="s">
        <v>65</v>
      </c>
      <c r="B211" s="120" t="s">
        <v>34</v>
      </c>
      <c r="C211" s="120" t="s">
        <v>205</v>
      </c>
      <c r="D211" s="120" t="s">
        <v>206</v>
      </c>
      <c r="E211" s="122">
        <f t="shared" si="428"/>
        <v>0.7</v>
      </c>
      <c r="F211" s="122">
        <f t="shared" si="429"/>
        <v>0.7</v>
      </c>
      <c r="G211" s="122">
        <f t="shared" si="563"/>
        <v>0.7</v>
      </c>
      <c r="H211" s="122">
        <f t="shared" si="431"/>
        <v>0</v>
      </c>
      <c r="I211" s="123">
        <v>0.5</v>
      </c>
      <c r="J211" s="124">
        <f>K166+28</f>
        <v>46262</v>
      </c>
      <c r="K211" s="124">
        <f t="shared" si="432"/>
        <v>46262</v>
      </c>
      <c r="L211" s="124">
        <v>46262</v>
      </c>
      <c r="M211" s="124">
        <f t="shared" si="433"/>
        <v>46304</v>
      </c>
      <c r="N211" s="124">
        <f t="shared" si="434"/>
        <v>46304</v>
      </c>
      <c r="O211" s="124">
        <v>46281</v>
      </c>
      <c r="P211" s="124">
        <f t="shared" si="435"/>
        <v>46346</v>
      </c>
      <c r="Q211" s="124">
        <f t="shared" si="436"/>
        <v>46346</v>
      </c>
      <c r="R211" s="124"/>
      <c r="S211" s="124">
        <f t="shared" si="437"/>
        <v>46360</v>
      </c>
      <c r="T211" s="124">
        <f t="shared" si="438"/>
        <v>46360</v>
      </c>
      <c r="U211" s="124"/>
      <c r="V211" s="229"/>
      <c r="X211" s="168" t="str">
        <f t="shared" ca="1" si="566"/>
        <v>Completed</v>
      </c>
      <c r="Y211" s="168" t="str">
        <f t="shared" ca="1" si="539"/>
        <v>Completed</v>
      </c>
      <c r="Z211" s="168" t="str">
        <f t="shared" ca="1" si="540"/>
        <v/>
      </c>
      <c r="AA211" s="169" t="str">
        <f t="shared" ca="1" si="541"/>
        <v/>
      </c>
    </row>
    <row r="212" spans="1:27" s="70" customFormat="1" ht="11.5" x14ac:dyDescent="0.25">
      <c r="A212" s="120" t="s">
        <v>65</v>
      </c>
      <c r="B212" s="120" t="s">
        <v>34</v>
      </c>
      <c r="C212" s="120" t="s">
        <v>207</v>
      </c>
      <c r="D212" s="120" t="s">
        <v>208</v>
      </c>
      <c r="E212" s="122">
        <f t="shared" ref="E212:E281" si="582">(COUNTIFS(J212,"&lt;="&amp;$C$1)*50%)+(COUNTIFS(M212,"&lt;="&amp;$C$1)*20%)+(COUNTIFS(P212,"&lt;="&amp;$C$1)*10%)+(COUNTIFS(S212,"&lt;="&amp;$C$1)*20%)</f>
        <v>0.5</v>
      </c>
      <c r="F212" s="122">
        <f t="shared" ref="F212:F281" si="583">(COUNTIFS(K212,"&lt;="&amp;$C$1)*50%)+(COUNTIFS(N212,"&lt;="&amp;$C$1)*20%)+(COUNTIFS(Q212,"&lt;="&amp;$C$1)*10%)+(COUNTIFS(T212,"&lt;="&amp;$C$1)*20%)</f>
        <v>0.5</v>
      </c>
      <c r="G212" s="122">
        <f t="shared" si="563"/>
        <v>0.7</v>
      </c>
      <c r="H212" s="122">
        <f t="shared" ref="H212:H281" si="584">G212-E212</f>
        <v>0.19999999999999996</v>
      </c>
      <c r="I212" s="123">
        <v>0.5</v>
      </c>
      <c r="J212" s="124">
        <f>K167+28</f>
        <v>46269</v>
      </c>
      <c r="K212" s="124">
        <f t="shared" si="432"/>
        <v>46269</v>
      </c>
      <c r="L212" s="124">
        <v>46262</v>
      </c>
      <c r="M212" s="124">
        <f t="shared" si="433"/>
        <v>46311</v>
      </c>
      <c r="N212" s="124">
        <f t="shared" si="434"/>
        <v>46311</v>
      </c>
      <c r="O212" s="124">
        <v>46281</v>
      </c>
      <c r="P212" s="124">
        <f t="shared" si="435"/>
        <v>46353</v>
      </c>
      <c r="Q212" s="124">
        <f t="shared" si="436"/>
        <v>46353</v>
      </c>
      <c r="R212" s="124"/>
      <c r="S212" s="124">
        <f t="shared" si="437"/>
        <v>46367</v>
      </c>
      <c r="T212" s="124">
        <f t="shared" si="438"/>
        <v>46367</v>
      </c>
      <c r="U212" s="124"/>
      <c r="V212" s="229"/>
      <c r="X212" s="168" t="str">
        <f t="shared" ca="1" si="566"/>
        <v>Completed</v>
      </c>
      <c r="Y212" s="168" t="str">
        <f t="shared" ca="1" si="539"/>
        <v>Completed</v>
      </c>
      <c r="Z212" s="168" t="str">
        <f t="shared" ca="1" si="540"/>
        <v/>
      </c>
      <c r="AA212" s="169" t="str">
        <f t="shared" ca="1" si="541"/>
        <v/>
      </c>
    </row>
    <row r="213" spans="1:27" s="70" customFormat="1" ht="11.5" x14ac:dyDescent="0.25">
      <c r="A213" s="191" t="s">
        <v>65</v>
      </c>
      <c r="B213" s="191" t="s">
        <v>34</v>
      </c>
      <c r="C213" s="191" t="s">
        <v>786</v>
      </c>
      <c r="D213" s="191" t="s">
        <v>1149</v>
      </c>
      <c r="E213" s="122">
        <f t="shared" si="582"/>
        <v>1</v>
      </c>
      <c r="F213" s="122">
        <f t="shared" si="583"/>
        <v>1</v>
      </c>
      <c r="G213" s="122">
        <f t="shared" si="563"/>
        <v>1</v>
      </c>
      <c r="H213" s="122">
        <f t="shared" si="584"/>
        <v>0</v>
      </c>
      <c r="I213" s="193">
        <v>0.4</v>
      </c>
      <c r="J213" s="194">
        <v>46122</v>
      </c>
      <c r="K213" s="194">
        <f t="shared" ref="K213:K215" si="585">J213</f>
        <v>46122</v>
      </c>
      <c r="L213" s="194">
        <v>46115</v>
      </c>
      <c r="M213" s="194">
        <f t="shared" ref="M213:M215" si="586">J213+42</f>
        <v>46164</v>
      </c>
      <c r="N213" s="194">
        <f t="shared" ref="N213:N215" si="587">M213</f>
        <v>46164</v>
      </c>
      <c r="O213" s="194">
        <v>46276</v>
      </c>
      <c r="P213" s="194">
        <f t="shared" ref="P213:P215" si="588">M213+42</f>
        <v>46206</v>
      </c>
      <c r="Q213" s="194">
        <f t="shared" ref="Q213:Q215" si="589">P213</f>
        <v>46206</v>
      </c>
      <c r="R213" s="194">
        <v>46276</v>
      </c>
      <c r="S213" s="194">
        <f t="shared" ref="S213:S215" si="590">P213+14</f>
        <v>46220</v>
      </c>
      <c r="T213" s="194">
        <f t="shared" ref="T213:T215" si="591">S213</f>
        <v>46220</v>
      </c>
      <c r="U213" s="194">
        <v>46276</v>
      </c>
      <c r="V213" s="231"/>
      <c r="X213" s="168" t="str">
        <f t="shared" ca="1" si="566"/>
        <v>Completed</v>
      </c>
      <c r="Y213" s="168" t="str">
        <f t="shared" ca="1" si="539"/>
        <v>Completed</v>
      </c>
      <c r="Z213" s="168" t="str">
        <f t="shared" ca="1" si="540"/>
        <v>Completed</v>
      </c>
      <c r="AA213" s="169" t="str">
        <f t="shared" ca="1" si="541"/>
        <v>Completed</v>
      </c>
    </row>
    <row r="214" spans="1:27" s="70" customFormat="1" ht="11.5" x14ac:dyDescent="0.25">
      <c r="A214" s="191" t="s">
        <v>65</v>
      </c>
      <c r="B214" s="191" t="s">
        <v>34</v>
      </c>
      <c r="C214" s="191" t="s">
        <v>787</v>
      </c>
      <c r="D214" s="191" t="s">
        <v>1150</v>
      </c>
      <c r="E214" s="122">
        <f t="shared" ref="E214:E216" si="592">(COUNTIFS(J214,"&lt;="&amp;$C$1)*50%)+(COUNTIFS(M214,"&lt;="&amp;$C$1)*20%)+(COUNTIFS(P214,"&lt;="&amp;$C$1)*10%)+(COUNTIFS(S214,"&lt;="&amp;$C$1)*20%)</f>
        <v>1</v>
      </c>
      <c r="F214" s="122">
        <f t="shared" ref="F214:F216" si="593">(COUNTIFS(K214,"&lt;="&amp;$C$1)*50%)+(COUNTIFS(N214,"&lt;="&amp;$C$1)*20%)+(COUNTIFS(Q214,"&lt;="&amp;$C$1)*10%)+(COUNTIFS(T214,"&lt;="&amp;$C$1)*20%)</f>
        <v>1</v>
      </c>
      <c r="G214" s="122">
        <f t="shared" si="563"/>
        <v>1</v>
      </c>
      <c r="H214" s="122">
        <f t="shared" ref="H214:H216" si="594">G214-E214</f>
        <v>0</v>
      </c>
      <c r="I214" s="193">
        <v>0.4</v>
      </c>
      <c r="J214" s="194">
        <v>46129</v>
      </c>
      <c r="K214" s="194">
        <f t="shared" si="585"/>
        <v>46129</v>
      </c>
      <c r="L214" s="194">
        <v>46142</v>
      </c>
      <c r="M214" s="194">
        <f t="shared" si="586"/>
        <v>46171</v>
      </c>
      <c r="N214" s="194">
        <f t="shared" si="587"/>
        <v>46171</v>
      </c>
      <c r="O214" s="194">
        <v>46191</v>
      </c>
      <c r="P214" s="194">
        <f t="shared" si="588"/>
        <v>46213</v>
      </c>
      <c r="Q214" s="194">
        <f t="shared" si="589"/>
        <v>46213</v>
      </c>
      <c r="R214" s="194">
        <v>46276</v>
      </c>
      <c r="S214" s="194">
        <f t="shared" si="590"/>
        <v>46227</v>
      </c>
      <c r="T214" s="194">
        <f t="shared" si="591"/>
        <v>46227</v>
      </c>
      <c r="U214" s="194">
        <v>46276</v>
      </c>
      <c r="V214" s="231"/>
      <c r="X214" s="168" t="str">
        <f t="shared" ca="1" si="566"/>
        <v>Completed</v>
      </c>
      <c r="Y214" s="168" t="str">
        <f t="shared" ca="1" si="539"/>
        <v>Completed</v>
      </c>
      <c r="Z214" s="168" t="str">
        <f t="shared" ca="1" si="540"/>
        <v>Completed</v>
      </c>
      <c r="AA214" s="169" t="str">
        <f t="shared" ca="1" si="541"/>
        <v>Completed</v>
      </c>
    </row>
    <row r="215" spans="1:27" s="70" customFormat="1" ht="11.5" x14ac:dyDescent="0.25">
      <c r="A215" s="191" t="s">
        <v>65</v>
      </c>
      <c r="B215" s="191" t="s">
        <v>34</v>
      </c>
      <c r="C215" s="191" t="s">
        <v>788</v>
      </c>
      <c r="D215" s="191" t="s">
        <v>1151</v>
      </c>
      <c r="E215" s="122">
        <f t="shared" si="592"/>
        <v>1</v>
      </c>
      <c r="F215" s="122">
        <f t="shared" si="593"/>
        <v>1</v>
      </c>
      <c r="G215" s="122">
        <f t="shared" si="563"/>
        <v>1</v>
      </c>
      <c r="H215" s="122">
        <f t="shared" si="594"/>
        <v>0</v>
      </c>
      <c r="I215" s="193">
        <v>0.2</v>
      </c>
      <c r="J215" s="194">
        <v>46142</v>
      </c>
      <c r="K215" s="194">
        <f t="shared" si="585"/>
        <v>46142</v>
      </c>
      <c r="L215" s="194">
        <v>46248</v>
      </c>
      <c r="M215" s="194">
        <f t="shared" si="586"/>
        <v>46184</v>
      </c>
      <c r="N215" s="194">
        <f t="shared" si="587"/>
        <v>46184</v>
      </c>
      <c r="O215" s="194">
        <v>46248</v>
      </c>
      <c r="P215" s="194">
        <f t="shared" si="588"/>
        <v>46226</v>
      </c>
      <c r="Q215" s="194">
        <f t="shared" si="589"/>
        <v>46226</v>
      </c>
      <c r="R215" s="194">
        <v>46248</v>
      </c>
      <c r="S215" s="194">
        <f t="shared" si="590"/>
        <v>46240</v>
      </c>
      <c r="T215" s="194">
        <f t="shared" si="591"/>
        <v>46240</v>
      </c>
      <c r="U215" s="194">
        <v>46248</v>
      </c>
      <c r="V215" s="231"/>
      <c r="X215" s="168" t="str">
        <f t="shared" ca="1" si="566"/>
        <v>Completed</v>
      </c>
      <c r="Y215" s="168" t="str">
        <f t="shared" ca="1" si="539"/>
        <v>Completed</v>
      </c>
      <c r="Z215" s="168" t="str">
        <f t="shared" ca="1" si="540"/>
        <v>Completed</v>
      </c>
      <c r="AA215" s="169" t="str">
        <f t="shared" ca="1" si="541"/>
        <v>Completed</v>
      </c>
    </row>
    <row r="216" spans="1:27" s="70" customFormat="1" ht="11.5" x14ac:dyDescent="0.25">
      <c r="A216" s="191" t="s">
        <v>65</v>
      </c>
      <c r="B216" s="191" t="s">
        <v>34</v>
      </c>
      <c r="C216" s="191" t="s">
        <v>788</v>
      </c>
      <c r="D216" s="191" t="s">
        <v>1152</v>
      </c>
      <c r="E216" s="122">
        <f t="shared" si="592"/>
        <v>1</v>
      </c>
      <c r="F216" s="122">
        <f t="shared" si="593"/>
        <v>1</v>
      </c>
      <c r="G216" s="122">
        <f t="shared" si="563"/>
        <v>1</v>
      </c>
      <c r="H216" s="122">
        <f t="shared" si="594"/>
        <v>0</v>
      </c>
      <c r="I216" s="193"/>
      <c r="J216" s="194">
        <v>46142</v>
      </c>
      <c r="K216" s="194">
        <f t="shared" ref="K216" si="595">J216</f>
        <v>46142</v>
      </c>
      <c r="L216" s="194">
        <v>46276</v>
      </c>
      <c r="M216" s="194">
        <f t="shared" ref="M216" si="596">J216+42</f>
        <v>46184</v>
      </c>
      <c r="N216" s="194">
        <f t="shared" ref="N216" si="597">M216</f>
        <v>46184</v>
      </c>
      <c r="O216" s="194">
        <v>46276</v>
      </c>
      <c r="P216" s="194">
        <f t="shared" ref="P216" si="598">M216+42</f>
        <v>46226</v>
      </c>
      <c r="Q216" s="194">
        <f t="shared" ref="Q216" si="599">P216</f>
        <v>46226</v>
      </c>
      <c r="R216" s="194">
        <v>46276</v>
      </c>
      <c r="S216" s="194">
        <f t="shared" ref="S216" si="600">P216+14</f>
        <v>46240</v>
      </c>
      <c r="T216" s="194">
        <f t="shared" ref="T216" si="601">S216</f>
        <v>46240</v>
      </c>
      <c r="U216" s="194">
        <v>46276</v>
      </c>
      <c r="V216" s="231"/>
      <c r="X216" s="168" t="str">
        <f t="shared" ca="1" si="566"/>
        <v>Completed</v>
      </c>
      <c r="Y216" s="168" t="str">
        <f t="shared" ca="1" si="539"/>
        <v>Completed</v>
      </c>
      <c r="Z216" s="168" t="str">
        <f t="shared" ca="1" si="540"/>
        <v>Completed</v>
      </c>
      <c r="AA216" s="169" t="str">
        <f t="shared" ca="1" si="541"/>
        <v>Completed</v>
      </c>
    </row>
    <row r="217" spans="1:27" s="70" customFormat="1" ht="11.5" x14ac:dyDescent="0.25">
      <c r="A217" s="120" t="s">
        <v>65</v>
      </c>
      <c r="B217" s="120" t="s">
        <v>34</v>
      </c>
      <c r="C217" s="130" t="s">
        <v>847</v>
      </c>
      <c r="D217" s="120" t="s">
        <v>849</v>
      </c>
      <c r="E217" s="122">
        <v>0</v>
      </c>
      <c r="F217" s="122">
        <v>0</v>
      </c>
      <c r="G217" s="122">
        <v>0.5</v>
      </c>
      <c r="H217" s="122">
        <v>0.5</v>
      </c>
      <c r="I217" s="123">
        <v>0.2</v>
      </c>
      <c r="J217" s="124">
        <v>46157</v>
      </c>
      <c r="K217" s="124">
        <v>46157</v>
      </c>
      <c r="L217" s="124">
        <v>46150</v>
      </c>
      <c r="M217" s="124">
        <v>46199</v>
      </c>
      <c r="N217" s="124">
        <v>46199</v>
      </c>
      <c r="O217" s="124">
        <v>46191</v>
      </c>
      <c r="P217" s="124">
        <v>46241</v>
      </c>
      <c r="Q217" s="124">
        <v>46241</v>
      </c>
      <c r="R217" s="124">
        <v>46227</v>
      </c>
      <c r="S217" s="124">
        <v>46255</v>
      </c>
      <c r="T217" s="124">
        <v>46255</v>
      </c>
      <c r="U217" s="124">
        <v>46239</v>
      </c>
      <c r="V217" s="229"/>
      <c r="X217" s="168" t="str">
        <f t="shared" ca="1" si="566"/>
        <v>Completed</v>
      </c>
      <c r="Y217" s="168" t="str">
        <f t="shared" ca="1" si="539"/>
        <v>Completed</v>
      </c>
      <c r="Z217" s="168" t="str">
        <f t="shared" ca="1" si="540"/>
        <v>Completed</v>
      </c>
      <c r="AA217" s="169" t="str">
        <f t="shared" ca="1" si="541"/>
        <v>Completed</v>
      </c>
    </row>
    <row r="218" spans="1:27" s="70" customFormat="1" ht="11.5" x14ac:dyDescent="0.25">
      <c r="A218" s="120" t="s">
        <v>65</v>
      </c>
      <c r="B218" s="130" t="s">
        <v>34</v>
      </c>
      <c r="C218" s="130" t="s">
        <v>848</v>
      </c>
      <c r="D218" s="120" t="s">
        <v>850</v>
      </c>
      <c r="E218" s="122">
        <v>0</v>
      </c>
      <c r="F218" s="122">
        <v>0</v>
      </c>
      <c r="G218" s="122">
        <v>0.5</v>
      </c>
      <c r="H218" s="122">
        <v>0.5</v>
      </c>
      <c r="I218" s="123">
        <v>0.2</v>
      </c>
      <c r="J218" s="124">
        <v>46157</v>
      </c>
      <c r="K218" s="124">
        <v>46157</v>
      </c>
      <c r="L218" s="124">
        <v>46150</v>
      </c>
      <c r="M218" s="124">
        <v>46199</v>
      </c>
      <c r="N218" s="124">
        <v>46199</v>
      </c>
      <c r="O218" s="124">
        <v>46191</v>
      </c>
      <c r="P218" s="124">
        <v>46241</v>
      </c>
      <c r="Q218" s="124">
        <v>46241</v>
      </c>
      <c r="R218" s="124">
        <v>46227</v>
      </c>
      <c r="S218" s="124">
        <v>46255</v>
      </c>
      <c r="T218" s="124">
        <v>46255</v>
      </c>
      <c r="U218" s="124">
        <v>46239</v>
      </c>
      <c r="V218" s="229"/>
      <c r="X218" s="168" t="str">
        <f t="shared" ca="1" si="566"/>
        <v>Completed</v>
      </c>
      <c r="Y218" s="168" t="str">
        <f t="shared" ca="1" si="539"/>
        <v>Completed</v>
      </c>
      <c r="Z218" s="168" t="str">
        <f t="shared" ca="1" si="540"/>
        <v>Completed</v>
      </c>
      <c r="AA218" s="169" t="str">
        <f t="shared" ca="1" si="541"/>
        <v>Completed</v>
      </c>
    </row>
    <row r="219" spans="1:27" s="70" customFormat="1" ht="11.5" x14ac:dyDescent="0.25">
      <c r="A219" s="120" t="s">
        <v>65</v>
      </c>
      <c r="B219" s="120" t="s">
        <v>34</v>
      </c>
      <c r="C219" s="130" t="s">
        <v>841</v>
      </c>
      <c r="D219" s="131" t="s">
        <v>843</v>
      </c>
      <c r="E219" s="132">
        <v>0.5</v>
      </c>
      <c r="F219" s="132">
        <v>0.5</v>
      </c>
      <c r="G219" s="132">
        <v>0.5</v>
      </c>
      <c r="H219" s="132">
        <v>0</v>
      </c>
      <c r="I219" s="123">
        <v>0.2</v>
      </c>
      <c r="J219" s="133">
        <v>46143</v>
      </c>
      <c r="K219" s="133">
        <v>46143</v>
      </c>
      <c r="L219" s="124">
        <v>46142</v>
      </c>
      <c r="M219" s="124">
        <v>46185</v>
      </c>
      <c r="N219" s="124">
        <v>46185</v>
      </c>
      <c r="O219" s="124">
        <v>46191</v>
      </c>
      <c r="P219" s="124">
        <v>46227</v>
      </c>
      <c r="Q219" s="124">
        <v>46227</v>
      </c>
      <c r="R219" s="126">
        <v>46202</v>
      </c>
      <c r="S219" s="124">
        <v>46241</v>
      </c>
      <c r="T219" s="124">
        <v>46241</v>
      </c>
      <c r="U219" s="133">
        <v>46209</v>
      </c>
      <c r="V219" s="232"/>
      <c r="X219" s="168" t="str">
        <f t="shared" ca="1" si="566"/>
        <v>Completed</v>
      </c>
      <c r="Y219" s="168" t="str">
        <f t="shared" ca="1" si="539"/>
        <v>Completed</v>
      </c>
      <c r="Z219" s="168" t="str">
        <f t="shared" ca="1" si="540"/>
        <v>Completed</v>
      </c>
      <c r="AA219" s="169" t="str">
        <f t="shared" ca="1" si="541"/>
        <v>Completed</v>
      </c>
    </row>
    <row r="220" spans="1:27" s="70" customFormat="1" ht="11.5" x14ac:dyDescent="0.25">
      <c r="A220" s="120" t="s">
        <v>65</v>
      </c>
      <c r="B220" s="130" t="s">
        <v>34</v>
      </c>
      <c r="C220" s="130" t="s">
        <v>842</v>
      </c>
      <c r="D220" s="131" t="s">
        <v>844</v>
      </c>
      <c r="E220" s="122">
        <v>0.5</v>
      </c>
      <c r="F220" s="122">
        <v>0.5</v>
      </c>
      <c r="G220" s="122">
        <v>0.5</v>
      </c>
      <c r="H220" s="122">
        <v>0</v>
      </c>
      <c r="I220" s="123">
        <v>0.2</v>
      </c>
      <c r="J220" s="133">
        <v>46143</v>
      </c>
      <c r="K220" s="133">
        <v>46143</v>
      </c>
      <c r="L220" s="124">
        <v>46142</v>
      </c>
      <c r="M220" s="124">
        <v>46185</v>
      </c>
      <c r="N220" s="124">
        <v>46185</v>
      </c>
      <c r="O220" s="124">
        <v>46191</v>
      </c>
      <c r="P220" s="124">
        <v>46227</v>
      </c>
      <c r="Q220" s="124">
        <v>46227</v>
      </c>
      <c r="R220" s="124">
        <v>46254</v>
      </c>
      <c r="S220" s="124">
        <v>46241</v>
      </c>
      <c r="T220" s="124">
        <v>46241</v>
      </c>
      <c r="U220" s="133">
        <v>46269</v>
      </c>
      <c r="V220" s="232"/>
      <c r="X220" s="168" t="str">
        <f t="shared" ca="1" si="566"/>
        <v>Completed</v>
      </c>
      <c r="Y220" s="168" t="str">
        <f t="shared" ca="1" si="539"/>
        <v>Completed</v>
      </c>
      <c r="Z220" s="168" t="str">
        <f t="shared" ca="1" si="540"/>
        <v>Completed</v>
      </c>
      <c r="AA220" s="169" t="str">
        <f t="shared" ca="1" si="541"/>
        <v>Completed</v>
      </c>
    </row>
    <row r="221" spans="1:27" s="70" customFormat="1" ht="11.5" x14ac:dyDescent="0.25">
      <c r="A221" s="120" t="s">
        <v>65</v>
      </c>
      <c r="B221" s="120" t="s">
        <v>34</v>
      </c>
      <c r="C221" s="130" t="s">
        <v>845</v>
      </c>
      <c r="D221" s="131" t="s">
        <v>846</v>
      </c>
      <c r="E221" s="122">
        <v>0</v>
      </c>
      <c r="F221" s="122">
        <v>0</v>
      </c>
      <c r="G221" s="122">
        <v>0.5</v>
      </c>
      <c r="H221" s="122">
        <v>0.5</v>
      </c>
      <c r="I221" s="123">
        <v>0.2</v>
      </c>
      <c r="J221" s="133">
        <v>46157</v>
      </c>
      <c r="K221" s="133">
        <v>46157</v>
      </c>
      <c r="L221" s="124">
        <v>46150</v>
      </c>
      <c r="M221" s="124">
        <v>46199</v>
      </c>
      <c r="N221" s="124">
        <v>46199</v>
      </c>
      <c r="O221" s="124">
        <v>46191</v>
      </c>
      <c r="P221" s="124">
        <v>46241</v>
      </c>
      <c r="Q221" s="124">
        <v>46241</v>
      </c>
      <c r="R221" s="126">
        <v>46204</v>
      </c>
      <c r="S221" s="124">
        <v>46255</v>
      </c>
      <c r="T221" s="124">
        <v>46255</v>
      </c>
      <c r="U221" s="133">
        <v>46223</v>
      </c>
      <c r="V221" s="232"/>
      <c r="X221" s="168" t="str">
        <f t="shared" ca="1" si="566"/>
        <v>Completed</v>
      </c>
      <c r="Y221" s="168" t="str">
        <f t="shared" ca="1" si="539"/>
        <v>Completed</v>
      </c>
      <c r="Z221" s="168" t="str">
        <f t="shared" ca="1" si="540"/>
        <v>Completed</v>
      </c>
      <c r="AA221" s="169" t="str">
        <f t="shared" ca="1" si="541"/>
        <v>Completed</v>
      </c>
    </row>
    <row r="222" spans="1:27" s="70" customFormat="1" ht="11.5" x14ac:dyDescent="0.25">
      <c r="A222" s="120" t="s">
        <v>65</v>
      </c>
      <c r="B222" s="120" t="s">
        <v>34</v>
      </c>
      <c r="C222" s="130" t="s">
        <v>859</v>
      </c>
      <c r="D222" s="131" t="s">
        <v>860</v>
      </c>
      <c r="E222" s="122">
        <v>0</v>
      </c>
      <c r="F222" s="122">
        <v>0</v>
      </c>
      <c r="G222" s="122">
        <v>0.5</v>
      </c>
      <c r="H222" s="122">
        <v>0.5</v>
      </c>
      <c r="I222" s="123">
        <v>0.5</v>
      </c>
      <c r="J222" s="133">
        <f>J177+28</f>
        <v>46269</v>
      </c>
      <c r="K222" s="133">
        <f>K177+28</f>
        <v>46269</v>
      </c>
      <c r="L222" s="124">
        <v>46171</v>
      </c>
      <c r="M222" s="124">
        <f>J222+42</f>
        <v>46311</v>
      </c>
      <c r="N222" s="124">
        <f>K222+42</f>
        <v>46311</v>
      </c>
      <c r="O222" s="124">
        <v>46262</v>
      </c>
      <c r="P222" s="124">
        <f>M222+42</f>
        <v>46353</v>
      </c>
      <c r="Q222" s="124">
        <f>N222+42</f>
        <v>46353</v>
      </c>
      <c r="R222" s="124"/>
      <c r="S222" s="124">
        <f>P222+14</f>
        <v>46367</v>
      </c>
      <c r="T222" s="124">
        <f>Q222+14</f>
        <v>46367</v>
      </c>
      <c r="U222" s="133"/>
      <c r="V222" s="232"/>
      <c r="X222" s="168" t="str">
        <f t="shared" ca="1" si="566"/>
        <v>Completed</v>
      </c>
      <c r="Y222" s="168" t="str">
        <f t="shared" ca="1" si="539"/>
        <v>Completed</v>
      </c>
      <c r="Z222" s="168" t="str">
        <f t="shared" ca="1" si="540"/>
        <v/>
      </c>
      <c r="AA222" s="169" t="str">
        <f t="shared" ca="1" si="541"/>
        <v/>
      </c>
    </row>
    <row r="223" spans="1:27" s="70" customFormat="1" ht="11.5" x14ac:dyDescent="0.25">
      <c r="A223" s="120" t="s">
        <v>65</v>
      </c>
      <c r="B223" s="120" t="s">
        <v>34</v>
      </c>
      <c r="C223" s="120" t="s">
        <v>899</v>
      </c>
      <c r="D223" s="120" t="s">
        <v>900</v>
      </c>
      <c r="E223" s="122">
        <v>0</v>
      </c>
      <c r="F223" s="122">
        <v>0</v>
      </c>
      <c r="G223" s="122">
        <v>0.5</v>
      </c>
      <c r="H223" s="122">
        <v>0.5</v>
      </c>
      <c r="I223" s="123"/>
      <c r="J223" s="133">
        <f>J178+28</f>
        <v>46386</v>
      </c>
      <c r="K223" s="133">
        <f>K178+28</f>
        <v>46386</v>
      </c>
      <c r="L223" s="124">
        <v>46290</v>
      </c>
      <c r="M223" s="124">
        <f>J223+42</f>
        <v>46428</v>
      </c>
      <c r="N223" s="124">
        <f>K223+42</f>
        <v>46428</v>
      </c>
      <c r="O223" s="124"/>
      <c r="P223" s="124">
        <f>M223+42</f>
        <v>46470</v>
      </c>
      <c r="Q223" s="124">
        <f>N223+42</f>
        <v>46470</v>
      </c>
      <c r="R223" s="124"/>
      <c r="S223" s="124">
        <f>P223+14</f>
        <v>46484</v>
      </c>
      <c r="T223" s="124">
        <f>Q223+14</f>
        <v>46484</v>
      </c>
      <c r="U223" s="133"/>
      <c r="V223" s="232"/>
      <c r="X223" s="168" t="str">
        <f t="shared" ca="1" si="566"/>
        <v>Completed</v>
      </c>
      <c r="Y223" s="168" t="str">
        <f t="shared" ca="1" si="539"/>
        <v/>
      </c>
      <c r="Z223" s="168" t="str">
        <f t="shared" ca="1" si="540"/>
        <v/>
      </c>
      <c r="AA223" s="169" t="str">
        <f t="shared" ca="1" si="541"/>
        <v/>
      </c>
    </row>
    <row r="224" spans="1:27" s="70" customFormat="1" ht="11.5" x14ac:dyDescent="0.25">
      <c r="A224" s="71" t="s">
        <v>65</v>
      </c>
      <c r="B224" s="71" t="s">
        <v>34</v>
      </c>
      <c r="C224" s="71" t="s">
        <v>925</v>
      </c>
      <c r="D224" s="71" t="s">
        <v>776</v>
      </c>
      <c r="E224" s="81">
        <f t="shared" si="582"/>
        <v>0</v>
      </c>
      <c r="F224" s="81">
        <f t="shared" si="583"/>
        <v>0</v>
      </c>
      <c r="G224" s="81">
        <f>(COUNTIFS(L224,"&lt;="&amp;$C$1)*50%)+(COUNTIFS(O224,"&lt;="&amp;$C$1)*20%)+(COUNTIFS(R224,"&lt;="&amp;$C$1)*10%)+(COUNTIFS(U224,"&lt;="&amp;$C$1)*20%)</f>
        <v>0</v>
      </c>
      <c r="H224" s="81">
        <f t="shared" si="584"/>
        <v>0</v>
      </c>
      <c r="I224" s="82">
        <v>0.2</v>
      </c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212"/>
      <c r="X224" s="168" t="str">
        <f t="shared" ca="1" si="566"/>
        <v/>
      </c>
      <c r="Y224" s="168" t="str">
        <f t="shared" ca="1" si="539"/>
        <v/>
      </c>
      <c r="Z224" s="168" t="str">
        <f t="shared" ca="1" si="540"/>
        <v/>
      </c>
      <c r="AA224" s="169" t="str">
        <f t="shared" ca="1" si="541"/>
        <v/>
      </c>
    </row>
    <row r="225" spans="1:27" s="70" customFormat="1" ht="11.5" x14ac:dyDescent="0.25">
      <c r="A225" s="71" t="s">
        <v>65</v>
      </c>
      <c r="B225" s="71" t="s">
        <v>34</v>
      </c>
      <c r="C225" s="71" t="s">
        <v>926</v>
      </c>
      <c r="D225" s="71" t="s">
        <v>777</v>
      </c>
      <c r="E225" s="81">
        <f t="shared" si="582"/>
        <v>0</v>
      </c>
      <c r="F225" s="81">
        <f t="shared" si="583"/>
        <v>0</v>
      </c>
      <c r="G225" s="81">
        <f>(COUNTIFS(L225,"&lt;="&amp;$C$1)*50%)+(COUNTIFS(O225,"&lt;="&amp;$C$1)*20%)+(COUNTIFS(R225,"&lt;="&amp;$C$1)*10%)+(COUNTIFS(U225,"&lt;="&amp;$C$1)*20%)</f>
        <v>0</v>
      </c>
      <c r="H225" s="81">
        <f t="shared" si="584"/>
        <v>0</v>
      </c>
      <c r="I225" s="82">
        <v>0.4</v>
      </c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212"/>
      <c r="X225" s="168" t="str">
        <f t="shared" ca="1" si="566"/>
        <v/>
      </c>
      <c r="Y225" s="168" t="str">
        <f t="shared" ca="1" si="539"/>
        <v/>
      </c>
      <c r="Z225" s="168" t="str">
        <f t="shared" ca="1" si="540"/>
        <v/>
      </c>
      <c r="AA225" s="169" t="str">
        <f t="shared" ca="1" si="541"/>
        <v/>
      </c>
    </row>
    <row r="226" spans="1:27" s="70" customFormat="1" ht="11.5" x14ac:dyDescent="0.25">
      <c r="A226" s="71" t="s">
        <v>65</v>
      </c>
      <c r="B226" s="71" t="s">
        <v>34</v>
      </c>
      <c r="C226" s="71" t="s">
        <v>927</v>
      </c>
      <c r="D226" s="71" t="s">
        <v>778</v>
      </c>
      <c r="E226" s="81">
        <f t="shared" si="582"/>
        <v>0</v>
      </c>
      <c r="F226" s="81">
        <f t="shared" si="583"/>
        <v>0</v>
      </c>
      <c r="G226" s="81">
        <f>(COUNTIFS(L226,"&lt;="&amp;$C$1)*50%)+(COUNTIFS(O226,"&lt;="&amp;$C$1)*20%)+(COUNTIFS(R226,"&lt;="&amp;$C$1)*10%)+(COUNTIFS(U226,"&lt;="&amp;$C$1)*20%)</f>
        <v>0</v>
      </c>
      <c r="H226" s="81">
        <f t="shared" si="584"/>
        <v>0</v>
      </c>
      <c r="I226" s="82">
        <v>0.4</v>
      </c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212"/>
      <c r="X226" s="168" t="str">
        <f t="shared" ca="1" si="566"/>
        <v/>
      </c>
      <c r="Y226" s="168" t="str">
        <f t="shared" ca="1" si="539"/>
        <v/>
      </c>
      <c r="Z226" s="168" t="str">
        <f t="shared" ca="1" si="540"/>
        <v/>
      </c>
      <c r="AA226" s="169" t="str">
        <f t="shared" ca="1" si="541"/>
        <v/>
      </c>
    </row>
    <row r="227" spans="1:27" s="70" customFormat="1" ht="11.5" x14ac:dyDescent="0.25">
      <c r="A227" s="77"/>
      <c r="B227" s="77"/>
      <c r="C227" s="77"/>
      <c r="D227" s="78"/>
      <c r="E227" s="79"/>
      <c r="F227" s="79"/>
      <c r="G227" s="79"/>
      <c r="H227" s="79"/>
      <c r="I227" s="75"/>
      <c r="J227" s="76"/>
      <c r="K227" s="76"/>
      <c r="L227" s="76"/>
      <c r="M227" s="80"/>
      <c r="N227" s="76"/>
      <c r="O227" s="76"/>
      <c r="P227" s="80"/>
      <c r="Q227" s="76"/>
      <c r="R227" s="76"/>
      <c r="S227" s="80"/>
      <c r="T227" s="76"/>
      <c r="U227" s="76"/>
      <c r="V227" s="219"/>
      <c r="X227" s="168" t="str">
        <f t="shared" ca="1" si="566"/>
        <v/>
      </c>
      <c r="Y227" s="168" t="str">
        <f t="shared" ca="1" si="539"/>
        <v/>
      </c>
      <c r="Z227" s="168" t="str">
        <f t="shared" ca="1" si="540"/>
        <v/>
      </c>
      <c r="AA227" s="169" t="str">
        <f t="shared" ca="1" si="541"/>
        <v/>
      </c>
    </row>
    <row r="228" spans="1:27" s="70" customFormat="1" ht="11.5" x14ac:dyDescent="0.25">
      <c r="A228" s="92" t="s">
        <v>66</v>
      </c>
      <c r="B228" s="92" t="s">
        <v>14</v>
      </c>
      <c r="C228" s="92" t="s">
        <v>824</v>
      </c>
      <c r="D228" s="92" t="s">
        <v>820</v>
      </c>
      <c r="E228" s="94">
        <f t="shared" si="582"/>
        <v>1</v>
      </c>
      <c r="F228" s="94">
        <f t="shared" ref="F228:G230" si="602">(COUNTIFS(K228,"&lt;="&amp;$C$1)*50%)+(COUNTIFS(N228,"&lt;="&amp;$C$1)*20%)+(COUNTIFS(Q228,"&lt;="&amp;$C$1)*10%)+(COUNTIFS(T228,"&lt;="&amp;$C$1)*20%)</f>
        <v>1</v>
      </c>
      <c r="G228" s="94">
        <f t="shared" si="602"/>
        <v>1</v>
      </c>
      <c r="H228" s="94">
        <f t="shared" si="584"/>
        <v>0</v>
      </c>
      <c r="I228" s="95">
        <v>8.9999999999999993E-3</v>
      </c>
      <c r="J228" s="89">
        <v>46150</v>
      </c>
      <c r="K228" s="89">
        <f t="shared" ref="K228:K288" si="603">J228</f>
        <v>46150</v>
      </c>
      <c r="L228" s="89">
        <v>46175</v>
      </c>
      <c r="M228" s="89">
        <f t="shared" ref="M228:M288" si="604">J228+42</f>
        <v>46192</v>
      </c>
      <c r="N228" s="89">
        <f t="shared" ref="N228:N288" si="605">M228</f>
        <v>46192</v>
      </c>
      <c r="O228" s="89">
        <v>46191</v>
      </c>
      <c r="P228" s="89">
        <f t="shared" ref="P228:P288" si="606">M228+42</f>
        <v>46234</v>
      </c>
      <c r="Q228" s="89">
        <f t="shared" ref="Q228:Q288" si="607">P228</f>
        <v>46234</v>
      </c>
      <c r="R228" s="89">
        <v>46245</v>
      </c>
      <c r="S228" s="89">
        <f t="shared" ref="S228:S289" si="608">P228+14</f>
        <v>46248</v>
      </c>
      <c r="T228" s="89">
        <f t="shared" ref="T228:T288" si="609">S228</f>
        <v>46248</v>
      </c>
      <c r="U228" s="89">
        <v>46255</v>
      </c>
      <c r="V228" s="214"/>
      <c r="X228" s="168" t="str">
        <f t="shared" ca="1" si="566"/>
        <v>Completed</v>
      </c>
      <c r="Y228" s="168" t="str">
        <f t="shared" ca="1" si="539"/>
        <v>Completed</v>
      </c>
      <c r="Z228" s="168" t="str">
        <f t="shared" ca="1" si="540"/>
        <v>Completed</v>
      </c>
      <c r="AA228" s="169" t="str">
        <f t="shared" ca="1" si="541"/>
        <v>Completed</v>
      </c>
    </row>
    <row r="229" spans="1:27" s="70" customFormat="1" ht="11.5" x14ac:dyDescent="0.25">
      <c r="A229" s="92" t="s">
        <v>66</v>
      </c>
      <c r="B229" s="92" t="s">
        <v>14</v>
      </c>
      <c r="C229" s="92" t="s">
        <v>825</v>
      </c>
      <c r="D229" s="92" t="s">
        <v>821</v>
      </c>
      <c r="E229" s="94">
        <f t="shared" si="582"/>
        <v>1</v>
      </c>
      <c r="F229" s="94">
        <f t="shared" si="602"/>
        <v>1</v>
      </c>
      <c r="G229" s="94">
        <f t="shared" si="602"/>
        <v>1</v>
      </c>
      <c r="H229" s="94">
        <f t="shared" si="584"/>
        <v>0</v>
      </c>
      <c r="I229" s="95">
        <v>8.9999999999999993E-3</v>
      </c>
      <c r="J229" s="89">
        <v>46150</v>
      </c>
      <c r="K229" s="89">
        <f t="shared" si="603"/>
        <v>46150</v>
      </c>
      <c r="L229" s="89">
        <v>46175</v>
      </c>
      <c r="M229" s="89">
        <f t="shared" si="604"/>
        <v>46192</v>
      </c>
      <c r="N229" s="89">
        <f t="shared" si="605"/>
        <v>46192</v>
      </c>
      <c r="O229" s="89">
        <v>46191</v>
      </c>
      <c r="P229" s="89">
        <f t="shared" si="606"/>
        <v>46234</v>
      </c>
      <c r="Q229" s="89">
        <f t="shared" si="607"/>
        <v>46234</v>
      </c>
      <c r="R229" s="89">
        <v>46245</v>
      </c>
      <c r="S229" s="89">
        <f t="shared" si="608"/>
        <v>46248</v>
      </c>
      <c r="T229" s="89">
        <f t="shared" si="609"/>
        <v>46248</v>
      </c>
      <c r="U229" s="89">
        <v>46255</v>
      </c>
      <c r="V229" s="214"/>
      <c r="X229" s="168" t="str">
        <f t="shared" ca="1" si="566"/>
        <v>Completed</v>
      </c>
      <c r="Y229" s="168" t="str">
        <f t="shared" ca="1" si="539"/>
        <v>Completed</v>
      </c>
      <c r="Z229" s="168" t="str">
        <f t="shared" ca="1" si="540"/>
        <v>Completed</v>
      </c>
      <c r="AA229" s="169" t="str">
        <f t="shared" ca="1" si="541"/>
        <v>Completed</v>
      </c>
    </row>
    <row r="230" spans="1:27" s="70" customFormat="1" ht="11.5" x14ac:dyDescent="0.25">
      <c r="A230" s="92" t="s">
        <v>66</v>
      </c>
      <c r="B230" s="92" t="s">
        <v>14</v>
      </c>
      <c r="C230" s="92" t="s">
        <v>826</v>
      </c>
      <c r="D230" s="92" t="s">
        <v>822</v>
      </c>
      <c r="E230" s="94">
        <f t="shared" si="582"/>
        <v>1</v>
      </c>
      <c r="F230" s="94">
        <f t="shared" si="602"/>
        <v>1</v>
      </c>
      <c r="G230" s="94">
        <f t="shared" ref="G230" si="610">(COUNTIFS(L230,"&lt;="&amp;$C$1)*50%)+(COUNTIFS(O230,"&lt;="&amp;$C$1)*20%)+(COUNTIFS(R230,"&lt;="&amp;$C$1)*10%)+(COUNTIFS(U230,"&lt;="&amp;$C$1)*20%)</f>
        <v>1</v>
      </c>
      <c r="H230" s="94">
        <f t="shared" ref="H230" si="611">G230-E230</f>
        <v>0</v>
      </c>
      <c r="I230" s="95">
        <v>4.7E-2</v>
      </c>
      <c r="J230" s="89">
        <v>46150</v>
      </c>
      <c r="K230" s="89">
        <f t="shared" si="603"/>
        <v>46150</v>
      </c>
      <c r="L230" s="89">
        <v>46175</v>
      </c>
      <c r="M230" s="89">
        <f t="shared" si="604"/>
        <v>46192</v>
      </c>
      <c r="N230" s="89">
        <f t="shared" si="605"/>
        <v>46192</v>
      </c>
      <c r="O230" s="89">
        <v>46191</v>
      </c>
      <c r="P230" s="89">
        <f t="shared" si="606"/>
        <v>46234</v>
      </c>
      <c r="Q230" s="89">
        <f t="shared" si="607"/>
        <v>46234</v>
      </c>
      <c r="R230" s="89">
        <v>46245</v>
      </c>
      <c r="S230" s="89">
        <f t="shared" si="608"/>
        <v>46248</v>
      </c>
      <c r="T230" s="89">
        <f t="shared" si="609"/>
        <v>46248</v>
      </c>
      <c r="U230" s="89">
        <v>46255</v>
      </c>
      <c r="V230" s="214"/>
      <c r="X230" s="168" t="e">
        <f ca="1">IF(OR(#REF!&lt;&gt;""),"Completed",
IF(K230="","",IF(K230&lt;TODAY(),"Overdue",
IF(AND(K230&gt;=TODAY()-WEEKDAY(TODAY(),2)+1,K230&lt;=TODAY()-WEEKDAY(TODAY(),2)+7),"Follow-This Week",
IF(AND(K230&gt;=TODAY()-WEEKDAY(TODAY(),2)+8,K230&lt;=TODAY()-WEEKDAY(TODAY(),2)+14),"Follow-Next Week","")))))</f>
        <v>#REF!</v>
      </c>
      <c r="Y230" s="168" t="str">
        <f t="shared" ca="1" si="539"/>
        <v>Completed</v>
      </c>
      <c r="Z230" s="168" t="str">
        <f t="shared" ca="1" si="540"/>
        <v>Completed</v>
      </c>
      <c r="AA230" s="169" t="str">
        <f t="shared" ca="1" si="541"/>
        <v>Completed</v>
      </c>
    </row>
    <row r="231" spans="1:27" s="70" customFormat="1" ht="11.5" x14ac:dyDescent="0.25">
      <c r="A231" s="92" t="s">
        <v>66</v>
      </c>
      <c r="B231" s="92" t="s">
        <v>14</v>
      </c>
      <c r="C231" s="92" t="s">
        <v>827</v>
      </c>
      <c r="D231" s="92" t="s">
        <v>823</v>
      </c>
      <c r="E231" s="94">
        <f t="shared" si="582"/>
        <v>1</v>
      </c>
      <c r="F231" s="94">
        <f t="shared" si="583"/>
        <v>1</v>
      </c>
      <c r="G231" s="94">
        <f>(COUNTIFS(L230,"&lt;="&amp;$C$1)*50%)+(COUNTIFS(O231,"&lt;="&amp;$C$1)*20%)+(COUNTIFS(R231,"&lt;="&amp;$C$1)*10%)+(COUNTIFS(U231,"&lt;="&amp;$C$1)*20%)</f>
        <v>1</v>
      </c>
      <c r="H231" s="94">
        <f t="shared" si="584"/>
        <v>0</v>
      </c>
      <c r="I231" s="95">
        <v>4.7E-2</v>
      </c>
      <c r="J231" s="89">
        <v>46150</v>
      </c>
      <c r="K231" s="89">
        <f t="shared" si="603"/>
        <v>46150</v>
      </c>
      <c r="L231" s="89">
        <v>46175</v>
      </c>
      <c r="M231" s="89">
        <f t="shared" si="604"/>
        <v>46192</v>
      </c>
      <c r="N231" s="89">
        <f t="shared" si="605"/>
        <v>46192</v>
      </c>
      <c r="O231" s="89">
        <v>46191</v>
      </c>
      <c r="P231" s="89">
        <f t="shared" si="606"/>
        <v>46234</v>
      </c>
      <c r="Q231" s="89">
        <f t="shared" si="607"/>
        <v>46234</v>
      </c>
      <c r="R231" s="89">
        <v>46245</v>
      </c>
      <c r="S231" s="89">
        <f t="shared" si="608"/>
        <v>46248</v>
      </c>
      <c r="T231" s="89">
        <f t="shared" si="609"/>
        <v>46248</v>
      </c>
      <c r="U231" s="89">
        <v>46255</v>
      </c>
      <c r="V231" s="214"/>
      <c r="X231" s="168" t="str">
        <f ca="1">IF(OR(L230&lt;&gt;""),"Completed",
IF(K231="","",IF(K231&lt;TODAY(),"Overdue",
IF(AND(K231&gt;=TODAY()-WEEKDAY(TODAY(),2)+1,K231&lt;=TODAY()-WEEKDAY(TODAY(),2)+7),"Follow-This Week",
IF(AND(K231&gt;=TODAY()-WEEKDAY(TODAY(),2)+8,K231&lt;=TODAY()-WEEKDAY(TODAY(),2)+14),"Follow-Next Week","")))))</f>
        <v>Completed</v>
      </c>
      <c r="Y231" s="168" t="str">
        <f t="shared" ca="1" si="539"/>
        <v>Completed</v>
      </c>
      <c r="Z231" s="168" t="str">
        <f t="shared" ca="1" si="540"/>
        <v>Completed</v>
      </c>
      <c r="AA231" s="169" t="str">
        <f t="shared" ca="1" si="541"/>
        <v>Completed</v>
      </c>
    </row>
    <row r="232" spans="1:27" s="70" customFormat="1" ht="11.5" x14ac:dyDescent="0.25">
      <c r="A232" s="92" t="s">
        <v>66</v>
      </c>
      <c r="B232" s="92" t="s">
        <v>14</v>
      </c>
      <c r="C232" s="92" t="s">
        <v>209</v>
      </c>
      <c r="D232" s="91" t="s">
        <v>210</v>
      </c>
      <c r="E232" s="93">
        <f t="shared" si="582"/>
        <v>1</v>
      </c>
      <c r="F232" s="93">
        <f t="shared" si="583"/>
        <v>1</v>
      </c>
      <c r="G232" s="93">
        <f t="shared" ref="G232:G262" si="612">(COUNTIFS(L232,"&lt;="&amp;$C$1)*50%)+(COUNTIFS(O232,"&lt;="&amp;$C$1)*20%)+(COUNTIFS(R232,"&lt;="&amp;$C$1)*10%)+(COUNTIFS(U232,"&lt;="&amp;$C$1)*20%)</f>
        <v>1</v>
      </c>
      <c r="H232" s="93">
        <f t="shared" si="584"/>
        <v>0</v>
      </c>
      <c r="I232" s="129">
        <v>4.7E-2</v>
      </c>
      <c r="J232" s="89">
        <v>46150</v>
      </c>
      <c r="K232" s="89">
        <f t="shared" si="603"/>
        <v>46150</v>
      </c>
      <c r="L232" s="156">
        <v>46199</v>
      </c>
      <c r="M232" s="89">
        <f t="shared" si="604"/>
        <v>46192</v>
      </c>
      <c r="N232" s="89">
        <f t="shared" si="605"/>
        <v>46192</v>
      </c>
      <c r="O232" s="156">
        <v>46199</v>
      </c>
      <c r="P232" s="89">
        <f t="shared" si="606"/>
        <v>46234</v>
      </c>
      <c r="Q232" s="89">
        <f t="shared" si="607"/>
        <v>46234</v>
      </c>
      <c r="R232" s="156">
        <v>46234</v>
      </c>
      <c r="S232" s="89">
        <f t="shared" si="608"/>
        <v>46248</v>
      </c>
      <c r="T232" s="89">
        <f t="shared" si="609"/>
        <v>46248</v>
      </c>
      <c r="U232" s="156">
        <v>46248</v>
      </c>
      <c r="V232" s="212"/>
      <c r="X232" s="168" t="str">
        <f t="shared" ca="1" si="566"/>
        <v>Completed</v>
      </c>
      <c r="Y232" s="168" t="str">
        <f t="shared" ref="Y232:Y295" ca="1" si="613">IF(OR(O232&lt;&gt;""),"Completed",IF(N232="","",
IF(N232&lt;TODAY(),"Overdue",
IF(AND(N232&gt;=TODAY()-WEEKDAY(TODAY(),2)+1,N232&lt;=TODAY()-WEEKDAY(TODAY(),2)+7),"Follow-This Week",
IF(AND(N232&gt;=TODAY()-WEEKDAY(TODAY(),2)+8,N232&lt;=TODAY()-WEEKDAY(TODAY(),2)+14),"Follow-Next Week","")))))</f>
        <v>Completed</v>
      </c>
      <c r="Z232" s="168" t="str">
        <f t="shared" ref="Z232:Z295" ca="1" si="614">IF(OR(R232&lt;&gt;""),"Completed",IF(Q232="","",
IF(Q232&lt;TODAY(),"Overdue",
IF(AND(Q232&gt;=TODAY()-WEEKDAY(TODAY(),2)+1,Q232&lt;=TODAY()-WEEKDAY(TODAY(),2)+7),"Follow-This Week",
IF(AND(Q232&gt;=TODAY()-WEEKDAY(TODAY(),2)+8,Q232&lt;=TODAY()-WEEKDAY(TODAY(),2)+14),"Follow-Next Week","")))))</f>
        <v>Completed</v>
      </c>
      <c r="AA232" s="169" t="str">
        <f t="shared" ref="AA232:AA295" ca="1" si="615">IF(OR(U232&lt;&gt;""),"Completed",IF(T232="","",
IF(T232&lt;TODAY(),"Overdue",
IF(AND(T232&gt;=TODAY()-WEEKDAY(TODAY(),2)+1,T232&lt;=TODAY()-WEEKDAY(TODAY(),2)+7),"Follow-This Week",
IF(AND(T232&gt;=TODAY()-WEEKDAY(TODAY(),2)+8,T232&lt;=TODAY()-WEEKDAY(TODAY(),2)+14),"Follow-Next Week","")))))</f>
        <v>Completed</v>
      </c>
    </row>
    <row r="233" spans="1:27" s="70" customFormat="1" ht="11.5" x14ac:dyDescent="0.25">
      <c r="A233" s="92" t="s">
        <v>66</v>
      </c>
      <c r="B233" s="92" t="s">
        <v>14</v>
      </c>
      <c r="C233" s="92" t="s">
        <v>211</v>
      </c>
      <c r="D233" s="91" t="s">
        <v>212</v>
      </c>
      <c r="E233" s="93">
        <f t="shared" si="582"/>
        <v>1</v>
      </c>
      <c r="F233" s="93">
        <f t="shared" si="583"/>
        <v>1</v>
      </c>
      <c r="G233" s="93">
        <f t="shared" si="612"/>
        <v>1</v>
      </c>
      <c r="H233" s="93">
        <f t="shared" si="584"/>
        <v>0</v>
      </c>
      <c r="I233" s="129">
        <v>4.7E-2</v>
      </c>
      <c r="J233" s="89">
        <v>46150</v>
      </c>
      <c r="K233" s="89">
        <f t="shared" si="603"/>
        <v>46150</v>
      </c>
      <c r="L233" s="156">
        <v>46199</v>
      </c>
      <c r="M233" s="89">
        <f t="shared" si="604"/>
        <v>46192</v>
      </c>
      <c r="N233" s="89">
        <f t="shared" si="605"/>
        <v>46192</v>
      </c>
      <c r="O233" s="156">
        <v>46199</v>
      </c>
      <c r="P233" s="89">
        <f t="shared" si="606"/>
        <v>46234</v>
      </c>
      <c r="Q233" s="89">
        <f t="shared" si="607"/>
        <v>46234</v>
      </c>
      <c r="R233" s="156">
        <v>46234</v>
      </c>
      <c r="S233" s="89">
        <f t="shared" si="608"/>
        <v>46248</v>
      </c>
      <c r="T233" s="89">
        <f t="shared" si="609"/>
        <v>46248</v>
      </c>
      <c r="U233" s="156">
        <v>46248</v>
      </c>
      <c r="V233" s="212"/>
      <c r="X233" s="168" t="str">
        <f t="shared" ca="1" si="566"/>
        <v>Completed</v>
      </c>
      <c r="Y233" s="168" t="str">
        <f t="shared" ca="1" si="613"/>
        <v>Completed</v>
      </c>
      <c r="Z233" s="168" t="str">
        <f t="shared" ca="1" si="614"/>
        <v>Completed</v>
      </c>
      <c r="AA233" s="169" t="str">
        <f t="shared" ca="1" si="615"/>
        <v>Completed</v>
      </c>
    </row>
    <row r="234" spans="1:27" s="70" customFormat="1" ht="11.5" x14ac:dyDescent="0.25">
      <c r="A234" s="92" t="s">
        <v>66</v>
      </c>
      <c r="B234" s="92" t="s">
        <v>14</v>
      </c>
      <c r="C234" s="92" t="s">
        <v>213</v>
      </c>
      <c r="D234" s="91" t="s">
        <v>214</v>
      </c>
      <c r="E234" s="93">
        <f t="shared" si="582"/>
        <v>1</v>
      </c>
      <c r="F234" s="93">
        <f t="shared" si="583"/>
        <v>1</v>
      </c>
      <c r="G234" s="93">
        <f t="shared" si="612"/>
        <v>0.79999999999999993</v>
      </c>
      <c r="H234" s="93">
        <f t="shared" si="584"/>
        <v>-0.20000000000000007</v>
      </c>
      <c r="I234" s="129">
        <v>4.7E-2</v>
      </c>
      <c r="J234" s="89">
        <v>46150</v>
      </c>
      <c r="K234" s="89">
        <f t="shared" si="603"/>
        <v>46150</v>
      </c>
      <c r="L234" s="89">
        <v>46130</v>
      </c>
      <c r="M234" s="89">
        <f t="shared" si="604"/>
        <v>46192</v>
      </c>
      <c r="N234" s="89">
        <f t="shared" si="605"/>
        <v>46192</v>
      </c>
      <c r="O234" s="89">
        <v>46198</v>
      </c>
      <c r="P234" s="89">
        <f t="shared" si="606"/>
        <v>46234</v>
      </c>
      <c r="Q234" s="89">
        <f t="shared" si="607"/>
        <v>46234</v>
      </c>
      <c r="R234" s="89">
        <v>46234</v>
      </c>
      <c r="S234" s="89">
        <f t="shared" si="608"/>
        <v>46248</v>
      </c>
      <c r="T234" s="89">
        <f t="shared" si="609"/>
        <v>46248</v>
      </c>
      <c r="U234" s="89"/>
      <c r="V234" s="214" t="s">
        <v>1231</v>
      </c>
      <c r="X234" s="168" t="str">
        <f t="shared" ca="1" si="566"/>
        <v>Completed</v>
      </c>
      <c r="Y234" s="168" t="str">
        <f t="shared" ca="1" si="613"/>
        <v>Completed</v>
      </c>
      <c r="Z234" s="168" t="str">
        <f t="shared" ca="1" si="614"/>
        <v>Completed</v>
      </c>
      <c r="AA234" s="169" t="str">
        <f t="shared" ca="1" si="615"/>
        <v>Overdue</v>
      </c>
    </row>
    <row r="235" spans="1:27" s="70" customFormat="1" ht="11.5" x14ac:dyDescent="0.25">
      <c r="A235" s="92" t="s">
        <v>66</v>
      </c>
      <c r="B235" s="92" t="s">
        <v>14</v>
      </c>
      <c r="C235" s="92" t="s">
        <v>215</v>
      </c>
      <c r="D235" s="91" t="s">
        <v>216</v>
      </c>
      <c r="E235" s="93">
        <f t="shared" si="582"/>
        <v>1</v>
      </c>
      <c r="F235" s="93">
        <f t="shared" si="583"/>
        <v>1</v>
      </c>
      <c r="G235" s="93">
        <f t="shared" si="612"/>
        <v>0.79999999999999993</v>
      </c>
      <c r="H235" s="93">
        <f t="shared" si="584"/>
        <v>-0.20000000000000007</v>
      </c>
      <c r="I235" s="129">
        <v>4.7E-2</v>
      </c>
      <c r="J235" s="89">
        <v>46150</v>
      </c>
      <c r="K235" s="89">
        <f t="shared" si="603"/>
        <v>46150</v>
      </c>
      <c r="L235" s="89">
        <v>46130</v>
      </c>
      <c r="M235" s="89">
        <f t="shared" si="604"/>
        <v>46192</v>
      </c>
      <c r="N235" s="89">
        <f t="shared" si="605"/>
        <v>46192</v>
      </c>
      <c r="O235" s="89">
        <v>46198</v>
      </c>
      <c r="P235" s="89">
        <f t="shared" si="606"/>
        <v>46234</v>
      </c>
      <c r="Q235" s="89">
        <f t="shared" si="607"/>
        <v>46234</v>
      </c>
      <c r="R235" s="89">
        <v>46234</v>
      </c>
      <c r="S235" s="89">
        <f t="shared" si="608"/>
        <v>46248</v>
      </c>
      <c r="T235" s="89">
        <f t="shared" si="609"/>
        <v>46248</v>
      </c>
      <c r="U235" s="89"/>
      <c r="V235" s="214" t="s">
        <v>1231</v>
      </c>
      <c r="X235" s="168" t="str">
        <f t="shared" ca="1" si="566"/>
        <v>Completed</v>
      </c>
      <c r="Y235" s="168" t="str">
        <f t="shared" ca="1" si="613"/>
        <v>Completed</v>
      </c>
      <c r="Z235" s="168" t="str">
        <f t="shared" ca="1" si="614"/>
        <v>Completed</v>
      </c>
      <c r="AA235" s="169" t="str">
        <f t="shared" ca="1" si="615"/>
        <v>Overdue</v>
      </c>
    </row>
    <row r="236" spans="1:27" s="70" customFormat="1" ht="11.5" x14ac:dyDescent="0.25">
      <c r="A236" s="92" t="s">
        <v>66</v>
      </c>
      <c r="B236" s="92" t="s">
        <v>14</v>
      </c>
      <c r="C236" s="92" t="s">
        <v>217</v>
      </c>
      <c r="D236" s="91" t="s">
        <v>218</v>
      </c>
      <c r="E236" s="93">
        <f t="shared" si="582"/>
        <v>1</v>
      </c>
      <c r="F236" s="93">
        <f t="shared" si="583"/>
        <v>1</v>
      </c>
      <c r="G236" s="93">
        <f t="shared" si="612"/>
        <v>0.79999999999999993</v>
      </c>
      <c r="H236" s="93">
        <f t="shared" si="584"/>
        <v>-0.20000000000000007</v>
      </c>
      <c r="I236" s="129">
        <v>4.7E-2</v>
      </c>
      <c r="J236" s="89">
        <v>46150</v>
      </c>
      <c r="K236" s="89">
        <f t="shared" si="603"/>
        <v>46150</v>
      </c>
      <c r="L236" s="89">
        <v>46130</v>
      </c>
      <c r="M236" s="89">
        <f t="shared" si="604"/>
        <v>46192</v>
      </c>
      <c r="N236" s="89">
        <f t="shared" si="605"/>
        <v>46192</v>
      </c>
      <c r="O236" s="89">
        <v>46198</v>
      </c>
      <c r="P236" s="89">
        <f t="shared" si="606"/>
        <v>46234</v>
      </c>
      <c r="Q236" s="89">
        <f t="shared" si="607"/>
        <v>46234</v>
      </c>
      <c r="R236" s="89">
        <v>46234</v>
      </c>
      <c r="S236" s="89">
        <f t="shared" si="608"/>
        <v>46248</v>
      </c>
      <c r="T236" s="89">
        <f t="shared" si="609"/>
        <v>46248</v>
      </c>
      <c r="U236" s="89"/>
      <c r="V236" s="214" t="s">
        <v>1231</v>
      </c>
      <c r="X236" s="168" t="str">
        <f t="shared" ca="1" si="566"/>
        <v>Completed</v>
      </c>
      <c r="Y236" s="168" t="str">
        <f t="shared" ca="1" si="613"/>
        <v>Completed</v>
      </c>
      <c r="Z236" s="168" t="str">
        <f t="shared" ca="1" si="614"/>
        <v>Completed</v>
      </c>
      <c r="AA236" s="169" t="str">
        <f t="shared" ca="1" si="615"/>
        <v>Overdue</v>
      </c>
    </row>
    <row r="237" spans="1:27" s="70" customFormat="1" ht="11.5" x14ac:dyDescent="0.25">
      <c r="A237" s="92" t="s">
        <v>66</v>
      </c>
      <c r="B237" s="92" t="s">
        <v>14</v>
      </c>
      <c r="C237" s="92" t="s">
        <v>219</v>
      </c>
      <c r="D237" s="91" t="s">
        <v>220</v>
      </c>
      <c r="E237" s="93">
        <f t="shared" si="582"/>
        <v>1</v>
      </c>
      <c r="F237" s="93">
        <f t="shared" si="583"/>
        <v>1</v>
      </c>
      <c r="G237" s="93">
        <f t="shared" si="612"/>
        <v>0.79999999999999993</v>
      </c>
      <c r="H237" s="93">
        <f t="shared" si="584"/>
        <v>-0.20000000000000007</v>
      </c>
      <c r="I237" s="129">
        <v>4.7E-2</v>
      </c>
      <c r="J237" s="89">
        <v>46150</v>
      </c>
      <c r="K237" s="89">
        <f t="shared" si="603"/>
        <v>46150</v>
      </c>
      <c r="L237" s="89">
        <v>46130</v>
      </c>
      <c r="M237" s="89">
        <f t="shared" si="604"/>
        <v>46192</v>
      </c>
      <c r="N237" s="89">
        <f t="shared" si="605"/>
        <v>46192</v>
      </c>
      <c r="O237" s="89">
        <v>46198</v>
      </c>
      <c r="P237" s="89">
        <f t="shared" si="606"/>
        <v>46234</v>
      </c>
      <c r="Q237" s="89">
        <f t="shared" si="607"/>
        <v>46234</v>
      </c>
      <c r="R237" s="89">
        <v>46234</v>
      </c>
      <c r="S237" s="89">
        <f t="shared" si="608"/>
        <v>46248</v>
      </c>
      <c r="T237" s="89">
        <f t="shared" si="609"/>
        <v>46248</v>
      </c>
      <c r="U237" s="89"/>
      <c r="V237" s="214" t="s">
        <v>1231</v>
      </c>
      <c r="X237" s="168" t="str">
        <f t="shared" ca="1" si="566"/>
        <v>Completed</v>
      </c>
      <c r="Y237" s="168" t="str">
        <f t="shared" ca="1" si="613"/>
        <v>Completed</v>
      </c>
      <c r="Z237" s="168" t="str">
        <f t="shared" ca="1" si="614"/>
        <v>Completed</v>
      </c>
      <c r="AA237" s="169" t="str">
        <f t="shared" ca="1" si="615"/>
        <v>Overdue</v>
      </c>
    </row>
    <row r="238" spans="1:27" s="70" customFormat="1" ht="11.5" x14ac:dyDescent="0.25">
      <c r="A238" s="92" t="s">
        <v>66</v>
      </c>
      <c r="B238" s="92" t="s">
        <v>14</v>
      </c>
      <c r="C238" s="92" t="s">
        <v>221</v>
      </c>
      <c r="D238" s="91" t="s">
        <v>222</v>
      </c>
      <c r="E238" s="93">
        <f t="shared" si="582"/>
        <v>1</v>
      </c>
      <c r="F238" s="93">
        <f t="shared" si="583"/>
        <v>1</v>
      </c>
      <c r="G238" s="93">
        <f t="shared" si="612"/>
        <v>0.79999999999999993</v>
      </c>
      <c r="H238" s="93">
        <f t="shared" si="584"/>
        <v>-0.20000000000000007</v>
      </c>
      <c r="I238" s="129">
        <v>4.7E-2</v>
      </c>
      <c r="J238" s="89">
        <v>46150</v>
      </c>
      <c r="K238" s="89">
        <f t="shared" si="603"/>
        <v>46150</v>
      </c>
      <c r="L238" s="89">
        <v>46130</v>
      </c>
      <c r="M238" s="89">
        <f t="shared" si="604"/>
        <v>46192</v>
      </c>
      <c r="N238" s="89">
        <f t="shared" si="605"/>
        <v>46192</v>
      </c>
      <c r="O238" s="89">
        <v>46198</v>
      </c>
      <c r="P238" s="89">
        <f t="shared" si="606"/>
        <v>46234</v>
      </c>
      <c r="Q238" s="89">
        <f t="shared" si="607"/>
        <v>46234</v>
      </c>
      <c r="R238" s="89">
        <v>46234</v>
      </c>
      <c r="S238" s="89">
        <f t="shared" si="608"/>
        <v>46248</v>
      </c>
      <c r="T238" s="89">
        <f t="shared" si="609"/>
        <v>46248</v>
      </c>
      <c r="U238" s="89"/>
      <c r="V238" s="214" t="s">
        <v>1231</v>
      </c>
      <c r="X238" s="168" t="str">
        <f t="shared" ca="1" si="566"/>
        <v>Completed</v>
      </c>
      <c r="Y238" s="168" t="str">
        <f t="shared" ca="1" si="613"/>
        <v>Completed</v>
      </c>
      <c r="Z238" s="168" t="str">
        <f t="shared" ca="1" si="614"/>
        <v>Completed</v>
      </c>
      <c r="AA238" s="169" t="str">
        <f t="shared" ca="1" si="615"/>
        <v>Overdue</v>
      </c>
    </row>
    <row r="239" spans="1:27" s="70" customFormat="1" ht="11.5" x14ac:dyDescent="0.25">
      <c r="A239" s="92" t="s">
        <v>66</v>
      </c>
      <c r="B239" s="92" t="s">
        <v>14</v>
      </c>
      <c r="C239" s="92" t="s">
        <v>223</v>
      </c>
      <c r="D239" s="91" t="s">
        <v>224</v>
      </c>
      <c r="E239" s="93">
        <f t="shared" si="582"/>
        <v>1</v>
      </c>
      <c r="F239" s="93">
        <f t="shared" si="583"/>
        <v>1</v>
      </c>
      <c r="G239" s="93">
        <f t="shared" si="612"/>
        <v>0.79999999999999993</v>
      </c>
      <c r="H239" s="93">
        <f t="shared" si="584"/>
        <v>-0.20000000000000007</v>
      </c>
      <c r="I239" s="129">
        <v>4.7E-2</v>
      </c>
      <c r="J239" s="89">
        <v>46150</v>
      </c>
      <c r="K239" s="89">
        <f t="shared" si="603"/>
        <v>46150</v>
      </c>
      <c r="L239" s="89">
        <v>46130</v>
      </c>
      <c r="M239" s="89">
        <f t="shared" si="604"/>
        <v>46192</v>
      </c>
      <c r="N239" s="89">
        <f t="shared" si="605"/>
        <v>46192</v>
      </c>
      <c r="O239" s="89">
        <v>46198</v>
      </c>
      <c r="P239" s="89">
        <f t="shared" si="606"/>
        <v>46234</v>
      </c>
      <c r="Q239" s="89">
        <f t="shared" si="607"/>
        <v>46234</v>
      </c>
      <c r="R239" s="89">
        <v>46234</v>
      </c>
      <c r="S239" s="89">
        <f t="shared" si="608"/>
        <v>46248</v>
      </c>
      <c r="T239" s="89">
        <f t="shared" si="609"/>
        <v>46248</v>
      </c>
      <c r="U239" s="89"/>
      <c r="V239" s="214" t="s">
        <v>1231</v>
      </c>
      <c r="X239" s="168" t="str">
        <f t="shared" ca="1" si="566"/>
        <v>Completed</v>
      </c>
      <c r="Y239" s="168" t="str">
        <f t="shared" ca="1" si="613"/>
        <v>Completed</v>
      </c>
      <c r="Z239" s="168" t="str">
        <f t="shared" ca="1" si="614"/>
        <v>Completed</v>
      </c>
      <c r="AA239" s="169" t="str">
        <f t="shared" ca="1" si="615"/>
        <v>Overdue</v>
      </c>
    </row>
    <row r="240" spans="1:27" s="70" customFormat="1" ht="11.5" x14ac:dyDescent="0.25">
      <c r="A240" s="92" t="s">
        <v>66</v>
      </c>
      <c r="B240" s="92" t="s">
        <v>14</v>
      </c>
      <c r="C240" s="92" t="s">
        <v>225</v>
      </c>
      <c r="D240" s="91" t="s">
        <v>226</v>
      </c>
      <c r="E240" s="93">
        <f t="shared" si="582"/>
        <v>1</v>
      </c>
      <c r="F240" s="93">
        <f t="shared" si="583"/>
        <v>1</v>
      </c>
      <c r="G240" s="93">
        <f t="shared" si="612"/>
        <v>0.79999999999999993</v>
      </c>
      <c r="H240" s="93">
        <f t="shared" si="584"/>
        <v>-0.20000000000000007</v>
      </c>
      <c r="I240" s="129">
        <v>4.7E-2</v>
      </c>
      <c r="J240" s="89">
        <v>46150</v>
      </c>
      <c r="K240" s="89">
        <f t="shared" si="603"/>
        <v>46150</v>
      </c>
      <c r="L240" s="89">
        <v>46130</v>
      </c>
      <c r="M240" s="89">
        <f t="shared" si="604"/>
        <v>46192</v>
      </c>
      <c r="N240" s="89">
        <f t="shared" si="605"/>
        <v>46192</v>
      </c>
      <c r="O240" s="89">
        <v>46198</v>
      </c>
      <c r="P240" s="89">
        <f t="shared" si="606"/>
        <v>46234</v>
      </c>
      <c r="Q240" s="89">
        <f t="shared" si="607"/>
        <v>46234</v>
      </c>
      <c r="R240" s="89">
        <v>46234</v>
      </c>
      <c r="S240" s="89">
        <f t="shared" si="608"/>
        <v>46248</v>
      </c>
      <c r="T240" s="89">
        <f t="shared" si="609"/>
        <v>46248</v>
      </c>
      <c r="U240" s="89"/>
      <c r="V240" s="214" t="s">
        <v>1231</v>
      </c>
      <c r="X240" s="168" t="str">
        <f t="shared" ca="1" si="566"/>
        <v>Completed</v>
      </c>
      <c r="Y240" s="168" t="str">
        <f t="shared" ca="1" si="613"/>
        <v>Completed</v>
      </c>
      <c r="Z240" s="168" t="str">
        <f t="shared" ca="1" si="614"/>
        <v>Completed</v>
      </c>
      <c r="AA240" s="169" t="str">
        <f t="shared" ca="1" si="615"/>
        <v>Overdue</v>
      </c>
    </row>
    <row r="241" spans="1:27" s="70" customFormat="1" ht="11.5" x14ac:dyDescent="0.25">
      <c r="A241" s="92" t="s">
        <v>66</v>
      </c>
      <c r="B241" s="92" t="s">
        <v>14</v>
      </c>
      <c r="C241" s="92" t="s">
        <v>227</v>
      </c>
      <c r="D241" s="91" t="s">
        <v>228</v>
      </c>
      <c r="E241" s="93">
        <f t="shared" si="582"/>
        <v>1</v>
      </c>
      <c r="F241" s="93">
        <f t="shared" si="583"/>
        <v>1</v>
      </c>
      <c r="G241" s="93">
        <f t="shared" si="612"/>
        <v>0.79999999999999993</v>
      </c>
      <c r="H241" s="93">
        <f t="shared" si="584"/>
        <v>-0.20000000000000007</v>
      </c>
      <c r="I241" s="129">
        <v>4.7E-2</v>
      </c>
      <c r="J241" s="89">
        <v>46150</v>
      </c>
      <c r="K241" s="89">
        <f t="shared" si="603"/>
        <v>46150</v>
      </c>
      <c r="L241" s="89">
        <v>46130</v>
      </c>
      <c r="M241" s="89">
        <f t="shared" si="604"/>
        <v>46192</v>
      </c>
      <c r="N241" s="89">
        <f t="shared" si="605"/>
        <v>46192</v>
      </c>
      <c r="O241" s="89">
        <v>46198</v>
      </c>
      <c r="P241" s="89">
        <f t="shared" si="606"/>
        <v>46234</v>
      </c>
      <c r="Q241" s="89">
        <f t="shared" si="607"/>
        <v>46234</v>
      </c>
      <c r="R241" s="89">
        <v>46234</v>
      </c>
      <c r="S241" s="89">
        <f t="shared" si="608"/>
        <v>46248</v>
      </c>
      <c r="T241" s="89">
        <f t="shared" si="609"/>
        <v>46248</v>
      </c>
      <c r="U241" s="89"/>
      <c r="V241" s="214" t="s">
        <v>1231</v>
      </c>
      <c r="X241" s="168" t="str">
        <f t="shared" ca="1" si="566"/>
        <v>Completed</v>
      </c>
      <c r="Y241" s="168" t="str">
        <f t="shared" ca="1" si="613"/>
        <v>Completed</v>
      </c>
      <c r="Z241" s="168" t="str">
        <f t="shared" ca="1" si="614"/>
        <v>Completed</v>
      </c>
      <c r="AA241" s="169" t="str">
        <f t="shared" ca="1" si="615"/>
        <v>Overdue</v>
      </c>
    </row>
    <row r="242" spans="1:27" s="70" customFormat="1" ht="11.5" x14ac:dyDescent="0.25">
      <c r="A242" s="92" t="s">
        <v>66</v>
      </c>
      <c r="B242" s="92" t="s">
        <v>14</v>
      </c>
      <c r="C242" s="92" t="s">
        <v>229</v>
      </c>
      <c r="D242" s="91" t="s">
        <v>230</v>
      </c>
      <c r="E242" s="93">
        <f t="shared" si="582"/>
        <v>1</v>
      </c>
      <c r="F242" s="93">
        <f t="shared" si="583"/>
        <v>1</v>
      </c>
      <c r="G242" s="93">
        <f t="shared" si="612"/>
        <v>0.79999999999999993</v>
      </c>
      <c r="H242" s="93">
        <f t="shared" si="584"/>
        <v>-0.20000000000000007</v>
      </c>
      <c r="I242" s="129">
        <v>4.7E-2</v>
      </c>
      <c r="J242" s="89">
        <v>46150</v>
      </c>
      <c r="K242" s="89">
        <f t="shared" si="603"/>
        <v>46150</v>
      </c>
      <c r="L242" s="89">
        <v>46130</v>
      </c>
      <c r="M242" s="89">
        <f t="shared" si="604"/>
        <v>46192</v>
      </c>
      <c r="N242" s="89">
        <f t="shared" si="605"/>
        <v>46192</v>
      </c>
      <c r="O242" s="89">
        <v>46198</v>
      </c>
      <c r="P242" s="89">
        <f t="shared" si="606"/>
        <v>46234</v>
      </c>
      <c r="Q242" s="89">
        <f t="shared" si="607"/>
        <v>46234</v>
      </c>
      <c r="R242" s="89">
        <v>46234</v>
      </c>
      <c r="S242" s="89">
        <f t="shared" si="608"/>
        <v>46248</v>
      </c>
      <c r="T242" s="89">
        <f t="shared" si="609"/>
        <v>46248</v>
      </c>
      <c r="U242" s="89"/>
      <c r="V242" s="214" t="s">
        <v>1231</v>
      </c>
      <c r="X242" s="168" t="str">
        <f t="shared" ca="1" si="566"/>
        <v>Completed</v>
      </c>
      <c r="Y242" s="168" t="str">
        <f t="shared" ca="1" si="613"/>
        <v>Completed</v>
      </c>
      <c r="Z242" s="168" t="str">
        <f t="shared" ca="1" si="614"/>
        <v>Completed</v>
      </c>
      <c r="AA242" s="169" t="str">
        <f t="shared" ca="1" si="615"/>
        <v>Overdue</v>
      </c>
    </row>
    <row r="243" spans="1:27" s="70" customFormat="1" ht="11.5" x14ac:dyDescent="0.25">
      <c r="A243" s="92" t="s">
        <v>66</v>
      </c>
      <c r="B243" s="92" t="s">
        <v>14</v>
      </c>
      <c r="C243" s="92" t="s">
        <v>231</v>
      </c>
      <c r="D243" s="91" t="s">
        <v>232</v>
      </c>
      <c r="E243" s="93">
        <f t="shared" si="582"/>
        <v>1</v>
      </c>
      <c r="F243" s="93">
        <f t="shared" si="583"/>
        <v>1</v>
      </c>
      <c r="G243" s="93">
        <f t="shared" si="612"/>
        <v>0.79999999999999993</v>
      </c>
      <c r="H243" s="93">
        <f t="shared" si="584"/>
        <v>-0.20000000000000007</v>
      </c>
      <c r="I243" s="129">
        <v>4.7E-2</v>
      </c>
      <c r="J243" s="89">
        <v>46150</v>
      </c>
      <c r="K243" s="89">
        <f t="shared" si="603"/>
        <v>46150</v>
      </c>
      <c r="L243" s="89">
        <v>46130</v>
      </c>
      <c r="M243" s="89">
        <f t="shared" si="604"/>
        <v>46192</v>
      </c>
      <c r="N243" s="89">
        <f t="shared" si="605"/>
        <v>46192</v>
      </c>
      <c r="O243" s="89">
        <v>46198</v>
      </c>
      <c r="P243" s="89">
        <f t="shared" si="606"/>
        <v>46234</v>
      </c>
      <c r="Q243" s="89">
        <f t="shared" si="607"/>
        <v>46234</v>
      </c>
      <c r="R243" s="89">
        <v>46234</v>
      </c>
      <c r="S243" s="89">
        <f t="shared" si="608"/>
        <v>46248</v>
      </c>
      <c r="T243" s="89">
        <f t="shared" si="609"/>
        <v>46248</v>
      </c>
      <c r="U243" s="89"/>
      <c r="V243" s="214" t="s">
        <v>1231</v>
      </c>
      <c r="X243" s="168" t="str">
        <f t="shared" ca="1" si="566"/>
        <v>Completed</v>
      </c>
      <c r="Y243" s="168" t="str">
        <f t="shared" ca="1" si="613"/>
        <v>Completed</v>
      </c>
      <c r="Z243" s="168" t="str">
        <f t="shared" ca="1" si="614"/>
        <v>Completed</v>
      </c>
      <c r="AA243" s="169" t="str">
        <f t="shared" ca="1" si="615"/>
        <v>Overdue</v>
      </c>
    </row>
    <row r="244" spans="1:27" s="70" customFormat="1" ht="11.5" x14ac:dyDescent="0.25">
      <c r="A244" s="92" t="s">
        <v>66</v>
      </c>
      <c r="B244" s="92" t="s">
        <v>14</v>
      </c>
      <c r="C244" s="92" t="s">
        <v>233</v>
      </c>
      <c r="D244" s="91" t="s">
        <v>234</v>
      </c>
      <c r="E244" s="93">
        <f t="shared" si="582"/>
        <v>1</v>
      </c>
      <c r="F244" s="93">
        <f t="shared" si="583"/>
        <v>1</v>
      </c>
      <c r="G244" s="93">
        <f t="shared" si="612"/>
        <v>0.79999999999999993</v>
      </c>
      <c r="H244" s="93">
        <f t="shared" si="584"/>
        <v>-0.20000000000000007</v>
      </c>
      <c r="I244" s="129">
        <v>4.7E-2</v>
      </c>
      <c r="J244" s="89">
        <v>46150</v>
      </c>
      <c r="K244" s="89">
        <f t="shared" si="603"/>
        <v>46150</v>
      </c>
      <c r="L244" s="89">
        <v>46130</v>
      </c>
      <c r="M244" s="89">
        <f t="shared" si="604"/>
        <v>46192</v>
      </c>
      <c r="N244" s="89">
        <f t="shared" si="605"/>
        <v>46192</v>
      </c>
      <c r="O244" s="89">
        <v>46198</v>
      </c>
      <c r="P244" s="89">
        <f t="shared" si="606"/>
        <v>46234</v>
      </c>
      <c r="Q244" s="89">
        <f t="shared" si="607"/>
        <v>46234</v>
      </c>
      <c r="R244" s="89">
        <v>46234</v>
      </c>
      <c r="S244" s="89">
        <f t="shared" si="608"/>
        <v>46248</v>
      </c>
      <c r="T244" s="89">
        <f t="shared" si="609"/>
        <v>46248</v>
      </c>
      <c r="U244" s="89"/>
      <c r="V244" s="214" t="s">
        <v>1231</v>
      </c>
      <c r="X244" s="168" t="str">
        <f t="shared" ca="1" si="566"/>
        <v>Completed</v>
      </c>
      <c r="Y244" s="168" t="str">
        <f t="shared" ca="1" si="613"/>
        <v>Completed</v>
      </c>
      <c r="Z244" s="168" t="str">
        <f t="shared" ca="1" si="614"/>
        <v>Completed</v>
      </c>
      <c r="AA244" s="169" t="str">
        <f t="shared" ca="1" si="615"/>
        <v>Overdue</v>
      </c>
    </row>
    <row r="245" spans="1:27" s="70" customFormat="1" ht="11.5" x14ac:dyDescent="0.25">
      <c r="A245" s="92" t="s">
        <v>66</v>
      </c>
      <c r="B245" s="92" t="s">
        <v>14</v>
      </c>
      <c r="C245" s="92" t="s">
        <v>235</v>
      </c>
      <c r="D245" s="91" t="s">
        <v>236</v>
      </c>
      <c r="E245" s="93">
        <f t="shared" si="582"/>
        <v>1</v>
      </c>
      <c r="F245" s="93">
        <f t="shared" si="583"/>
        <v>1</v>
      </c>
      <c r="G245" s="93">
        <f t="shared" si="612"/>
        <v>0.79999999999999993</v>
      </c>
      <c r="H245" s="93">
        <f t="shared" si="584"/>
        <v>-0.20000000000000007</v>
      </c>
      <c r="I245" s="129">
        <v>4.7E-2</v>
      </c>
      <c r="J245" s="89">
        <v>46150</v>
      </c>
      <c r="K245" s="89">
        <f t="shared" si="603"/>
        <v>46150</v>
      </c>
      <c r="L245" s="89">
        <v>46130</v>
      </c>
      <c r="M245" s="89">
        <f t="shared" si="604"/>
        <v>46192</v>
      </c>
      <c r="N245" s="89">
        <f t="shared" si="605"/>
        <v>46192</v>
      </c>
      <c r="O245" s="89">
        <v>46198</v>
      </c>
      <c r="P245" s="89">
        <f t="shared" si="606"/>
        <v>46234</v>
      </c>
      <c r="Q245" s="89">
        <f t="shared" si="607"/>
        <v>46234</v>
      </c>
      <c r="R245" s="89">
        <v>46234</v>
      </c>
      <c r="S245" s="89">
        <f t="shared" si="608"/>
        <v>46248</v>
      </c>
      <c r="T245" s="89">
        <f t="shared" si="609"/>
        <v>46248</v>
      </c>
      <c r="U245" s="89"/>
      <c r="V245" s="214" t="s">
        <v>1231</v>
      </c>
      <c r="X245" s="168" t="str">
        <f t="shared" ca="1" si="566"/>
        <v>Completed</v>
      </c>
      <c r="Y245" s="168" t="str">
        <f t="shared" ca="1" si="613"/>
        <v>Completed</v>
      </c>
      <c r="Z245" s="168" t="str">
        <f t="shared" ca="1" si="614"/>
        <v>Completed</v>
      </c>
      <c r="AA245" s="169" t="str">
        <f t="shared" ca="1" si="615"/>
        <v>Overdue</v>
      </c>
    </row>
    <row r="246" spans="1:27" s="70" customFormat="1" ht="11.5" x14ac:dyDescent="0.25">
      <c r="A246" s="92" t="s">
        <v>66</v>
      </c>
      <c r="B246" s="92" t="s">
        <v>14</v>
      </c>
      <c r="C246" s="92" t="s">
        <v>237</v>
      </c>
      <c r="D246" s="91" t="s">
        <v>238</v>
      </c>
      <c r="E246" s="93">
        <f t="shared" si="582"/>
        <v>1</v>
      </c>
      <c r="F246" s="93">
        <f t="shared" si="583"/>
        <v>1</v>
      </c>
      <c r="G246" s="93">
        <f t="shared" si="612"/>
        <v>0.79999999999999993</v>
      </c>
      <c r="H246" s="93">
        <f t="shared" si="584"/>
        <v>-0.20000000000000007</v>
      </c>
      <c r="I246" s="129">
        <v>4.7E-2</v>
      </c>
      <c r="J246" s="89">
        <v>46150</v>
      </c>
      <c r="K246" s="89">
        <f t="shared" si="603"/>
        <v>46150</v>
      </c>
      <c r="L246" s="89">
        <v>46130</v>
      </c>
      <c r="M246" s="89">
        <f t="shared" si="604"/>
        <v>46192</v>
      </c>
      <c r="N246" s="89">
        <f t="shared" si="605"/>
        <v>46192</v>
      </c>
      <c r="O246" s="89">
        <v>46198</v>
      </c>
      <c r="P246" s="89">
        <f t="shared" si="606"/>
        <v>46234</v>
      </c>
      <c r="Q246" s="89">
        <f t="shared" si="607"/>
        <v>46234</v>
      </c>
      <c r="R246" s="89">
        <v>46234</v>
      </c>
      <c r="S246" s="89">
        <f t="shared" si="608"/>
        <v>46248</v>
      </c>
      <c r="T246" s="89">
        <f t="shared" si="609"/>
        <v>46248</v>
      </c>
      <c r="U246" s="89"/>
      <c r="V246" s="214" t="s">
        <v>1231</v>
      </c>
      <c r="X246" s="168" t="str">
        <f t="shared" ca="1" si="566"/>
        <v>Completed</v>
      </c>
      <c r="Y246" s="168" t="str">
        <f t="shared" ca="1" si="613"/>
        <v>Completed</v>
      </c>
      <c r="Z246" s="168" t="str">
        <f t="shared" ca="1" si="614"/>
        <v>Completed</v>
      </c>
      <c r="AA246" s="169" t="str">
        <f t="shared" ca="1" si="615"/>
        <v>Overdue</v>
      </c>
    </row>
    <row r="247" spans="1:27" s="70" customFormat="1" ht="11.5" x14ac:dyDescent="0.25">
      <c r="A247" s="92" t="s">
        <v>66</v>
      </c>
      <c r="B247" s="92" t="s">
        <v>14</v>
      </c>
      <c r="C247" s="92" t="s">
        <v>239</v>
      </c>
      <c r="D247" s="91" t="s">
        <v>240</v>
      </c>
      <c r="E247" s="93">
        <f t="shared" si="582"/>
        <v>1</v>
      </c>
      <c r="F247" s="93">
        <f t="shared" si="583"/>
        <v>1</v>
      </c>
      <c r="G247" s="93">
        <f t="shared" si="612"/>
        <v>0.79999999999999993</v>
      </c>
      <c r="H247" s="93">
        <f t="shared" si="584"/>
        <v>-0.20000000000000007</v>
      </c>
      <c r="I247" s="129">
        <v>4.7E-2</v>
      </c>
      <c r="J247" s="89">
        <v>46150</v>
      </c>
      <c r="K247" s="89">
        <f t="shared" si="603"/>
        <v>46150</v>
      </c>
      <c r="L247" s="89">
        <v>46130</v>
      </c>
      <c r="M247" s="89">
        <f t="shared" si="604"/>
        <v>46192</v>
      </c>
      <c r="N247" s="89">
        <f t="shared" si="605"/>
        <v>46192</v>
      </c>
      <c r="O247" s="89">
        <v>46198</v>
      </c>
      <c r="P247" s="89">
        <f t="shared" si="606"/>
        <v>46234</v>
      </c>
      <c r="Q247" s="89">
        <f t="shared" si="607"/>
        <v>46234</v>
      </c>
      <c r="R247" s="89">
        <v>46234</v>
      </c>
      <c r="S247" s="89">
        <f t="shared" si="608"/>
        <v>46248</v>
      </c>
      <c r="T247" s="89">
        <f t="shared" si="609"/>
        <v>46248</v>
      </c>
      <c r="U247" s="89"/>
      <c r="V247" s="214" t="s">
        <v>1231</v>
      </c>
      <c r="X247" s="168" t="str">
        <f t="shared" ca="1" si="566"/>
        <v>Completed</v>
      </c>
      <c r="Y247" s="168" t="str">
        <f t="shared" ca="1" si="613"/>
        <v>Completed</v>
      </c>
      <c r="Z247" s="168" t="str">
        <f t="shared" ca="1" si="614"/>
        <v>Completed</v>
      </c>
      <c r="AA247" s="169" t="str">
        <f t="shared" ca="1" si="615"/>
        <v>Overdue</v>
      </c>
    </row>
    <row r="248" spans="1:27" s="70" customFormat="1" ht="11.5" x14ac:dyDescent="0.25">
      <c r="A248" s="92" t="s">
        <v>66</v>
      </c>
      <c r="B248" s="92" t="s">
        <v>14</v>
      </c>
      <c r="C248" s="92" t="s">
        <v>241</v>
      </c>
      <c r="D248" s="91" t="s">
        <v>242</v>
      </c>
      <c r="E248" s="93">
        <f t="shared" si="582"/>
        <v>1</v>
      </c>
      <c r="F248" s="93">
        <f t="shared" si="583"/>
        <v>1</v>
      </c>
      <c r="G248" s="93">
        <f t="shared" si="612"/>
        <v>0.79999999999999993</v>
      </c>
      <c r="H248" s="93">
        <f t="shared" si="584"/>
        <v>-0.20000000000000007</v>
      </c>
      <c r="I248" s="129">
        <v>4.7E-2</v>
      </c>
      <c r="J248" s="89">
        <v>46150</v>
      </c>
      <c r="K248" s="89">
        <f t="shared" si="603"/>
        <v>46150</v>
      </c>
      <c r="L248" s="89">
        <v>46130</v>
      </c>
      <c r="M248" s="89">
        <f t="shared" si="604"/>
        <v>46192</v>
      </c>
      <c r="N248" s="89">
        <f t="shared" si="605"/>
        <v>46192</v>
      </c>
      <c r="O248" s="89">
        <v>46198</v>
      </c>
      <c r="P248" s="89">
        <f t="shared" si="606"/>
        <v>46234</v>
      </c>
      <c r="Q248" s="89">
        <f t="shared" si="607"/>
        <v>46234</v>
      </c>
      <c r="R248" s="89">
        <v>46234</v>
      </c>
      <c r="S248" s="89">
        <f t="shared" si="608"/>
        <v>46248</v>
      </c>
      <c r="T248" s="89">
        <f t="shared" si="609"/>
        <v>46248</v>
      </c>
      <c r="U248" s="89"/>
      <c r="V248" s="214" t="s">
        <v>1231</v>
      </c>
      <c r="X248" s="168" t="str">
        <f t="shared" ca="1" si="566"/>
        <v>Completed</v>
      </c>
      <c r="Y248" s="168" t="str">
        <f t="shared" ca="1" si="613"/>
        <v>Completed</v>
      </c>
      <c r="Z248" s="168" t="str">
        <f t="shared" ca="1" si="614"/>
        <v>Completed</v>
      </c>
      <c r="AA248" s="169" t="str">
        <f t="shared" ca="1" si="615"/>
        <v>Overdue</v>
      </c>
    </row>
    <row r="249" spans="1:27" s="70" customFormat="1" ht="11.5" x14ac:dyDescent="0.25">
      <c r="A249" s="92" t="s">
        <v>66</v>
      </c>
      <c r="B249" s="92" t="s">
        <v>14</v>
      </c>
      <c r="C249" s="92" t="s">
        <v>243</v>
      </c>
      <c r="D249" s="91" t="s">
        <v>244</v>
      </c>
      <c r="E249" s="93">
        <f t="shared" si="582"/>
        <v>1</v>
      </c>
      <c r="F249" s="93">
        <f t="shared" si="583"/>
        <v>1</v>
      </c>
      <c r="G249" s="93">
        <f t="shared" si="612"/>
        <v>0.79999999999999993</v>
      </c>
      <c r="H249" s="93">
        <f t="shared" si="584"/>
        <v>-0.20000000000000007</v>
      </c>
      <c r="I249" s="129">
        <v>4.7E-2</v>
      </c>
      <c r="J249" s="89">
        <v>46150</v>
      </c>
      <c r="K249" s="89">
        <f t="shared" si="603"/>
        <v>46150</v>
      </c>
      <c r="L249" s="89">
        <v>46130</v>
      </c>
      <c r="M249" s="89">
        <f t="shared" si="604"/>
        <v>46192</v>
      </c>
      <c r="N249" s="89">
        <f t="shared" si="605"/>
        <v>46192</v>
      </c>
      <c r="O249" s="89">
        <v>46198</v>
      </c>
      <c r="P249" s="89">
        <f t="shared" si="606"/>
        <v>46234</v>
      </c>
      <c r="Q249" s="89">
        <f t="shared" si="607"/>
        <v>46234</v>
      </c>
      <c r="R249" s="89">
        <v>46234</v>
      </c>
      <c r="S249" s="89">
        <f t="shared" si="608"/>
        <v>46248</v>
      </c>
      <c r="T249" s="89">
        <f t="shared" si="609"/>
        <v>46248</v>
      </c>
      <c r="U249" s="89"/>
      <c r="V249" s="214" t="s">
        <v>1231</v>
      </c>
      <c r="X249" s="168" t="str">
        <f t="shared" ca="1" si="566"/>
        <v>Completed</v>
      </c>
      <c r="Y249" s="168" t="str">
        <f t="shared" ca="1" si="613"/>
        <v>Completed</v>
      </c>
      <c r="Z249" s="168" t="str">
        <f t="shared" ca="1" si="614"/>
        <v>Completed</v>
      </c>
      <c r="AA249" s="169" t="str">
        <f t="shared" ca="1" si="615"/>
        <v>Overdue</v>
      </c>
    </row>
    <row r="250" spans="1:27" s="70" customFormat="1" ht="11.5" x14ac:dyDescent="0.25">
      <c r="A250" s="92" t="s">
        <v>66</v>
      </c>
      <c r="B250" s="92" t="s">
        <v>14</v>
      </c>
      <c r="C250" s="92" t="s">
        <v>245</v>
      </c>
      <c r="D250" s="91" t="s">
        <v>246</v>
      </c>
      <c r="E250" s="93">
        <f t="shared" si="582"/>
        <v>1</v>
      </c>
      <c r="F250" s="93">
        <f t="shared" si="583"/>
        <v>1</v>
      </c>
      <c r="G250" s="93">
        <f t="shared" si="612"/>
        <v>0.79999999999999993</v>
      </c>
      <c r="H250" s="93">
        <f t="shared" si="584"/>
        <v>-0.20000000000000007</v>
      </c>
      <c r="I250" s="129">
        <v>4.7E-2</v>
      </c>
      <c r="J250" s="89">
        <v>46150</v>
      </c>
      <c r="K250" s="89">
        <f t="shared" si="603"/>
        <v>46150</v>
      </c>
      <c r="L250" s="89">
        <v>46130</v>
      </c>
      <c r="M250" s="89">
        <f t="shared" si="604"/>
        <v>46192</v>
      </c>
      <c r="N250" s="89">
        <f t="shared" si="605"/>
        <v>46192</v>
      </c>
      <c r="O250" s="89">
        <v>46198</v>
      </c>
      <c r="P250" s="89">
        <f t="shared" si="606"/>
        <v>46234</v>
      </c>
      <c r="Q250" s="89">
        <f t="shared" si="607"/>
        <v>46234</v>
      </c>
      <c r="R250" s="89">
        <v>46234</v>
      </c>
      <c r="S250" s="89">
        <f t="shared" si="608"/>
        <v>46248</v>
      </c>
      <c r="T250" s="89">
        <f t="shared" si="609"/>
        <v>46248</v>
      </c>
      <c r="U250" s="89"/>
      <c r="V250" s="214" t="s">
        <v>1231</v>
      </c>
      <c r="X250" s="168" t="str">
        <f t="shared" ca="1" si="566"/>
        <v>Completed</v>
      </c>
      <c r="Y250" s="168" t="str">
        <f t="shared" ca="1" si="613"/>
        <v>Completed</v>
      </c>
      <c r="Z250" s="168" t="str">
        <f t="shared" ca="1" si="614"/>
        <v>Completed</v>
      </c>
      <c r="AA250" s="169" t="str">
        <f t="shared" ca="1" si="615"/>
        <v>Overdue</v>
      </c>
    </row>
    <row r="251" spans="1:27" s="70" customFormat="1" ht="11.5" x14ac:dyDescent="0.25">
      <c r="A251" s="92" t="s">
        <v>66</v>
      </c>
      <c r="B251" s="92" t="s">
        <v>14</v>
      </c>
      <c r="C251" s="92" t="s">
        <v>247</v>
      </c>
      <c r="D251" s="91" t="s">
        <v>248</v>
      </c>
      <c r="E251" s="93">
        <f t="shared" si="582"/>
        <v>1</v>
      </c>
      <c r="F251" s="93">
        <f t="shared" si="583"/>
        <v>1</v>
      </c>
      <c r="G251" s="93">
        <f t="shared" si="612"/>
        <v>0.79999999999999993</v>
      </c>
      <c r="H251" s="93">
        <f t="shared" si="584"/>
        <v>-0.20000000000000007</v>
      </c>
      <c r="I251" s="129">
        <v>4.7E-2</v>
      </c>
      <c r="J251" s="89">
        <v>46150</v>
      </c>
      <c r="K251" s="89">
        <f t="shared" si="603"/>
        <v>46150</v>
      </c>
      <c r="L251" s="89">
        <v>46130</v>
      </c>
      <c r="M251" s="89">
        <f t="shared" si="604"/>
        <v>46192</v>
      </c>
      <c r="N251" s="89">
        <f t="shared" si="605"/>
        <v>46192</v>
      </c>
      <c r="O251" s="89">
        <v>46198</v>
      </c>
      <c r="P251" s="89">
        <f t="shared" si="606"/>
        <v>46234</v>
      </c>
      <c r="Q251" s="89">
        <f t="shared" si="607"/>
        <v>46234</v>
      </c>
      <c r="R251" s="89">
        <v>46234</v>
      </c>
      <c r="S251" s="89">
        <f t="shared" si="608"/>
        <v>46248</v>
      </c>
      <c r="T251" s="89">
        <f t="shared" si="609"/>
        <v>46248</v>
      </c>
      <c r="U251" s="89"/>
      <c r="V251" s="214" t="s">
        <v>1231</v>
      </c>
      <c r="X251" s="168" t="str">
        <f t="shared" ca="1" si="566"/>
        <v>Completed</v>
      </c>
      <c r="Y251" s="168" t="str">
        <f t="shared" ca="1" si="613"/>
        <v>Completed</v>
      </c>
      <c r="Z251" s="168" t="str">
        <f t="shared" ca="1" si="614"/>
        <v>Completed</v>
      </c>
      <c r="AA251" s="169" t="str">
        <f t="shared" ca="1" si="615"/>
        <v>Overdue</v>
      </c>
    </row>
    <row r="252" spans="1:27" s="70" customFormat="1" ht="11.5" x14ac:dyDescent="0.25">
      <c r="A252" s="92" t="s">
        <v>66</v>
      </c>
      <c r="B252" s="92" t="s">
        <v>14</v>
      </c>
      <c r="C252" s="92" t="s">
        <v>249</v>
      </c>
      <c r="D252" s="147" t="s">
        <v>901</v>
      </c>
      <c r="E252" s="93">
        <f t="shared" si="582"/>
        <v>1</v>
      </c>
      <c r="F252" s="93">
        <f t="shared" si="583"/>
        <v>1</v>
      </c>
      <c r="G252" s="93">
        <f t="shared" si="612"/>
        <v>1</v>
      </c>
      <c r="H252" s="93">
        <f t="shared" si="584"/>
        <v>0</v>
      </c>
      <c r="I252" s="129">
        <v>4.7E-2</v>
      </c>
      <c r="J252" s="89">
        <v>46150</v>
      </c>
      <c r="K252" s="89">
        <f t="shared" si="603"/>
        <v>46150</v>
      </c>
      <c r="L252" s="89">
        <v>46130</v>
      </c>
      <c r="M252" s="89">
        <f t="shared" si="604"/>
        <v>46192</v>
      </c>
      <c r="N252" s="89">
        <f t="shared" si="605"/>
        <v>46192</v>
      </c>
      <c r="O252" s="89">
        <v>46198</v>
      </c>
      <c r="P252" s="89">
        <f t="shared" si="606"/>
        <v>46234</v>
      </c>
      <c r="Q252" s="89">
        <f t="shared" si="607"/>
        <v>46234</v>
      </c>
      <c r="R252" s="89">
        <v>46234</v>
      </c>
      <c r="S252" s="89">
        <f t="shared" si="608"/>
        <v>46248</v>
      </c>
      <c r="T252" s="89">
        <f t="shared" si="609"/>
        <v>46248</v>
      </c>
      <c r="U252" s="89">
        <v>46262</v>
      </c>
      <c r="V252" s="214"/>
      <c r="X252" s="168" t="str">
        <f t="shared" ca="1" si="566"/>
        <v>Completed</v>
      </c>
      <c r="Y252" s="168" t="str">
        <f t="shared" ca="1" si="613"/>
        <v>Completed</v>
      </c>
      <c r="Z252" s="168" t="str">
        <f t="shared" ca="1" si="614"/>
        <v>Completed</v>
      </c>
      <c r="AA252" s="169" t="str">
        <f t="shared" ca="1" si="615"/>
        <v>Completed</v>
      </c>
    </row>
    <row r="253" spans="1:27" s="70" customFormat="1" ht="11.5" x14ac:dyDescent="0.25">
      <c r="A253" s="92" t="s">
        <v>66</v>
      </c>
      <c r="B253" s="92" t="s">
        <v>14</v>
      </c>
      <c r="C253" s="92" t="s">
        <v>250</v>
      </c>
      <c r="D253" s="91" t="s">
        <v>251</v>
      </c>
      <c r="E253" s="93">
        <f t="shared" si="582"/>
        <v>1</v>
      </c>
      <c r="F253" s="93">
        <f t="shared" si="583"/>
        <v>1</v>
      </c>
      <c r="G253" s="93">
        <f t="shared" si="612"/>
        <v>1</v>
      </c>
      <c r="H253" s="93">
        <f t="shared" si="584"/>
        <v>0</v>
      </c>
      <c r="I253" s="129">
        <v>4.7E-2</v>
      </c>
      <c r="J253" s="89">
        <v>46150</v>
      </c>
      <c r="K253" s="89">
        <f t="shared" si="603"/>
        <v>46150</v>
      </c>
      <c r="L253" s="89">
        <v>46130</v>
      </c>
      <c r="M253" s="89">
        <f t="shared" si="604"/>
        <v>46192</v>
      </c>
      <c r="N253" s="89">
        <f t="shared" si="605"/>
        <v>46192</v>
      </c>
      <c r="O253" s="90">
        <v>46223</v>
      </c>
      <c r="P253" s="89">
        <f t="shared" si="606"/>
        <v>46234</v>
      </c>
      <c r="Q253" s="89">
        <f t="shared" si="607"/>
        <v>46234</v>
      </c>
      <c r="R253" s="89">
        <v>46247</v>
      </c>
      <c r="S253" s="89">
        <f t="shared" si="608"/>
        <v>46248</v>
      </c>
      <c r="T253" s="89">
        <f t="shared" si="609"/>
        <v>46248</v>
      </c>
      <c r="U253" s="89">
        <v>46255</v>
      </c>
      <c r="V253" s="214"/>
      <c r="X253" s="168" t="str">
        <f t="shared" ca="1" si="566"/>
        <v>Completed</v>
      </c>
      <c r="Y253" s="168" t="str">
        <f t="shared" ca="1" si="613"/>
        <v>Completed</v>
      </c>
      <c r="Z253" s="168" t="str">
        <f t="shared" ca="1" si="614"/>
        <v>Completed</v>
      </c>
      <c r="AA253" s="169" t="str">
        <f t="shared" ca="1" si="615"/>
        <v>Completed</v>
      </c>
    </row>
    <row r="254" spans="1:27" s="70" customFormat="1" ht="11.5" x14ac:dyDescent="0.25">
      <c r="A254" s="92" t="s">
        <v>66</v>
      </c>
      <c r="B254" s="92" t="s">
        <v>14</v>
      </c>
      <c r="C254" s="92" t="s">
        <v>252</v>
      </c>
      <c r="D254" s="91" t="s">
        <v>253</v>
      </c>
      <c r="E254" s="93">
        <f t="shared" si="582"/>
        <v>1</v>
      </c>
      <c r="F254" s="93">
        <f t="shared" si="583"/>
        <v>1</v>
      </c>
      <c r="G254" s="93">
        <f t="shared" si="612"/>
        <v>1</v>
      </c>
      <c r="H254" s="93">
        <f t="shared" si="584"/>
        <v>0</v>
      </c>
      <c r="I254" s="129">
        <v>4.7E-2</v>
      </c>
      <c r="J254" s="89">
        <v>46150</v>
      </c>
      <c r="K254" s="89">
        <f t="shared" si="603"/>
        <v>46150</v>
      </c>
      <c r="L254" s="89">
        <v>46142</v>
      </c>
      <c r="M254" s="89">
        <f t="shared" si="604"/>
        <v>46192</v>
      </c>
      <c r="N254" s="89">
        <f t="shared" si="605"/>
        <v>46192</v>
      </c>
      <c r="O254" s="89">
        <v>46199</v>
      </c>
      <c r="P254" s="89">
        <f t="shared" si="606"/>
        <v>46234</v>
      </c>
      <c r="Q254" s="89">
        <f t="shared" si="607"/>
        <v>46234</v>
      </c>
      <c r="R254" s="89">
        <v>46247</v>
      </c>
      <c r="S254" s="89">
        <f t="shared" si="608"/>
        <v>46248</v>
      </c>
      <c r="T254" s="89">
        <f t="shared" si="609"/>
        <v>46248</v>
      </c>
      <c r="U254" s="89">
        <v>46255</v>
      </c>
      <c r="V254" s="214"/>
      <c r="X254" s="168" t="str">
        <f t="shared" ca="1" si="566"/>
        <v>Completed</v>
      </c>
      <c r="Y254" s="168" t="str">
        <f t="shared" ca="1" si="613"/>
        <v>Completed</v>
      </c>
      <c r="Z254" s="168" t="str">
        <f t="shared" ca="1" si="614"/>
        <v>Completed</v>
      </c>
      <c r="AA254" s="169" t="str">
        <f t="shared" ca="1" si="615"/>
        <v>Completed</v>
      </c>
    </row>
    <row r="255" spans="1:27" s="70" customFormat="1" ht="11.5" x14ac:dyDescent="0.25">
      <c r="A255" s="92" t="s">
        <v>66</v>
      </c>
      <c r="B255" s="92" t="s">
        <v>14</v>
      </c>
      <c r="C255" s="92" t="s">
        <v>254</v>
      </c>
      <c r="D255" s="91" t="s">
        <v>255</v>
      </c>
      <c r="E255" s="93">
        <f t="shared" si="582"/>
        <v>1</v>
      </c>
      <c r="F255" s="93">
        <f t="shared" si="583"/>
        <v>1</v>
      </c>
      <c r="G255" s="93">
        <f t="shared" si="612"/>
        <v>1</v>
      </c>
      <c r="H255" s="93">
        <f t="shared" si="584"/>
        <v>0</v>
      </c>
      <c r="I255" s="129">
        <v>4.7E-2</v>
      </c>
      <c r="J255" s="89">
        <v>46150</v>
      </c>
      <c r="K255" s="89">
        <f t="shared" si="603"/>
        <v>46150</v>
      </c>
      <c r="L255" s="89">
        <v>46142</v>
      </c>
      <c r="M255" s="89">
        <f t="shared" si="604"/>
        <v>46192</v>
      </c>
      <c r="N255" s="89">
        <f t="shared" si="605"/>
        <v>46192</v>
      </c>
      <c r="O255" s="89">
        <v>46199</v>
      </c>
      <c r="P255" s="89">
        <f t="shared" si="606"/>
        <v>46234</v>
      </c>
      <c r="Q255" s="89">
        <f t="shared" si="607"/>
        <v>46234</v>
      </c>
      <c r="R255" s="89">
        <v>46247</v>
      </c>
      <c r="S255" s="89">
        <f t="shared" si="608"/>
        <v>46248</v>
      </c>
      <c r="T255" s="89">
        <f t="shared" si="609"/>
        <v>46248</v>
      </c>
      <c r="U255" s="89">
        <v>46255</v>
      </c>
      <c r="V255" s="214"/>
      <c r="X255" s="168" t="str">
        <f t="shared" ca="1" si="566"/>
        <v>Completed</v>
      </c>
      <c r="Y255" s="168" t="str">
        <f t="shared" ca="1" si="613"/>
        <v>Completed</v>
      </c>
      <c r="Z255" s="168" t="str">
        <f t="shared" ca="1" si="614"/>
        <v>Completed</v>
      </c>
      <c r="AA255" s="169" t="str">
        <f t="shared" ca="1" si="615"/>
        <v>Completed</v>
      </c>
    </row>
    <row r="256" spans="1:27" s="70" customFormat="1" ht="11.5" x14ac:dyDescent="0.25">
      <c r="A256" s="92" t="s">
        <v>66</v>
      </c>
      <c r="B256" s="92" t="s">
        <v>14</v>
      </c>
      <c r="C256" s="92" t="s">
        <v>256</v>
      </c>
      <c r="D256" s="91" t="s">
        <v>257</v>
      </c>
      <c r="E256" s="93">
        <f t="shared" ref="E256:E272" si="616">(COUNTIFS(J256,"&lt;="&amp;$C$1)*50%)+(COUNTIFS(M256,"&lt;="&amp;$C$1)*20%)+(COUNTIFS(P256,"&lt;="&amp;$C$1)*10%)+(COUNTIFS(S256,"&lt;="&amp;$C$1)*20%)</f>
        <v>1</v>
      </c>
      <c r="F256" s="93">
        <f t="shared" ref="F256:F272" si="617">(COUNTIFS(K256,"&lt;="&amp;$C$1)*50%)+(COUNTIFS(N256,"&lt;="&amp;$C$1)*20%)+(COUNTIFS(Q256,"&lt;="&amp;$C$1)*10%)+(COUNTIFS(T256,"&lt;="&amp;$C$1)*20%)</f>
        <v>1</v>
      </c>
      <c r="G256" s="93">
        <f t="shared" si="612"/>
        <v>1</v>
      </c>
      <c r="H256" s="93">
        <f t="shared" ref="H256:H272" si="618">G256-E256</f>
        <v>0</v>
      </c>
      <c r="I256" s="129">
        <v>4.7E-2</v>
      </c>
      <c r="J256" s="89">
        <v>46150</v>
      </c>
      <c r="K256" s="89">
        <f t="shared" si="603"/>
        <v>46150</v>
      </c>
      <c r="L256" s="89">
        <v>46142</v>
      </c>
      <c r="M256" s="89">
        <f t="shared" si="604"/>
        <v>46192</v>
      </c>
      <c r="N256" s="89">
        <f t="shared" si="605"/>
        <v>46192</v>
      </c>
      <c r="O256" s="89">
        <v>46199</v>
      </c>
      <c r="P256" s="89">
        <f t="shared" si="606"/>
        <v>46234</v>
      </c>
      <c r="Q256" s="89">
        <f t="shared" si="607"/>
        <v>46234</v>
      </c>
      <c r="R256" s="89">
        <v>46247</v>
      </c>
      <c r="S256" s="89">
        <f t="shared" si="608"/>
        <v>46248</v>
      </c>
      <c r="T256" s="89">
        <f t="shared" si="609"/>
        <v>46248</v>
      </c>
      <c r="U256" s="90">
        <v>46269</v>
      </c>
      <c r="V256" s="218"/>
      <c r="X256" s="168" t="str">
        <f t="shared" ca="1" si="566"/>
        <v>Completed</v>
      </c>
      <c r="Y256" s="168" t="str">
        <f t="shared" ca="1" si="613"/>
        <v>Completed</v>
      </c>
      <c r="Z256" s="168" t="str">
        <f t="shared" ca="1" si="614"/>
        <v>Completed</v>
      </c>
      <c r="AA256" s="169" t="str">
        <f t="shared" ca="1" si="615"/>
        <v>Completed</v>
      </c>
    </row>
    <row r="257" spans="1:27" s="70" customFormat="1" ht="11.5" x14ac:dyDescent="0.25">
      <c r="A257" s="92" t="s">
        <v>66</v>
      </c>
      <c r="B257" s="92" t="s">
        <v>14</v>
      </c>
      <c r="C257" s="92" t="s">
        <v>258</v>
      </c>
      <c r="D257" s="91" t="s">
        <v>259</v>
      </c>
      <c r="E257" s="93">
        <f t="shared" si="616"/>
        <v>1</v>
      </c>
      <c r="F257" s="93">
        <f>(COUNTIFS(K257,"&lt;="&amp;$C$1)*50%)+(COUNTIFS(N257,"&lt;="&amp;$C$1)*20%)+(COUNTIFS(Q257,"&lt;="&amp;$C$1)*10%)+(COUNTIFS(T257,"&lt;="&amp;$C$1)*20%)</f>
        <v>1</v>
      </c>
      <c r="G257" s="93">
        <f t="shared" si="612"/>
        <v>1</v>
      </c>
      <c r="H257" s="93">
        <f t="shared" si="618"/>
        <v>0</v>
      </c>
      <c r="I257" s="129">
        <v>4.7E-2</v>
      </c>
      <c r="J257" s="89">
        <v>46150</v>
      </c>
      <c r="K257" s="89">
        <f t="shared" si="603"/>
        <v>46150</v>
      </c>
      <c r="L257" s="89">
        <v>46142</v>
      </c>
      <c r="M257" s="89">
        <f t="shared" si="604"/>
        <v>46192</v>
      </c>
      <c r="N257" s="89">
        <f t="shared" si="605"/>
        <v>46192</v>
      </c>
      <c r="O257" s="89">
        <v>46185</v>
      </c>
      <c r="P257" s="89">
        <f t="shared" si="606"/>
        <v>46234</v>
      </c>
      <c r="Q257" s="89">
        <f t="shared" si="607"/>
        <v>46234</v>
      </c>
      <c r="R257" s="89">
        <v>46247</v>
      </c>
      <c r="S257" s="89">
        <f t="shared" si="608"/>
        <v>46248</v>
      </c>
      <c r="T257" s="89">
        <f t="shared" si="609"/>
        <v>46248</v>
      </c>
      <c r="U257" s="90">
        <v>46269</v>
      </c>
      <c r="V257" s="218"/>
      <c r="X257" s="168" t="str">
        <f t="shared" ca="1" si="566"/>
        <v>Completed</v>
      </c>
      <c r="Y257" s="168" t="str">
        <f t="shared" ca="1" si="613"/>
        <v>Completed</v>
      </c>
      <c r="Z257" s="168" t="str">
        <f t="shared" ca="1" si="614"/>
        <v>Completed</v>
      </c>
      <c r="AA257" s="169" t="str">
        <f t="shared" ca="1" si="615"/>
        <v>Completed</v>
      </c>
    </row>
    <row r="258" spans="1:27" s="70" customFormat="1" ht="11.5" x14ac:dyDescent="0.25">
      <c r="A258" s="92" t="s">
        <v>66</v>
      </c>
      <c r="B258" s="92" t="s">
        <v>14</v>
      </c>
      <c r="C258" s="92" t="s">
        <v>260</v>
      </c>
      <c r="D258" s="91" t="s">
        <v>261</v>
      </c>
      <c r="E258" s="93">
        <f t="shared" si="616"/>
        <v>1</v>
      </c>
      <c r="F258" s="93">
        <f>(COUNTIFS(K258,"&lt;="&amp;$C$1)*50%)+(COUNTIFS(N258,"&lt;="&amp;$C$1)*20%)+(COUNTIFS(Q258,"&lt;="&amp;$C$1)*10%)+(COUNTIFS(T258,"&lt;="&amp;$C$1)*20%)</f>
        <v>1</v>
      </c>
      <c r="G258" s="93">
        <f t="shared" si="612"/>
        <v>1</v>
      </c>
      <c r="H258" s="93">
        <f t="shared" si="618"/>
        <v>0</v>
      </c>
      <c r="I258" s="129">
        <v>4.7E-2</v>
      </c>
      <c r="J258" s="89">
        <v>46150</v>
      </c>
      <c r="K258" s="89">
        <f t="shared" si="603"/>
        <v>46150</v>
      </c>
      <c r="L258" s="89">
        <v>46142</v>
      </c>
      <c r="M258" s="89">
        <f t="shared" si="604"/>
        <v>46192</v>
      </c>
      <c r="N258" s="89">
        <f t="shared" si="605"/>
        <v>46192</v>
      </c>
      <c r="O258" s="89">
        <v>46185</v>
      </c>
      <c r="P258" s="89">
        <f t="shared" si="606"/>
        <v>46234</v>
      </c>
      <c r="Q258" s="89">
        <f t="shared" si="607"/>
        <v>46234</v>
      </c>
      <c r="R258" s="89">
        <v>46247</v>
      </c>
      <c r="S258" s="89">
        <f t="shared" si="608"/>
        <v>46248</v>
      </c>
      <c r="T258" s="89">
        <f t="shared" si="609"/>
        <v>46248</v>
      </c>
      <c r="U258" s="90">
        <v>46269</v>
      </c>
      <c r="V258" s="218"/>
      <c r="X258" s="168" t="str">
        <f t="shared" ca="1" si="566"/>
        <v>Completed</v>
      </c>
      <c r="Y258" s="168" t="str">
        <f t="shared" ca="1" si="613"/>
        <v>Completed</v>
      </c>
      <c r="Z258" s="168" t="str">
        <f t="shared" ca="1" si="614"/>
        <v>Completed</v>
      </c>
      <c r="AA258" s="169" t="str">
        <f t="shared" ca="1" si="615"/>
        <v>Completed</v>
      </c>
    </row>
    <row r="259" spans="1:27" s="70" customFormat="1" ht="11.5" x14ac:dyDescent="0.25">
      <c r="A259" s="92" t="s">
        <v>66</v>
      </c>
      <c r="B259" s="92" t="s">
        <v>14</v>
      </c>
      <c r="C259" s="92" t="s">
        <v>262</v>
      </c>
      <c r="D259" s="91" t="s">
        <v>263</v>
      </c>
      <c r="E259" s="93">
        <f t="shared" si="616"/>
        <v>1</v>
      </c>
      <c r="F259" s="93">
        <f t="shared" si="617"/>
        <v>1</v>
      </c>
      <c r="G259" s="93">
        <f t="shared" si="612"/>
        <v>1</v>
      </c>
      <c r="H259" s="93">
        <f t="shared" si="618"/>
        <v>0</v>
      </c>
      <c r="I259" s="129">
        <v>4.7E-2</v>
      </c>
      <c r="J259" s="89">
        <v>46150</v>
      </c>
      <c r="K259" s="89">
        <f t="shared" si="603"/>
        <v>46150</v>
      </c>
      <c r="L259" s="89">
        <v>46142</v>
      </c>
      <c r="M259" s="89">
        <f t="shared" si="604"/>
        <v>46192</v>
      </c>
      <c r="N259" s="89">
        <f t="shared" si="605"/>
        <v>46192</v>
      </c>
      <c r="O259" s="89">
        <v>46185</v>
      </c>
      <c r="P259" s="89">
        <f t="shared" si="606"/>
        <v>46234</v>
      </c>
      <c r="Q259" s="89">
        <f t="shared" si="607"/>
        <v>46234</v>
      </c>
      <c r="R259" s="89">
        <v>46247</v>
      </c>
      <c r="S259" s="89">
        <f t="shared" si="608"/>
        <v>46248</v>
      </c>
      <c r="T259" s="89">
        <f t="shared" si="609"/>
        <v>46248</v>
      </c>
      <c r="U259" s="90">
        <v>46269</v>
      </c>
      <c r="V259" s="218"/>
      <c r="X259" s="168" t="str">
        <f t="shared" ca="1" si="566"/>
        <v>Completed</v>
      </c>
      <c r="Y259" s="168" t="str">
        <f t="shared" ca="1" si="613"/>
        <v>Completed</v>
      </c>
      <c r="Z259" s="168" t="str">
        <f t="shared" ca="1" si="614"/>
        <v>Completed</v>
      </c>
      <c r="AA259" s="169" t="str">
        <f t="shared" ca="1" si="615"/>
        <v>Completed</v>
      </c>
    </row>
    <row r="260" spans="1:27" s="70" customFormat="1" ht="11.5" x14ac:dyDescent="0.25">
      <c r="A260" s="92" t="s">
        <v>66</v>
      </c>
      <c r="B260" s="92" t="s">
        <v>14</v>
      </c>
      <c r="C260" s="92" t="s">
        <v>264</v>
      </c>
      <c r="D260" s="91" t="s">
        <v>265</v>
      </c>
      <c r="E260" s="93">
        <f t="shared" si="616"/>
        <v>1</v>
      </c>
      <c r="F260" s="93">
        <f t="shared" si="617"/>
        <v>1</v>
      </c>
      <c r="G260" s="93">
        <f t="shared" si="612"/>
        <v>1</v>
      </c>
      <c r="H260" s="93">
        <f t="shared" si="618"/>
        <v>0</v>
      </c>
      <c r="I260" s="129">
        <v>4.7E-2</v>
      </c>
      <c r="J260" s="89">
        <v>46150</v>
      </c>
      <c r="K260" s="89">
        <f t="shared" si="603"/>
        <v>46150</v>
      </c>
      <c r="L260" s="89">
        <v>46142</v>
      </c>
      <c r="M260" s="89">
        <f t="shared" si="604"/>
        <v>46192</v>
      </c>
      <c r="N260" s="89">
        <f t="shared" si="605"/>
        <v>46192</v>
      </c>
      <c r="O260" s="89">
        <v>46185</v>
      </c>
      <c r="P260" s="89">
        <f t="shared" si="606"/>
        <v>46234</v>
      </c>
      <c r="Q260" s="89">
        <f t="shared" si="607"/>
        <v>46234</v>
      </c>
      <c r="R260" s="89">
        <v>46247</v>
      </c>
      <c r="S260" s="89">
        <f t="shared" si="608"/>
        <v>46248</v>
      </c>
      <c r="T260" s="89">
        <f t="shared" si="609"/>
        <v>46248</v>
      </c>
      <c r="U260" s="90">
        <v>46269</v>
      </c>
      <c r="V260" s="218"/>
      <c r="X260" s="168" t="str">
        <f t="shared" ca="1" si="566"/>
        <v>Completed</v>
      </c>
      <c r="Y260" s="168" t="str">
        <f t="shared" ca="1" si="613"/>
        <v>Completed</v>
      </c>
      <c r="Z260" s="168" t="str">
        <f t="shared" ca="1" si="614"/>
        <v>Completed</v>
      </c>
      <c r="AA260" s="169" t="str">
        <f t="shared" ca="1" si="615"/>
        <v>Completed</v>
      </c>
    </row>
    <row r="261" spans="1:27" s="70" customFormat="1" ht="11.5" x14ac:dyDescent="0.25">
      <c r="A261" s="92" t="s">
        <v>66</v>
      </c>
      <c r="B261" s="92" t="s">
        <v>14</v>
      </c>
      <c r="C261" s="92" t="s">
        <v>266</v>
      </c>
      <c r="D261" s="91" t="s">
        <v>267</v>
      </c>
      <c r="E261" s="93">
        <f t="shared" si="616"/>
        <v>1</v>
      </c>
      <c r="F261" s="93">
        <f t="shared" si="617"/>
        <v>1</v>
      </c>
      <c r="G261" s="93">
        <f t="shared" si="612"/>
        <v>0.79999999999999993</v>
      </c>
      <c r="H261" s="93">
        <f t="shared" si="618"/>
        <v>-0.20000000000000007</v>
      </c>
      <c r="I261" s="129">
        <v>4.7E-2</v>
      </c>
      <c r="J261" s="89">
        <v>46171</v>
      </c>
      <c r="K261" s="89">
        <f t="shared" si="603"/>
        <v>46171</v>
      </c>
      <c r="L261" s="89">
        <v>46156</v>
      </c>
      <c r="M261" s="89">
        <f t="shared" si="604"/>
        <v>46213</v>
      </c>
      <c r="N261" s="89">
        <f t="shared" si="605"/>
        <v>46213</v>
      </c>
      <c r="O261" s="146">
        <v>46248</v>
      </c>
      <c r="P261" s="89">
        <f t="shared" si="606"/>
        <v>46255</v>
      </c>
      <c r="Q261" s="89">
        <f t="shared" si="607"/>
        <v>46255</v>
      </c>
      <c r="R261" s="89">
        <v>46295</v>
      </c>
      <c r="S261" s="89">
        <f t="shared" si="608"/>
        <v>46269</v>
      </c>
      <c r="T261" s="89">
        <f t="shared" si="609"/>
        <v>46269</v>
      </c>
      <c r="U261" s="89"/>
      <c r="V261" s="214" t="s">
        <v>1231</v>
      </c>
      <c r="X261" s="168" t="str">
        <f t="shared" ca="1" si="566"/>
        <v>Completed</v>
      </c>
      <c r="Y261" s="168" t="str">
        <f t="shared" ca="1" si="613"/>
        <v>Completed</v>
      </c>
      <c r="Z261" s="168" t="str">
        <f t="shared" ca="1" si="614"/>
        <v>Completed</v>
      </c>
      <c r="AA261" s="169" t="str">
        <f t="shared" ca="1" si="615"/>
        <v>Overdue</v>
      </c>
    </row>
    <row r="262" spans="1:27" s="70" customFormat="1" ht="11.5" x14ac:dyDescent="0.25">
      <c r="A262" s="92" t="s">
        <v>66</v>
      </c>
      <c r="B262" s="92" t="s">
        <v>14</v>
      </c>
      <c r="C262" s="92" t="s">
        <v>268</v>
      </c>
      <c r="D262" s="91" t="s">
        <v>269</v>
      </c>
      <c r="E262" s="93">
        <f t="shared" si="616"/>
        <v>1</v>
      </c>
      <c r="F262" s="93">
        <f t="shared" si="617"/>
        <v>1</v>
      </c>
      <c r="G262" s="93">
        <f t="shared" si="612"/>
        <v>0.79999999999999993</v>
      </c>
      <c r="H262" s="93">
        <f t="shared" si="618"/>
        <v>-0.20000000000000007</v>
      </c>
      <c r="I262" s="129">
        <v>4.7E-2</v>
      </c>
      <c r="J262" s="89">
        <v>46171</v>
      </c>
      <c r="K262" s="89">
        <f t="shared" si="603"/>
        <v>46171</v>
      </c>
      <c r="L262" s="89">
        <v>46156</v>
      </c>
      <c r="M262" s="89">
        <f t="shared" si="604"/>
        <v>46213</v>
      </c>
      <c r="N262" s="89">
        <f t="shared" si="605"/>
        <v>46213</v>
      </c>
      <c r="O262" s="146">
        <v>46248</v>
      </c>
      <c r="P262" s="89">
        <f t="shared" si="606"/>
        <v>46255</v>
      </c>
      <c r="Q262" s="89">
        <f t="shared" si="607"/>
        <v>46255</v>
      </c>
      <c r="R262" s="89">
        <v>46295</v>
      </c>
      <c r="S262" s="89">
        <f t="shared" si="608"/>
        <v>46269</v>
      </c>
      <c r="T262" s="89">
        <f t="shared" si="609"/>
        <v>46269</v>
      </c>
      <c r="U262" s="89"/>
      <c r="V262" s="214"/>
      <c r="X262" s="168" t="str">
        <f t="shared" ca="1" si="566"/>
        <v>Completed</v>
      </c>
      <c r="Y262" s="168" t="str">
        <f t="shared" ca="1" si="613"/>
        <v>Completed</v>
      </c>
      <c r="Z262" s="168" t="str">
        <f t="shared" ca="1" si="614"/>
        <v>Completed</v>
      </c>
      <c r="AA262" s="169" t="str">
        <f t="shared" ca="1" si="615"/>
        <v>Overdue</v>
      </c>
    </row>
    <row r="263" spans="1:27" s="70" customFormat="1" ht="11.5" x14ac:dyDescent="0.25">
      <c r="A263" s="92" t="s">
        <v>66</v>
      </c>
      <c r="B263" s="92" t="s">
        <v>14</v>
      </c>
      <c r="C263" s="92" t="s">
        <v>270</v>
      </c>
      <c r="D263" s="91" t="s">
        <v>271</v>
      </c>
      <c r="E263" s="93">
        <f t="shared" si="616"/>
        <v>1</v>
      </c>
      <c r="F263" s="93">
        <f t="shared" si="617"/>
        <v>1</v>
      </c>
      <c r="G263" s="93">
        <f t="shared" ref="G263:G281" si="619">(COUNTIFS(L263,"&lt;="&amp;$C$1)*50%)+(COUNTIFS(O263,"&lt;="&amp;$C$1)*20%)+(COUNTIFS(R263,"&lt;="&amp;$C$1)*10%)+(COUNTIFS(U263,"&lt;="&amp;$C$1)*20%)</f>
        <v>1</v>
      </c>
      <c r="H263" s="93">
        <f t="shared" si="618"/>
        <v>0</v>
      </c>
      <c r="I263" s="129">
        <v>4.7E-2</v>
      </c>
      <c r="J263" s="89">
        <v>46171</v>
      </c>
      <c r="K263" s="89">
        <f t="shared" si="603"/>
        <v>46171</v>
      </c>
      <c r="L263" s="89">
        <v>46156</v>
      </c>
      <c r="M263" s="89">
        <f t="shared" si="604"/>
        <v>46213</v>
      </c>
      <c r="N263" s="89">
        <f t="shared" si="605"/>
        <v>46213</v>
      </c>
      <c r="O263" s="89">
        <v>46191</v>
      </c>
      <c r="P263" s="89">
        <f t="shared" si="606"/>
        <v>46255</v>
      </c>
      <c r="Q263" s="89">
        <f t="shared" si="607"/>
        <v>46255</v>
      </c>
      <c r="R263" s="146">
        <v>46249</v>
      </c>
      <c r="S263" s="89">
        <f t="shared" si="608"/>
        <v>46269</v>
      </c>
      <c r="T263" s="89">
        <f t="shared" si="609"/>
        <v>46269</v>
      </c>
      <c r="U263" s="89">
        <v>46262</v>
      </c>
      <c r="V263" s="214"/>
      <c r="X263" s="168" t="str">
        <f t="shared" ca="1" si="566"/>
        <v>Completed</v>
      </c>
      <c r="Y263" s="168" t="str">
        <f t="shared" ca="1" si="613"/>
        <v>Completed</v>
      </c>
      <c r="Z263" s="168" t="str">
        <f t="shared" ca="1" si="614"/>
        <v>Completed</v>
      </c>
      <c r="AA263" s="169" t="str">
        <f t="shared" ca="1" si="615"/>
        <v>Completed</v>
      </c>
    </row>
    <row r="264" spans="1:27" s="84" customFormat="1" ht="11.5" x14ac:dyDescent="0.25">
      <c r="A264" s="92" t="s">
        <v>66</v>
      </c>
      <c r="B264" s="92" t="s">
        <v>14</v>
      </c>
      <c r="C264" s="92" t="s">
        <v>272</v>
      </c>
      <c r="D264" s="91" t="s">
        <v>273</v>
      </c>
      <c r="E264" s="93">
        <f t="shared" si="616"/>
        <v>1</v>
      </c>
      <c r="F264" s="93">
        <f t="shared" si="617"/>
        <v>1</v>
      </c>
      <c r="G264" s="93">
        <f t="shared" si="619"/>
        <v>1</v>
      </c>
      <c r="H264" s="93">
        <f t="shared" si="618"/>
        <v>0</v>
      </c>
      <c r="I264" s="129">
        <v>4.7E-2</v>
      </c>
      <c r="J264" s="89">
        <v>46164</v>
      </c>
      <c r="K264" s="89">
        <f t="shared" si="603"/>
        <v>46164</v>
      </c>
      <c r="L264" s="89">
        <v>46142</v>
      </c>
      <c r="M264" s="89">
        <f t="shared" si="604"/>
        <v>46206</v>
      </c>
      <c r="N264" s="89">
        <f t="shared" si="605"/>
        <v>46206</v>
      </c>
      <c r="O264" s="146">
        <v>46248</v>
      </c>
      <c r="P264" s="89">
        <f t="shared" si="606"/>
        <v>46248</v>
      </c>
      <c r="Q264" s="89">
        <f t="shared" si="607"/>
        <v>46248</v>
      </c>
      <c r="R264" s="89">
        <v>46294</v>
      </c>
      <c r="S264" s="89">
        <f t="shared" si="608"/>
        <v>46262</v>
      </c>
      <c r="T264" s="89">
        <f t="shared" si="609"/>
        <v>46262</v>
      </c>
      <c r="U264" s="160">
        <v>46300</v>
      </c>
      <c r="V264" s="214"/>
      <c r="X264" s="168" t="str">
        <f t="shared" ca="1" si="566"/>
        <v>Completed</v>
      </c>
      <c r="Y264" s="168" t="str">
        <f t="shared" ca="1" si="613"/>
        <v>Completed</v>
      </c>
      <c r="Z264" s="168" t="str">
        <f t="shared" ca="1" si="614"/>
        <v>Completed</v>
      </c>
      <c r="AA264" s="169" t="str">
        <f t="shared" ca="1" si="615"/>
        <v>Completed</v>
      </c>
    </row>
    <row r="265" spans="1:27" s="70" customFormat="1" ht="11.5" x14ac:dyDescent="0.25">
      <c r="A265" s="92" t="s">
        <v>66</v>
      </c>
      <c r="B265" s="92" t="s">
        <v>14</v>
      </c>
      <c r="C265" s="92" t="s">
        <v>274</v>
      </c>
      <c r="D265" s="91" t="s">
        <v>275</v>
      </c>
      <c r="E265" s="93">
        <f t="shared" si="616"/>
        <v>1</v>
      </c>
      <c r="F265" s="93">
        <f t="shared" si="617"/>
        <v>1</v>
      </c>
      <c r="G265" s="93">
        <f t="shared" si="619"/>
        <v>0.7</v>
      </c>
      <c r="H265" s="93">
        <f t="shared" si="618"/>
        <v>-0.30000000000000004</v>
      </c>
      <c r="I265" s="129">
        <v>4.7E-2</v>
      </c>
      <c r="J265" s="89">
        <v>46171</v>
      </c>
      <c r="K265" s="89">
        <f t="shared" si="603"/>
        <v>46171</v>
      </c>
      <c r="L265" s="146">
        <v>46248</v>
      </c>
      <c r="M265" s="89">
        <f t="shared" si="604"/>
        <v>46213</v>
      </c>
      <c r="N265" s="89">
        <f t="shared" si="605"/>
        <v>46213</v>
      </c>
      <c r="O265" s="89">
        <v>46262</v>
      </c>
      <c r="P265" s="89">
        <f t="shared" si="606"/>
        <v>46255</v>
      </c>
      <c r="Q265" s="89">
        <f t="shared" si="607"/>
        <v>46255</v>
      </c>
      <c r="R265" s="89"/>
      <c r="S265" s="89">
        <f t="shared" si="608"/>
        <v>46269</v>
      </c>
      <c r="T265" s="89">
        <f t="shared" si="609"/>
        <v>46269</v>
      </c>
      <c r="U265" s="89"/>
      <c r="V265" s="214"/>
      <c r="X265" s="168" t="str">
        <f t="shared" ca="1" si="566"/>
        <v>Completed</v>
      </c>
      <c r="Y265" s="168" t="str">
        <f t="shared" ca="1" si="613"/>
        <v>Completed</v>
      </c>
      <c r="Z265" s="168" t="str">
        <f t="shared" ca="1" si="614"/>
        <v>Overdue</v>
      </c>
      <c r="AA265" s="169" t="str">
        <f t="shared" ca="1" si="615"/>
        <v>Overdue</v>
      </c>
    </row>
    <row r="266" spans="1:27" s="70" customFormat="1" ht="11.5" x14ac:dyDescent="0.25">
      <c r="A266" s="92" t="s">
        <v>66</v>
      </c>
      <c r="B266" s="92" t="s">
        <v>14</v>
      </c>
      <c r="C266" s="92" t="s">
        <v>276</v>
      </c>
      <c r="D266" s="91" t="s">
        <v>277</v>
      </c>
      <c r="E266" s="93">
        <f t="shared" si="616"/>
        <v>1</v>
      </c>
      <c r="F266" s="93">
        <f t="shared" si="617"/>
        <v>1</v>
      </c>
      <c r="G266" s="93">
        <f t="shared" si="619"/>
        <v>1</v>
      </c>
      <c r="H266" s="93">
        <f t="shared" si="618"/>
        <v>0</v>
      </c>
      <c r="I266" s="129">
        <v>4.7E-2</v>
      </c>
      <c r="J266" s="89">
        <v>46164</v>
      </c>
      <c r="K266" s="89">
        <f t="shared" si="603"/>
        <v>46164</v>
      </c>
      <c r="L266" s="89">
        <v>46156</v>
      </c>
      <c r="M266" s="89">
        <f t="shared" si="604"/>
        <v>46206</v>
      </c>
      <c r="N266" s="89">
        <f t="shared" si="605"/>
        <v>46206</v>
      </c>
      <c r="O266" s="89">
        <v>46185</v>
      </c>
      <c r="P266" s="89">
        <f t="shared" si="606"/>
        <v>46248</v>
      </c>
      <c r="Q266" s="89">
        <f t="shared" si="607"/>
        <v>46248</v>
      </c>
      <c r="R266" s="146">
        <v>46249</v>
      </c>
      <c r="S266" s="89">
        <f t="shared" si="608"/>
        <v>46262</v>
      </c>
      <c r="T266" s="89">
        <f t="shared" si="609"/>
        <v>46262</v>
      </c>
      <c r="U266" s="90">
        <v>46269</v>
      </c>
      <c r="V266" s="218"/>
      <c r="X266" s="168" t="str">
        <f t="shared" ca="1" si="566"/>
        <v>Completed</v>
      </c>
      <c r="Y266" s="168" t="str">
        <f t="shared" ca="1" si="613"/>
        <v>Completed</v>
      </c>
      <c r="Z266" s="168" t="str">
        <f t="shared" ca="1" si="614"/>
        <v>Completed</v>
      </c>
      <c r="AA266" s="169" t="str">
        <f t="shared" ca="1" si="615"/>
        <v>Completed</v>
      </c>
    </row>
    <row r="267" spans="1:27" s="70" customFormat="1" ht="11.5" x14ac:dyDescent="0.25">
      <c r="A267" s="92" t="s">
        <v>66</v>
      </c>
      <c r="B267" s="92" t="s">
        <v>14</v>
      </c>
      <c r="C267" s="92" t="s">
        <v>278</v>
      </c>
      <c r="D267" s="91" t="s">
        <v>279</v>
      </c>
      <c r="E267" s="93">
        <f t="shared" si="616"/>
        <v>1</v>
      </c>
      <c r="F267" s="93">
        <f t="shared" si="617"/>
        <v>1</v>
      </c>
      <c r="G267" s="93">
        <f t="shared" si="619"/>
        <v>1</v>
      </c>
      <c r="H267" s="93">
        <f t="shared" si="618"/>
        <v>0</v>
      </c>
      <c r="I267" s="129">
        <v>4.7E-2</v>
      </c>
      <c r="J267" s="89">
        <v>46164</v>
      </c>
      <c r="K267" s="89">
        <f t="shared" si="603"/>
        <v>46164</v>
      </c>
      <c r="L267" s="89">
        <v>46156</v>
      </c>
      <c r="M267" s="89">
        <f t="shared" si="604"/>
        <v>46206</v>
      </c>
      <c r="N267" s="89">
        <f t="shared" si="605"/>
        <v>46206</v>
      </c>
      <c r="O267" s="89">
        <v>46185</v>
      </c>
      <c r="P267" s="89">
        <f t="shared" si="606"/>
        <v>46248</v>
      </c>
      <c r="Q267" s="89">
        <f t="shared" si="607"/>
        <v>46248</v>
      </c>
      <c r="R267" s="146">
        <v>46249</v>
      </c>
      <c r="S267" s="89">
        <f t="shared" si="608"/>
        <v>46262</v>
      </c>
      <c r="T267" s="89">
        <f t="shared" si="609"/>
        <v>46262</v>
      </c>
      <c r="U267" s="90">
        <v>46269</v>
      </c>
      <c r="V267" s="218"/>
      <c r="X267" s="168" t="str">
        <f t="shared" ca="1" si="566"/>
        <v>Completed</v>
      </c>
      <c r="Y267" s="168" t="str">
        <f t="shared" ca="1" si="613"/>
        <v>Completed</v>
      </c>
      <c r="Z267" s="168" t="str">
        <f t="shared" ca="1" si="614"/>
        <v>Completed</v>
      </c>
      <c r="AA267" s="169" t="str">
        <f t="shared" ca="1" si="615"/>
        <v>Completed</v>
      </c>
    </row>
    <row r="268" spans="1:27" s="70" customFormat="1" ht="11.5" x14ac:dyDescent="0.25">
      <c r="A268" s="92" t="s">
        <v>66</v>
      </c>
      <c r="B268" s="92" t="s">
        <v>14</v>
      </c>
      <c r="C268" s="92" t="s">
        <v>828</v>
      </c>
      <c r="D268" s="91" t="s">
        <v>807</v>
      </c>
      <c r="E268" s="93">
        <f t="shared" si="616"/>
        <v>1</v>
      </c>
      <c r="F268" s="93">
        <f t="shared" si="617"/>
        <v>1</v>
      </c>
      <c r="G268" s="93">
        <f t="shared" si="619"/>
        <v>1</v>
      </c>
      <c r="H268" s="93">
        <f t="shared" si="618"/>
        <v>0</v>
      </c>
      <c r="I268" s="129">
        <v>4.7E-2</v>
      </c>
      <c r="J268" s="89">
        <v>46178</v>
      </c>
      <c r="K268" s="89">
        <f t="shared" si="603"/>
        <v>46178</v>
      </c>
      <c r="L268" s="89">
        <v>46182</v>
      </c>
      <c r="M268" s="89">
        <f t="shared" si="604"/>
        <v>46220</v>
      </c>
      <c r="N268" s="89">
        <f t="shared" si="605"/>
        <v>46220</v>
      </c>
      <c r="O268" s="89">
        <v>46191</v>
      </c>
      <c r="P268" s="89">
        <f t="shared" si="606"/>
        <v>46262</v>
      </c>
      <c r="Q268" s="89">
        <f t="shared" si="607"/>
        <v>46262</v>
      </c>
      <c r="R268" s="146">
        <v>46252</v>
      </c>
      <c r="S268" s="89">
        <f t="shared" si="608"/>
        <v>46276</v>
      </c>
      <c r="T268" s="89">
        <f t="shared" si="609"/>
        <v>46276</v>
      </c>
      <c r="U268" s="89">
        <v>46262</v>
      </c>
      <c r="V268" s="214"/>
      <c r="X268" s="168" t="str">
        <f t="shared" ref="X268:X331" ca="1" si="620">IF(OR(L268&lt;&gt;""),"Completed",
IF(K268="","",IF(K268&lt;TODAY(),"Overdue",
IF(AND(K268&gt;=TODAY()-WEEKDAY(TODAY(),2)+1,K268&lt;=TODAY()-WEEKDAY(TODAY(),2)+7),"Follow-This Week",
IF(AND(K268&gt;=TODAY()-WEEKDAY(TODAY(),2)+8,K268&lt;=TODAY()-WEEKDAY(TODAY(),2)+14),"Follow-Next Week","")))))</f>
        <v>Completed</v>
      </c>
      <c r="Y268" s="168" t="str">
        <f t="shared" ca="1" si="613"/>
        <v>Completed</v>
      </c>
      <c r="Z268" s="168" t="str">
        <f t="shared" ca="1" si="614"/>
        <v>Completed</v>
      </c>
      <c r="AA268" s="169" t="str">
        <f t="shared" ca="1" si="615"/>
        <v>Completed</v>
      </c>
    </row>
    <row r="269" spans="1:27" s="70" customFormat="1" ht="11.5" x14ac:dyDescent="0.25">
      <c r="A269" s="92" t="s">
        <v>66</v>
      </c>
      <c r="B269" s="92" t="s">
        <v>14</v>
      </c>
      <c r="C269" s="92" t="s">
        <v>829</v>
      </c>
      <c r="D269" s="91" t="s">
        <v>808</v>
      </c>
      <c r="E269" s="93">
        <f t="shared" si="616"/>
        <v>1</v>
      </c>
      <c r="F269" s="93">
        <f t="shared" si="617"/>
        <v>1</v>
      </c>
      <c r="G269" s="93">
        <f t="shared" si="619"/>
        <v>1</v>
      </c>
      <c r="H269" s="93">
        <f t="shared" si="618"/>
        <v>0</v>
      </c>
      <c r="I269" s="129">
        <v>4.7E-2</v>
      </c>
      <c r="J269" s="89">
        <v>46178</v>
      </c>
      <c r="K269" s="89">
        <f t="shared" si="603"/>
        <v>46178</v>
      </c>
      <c r="L269" s="89">
        <v>46182</v>
      </c>
      <c r="M269" s="89">
        <f t="shared" si="604"/>
        <v>46220</v>
      </c>
      <c r="N269" s="89">
        <f t="shared" si="605"/>
        <v>46220</v>
      </c>
      <c r="O269" s="89">
        <v>46191</v>
      </c>
      <c r="P269" s="89">
        <f t="shared" si="606"/>
        <v>46262</v>
      </c>
      <c r="Q269" s="89">
        <f t="shared" si="607"/>
        <v>46262</v>
      </c>
      <c r="R269" s="146">
        <v>46252</v>
      </c>
      <c r="S269" s="89">
        <f t="shared" si="608"/>
        <v>46276</v>
      </c>
      <c r="T269" s="89">
        <f t="shared" si="609"/>
        <v>46276</v>
      </c>
      <c r="U269" s="89">
        <v>46262</v>
      </c>
      <c r="V269" s="214"/>
      <c r="X269" s="168" t="str">
        <f t="shared" ca="1" si="620"/>
        <v>Completed</v>
      </c>
      <c r="Y269" s="168" t="str">
        <f t="shared" ca="1" si="613"/>
        <v>Completed</v>
      </c>
      <c r="Z269" s="168" t="str">
        <f t="shared" ca="1" si="614"/>
        <v>Completed</v>
      </c>
      <c r="AA269" s="169" t="str">
        <f t="shared" ca="1" si="615"/>
        <v>Completed</v>
      </c>
    </row>
    <row r="270" spans="1:27" s="70" customFormat="1" ht="11.5" x14ac:dyDescent="0.25">
      <c r="A270" s="92" t="s">
        <v>66</v>
      </c>
      <c r="B270" s="92" t="s">
        <v>14</v>
      </c>
      <c r="C270" s="92" t="s">
        <v>830</v>
      </c>
      <c r="D270" s="91" t="s">
        <v>809</v>
      </c>
      <c r="E270" s="93">
        <f t="shared" si="616"/>
        <v>1</v>
      </c>
      <c r="F270" s="93">
        <f t="shared" si="617"/>
        <v>1</v>
      </c>
      <c r="G270" s="93">
        <f t="shared" si="619"/>
        <v>1</v>
      </c>
      <c r="H270" s="93">
        <f t="shared" si="618"/>
        <v>0</v>
      </c>
      <c r="I270" s="129">
        <v>4.7E-2</v>
      </c>
      <c r="J270" s="89">
        <v>46178</v>
      </c>
      <c r="K270" s="89">
        <f t="shared" si="603"/>
        <v>46178</v>
      </c>
      <c r="L270" s="89">
        <v>46182</v>
      </c>
      <c r="M270" s="89">
        <f t="shared" si="604"/>
        <v>46220</v>
      </c>
      <c r="N270" s="89">
        <f t="shared" si="605"/>
        <v>46220</v>
      </c>
      <c r="O270" s="89">
        <v>46191</v>
      </c>
      <c r="P270" s="89">
        <f t="shared" si="606"/>
        <v>46262</v>
      </c>
      <c r="Q270" s="89">
        <f t="shared" si="607"/>
        <v>46262</v>
      </c>
      <c r="R270" s="146">
        <v>46252</v>
      </c>
      <c r="S270" s="89">
        <f t="shared" si="608"/>
        <v>46276</v>
      </c>
      <c r="T270" s="89">
        <f t="shared" si="609"/>
        <v>46276</v>
      </c>
      <c r="U270" s="89">
        <v>46262</v>
      </c>
      <c r="V270" s="214"/>
      <c r="X270" s="168" t="str">
        <f t="shared" ca="1" si="620"/>
        <v>Completed</v>
      </c>
      <c r="Y270" s="168" t="str">
        <f t="shared" ca="1" si="613"/>
        <v>Completed</v>
      </c>
      <c r="Z270" s="168" t="str">
        <f t="shared" ca="1" si="614"/>
        <v>Completed</v>
      </c>
      <c r="AA270" s="169" t="str">
        <f t="shared" ca="1" si="615"/>
        <v>Completed</v>
      </c>
    </row>
    <row r="271" spans="1:27" s="70" customFormat="1" ht="11.5" x14ac:dyDescent="0.25">
      <c r="A271" s="92" t="s">
        <v>66</v>
      </c>
      <c r="B271" s="92" t="s">
        <v>14</v>
      </c>
      <c r="C271" s="92" t="s">
        <v>831</v>
      </c>
      <c r="D271" s="91" t="s">
        <v>810</v>
      </c>
      <c r="E271" s="93">
        <f t="shared" si="616"/>
        <v>1</v>
      </c>
      <c r="F271" s="93">
        <f t="shared" si="617"/>
        <v>1</v>
      </c>
      <c r="G271" s="93">
        <f t="shared" si="619"/>
        <v>1</v>
      </c>
      <c r="H271" s="93">
        <f t="shared" si="618"/>
        <v>0</v>
      </c>
      <c r="I271" s="129">
        <v>4.7E-2</v>
      </c>
      <c r="J271" s="89">
        <v>46178</v>
      </c>
      <c r="K271" s="89">
        <f t="shared" si="603"/>
        <v>46178</v>
      </c>
      <c r="L271" s="89">
        <v>46182</v>
      </c>
      <c r="M271" s="89">
        <f t="shared" si="604"/>
        <v>46220</v>
      </c>
      <c r="N271" s="89">
        <f t="shared" si="605"/>
        <v>46220</v>
      </c>
      <c r="O271" s="89">
        <v>46191</v>
      </c>
      <c r="P271" s="89">
        <f t="shared" si="606"/>
        <v>46262</v>
      </c>
      <c r="Q271" s="89">
        <f t="shared" si="607"/>
        <v>46262</v>
      </c>
      <c r="R271" s="146">
        <v>46252</v>
      </c>
      <c r="S271" s="89">
        <f t="shared" si="608"/>
        <v>46276</v>
      </c>
      <c r="T271" s="89">
        <f t="shared" si="609"/>
        <v>46276</v>
      </c>
      <c r="U271" s="89">
        <v>46262</v>
      </c>
      <c r="V271" s="214"/>
      <c r="X271" s="168" t="str">
        <f t="shared" ca="1" si="620"/>
        <v>Completed</v>
      </c>
      <c r="Y271" s="168" t="str">
        <f t="shared" ca="1" si="613"/>
        <v>Completed</v>
      </c>
      <c r="Z271" s="168" t="str">
        <f t="shared" ca="1" si="614"/>
        <v>Completed</v>
      </c>
      <c r="AA271" s="169" t="str">
        <f t="shared" ca="1" si="615"/>
        <v>Completed</v>
      </c>
    </row>
    <row r="272" spans="1:27" s="70" customFormat="1" ht="11.5" x14ac:dyDescent="0.25">
      <c r="A272" s="92" t="s">
        <v>66</v>
      </c>
      <c r="B272" s="92" t="s">
        <v>14</v>
      </c>
      <c r="C272" s="92" t="s">
        <v>832</v>
      </c>
      <c r="D272" s="91" t="s">
        <v>811</v>
      </c>
      <c r="E272" s="93">
        <f t="shared" si="616"/>
        <v>1</v>
      </c>
      <c r="F272" s="93">
        <f t="shared" si="617"/>
        <v>1</v>
      </c>
      <c r="G272" s="93">
        <f t="shared" si="619"/>
        <v>1</v>
      </c>
      <c r="H272" s="93">
        <f t="shared" si="618"/>
        <v>0</v>
      </c>
      <c r="I272" s="129">
        <v>4.7E-2</v>
      </c>
      <c r="J272" s="89">
        <v>46178</v>
      </c>
      <c r="K272" s="89">
        <f t="shared" si="603"/>
        <v>46178</v>
      </c>
      <c r="L272" s="89">
        <v>46182</v>
      </c>
      <c r="M272" s="89">
        <f t="shared" si="604"/>
        <v>46220</v>
      </c>
      <c r="N272" s="89">
        <f t="shared" si="605"/>
        <v>46220</v>
      </c>
      <c r="O272" s="89">
        <v>46191</v>
      </c>
      <c r="P272" s="89">
        <f t="shared" si="606"/>
        <v>46262</v>
      </c>
      <c r="Q272" s="89">
        <f t="shared" si="607"/>
        <v>46262</v>
      </c>
      <c r="R272" s="146">
        <v>46252</v>
      </c>
      <c r="S272" s="89">
        <f t="shared" si="608"/>
        <v>46276</v>
      </c>
      <c r="T272" s="89">
        <f t="shared" si="609"/>
        <v>46276</v>
      </c>
      <c r="U272" s="89">
        <v>46262</v>
      </c>
      <c r="V272" s="214"/>
      <c r="X272" s="168" t="str">
        <f t="shared" ca="1" si="620"/>
        <v>Completed</v>
      </c>
      <c r="Y272" s="168" t="str">
        <f t="shared" ca="1" si="613"/>
        <v>Completed</v>
      </c>
      <c r="Z272" s="168" t="str">
        <f t="shared" ca="1" si="614"/>
        <v>Completed</v>
      </c>
      <c r="AA272" s="169" t="str">
        <f t="shared" ca="1" si="615"/>
        <v>Completed</v>
      </c>
    </row>
    <row r="273" spans="1:27" s="70" customFormat="1" ht="11.5" x14ac:dyDescent="0.25">
      <c r="A273" s="92" t="s">
        <v>66</v>
      </c>
      <c r="B273" s="92" t="s">
        <v>14</v>
      </c>
      <c r="C273" s="92" t="s">
        <v>833</v>
      </c>
      <c r="D273" s="91" t="s">
        <v>812</v>
      </c>
      <c r="E273" s="93">
        <f t="shared" si="582"/>
        <v>1</v>
      </c>
      <c r="F273" s="93">
        <f t="shared" si="583"/>
        <v>1</v>
      </c>
      <c r="G273" s="93">
        <f t="shared" si="619"/>
        <v>1</v>
      </c>
      <c r="H273" s="93">
        <f t="shared" si="584"/>
        <v>0</v>
      </c>
      <c r="I273" s="129">
        <v>4.7E-2</v>
      </c>
      <c r="J273" s="89">
        <v>46178</v>
      </c>
      <c r="K273" s="89">
        <f t="shared" si="603"/>
        <v>46178</v>
      </c>
      <c r="L273" s="97">
        <v>46162</v>
      </c>
      <c r="M273" s="89">
        <f t="shared" si="604"/>
        <v>46220</v>
      </c>
      <c r="N273" s="89">
        <f t="shared" si="605"/>
        <v>46220</v>
      </c>
      <c r="O273" s="89">
        <v>46191</v>
      </c>
      <c r="P273" s="89">
        <f t="shared" si="606"/>
        <v>46262</v>
      </c>
      <c r="Q273" s="89">
        <f t="shared" si="607"/>
        <v>46262</v>
      </c>
      <c r="R273" s="146">
        <v>46252</v>
      </c>
      <c r="S273" s="89">
        <f t="shared" si="608"/>
        <v>46276</v>
      </c>
      <c r="T273" s="89">
        <f t="shared" si="609"/>
        <v>46276</v>
      </c>
      <c r="U273" s="89">
        <v>46262</v>
      </c>
      <c r="V273" s="214"/>
      <c r="X273" s="168" t="str">
        <f t="shared" ca="1" si="620"/>
        <v>Completed</v>
      </c>
      <c r="Y273" s="168" t="str">
        <f t="shared" ca="1" si="613"/>
        <v>Completed</v>
      </c>
      <c r="Z273" s="168" t="str">
        <f t="shared" ca="1" si="614"/>
        <v>Completed</v>
      </c>
      <c r="AA273" s="169" t="str">
        <f t="shared" ca="1" si="615"/>
        <v>Completed</v>
      </c>
    </row>
    <row r="274" spans="1:27" s="70" customFormat="1" ht="11.5" x14ac:dyDescent="0.25">
      <c r="A274" s="92" t="s">
        <v>66</v>
      </c>
      <c r="B274" s="92" t="s">
        <v>14</v>
      </c>
      <c r="C274" s="92" t="s">
        <v>834</v>
      </c>
      <c r="D274" s="91" t="s">
        <v>813</v>
      </c>
      <c r="E274" s="93">
        <f t="shared" si="582"/>
        <v>1</v>
      </c>
      <c r="F274" s="93">
        <f t="shared" si="583"/>
        <v>1</v>
      </c>
      <c r="G274" s="93">
        <f t="shared" si="619"/>
        <v>1</v>
      </c>
      <c r="H274" s="93">
        <f t="shared" si="584"/>
        <v>0</v>
      </c>
      <c r="I274" s="129">
        <v>4.7E-2</v>
      </c>
      <c r="J274" s="89">
        <v>46178</v>
      </c>
      <c r="K274" s="89">
        <f t="shared" si="603"/>
        <v>46178</v>
      </c>
      <c r="L274" s="97">
        <v>46162</v>
      </c>
      <c r="M274" s="89">
        <f t="shared" si="604"/>
        <v>46220</v>
      </c>
      <c r="N274" s="89">
        <f t="shared" si="605"/>
        <v>46220</v>
      </c>
      <c r="O274" s="89">
        <v>46191</v>
      </c>
      <c r="P274" s="89">
        <f t="shared" si="606"/>
        <v>46262</v>
      </c>
      <c r="Q274" s="89">
        <f t="shared" si="607"/>
        <v>46262</v>
      </c>
      <c r="R274" s="146">
        <v>46252</v>
      </c>
      <c r="S274" s="89">
        <f t="shared" si="608"/>
        <v>46276</v>
      </c>
      <c r="T274" s="89">
        <f t="shared" si="609"/>
        <v>46276</v>
      </c>
      <c r="U274" s="89">
        <v>46262</v>
      </c>
      <c r="V274" s="214"/>
      <c r="X274" s="168" t="str">
        <f t="shared" ca="1" si="620"/>
        <v>Completed</v>
      </c>
      <c r="Y274" s="168" t="str">
        <f t="shared" ca="1" si="613"/>
        <v>Completed</v>
      </c>
      <c r="Z274" s="168" t="str">
        <f t="shared" ca="1" si="614"/>
        <v>Completed</v>
      </c>
      <c r="AA274" s="169" t="str">
        <f t="shared" ca="1" si="615"/>
        <v>Completed</v>
      </c>
    </row>
    <row r="275" spans="1:27" s="70" customFormat="1" ht="11.5" x14ac:dyDescent="0.25">
      <c r="A275" s="92" t="s">
        <v>66</v>
      </c>
      <c r="B275" s="92" t="s">
        <v>14</v>
      </c>
      <c r="C275" s="92" t="s">
        <v>835</v>
      </c>
      <c r="D275" s="91" t="s">
        <v>814</v>
      </c>
      <c r="E275" s="93">
        <f t="shared" si="582"/>
        <v>1</v>
      </c>
      <c r="F275" s="93">
        <f t="shared" si="583"/>
        <v>1</v>
      </c>
      <c r="G275" s="93">
        <f t="shared" si="619"/>
        <v>1</v>
      </c>
      <c r="H275" s="93">
        <f t="shared" si="584"/>
        <v>0</v>
      </c>
      <c r="I275" s="129">
        <v>4.7E-2</v>
      </c>
      <c r="J275" s="89">
        <v>46178</v>
      </c>
      <c r="K275" s="89">
        <f t="shared" si="603"/>
        <v>46178</v>
      </c>
      <c r="L275" s="97">
        <v>46162</v>
      </c>
      <c r="M275" s="89">
        <f t="shared" si="604"/>
        <v>46220</v>
      </c>
      <c r="N275" s="89">
        <f t="shared" si="605"/>
        <v>46220</v>
      </c>
      <c r="O275" s="89">
        <v>46191</v>
      </c>
      <c r="P275" s="89">
        <f t="shared" si="606"/>
        <v>46262</v>
      </c>
      <c r="Q275" s="89">
        <f t="shared" si="607"/>
        <v>46262</v>
      </c>
      <c r="R275" s="146">
        <v>46252</v>
      </c>
      <c r="S275" s="89">
        <f t="shared" si="608"/>
        <v>46276</v>
      </c>
      <c r="T275" s="89">
        <f t="shared" si="609"/>
        <v>46276</v>
      </c>
      <c r="U275" s="89">
        <v>46262</v>
      </c>
      <c r="V275" s="214"/>
      <c r="X275" s="168" t="str">
        <f t="shared" ca="1" si="620"/>
        <v>Completed</v>
      </c>
      <c r="Y275" s="168" t="str">
        <f t="shared" ca="1" si="613"/>
        <v>Completed</v>
      </c>
      <c r="Z275" s="168" t="str">
        <f t="shared" ca="1" si="614"/>
        <v>Completed</v>
      </c>
      <c r="AA275" s="169" t="str">
        <f t="shared" ca="1" si="615"/>
        <v>Completed</v>
      </c>
    </row>
    <row r="276" spans="1:27" s="70" customFormat="1" ht="11.5" x14ac:dyDescent="0.25">
      <c r="A276" s="92" t="s">
        <v>66</v>
      </c>
      <c r="B276" s="92" t="s">
        <v>14</v>
      </c>
      <c r="C276" s="92" t="s">
        <v>836</v>
      </c>
      <c r="D276" s="91" t="s">
        <v>815</v>
      </c>
      <c r="E276" s="93">
        <f t="shared" si="582"/>
        <v>1</v>
      </c>
      <c r="F276" s="93">
        <f t="shared" si="583"/>
        <v>1</v>
      </c>
      <c r="G276" s="93">
        <f t="shared" si="619"/>
        <v>1</v>
      </c>
      <c r="H276" s="93">
        <f t="shared" si="584"/>
        <v>0</v>
      </c>
      <c r="I276" s="129">
        <v>4.7E-2</v>
      </c>
      <c r="J276" s="89">
        <v>46178</v>
      </c>
      <c r="K276" s="89">
        <f t="shared" si="603"/>
        <v>46178</v>
      </c>
      <c r="L276" s="97">
        <v>46162</v>
      </c>
      <c r="M276" s="89">
        <f t="shared" si="604"/>
        <v>46220</v>
      </c>
      <c r="N276" s="89">
        <f t="shared" si="605"/>
        <v>46220</v>
      </c>
      <c r="O276" s="89">
        <v>46191</v>
      </c>
      <c r="P276" s="89">
        <f t="shared" si="606"/>
        <v>46262</v>
      </c>
      <c r="Q276" s="89">
        <f t="shared" si="607"/>
        <v>46262</v>
      </c>
      <c r="R276" s="146">
        <v>46252</v>
      </c>
      <c r="S276" s="89">
        <f t="shared" si="608"/>
        <v>46276</v>
      </c>
      <c r="T276" s="89">
        <f t="shared" si="609"/>
        <v>46276</v>
      </c>
      <c r="U276" s="89">
        <v>46262</v>
      </c>
      <c r="V276" s="214"/>
      <c r="X276" s="168" t="str">
        <f t="shared" ca="1" si="620"/>
        <v>Completed</v>
      </c>
      <c r="Y276" s="168" t="str">
        <f t="shared" ca="1" si="613"/>
        <v>Completed</v>
      </c>
      <c r="Z276" s="168" t="str">
        <f t="shared" ca="1" si="614"/>
        <v>Completed</v>
      </c>
      <c r="AA276" s="169" t="str">
        <f t="shared" ca="1" si="615"/>
        <v>Completed</v>
      </c>
    </row>
    <row r="277" spans="1:27" s="70" customFormat="1" ht="11.5" x14ac:dyDescent="0.25">
      <c r="A277" s="92" t="s">
        <v>66</v>
      </c>
      <c r="B277" s="92" t="s">
        <v>14</v>
      </c>
      <c r="C277" s="92" t="s">
        <v>837</v>
      </c>
      <c r="D277" s="91" t="s">
        <v>816</v>
      </c>
      <c r="E277" s="93">
        <f t="shared" si="582"/>
        <v>1</v>
      </c>
      <c r="F277" s="93">
        <f t="shared" si="583"/>
        <v>1</v>
      </c>
      <c r="G277" s="93">
        <f t="shared" si="619"/>
        <v>1</v>
      </c>
      <c r="H277" s="93">
        <f t="shared" si="584"/>
        <v>0</v>
      </c>
      <c r="I277" s="129">
        <v>4.7E-2</v>
      </c>
      <c r="J277" s="89">
        <v>46178</v>
      </c>
      <c r="K277" s="89">
        <f t="shared" si="603"/>
        <v>46178</v>
      </c>
      <c r="L277" s="97">
        <v>46162</v>
      </c>
      <c r="M277" s="89">
        <f t="shared" si="604"/>
        <v>46220</v>
      </c>
      <c r="N277" s="89">
        <f t="shared" si="605"/>
        <v>46220</v>
      </c>
      <c r="O277" s="89">
        <v>46191</v>
      </c>
      <c r="P277" s="89">
        <f t="shared" si="606"/>
        <v>46262</v>
      </c>
      <c r="Q277" s="89">
        <f t="shared" si="607"/>
        <v>46262</v>
      </c>
      <c r="R277" s="146">
        <v>46252</v>
      </c>
      <c r="S277" s="89">
        <f t="shared" si="608"/>
        <v>46276</v>
      </c>
      <c r="T277" s="89">
        <f t="shared" si="609"/>
        <v>46276</v>
      </c>
      <c r="U277" s="89">
        <v>46262</v>
      </c>
      <c r="V277" s="214"/>
      <c r="X277" s="168" t="str">
        <f t="shared" ca="1" si="620"/>
        <v>Completed</v>
      </c>
      <c r="Y277" s="168" t="str">
        <f t="shared" ca="1" si="613"/>
        <v>Completed</v>
      </c>
      <c r="Z277" s="168" t="str">
        <f t="shared" ca="1" si="614"/>
        <v>Completed</v>
      </c>
      <c r="AA277" s="169" t="str">
        <f t="shared" ca="1" si="615"/>
        <v>Completed</v>
      </c>
    </row>
    <row r="278" spans="1:27" s="70" customFormat="1" ht="11.5" x14ac:dyDescent="0.25">
      <c r="A278" s="92" t="s">
        <v>66</v>
      </c>
      <c r="B278" s="92" t="s">
        <v>14</v>
      </c>
      <c r="C278" s="92" t="s">
        <v>838</v>
      </c>
      <c r="D278" s="91" t="s">
        <v>817</v>
      </c>
      <c r="E278" s="93">
        <f t="shared" si="582"/>
        <v>1</v>
      </c>
      <c r="F278" s="93">
        <f t="shared" si="583"/>
        <v>1</v>
      </c>
      <c r="G278" s="93">
        <f t="shared" si="619"/>
        <v>1</v>
      </c>
      <c r="H278" s="93">
        <f t="shared" si="584"/>
        <v>0</v>
      </c>
      <c r="I278" s="129">
        <v>4.7E-2</v>
      </c>
      <c r="J278" s="89">
        <v>46178</v>
      </c>
      <c r="K278" s="89">
        <f t="shared" si="603"/>
        <v>46178</v>
      </c>
      <c r="L278" s="97">
        <v>46162</v>
      </c>
      <c r="M278" s="89">
        <f t="shared" si="604"/>
        <v>46220</v>
      </c>
      <c r="N278" s="89">
        <f t="shared" si="605"/>
        <v>46220</v>
      </c>
      <c r="O278" s="89">
        <v>46191</v>
      </c>
      <c r="P278" s="89">
        <f t="shared" si="606"/>
        <v>46262</v>
      </c>
      <c r="Q278" s="89">
        <f t="shared" si="607"/>
        <v>46262</v>
      </c>
      <c r="R278" s="146">
        <v>46252</v>
      </c>
      <c r="S278" s="89">
        <f t="shared" si="608"/>
        <v>46276</v>
      </c>
      <c r="T278" s="89">
        <f t="shared" si="609"/>
        <v>46276</v>
      </c>
      <c r="U278" s="89">
        <v>46262</v>
      </c>
      <c r="V278" s="214"/>
      <c r="X278" s="168" t="str">
        <f t="shared" ca="1" si="620"/>
        <v>Completed</v>
      </c>
      <c r="Y278" s="168" t="str">
        <f t="shared" ca="1" si="613"/>
        <v>Completed</v>
      </c>
      <c r="Z278" s="168" t="str">
        <f t="shared" ca="1" si="614"/>
        <v>Completed</v>
      </c>
      <c r="AA278" s="169" t="str">
        <f t="shared" ca="1" si="615"/>
        <v>Completed</v>
      </c>
    </row>
    <row r="279" spans="1:27" s="70" customFormat="1" ht="11.5" x14ac:dyDescent="0.25">
      <c r="A279" s="92" t="s">
        <v>66</v>
      </c>
      <c r="B279" s="92" t="s">
        <v>14</v>
      </c>
      <c r="C279" s="92" t="s">
        <v>839</v>
      </c>
      <c r="D279" s="91" t="s">
        <v>818</v>
      </c>
      <c r="E279" s="93">
        <f t="shared" si="582"/>
        <v>1</v>
      </c>
      <c r="F279" s="93">
        <f t="shared" si="583"/>
        <v>1</v>
      </c>
      <c r="G279" s="93">
        <f t="shared" si="619"/>
        <v>1</v>
      </c>
      <c r="H279" s="93">
        <f t="shared" si="584"/>
        <v>0</v>
      </c>
      <c r="I279" s="129">
        <v>4.7E-2</v>
      </c>
      <c r="J279" s="89">
        <v>46178</v>
      </c>
      <c r="K279" s="89">
        <f t="shared" si="603"/>
        <v>46178</v>
      </c>
      <c r="L279" s="97">
        <v>46162</v>
      </c>
      <c r="M279" s="89">
        <f t="shared" si="604"/>
        <v>46220</v>
      </c>
      <c r="N279" s="89">
        <f t="shared" si="605"/>
        <v>46220</v>
      </c>
      <c r="O279" s="89">
        <v>46191</v>
      </c>
      <c r="P279" s="89">
        <f t="shared" si="606"/>
        <v>46262</v>
      </c>
      <c r="Q279" s="89">
        <f t="shared" si="607"/>
        <v>46262</v>
      </c>
      <c r="R279" s="146">
        <v>46252</v>
      </c>
      <c r="S279" s="89">
        <f t="shared" si="608"/>
        <v>46276</v>
      </c>
      <c r="T279" s="89">
        <f t="shared" si="609"/>
        <v>46276</v>
      </c>
      <c r="U279" s="89">
        <v>46262</v>
      </c>
      <c r="V279" s="214"/>
      <c r="X279" s="168" t="str">
        <f t="shared" ca="1" si="620"/>
        <v>Completed</v>
      </c>
      <c r="Y279" s="168" t="str">
        <f t="shared" ca="1" si="613"/>
        <v>Completed</v>
      </c>
      <c r="Z279" s="168" t="str">
        <f t="shared" ca="1" si="614"/>
        <v>Completed</v>
      </c>
      <c r="AA279" s="169" t="str">
        <f t="shared" ca="1" si="615"/>
        <v>Completed</v>
      </c>
    </row>
    <row r="280" spans="1:27" s="70" customFormat="1" ht="11.5" x14ac:dyDescent="0.25">
      <c r="A280" s="92" t="s">
        <v>66</v>
      </c>
      <c r="B280" s="92" t="s">
        <v>14</v>
      </c>
      <c r="C280" s="92" t="s">
        <v>840</v>
      </c>
      <c r="D280" s="91" t="s">
        <v>819</v>
      </c>
      <c r="E280" s="93">
        <f t="shared" si="582"/>
        <v>1</v>
      </c>
      <c r="F280" s="93">
        <f t="shared" si="583"/>
        <v>1</v>
      </c>
      <c r="G280" s="93">
        <f t="shared" si="619"/>
        <v>1</v>
      </c>
      <c r="H280" s="93">
        <f t="shared" si="584"/>
        <v>0</v>
      </c>
      <c r="I280" s="129">
        <v>4.7E-2</v>
      </c>
      <c r="J280" s="89">
        <v>46178</v>
      </c>
      <c r="K280" s="89">
        <f t="shared" si="603"/>
        <v>46178</v>
      </c>
      <c r="L280" s="97">
        <v>46162</v>
      </c>
      <c r="M280" s="89">
        <f t="shared" si="604"/>
        <v>46220</v>
      </c>
      <c r="N280" s="89">
        <f t="shared" si="605"/>
        <v>46220</v>
      </c>
      <c r="O280" s="89">
        <v>46191</v>
      </c>
      <c r="P280" s="89">
        <f t="shared" si="606"/>
        <v>46262</v>
      </c>
      <c r="Q280" s="89">
        <f t="shared" si="607"/>
        <v>46262</v>
      </c>
      <c r="R280" s="146">
        <v>46252</v>
      </c>
      <c r="S280" s="89">
        <f t="shared" si="608"/>
        <v>46276</v>
      </c>
      <c r="T280" s="89">
        <f t="shared" si="609"/>
        <v>46276</v>
      </c>
      <c r="U280" s="89">
        <v>46262</v>
      </c>
      <c r="V280" s="214"/>
      <c r="X280" s="168" t="str">
        <f t="shared" ca="1" si="620"/>
        <v>Completed</v>
      </c>
      <c r="Y280" s="168" t="str">
        <f t="shared" ca="1" si="613"/>
        <v>Completed</v>
      </c>
      <c r="Z280" s="168" t="str">
        <f t="shared" ca="1" si="614"/>
        <v>Completed</v>
      </c>
      <c r="AA280" s="169" t="str">
        <f t="shared" ca="1" si="615"/>
        <v>Completed</v>
      </c>
    </row>
    <row r="281" spans="1:27" s="70" customFormat="1" ht="11.5" x14ac:dyDescent="0.25">
      <c r="A281" s="92" t="s">
        <v>66</v>
      </c>
      <c r="B281" s="92" t="s">
        <v>14</v>
      </c>
      <c r="C281" s="92" t="s">
        <v>280</v>
      </c>
      <c r="D281" s="91" t="s">
        <v>281</v>
      </c>
      <c r="E281" s="93">
        <f t="shared" si="582"/>
        <v>1</v>
      </c>
      <c r="F281" s="93">
        <f t="shared" si="583"/>
        <v>1</v>
      </c>
      <c r="G281" s="93">
        <f t="shared" si="619"/>
        <v>1</v>
      </c>
      <c r="H281" s="93">
        <f t="shared" si="584"/>
        <v>0</v>
      </c>
      <c r="I281" s="129">
        <v>4.7E-2</v>
      </c>
      <c r="J281" s="89">
        <v>46164</v>
      </c>
      <c r="K281" s="89">
        <f t="shared" si="603"/>
        <v>46164</v>
      </c>
      <c r="L281" s="146">
        <v>46184</v>
      </c>
      <c r="M281" s="89">
        <f t="shared" si="604"/>
        <v>46206</v>
      </c>
      <c r="N281" s="89">
        <f t="shared" si="605"/>
        <v>46206</v>
      </c>
      <c r="O281" s="89">
        <v>46192</v>
      </c>
      <c r="P281" s="89">
        <f t="shared" si="606"/>
        <v>46248</v>
      </c>
      <c r="Q281" s="89">
        <f t="shared" si="607"/>
        <v>46248</v>
      </c>
      <c r="R281" s="89">
        <v>46254</v>
      </c>
      <c r="S281" s="89">
        <f t="shared" si="608"/>
        <v>46262</v>
      </c>
      <c r="T281" s="89">
        <f t="shared" si="609"/>
        <v>46262</v>
      </c>
      <c r="U281" s="90">
        <v>46269</v>
      </c>
      <c r="V281" s="218"/>
      <c r="X281" s="168" t="str">
        <f t="shared" ca="1" si="620"/>
        <v>Completed</v>
      </c>
      <c r="Y281" s="168" t="str">
        <f t="shared" ca="1" si="613"/>
        <v>Completed</v>
      </c>
      <c r="Z281" s="168" t="str">
        <f t="shared" ca="1" si="614"/>
        <v>Completed</v>
      </c>
      <c r="AA281" s="169" t="str">
        <f t="shared" ca="1" si="615"/>
        <v>Completed</v>
      </c>
    </row>
    <row r="282" spans="1:27" s="70" customFormat="1" ht="11.5" x14ac:dyDescent="0.25">
      <c r="A282" s="173" t="s">
        <v>66</v>
      </c>
      <c r="B282" s="173" t="s">
        <v>14</v>
      </c>
      <c r="C282" s="173" t="s">
        <v>282</v>
      </c>
      <c r="D282" s="157" t="s">
        <v>1089</v>
      </c>
      <c r="E282" s="158"/>
      <c r="F282" s="158"/>
      <c r="G282" s="158"/>
      <c r="H282" s="158"/>
      <c r="I282" s="129">
        <v>4.7E-2</v>
      </c>
      <c r="J282" s="155">
        <v>46164</v>
      </c>
      <c r="K282" s="155">
        <f t="shared" si="603"/>
        <v>46164</v>
      </c>
      <c r="L282" s="155">
        <v>46184</v>
      </c>
      <c r="M282" s="155">
        <f t="shared" si="604"/>
        <v>46206</v>
      </c>
      <c r="N282" s="155">
        <f t="shared" si="605"/>
        <v>46206</v>
      </c>
      <c r="O282" s="155">
        <v>46192</v>
      </c>
      <c r="P282" s="155">
        <f t="shared" si="606"/>
        <v>46248</v>
      </c>
      <c r="Q282" s="155">
        <f t="shared" si="607"/>
        <v>46248</v>
      </c>
      <c r="R282" s="155">
        <v>46262</v>
      </c>
      <c r="S282" s="155">
        <f t="shared" si="608"/>
        <v>46262</v>
      </c>
      <c r="T282" s="155">
        <f t="shared" si="609"/>
        <v>46262</v>
      </c>
      <c r="U282" s="155">
        <v>46262</v>
      </c>
      <c r="V282" s="213"/>
      <c r="X282" s="168" t="str">
        <f t="shared" ca="1" si="620"/>
        <v>Completed</v>
      </c>
      <c r="Y282" s="168" t="str">
        <f t="shared" ca="1" si="613"/>
        <v>Completed</v>
      </c>
      <c r="Z282" s="168" t="str">
        <f t="shared" ca="1" si="614"/>
        <v>Completed</v>
      </c>
      <c r="AA282" s="169" t="str">
        <f t="shared" ca="1" si="615"/>
        <v>Completed</v>
      </c>
    </row>
    <row r="283" spans="1:27" s="70" customFormat="1" ht="11.5" x14ac:dyDescent="0.25">
      <c r="A283" s="92" t="s">
        <v>66</v>
      </c>
      <c r="B283" s="92" t="s">
        <v>14</v>
      </c>
      <c r="C283" s="92" t="s">
        <v>283</v>
      </c>
      <c r="D283" s="91" t="s">
        <v>284</v>
      </c>
      <c r="E283" s="93">
        <f t="shared" ref="E283:E367" si="621">(COUNTIFS(J283,"&lt;="&amp;$C$1)*50%)+(COUNTIFS(M283,"&lt;="&amp;$C$1)*20%)+(COUNTIFS(P283,"&lt;="&amp;$C$1)*10%)+(COUNTIFS(S283,"&lt;="&amp;$C$1)*20%)</f>
        <v>1</v>
      </c>
      <c r="F283" s="93">
        <f t="shared" ref="F283:F367" si="622">(COUNTIFS(K283,"&lt;="&amp;$C$1)*50%)+(COUNTIFS(N283,"&lt;="&amp;$C$1)*20%)+(COUNTIFS(Q283,"&lt;="&amp;$C$1)*10%)+(COUNTIFS(T283,"&lt;="&amp;$C$1)*20%)</f>
        <v>1</v>
      </c>
      <c r="G283" s="93">
        <f t="shared" ref="G283:G303" si="623">(COUNTIFS(L283,"&lt;="&amp;$C$1)*50%)+(COUNTIFS(O283,"&lt;="&amp;$C$1)*20%)+(COUNTIFS(R283,"&lt;="&amp;$C$1)*10%)+(COUNTIFS(U283,"&lt;="&amp;$C$1)*20%)</f>
        <v>1</v>
      </c>
      <c r="H283" s="93">
        <f t="shared" ref="H283:H367" si="624">G283-E283</f>
        <v>0</v>
      </c>
      <c r="I283" s="129">
        <v>4.7E-2</v>
      </c>
      <c r="J283" s="89">
        <v>46164</v>
      </c>
      <c r="K283" s="89">
        <f t="shared" si="603"/>
        <v>46164</v>
      </c>
      <c r="L283" s="146">
        <v>46184</v>
      </c>
      <c r="M283" s="89">
        <f t="shared" si="604"/>
        <v>46206</v>
      </c>
      <c r="N283" s="89">
        <f t="shared" si="605"/>
        <v>46206</v>
      </c>
      <c r="O283" s="89">
        <v>46192</v>
      </c>
      <c r="P283" s="89">
        <f t="shared" si="606"/>
        <v>46248</v>
      </c>
      <c r="Q283" s="89">
        <f t="shared" si="607"/>
        <v>46248</v>
      </c>
      <c r="R283" s="89">
        <v>46254</v>
      </c>
      <c r="S283" s="89">
        <f t="shared" si="608"/>
        <v>46262</v>
      </c>
      <c r="T283" s="89">
        <f t="shared" si="609"/>
        <v>46262</v>
      </c>
      <c r="U283" s="90">
        <v>46269</v>
      </c>
      <c r="V283" s="218"/>
      <c r="X283" s="168" t="str">
        <f t="shared" ca="1" si="620"/>
        <v>Completed</v>
      </c>
      <c r="Y283" s="168" t="str">
        <f t="shared" ca="1" si="613"/>
        <v>Completed</v>
      </c>
      <c r="Z283" s="168" t="str">
        <f t="shared" ca="1" si="614"/>
        <v>Completed</v>
      </c>
      <c r="AA283" s="169" t="str">
        <f t="shared" ca="1" si="615"/>
        <v>Completed</v>
      </c>
    </row>
    <row r="284" spans="1:27" s="70" customFormat="1" ht="11.5" x14ac:dyDescent="0.25">
      <c r="A284" s="91" t="s">
        <v>66</v>
      </c>
      <c r="B284" s="91" t="s">
        <v>14</v>
      </c>
      <c r="C284" s="91" t="s">
        <v>285</v>
      </c>
      <c r="D284" s="91" t="s">
        <v>286</v>
      </c>
      <c r="E284" s="93">
        <f t="shared" si="621"/>
        <v>1</v>
      </c>
      <c r="F284" s="93">
        <f t="shared" si="622"/>
        <v>1</v>
      </c>
      <c r="G284" s="93">
        <f t="shared" si="623"/>
        <v>1</v>
      </c>
      <c r="H284" s="93">
        <f t="shared" si="624"/>
        <v>0</v>
      </c>
      <c r="I284" s="129">
        <v>4.7E-2</v>
      </c>
      <c r="J284" s="89">
        <v>46164</v>
      </c>
      <c r="K284" s="89">
        <f t="shared" si="603"/>
        <v>46164</v>
      </c>
      <c r="L284" s="146">
        <v>46184</v>
      </c>
      <c r="M284" s="89">
        <f t="shared" si="604"/>
        <v>46206</v>
      </c>
      <c r="N284" s="89">
        <f t="shared" si="605"/>
        <v>46206</v>
      </c>
      <c r="O284" s="89">
        <v>46192</v>
      </c>
      <c r="P284" s="89">
        <f t="shared" si="606"/>
        <v>46248</v>
      </c>
      <c r="Q284" s="89">
        <f t="shared" si="607"/>
        <v>46248</v>
      </c>
      <c r="R284" s="89">
        <v>46254</v>
      </c>
      <c r="S284" s="89">
        <f t="shared" si="608"/>
        <v>46262</v>
      </c>
      <c r="T284" s="89">
        <f t="shared" si="609"/>
        <v>46262</v>
      </c>
      <c r="U284" s="90">
        <v>46269</v>
      </c>
      <c r="V284" s="218"/>
      <c r="X284" s="168" t="str">
        <f t="shared" ca="1" si="620"/>
        <v>Completed</v>
      </c>
      <c r="Y284" s="168" t="str">
        <f t="shared" ca="1" si="613"/>
        <v>Completed</v>
      </c>
      <c r="Z284" s="168" t="str">
        <f t="shared" ca="1" si="614"/>
        <v>Completed</v>
      </c>
      <c r="AA284" s="169" t="str">
        <f t="shared" ca="1" si="615"/>
        <v>Completed</v>
      </c>
    </row>
    <row r="285" spans="1:27" s="70" customFormat="1" ht="11.5" x14ac:dyDescent="0.25">
      <c r="A285" s="91" t="s">
        <v>66</v>
      </c>
      <c r="B285" s="91" t="s">
        <v>14</v>
      </c>
      <c r="C285" s="91" t="s">
        <v>287</v>
      </c>
      <c r="D285" s="91" t="s">
        <v>288</v>
      </c>
      <c r="E285" s="93">
        <f t="shared" si="621"/>
        <v>1</v>
      </c>
      <c r="F285" s="93">
        <f t="shared" si="622"/>
        <v>1</v>
      </c>
      <c r="G285" s="93">
        <f t="shared" si="623"/>
        <v>1</v>
      </c>
      <c r="H285" s="93">
        <f t="shared" si="624"/>
        <v>0</v>
      </c>
      <c r="I285" s="129">
        <v>4.7E-2</v>
      </c>
      <c r="J285" s="89">
        <v>46185</v>
      </c>
      <c r="K285" s="89">
        <f t="shared" si="603"/>
        <v>46185</v>
      </c>
      <c r="L285" s="89">
        <v>46136</v>
      </c>
      <c r="M285" s="89">
        <f t="shared" si="604"/>
        <v>46227</v>
      </c>
      <c r="N285" s="89">
        <f t="shared" si="605"/>
        <v>46227</v>
      </c>
      <c r="O285" s="89">
        <v>46240</v>
      </c>
      <c r="P285" s="89">
        <f t="shared" si="606"/>
        <v>46269</v>
      </c>
      <c r="Q285" s="89">
        <f t="shared" si="607"/>
        <v>46269</v>
      </c>
      <c r="R285" s="89">
        <v>46283</v>
      </c>
      <c r="S285" s="89">
        <f t="shared" si="608"/>
        <v>46283</v>
      </c>
      <c r="T285" s="89">
        <f t="shared" si="609"/>
        <v>46283</v>
      </c>
      <c r="U285" s="89">
        <v>46290</v>
      </c>
      <c r="V285" s="214"/>
      <c r="X285" s="168" t="str">
        <f t="shared" ca="1" si="620"/>
        <v>Completed</v>
      </c>
      <c r="Y285" s="168" t="str">
        <f t="shared" ca="1" si="613"/>
        <v>Completed</v>
      </c>
      <c r="Z285" s="168" t="str">
        <f t="shared" ca="1" si="614"/>
        <v>Completed</v>
      </c>
      <c r="AA285" s="169" t="str">
        <f t="shared" ca="1" si="615"/>
        <v>Completed</v>
      </c>
    </row>
    <row r="286" spans="1:27" s="70" customFormat="1" ht="11.5" x14ac:dyDescent="0.25">
      <c r="A286" s="91" t="s">
        <v>66</v>
      </c>
      <c r="B286" s="91" t="s">
        <v>14</v>
      </c>
      <c r="C286" s="91" t="s">
        <v>928</v>
      </c>
      <c r="D286" s="91" t="s">
        <v>289</v>
      </c>
      <c r="E286" s="93">
        <f t="shared" si="621"/>
        <v>1</v>
      </c>
      <c r="F286" s="93">
        <f t="shared" si="622"/>
        <v>1</v>
      </c>
      <c r="G286" s="93">
        <f t="shared" si="623"/>
        <v>1</v>
      </c>
      <c r="H286" s="93">
        <f t="shared" si="624"/>
        <v>0</v>
      </c>
      <c r="I286" s="129">
        <v>4.7E-2</v>
      </c>
      <c r="J286" s="89">
        <v>46185</v>
      </c>
      <c r="K286" s="89">
        <f t="shared" si="603"/>
        <v>46185</v>
      </c>
      <c r="L286" s="89">
        <v>46136</v>
      </c>
      <c r="M286" s="89">
        <f t="shared" si="604"/>
        <v>46227</v>
      </c>
      <c r="N286" s="89">
        <f t="shared" si="605"/>
        <v>46227</v>
      </c>
      <c r="O286" s="89">
        <v>46240</v>
      </c>
      <c r="P286" s="89">
        <f t="shared" si="606"/>
        <v>46269</v>
      </c>
      <c r="Q286" s="89">
        <f t="shared" si="607"/>
        <v>46269</v>
      </c>
      <c r="R286" s="89">
        <v>46283</v>
      </c>
      <c r="S286" s="89">
        <f t="shared" si="608"/>
        <v>46283</v>
      </c>
      <c r="T286" s="89">
        <f t="shared" si="609"/>
        <v>46283</v>
      </c>
      <c r="U286" s="89">
        <v>46290</v>
      </c>
      <c r="V286" s="214"/>
      <c r="X286" s="168" t="str">
        <f t="shared" ca="1" si="620"/>
        <v>Completed</v>
      </c>
      <c r="Y286" s="168" t="str">
        <f t="shared" ca="1" si="613"/>
        <v>Completed</v>
      </c>
      <c r="Z286" s="168" t="str">
        <f t="shared" ca="1" si="614"/>
        <v>Completed</v>
      </c>
      <c r="AA286" s="169" t="str">
        <f t="shared" ca="1" si="615"/>
        <v>Completed</v>
      </c>
    </row>
    <row r="287" spans="1:27" s="70" customFormat="1" ht="11.5" x14ac:dyDescent="0.25">
      <c r="A287" s="91" t="s">
        <v>66</v>
      </c>
      <c r="B287" s="91" t="s">
        <v>14</v>
      </c>
      <c r="C287" s="91" t="s">
        <v>929</v>
      </c>
      <c r="D287" s="91" t="s">
        <v>290</v>
      </c>
      <c r="E287" s="93">
        <f t="shared" si="621"/>
        <v>1</v>
      </c>
      <c r="F287" s="93">
        <f t="shared" si="622"/>
        <v>1</v>
      </c>
      <c r="G287" s="93">
        <f t="shared" si="623"/>
        <v>1</v>
      </c>
      <c r="H287" s="93">
        <f t="shared" si="624"/>
        <v>0</v>
      </c>
      <c r="I287" s="129">
        <v>4.7E-2</v>
      </c>
      <c r="J287" s="89">
        <v>46185</v>
      </c>
      <c r="K287" s="89">
        <f t="shared" si="603"/>
        <v>46185</v>
      </c>
      <c r="L287" s="89">
        <v>46136</v>
      </c>
      <c r="M287" s="89">
        <f t="shared" si="604"/>
        <v>46227</v>
      </c>
      <c r="N287" s="89">
        <f t="shared" si="605"/>
        <v>46227</v>
      </c>
      <c r="O287" s="89">
        <v>46240</v>
      </c>
      <c r="P287" s="89">
        <f t="shared" si="606"/>
        <v>46269</v>
      </c>
      <c r="Q287" s="89">
        <f t="shared" si="607"/>
        <v>46269</v>
      </c>
      <c r="R287" s="89">
        <v>46283</v>
      </c>
      <c r="S287" s="89">
        <f t="shared" si="608"/>
        <v>46283</v>
      </c>
      <c r="T287" s="89">
        <f t="shared" si="609"/>
        <v>46283</v>
      </c>
      <c r="U287" s="89">
        <v>46290</v>
      </c>
      <c r="V287" s="214"/>
      <c r="X287" s="168" t="str">
        <f t="shared" ca="1" si="620"/>
        <v>Completed</v>
      </c>
      <c r="Y287" s="168" t="str">
        <f t="shared" ca="1" si="613"/>
        <v>Completed</v>
      </c>
      <c r="Z287" s="168" t="str">
        <f t="shared" ca="1" si="614"/>
        <v>Completed</v>
      </c>
      <c r="AA287" s="169" t="str">
        <f t="shared" ca="1" si="615"/>
        <v>Completed</v>
      </c>
    </row>
    <row r="288" spans="1:27" s="70" customFormat="1" ht="11.5" x14ac:dyDescent="0.25">
      <c r="A288" s="91" t="s">
        <v>66</v>
      </c>
      <c r="B288" s="91" t="s">
        <v>14</v>
      </c>
      <c r="C288" s="91" t="s">
        <v>930</v>
      </c>
      <c r="D288" s="91" t="s">
        <v>291</v>
      </c>
      <c r="E288" s="93">
        <f t="shared" si="621"/>
        <v>1</v>
      </c>
      <c r="F288" s="93">
        <f t="shared" si="622"/>
        <v>1</v>
      </c>
      <c r="G288" s="93">
        <f t="shared" si="623"/>
        <v>1</v>
      </c>
      <c r="H288" s="93">
        <f t="shared" si="624"/>
        <v>0</v>
      </c>
      <c r="I288" s="129">
        <v>4.7E-2</v>
      </c>
      <c r="J288" s="89">
        <v>46185</v>
      </c>
      <c r="K288" s="89">
        <f t="shared" si="603"/>
        <v>46185</v>
      </c>
      <c r="L288" s="89">
        <v>46136</v>
      </c>
      <c r="M288" s="89">
        <f t="shared" si="604"/>
        <v>46227</v>
      </c>
      <c r="N288" s="89">
        <f t="shared" si="605"/>
        <v>46227</v>
      </c>
      <c r="O288" s="89">
        <v>46240</v>
      </c>
      <c r="P288" s="89">
        <f t="shared" si="606"/>
        <v>46269</v>
      </c>
      <c r="Q288" s="89">
        <f t="shared" si="607"/>
        <v>46269</v>
      </c>
      <c r="R288" s="89">
        <v>46283</v>
      </c>
      <c r="S288" s="89">
        <f t="shared" si="608"/>
        <v>46283</v>
      </c>
      <c r="T288" s="89">
        <f t="shared" si="609"/>
        <v>46283</v>
      </c>
      <c r="U288" s="89">
        <v>46290</v>
      </c>
      <c r="V288" s="214"/>
      <c r="X288" s="168" t="str">
        <f t="shared" ca="1" si="620"/>
        <v>Completed</v>
      </c>
      <c r="Y288" s="168" t="str">
        <f t="shared" ca="1" si="613"/>
        <v>Completed</v>
      </c>
      <c r="Z288" s="168" t="str">
        <f t="shared" ca="1" si="614"/>
        <v>Completed</v>
      </c>
      <c r="AA288" s="169" t="str">
        <f t="shared" ca="1" si="615"/>
        <v>Completed</v>
      </c>
    </row>
    <row r="289" spans="1:27" s="70" customFormat="1" ht="11.5" x14ac:dyDescent="0.25">
      <c r="A289" s="91" t="s">
        <v>66</v>
      </c>
      <c r="B289" s="91" t="s">
        <v>14</v>
      </c>
      <c r="C289" s="91" t="s">
        <v>931</v>
      </c>
      <c r="D289" s="91" t="s">
        <v>292</v>
      </c>
      <c r="E289" s="93">
        <f t="shared" si="621"/>
        <v>1</v>
      </c>
      <c r="F289" s="93">
        <f t="shared" si="622"/>
        <v>1</v>
      </c>
      <c r="G289" s="93">
        <f t="shared" si="623"/>
        <v>1</v>
      </c>
      <c r="H289" s="93">
        <f t="shared" si="624"/>
        <v>0</v>
      </c>
      <c r="I289" s="129">
        <v>4.7E-2</v>
      </c>
      <c r="J289" s="89">
        <v>46185</v>
      </c>
      <c r="K289" s="89">
        <f t="shared" ref="K289:K377" si="625">J289</f>
        <v>46185</v>
      </c>
      <c r="L289" s="89">
        <v>46136</v>
      </c>
      <c r="M289" s="89">
        <f t="shared" ref="M289:M377" si="626">J289+42</f>
        <v>46227</v>
      </c>
      <c r="N289" s="89">
        <f t="shared" ref="N289:N377" si="627">M289</f>
        <v>46227</v>
      </c>
      <c r="O289" s="89">
        <v>46240</v>
      </c>
      <c r="P289" s="89">
        <f t="shared" ref="P289:P368" si="628">M289+42</f>
        <v>46269</v>
      </c>
      <c r="Q289" s="89">
        <f t="shared" ref="Q289:Q377" si="629">P289</f>
        <v>46269</v>
      </c>
      <c r="R289" s="89">
        <v>46283</v>
      </c>
      <c r="S289" s="89">
        <f t="shared" si="608"/>
        <v>46283</v>
      </c>
      <c r="T289" s="89">
        <f t="shared" ref="T289:T377" si="630">S289</f>
        <v>46283</v>
      </c>
      <c r="U289" s="89">
        <v>46290</v>
      </c>
      <c r="V289" s="214"/>
      <c r="X289" s="168" t="str">
        <f t="shared" ca="1" si="620"/>
        <v>Completed</v>
      </c>
      <c r="Y289" s="168" t="str">
        <f t="shared" ca="1" si="613"/>
        <v>Completed</v>
      </c>
      <c r="Z289" s="168" t="str">
        <f t="shared" ca="1" si="614"/>
        <v>Completed</v>
      </c>
      <c r="AA289" s="169" t="str">
        <f t="shared" ca="1" si="615"/>
        <v>Completed</v>
      </c>
    </row>
    <row r="290" spans="1:27" s="70" customFormat="1" ht="11.5" x14ac:dyDescent="0.25">
      <c r="A290" s="91" t="s">
        <v>66</v>
      </c>
      <c r="B290" s="91" t="s">
        <v>14</v>
      </c>
      <c r="C290" s="91" t="s">
        <v>932</v>
      </c>
      <c r="D290" s="91" t="s">
        <v>293</v>
      </c>
      <c r="E290" s="93">
        <f t="shared" ref="E290" si="631">(COUNTIFS(J290,"&lt;="&amp;$C$1)*50%)+(COUNTIFS(M290,"&lt;="&amp;$C$1)*20%)+(COUNTIFS(P290,"&lt;="&amp;$C$1)*10%)+(COUNTIFS(S290,"&lt;="&amp;$C$1)*20%)</f>
        <v>1</v>
      </c>
      <c r="F290" s="93">
        <f t="shared" ref="F290" si="632">(COUNTIFS(K290,"&lt;="&amp;$C$1)*50%)+(COUNTIFS(N290,"&lt;="&amp;$C$1)*20%)+(COUNTIFS(Q290,"&lt;="&amp;$C$1)*10%)+(COUNTIFS(T290,"&lt;="&amp;$C$1)*20%)</f>
        <v>1</v>
      </c>
      <c r="G290" s="93">
        <f t="shared" si="623"/>
        <v>1</v>
      </c>
      <c r="H290" s="93">
        <f t="shared" ref="H290" si="633">G290-E290</f>
        <v>0</v>
      </c>
      <c r="I290" s="129">
        <v>4.7E-2</v>
      </c>
      <c r="J290" s="89">
        <v>46185</v>
      </c>
      <c r="K290" s="89">
        <f t="shared" si="625"/>
        <v>46185</v>
      </c>
      <c r="L290" s="89">
        <v>46136</v>
      </c>
      <c r="M290" s="89">
        <f t="shared" si="626"/>
        <v>46227</v>
      </c>
      <c r="N290" s="89">
        <f t="shared" si="627"/>
        <v>46227</v>
      </c>
      <c r="O290" s="89">
        <v>46240</v>
      </c>
      <c r="P290" s="89">
        <f t="shared" si="628"/>
        <v>46269</v>
      </c>
      <c r="Q290" s="89">
        <f t="shared" si="629"/>
        <v>46269</v>
      </c>
      <c r="R290" s="89">
        <v>46283</v>
      </c>
      <c r="S290" s="89">
        <f t="shared" ref="S290:S378" si="634">P290+14</f>
        <v>46283</v>
      </c>
      <c r="T290" s="89">
        <f t="shared" si="630"/>
        <v>46283</v>
      </c>
      <c r="U290" s="89">
        <v>46290</v>
      </c>
      <c r="V290" s="214"/>
      <c r="X290" s="168" t="str">
        <f t="shared" ca="1" si="620"/>
        <v>Completed</v>
      </c>
      <c r="Y290" s="168" t="str">
        <f t="shared" ca="1" si="613"/>
        <v>Completed</v>
      </c>
      <c r="Z290" s="168" t="str">
        <f t="shared" ca="1" si="614"/>
        <v>Completed</v>
      </c>
      <c r="AA290" s="169" t="str">
        <f t="shared" ca="1" si="615"/>
        <v>Completed</v>
      </c>
    </row>
    <row r="291" spans="1:27" s="70" customFormat="1" ht="11.5" x14ac:dyDescent="0.25">
      <c r="A291" s="91" t="s">
        <v>66</v>
      </c>
      <c r="B291" s="91" t="s">
        <v>14</v>
      </c>
      <c r="C291" s="91" t="s">
        <v>933</v>
      </c>
      <c r="D291" s="91" t="s">
        <v>294</v>
      </c>
      <c r="E291" s="93">
        <f t="shared" si="621"/>
        <v>1</v>
      </c>
      <c r="F291" s="93">
        <f t="shared" si="622"/>
        <v>1</v>
      </c>
      <c r="G291" s="93">
        <f t="shared" si="623"/>
        <v>1</v>
      </c>
      <c r="H291" s="93">
        <f t="shared" si="624"/>
        <v>0</v>
      </c>
      <c r="I291" s="129">
        <v>4.7E-2</v>
      </c>
      <c r="J291" s="89">
        <v>46185</v>
      </c>
      <c r="K291" s="89">
        <f t="shared" si="625"/>
        <v>46185</v>
      </c>
      <c r="L291" s="89">
        <v>46136</v>
      </c>
      <c r="M291" s="89">
        <f t="shared" si="626"/>
        <v>46227</v>
      </c>
      <c r="N291" s="89">
        <f t="shared" si="627"/>
        <v>46227</v>
      </c>
      <c r="O291" s="89">
        <v>46240</v>
      </c>
      <c r="P291" s="89">
        <f t="shared" si="628"/>
        <v>46269</v>
      </c>
      <c r="Q291" s="89">
        <f t="shared" si="629"/>
        <v>46269</v>
      </c>
      <c r="R291" s="89">
        <v>46283</v>
      </c>
      <c r="S291" s="89">
        <f t="shared" si="634"/>
        <v>46283</v>
      </c>
      <c r="T291" s="89">
        <f t="shared" si="630"/>
        <v>46283</v>
      </c>
      <c r="U291" s="89">
        <v>46290</v>
      </c>
      <c r="V291" s="214"/>
      <c r="X291" s="168" t="str">
        <f t="shared" ca="1" si="620"/>
        <v>Completed</v>
      </c>
      <c r="Y291" s="168" t="str">
        <f t="shared" ca="1" si="613"/>
        <v>Completed</v>
      </c>
      <c r="Z291" s="168" t="str">
        <f t="shared" ca="1" si="614"/>
        <v>Completed</v>
      </c>
      <c r="AA291" s="169" t="str">
        <f t="shared" ca="1" si="615"/>
        <v>Completed</v>
      </c>
    </row>
    <row r="292" spans="1:27" s="70" customFormat="1" ht="11.5" x14ac:dyDescent="0.25">
      <c r="A292" s="91" t="s">
        <v>66</v>
      </c>
      <c r="B292" s="91" t="s">
        <v>14</v>
      </c>
      <c r="C292" s="91" t="s">
        <v>934</v>
      </c>
      <c r="D292" s="91" t="s">
        <v>295</v>
      </c>
      <c r="E292" s="93">
        <f t="shared" si="621"/>
        <v>1</v>
      </c>
      <c r="F292" s="93">
        <f t="shared" si="622"/>
        <v>1</v>
      </c>
      <c r="G292" s="93">
        <f t="shared" si="623"/>
        <v>1</v>
      </c>
      <c r="H292" s="93">
        <f t="shared" si="624"/>
        <v>0</v>
      </c>
      <c r="I292" s="129">
        <v>4.7E-2</v>
      </c>
      <c r="J292" s="89">
        <v>46185</v>
      </c>
      <c r="K292" s="89">
        <f t="shared" si="625"/>
        <v>46185</v>
      </c>
      <c r="L292" s="89">
        <v>46136</v>
      </c>
      <c r="M292" s="89">
        <f t="shared" si="626"/>
        <v>46227</v>
      </c>
      <c r="N292" s="89">
        <f t="shared" si="627"/>
        <v>46227</v>
      </c>
      <c r="O292" s="89">
        <v>46240</v>
      </c>
      <c r="P292" s="89">
        <f t="shared" si="628"/>
        <v>46269</v>
      </c>
      <c r="Q292" s="89">
        <f t="shared" si="629"/>
        <v>46269</v>
      </c>
      <c r="R292" s="89">
        <v>46283</v>
      </c>
      <c r="S292" s="89">
        <f t="shared" si="634"/>
        <v>46283</v>
      </c>
      <c r="T292" s="89">
        <f t="shared" si="630"/>
        <v>46283</v>
      </c>
      <c r="U292" s="89">
        <v>46290</v>
      </c>
      <c r="V292" s="214"/>
      <c r="X292" s="168" t="str">
        <f t="shared" ca="1" si="620"/>
        <v>Completed</v>
      </c>
      <c r="Y292" s="168" t="str">
        <f t="shared" ca="1" si="613"/>
        <v>Completed</v>
      </c>
      <c r="Z292" s="168" t="str">
        <f t="shared" ca="1" si="614"/>
        <v>Completed</v>
      </c>
      <c r="AA292" s="169" t="str">
        <f t="shared" ca="1" si="615"/>
        <v>Completed</v>
      </c>
    </row>
    <row r="293" spans="1:27" s="70" customFormat="1" ht="11.5" x14ac:dyDescent="0.25">
      <c r="A293" s="91" t="s">
        <v>66</v>
      </c>
      <c r="B293" s="91" t="s">
        <v>14</v>
      </c>
      <c r="C293" s="91" t="s">
        <v>935</v>
      </c>
      <c r="D293" s="91" t="s">
        <v>296</v>
      </c>
      <c r="E293" s="93">
        <f t="shared" si="621"/>
        <v>1</v>
      </c>
      <c r="F293" s="93">
        <f t="shared" si="622"/>
        <v>1</v>
      </c>
      <c r="G293" s="93">
        <f t="shared" si="623"/>
        <v>1</v>
      </c>
      <c r="H293" s="93">
        <f t="shared" si="624"/>
        <v>0</v>
      </c>
      <c r="I293" s="129">
        <v>4.7E-2</v>
      </c>
      <c r="J293" s="89">
        <v>46185</v>
      </c>
      <c r="K293" s="89">
        <f t="shared" si="625"/>
        <v>46185</v>
      </c>
      <c r="L293" s="89">
        <v>46136</v>
      </c>
      <c r="M293" s="89">
        <f t="shared" si="626"/>
        <v>46227</v>
      </c>
      <c r="N293" s="89">
        <f t="shared" si="627"/>
        <v>46227</v>
      </c>
      <c r="O293" s="89">
        <v>46240</v>
      </c>
      <c r="P293" s="89">
        <f t="shared" si="628"/>
        <v>46269</v>
      </c>
      <c r="Q293" s="89">
        <f t="shared" si="629"/>
        <v>46269</v>
      </c>
      <c r="R293" s="89">
        <v>46283</v>
      </c>
      <c r="S293" s="89">
        <f t="shared" si="634"/>
        <v>46283</v>
      </c>
      <c r="T293" s="89">
        <f t="shared" si="630"/>
        <v>46283</v>
      </c>
      <c r="U293" s="89">
        <v>46290</v>
      </c>
      <c r="V293" s="214"/>
      <c r="X293" s="168" t="str">
        <f t="shared" ca="1" si="620"/>
        <v>Completed</v>
      </c>
      <c r="Y293" s="168" t="str">
        <f t="shared" ca="1" si="613"/>
        <v>Completed</v>
      </c>
      <c r="Z293" s="168" t="str">
        <f t="shared" ca="1" si="614"/>
        <v>Completed</v>
      </c>
      <c r="AA293" s="169" t="str">
        <f t="shared" ca="1" si="615"/>
        <v>Completed</v>
      </c>
    </row>
    <row r="294" spans="1:27" s="70" customFormat="1" ht="11.5" x14ac:dyDescent="0.25">
      <c r="A294" s="91" t="s">
        <v>66</v>
      </c>
      <c r="B294" s="91" t="s">
        <v>14</v>
      </c>
      <c r="C294" s="91" t="s">
        <v>936</v>
      </c>
      <c r="D294" s="91" t="s">
        <v>297</v>
      </c>
      <c r="E294" s="93">
        <f t="shared" si="621"/>
        <v>1</v>
      </c>
      <c r="F294" s="93">
        <f t="shared" si="622"/>
        <v>1</v>
      </c>
      <c r="G294" s="93">
        <f t="shared" si="623"/>
        <v>1</v>
      </c>
      <c r="H294" s="93">
        <f t="shared" si="624"/>
        <v>0</v>
      </c>
      <c r="I294" s="129">
        <v>4.7E-2</v>
      </c>
      <c r="J294" s="89">
        <v>46185</v>
      </c>
      <c r="K294" s="89">
        <f t="shared" si="625"/>
        <v>46185</v>
      </c>
      <c r="L294" s="89">
        <v>46136</v>
      </c>
      <c r="M294" s="89">
        <f t="shared" si="626"/>
        <v>46227</v>
      </c>
      <c r="N294" s="89">
        <f t="shared" si="627"/>
        <v>46227</v>
      </c>
      <c r="O294" s="89">
        <v>46240</v>
      </c>
      <c r="P294" s="89">
        <f t="shared" si="628"/>
        <v>46269</v>
      </c>
      <c r="Q294" s="89">
        <f t="shared" si="629"/>
        <v>46269</v>
      </c>
      <c r="R294" s="89">
        <v>46283</v>
      </c>
      <c r="S294" s="89">
        <f t="shared" si="634"/>
        <v>46283</v>
      </c>
      <c r="T294" s="89">
        <f t="shared" si="630"/>
        <v>46283</v>
      </c>
      <c r="U294" s="89">
        <v>46290</v>
      </c>
      <c r="V294" s="214"/>
      <c r="X294" s="168" t="str">
        <f t="shared" ca="1" si="620"/>
        <v>Completed</v>
      </c>
      <c r="Y294" s="168" t="str">
        <f t="shared" ca="1" si="613"/>
        <v>Completed</v>
      </c>
      <c r="Z294" s="168" t="str">
        <f t="shared" ca="1" si="614"/>
        <v>Completed</v>
      </c>
      <c r="AA294" s="169" t="str">
        <f t="shared" ca="1" si="615"/>
        <v>Completed</v>
      </c>
    </row>
    <row r="295" spans="1:27" s="70" customFormat="1" ht="11.5" x14ac:dyDescent="0.25">
      <c r="A295" s="91" t="s">
        <v>66</v>
      </c>
      <c r="B295" s="91" t="s">
        <v>14</v>
      </c>
      <c r="C295" s="91" t="s">
        <v>937</v>
      </c>
      <c r="D295" s="91" t="s">
        <v>298</v>
      </c>
      <c r="E295" s="93">
        <f t="shared" si="621"/>
        <v>1</v>
      </c>
      <c r="F295" s="93">
        <f t="shared" si="622"/>
        <v>1</v>
      </c>
      <c r="G295" s="93">
        <f t="shared" si="623"/>
        <v>1</v>
      </c>
      <c r="H295" s="93">
        <f t="shared" si="624"/>
        <v>0</v>
      </c>
      <c r="I295" s="129">
        <v>4.7E-2</v>
      </c>
      <c r="J295" s="89">
        <v>46185</v>
      </c>
      <c r="K295" s="89">
        <f t="shared" si="625"/>
        <v>46185</v>
      </c>
      <c r="L295" s="89">
        <v>46136</v>
      </c>
      <c r="M295" s="89">
        <f t="shared" si="626"/>
        <v>46227</v>
      </c>
      <c r="N295" s="89">
        <f t="shared" si="627"/>
        <v>46227</v>
      </c>
      <c r="O295" s="89">
        <v>46240</v>
      </c>
      <c r="P295" s="89">
        <f t="shared" si="628"/>
        <v>46269</v>
      </c>
      <c r="Q295" s="89">
        <f t="shared" si="629"/>
        <v>46269</v>
      </c>
      <c r="R295" s="89">
        <v>46283</v>
      </c>
      <c r="S295" s="89">
        <f t="shared" si="634"/>
        <v>46283</v>
      </c>
      <c r="T295" s="89">
        <f t="shared" si="630"/>
        <v>46283</v>
      </c>
      <c r="U295" s="89">
        <v>46290</v>
      </c>
      <c r="V295" s="214"/>
      <c r="X295" s="168" t="str">
        <f t="shared" ca="1" si="620"/>
        <v>Completed</v>
      </c>
      <c r="Y295" s="168" t="str">
        <f t="shared" ca="1" si="613"/>
        <v>Completed</v>
      </c>
      <c r="Z295" s="168" t="str">
        <f t="shared" ca="1" si="614"/>
        <v>Completed</v>
      </c>
      <c r="AA295" s="169" t="str">
        <f t="shared" ca="1" si="615"/>
        <v>Completed</v>
      </c>
    </row>
    <row r="296" spans="1:27" s="70" customFormat="1" ht="11.5" x14ac:dyDescent="0.25">
      <c r="A296" s="92" t="s">
        <v>66</v>
      </c>
      <c r="B296" s="92" t="s">
        <v>14</v>
      </c>
      <c r="C296" s="92" t="s">
        <v>938</v>
      </c>
      <c r="D296" s="91" t="s">
        <v>299</v>
      </c>
      <c r="E296" s="93">
        <f t="shared" si="621"/>
        <v>1</v>
      </c>
      <c r="F296" s="93">
        <f t="shared" si="622"/>
        <v>1</v>
      </c>
      <c r="G296" s="93">
        <f t="shared" si="623"/>
        <v>1</v>
      </c>
      <c r="H296" s="93">
        <f t="shared" si="624"/>
        <v>0</v>
      </c>
      <c r="I296" s="129">
        <v>4.7E-2</v>
      </c>
      <c r="J296" s="89">
        <v>46185</v>
      </c>
      <c r="K296" s="89">
        <f t="shared" si="625"/>
        <v>46185</v>
      </c>
      <c r="L296" s="89">
        <v>46136</v>
      </c>
      <c r="M296" s="89">
        <f t="shared" si="626"/>
        <v>46227</v>
      </c>
      <c r="N296" s="89">
        <f t="shared" si="627"/>
        <v>46227</v>
      </c>
      <c r="O296" s="89">
        <v>46240</v>
      </c>
      <c r="P296" s="89">
        <f t="shared" si="628"/>
        <v>46269</v>
      </c>
      <c r="Q296" s="89">
        <f t="shared" si="629"/>
        <v>46269</v>
      </c>
      <c r="R296" s="89">
        <v>46283</v>
      </c>
      <c r="S296" s="89">
        <f t="shared" si="634"/>
        <v>46283</v>
      </c>
      <c r="T296" s="89">
        <f t="shared" si="630"/>
        <v>46283</v>
      </c>
      <c r="U296" s="89">
        <v>46290</v>
      </c>
      <c r="V296" s="214"/>
      <c r="X296" s="168" t="str">
        <f t="shared" ca="1" si="620"/>
        <v>Completed</v>
      </c>
      <c r="Y296" s="168" t="str">
        <f t="shared" ref="Y296:Y356" ca="1" si="635">IF(OR(O296&lt;&gt;""),"Completed",IF(N296="","",
IF(N296&lt;TODAY(),"Overdue",
IF(AND(N296&gt;=TODAY()-WEEKDAY(TODAY(),2)+1,N296&lt;=TODAY()-WEEKDAY(TODAY(),2)+7),"Follow-This Week",
IF(AND(N296&gt;=TODAY()-WEEKDAY(TODAY(),2)+8,N296&lt;=TODAY()-WEEKDAY(TODAY(),2)+14),"Follow-Next Week","")))))</f>
        <v>Completed</v>
      </c>
      <c r="Z296" s="168" t="str">
        <f t="shared" ref="Z296:Z356" ca="1" si="636">IF(OR(R296&lt;&gt;""),"Completed",IF(Q296="","",
IF(Q296&lt;TODAY(),"Overdue",
IF(AND(Q296&gt;=TODAY()-WEEKDAY(TODAY(),2)+1,Q296&lt;=TODAY()-WEEKDAY(TODAY(),2)+7),"Follow-This Week",
IF(AND(Q296&gt;=TODAY()-WEEKDAY(TODAY(),2)+8,Q296&lt;=TODAY()-WEEKDAY(TODAY(),2)+14),"Follow-Next Week","")))))</f>
        <v>Completed</v>
      </c>
      <c r="AA296" s="169" t="str">
        <f t="shared" ref="AA296:AA356" ca="1" si="637">IF(OR(U296&lt;&gt;""),"Completed",IF(T296="","",
IF(T296&lt;TODAY(),"Overdue",
IF(AND(T296&gt;=TODAY()-WEEKDAY(TODAY(),2)+1,T296&lt;=TODAY()-WEEKDAY(TODAY(),2)+7),"Follow-This Week",
IF(AND(T296&gt;=TODAY()-WEEKDAY(TODAY(),2)+8,T296&lt;=TODAY()-WEEKDAY(TODAY(),2)+14),"Follow-Next Week","")))))</f>
        <v>Completed</v>
      </c>
    </row>
    <row r="297" spans="1:27" s="70" customFormat="1" ht="11.5" x14ac:dyDescent="0.25">
      <c r="A297" s="92" t="s">
        <v>66</v>
      </c>
      <c r="B297" s="92" t="s">
        <v>14</v>
      </c>
      <c r="C297" s="92" t="s">
        <v>939</v>
      </c>
      <c r="D297" s="91" t="s">
        <v>300</v>
      </c>
      <c r="E297" s="93">
        <f t="shared" si="621"/>
        <v>1</v>
      </c>
      <c r="F297" s="93">
        <f t="shared" si="622"/>
        <v>1</v>
      </c>
      <c r="G297" s="93">
        <f t="shared" si="623"/>
        <v>1</v>
      </c>
      <c r="H297" s="93">
        <f t="shared" si="624"/>
        <v>0</v>
      </c>
      <c r="I297" s="129">
        <v>4.7E-2</v>
      </c>
      <c r="J297" s="89">
        <v>46185</v>
      </c>
      <c r="K297" s="89">
        <f t="shared" si="625"/>
        <v>46185</v>
      </c>
      <c r="L297" s="89">
        <v>46136</v>
      </c>
      <c r="M297" s="89">
        <f t="shared" si="626"/>
        <v>46227</v>
      </c>
      <c r="N297" s="89">
        <f t="shared" si="627"/>
        <v>46227</v>
      </c>
      <c r="O297" s="89">
        <v>46240</v>
      </c>
      <c r="P297" s="89">
        <f t="shared" si="628"/>
        <v>46269</v>
      </c>
      <c r="Q297" s="89">
        <f t="shared" si="629"/>
        <v>46269</v>
      </c>
      <c r="R297" s="89">
        <v>46283</v>
      </c>
      <c r="S297" s="89">
        <f t="shared" si="634"/>
        <v>46283</v>
      </c>
      <c r="T297" s="89">
        <f t="shared" si="630"/>
        <v>46283</v>
      </c>
      <c r="U297" s="89">
        <v>46290</v>
      </c>
      <c r="V297" s="214"/>
      <c r="X297" s="168" t="str">
        <f t="shared" ca="1" si="620"/>
        <v>Completed</v>
      </c>
      <c r="Y297" s="168" t="str">
        <f t="shared" ca="1" si="635"/>
        <v>Completed</v>
      </c>
      <c r="Z297" s="168" t="str">
        <f t="shared" ca="1" si="636"/>
        <v>Completed</v>
      </c>
      <c r="AA297" s="169" t="str">
        <f t="shared" ca="1" si="637"/>
        <v>Completed</v>
      </c>
    </row>
    <row r="298" spans="1:27" s="70" customFormat="1" ht="11.5" x14ac:dyDescent="0.25">
      <c r="A298" s="92" t="s">
        <v>66</v>
      </c>
      <c r="B298" s="92" t="s">
        <v>14</v>
      </c>
      <c r="C298" s="92" t="s">
        <v>940</v>
      </c>
      <c r="D298" s="91" t="s">
        <v>301</v>
      </c>
      <c r="E298" s="93">
        <f t="shared" si="621"/>
        <v>1</v>
      </c>
      <c r="F298" s="93">
        <f t="shared" si="622"/>
        <v>1</v>
      </c>
      <c r="G298" s="93">
        <f t="shared" si="623"/>
        <v>1</v>
      </c>
      <c r="H298" s="93">
        <f t="shared" si="624"/>
        <v>0</v>
      </c>
      <c r="I298" s="129">
        <v>4.7E-2</v>
      </c>
      <c r="J298" s="89">
        <v>46185</v>
      </c>
      <c r="K298" s="89">
        <f t="shared" si="625"/>
        <v>46185</v>
      </c>
      <c r="L298" s="89">
        <v>46136</v>
      </c>
      <c r="M298" s="89">
        <f t="shared" si="626"/>
        <v>46227</v>
      </c>
      <c r="N298" s="89">
        <f t="shared" si="627"/>
        <v>46227</v>
      </c>
      <c r="O298" s="89">
        <v>46240</v>
      </c>
      <c r="P298" s="89">
        <f t="shared" si="628"/>
        <v>46269</v>
      </c>
      <c r="Q298" s="89">
        <f t="shared" si="629"/>
        <v>46269</v>
      </c>
      <c r="R298" s="89">
        <v>46283</v>
      </c>
      <c r="S298" s="89">
        <f t="shared" si="634"/>
        <v>46283</v>
      </c>
      <c r="T298" s="89">
        <f t="shared" si="630"/>
        <v>46283</v>
      </c>
      <c r="U298" s="89">
        <v>46290</v>
      </c>
      <c r="V298" s="214"/>
      <c r="X298" s="168" t="str">
        <f t="shared" ca="1" si="620"/>
        <v>Completed</v>
      </c>
      <c r="Y298" s="168" t="str">
        <f t="shared" ca="1" si="635"/>
        <v>Completed</v>
      </c>
      <c r="Z298" s="168" t="str">
        <f t="shared" ca="1" si="636"/>
        <v>Completed</v>
      </c>
      <c r="AA298" s="169" t="str">
        <f t="shared" ca="1" si="637"/>
        <v>Completed</v>
      </c>
    </row>
    <row r="299" spans="1:27" s="70" customFormat="1" ht="11.5" x14ac:dyDescent="0.25">
      <c r="A299" s="92" t="s">
        <v>66</v>
      </c>
      <c r="B299" s="92" t="s">
        <v>14</v>
      </c>
      <c r="C299" s="92" t="s">
        <v>941</v>
      </c>
      <c r="D299" s="91" t="s">
        <v>302</v>
      </c>
      <c r="E299" s="93">
        <f t="shared" si="621"/>
        <v>1</v>
      </c>
      <c r="F299" s="93">
        <f t="shared" si="622"/>
        <v>1</v>
      </c>
      <c r="G299" s="93">
        <f t="shared" si="623"/>
        <v>1</v>
      </c>
      <c r="H299" s="93">
        <f t="shared" si="624"/>
        <v>0</v>
      </c>
      <c r="I299" s="129">
        <v>4.7E-2</v>
      </c>
      <c r="J299" s="89">
        <v>46185</v>
      </c>
      <c r="K299" s="89">
        <f t="shared" si="625"/>
        <v>46185</v>
      </c>
      <c r="L299" s="89">
        <v>46136</v>
      </c>
      <c r="M299" s="89">
        <f t="shared" si="626"/>
        <v>46227</v>
      </c>
      <c r="N299" s="89">
        <f t="shared" si="627"/>
        <v>46227</v>
      </c>
      <c r="O299" s="89">
        <v>46240</v>
      </c>
      <c r="P299" s="89">
        <f t="shared" si="628"/>
        <v>46269</v>
      </c>
      <c r="Q299" s="89">
        <f t="shared" si="629"/>
        <v>46269</v>
      </c>
      <c r="R299" s="89">
        <v>46283</v>
      </c>
      <c r="S299" s="89">
        <f t="shared" si="634"/>
        <v>46283</v>
      </c>
      <c r="T299" s="89">
        <f t="shared" si="630"/>
        <v>46283</v>
      </c>
      <c r="U299" s="89">
        <v>46290</v>
      </c>
      <c r="V299" s="214"/>
      <c r="X299" s="168" t="str">
        <f t="shared" ca="1" si="620"/>
        <v>Completed</v>
      </c>
      <c r="Y299" s="168" t="str">
        <f t="shared" ca="1" si="635"/>
        <v>Completed</v>
      </c>
      <c r="Z299" s="168" t="str">
        <f t="shared" ca="1" si="636"/>
        <v>Completed</v>
      </c>
      <c r="AA299" s="169" t="str">
        <f t="shared" ca="1" si="637"/>
        <v>Completed</v>
      </c>
    </row>
    <row r="300" spans="1:27" s="70" customFormat="1" ht="11.5" x14ac:dyDescent="0.25">
      <c r="A300" s="92" t="s">
        <v>66</v>
      </c>
      <c r="B300" s="92" t="s">
        <v>14</v>
      </c>
      <c r="C300" s="92" t="s">
        <v>942</v>
      </c>
      <c r="D300" s="91" t="s">
        <v>303</v>
      </c>
      <c r="E300" s="93">
        <f t="shared" si="621"/>
        <v>1</v>
      </c>
      <c r="F300" s="93">
        <f t="shared" si="622"/>
        <v>1</v>
      </c>
      <c r="G300" s="93">
        <f t="shared" si="623"/>
        <v>1</v>
      </c>
      <c r="H300" s="93">
        <f t="shared" si="624"/>
        <v>0</v>
      </c>
      <c r="I300" s="129">
        <v>4.7E-2</v>
      </c>
      <c r="J300" s="89">
        <v>46185</v>
      </c>
      <c r="K300" s="89">
        <f t="shared" si="625"/>
        <v>46185</v>
      </c>
      <c r="L300" s="89">
        <v>46136</v>
      </c>
      <c r="M300" s="89">
        <f t="shared" si="626"/>
        <v>46227</v>
      </c>
      <c r="N300" s="89">
        <f t="shared" si="627"/>
        <v>46227</v>
      </c>
      <c r="O300" s="89">
        <v>46240</v>
      </c>
      <c r="P300" s="89">
        <f t="shared" si="628"/>
        <v>46269</v>
      </c>
      <c r="Q300" s="89">
        <f t="shared" si="629"/>
        <v>46269</v>
      </c>
      <c r="R300" s="89">
        <v>46283</v>
      </c>
      <c r="S300" s="89">
        <f t="shared" si="634"/>
        <v>46283</v>
      </c>
      <c r="T300" s="89">
        <f t="shared" si="630"/>
        <v>46283</v>
      </c>
      <c r="U300" s="89">
        <v>46290</v>
      </c>
      <c r="V300" s="214"/>
      <c r="X300" s="168" t="str">
        <f t="shared" ca="1" si="620"/>
        <v>Completed</v>
      </c>
      <c r="Y300" s="168" t="str">
        <f t="shared" ca="1" si="635"/>
        <v>Completed</v>
      </c>
      <c r="Z300" s="168" t="str">
        <f t="shared" ca="1" si="636"/>
        <v>Completed</v>
      </c>
      <c r="AA300" s="169" t="str">
        <f t="shared" ca="1" si="637"/>
        <v>Completed</v>
      </c>
    </row>
    <row r="301" spans="1:27" s="70" customFormat="1" ht="11.5" x14ac:dyDescent="0.25">
      <c r="A301" s="92" t="s">
        <v>66</v>
      </c>
      <c r="B301" s="92" t="s">
        <v>14</v>
      </c>
      <c r="C301" s="92" t="s">
        <v>943</v>
      </c>
      <c r="D301" s="91" t="s">
        <v>304</v>
      </c>
      <c r="E301" s="93">
        <f t="shared" si="621"/>
        <v>1</v>
      </c>
      <c r="F301" s="93">
        <f t="shared" si="622"/>
        <v>1</v>
      </c>
      <c r="G301" s="93">
        <f t="shared" si="623"/>
        <v>1</v>
      </c>
      <c r="H301" s="93">
        <f t="shared" si="624"/>
        <v>0</v>
      </c>
      <c r="I301" s="129">
        <v>4.7E-2</v>
      </c>
      <c r="J301" s="89">
        <v>46185</v>
      </c>
      <c r="K301" s="89">
        <f t="shared" si="625"/>
        <v>46185</v>
      </c>
      <c r="L301" s="89">
        <v>46136</v>
      </c>
      <c r="M301" s="89">
        <f t="shared" si="626"/>
        <v>46227</v>
      </c>
      <c r="N301" s="89">
        <f t="shared" si="627"/>
        <v>46227</v>
      </c>
      <c r="O301" s="89">
        <v>46240</v>
      </c>
      <c r="P301" s="89">
        <f t="shared" si="628"/>
        <v>46269</v>
      </c>
      <c r="Q301" s="89">
        <f t="shared" si="629"/>
        <v>46269</v>
      </c>
      <c r="R301" s="89">
        <v>46283</v>
      </c>
      <c r="S301" s="89">
        <f t="shared" si="634"/>
        <v>46283</v>
      </c>
      <c r="T301" s="89">
        <f t="shared" si="630"/>
        <v>46283</v>
      </c>
      <c r="U301" s="89">
        <v>46290</v>
      </c>
      <c r="V301" s="214"/>
      <c r="X301" s="168" t="str">
        <f t="shared" ca="1" si="620"/>
        <v>Completed</v>
      </c>
      <c r="Y301" s="168" t="str">
        <f t="shared" ca="1" si="635"/>
        <v>Completed</v>
      </c>
      <c r="Z301" s="168" t="str">
        <f t="shared" ca="1" si="636"/>
        <v>Completed</v>
      </c>
      <c r="AA301" s="169" t="str">
        <f t="shared" ca="1" si="637"/>
        <v>Completed</v>
      </c>
    </row>
    <row r="302" spans="1:27" s="70" customFormat="1" ht="11.5" x14ac:dyDescent="0.25">
      <c r="A302" s="92" t="s">
        <v>66</v>
      </c>
      <c r="B302" s="92" t="s">
        <v>14</v>
      </c>
      <c r="C302" s="92" t="s">
        <v>944</v>
      </c>
      <c r="D302" s="147" t="s">
        <v>1085</v>
      </c>
      <c r="E302" s="93">
        <f t="shared" si="621"/>
        <v>1</v>
      </c>
      <c r="F302" s="93">
        <f t="shared" si="622"/>
        <v>1</v>
      </c>
      <c r="G302" s="93">
        <f t="shared" si="623"/>
        <v>1</v>
      </c>
      <c r="H302" s="93">
        <f t="shared" si="624"/>
        <v>0</v>
      </c>
      <c r="I302" s="129">
        <v>4.7E-2</v>
      </c>
      <c r="J302" s="89">
        <v>46185</v>
      </c>
      <c r="K302" s="89">
        <f t="shared" si="625"/>
        <v>46185</v>
      </c>
      <c r="L302" s="89">
        <v>46136</v>
      </c>
      <c r="M302" s="89">
        <f t="shared" si="626"/>
        <v>46227</v>
      </c>
      <c r="N302" s="89">
        <f t="shared" si="627"/>
        <v>46227</v>
      </c>
      <c r="O302" s="89">
        <v>46240</v>
      </c>
      <c r="P302" s="89">
        <f t="shared" si="628"/>
        <v>46269</v>
      </c>
      <c r="Q302" s="89">
        <f t="shared" si="629"/>
        <v>46269</v>
      </c>
      <c r="R302" s="89">
        <v>46283</v>
      </c>
      <c r="S302" s="89">
        <f t="shared" si="634"/>
        <v>46283</v>
      </c>
      <c r="T302" s="89">
        <f t="shared" si="630"/>
        <v>46283</v>
      </c>
      <c r="U302" s="89">
        <v>46290</v>
      </c>
      <c r="V302" s="214"/>
      <c r="X302" s="168" t="str">
        <f t="shared" ca="1" si="620"/>
        <v>Completed</v>
      </c>
      <c r="Y302" s="168" t="str">
        <f t="shared" ca="1" si="635"/>
        <v>Completed</v>
      </c>
      <c r="Z302" s="168" t="str">
        <f t="shared" ca="1" si="636"/>
        <v>Completed</v>
      </c>
      <c r="AA302" s="169" t="str">
        <f t="shared" ca="1" si="637"/>
        <v>Completed</v>
      </c>
    </row>
    <row r="303" spans="1:27" s="70" customFormat="1" ht="11.5" x14ac:dyDescent="0.25">
      <c r="A303" s="92" t="s">
        <v>66</v>
      </c>
      <c r="B303" s="92" t="s">
        <v>14</v>
      </c>
      <c r="C303" s="92" t="s">
        <v>945</v>
      </c>
      <c r="D303" s="91" t="s">
        <v>305</v>
      </c>
      <c r="E303" s="93">
        <f t="shared" si="621"/>
        <v>1</v>
      </c>
      <c r="F303" s="93">
        <f t="shared" si="622"/>
        <v>1</v>
      </c>
      <c r="G303" s="93">
        <f t="shared" si="623"/>
        <v>1</v>
      </c>
      <c r="H303" s="93">
        <f t="shared" si="624"/>
        <v>0</v>
      </c>
      <c r="I303" s="129">
        <v>4.7E-2</v>
      </c>
      <c r="J303" s="89">
        <v>46185</v>
      </c>
      <c r="K303" s="89">
        <f t="shared" si="625"/>
        <v>46185</v>
      </c>
      <c r="L303" s="89">
        <v>46136</v>
      </c>
      <c r="M303" s="89">
        <f t="shared" si="626"/>
        <v>46227</v>
      </c>
      <c r="N303" s="89">
        <f t="shared" si="627"/>
        <v>46227</v>
      </c>
      <c r="O303" s="89">
        <v>46240</v>
      </c>
      <c r="P303" s="89">
        <f t="shared" si="628"/>
        <v>46269</v>
      </c>
      <c r="Q303" s="89">
        <f t="shared" si="629"/>
        <v>46269</v>
      </c>
      <c r="R303" s="89">
        <v>46283</v>
      </c>
      <c r="S303" s="89">
        <f t="shared" si="634"/>
        <v>46283</v>
      </c>
      <c r="T303" s="89">
        <f t="shared" si="630"/>
        <v>46283</v>
      </c>
      <c r="U303" s="89">
        <v>46290</v>
      </c>
      <c r="V303" s="214"/>
      <c r="X303" s="168" t="str">
        <f t="shared" ca="1" si="620"/>
        <v>Completed</v>
      </c>
      <c r="Y303" s="168" t="str">
        <f t="shared" ca="1" si="635"/>
        <v>Completed</v>
      </c>
      <c r="Z303" s="168" t="str">
        <f t="shared" ca="1" si="636"/>
        <v>Completed</v>
      </c>
      <c r="AA303" s="169" t="str">
        <f t="shared" ca="1" si="637"/>
        <v>Completed</v>
      </c>
    </row>
    <row r="304" spans="1:27" s="70" customFormat="1" ht="11.5" x14ac:dyDescent="0.25">
      <c r="A304" s="157" t="s">
        <v>66</v>
      </c>
      <c r="B304" s="157" t="s">
        <v>14</v>
      </c>
      <c r="C304" s="157" t="s">
        <v>306</v>
      </c>
      <c r="D304" s="157" t="s">
        <v>307</v>
      </c>
      <c r="E304" s="158"/>
      <c r="F304" s="158"/>
      <c r="G304" s="158"/>
      <c r="H304" s="158"/>
      <c r="I304" s="159">
        <v>4.7E-2</v>
      </c>
      <c r="J304" s="155">
        <v>46192</v>
      </c>
      <c r="K304" s="155">
        <f t="shared" si="625"/>
        <v>46192</v>
      </c>
      <c r="L304" s="155">
        <v>46199</v>
      </c>
      <c r="M304" s="155">
        <f t="shared" si="626"/>
        <v>46234</v>
      </c>
      <c r="N304" s="155">
        <f t="shared" si="627"/>
        <v>46234</v>
      </c>
      <c r="O304" s="155">
        <v>46234</v>
      </c>
      <c r="P304" s="155">
        <f t="shared" si="628"/>
        <v>46276</v>
      </c>
      <c r="Q304" s="155">
        <f t="shared" si="629"/>
        <v>46276</v>
      </c>
      <c r="R304" s="155">
        <v>46276</v>
      </c>
      <c r="S304" s="155">
        <f t="shared" si="634"/>
        <v>46290</v>
      </c>
      <c r="T304" s="155">
        <f t="shared" si="630"/>
        <v>46290</v>
      </c>
      <c r="U304" s="155">
        <v>46290</v>
      </c>
      <c r="V304" s="213"/>
      <c r="X304" s="168" t="str">
        <f t="shared" ca="1" si="620"/>
        <v>Completed</v>
      </c>
      <c r="Y304" s="168" t="str">
        <f t="shared" ca="1" si="635"/>
        <v>Completed</v>
      </c>
      <c r="Z304" s="168" t="str">
        <f t="shared" ca="1" si="636"/>
        <v>Completed</v>
      </c>
      <c r="AA304" s="169" t="str">
        <f t="shared" ca="1" si="637"/>
        <v>Completed</v>
      </c>
    </row>
    <row r="305" spans="1:27" s="70" customFormat="1" ht="11.5" x14ac:dyDescent="0.25">
      <c r="A305" s="157" t="s">
        <v>66</v>
      </c>
      <c r="B305" s="157" t="s">
        <v>14</v>
      </c>
      <c r="C305" s="157" t="s">
        <v>308</v>
      </c>
      <c r="D305" s="157" t="s">
        <v>309</v>
      </c>
      <c r="E305" s="158"/>
      <c r="F305" s="158"/>
      <c r="G305" s="158"/>
      <c r="H305" s="158"/>
      <c r="I305" s="159">
        <v>4.7E-2</v>
      </c>
      <c r="J305" s="155">
        <v>46192</v>
      </c>
      <c r="K305" s="155">
        <f t="shared" si="625"/>
        <v>46192</v>
      </c>
      <c r="L305" s="155">
        <v>46199</v>
      </c>
      <c r="M305" s="155">
        <f t="shared" si="626"/>
        <v>46234</v>
      </c>
      <c r="N305" s="155">
        <f t="shared" si="627"/>
        <v>46234</v>
      </c>
      <c r="O305" s="155">
        <v>46234</v>
      </c>
      <c r="P305" s="155">
        <f t="shared" si="628"/>
        <v>46276</v>
      </c>
      <c r="Q305" s="155">
        <f t="shared" si="629"/>
        <v>46276</v>
      </c>
      <c r="R305" s="155">
        <v>46276</v>
      </c>
      <c r="S305" s="155">
        <f t="shared" si="634"/>
        <v>46290</v>
      </c>
      <c r="T305" s="155">
        <f t="shared" si="630"/>
        <v>46290</v>
      </c>
      <c r="U305" s="155">
        <v>46290</v>
      </c>
      <c r="V305" s="213"/>
      <c r="X305" s="168" t="str">
        <f t="shared" ca="1" si="620"/>
        <v>Completed</v>
      </c>
      <c r="Y305" s="168" t="str">
        <f t="shared" ca="1" si="635"/>
        <v>Completed</v>
      </c>
      <c r="Z305" s="168" t="str">
        <f t="shared" ca="1" si="636"/>
        <v>Completed</v>
      </c>
      <c r="AA305" s="169" t="str">
        <f t="shared" ca="1" si="637"/>
        <v>Completed</v>
      </c>
    </row>
    <row r="306" spans="1:27" s="70" customFormat="1" ht="11.5" x14ac:dyDescent="0.25">
      <c r="A306" s="91" t="s">
        <v>66</v>
      </c>
      <c r="B306" s="91" t="s">
        <v>14</v>
      </c>
      <c r="C306" s="91" t="s">
        <v>905</v>
      </c>
      <c r="D306" s="91" t="s">
        <v>1229</v>
      </c>
      <c r="E306" s="93">
        <f t="shared" ref="E306:E310" si="638">(COUNTIFS(J306,"&lt;="&amp;$C$1)*50%)+(COUNTIFS(M306,"&lt;="&amp;$C$1)*20%)+(COUNTIFS(P306,"&lt;="&amp;$C$1)*10%)+(COUNTIFS(S306,"&lt;="&amp;$C$1)*20%)</f>
        <v>0.5</v>
      </c>
      <c r="F306" s="93">
        <f t="shared" ref="F306:F310" si="639">(COUNTIFS(K306,"&lt;="&amp;$C$1)*50%)+(COUNTIFS(N306,"&lt;="&amp;$C$1)*20%)+(COUNTIFS(Q306,"&lt;="&amp;$C$1)*10%)+(COUNTIFS(T306,"&lt;="&amp;$C$1)*20%)</f>
        <v>0.5</v>
      </c>
      <c r="G306" s="93">
        <f t="shared" ref="G306:G337" si="640">(COUNTIFS(L306,"&lt;="&amp;$C$1)*50%)+(COUNTIFS(O306,"&lt;="&amp;$C$1)*20%)+(COUNTIFS(R306,"&lt;="&amp;$C$1)*10%)+(COUNTIFS(U306,"&lt;="&amp;$C$1)*20%)</f>
        <v>0</v>
      </c>
      <c r="H306" s="93">
        <f t="shared" ref="H306:H310" si="641">G306-E306</f>
        <v>-0.5</v>
      </c>
      <c r="I306" s="129"/>
      <c r="J306" s="89">
        <v>46304</v>
      </c>
      <c r="K306" s="89">
        <f t="shared" ref="K306" si="642">J306</f>
        <v>46304</v>
      </c>
      <c r="L306" s="208"/>
      <c r="M306" s="89">
        <f t="shared" ref="M306:M307" si="643">J306+42</f>
        <v>46346</v>
      </c>
      <c r="N306" s="89">
        <f t="shared" ref="N306:N307" si="644">M306</f>
        <v>46346</v>
      </c>
      <c r="O306" s="89"/>
      <c r="P306" s="89">
        <f t="shared" ref="P306:P307" si="645">M306+42</f>
        <v>46388</v>
      </c>
      <c r="Q306" s="89">
        <f t="shared" ref="Q306:Q307" si="646">P306</f>
        <v>46388</v>
      </c>
      <c r="R306" s="89"/>
      <c r="S306" s="89">
        <f t="shared" ref="S306:S307" si="647">P306+14</f>
        <v>46402</v>
      </c>
      <c r="T306" s="89">
        <f t="shared" ref="T306:T307" si="648">S306</f>
        <v>46402</v>
      </c>
      <c r="U306" s="89"/>
      <c r="V306" s="214"/>
      <c r="X306" s="168" t="str">
        <f t="shared" ca="1" si="620"/>
        <v>Overdue</v>
      </c>
      <c r="Y306" s="168" t="str">
        <f t="shared" ca="1" si="635"/>
        <v/>
      </c>
      <c r="Z306" s="168" t="str">
        <f t="shared" ca="1" si="636"/>
        <v/>
      </c>
      <c r="AA306" s="169" t="str">
        <f t="shared" ca="1" si="637"/>
        <v/>
      </c>
    </row>
    <row r="307" spans="1:27" s="70" customFormat="1" ht="11.5" x14ac:dyDescent="0.25">
      <c r="A307" s="91" t="s">
        <v>66</v>
      </c>
      <c r="B307" s="91" t="s">
        <v>14</v>
      </c>
      <c r="C307" s="91" t="s">
        <v>905</v>
      </c>
      <c r="D307" s="91" t="s">
        <v>1230</v>
      </c>
      <c r="E307" s="93">
        <f t="shared" si="638"/>
        <v>0.5</v>
      </c>
      <c r="F307" s="93">
        <f t="shared" si="639"/>
        <v>0.5</v>
      </c>
      <c r="G307" s="93">
        <f t="shared" si="640"/>
        <v>0</v>
      </c>
      <c r="H307" s="93">
        <f t="shared" si="641"/>
        <v>-0.5</v>
      </c>
      <c r="I307" s="129"/>
      <c r="J307" s="89">
        <v>46304</v>
      </c>
      <c r="K307" s="89">
        <f t="shared" ref="K307" si="649">J307</f>
        <v>46304</v>
      </c>
      <c r="L307" s="208"/>
      <c r="M307" s="89">
        <f t="shared" si="643"/>
        <v>46346</v>
      </c>
      <c r="N307" s="89">
        <f t="shared" si="644"/>
        <v>46346</v>
      </c>
      <c r="O307" s="89"/>
      <c r="P307" s="89">
        <f t="shared" si="645"/>
        <v>46388</v>
      </c>
      <c r="Q307" s="89">
        <f t="shared" si="646"/>
        <v>46388</v>
      </c>
      <c r="R307" s="89"/>
      <c r="S307" s="89">
        <f t="shared" si="647"/>
        <v>46402</v>
      </c>
      <c r="T307" s="89">
        <f t="shared" si="648"/>
        <v>46402</v>
      </c>
      <c r="U307" s="89"/>
      <c r="V307" s="214"/>
      <c r="X307" s="168" t="str">
        <f t="shared" ca="1" si="620"/>
        <v>Overdue</v>
      </c>
      <c r="Y307" s="168" t="str">
        <f t="shared" ca="1" si="635"/>
        <v/>
      </c>
      <c r="Z307" s="168" t="str">
        <f t="shared" ca="1" si="636"/>
        <v/>
      </c>
      <c r="AA307" s="169" t="str">
        <f t="shared" ca="1" si="637"/>
        <v/>
      </c>
    </row>
    <row r="308" spans="1:27" s="70" customFormat="1" ht="11.5" x14ac:dyDescent="0.25">
      <c r="A308" s="92" t="s">
        <v>66</v>
      </c>
      <c r="B308" s="92" t="s">
        <v>14</v>
      </c>
      <c r="C308" s="91" t="s">
        <v>861</v>
      </c>
      <c r="D308" s="91" t="s">
        <v>866</v>
      </c>
      <c r="E308" s="93">
        <f t="shared" si="638"/>
        <v>1</v>
      </c>
      <c r="F308" s="93">
        <f t="shared" si="639"/>
        <v>1</v>
      </c>
      <c r="G308" s="93">
        <f t="shared" si="640"/>
        <v>0.79999999999999993</v>
      </c>
      <c r="H308" s="93">
        <f t="shared" si="641"/>
        <v>-0.20000000000000007</v>
      </c>
      <c r="I308" s="129"/>
      <c r="J308" s="89">
        <v>46199</v>
      </c>
      <c r="K308" s="89">
        <f t="shared" si="625"/>
        <v>46199</v>
      </c>
      <c r="L308" s="89">
        <v>46190</v>
      </c>
      <c r="M308" s="89">
        <f t="shared" ref="M308:M316" si="650">J308+42</f>
        <v>46241</v>
      </c>
      <c r="N308" s="89">
        <f t="shared" ref="N308:N316" si="651">M308</f>
        <v>46241</v>
      </c>
      <c r="O308" s="89">
        <v>46255</v>
      </c>
      <c r="P308" s="89">
        <f t="shared" ref="P308:P316" si="652">M308+42</f>
        <v>46283</v>
      </c>
      <c r="Q308" s="89">
        <f t="shared" ref="Q308:Q316" si="653">P308</f>
        <v>46283</v>
      </c>
      <c r="R308" s="160">
        <v>46300</v>
      </c>
      <c r="S308" s="89">
        <f t="shared" ref="S308:S316" si="654">P308+14</f>
        <v>46297</v>
      </c>
      <c r="T308" s="89">
        <f t="shared" ref="T308:T316" si="655">S308</f>
        <v>46297</v>
      </c>
      <c r="U308" s="89"/>
      <c r="V308" s="214"/>
      <c r="X308" s="168" t="str">
        <f t="shared" ca="1" si="620"/>
        <v>Completed</v>
      </c>
      <c r="Y308" s="168" t="str">
        <f t="shared" ca="1" si="635"/>
        <v>Completed</v>
      </c>
      <c r="Z308" s="168" t="str">
        <f t="shared" ca="1" si="636"/>
        <v>Completed</v>
      </c>
      <c r="AA308" s="169" t="str">
        <f t="shared" ca="1" si="637"/>
        <v>Overdue</v>
      </c>
    </row>
    <row r="309" spans="1:27" s="70" customFormat="1" ht="11.5" x14ac:dyDescent="0.25">
      <c r="A309" s="91" t="s">
        <v>66</v>
      </c>
      <c r="B309" s="91" t="s">
        <v>14</v>
      </c>
      <c r="C309" s="91" t="s">
        <v>862</v>
      </c>
      <c r="D309" s="91" t="s">
        <v>1104</v>
      </c>
      <c r="E309" s="93">
        <f t="shared" si="638"/>
        <v>0.5</v>
      </c>
      <c r="F309" s="93">
        <f t="shared" si="639"/>
        <v>0.5</v>
      </c>
      <c r="G309" s="93">
        <f t="shared" si="640"/>
        <v>0.7</v>
      </c>
      <c r="H309" s="93">
        <f t="shared" si="641"/>
        <v>0.19999999999999996</v>
      </c>
      <c r="I309" s="129"/>
      <c r="J309" s="89">
        <v>46265</v>
      </c>
      <c r="K309" s="89">
        <f t="shared" si="625"/>
        <v>46265</v>
      </c>
      <c r="L309" s="89">
        <v>46255</v>
      </c>
      <c r="M309" s="89">
        <f t="shared" si="650"/>
        <v>46307</v>
      </c>
      <c r="N309" s="89">
        <f t="shared" si="651"/>
        <v>46307</v>
      </c>
      <c r="O309" s="160">
        <v>46300</v>
      </c>
      <c r="P309" s="89">
        <f t="shared" si="652"/>
        <v>46349</v>
      </c>
      <c r="Q309" s="89">
        <f t="shared" si="653"/>
        <v>46349</v>
      </c>
      <c r="R309" s="89"/>
      <c r="S309" s="89">
        <f t="shared" si="654"/>
        <v>46363</v>
      </c>
      <c r="T309" s="89">
        <f t="shared" si="655"/>
        <v>46363</v>
      </c>
      <c r="U309" s="89"/>
      <c r="V309" s="214"/>
      <c r="X309" s="168" t="str">
        <f t="shared" ca="1" si="620"/>
        <v>Completed</v>
      </c>
      <c r="Y309" s="168" t="str">
        <f t="shared" ca="1" si="635"/>
        <v>Completed</v>
      </c>
      <c r="Z309" s="168" t="str">
        <f t="shared" ca="1" si="636"/>
        <v/>
      </c>
      <c r="AA309" s="169" t="str">
        <f t="shared" ca="1" si="637"/>
        <v/>
      </c>
    </row>
    <row r="310" spans="1:27" s="70" customFormat="1" ht="11.5" x14ac:dyDescent="0.25">
      <c r="A310" s="91" t="s">
        <v>66</v>
      </c>
      <c r="B310" s="91" t="s">
        <v>14</v>
      </c>
      <c r="C310" s="91" t="s">
        <v>863</v>
      </c>
      <c r="D310" s="91" t="s">
        <v>1105</v>
      </c>
      <c r="E310" s="93">
        <f t="shared" si="638"/>
        <v>0.5</v>
      </c>
      <c r="F310" s="93">
        <f t="shared" si="639"/>
        <v>0.5</v>
      </c>
      <c r="G310" s="93">
        <f t="shared" si="640"/>
        <v>0.7</v>
      </c>
      <c r="H310" s="93">
        <f t="shared" si="641"/>
        <v>0.19999999999999996</v>
      </c>
      <c r="I310" s="129"/>
      <c r="J310" s="89">
        <v>46265</v>
      </c>
      <c r="K310" s="89">
        <f t="shared" si="625"/>
        <v>46265</v>
      </c>
      <c r="L310" s="89">
        <v>46255</v>
      </c>
      <c r="M310" s="89">
        <f t="shared" si="650"/>
        <v>46307</v>
      </c>
      <c r="N310" s="89">
        <f t="shared" si="651"/>
        <v>46307</v>
      </c>
      <c r="O310" s="160">
        <v>46300</v>
      </c>
      <c r="P310" s="89">
        <f t="shared" si="652"/>
        <v>46349</v>
      </c>
      <c r="Q310" s="89">
        <f t="shared" si="653"/>
        <v>46349</v>
      </c>
      <c r="R310" s="89"/>
      <c r="S310" s="89">
        <f t="shared" si="654"/>
        <v>46363</v>
      </c>
      <c r="T310" s="89">
        <f t="shared" si="655"/>
        <v>46363</v>
      </c>
      <c r="U310" s="89"/>
      <c r="V310" s="214"/>
      <c r="X310" s="168" t="str">
        <f t="shared" ca="1" si="620"/>
        <v>Completed</v>
      </c>
      <c r="Y310" s="168" t="str">
        <f t="shared" ca="1" si="635"/>
        <v>Completed</v>
      </c>
      <c r="Z310" s="168" t="str">
        <f t="shared" ca="1" si="636"/>
        <v/>
      </c>
      <c r="AA310" s="169" t="str">
        <f t="shared" ca="1" si="637"/>
        <v/>
      </c>
    </row>
    <row r="311" spans="1:27" s="70" customFormat="1" ht="11.5" x14ac:dyDescent="0.25">
      <c r="A311" s="92" t="s">
        <v>66</v>
      </c>
      <c r="B311" s="92" t="s">
        <v>14</v>
      </c>
      <c r="C311" s="91" t="s">
        <v>864</v>
      </c>
      <c r="D311" s="91" t="s">
        <v>1106</v>
      </c>
      <c r="E311" s="93">
        <f t="shared" ref="E311:E316" si="656">(COUNTIFS(J311,"&lt;="&amp;$C$1)*50%)+(COUNTIFS(M311,"&lt;="&amp;$C$1)*20%)+(COUNTIFS(P311,"&lt;="&amp;$C$1)*10%)+(COUNTIFS(S311,"&lt;="&amp;$C$1)*20%)</f>
        <v>0.5</v>
      </c>
      <c r="F311" s="93">
        <f t="shared" ref="F311:F316" si="657">(COUNTIFS(K311,"&lt;="&amp;$C$1)*50%)+(COUNTIFS(N311,"&lt;="&amp;$C$1)*20%)+(COUNTIFS(Q311,"&lt;="&amp;$C$1)*10%)+(COUNTIFS(T311,"&lt;="&amp;$C$1)*20%)</f>
        <v>0.5</v>
      </c>
      <c r="G311" s="93">
        <f t="shared" si="640"/>
        <v>0.7</v>
      </c>
      <c r="H311" s="93">
        <f t="shared" ref="H311:H316" si="658">G311-E311</f>
        <v>0.19999999999999996</v>
      </c>
      <c r="I311" s="129"/>
      <c r="J311" s="89">
        <v>46265</v>
      </c>
      <c r="K311" s="89">
        <f t="shared" si="625"/>
        <v>46265</v>
      </c>
      <c r="L311" s="89">
        <v>46255</v>
      </c>
      <c r="M311" s="89">
        <f t="shared" si="650"/>
        <v>46307</v>
      </c>
      <c r="N311" s="89">
        <f t="shared" si="651"/>
        <v>46307</v>
      </c>
      <c r="O311" s="160">
        <v>46300</v>
      </c>
      <c r="P311" s="89">
        <f t="shared" si="652"/>
        <v>46349</v>
      </c>
      <c r="Q311" s="89">
        <f t="shared" si="653"/>
        <v>46349</v>
      </c>
      <c r="R311" s="89"/>
      <c r="S311" s="89">
        <f t="shared" si="654"/>
        <v>46363</v>
      </c>
      <c r="T311" s="89">
        <f t="shared" si="655"/>
        <v>46363</v>
      </c>
      <c r="U311" s="89"/>
      <c r="V311" s="214"/>
      <c r="X311" s="168" t="str">
        <f t="shared" ca="1" si="620"/>
        <v>Completed</v>
      </c>
      <c r="Y311" s="168" t="str">
        <f t="shared" ca="1" si="635"/>
        <v>Completed</v>
      </c>
      <c r="Z311" s="168" t="str">
        <f t="shared" ca="1" si="636"/>
        <v/>
      </c>
      <c r="AA311" s="169" t="str">
        <f t="shared" ca="1" si="637"/>
        <v/>
      </c>
    </row>
    <row r="312" spans="1:27" s="70" customFormat="1" ht="11.5" x14ac:dyDescent="0.25">
      <c r="A312" s="91" t="s">
        <v>66</v>
      </c>
      <c r="B312" s="91" t="s">
        <v>14</v>
      </c>
      <c r="C312" s="91" t="s">
        <v>865</v>
      </c>
      <c r="D312" s="91" t="s">
        <v>1107</v>
      </c>
      <c r="E312" s="93">
        <f t="shared" si="656"/>
        <v>0.5</v>
      </c>
      <c r="F312" s="93">
        <f t="shared" si="657"/>
        <v>0.5</v>
      </c>
      <c r="G312" s="93">
        <f t="shared" si="640"/>
        <v>0.7</v>
      </c>
      <c r="H312" s="93">
        <f t="shared" si="658"/>
        <v>0.19999999999999996</v>
      </c>
      <c r="I312" s="129"/>
      <c r="J312" s="89">
        <v>46265</v>
      </c>
      <c r="K312" s="89">
        <f t="shared" si="625"/>
        <v>46265</v>
      </c>
      <c r="L312" s="89">
        <v>46255</v>
      </c>
      <c r="M312" s="89">
        <f t="shared" si="650"/>
        <v>46307</v>
      </c>
      <c r="N312" s="89">
        <f t="shared" si="651"/>
        <v>46307</v>
      </c>
      <c r="O312" s="160">
        <v>46300</v>
      </c>
      <c r="P312" s="89">
        <f t="shared" si="652"/>
        <v>46349</v>
      </c>
      <c r="Q312" s="89">
        <f t="shared" si="653"/>
        <v>46349</v>
      </c>
      <c r="R312" s="89"/>
      <c r="S312" s="89">
        <f t="shared" si="654"/>
        <v>46363</v>
      </c>
      <c r="T312" s="89">
        <f t="shared" si="655"/>
        <v>46363</v>
      </c>
      <c r="U312" s="89"/>
      <c r="V312" s="214"/>
      <c r="X312" s="168" t="str">
        <f t="shared" ca="1" si="620"/>
        <v>Completed</v>
      </c>
      <c r="Y312" s="168" t="str">
        <f t="shared" ca="1" si="635"/>
        <v>Completed</v>
      </c>
      <c r="Z312" s="168" t="str">
        <f t="shared" ca="1" si="636"/>
        <v/>
      </c>
      <c r="AA312" s="169" t="str">
        <f t="shared" ca="1" si="637"/>
        <v/>
      </c>
    </row>
    <row r="313" spans="1:27" s="70" customFormat="1" ht="11.5" x14ac:dyDescent="0.25">
      <c r="A313" s="91" t="s">
        <v>66</v>
      </c>
      <c r="B313" s="91" t="s">
        <v>14</v>
      </c>
      <c r="C313" s="91" t="s">
        <v>867</v>
      </c>
      <c r="D313" s="91" t="s">
        <v>1108</v>
      </c>
      <c r="E313" s="93">
        <f t="shared" si="656"/>
        <v>0.5</v>
      </c>
      <c r="F313" s="93">
        <f t="shared" si="657"/>
        <v>0.5</v>
      </c>
      <c r="G313" s="93">
        <f t="shared" si="640"/>
        <v>0.7</v>
      </c>
      <c r="H313" s="93">
        <f t="shared" si="658"/>
        <v>0.19999999999999996</v>
      </c>
      <c r="I313" s="129"/>
      <c r="J313" s="89">
        <v>46265</v>
      </c>
      <c r="K313" s="89">
        <f t="shared" si="625"/>
        <v>46265</v>
      </c>
      <c r="L313" s="89">
        <v>46255</v>
      </c>
      <c r="M313" s="89">
        <f t="shared" si="650"/>
        <v>46307</v>
      </c>
      <c r="N313" s="89">
        <f t="shared" si="651"/>
        <v>46307</v>
      </c>
      <c r="O313" s="160">
        <v>46300</v>
      </c>
      <c r="P313" s="89">
        <f t="shared" si="652"/>
        <v>46349</v>
      </c>
      <c r="Q313" s="89">
        <f t="shared" si="653"/>
        <v>46349</v>
      </c>
      <c r="R313" s="89"/>
      <c r="S313" s="89">
        <f t="shared" si="654"/>
        <v>46363</v>
      </c>
      <c r="T313" s="89">
        <f t="shared" si="655"/>
        <v>46363</v>
      </c>
      <c r="U313" s="89"/>
      <c r="V313" s="214"/>
      <c r="X313" s="168" t="str">
        <f t="shared" ca="1" si="620"/>
        <v>Completed</v>
      </c>
      <c r="Y313" s="168" t="str">
        <f t="shared" ca="1" si="635"/>
        <v>Completed</v>
      </c>
      <c r="Z313" s="168" t="str">
        <f t="shared" ca="1" si="636"/>
        <v/>
      </c>
      <c r="AA313" s="169" t="str">
        <f t="shared" ca="1" si="637"/>
        <v/>
      </c>
    </row>
    <row r="314" spans="1:27" s="70" customFormat="1" ht="11.5" x14ac:dyDescent="0.25">
      <c r="A314" s="92" t="s">
        <v>66</v>
      </c>
      <c r="B314" s="92" t="s">
        <v>14</v>
      </c>
      <c r="C314" s="91" t="s">
        <v>868</v>
      </c>
      <c r="D314" s="91" t="s">
        <v>1109</v>
      </c>
      <c r="E314" s="93">
        <f t="shared" si="656"/>
        <v>0.5</v>
      </c>
      <c r="F314" s="93">
        <f t="shared" si="657"/>
        <v>0.5</v>
      </c>
      <c r="G314" s="93">
        <f t="shared" si="640"/>
        <v>0.7</v>
      </c>
      <c r="H314" s="93">
        <f t="shared" si="658"/>
        <v>0.19999999999999996</v>
      </c>
      <c r="I314" s="129"/>
      <c r="J314" s="89">
        <v>46265</v>
      </c>
      <c r="K314" s="89">
        <f t="shared" si="625"/>
        <v>46265</v>
      </c>
      <c r="L314" s="89">
        <v>46255</v>
      </c>
      <c r="M314" s="89">
        <f t="shared" si="650"/>
        <v>46307</v>
      </c>
      <c r="N314" s="89">
        <f t="shared" si="651"/>
        <v>46307</v>
      </c>
      <c r="O314" s="160">
        <v>46300</v>
      </c>
      <c r="P314" s="89">
        <f t="shared" si="652"/>
        <v>46349</v>
      </c>
      <c r="Q314" s="89">
        <f t="shared" si="653"/>
        <v>46349</v>
      </c>
      <c r="R314" s="89"/>
      <c r="S314" s="89">
        <f t="shared" si="654"/>
        <v>46363</v>
      </c>
      <c r="T314" s="89">
        <f t="shared" si="655"/>
        <v>46363</v>
      </c>
      <c r="U314" s="89"/>
      <c r="V314" s="214"/>
      <c r="X314" s="168" t="str">
        <f t="shared" ca="1" si="620"/>
        <v>Completed</v>
      </c>
      <c r="Y314" s="168" t="str">
        <f t="shared" ca="1" si="635"/>
        <v>Completed</v>
      </c>
      <c r="Z314" s="168" t="str">
        <f t="shared" ca="1" si="636"/>
        <v/>
      </c>
      <c r="AA314" s="169" t="str">
        <f t="shared" ca="1" si="637"/>
        <v/>
      </c>
    </row>
    <row r="315" spans="1:27" s="70" customFormat="1" ht="11.5" x14ac:dyDescent="0.25">
      <c r="A315" s="91" t="s">
        <v>66</v>
      </c>
      <c r="B315" s="91" t="s">
        <v>14</v>
      </c>
      <c r="C315" s="91" t="s">
        <v>869</v>
      </c>
      <c r="D315" s="91" t="s">
        <v>1110</v>
      </c>
      <c r="E315" s="93">
        <f t="shared" si="656"/>
        <v>0.5</v>
      </c>
      <c r="F315" s="93">
        <f t="shared" si="657"/>
        <v>0.5</v>
      </c>
      <c r="G315" s="93">
        <f t="shared" si="640"/>
        <v>0.7</v>
      </c>
      <c r="H315" s="93">
        <f t="shared" si="658"/>
        <v>0.19999999999999996</v>
      </c>
      <c r="I315" s="129"/>
      <c r="J315" s="89">
        <v>46265</v>
      </c>
      <c r="K315" s="89">
        <f t="shared" si="625"/>
        <v>46265</v>
      </c>
      <c r="L315" s="89">
        <v>46255</v>
      </c>
      <c r="M315" s="89">
        <f t="shared" si="650"/>
        <v>46307</v>
      </c>
      <c r="N315" s="89">
        <f t="shared" si="651"/>
        <v>46307</v>
      </c>
      <c r="O315" s="160">
        <v>46300</v>
      </c>
      <c r="P315" s="89">
        <f t="shared" si="652"/>
        <v>46349</v>
      </c>
      <c r="Q315" s="89">
        <f t="shared" si="653"/>
        <v>46349</v>
      </c>
      <c r="R315" s="89"/>
      <c r="S315" s="89">
        <f t="shared" si="654"/>
        <v>46363</v>
      </c>
      <c r="T315" s="89">
        <f t="shared" si="655"/>
        <v>46363</v>
      </c>
      <c r="U315" s="89"/>
      <c r="V315" s="214"/>
      <c r="X315" s="168" t="str">
        <f t="shared" ca="1" si="620"/>
        <v>Completed</v>
      </c>
      <c r="Y315" s="168" t="str">
        <f t="shared" ca="1" si="635"/>
        <v>Completed</v>
      </c>
      <c r="Z315" s="168" t="str">
        <f t="shared" ca="1" si="636"/>
        <v/>
      </c>
      <c r="AA315" s="169" t="str">
        <f t="shared" ca="1" si="637"/>
        <v/>
      </c>
    </row>
    <row r="316" spans="1:27" s="70" customFormat="1" ht="11.5" x14ac:dyDescent="0.25">
      <c r="A316" s="91" t="s">
        <v>66</v>
      </c>
      <c r="B316" s="91" t="s">
        <v>14</v>
      </c>
      <c r="C316" s="91" t="s">
        <v>870</v>
      </c>
      <c r="D316" s="91" t="s">
        <v>1111</v>
      </c>
      <c r="E316" s="93">
        <f t="shared" si="656"/>
        <v>0.5</v>
      </c>
      <c r="F316" s="93">
        <f t="shared" si="657"/>
        <v>0.5</v>
      </c>
      <c r="G316" s="93">
        <f t="shared" si="640"/>
        <v>0.7</v>
      </c>
      <c r="H316" s="93">
        <f t="shared" si="658"/>
        <v>0.19999999999999996</v>
      </c>
      <c r="I316" s="129"/>
      <c r="J316" s="89">
        <v>46265</v>
      </c>
      <c r="K316" s="89">
        <f t="shared" si="625"/>
        <v>46265</v>
      </c>
      <c r="L316" s="89">
        <v>46255</v>
      </c>
      <c r="M316" s="89">
        <f t="shared" si="650"/>
        <v>46307</v>
      </c>
      <c r="N316" s="89">
        <f t="shared" si="651"/>
        <v>46307</v>
      </c>
      <c r="O316" s="160">
        <v>46300</v>
      </c>
      <c r="P316" s="89">
        <f t="shared" si="652"/>
        <v>46349</v>
      </c>
      <c r="Q316" s="89">
        <f t="shared" si="653"/>
        <v>46349</v>
      </c>
      <c r="R316" s="89"/>
      <c r="S316" s="89">
        <f t="shared" si="654"/>
        <v>46363</v>
      </c>
      <c r="T316" s="89">
        <f t="shared" si="655"/>
        <v>46363</v>
      </c>
      <c r="U316" s="89"/>
      <c r="V316" s="214"/>
      <c r="X316" s="168" t="str">
        <f t="shared" ca="1" si="620"/>
        <v>Completed</v>
      </c>
      <c r="Y316" s="168" t="str">
        <f t="shared" ca="1" si="635"/>
        <v>Completed</v>
      </c>
      <c r="Z316" s="168" t="str">
        <f t="shared" ca="1" si="636"/>
        <v/>
      </c>
      <c r="AA316" s="169" t="str">
        <f t="shared" ca="1" si="637"/>
        <v/>
      </c>
    </row>
    <row r="317" spans="1:27" s="70" customFormat="1" ht="11.5" x14ac:dyDescent="0.25">
      <c r="A317" s="91" t="s">
        <v>66</v>
      </c>
      <c r="B317" s="91" t="s">
        <v>14</v>
      </c>
      <c r="C317" s="91" t="s">
        <v>310</v>
      </c>
      <c r="D317" s="91" t="s">
        <v>311</v>
      </c>
      <c r="E317" s="93">
        <f t="shared" ref="E317:E320" si="659">(COUNTIFS(J317,"&lt;="&amp;$C$1)*50%)+(COUNTIFS(M317,"&lt;="&amp;$C$1)*20%)+(COUNTIFS(P317,"&lt;="&amp;$C$1)*10%)+(COUNTIFS(S317,"&lt;="&amp;$C$1)*20%)</f>
        <v>1</v>
      </c>
      <c r="F317" s="93">
        <f t="shared" ref="F317:F320" si="660">(COUNTIFS(K317,"&lt;="&amp;$C$1)*50%)+(COUNTIFS(N317,"&lt;="&amp;$C$1)*20%)+(COUNTIFS(Q317,"&lt;="&amp;$C$1)*10%)+(COUNTIFS(T317,"&lt;="&amp;$C$1)*20%)</f>
        <v>1</v>
      </c>
      <c r="G317" s="93">
        <f t="shared" si="640"/>
        <v>0.79999999999999993</v>
      </c>
      <c r="H317" s="93">
        <f t="shared" ref="H317:H320" si="661">G317-E317</f>
        <v>-0.20000000000000007</v>
      </c>
      <c r="I317" s="95">
        <v>4.7E-2</v>
      </c>
      <c r="J317" s="89">
        <v>46192</v>
      </c>
      <c r="K317" s="89">
        <f t="shared" si="625"/>
        <v>46192</v>
      </c>
      <c r="L317" s="146">
        <v>46184</v>
      </c>
      <c r="M317" s="89">
        <f t="shared" si="626"/>
        <v>46234</v>
      </c>
      <c r="N317" s="89">
        <f t="shared" si="627"/>
        <v>46234</v>
      </c>
      <c r="O317" s="90">
        <v>46269</v>
      </c>
      <c r="P317" s="89">
        <f t="shared" si="628"/>
        <v>46276</v>
      </c>
      <c r="Q317" s="89">
        <f t="shared" si="629"/>
        <v>46276</v>
      </c>
      <c r="R317" s="160">
        <v>46300</v>
      </c>
      <c r="S317" s="89">
        <f t="shared" si="634"/>
        <v>46290</v>
      </c>
      <c r="T317" s="89">
        <f t="shared" si="630"/>
        <v>46290</v>
      </c>
      <c r="U317" s="89"/>
      <c r="V317" s="214"/>
      <c r="X317" s="168" t="str">
        <f t="shared" ca="1" si="620"/>
        <v>Completed</v>
      </c>
      <c r="Y317" s="168" t="str">
        <f t="shared" ca="1" si="635"/>
        <v>Completed</v>
      </c>
      <c r="Z317" s="168" t="str">
        <f t="shared" ca="1" si="636"/>
        <v>Completed</v>
      </c>
      <c r="AA317" s="169" t="str">
        <f t="shared" ca="1" si="637"/>
        <v>Overdue</v>
      </c>
    </row>
    <row r="318" spans="1:27" s="70" customFormat="1" ht="11.5" x14ac:dyDescent="0.25">
      <c r="A318" s="91" t="s">
        <v>66</v>
      </c>
      <c r="B318" s="91" t="s">
        <v>14</v>
      </c>
      <c r="C318" s="91" t="s">
        <v>312</v>
      </c>
      <c r="D318" s="91" t="s">
        <v>313</v>
      </c>
      <c r="E318" s="93">
        <f t="shared" si="659"/>
        <v>1</v>
      </c>
      <c r="F318" s="93">
        <f t="shared" si="660"/>
        <v>1</v>
      </c>
      <c r="G318" s="93">
        <f t="shared" si="640"/>
        <v>0.79999999999999993</v>
      </c>
      <c r="H318" s="93">
        <f t="shared" si="661"/>
        <v>-0.20000000000000007</v>
      </c>
      <c r="I318" s="95">
        <v>4.7E-2</v>
      </c>
      <c r="J318" s="89">
        <v>46192</v>
      </c>
      <c r="K318" s="89">
        <f t="shared" si="625"/>
        <v>46192</v>
      </c>
      <c r="L318" s="146">
        <v>46184</v>
      </c>
      <c r="M318" s="89">
        <f t="shared" si="626"/>
        <v>46234</v>
      </c>
      <c r="N318" s="89">
        <f t="shared" si="627"/>
        <v>46234</v>
      </c>
      <c r="O318" s="90">
        <v>46269</v>
      </c>
      <c r="P318" s="89">
        <f t="shared" si="628"/>
        <v>46276</v>
      </c>
      <c r="Q318" s="89">
        <f t="shared" si="629"/>
        <v>46276</v>
      </c>
      <c r="R318" s="160">
        <v>46300</v>
      </c>
      <c r="S318" s="89">
        <f t="shared" si="634"/>
        <v>46290</v>
      </c>
      <c r="T318" s="89">
        <f t="shared" si="630"/>
        <v>46290</v>
      </c>
      <c r="U318" s="89"/>
      <c r="V318" s="214"/>
      <c r="X318" s="168" t="str">
        <f t="shared" ca="1" si="620"/>
        <v>Completed</v>
      </c>
      <c r="Y318" s="168" t="str">
        <f t="shared" ca="1" si="635"/>
        <v>Completed</v>
      </c>
      <c r="Z318" s="168" t="str">
        <f t="shared" ca="1" si="636"/>
        <v>Completed</v>
      </c>
      <c r="AA318" s="169" t="str">
        <f t="shared" ca="1" si="637"/>
        <v>Overdue</v>
      </c>
    </row>
    <row r="319" spans="1:27" s="70" customFormat="1" ht="11.5" x14ac:dyDescent="0.25">
      <c r="A319" s="91" t="s">
        <v>66</v>
      </c>
      <c r="B319" s="91" t="s">
        <v>14</v>
      </c>
      <c r="C319" s="91" t="s">
        <v>314</v>
      </c>
      <c r="D319" s="91" t="s">
        <v>315</v>
      </c>
      <c r="E319" s="93">
        <f t="shared" si="659"/>
        <v>1</v>
      </c>
      <c r="F319" s="93">
        <f t="shared" si="660"/>
        <v>1</v>
      </c>
      <c r="G319" s="93">
        <f t="shared" si="640"/>
        <v>0.79999999999999993</v>
      </c>
      <c r="H319" s="93">
        <f t="shared" si="661"/>
        <v>-0.20000000000000007</v>
      </c>
      <c r="I319" s="95">
        <v>4.7E-2</v>
      </c>
      <c r="J319" s="89">
        <v>46192</v>
      </c>
      <c r="K319" s="89">
        <f t="shared" si="625"/>
        <v>46192</v>
      </c>
      <c r="L319" s="97">
        <v>46161</v>
      </c>
      <c r="M319" s="89">
        <f t="shared" si="626"/>
        <v>46234</v>
      </c>
      <c r="N319" s="89">
        <f t="shared" si="627"/>
        <v>46234</v>
      </c>
      <c r="O319" s="89">
        <v>46266</v>
      </c>
      <c r="P319" s="89">
        <f t="shared" si="628"/>
        <v>46276</v>
      </c>
      <c r="Q319" s="89">
        <f t="shared" si="629"/>
        <v>46276</v>
      </c>
      <c r="R319" s="160">
        <v>46300</v>
      </c>
      <c r="S319" s="89">
        <f t="shared" si="634"/>
        <v>46290</v>
      </c>
      <c r="T319" s="89">
        <f t="shared" si="630"/>
        <v>46290</v>
      </c>
      <c r="U319" s="89"/>
      <c r="V319" s="214"/>
      <c r="X319" s="168" t="str">
        <f t="shared" ca="1" si="620"/>
        <v>Completed</v>
      </c>
      <c r="Y319" s="168" t="str">
        <f t="shared" ca="1" si="635"/>
        <v>Completed</v>
      </c>
      <c r="Z319" s="168" t="str">
        <f t="shared" ca="1" si="636"/>
        <v>Completed</v>
      </c>
      <c r="AA319" s="169" t="str">
        <f t="shared" ca="1" si="637"/>
        <v>Overdue</v>
      </c>
    </row>
    <row r="320" spans="1:27" s="70" customFormat="1" ht="11.5" x14ac:dyDescent="0.25">
      <c r="A320" s="91" t="s">
        <v>66</v>
      </c>
      <c r="B320" s="91" t="s">
        <v>14</v>
      </c>
      <c r="C320" s="91" t="s">
        <v>316</v>
      </c>
      <c r="D320" s="91" t="s">
        <v>317</v>
      </c>
      <c r="E320" s="93">
        <f t="shared" si="659"/>
        <v>1</v>
      </c>
      <c r="F320" s="93">
        <f t="shared" si="660"/>
        <v>1</v>
      </c>
      <c r="G320" s="93">
        <f t="shared" si="640"/>
        <v>0.7</v>
      </c>
      <c r="H320" s="93">
        <f t="shared" si="661"/>
        <v>-0.30000000000000004</v>
      </c>
      <c r="I320" s="95">
        <v>4.7E-2</v>
      </c>
      <c r="J320" s="89">
        <v>46192</v>
      </c>
      <c r="K320" s="89">
        <f t="shared" si="625"/>
        <v>46192</v>
      </c>
      <c r="L320" s="146">
        <v>46184</v>
      </c>
      <c r="M320" s="89">
        <f t="shared" si="626"/>
        <v>46234</v>
      </c>
      <c r="N320" s="89">
        <f t="shared" si="627"/>
        <v>46234</v>
      </c>
      <c r="O320" s="89">
        <v>46290</v>
      </c>
      <c r="P320" s="89">
        <f t="shared" si="628"/>
        <v>46276</v>
      </c>
      <c r="Q320" s="89">
        <f t="shared" si="629"/>
        <v>46276</v>
      </c>
      <c r="R320" s="89"/>
      <c r="S320" s="89">
        <f t="shared" si="634"/>
        <v>46290</v>
      </c>
      <c r="T320" s="89">
        <f t="shared" si="630"/>
        <v>46290</v>
      </c>
      <c r="U320" s="89"/>
      <c r="V320" s="214"/>
      <c r="X320" s="168" t="str">
        <f t="shared" ca="1" si="620"/>
        <v>Completed</v>
      </c>
      <c r="Y320" s="168" t="str">
        <f t="shared" ca="1" si="635"/>
        <v>Completed</v>
      </c>
      <c r="Z320" s="168" t="str">
        <f t="shared" ca="1" si="636"/>
        <v>Overdue</v>
      </c>
      <c r="AA320" s="169" t="str">
        <f t="shared" ca="1" si="637"/>
        <v>Overdue</v>
      </c>
    </row>
    <row r="321" spans="1:27" s="70" customFormat="1" ht="11.5" x14ac:dyDescent="0.25">
      <c r="A321" s="157" t="s">
        <v>66</v>
      </c>
      <c r="B321" s="157" t="s">
        <v>14</v>
      </c>
      <c r="C321" s="157" t="s">
        <v>318</v>
      </c>
      <c r="D321" s="157" t="s">
        <v>1194</v>
      </c>
      <c r="E321" s="158">
        <f t="shared" si="621"/>
        <v>1</v>
      </c>
      <c r="F321" s="158">
        <f t="shared" si="622"/>
        <v>1</v>
      </c>
      <c r="G321" s="158">
        <f t="shared" si="640"/>
        <v>1</v>
      </c>
      <c r="H321" s="158">
        <f t="shared" si="624"/>
        <v>0</v>
      </c>
      <c r="I321" s="153">
        <v>2.5000000000000001E-2</v>
      </c>
      <c r="J321" s="155">
        <v>46199</v>
      </c>
      <c r="K321" s="155">
        <f t="shared" si="625"/>
        <v>46199</v>
      </c>
      <c r="L321" s="155">
        <v>46142</v>
      </c>
      <c r="M321" s="155">
        <f t="shared" si="626"/>
        <v>46241</v>
      </c>
      <c r="N321" s="155">
        <f t="shared" si="627"/>
        <v>46241</v>
      </c>
      <c r="O321" s="155">
        <v>46255</v>
      </c>
      <c r="P321" s="155">
        <f t="shared" si="628"/>
        <v>46283</v>
      </c>
      <c r="Q321" s="155">
        <f t="shared" si="629"/>
        <v>46283</v>
      </c>
      <c r="R321" s="155">
        <v>46283</v>
      </c>
      <c r="S321" s="155">
        <f t="shared" si="634"/>
        <v>46297</v>
      </c>
      <c r="T321" s="155">
        <f t="shared" si="630"/>
        <v>46297</v>
      </c>
      <c r="U321" s="155">
        <v>46283</v>
      </c>
      <c r="V321" s="213"/>
      <c r="X321" s="168" t="str">
        <f t="shared" ca="1" si="620"/>
        <v>Completed</v>
      </c>
      <c r="Y321" s="168" t="str">
        <f t="shared" ca="1" si="635"/>
        <v>Completed</v>
      </c>
      <c r="Z321" s="168" t="str">
        <f t="shared" ca="1" si="636"/>
        <v>Completed</v>
      </c>
      <c r="AA321" s="169" t="str">
        <f t="shared" ca="1" si="637"/>
        <v>Completed</v>
      </c>
    </row>
    <row r="322" spans="1:27" s="70" customFormat="1" ht="11.5" x14ac:dyDescent="0.25">
      <c r="A322" s="157" t="s">
        <v>66</v>
      </c>
      <c r="B322" s="157" t="s">
        <v>14</v>
      </c>
      <c r="C322" s="157" t="s">
        <v>319</v>
      </c>
      <c r="D322" s="157" t="s">
        <v>1195</v>
      </c>
      <c r="E322" s="158">
        <f t="shared" si="621"/>
        <v>1</v>
      </c>
      <c r="F322" s="158">
        <f t="shared" si="622"/>
        <v>1</v>
      </c>
      <c r="G322" s="158">
        <f t="shared" si="640"/>
        <v>1</v>
      </c>
      <c r="H322" s="158">
        <f t="shared" si="624"/>
        <v>0</v>
      </c>
      <c r="I322" s="153">
        <v>2.5000000000000001E-2</v>
      </c>
      <c r="J322" s="155">
        <v>46199</v>
      </c>
      <c r="K322" s="155">
        <f t="shared" si="625"/>
        <v>46199</v>
      </c>
      <c r="L322" s="155">
        <v>46142</v>
      </c>
      <c r="M322" s="155">
        <f t="shared" si="626"/>
        <v>46241</v>
      </c>
      <c r="N322" s="155">
        <f t="shared" si="627"/>
        <v>46241</v>
      </c>
      <c r="O322" s="155">
        <v>46255</v>
      </c>
      <c r="P322" s="155">
        <f t="shared" si="628"/>
        <v>46283</v>
      </c>
      <c r="Q322" s="155">
        <f t="shared" si="629"/>
        <v>46283</v>
      </c>
      <c r="R322" s="155">
        <v>46283</v>
      </c>
      <c r="S322" s="155">
        <f t="shared" si="634"/>
        <v>46297</v>
      </c>
      <c r="T322" s="155">
        <f t="shared" si="630"/>
        <v>46297</v>
      </c>
      <c r="U322" s="155">
        <v>46283</v>
      </c>
      <c r="V322" s="213"/>
      <c r="X322" s="168" t="str">
        <f t="shared" ca="1" si="620"/>
        <v>Completed</v>
      </c>
      <c r="Y322" s="168" t="str">
        <f t="shared" ca="1" si="635"/>
        <v>Completed</v>
      </c>
      <c r="Z322" s="168" t="str">
        <f t="shared" ca="1" si="636"/>
        <v>Completed</v>
      </c>
      <c r="AA322" s="169" t="str">
        <f t="shared" ca="1" si="637"/>
        <v>Completed</v>
      </c>
    </row>
    <row r="323" spans="1:27" s="70" customFormat="1" ht="11.5" x14ac:dyDescent="0.25">
      <c r="A323" s="157" t="s">
        <v>66</v>
      </c>
      <c r="B323" s="157" t="s">
        <v>14</v>
      </c>
      <c r="C323" s="157" t="s">
        <v>946</v>
      </c>
      <c r="D323" s="157" t="s">
        <v>1196</v>
      </c>
      <c r="E323" s="158">
        <f t="shared" si="621"/>
        <v>1</v>
      </c>
      <c r="F323" s="158">
        <f t="shared" si="622"/>
        <v>1</v>
      </c>
      <c r="G323" s="158">
        <f t="shared" si="640"/>
        <v>1</v>
      </c>
      <c r="H323" s="158">
        <f t="shared" si="624"/>
        <v>0</v>
      </c>
      <c r="I323" s="153">
        <v>2.5000000000000001E-2</v>
      </c>
      <c r="J323" s="155">
        <v>46199</v>
      </c>
      <c r="K323" s="155">
        <f t="shared" si="625"/>
        <v>46199</v>
      </c>
      <c r="L323" s="155">
        <v>46191</v>
      </c>
      <c r="M323" s="155">
        <f t="shared" si="626"/>
        <v>46241</v>
      </c>
      <c r="N323" s="155">
        <f t="shared" si="627"/>
        <v>46241</v>
      </c>
      <c r="O323" s="155">
        <v>46266</v>
      </c>
      <c r="P323" s="155">
        <f t="shared" si="628"/>
        <v>46283</v>
      </c>
      <c r="Q323" s="155">
        <f t="shared" si="629"/>
        <v>46283</v>
      </c>
      <c r="R323" s="155">
        <v>46283</v>
      </c>
      <c r="S323" s="155">
        <f t="shared" si="634"/>
        <v>46297</v>
      </c>
      <c r="T323" s="155">
        <f t="shared" si="630"/>
        <v>46297</v>
      </c>
      <c r="U323" s="155">
        <v>46283</v>
      </c>
      <c r="V323" s="213"/>
      <c r="X323" s="168" t="str">
        <f t="shared" ca="1" si="620"/>
        <v>Completed</v>
      </c>
      <c r="Y323" s="168" t="str">
        <f t="shared" ca="1" si="635"/>
        <v>Completed</v>
      </c>
      <c r="Z323" s="168" t="str">
        <f t="shared" ca="1" si="636"/>
        <v>Completed</v>
      </c>
      <c r="AA323" s="169" t="str">
        <f t="shared" ca="1" si="637"/>
        <v>Completed</v>
      </c>
    </row>
    <row r="324" spans="1:27" s="70" customFormat="1" ht="11.5" x14ac:dyDescent="0.25">
      <c r="A324" s="157" t="s">
        <v>66</v>
      </c>
      <c r="B324" s="157" t="s">
        <v>14</v>
      </c>
      <c r="C324" s="157" t="s">
        <v>947</v>
      </c>
      <c r="D324" s="157" t="s">
        <v>1197</v>
      </c>
      <c r="E324" s="158">
        <f t="shared" si="621"/>
        <v>1</v>
      </c>
      <c r="F324" s="158">
        <f t="shared" si="622"/>
        <v>1</v>
      </c>
      <c r="G324" s="158">
        <f t="shared" si="640"/>
        <v>1</v>
      </c>
      <c r="H324" s="158">
        <f t="shared" si="624"/>
        <v>0</v>
      </c>
      <c r="I324" s="153">
        <v>2.5000000000000001E-2</v>
      </c>
      <c r="J324" s="155">
        <v>46199</v>
      </c>
      <c r="K324" s="155">
        <f t="shared" si="625"/>
        <v>46199</v>
      </c>
      <c r="L324" s="155">
        <v>46191</v>
      </c>
      <c r="M324" s="155">
        <f t="shared" si="626"/>
        <v>46241</v>
      </c>
      <c r="N324" s="155">
        <f t="shared" si="627"/>
        <v>46241</v>
      </c>
      <c r="O324" s="155">
        <v>46266</v>
      </c>
      <c r="P324" s="155">
        <f t="shared" si="628"/>
        <v>46283</v>
      </c>
      <c r="Q324" s="155">
        <f t="shared" si="629"/>
        <v>46283</v>
      </c>
      <c r="R324" s="155">
        <v>46283</v>
      </c>
      <c r="S324" s="155">
        <f t="shared" si="634"/>
        <v>46297</v>
      </c>
      <c r="T324" s="155">
        <f t="shared" si="630"/>
        <v>46297</v>
      </c>
      <c r="U324" s="155">
        <v>46283</v>
      </c>
      <c r="V324" s="213"/>
      <c r="X324" s="168" t="str">
        <f t="shared" ca="1" si="620"/>
        <v>Completed</v>
      </c>
      <c r="Y324" s="168" t="str">
        <f t="shared" ca="1" si="635"/>
        <v>Completed</v>
      </c>
      <c r="Z324" s="168" t="str">
        <f t="shared" ca="1" si="636"/>
        <v>Completed</v>
      </c>
      <c r="AA324" s="169" t="str">
        <f t="shared" ca="1" si="637"/>
        <v>Completed</v>
      </c>
    </row>
    <row r="325" spans="1:27" s="70" customFormat="1" ht="11.5" x14ac:dyDescent="0.25">
      <c r="A325" s="157" t="s">
        <v>66</v>
      </c>
      <c r="B325" s="157" t="s">
        <v>14</v>
      </c>
      <c r="C325" s="157" t="s">
        <v>948</v>
      </c>
      <c r="D325" s="157" t="s">
        <v>1198</v>
      </c>
      <c r="E325" s="158">
        <f t="shared" ref="E325" si="662">(COUNTIFS(J325,"&lt;="&amp;$C$1)*50%)+(COUNTIFS(M325,"&lt;="&amp;$C$1)*20%)+(COUNTIFS(P325,"&lt;="&amp;$C$1)*10%)+(COUNTIFS(S325,"&lt;="&amp;$C$1)*20%)</f>
        <v>1</v>
      </c>
      <c r="F325" s="158">
        <f t="shared" ref="F325" si="663">(COUNTIFS(K325,"&lt;="&amp;$C$1)*50%)+(COUNTIFS(N325,"&lt;="&amp;$C$1)*20%)+(COUNTIFS(Q325,"&lt;="&amp;$C$1)*10%)+(COUNTIFS(T325,"&lt;="&amp;$C$1)*20%)</f>
        <v>1</v>
      </c>
      <c r="G325" s="158">
        <f t="shared" si="640"/>
        <v>1</v>
      </c>
      <c r="H325" s="158">
        <f t="shared" ref="H325" si="664">G325-E325</f>
        <v>0</v>
      </c>
      <c r="I325" s="153">
        <v>2.5000000000000001E-2</v>
      </c>
      <c r="J325" s="155">
        <v>46199</v>
      </c>
      <c r="K325" s="155">
        <f t="shared" si="625"/>
        <v>46199</v>
      </c>
      <c r="L325" s="155">
        <v>46191</v>
      </c>
      <c r="M325" s="155">
        <f t="shared" si="626"/>
        <v>46241</v>
      </c>
      <c r="N325" s="155">
        <f t="shared" si="627"/>
        <v>46241</v>
      </c>
      <c r="O325" s="155">
        <v>46283</v>
      </c>
      <c r="P325" s="155">
        <f t="shared" si="628"/>
        <v>46283</v>
      </c>
      <c r="Q325" s="155">
        <f t="shared" si="629"/>
        <v>46283</v>
      </c>
      <c r="R325" s="155">
        <v>46283</v>
      </c>
      <c r="S325" s="155">
        <f t="shared" si="634"/>
        <v>46297</v>
      </c>
      <c r="T325" s="155">
        <f t="shared" si="630"/>
        <v>46297</v>
      </c>
      <c r="U325" s="155">
        <v>46283</v>
      </c>
      <c r="V325" s="213"/>
      <c r="X325" s="168" t="str">
        <f t="shared" ca="1" si="620"/>
        <v>Completed</v>
      </c>
      <c r="Y325" s="168" t="str">
        <f t="shared" ca="1" si="635"/>
        <v>Completed</v>
      </c>
      <c r="Z325" s="168" t="str">
        <f t="shared" ca="1" si="636"/>
        <v>Completed</v>
      </c>
      <c r="AA325" s="169" t="str">
        <f t="shared" ca="1" si="637"/>
        <v>Completed</v>
      </c>
    </row>
    <row r="326" spans="1:27" s="70" customFormat="1" ht="11.5" x14ac:dyDescent="0.25">
      <c r="A326" s="157" t="s">
        <v>66</v>
      </c>
      <c r="B326" s="157" t="s">
        <v>14</v>
      </c>
      <c r="C326" s="157" t="s">
        <v>949</v>
      </c>
      <c r="D326" s="157" t="s">
        <v>1199</v>
      </c>
      <c r="E326" s="158">
        <f t="shared" si="621"/>
        <v>1</v>
      </c>
      <c r="F326" s="158">
        <f t="shared" si="622"/>
        <v>1</v>
      </c>
      <c r="G326" s="158">
        <f t="shared" si="640"/>
        <v>1</v>
      </c>
      <c r="H326" s="158">
        <f t="shared" si="624"/>
        <v>0</v>
      </c>
      <c r="I326" s="153">
        <v>2.5000000000000001E-2</v>
      </c>
      <c r="J326" s="155">
        <v>46199</v>
      </c>
      <c r="K326" s="155">
        <f t="shared" si="625"/>
        <v>46199</v>
      </c>
      <c r="L326" s="155">
        <v>46191</v>
      </c>
      <c r="M326" s="155">
        <f t="shared" si="626"/>
        <v>46241</v>
      </c>
      <c r="N326" s="155">
        <f t="shared" si="627"/>
        <v>46241</v>
      </c>
      <c r="O326" s="155">
        <v>46283</v>
      </c>
      <c r="P326" s="155">
        <f t="shared" si="628"/>
        <v>46283</v>
      </c>
      <c r="Q326" s="155">
        <f t="shared" si="629"/>
        <v>46283</v>
      </c>
      <c r="R326" s="155">
        <v>46283</v>
      </c>
      <c r="S326" s="155">
        <f t="shared" si="634"/>
        <v>46297</v>
      </c>
      <c r="T326" s="155">
        <f t="shared" si="630"/>
        <v>46297</v>
      </c>
      <c r="U326" s="155">
        <v>46283</v>
      </c>
      <c r="V326" s="213"/>
      <c r="X326" s="168" t="str">
        <f t="shared" ca="1" si="620"/>
        <v>Completed</v>
      </c>
      <c r="Y326" s="168" t="str">
        <f t="shared" ca="1" si="635"/>
        <v>Completed</v>
      </c>
      <c r="Z326" s="168" t="str">
        <f t="shared" ca="1" si="636"/>
        <v>Completed</v>
      </c>
      <c r="AA326" s="169" t="str">
        <f t="shared" ca="1" si="637"/>
        <v>Completed</v>
      </c>
    </row>
    <row r="327" spans="1:27" s="70" customFormat="1" ht="11.5" x14ac:dyDescent="0.25">
      <c r="A327" s="157" t="s">
        <v>66</v>
      </c>
      <c r="B327" s="157" t="s">
        <v>14</v>
      </c>
      <c r="C327" s="157" t="s">
        <v>950</v>
      </c>
      <c r="D327" s="157" t="s">
        <v>1200</v>
      </c>
      <c r="E327" s="158">
        <f t="shared" si="621"/>
        <v>1</v>
      </c>
      <c r="F327" s="158">
        <f t="shared" si="622"/>
        <v>1</v>
      </c>
      <c r="G327" s="158">
        <f t="shared" si="640"/>
        <v>1</v>
      </c>
      <c r="H327" s="158">
        <f t="shared" si="624"/>
        <v>0</v>
      </c>
      <c r="I327" s="153">
        <v>2.5000000000000001E-2</v>
      </c>
      <c r="J327" s="155">
        <v>46199</v>
      </c>
      <c r="K327" s="155">
        <f t="shared" si="625"/>
        <v>46199</v>
      </c>
      <c r="L327" s="155">
        <v>46191</v>
      </c>
      <c r="M327" s="155">
        <f t="shared" si="626"/>
        <v>46241</v>
      </c>
      <c r="N327" s="155">
        <f t="shared" si="627"/>
        <v>46241</v>
      </c>
      <c r="O327" s="155">
        <v>46283</v>
      </c>
      <c r="P327" s="155">
        <f t="shared" si="628"/>
        <v>46283</v>
      </c>
      <c r="Q327" s="155">
        <f t="shared" si="629"/>
        <v>46283</v>
      </c>
      <c r="R327" s="155">
        <v>46283</v>
      </c>
      <c r="S327" s="155">
        <f t="shared" si="634"/>
        <v>46297</v>
      </c>
      <c r="T327" s="155">
        <f t="shared" si="630"/>
        <v>46297</v>
      </c>
      <c r="U327" s="155">
        <v>46283</v>
      </c>
      <c r="V327" s="213"/>
      <c r="X327" s="168" t="str">
        <f t="shared" ca="1" si="620"/>
        <v>Completed</v>
      </c>
      <c r="Y327" s="168" t="str">
        <f t="shared" ca="1" si="635"/>
        <v>Completed</v>
      </c>
      <c r="Z327" s="168" t="str">
        <f t="shared" ca="1" si="636"/>
        <v>Completed</v>
      </c>
      <c r="AA327" s="169" t="str">
        <f t="shared" ca="1" si="637"/>
        <v>Completed</v>
      </c>
    </row>
    <row r="328" spans="1:27" s="70" customFormat="1" ht="11.5" x14ac:dyDescent="0.25">
      <c r="A328" s="157" t="s">
        <v>66</v>
      </c>
      <c r="B328" s="157" t="s">
        <v>14</v>
      </c>
      <c r="C328" s="157" t="s">
        <v>951</v>
      </c>
      <c r="D328" s="157" t="s">
        <v>1201</v>
      </c>
      <c r="E328" s="158">
        <f t="shared" si="621"/>
        <v>1</v>
      </c>
      <c r="F328" s="158">
        <f t="shared" si="622"/>
        <v>1</v>
      </c>
      <c r="G328" s="158">
        <f t="shared" si="640"/>
        <v>1</v>
      </c>
      <c r="H328" s="158">
        <f t="shared" si="624"/>
        <v>0</v>
      </c>
      <c r="I328" s="153">
        <v>2.5000000000000001E-2</v>
      </c>
      <c r="J328" s="155">
        <v>46199</v>
      </c>
      <c r="K328" s="155">
        <f t="shared" si="625"/>
        <v>46199</v>
      </c>
      <c r="L328" s="155">
        <v>46191</v>
      </c>
      <c r="M328" s="155">
        <f t="shared" si="626"/>
        <v>46241</v>
      </c>
      <c r="N328" s="155">
        <f t="shared" si="627"/>
        <v>46241</v>
      </c>
      <c r="O328" s="155">
        <v>46283</v>
      </c>
      <c r="P328" s="155">
        <f t="shared" si="628"/>
        <v>46283</v>
      </c>
      <c r="Q328" s="155">
        <f t="shared" si="629"/>
        <v>46283</v>
      </c>
      <c r="R328" s="155">
        <v>46283</v>
      </c>
      <c r="S328" s="155">
        <f t="shared" si="634"/>
        <v>46297</v>
      </c>
      <c r="T328" s="155">
        <f t="shared" si="630"/>
        <v>46297</v>
      </c>
      <c r="U328" s="155">
        <v>46283</v>
      </c>
      <c r="V328" s="213"/>
      <c r="X328" s="168" t="str">
        <f t="shared" ca="1" si="620"/>
        <v>Completed</v>
      </c>
      <c r="Y328" s="168" t="str">
        <f t="shared" ca="1" si="635"/>
        <v>Completed</v>
      </c>
      <c r="Z328" s="168" t="str">
        <f t="shared" ca="1" si="636"/>
        <v>Completed</v>
      </c>
      <c r="AA328" s="169" t="str">
        <f t="shared" ca="1" si="637"/>
        <v>Completed</v>
      </c>
    </row>
    <row r="329" spans="1:27" s="70" customFormat="1" ht="11.5" x14ac:dyDescent="0.25">
      <c r="A329" s="157" t="s">
        <v>66</v>
      </c>
      <c r="B329" s="157" t="s">
        <v>14</v>
      </c>
      <c r="C329" s="157" t="s">
        <v>952</v>
      </c>
      <c r="D329" s="157" t="s">
        <v>1202</v>
      </c>
      <c r="E329" s="158">
        <f t="shared" si="621"/>
        <v>1</v>
      </c>
      <c r="F329" s="158">
        <f t="shared" si="622"/>
        <v>1</v>
      </c>
      <c r="G329" s="158">
        <f t="shared" si="640"/>
        <v>1</v>
      </c>
      <c r="H329" s="158">
        <f t="shared" si="624"/>
        <v>0</v>
      </c>
      <c r="I329" s="153">
        <v>2.5000000000000001E-2</v>
      </c>
      <c r="J329" s="155">
        <v>46199</v>
      </c>
      <c r="K329" s="155">
        <f t="shared" si="625"/>
        <v>46199</v>
      </c>
      <c r="L329" s="155">
        <v>46191</v>
      </c>
      <c r="M329" s="155">
        <f t="shared" si="626"/>
        <v>46241</v>
      </c>
      <c r="N329" s="155">
        <f t="shared" si="627"/>
        <v>46241</v>
      </c>
      <c r="O329" s="155">
        <v>46283</v>
      </c>
      <c r="P329" s="155">
        <f t="shared" si="628"/>
        <v>46283</v>
      </c>
      <c r="Q329" s="155">
        <f t="shared" si="629"/>
        <v>46283</v>
      </c>
      <c r="R329" s="155">
        <v>46283</v>
      </c>
      <c r="S329" s="155">
        <f t="shared" si="634"/>
        <v>46297</v>
      </c>
      <c r="T329" s="155">
        <f t="shared" si="630"/>
        <v>46297</v>
      </c>
      <c r="U329" s="155">
        <v>46283</v>
      </c>
      <c r="V329" s="213"/>
      <c r="X329" s="168" t="str">
        <f t="shared" ca="1" si="620"/>
        <v>Completed</v>
      </c>
      <c r="Y329" s="168" t="str">
        <f t="shared" ca="1" si="635"/>
        <v>Completed</v>
      </c>
      <c r="Z329" s="168" t="str">
        <f t="shared" ca="1" si="636"/>
        <v>Completed</v>
      </c>
      <c r="AA329" s="169" t="str">
        <f t="shared" ca="1" si="637"/>
        <v>Completed</v>
      </c>
    </row>
    <row r="330" spans="1:27" s="70" customFormat="1" ht="11.5" x14ac:dyDescent="0.25">
      <c r="A330" s="157" t="s">
        <v>66</v>
      </c>
      <c r="B330" s="157" t="s">
        <v>14</v>
      </c>
      <c r="C330" s="157" t="s">
        <v>953</v>
      </c>
      <c r="D330" s="157" t="s">
        <v>1203</v>
      </c>
      <c r="E330" s="158">
        <f t="shared" si="621"/>
        <v>1</v>
      </c>
      <c r="F330" s="158">
        <f t="shared" si="622"/>
        <v>1</v>
      </c>
      <c r="G330" s="158">
        <f t="shared" si="640"/>
        <v>1</v>
      </c>
      <c r="H330" s="158">
        <f t="shared" si="624"/>
        <v>0</v>
      </c>
      <c r="I330" s="153">
        <v>2.5000000000000001E-2</v>
      </c>
      <c r="J330" s="155">
        <v>46199</v>
      </c>
      <c r="K330" s="155">
        <f t="shared" si="625"/>
        <v>46199</v>
      </c>
      <c r="L330" s="155">
        <v>46191</v>
      </c>
      <c r="M330" s="155">
        <f t="shared" si="626"/>
        <v>46241</v>
      </c>
      <c r="N330" s="155">
        <f t="shared" si="627"/>
        <v>46241</v>
      </c>
      <c r="O330" s="155">
        <v>46283</v>
      </c>
      <c r="P330" s="155">
        <f t="shared" si="628"/>
        <v>46283</v>
      </c>
      <c r="Q330" s="155">
        <f t="shared" si="629"/>
        <v>46283</v>
      </c>
      <c r="R330" s="155">
        <v>46283</v>
      </c>
      <c r="S330" s="155">
        <f t="shared" si="634"/>
        <v>46297</v>
      </c>
      <c r="T330" s="155">
        <f t="shared" si="630"/>
        <v>46297</v>
      </c>
      <c r="U330" s="155">
        <v>46283</v>
      </c>
      <c r="V330" s="213"/>
      <c r="X330" s="168" t="str">
        <f t="shared" ca="1" si="620"/>
        <v>Completed</v>
      </c>
      <c r="Y330" s="168" t="str">
        <f t="shared" ca="1" si="635"/>
        <v>Completed</v>
      </c>
      <c r="Z330" s="168" t="str">
        <f t="shared" ca="1" si="636"/>
        <v>Completed</v>
      </c>
      <c r="AA330" s="169" t="str">
        <f t="shared" ca="1" si="637"/>
        <v>Completed</v>
      </c>
    </row>
    <row r="331" spans="1:27" s="70" customFormat="1" ht="11.5" x14ac:dyDescent="0.25">
      <c r="A331" s="157" t="s">
        <v>66</v>
      </c>
      <c r="B331" s="157" t="s">
        <v>14</v>
      </c>
      <c r="C331" s="157" t="s">
        <v>954</v>
      </c>
      <c r="D331" s="157" t="s">
        <v>1204</v>
      </c>
      <c r="E331" s="158">
        <f t="shared" si="621"/>
        <v>1</v>
      </c>
      <c r="F331" s="158">
        <f t="shared" si="622"/>
        <v>1</v>
      </c>
      <c r="G331" s="158">
        <f t="shared" si="640"/>
        <v>1</v>
      </c>
      <c r="H331" s="158">
        <f t="shared" si="624"/>
        <v>0</v>
      </c>
      <c r="I331" s="153">
        <v>2.5000000000000001E-2</v>
      </c>
      <c r="J331" s="155">
        <v>46199</v>
      </c>
      <c r="K331" s="155">
        <f t="shared" si="625"/>
        <v>46199</v>
      </c>
      <c r="L331" s="155">
        <v>46191</v>
      </c>
      <c r="M331" s="155">
        <f t="shared" si="626"/>
        <v>46241</v>
      </c>
      <c r="N331" s="155">
        <f t="shared" si="627"/>
        <v>46241</v>
      </c>
      <c r="O331" s="155">
        <v>46283</v>
      </c>
      <c r="P331" s="155">
        <f t="shared" si="628"/>
        <v>46283</v>
      </c>
      <c r="Q331" s="155">
        <f t="shared" si="629"/>
        <v>46283</v>
      </c>
      <c r="R331" s="155">
        <v>46283</v>
      </c>
      <c r="S331" s="155">
        <f t="shared" si="634"/>
        <v>46297</v>
      </c>
      <c r="T331" s="155">
        <f t="shared" si="630"/>
        <v>46297</v>
      </c>
      <c r="U331" s="155">
        <v>46283</v>
      </c>
      <c r="V331" s="213"/>
      <c r="X331" s="168" t="str">
        <f t="shared" ca="1" si="620"/>
        <v>Completed</v>
      </c>
      <c r="Y331" s="168" t="str">
        <f t="shared" ca="1" si="635"/>
        <v>Completed</v>
      </c>
      <c r="Z331" s="168" t="str">
        <f t="shared" ca="1" si="636"/>
        <v>Completed</v>
      </c>
      <c r="AA331" s="169" t="str">
        <f t="shared" ca="1" si="637"/>
        <v>Completed</v>
      </c>
    </row>
    <row r="332" spans="1:27" s="70" customFormat="1" ht="11.5" x14ac:dyDescent="0.25">
      <c r="A332" s="91" t="s">
        <v>66</v>
      </c>
      <c r="B332" s="91" t="s">
        <v>14</v>
      </c>
      <c r="C332" s="91" t="s">
        <v>318</v>
      </c>
      <c r="D332" s="91" t="s">
        <v>1205</v>
      </c>
      <c r="E332" s="93">
        <f t="shared" ref="E332:E335" si="665">(COUNTIFS(J332,"&lt;="&amp;$C$1)*50%)+(COUNTIFS(M332,"&lt;="&amp;$C$1)*20%)+(COUNTIFS(P332,"&lt;="&amp;$C$1)*10%)+(COUNTIFS(S332,"&lt;="&amp;$C$1)*20%)</f>
        <v>1</v>
      </c>
      <c r="F332" s="93">
        <f t="shared" ref="F332:F335" si="666">(COUNTIFS(K332,"&lt;="&amp;$C$1)*50%)+(COUNTIFS(N332,"&lt;="&amp;$C$1)*20%)+(COUNTIFS(Q332,"&lt;="&amp;$C$1)*10%)+(COUNTIFS(T332,"&lt;="&amp;$C$1)*20%)</f>
        <v>1</v>
      </c>
      <c r="G332" s="93">
        <f t="shared" si="640"/>
        <v>0.7</v>
      </c>
      <c r="H332" s="93">
        <f t="shared" ref="H332:H335" si="667">G332-E332</f>
        <v>-0.30000000000000004</v>
      </c>
      <c r="I332" s="95">
        <v>2.1999999999999999E-2</v>
      </c>
      <c r="J332" s="89">
        <v>46199</v>
      </c>
      <c r="K332" s="89">
        <f t="shared" ref="K332:K335" si="668">J332</f>
        <v>46199</v>
      </c>
      <c r="L332" s="89">
        <v>46142</v>
      </c>
      <c r="M332" s="89">
        <f t="shared" ref="M332:M335" si="669">J332+42</f>
        <v>46241</v>
      </c>
      <c r="N332" s="89">
        <f t="shared" ref="N332:N335" si="670">M332</f>
        <v>46241</v>
      </c>
      <c r="O332" s="89">
        <v>46255</v>
      </c>
      <c r="P332" s="89">
        <f t="shared" ref="P332:P335" si="671">M332+42</f>
        <v>46283</v>
      </c>
      <c r="Q332" s="89">
        <f t="shared" ref="Q332:Q335" si="672">P332</f>
        <v>46283</v>
      </c>
      <c r="R332" s="89"/>
      <c r="S332" s="89">
        <f t="shared" ref="S332:S335" si="673">P332+14</f>
        <v>46297</v>
      </c>
      <c r="T332" s="89">
        <f t="shared" ref="T332:T335" si="674">S332</f>
        <v>46297</v>
      </c>
      <c r="U332" s="89"/>
      <c r="V332" s="214"/>
      <c r="X332" s="168" t="str">
        <f t="shared" ref="X332:X356" ca="1" si="675">IF(OR(L332&lt;&gt;""),"Completed",
IF(K332="","",IF(K332&lt;TODAY(),"Overdue",
IF(AND(K332&gt;=TODAY()-WEEKDAY(TODAY(),2)+1,K332&lt;=TODAY()-WEEKDAY(TODAY(),2)+7),"Follow-This Week",
IF(AND(K332&gt;=TODAY()-WEEKDAY(TODAY(),2)+8,K332&lt;=TODAY()-WEEKDAY(TODAY(),2)+14),"Follow-Next Week","")))))</f>
        <v>Completed</v>
      </c>
      <c r="Y332" s="168" t="str">
        <f t="shared" ca="1" si="635"/>
        <v>Completed</v>
      </c>
      <c r="Z332" s="168" t="str">
        <f t="shared" ca="1" si="636"/>
        <v>Overdue</v>
      </c>
      <c r="AA332" s="169" t="str">
        <f t="shared" ca="1" si="637"/>
        <v>Overdue</v>
      </c>
    </row>
    <row r="333" spans="1:27" s="70" customFormat="1" ht="11.5" x14ac:dyDescent="0.25">
      <c r="A333" s="91" t="s">
        <v>66</v>
      </c>
      <c r="B333" s="91" t="s">
        <v>14</v>
      </c>
      <c r="C333" s="91" t="s">
        <v>319</v>
      </c>
      <c r="D333" s="91" t="s">
        <v>1206</v>
      </c>
      <c r="E333" s="93">
        <f t="shared" si="665"/>
        <v>1</v>
      </c>
      <c r="F333" s="93">
        <f t="shared" si="666"/>
        <v>1</v>
      </c>
      <c r="G333" s="93">
        <f t="shared" si="640"/>
        <v>0.7</v>
      </c>
      <c r="H333" s="93">
        <f t="shared" si="667"/>
        <v>-0.30000000000000004</v>
      </c>
      <c r="I333" s="95">
        <v>2.1999999999999999E-2</v>
      </c>
      <c r="J333" s="89">
        <v>46199</v>
      </c>
      <c r="K333" s="89">
        <f t="shared" si="668"/>
        <v>46199</v>
      </c>
      <c r="L333" s="89">
        <v>46142</v>
      </c>
      <c r="M333" s="89">
        <f t="shared" si="669"/>
        <v>46241</v>
      </c>
      <c r="N333" s="89">
        <f t="shared" si="670"/>
        <v>46241</v>
      </c>
      <c r="O333" s="89">
        <v>46255</v>
      </c>
      <c r="P333" s="89">
        <f t="shared" si="671"/>
        <v>46283</v>
      </c>
      <c r="Q333" s="89">
        <f t="shared" si="672"/>
        <v>46283</v>
      </c>
      <c r="R333" s="89"/>
      <c r="S333" s="89">
        <f t="shared" si="673"/>
        <v>46297</v>
      </c>
      <c r="T333" s="89">
        <f t="shared" si="674"/>
        <v>46297</v>
      </c>
      <c r="U333" s="89"/>
      <c r="V333" s="214"/>
      <c r="X333" s="168" t="str">
        <f t="shared" ca="1" si="675"/>
        <v>Completed</v>
      </c>
      <c r="Y333" s="168" t="str">
        <f t="shared" ca="1" si="635"/>
        <v>Completed</v>
      </c>
      <c r="Z333" s="168" t="str">
        <f t="shared" ca="1" si="636"/>
        <v>Overdue</v>
      </c>
      <c r="AA333" s="169" t="str">
        <f t="shared" ca="1" si="637"/>
        <v>Overdue</v>
      </c>
    </row>
    <row r="334" spans="1:27" s="70" customFormat="1" ht="11.5" x14ac:dyDescent="0.25">
      <c r="A334" s="91" t="s">
        <v>66</v>
      </c>
      <c r="B334" s="91" t="s">
        <v>14</v>
      </c>
      <c r="C334" s="91" t="s">
        <v>946</v>
      </c>
      <c r="D334" s="91" t="s">
        <v>1207</v>
      </c>
      <c r="E334" s="93">
        <f t="shared" si="665"/>
        <v>1</v>
      </c>
      <c r="F334" s="93">
        <f t="shared" si="666"/>
        <v>1</v>
      </c>
      <c r="G334" s="93">
        <f t="shared" si="640"/>
        <v>0.7</v>
      </c>
      <c r="H334" s="93">
        <f t="shared" si="667"/>
        <v>-0.30000000000000004</v>
      </c>
      <c r="I334" s="95">
        <v>2.1999999999999999E-2</v>
      </c>
      <c r="J334" s="89">
        <v>46199</v>
      </c>
      <c r="K334" s="89">
        <f t="shared" si="668"/>
        <v>46199</v>
      </c>
      <c r="L334" s="89">
        <v>46191</v>
      </c>
      <c r="M334" s="89">
        <f t="shared" si="669"/>
        <v>46241</v>
      </c>
      <c r="N334" s="89">
        <f t="shared" si="670"/>
        <v>46241</v>
      </c>
      <c r="O334" s="89">
        <v>46266</v>
      </c>
      <c r="P334" s="89">
        <f t="shared" si="671"/>
        <v>46283</v>
      </c>
      <c r="Q334" s="89">
        <f t="shared" si="672"/>
        <v>46283</v>
      </c>
      <c r="R334" s="89"/>
      <c r="S334" s="89">
        <f t="shared" si="673"/>
        <v>46297</v>
      </c>
      <c r="T334" s="89">
        <f t="shared" si="674"/>
        <v>46297</v>
      </c>
      <c r="U334" s="89"/>
      <c r="V334" s="214"/>
      <c r="X334" s="168" t="str">
        <f t="shared" ca="1" si="675"/>
        <v>Completed</v>
      </c>
      <c r="Y334" s="168" t="str">
        <f t="shared" ca="1" si="635"/>
        <v>Completed</v>
      </c>
      <c r="Z334" s="168" t="str">
        <f t="shared" ca="1" si="636"/>
        <v>Overdue</v>
      </c>
      <c r="AA334" s="169" t="str">
        <f t="shared" ca="1" si="637"/>
        <v>Overdue</v>
      </c>
    </row>
    <row r="335" spans="1:27" s="70" customFormat="1" ht="11.5" x14ac:dyDescent="0.25">
      <c r="A335" s="91" t="s">
        <v>66</v>
      </c>
      <c r="B335" s="91" t="s">
        <v>14</v>
      </c>
      <c r="C335" s="91" t="s">
        <v>947</v>
      </c>
      <c r="D335" s="91" t="s">
        <v>1208</v>
      </c>
      <c r="E335" s="93">
        <f t="shared" si="665"/>
        <v>1</v>
      </c>
      <c r="F335" s="93">
        <f t="shared" si="666"/>
        <v>1</v>
      </c>
      <c r="G335" s="93">
        <f t="shared" si="640"/>
        <v>0.7</v>
      </c>
      <c r="H335" s="93">
        <f t="shared" si="667"/>
        <v>-0.30000000000000004</v>
      </c>
      <c r="I335" s="95">
        <v>2.1999999999999999E-2</v>
      </c>
      <c r="J335" s="89">
        <v>46199</v>
      </c>
      <c r="K335" s="89">
        <f t="shared" si="668"/>
        <v>46199</v>
      </c>
      <c r="L335" s="89">
        <v>46191</v>
      </c>
      <c r="M335" s="89">
        <f t="shared" si="669"/>
        <v>46241</v>
      </c>
      <c r="N335" s="89">
        <f t="shared" si="670"/>
        <v>46241</v>
      </c>
      <c r="O335" s="89">
        <v>46266</v>
      </c>
      <c r="P335" s="89">
        <f t="shared" si="671"/>
        <v>46283</v>
      </c>
      <c r="Q335" s="89">
        <f t="shared" si="672"/>
        <v>46283</v>
      </c>
      <c r="R335" s="89"/>
      <c r="S335" s="89">
        <f t="shared" si="673"/>
        <v>46297</v>
      </c>
      <c r="T335" s="89">
        <f t="shared" si="674"/>
        <v>46297</v>
      </c>
      <c r="U335" s="89"/>
      <c r="V335" s="214"/>
      <c r="X335" s="168" t="str">
        <f t="shared" ca="1" si="675"/>
        <v>Completed</v>
      </c>
      <c r="Y335" s="168" t="str">
        <f t="shared" ca="1" si="635"/>
        <v>Completed</v>
      </c>
      <c r="Z335" s="168" t="str">
        <f t="shared" ca="1" si="636"/>
        <v>Overdue</v>
      </c>
      <c r="AA335" s="169" t="str">
        <f t="shared" ca="1" si="637"/>
        <v>Overdue</v>
      </c>
    </row>
    <row r="336" spans="1:27" s="70" customFormat="1" ht="11.5" x14ac:dyDescent="0.25">
      <c r="A336" s="91" t="s">
        <v>66</v>
      </c>
      <c r="B336" s="91" t="s">
        <v>14</v>
      </c>
      <c r="C336" s="91" t="s">
        <v>948</v>
      </c>
      <c r="D336" s="91" t="s">
        <v>1209</v>
      </c>
      <c r="E336" s="93">
        <f t="shared" si="621"/>
        <v>1</v>
      </c>
      <c r="F336" s="93">
        <f t="shared" si="622"/>
        <v>1</v>
      </c>
      <c r="G336" s="93">
        <f t="shared" si="640"/>
        <v>0.5</v>
      </c>
      <c r="H336" s="93">
        <f t="shared" si="624"/>
        <v>-0.5</v>
      </c>
      <c r="I336" s="95">
        <v>2.1999999999999999E-2</v>
      </c>
      <c r="J336" s="89">
        <v>46199</v>
      </c>
      <c r="K336" s="89">
        <f t="shared" ref="K336:K345" si="676">J336</f>
        <v>46199</v>
      </c>
      <c r="L336" s="89">
        <v>46191</v>
      </c>
      <c r="M336" s="89">
        <f t="shared" ref="M336:M345" si="677">J336+42</f>
        <v>46241</v>
      </c>
      <c r="N336" s="89">
        <f t="shared" ref="N336:N345" si="678">M336</f>
        <v>46241</v>
      </c>
      <c r="O336" s="89"/>
      <c r="P336" s="89">
        <f t="shared" ref="P336:P345" si="679">M336+42</f>
        <v>46283</v>
      </c>
      <c r="Q336" s="89">
        <f t="shared" ref="Q336:Q345" si="680">P336</f>
        <v>46283</v>
      </c>
      <c r="R336" s="89"/>
      <c r="S336" s="89">
        <f t="shared" ref="S336:S345" si="681">P336+14</f>
        <v>46297</v>
      </c>
      <c r="T336" s="89">
        <f t="shared" ref="T336:T345" si="682">S336</f>
        <v>46297</v>
      </c>
      <c r="U336" s="89"/>
      <c r="V336" s="214"/>
      <c r="X336" s="168" t="str">
        <f t="shared" ca="1" si="675"/>
        <v>Completed</v>
      </c>
      <c r="Y336" s="168" t="str">
        <f t="shared" ca="1" si="635"/>
        <v>Overdue</v>
      </c>
      <c r="Z336" s="168" t="str">
        <f t="shared" ca="1" si="636"/>
        <v>Overdue</v>
      </c>
      <c r="AA336" s="169" t="str">
        <f t="shared" ca="1" si="637"/>
        <v>Overdue</v>
      </c>
    </row>
    <row r="337" spans="1:27" s="70" customFormat="1" ht="11.5" x14ac:dyDescent="0.25">
      <c r="A337" s="91" t="s">
        <v>66</v>
      </c>
      <c r="B337" s="91" t="s">
        <v>14</v>
      </c>
      <c r="C337" s="91" t="s">
        <v>949</v>
      </c>
      <c r="D337" s="91" t="s">
        <v>1210</v>
      </c>
      <c r="E337" s="93">
        <f t="shared" ref="E337:E345" si="683">(COUNTIFS(J337,"&lt;="&amp;$C$1)*50%)+(COUNTIFS(M337,"&lt;="&amp;$C$1)*20%)+(COUNTIFS(P337,"&lt;="&amp;$C$1)*10%)+(COUNTIFS(S337,"&lt;="&amp;$C$1)*20%)</f>
        <v>1</v>
      </c>
      <c r="F337" s="93">
        <f t="shared" ref="F337:F345" si="684">(COUNTIFS(K337,"&lt;="&amp;$C$1)*50%)+(COUNTIFS(N337,"&lt;="&amp;$C$1)*20%)+(COUNTIFS(Q337,"&lt;="&amp;$C$1)*10%)+(COUNTIFS(T337,"&lt;="&amp;$C$1)*20%)</f>
        <v>1</v>
      </c>
      <c r="G337" s="93">
        <f t="shared" si="640"/>
        <v>0.5</v>
      </c>
      <c r="H337" s="93">
        <f t="shared" ref="H337:H345" si="685">G337-E337</f>
        <v>-0.5</v>
      </c>
      <c r="I337" s="95">
        <v>2.1999999999999999E-2</v>
      </c>
      <c r="J337" s="89">
        <v>46199</v>
      </c>
      <c r="K337" s="89">
        <f t="shared" si="676"/>
        <v>46199</v>
      </c>
      <c r="L337" s="89">
        <v>46191</v>
      </c>
      <c r="M337" s="89">
        <f t="shared" si="677"/>
        <v>46241</v>
      </c>
      <c r="N337" s="89">
        <f t="shared" si="678"/>
        <v>46241</v>
      </c>
      <c r="O337" s="89"/>
      <c r="P337" s="89">
        <f t="shared" si="679"/>
        <v>46283</v>
      </c>
      <c r="Q337" s="89">
        <f t="shared" si="680"/>
        <v>46283</v>
      </c>
      <c r="R337" s="89"/>
      <c r="S337" s="89">
        <f t="shared" si="681"/>
        <v>46297</v>
      </c>
      <c r="T337" s="89">
        <f t="shared" si="682"/>
        <v>46297</v>
      </c>
      <c r="U337" s="89"/>
      <c r="V337" s="214"/>
      <c r="X337" s="168" t="str">
        <f t="shared" ca="1" si="675"/>
        <v>Completed</v>
      </c>
      <c r="Y337" s="168" t="str">
        <f t="shared" ca="1" si="635"/>
        <v>Overdue</v>
      </c>
      <c r="Z337" s="168" t="str">
        <f t="shared" ca="1" si="636"/>
        <v>Overdue</v>
      </c>
      <c r="AA337" s="169" t="str">
        <f t="shared" ca="1" si="637"/>
        <v>Overdue</v>
      </c>
    </row>
    <row r="338" spans="1:27" s="70" customFormat="1" ht="11.5" x14ac:dyDescent="0.25">
      <c r="A338" s="91" t="s">
        <v>66</v>
      </c>
      <c r="B338" s="91" t="s">
        <v>14</v>
      </c>
      <c r="C338" s="91" t="s">
        <v>950</v>
      </c>
      <c r="D338" s="91" t="s">
        <v>1211</v>
      </c>
      <c r="E338" s="93">
        <f t="shared" si="683"/>
        <v>1</v>
      </c>
      <c r="F338" s="93">
        <f t="shared" si="684"/>
        <v>1</v>
      </c>
      <c r="G338" s="93">
        <f t="shared" ref="G338:G356" si="686">(COUNTIFS(L338,"&lt;="&amp;$C$1)*50%)+(COUNTIFS(O338,"&lt;="&amp;$C$1)*20%)+(COUNTIFS(R338,"&lt;="&amp;$C$1)*10%)+(COUNTIFS(U338,"&lt;="&amp;$C$1)*20%)</f>
        <v>0.5</v>
      </c>
      <c r="H338" s="93">
        <f t="shared" si="685"/>
        <v>-0.5</v>
      </c>
      <c r="I338" s="95">
        <v>2.1999999999999999E-2</v>
      </c>
      <c r="J338" s="89">
        <v>46199</v>
      </c>
      <c r="K338" s="89">
        <f t="shared" si="676"/>
        <v>46199</v>
      </c>
      <c r="L338" s="89">
        <v>46191</v>
      </c>
      <c r="M338" s="89">
        <f t="shared" si="677"/>
        <v>46241</v>
      </c>
      <c r="N338" s="89">
        <f t="shared" si="678"/>
        <v>46241</v>
      </c>
      <c r="O338" s="89"/>
      <c r="P338" s="89">
        <f t="shared" si="679"/>
        <v>46283</v>
      </c>
      <c r="Q338" s="89">
        <f t="shared" si="680"/>
        <v>46283</v>
      </c>
      <c r="R338" s="89"/>
      <c r="S338" s="89">
        <f t="shared" si="681"/>
        <v>46297</v>
      </c>
      <c r="T338" s="89">
        <f t="shared" si="682"/>
        <v>46297</v>
      </c>
      <c r="U338" s="89"/>
      <c r="V338" s="214"/>
      <c r="X338" s="168" t="str">
        <f t="shared" ca="1" si="675"/>
        <v>Completed</v>
      </c>
      <c r="Y338" s="168" t="str">
        <f t="shared" ca="1" si="635"/>
        <v>Overdue</v>
      </c>
      <c r="Z338" s="168" t="str">
        <f t="shared" ca="1" si="636"/>
        <v>Overdue</v>
      </c>
      <c r="AA338" s="169" t="str">
        <f t="shared" ca="1" si="637"/>
        <v>Overdue</v>
      </c>
    </row>
    <row r="339" spans="1:27" s="70" customFormat="1" ht="11.5" x14ac:dyDescent="0.25">
      <c r="A339" s="91" t="s">
        <v>66</v>
      </c>
      <c r="B339" s="91" t="s">
        <v>14</v>
      </c>
      <c r="C339" s="91" t="s">
        <v>951</v>
      </c>
      <c r="D339" s="91" t="s">
        <v>1212</v>
      </c>
      <c r="E339" s="93">
        <f t="shared" si="683"/>
        <v>1</v>
      </c>
      <c r="F339" s="93">
        <f t="shared" si="684"/>
        <v>1</v>
      </c>
      <c r="G339" s="93">
        <f t="shared" si="686"/>
        <v>0.5</v>
      </c>
      <c r="H339" s="93">
        <f t="shared" si="685"/>
        <v>-0.5</v>
      </c>
      <c r="I339" s="95">
        <v>2.1999999999999999E-2</v>
      </c>
      <c r="J339" s="89">
        <v>46199</v>
      </c>
      <c r="K339" s="89">
        <f t="shared" si="676"/>
        <v>46199</v>
      </c>
      <c r="L339" s="89">
        <v>46191</v>
      </c>
      <c r="M339" s="89">
        <f t="shared" si="677"/>
        <v>46241</v>
      </c>
      <c r="N339" s="89">
        <f t="shared" si="678"/>
        <v>46241</v>
      </c>
      <c r="O339" s="89"/>
      <c r="P339" s="89">
        <f t="shared" si="679"/>
        <v>46283</v>
      </c>
      <c r="Q339" s="89">
        <f t="shared" si="680"/>
        <v>46283</v>
      </c>
      <c r="R339" s="89"/>
      <c r="S339" s="89">
        <f t="shared" si="681"/>
        <v>46297</v>
      </c>
      <c r="T339" s="89">
        <f t="shared" si="682"/>
        <v>46297</v>
      </c>
      <c r="U339" s="89"/>
      <c r="V339" s="214"/>
      <c r="X339" s="168" t="str">
        <f t="shared" ca="1" si="675"/>
        <v>Completed</v>
      </c>
      <c r="Y339" s="168" t="str">
        <f t="shared" ca="1" si="635"/>
        <v>Overdue</v>
      </c>
      <c r="Z339" s="168" t="str">
        <f t="shared" ca="1" si="636"/>
        <v>Overdue</v>
      </c>
      <c r="AA339" s="169" t="str">
        <f t="shared" ca="1" si="637"/>
        <v>Overdue</v>
      </c>
    </row>
    <row r="340" spans="1:27" s="70" customFormat="1" ht="11.5" x14ac:dyDescent="0.25">
      <c r="A340" s="91" t="s">
        <v>66</v>
      </c>
      <c r="B340" s="91" t="s">
        <v>14</v>
      </c>
      <c r="C340" s="91" t="s">
        <v>952</v>
      </c>
      <c r="D340" s="91" t="s">
        <v>1213</v>
      </c>
      <c r="E340" s="93">
        <f t="shared" si="683"/>
        <v>1</v>
      </c>
      <c r="F340" s="93">
        <f t="shared" si="684"/>
        <v>1</v>
      </c>
      <c r="G340" s="93">
        <f t="shared" si="686"/>
        <v>0.5</v>
      </c>
      <c r="H340" s="93">
        <f t="shared" si="685"/>
        <v>-0.5</v>
      </c>
      <c r="I340" s="95">
        <v>2.1999999999999999E-2</v>
      </c>
      <c r="J340" s="89">
        <v>46199</v>
      </c>
      <c r="K340" s="89">
        <f t="shared" si="676"/>
        <v>46199</v>
      </c>
      <c r="L340" s="89">
        <v>46191</v>
      </c>
      <c r="M340" s="89">
        <f t="shared" si="677"/>
        <v>46241</v>
      </c>
      <c r="N340" s="89">
        <f t="shared" si="678"/>
        <v>46241</v>
      </c>
      <c r="O340" s="89"/>
      <c r="P340" s="89">
        <f t="shared" si="679"/>
        <v>46283</v>
      </c>
      <c r="Q340" s="89">
        <f t="shared" si="680"/>
        <v>46283</v>
      </c>
      <c r="R340" s="89"/>
      <c r="S340" s="89">
        <f t="shared" si="681"/>
        <v>46297</v>
      </c>
      <c r="T340" s="89">
        <f t="shared" si="682"/>
        <v>46297</v>
      </c>
      <c r="U340" s="89"/>
      <c r="V340" s="214"/>
      <c r="X340" s="168" t="str">
        <f t="shared" ca="1" si="675"/>
        <v>Completed</v>
      </c>
      <c r="Y340" s="168" t="str">
        <f t="shared" ca="1" si="635"/>
        <v>Overdue</v>
      </c>
      <c r="Z340" s="168" t="str">
        <f t="shared" ca="1" si="636"/>
        <v>Overdue</v>
      </c>
      <c r="AA340" s="169" t="str">
        <f t="shared" ca="1" si="637"/>
        <v>Overdue</v>
      </c>
    </row>
    <row r="341" spans="1:27" s="70" customFormat="1" ht="11.5" x14ac:dyDescent="0.25">
      <c r="A341" s="91" t="s">
        <v>66</v>
      </c>
      <c r="B341" s="91" t="s">
        <v>14</v>
      </c>
      <c r="C341" s="91" t="s">
        <v>953</v>
      </c>
      <c r="D341" s="91" t="s">
        <v>1214</v>
      </c>
      <c r="E341" s="93">
        <f t="shared" si="683"/>
        <v>1</v>
      </c>
      <c r="F341" s="93">
        <f t="shared" si="684"/>
        <v>1</v>
      </c>
      <c r="G341" s="93">
        <f t="shared" si="686"/>
        <v>0.5</v>
      </c>
      <c r="H341" s="93">
        <f t="shared" si="685"/>
        <v>-0.5</v>
      </c>
      <c r="I341" s="95">
        <v>2.1999999999999999E-2</v>
      </c>
      <c r="J341" s="89">
        <v>46199</v>
      </c>
      <c r="K341" s="89">
        <f t="shared" si="676"/>
        <v>46199</v>
      </c>
      <c r="L341" s="89">
        <v>46191</v>
      </c>
      <c r="M341" s="89">
        <f t="shared" si="677"/>
        <v>46241</v>
      </c>
      <c r="N341" s="89">
        <f t="shared" si="678"/>
        <v>46241</v>
      </c>
      <c r="O341" s="89"/>
      <c r="P341" s="89">
        <f t="shared" si="679"/>
        <v>46283</v>
      </c>
      <c r="Q341" s="89">
        <f t="shared" si="680"/>
        <v>46283</v>
      </c>
      <c r="R341" s="89"/>
      <c r="S341" s="89">
        <f t="shared" si="681"/>
        <v>46297</v>
      </c>
      <c r="T341" s="89">
        <f t="shared" si="682"/>
        <v>46297</v>
      </c>
      <c r="U341" s="89"/>
      <c r="V341" s="214"/>
      <c r="X341" s="168" t="str">
        <f t="shared" ca="1" si="675"/>
        <v>Completed</v>
      </c>
      <c r="Y341" s="168" t="str">
        <f t="shared" ca="1" si="635"/>
        <v>Overdue</v>
      </c>
      <c r="Z341" s="168" t="str">
        <f t="shared" ca="1" si="636"/>
        <v>Overdue</v>
      </c>
      <c r="AA341" s="169" t="str">
        <f t="shared" ca="1" si="637"/>
        <v>Overdue</v>
      </c>
    </row>
    <row r="342" spans="1:27" s="70" customFormat="1" ht="11.5" x14ac:dyDescent="0.25">
      <c r="A342" s="91" t="s">
        <v>66</v>
      </c>
      <c r="B342" s="91" t="s">
        <v>14</v>
      </c>
      <c r="C342" s="91" t="s">
        <v>954</v>
      </c>
      <c r="D342" s="91" t="s">
        <v>1215</v>
      </c>
      <c r="E342" s="93">
        <f t="shared" si="683"/>
        <v>1</v>
      </c>
      <c r="F342" s="93">
        <f t="shared" si="684"/>
        <v>1</v>
      </c>
      <c r="G342" s="93">
        <f t="shared" si="686"/>
        <v>0.5</v>
      </c>
      <c r="H342" s="93">
        <f t="shared" si="685"/>
        <v>-0.5</v>
      </c>
      <c r="I342" s="95">
        <v>2.1999999999999999E-2</v>
      </c>
      <c r="J342" s="89">
        <v>46199</v>
      </c>
      <c r="K342" s="89">
        <f t="shared" si="676"/>
        <v>46199</v>
      </c>
      <c r="L342" s="89">
        <v>46191</v>
      </c>
      <c r="M342" s="89">
        <f t="shared" si="677"/>
        <v>46241</v>
      </c>
      <c r="N342" s="89">
        <f t="shared" si="678"/>
        <v>46241</v>
      </c>
      <c r="O342" s="89"/>
      <c r="P342" s="89">
        <f t="shared" si="679"/>
        <v>46283</v>
      </c>
      <c r="Q342" s="89">
        <f t="shared" si="680"/>
        <v>46283</v>
      </c>
      <c r="R342" s="89"/>
      <c r="S342" s="89">
        <f t="shared" si="681"/>
        <v>46297</v>
      </c>
      <c r="T342" s="89">
        <f t="shared" si="682"/>
        <v>46297</v>
      </c>
      <c r="U342" s="89"/>
      <c r="V342" s="214"/>
      <c r="X342" s="168" t="str">
        <f t="shared" ca="1" si="675"/>
        <v>Completed</v>
      </c>
      <c r="Y342" s="168" t="str">
        <f t="shared" ca="1" si="635"/>
        <v>Overdue</v>
      </c>
      <c r="Z342" s="168" t="str">
        <f t="shared" ca="1" si="636"/>
        <v>Overdue</v>
      </c>
      <c r="AA342" s="169" t="str">
        <f t="shared" ca="1" si="637"/>
        <v>Overdue</v>
      </c>
    </row>
    <row r="343" spans="1:27" s="70" customFormat="1" ht="11.5" x14ac:dyDescent="0.25">
      <c r="A343" s="157" t="s">
        <v>66</v>
      </c>
      <c r="B343" s="157" t="s">
        <v>14</v>
      </c>
      <c r="C343" s="157" t="s">
        <v>320</v>
      </c>
      <c r="D343" s="157" t="s">
        <v>1193</v>
      </c>
      <c r="E343" s="158">
        <f t="shared" si="683"/>
        <v>1</v>
      </c>
      <c r="F343" s="158">
        <f t="shared" si="684"/>
        <v>1</v>
      </c>
      <c r="G343" s="158">
        <f t="shared" si="686"/>
        <v>1</v>
      </c>
      <c r="H343" s="158">
        <f t="shared" si="685"/>
        <v>0</v>
      </c>
      <c r="I343" s="153">
        <v>0.03</v>
      </c>
      <c r="J343" s="155">
        <v>46206</v>
      </c>
      <c r="K343" s="155">
        <f t="shared" si="676"/>
        <v>46206</v>
      </c>
      <c r="L343" s="155">
        <v>46283</v>
      </c>
      <c r="M343" s="155">
        <f t="shared" si="677"/>
        <v>46248</v>
      </c>
      <c r="N343" s="155">
        <f t="shared" si="678"/>
        <v>46248</v>
      </c>
      <c r="O343" s="155">
        <v>46283</v>
      </c>
      <c r="P343" s="155">
        <f t="shared" si="679"/>
        <v>46290</v>
      </c>
      <c r="Q343" s="155">
        <f t="shared" si="680"/>
        <v>46290</v>
      </c>
      <c r="R343" s="155">
        <v>46283</v>
      </c>
      <c r="S343" s="155">
        <f t="shared" si="681"/>
        <v>46304</v>
      </c>
      <c r="T343" s="155">
        <f t="shared" si="682"/>
        <v>46304</v>
      </c>
      <c r="U343" s="155">
        <v>46283</v>
      </c>
      <c r="V343" s="213"/>
      <c r="X343" s="168" t="str">
        <f t="shared" ca="1" si="675"/>
        <v>Completed</v>
      </c>
      <c r="Y343" s="168" t="str">
        <f t="shared" ca="1" si="635"/>
        <v>Completed</v>
      </c>
      <c r="Z343" s="168" t="str">
        <f t="shared" ca="1" si="636"/>
        <v>Completed</v>
      </c>
      <c r="AA343" s="169" t="str">
        <f t="shared" ca="1" si="637"/>
        <v>Completed</v>
      </c>
    </row>
    <row r="344" spans="1:27" s="70" customFormat="1" ht="11.5" x14ac:dyDescent="0.25">
      <c r="A344" s="157" t="s">
        <v>66</v>
      </c>
      <c r="B344" s="157" t="s">
        <v>14</v>
      </c>
      <c r="C344" s="157" t="s">
        <v>322</v>
      </c>
      <c r="D344" s="157" t="s">
        <v>323</v>
      </c>
      <c r="E344" s="158">
        <f t="shared" si="683"/>
        <v>1</v>
      </c>
      <c r="F344" s="158">
        <f t="shared" si="684"/>
        <v>1</v>
      </c>
      <c r="G344" s="158">
        <f t="shared" si="686"/>
        <v>1</v>
      </c>
      <c r="H344" s="158">
        <f t="shared" si="685"/>
        <v>0</v>
      </c>
      <c r="I344" s="153">
        <v>0.03</v>
      </c>
      <c r="J344" s="155">
        <v>46206</v>
      </c>
      <c r="K344" s="155">
        <f t="shared" si="676"/>
        <v>46206</v>
      </c>
      <c r="L344" s="155">
        <v>46283</v>
      </c>
      <c r="M344" s="155">
        <f t="shared" si="677"/>
        <v>46248</v>
      </c>
      <c r="N344" s="155">
        <f t="shared" si="678"/>
        <v>46248</v>
      </c>
      <c r="O344" s="155">
        <v>46283</v>
      </c>
      <c r="P344" s="155">
        <f t="shared" si="679"/>
        <v>46290</v>
      </c>
      <c r="Q344" s="155">
        <f t="shared" si="680"/>
        <v>46290</v>
      </c>
      <c r="R344" s="155">
        <v>46283</v>
      </c>
      <c r="S344" s="155">
        <f t="shared" si="681"/>
        <v>46304</v>
      </c>
      <c r="T344" s="155">
        <f t="shared" si="682"/>
        <v>46304</v>
      </c>
      <c r="U344" s="155">
        <v>46283</v>
      </c>
      <c r="V344" s="213"/>
      <c r="X344" s="168" t="str">
        <f t="shared" ca="1" si="675"/>
        <v>Completed</v>
      </c>
      <c r="Y344" s="168" t="str">
        <f t="shared" ca="1" si="635"/>
        <v>Completed</v>
      </c>
      <c r="Z344" s="168" t="str">
        <f t="shared" ca="1" si="636"/>
        <v>Completed</v>
      </c>
      <c r="AA344" s="169" t="str">
        <f t="shared" ca="1" si="637"/>
        <v>Completed</v>
      </c>
    </row>
    <row r="345" spans="1:27" s="70" customFormat="1" ht="11.5" x14ac:dyDescent="0.25">
      <c r="A345" s="157" t="s">
        <v>66</v>
      </c>
      <c r="B345" s="157" t="s">
        <v>14</v>
      </c>
      <c r="C345" s="157" t="s">
        <v>324</v>
      </c>
      <c r="D345" s="157" t="s">
        <v>325</v>
      </c>
      <c r="E345" s="158">
        <f t="shared" si="683"/>
        <v>1</v>
      </c>
      <c r="F345" s="158">
        <f t="shared" si="684"/>
        <v>1</v>
      </c>
      <c r="G345" s="158">
        <f t="shared" si="686"/>
        <v>1</v>
      </c>
      <c r="H345" s="158">
        <f t="shared" si="685"/>
        <v>0</v>
      </c>
      <c r="I345" s="153">
        <v>0.03</v>
      </c>
      <c r="J345" s="155">
        <v>46206</v>
      </c>
      <c r="K345" s="155">
        <f t="shared" si="676"/>
        <v>46206</v>
      </c>
      <c r="L345" s="155">
        <v>46283</v>
      </c>
      <c r="M345" s="155">
        <f t="shared" si="677"/>
        <v>46248</v>
      </c>
      <c r="N345" s="155">
        <f t="shared" si="678"/>
        <v>46248</v>
      </c>
      <c r="O345" s="155">
        <v>46283</v>
      </c>
      <c r="P345" s="155">
        <f t="shared" si="679"/>
        <v>46290</v>
      </c>
      <c r="Q345" s="155">
        <f t="shared" si="680"/>
        <v>46290</v>
      </c>
      <c r="R345" s="155">
        <v>46283</v>
      </c>
      <c r="S345" s="155">
        <f t="shared" si="681"/>
        <v>46304</v>
      </c>
      <c r="T345" s="155">
        <f t="shared" si="682"/>
        <v>46304</v>
      </c>
      <c r="U345" s="155">
        <v>46283</v>
      </c>
      <c r="V345" s="213"/>
      <c r="X345" s="168" t="str">
        <f t="shared" ca="1" si="675"/>
        <v>Completed</v>
      </c>
      <c r="Y345" s="168" t="str">
        <f t="shared" ca="1" si="635"/>
        <v>Completed</v>
      </c>
      <c r="Z345" s="168" t="str">
        <f t="shared" ca="1" si="636"/>
        <v>Completed</v>
      </c>
      <c r="AA345" s="169" t="str">
        <f t="shared" ca="1" si="637"/>
        <v>Completed</v>
      </c>
    </row>
    <row r="346" spans="1:27" s="70" customFormat="1" ht="11.5" x14ac:dyDescent="0.25">
      <c r="A346" s="91" t="s">
        <v>66</v>
      </c>
      <c r="B346" s="91" t="s">
        <v>14</v>
      </c>
      <c r="C346" s="91" t="s">
        <v>320</v>
      </c>
      <c r="D346" s="91" t="s">
        <v>321</v>
      </c>
      <c r="E346" s="93">
        <f t="shared" si="621"/>
        <v>1</v>
      </c>
      <c r="F346" s="93">
        <f t="shared" si="622"/>
        <v>1</v>
      </c>
      <c r="G346" s="93">
        <f t="shared" si="686"/>
        <v>0</v>
      </c>
      <c r="H346" s="93">
        <f t="shared" si="624"/>
        <v>-1</v>
      </c>
      <c r="I346" s="95">
        <v>1.7000000000000001E-2</v>
      </c>
      <c r="J346" s="89">
        <v>46206</v>
      </c>
      <c r="K346" s="89">
        <f t="shared" si="625"/>
        <v>46206</v>
      </c>
      <c r="L346" s="89"/>
      <c r="M346" s="89">
        <f t="shared" si="626"/>
        <v>46248</v>
      </c>
      <c r="N346" s="89">
        <f t="shared" si="627"/>
        <v>46248</v>
      </c>
      <c r="O346" s="89"/>
      <c r="P346" s="89">
        <f t="shared" si="628"/>
        <v>46290</v>
      </c>
      <c r="Q346" s="89">
        <f t="shared" si="629"/>
        <v>46290</v>
      </c>
      <c r="R346" s="89"/>
      <c r="S346" s="89">
        <f t="shared" si="634"/>
        <v>46304</v>
      </c>
      <c r="T346" s="89">
        <f t="shared" si="630"/>
        <v>46304</v>
      </c>
      <c r="U346" s="89"/>
      <c r="V346" s="214"/>
      <c r="X346" s="168" t="str">
        <f t="shared" ca="1" si="675"/>
        <v>Overdue</v>
      </c>
      <c r="Y346" s="168" t="str">
        <f t="shared" ca="1" si="635"/>
        <v>Overdue</v>
      </c>
      <c r="Z346" s="168" t="str">
        <f t="shared" ca="1" si="636"/>
        <v>Overdue</v>
      </c>
      <c r="AA346" s="169" t="str">
        <f t="shared" ca="1" si="637"/>
        <v>Overdue</v>
      </c>
    </row>
    <row r="347" spans="1:27" s="70" customFormat="1" ht="11.5" x14ac:dyDescent="0.25">
      <c r="A347" s="91" t="s">
        <v>66</v>
      </c>
      <c r="B347" s="91" t="s">
        <v>14</v>
      </c>
      <c r="C347" s="91" t="s">
        <v>322</v>
      </c>
      <c r="D347" s="91" t="s">
        <v>323</v>
      </c>
      <c r="E347" s="93">
        <f t="shared" si="621"/>
        <v>1</v>
      </c>
      <c r="F347" s="93">
        <f t="shared" si="622"/>
        <v>1</v>
      </c>
      <c r="G347" s="93">
        <f t="shared" si="686"/>
        <v>0</v>
      </c>
      <c r="H347" s="93">
        <f t="shared" si="624"/>
        <v>-1</v>
      </c>
      <c r="I347" s="95">
        <v>1.7000000000000001E-2</v>
      </c>
      <c r="J347" s="89">
        <v>46206</v>
      </c>
      <c r="K347" s="89">
        <f t="shared" si="625"/>
        <v>46206</v>
      </c>
      <c r="L347" s="89"/>
      <c r="M347" s="89">
        <f t="shared" si="626"/>
        <v>46248</v>
      </c>
      <c r="N347" s="89">
        <f t="shared" si="627"/>
        <v>46248</v>
      </c>
      <c r="O347" s="89"/>
      <c r="P347" s="89">
        <f t="shared" si="628"/>
        <v>46290</v>
      </c>
      <c r="Q347" s="89">
        <f t="shared" si="629"/>
        <v>46290</v>
      </c>
      <c r="R347" s="89"/>
      <c r="S347" s="89">
        <f t="shared" si="634"/>
        <v>46304</v>
      </c>
      <c r="T347" s="89">
        <f t="shared" si="630"/>
        <v>46304</v>
      </c>
      <c r="U347" s="89"/>
      <c r="V347" s="214"/>
      <c r="X347" s="168" t="str">
        <f t="shared" ca="1" si="675"/>
        <v>Overdue</v>
      </c>
      <c r="Y347" s="168" t="str">
        <f t="shared" ca="1" si="635"/>
        <v>Overdue</v>
      </c>
      <c r="Z347" s="168" t="str">
        <f t="shared" ca="1" si="636"/>
        <v>Overdue</v>
      </c>
      <c r="AA347" s="169" t="str">
        <f t="shared" ca="1" si="637"/>
        <v>Overdue</v>
      </c>
    </row>
    <row r="348" spans="1:27" s="70" customFormat="1" ht="11.5" x14ac:dyDescent="0.25">
      <c r="A348" s="91" t="s">
        <v>66</v>
      </c>
      <c r="B348" s="91" t="s">
        <v>14</v>
      </c>
      <c r="C348" s="91" t="s">
        <v>324</v>
      </c>
      <c r="D348" s="91" t="s">
        <v>325</v>
      </c>
      <c r="E348" s="93">
        <f t="shared" si="621"/>
        <v>1</v>
      </c>
      <c r="F348" s="93">
        <f t="shared" si="622"/>
        <v>1</v>
      </c>
      <c r="G348" s="93">
        <f t="shared" si="686"/>
        <v>0</v>
      </c>
      <c r="H348" s="93">
        <f t="shared" si="624"/>
        <v>-1</v>
      </c>
      <c r="I348" s="95">
        <v>1.7000000000000001E-2</v>
      </c>
      <c r="J348" s="89">
        <v>46206</v>
      </c>
      <c r="K348" s="89">
        <f t="shared" si="625"/>
        <v>46206</v>
      </c>
      <c r="L348" s="89"/>
      <c r="M348" s="89">
        <f t="shared" si="626"/>
        <v>46248</v>
      </c>
      <c r="N348" s="89">
        <f t="shared" si="627"/>
        <v>46248</v>
      </c>
      <c r="O348" s="89"/>
      <c r="P348" s="89">
        <f t="shared" si="628"/>
        <v>46290</v>
      </c>
      <c r="Q348" s="89">
        <f t="shared" si="629"/>
        <v>46290</v>
      </c>
      <c r="R348" s="89"/>
      <c r="S348" s="89">
        <f t="shared" si="634"/>
        <v>46304</v>
      </c>
      <c r="T348" s="89">
        <f t="shared" si="630"/>
        <v>46304</v>
      </c>
      <c r="U348" s="89"/>
      <c r="V348" s="214"/>
      <c r="X348" s="168" t="str">
        <f t="shared" ca="1" si="675"/>
        <v>Overdue</v>
      </c>
      <c r="Y348" s="168" t="str">
        <f t="shared" ca="1" si="635"/>
        <v>Overdue</v>
      </c>
      <c r="Z348" s="168" t="str">
        <f t="shared" ca="1" si="636"/>
        <v>Overdue</v>
      </c>
      <c r="AA348" s="169" t="str">
        <f t="shared" ca="1" si="637"/>
        <v>Overdue</v>
      </c>
    </row>
    <row r="349" spans="1:27" s="70" customFormat="1" ht="11.5" x14ac:dyDescent="0.25">
      <c r="A349" s="91" t="s">
        <v>66</v>
      </c>
      <c r="B349" s="91" t="s">
        <v>14</v>
      </c>
      <c r="C349" s="91" t="s">
        <v>955</v>
      </c>
      <c r="D349" s="91" t="s">
        <v>326</v>
      </c>
      <c r="E349" s="93">
        <f t="shared" si="621"/>
        <v>1</v>
      </c>
      <c r="F349" s="93">
        <f t="shared" si="622"/>
        <v>1</v>
      </c>
      <c r="G349" s="93">
        <f t="shared" si="686"/>
        <v>0.7</v>
      </c>
      <c r="H349" s="93">
        <f t="shared" si="624"/>
        <v>-0.30000000000000004</v>
      </c>
      <c r="I349" s="95">
        <v>4.7E-2</v>
      </c>
      <c r="J349" s="89">
        <v>46206</v>
      </c>
      <c r="K349" s="89">
        <f t="shared" si="625"/>
        <v>46206</v>
      </c>
      <c r="L349" s="89">
        <v>46190</v>
      </c>
      <c r="M349" s="89">
        <f t="shared" si="626"/>
        <v>46248</v>
      </c>
      <c r="N349" s="89">
        <f t="shared" si="627"/>
        <v>46248</v>
      </c>
      <c r="O349" s="89">
        <v>46247</v>
      </c>
      <c r="P349" s="89">
        <f t="shared" si="628"/>
        <v>46290</v>
      </c>
      <c r="Q349" s="89">
        <f t="shared" si="629"/>
        <v>46290</v>
      </c>
      <c r="R349" s="89"/>
      <c r="S349" s="89">
        <f t="shared" si="634"/>
        <v>46304</v>
      </c>
      <c r="T349" s="89">
        <f t="shared" si="630"/>
        <v>46304</v>
      </c>
      <c r="U349" s="89"/>
      <c r="V349" s="214"/>
      <c r="X349" s="168" t="str">
        <f t="shared" ca="1" si="675"/>
        <v>Completed</v>
      </c>
      <c r="Y349" s="168" t="str">
        <f t="shared" ca="1" si="635"/>
        <v>Completed</v>
      </c>
      <c r="Z349" s="168" t="str">
        <f t="shared" ca="1" si="636"/>
        <v>Overdue</v>
      </c>
      <c r="AA349" s="169" t="str">
        <f t="shared" ca="1" si="637"/>
        <v>Overdue</v>
      </c>
    </row>
    <row r="350" spans="1:27" s="70" customFormat="1" ht="11.5" x14ac:dyDescent="0.25">
      <c r="A350" s="91" t="s">
        <v>66</v>
      </c>
      <c r="B350" s="91" t="s">
        <v>14</v>
      </c>
      <c r="C350" s="91" t="s">
        <v>956</v>
      </c>
      <c r="D350" s="91" t="s">
        <v>327</v>
      </c>
      <c r="E350" s="93">
        <f t="shared" si="621"/>
        <v>1</v>
      </c>
      <c r="F350" s="93">
        <f t="shared" si="622"/>
        <v>1</v>
      </c>
      <c r="G350" s="93">
        <f t="shared" si="686"/>
        <v>0.7</v>
      </c>
      <c r="H350" s="93">
        <f t="shared" si="624"/>
        <v>-0.30000000000000004</v>
      </c>
      <c r="I350" s="95">
        <v>4.7E-2</v>
      </c>
      <c r="J350" s="89">
        <v>46206</v>
      </c>
      <c r="K350" s="89">
        <f t="shared" si="625"/>
        <v>46206</v>
      </c>
      <c r="L350" s="89">
        <v>46190</v>
      </c>
      <c r="M350" s="89">
        <f t="shared" si="626"/>
        <v>46248</v>
      </c>
      <c r="N350" s="89">
        <f t="shared" si="627"/>
        <v>46248</v>
      </c>
      <c r="O350" s="89">
        <v>46247</v>
      </c>
      <c r="P350" s="89">
        <f t="shared" si="628"/>
        <v>46290</v>
      </c>
      <c r="Q350" s="89">
        <f t="shared" si="629"/>
        <v>46290</v>
      </c>
      <c r="R350" s="89"/>
      <c r="S350" s="89">
        <f t="shared" si="634"/>
        <v>46304</v>
      </c>
      <c r="T350" s="89">
        <f t="shared" si="630"/>
        <v>46304</v>
      </c>
      <c r="U350" s="89"/>
      <c r="V350" s="214"/>
      <c r="X350" s="168" t="str">
        <f t="shared" ca="1" si="675"/>
        <v>Completed</v>
      </c>
      <c r="Y350" s="168" t="str">
        <f t="shared" ca="1" si="635"/>
        <v>Completed</v>
      </c>
      <c r="Z350" s="168" t="str">
        <f t="shared" ca="1" si="636"/>
        <v>Overdue</v>
      </c>
      <c r="AA350" s="169" t="str">
        <f t="shared" ca="1" si="637"/>
        <v>Overdue</v>
      </c>
    </row>
    <row r="351" spans="1:27" s="70" customFormat="1" ht="11.5" x14ac:dyDescent="0.25">
      <c r="A351" s="91" t="s">
        <v>66</v>
      </c>
      <c r="B351" s="91" t="s">
        <v>14</v>
      </c>
      <c r="C351" s="91" t="s">
        <v>957</v>
      </c>
      <c r="D351" s="91" t="s">
        <v>328</v>
      </c>
      <c r="E351" s="93">
        <f t="shared" si="621"/>
        <v>1</v>
      </c>
      <c r="F351" s="93">
        <f t="shared" si="622"/>
        <v>1</v>
      </c>
      <c r="G351" s="93">
        <f t="shared" si="686"/>
        <v>0.7</v>
      </c>
      <c r="H351" s="93">
        <f t="shared" si="624"/>
        <v>-0.30000000000000004</v>
      </c>
      <c r="I351" s="95">
        <v>4.7E-2</v>
      </c>
      <c r="J351" s="89">
        <v>46206</v>
      </c>
      <c r="K351" s="89">
        <f t="shared" si="625"/>
        <v>46206</v>
      </c>
      <c r="L351" s="89">
        <v>46190</v>
      </c>
      <c r="M351" s="89">
        <f t="shared" si="626"/>
        <v>46248</v>
      </c>
      <c r="N351" s="89">
        <f t="shared" si="627"/>
        <v>46248</v>
      </c>
      <c r="O351" s="89">
        <v>46247</v>
      </c>
      <c r="P351" s="89">
        <f t="shared" si="628"/>
        <v>46290</v>
      </c>
      <c r="Q351" s="89">
        <f t="shared" si="629"/>
        <v>46290</v>
      </c>
      <c r="R351" s="89"/>
      <c r="S351" s="89">
        <f t="shared" si="634"/>
        <v>46304</v>
      </c>
      <c r="T351" s="89">
        <f t="shared" si="630"/>
        <v>46304</v>
      </c>
      <c r="U351" s="89"/>
      <c r="V351" s="214"/>
      <c r="X351" s="168" t="str">
        <f t="shared" ca="1" si="675"/>
        <v>Completed</v>
      </c>
      <c r="Y351" s="168" t="str">
        <f t="shared" ca="1" si="635"/>
        <v>Completed</v>
      </c>
      <c r="Z351" s="168" t="str">
        <f t="shared" ca="1" si="636"/>
        <v>Overdue</v>
      </c>
      <c r="AA351" s="169" t="str">
        <f t="shared" ca="1" si="637"/>
        <v>Overdue</v>
      </c>
    </row>
    <row r="352" spans="1:27" s="70" customFormat="1" ht="11.5" x14ac:dyDescent="0.25">
      <c r="A352" s="91" t="s">
        <v>66</v>
      </c>
      <c r="B352" s="91" t="s">
        <v>14</v>
      </c>
      <c r="C352" s="91" t="s">
        <v>958</v>
      </c>
      <c r="D352" s="91" t="s">
        <v>329</v>
      </c>
      <c r="E352" s="93">
        <f t="shared" si="621"/>
        <v>1</v>
      </c>
      <c r="F352" s="93">
        <f t="shared" si="622"/>
        <v>1</v>
      </c>
      <c r="G352" s="93">
        <f t="shared" si="686"/>
        <v>0.7</v>
      </c>
      <c r="H352" s="93">
        <f t="shared" si="624"/>
        <v>-0.30000000000000004</v>
      </c>
      <c r="I352" s="95">
        <v>4.7E-2</v>
      </c>
      <c r="J352" s="89">
        <v>46206</v>
      </c>
      <c r="K352" s="89">
        <f t="shared" si="625"/>
        <v>46206</v>
      </c>
      <c r="L352" s="89">
        <v>46190</v>
      </c>
      <c r="M352" s="89">
        <f t="shared" si="626"/>
        <v>46248</v>
      </c>
      <c r="N352" s="89">
        <f t="shared" si="627"/>
        <v>46248</v>
      </c>
      <c r="O352" s="89">
        <v>46247</v>
      </c>
      <c r="P352" s="89">
        <f t="shared" si="628"/>
        <v>46290</v>
      </c>
      <c r="Q352" s="89">
        <f t="shared" si="629"/>
        <v>46290</v>
      </c>
      <c r="R352" s="89"/>
      <c r="S352" s="89">
        <f t="shared" si="634"/>
        <v>46304</v>
      </c>
      <c r="T352" s="89">
        <f t="shared" si="630"/>
        <v>46304</v>
      </c>
      <c r="U352" s="89"/>
      <c r="V352" s="214"/>
      <c r="X352" s="168" t="str">
        <f t="shared" ca="1" si="675"/>
        <v>Completed</v>
      </c>
      <c r="Y352" s="168" t="str">
        <f t="shared" ca="1" si="635"/>
        <v>Completed</v>
      </c>
      <c r="Z352" s="168" t="str">
        <f t="shared" ca="1" si="636"/>
        <v>Overdue</v>
      </c>
      <c r="AA352" s="169" t="str">
        <f t="shared" ca="1" si="637"/>
        <v>Overdue</v>
      </c>
    </row>
    <row r="353" spans="1:27" s="70" customFormat="1" ht="11.5" x14ac:dyDescent="0.25">
      <c r="A353" s="91" t="s">
        <v>66</v>
      </c>
      <c r="B353" s="91" t="s">
        <v>14</v>
      </c>
      <c r="C353" s="91" t="s">
        <v>959</v>
      </c>
      <c r="D353" s="91" t="s">
        <v>330</v>
      </c>
      <c r="E353" s="93">
        <f t="shared" si="621"/>
        <v>1</v>
      </c>
      <c r="F353" s="93">
        <f t="shared" si="622"/>
        <v>1</v>
      </c>
      <c r="G353" s="93">
        <f t="shared" si="686"/>
        <v>0.7</v>
      </c>
      <c r="H353" s="93">
        <f t="shared" si="624"/>
        <v>-0.30000000000000004</v>
      </c>
      <c r="I353" s="95">
        <v>4.7E-2</v>
      </c>
      <c r="J353" s="89">
        <v>46206</v>
      </c>
      <c r="K353" s="89">
        <f t="shared" si="625"/>
        <v>46206</v>
      </c>
      <c r="L353" s="89">
        <v>46190</v>
      </c>
      <c r="M353" s="89">
        <f t="shared" si="626"/>
        <v>46248</v>
      </c>
      <c r="N353" s="89">
        <f t="shared" si="627"/>
        <v>46248</v>
      </c>
      <c r="O353" s="89">
        <v>46247</v>
      </c>
      <c r="P353" s="89">
        <f t="shared" si="628"/>
        <v>46290</v>
      </c>
      <c r="Q353" s="89">
        <f t="shared" si="629"/>
        <v>46290</v>
      </c>
      <c r="R353" s="89"/>
      <c r="S353" s="89">
        <f t="shared" si="634"/>
        <v>46304</v>
      </c>
      <c r="T353" s="89">
        <f t="shared" si="630"/>
        <v>46304</v>
      </c>
      <c r="U353" s="89"/>
      <c r="V353" s="214"/>
      <c r="X353" s="168" t="str">
        <f t="shared" ca="1" si="675"/>
        <v>Completed</v>
      </c>
      <c r="Y353" s="168" t="str">
        <f t="shared" ca="1" si="635"/>
        <v>Completed</v>
      </c>
      <c r="Z353" s="168" t="str">
        <f t="shared" ca="1" si="636"/>
        <v>Overdue</v>
      </c>
      <c r="AA353" s="169" t="str">
        <f t="shared" ca="1" si="637"/>
        <v>Overdue</v>
      </c>
    </row>
    <row r="354" spans="1:27" s="70" customFormat="1" ht="11.5" x14ac:dyDescent="0.25">
      <c r="A354" s="91" t="s">
        <v>66</v>
      </c>
      <c r="B354" s="91" t="s">
        <v>14</v>
      </c>
      <c r="C354" s="91" t="s">
        <v>960</v>
      </c>
      <c r="D354" s="91" t="s">
        <v>331</v>
      </c>
      <c r="E354" s="93">
        <f t="shared" si="621"/>
        <v>1</v>
      </c>
      <c r="F354" s="93">
        <f t="shared" si="622"/>
        <v>1</v>
      </c>
      <c r="G354" s="93">
        <f t="shared" si="686"/>
        <v>0.7</v>
      </c>
      <c r="H354" s="93">
        <f t="shared" si="624"/>
        <v>-0.30000000000000004</v>
      </c>
      <c r="I354" s="95">
        <v>4.7E-2</v>
      </c>
      <c r="J354" s="89">
        <v>46206</v>
      </c>
      <c r="K354" s="89">
        <f t="shared" si="625"/>
        <v>46206</v>
      </c>
      <c r="L354" s="89">
        <v>46190</v>
      </c>
      <c r="M354" s="89">
        <f t="shared" si="626"/>
        <v>46248</v>
      </c>
      <c r="N354" s="89">
        <f t="shared" si="627"/>
        <v>46248</v>
      </c>
      <c r="O354" s="89">
        <v>46247</v>
      </c>
      <c r="P354" s="89">
        <f t="shared" si="628"/>
        <v>46290</v>
      </c>
      <c r="Q354" s="89">
        <f t="shared" si="629"/>
        <v>46290</v>
      </c>
      <c r="R354" s="89"/>
      <c r="S354" s="89">
        <f t="shared" si="634"/>
        <v>46304</v>
      </c>
      <c r="T354" s="89">
        <f t="shared" si="630"/>
        <v>46304</v>
      </c>
      <c r="U354" s="89"/>
      <c r="V354" s="214"/>
      <c r="X354" s="168" t="str">
        <f t="shared" ca="1" si="675"/>
        <v>Completed</v>
      </c>
      <c r="Y354" s="168" t="str">
        <f t="shared" ca="1" si="635"/>
        <v>Completed</v>
      </c>
      <c r="Z354" s="168" t="str">
        <f t="shared" ca="1" si="636"/>
        <v>Overdue</v>
      </c>
      <c r="AA354" s="169" t="str">
        <f t="shared" ca="1" si="637"/>
        <v>Overdue</v>
      </c>
    </row>
    <row r="355" spans="1:27" s="70" customFormat="1" ht="11.5" x14ac:dyDescent="0.25">
      <c r="A355" s="92" t="s">
        <v>66</v>
      </c>
      <c r="B355" s="92" t="s">
        <v>14</v>
      </c>
      <c r="C355" s="92" t="s">
        <v>332</v>
      </c>
      <c r="D355" s="92" t="s">
        <v>333</v>
      </c>
      <c r="E355" s="94">
        <f t="shared" si="621"/>
        <v>1</v>
      </c>
      <c r="F355" s="94">
        <f t="shared" si="622"/>
        <v>1</v>
      </c>
      <c r="G355" s="94">
        <f t="shared" si="686"/>
        <v>1</v>
      </c>
      <c r="H355" s="94">
        <f t="shared" si="624"/>
        <v>0</v>
      </c>
      <c r="I355" s="95">
        <v>4.7E-2</v>
      </c>
      <c r="J355" s="89">
        <v>46206</v>
      </c>
      <c r="K355" s="89">
        <f t="shared" si="625"/>
        <v>46206</v>
      </c>
      <c r="L355" s="89">
        <v>46220</v>
      </c>
      <c r="M355" s="89">
        <f t="shared" si="626"/>
        <v>46248</v>
      </c>
      <c r="N355" s="89">
        <f t="shared" si="627"/>
        <v>46248</v>
      </c>
      <c r="O355" s="89">
        <v>46233</v>
      </c>
      <c r="P355" s="89">
        <f t="shared" si="628"/>
        <v>46290</v>
      </c>
      <c r="Q355" s="89">
        <f t="shared" si="629"/>
        <v>46290</v>
      </c>
      <c r="R355" s="89">
        <v>46254</v>
      </c>
      <c r="S355" s="89">
        <f t="shared" si="634"/>
        <v>46304</v>
      </c>
      <c r="T355" s="89">
        <f t="shared" si="630"/>
        <v>46304</v>
      </c>
      <c r="U355" s="90">
        <v>46269</v>
      </c>
      <c r="V355" s="218"/>
      <c r="X355" s="168" t="str">
        <f t="shared" ca="1" si="675"/>
        <v>Completed</v>
      </c>
      <c r="Y355" s="168" t="str">
        <f t="shared" ca="1" si="635"/>
        <v>Completed</v>
      </c>
      <c r="Z355" s="168" t="str">
        <f t="shared" ca="1" si="636"/>
        <v>Completed</v>
      </c>
      <c r="AA355" s="169" t="str">
        <f t="shared" ca="1" si="637"/>
        <v>Completed</v>
      </c>
    </row>
    <row r="356" spans="1:27" s="70" customFormat="1" ht="11.5" x14ac:dyDescent="0.25">
      <c r="A356" s="92" t="s">
        <v>66</v>
      </c>
      <c r="B356" s="92" t="s">
        <v>14</v>
      </c>
      <c r="C356" s="92" t="s">
        <v>334</v>
      </c>
      <c r="D356" s="92" t="s">
        <v>335</v>
      </c>
      <c r="E356" s="94">
        <f t="shared" si="621"/>
        <v>1</v>
      </c>
      <c r="F356" s="94">
        <f t="shared" si="622"/>
        <v>1</v>
      </c>
      <c r="G356" s="94">
        <f t="shared" si="686"/>
        <v>1</v>
      </c>
      <c r="H356" s="94">
        <f t="shared" si="624"/>
        <v>0</v>
      </c>
      <c r="I356" s="95">
        <v>4.7E-2</v>
      </c>
      <c r="J356" s="89">
        <v>46206</v>
      </c>
      <c r="K356" s="89">
        <f t="shared" si="625"/>
        <v>46206</v>
      </c>
      <c r="L356" s="89">
        <v>46220</v>
      </c>
      <c r="M356" s="89">
        <f t="shared" si="626"/>
        <v>46248</v>
      </c>
      <c r="N356" s="89">
        <f t="shared" si="627"/>
        <v>46248</v>
      </c>
      <c r="O356" s="89">
        <v>46233</v>
      </c>
      <c r="P356" s="89">
        <f t="shared" si="628"/>
        <v>46290</v>
      </c>
      <c r="Q356" s="89">
        <f t="shared" si="629"/>
        <v>46290</v>
      </c>
      <c r="R356" s="89">
        <v>46254</v>
      </c>
      <c r="S356" s="89">
        <f t="shared" si="634"/>
        <v>46304</v>
      </c>
      <c r="T356" s="89">
        <f t="shared" si="630"/>
        <v>46304</v>
      </c>
      <c r="U356" s="90">
        <v>46269</v>
      </c>
      <c r="V356" s="218"/>
      <c r="X356" s="168" t="str">
        <f t="shared" ca="1" si="675"/>
        <v>Completed</v>
      </c>
      <c r="Y356" s="168" t="str">
        <f t="shared" ca="1" si="635"/>
        <v>Completed</v>
      </c>
      <c r="Z356" s="168" t="str">
        <f t="shared" ca="1" si="636"/>
        <v>Completed</v>
      </c>
      <c r="AA356" s="169" t="str">
        <f t="shared" ca="1" si="637"/>
        <v>Completed</v>
      </c>
    </row>
    <row r="357" spans="1:27" s="70" customFormat="1" ht="11.5" x14ac:dyDescent="0.25">
      <c r="A357" s="172" t="s">
        <v>66</v>
      </c>
      <c r="B357" s="172" t="s">
        <v>14</v>
      </c>
      <c r="C357" s="172" t="s">
        <v>336</v>
      </c>
      <c r="D357" s="172" t="s">
        <v>1065</v>
      </c>
      <c r="E357" s="152"/>
      <c r="F357" s="152"/>
      <c r="G357" s="152"/>
      <c r="H357" s="152"/>
      <c r="I357" s="159">
        <v>4.7E-2</v>
      </c>
      <c r="J357" s="155">
        <v>46206</v>
      </c>
      <c r="K357" s="155">
        <f t="shared" si="625"/>
        <v>46206</v>
      </c>
      <c r="L357" s="155">
        <v>46227</v>
      </c>
      <c r="M357" s="155">
        <f t="shared" si="626"/>
        <v>46248</v>
      </c>
      <c r="N357" s="155">
        <f t="shared" si="627"/>
        <v>46248</v>
      </c>
      <c r="O357" s="155">
        <v>46227</v>
      </c>
      <c r="P357" s="155">
        <f t="shared" si="628"/>
        <v>46290</v>
      </c>
      <c r="Q357" s="155">
        <f t="shared" si="629"/>
        <v>46290</v>
      </c>
      <c r="R357" s="155">
        <v>46227</v>
      </c>
      <c r="S357" s="155">
        <f t="shared" si="634"/>
        <v>46304</v>
      </c>
      <c r="T357" s="155">
        <f t="shared" si="630"/>
        <v>46304</v>
      </c>
      <c r="U357" s="155">
        <v>46227</v>
      </c>
      <c r="V357" s="213"/>
      <c r="X357" s="168"/>
      <c r="Y357" s="168"/>
      <c r="Z357" s="168"/>
      <c r="AA357" s="169"/>
    </row>
    <row r="358" spans="1:27" s="70" customFormat="1" ht="11.5" x14ac:dyDescent="0.25">
      <c r="A358" s="91" t="s">
        <v>66</v>
      </c>
      <c r="B358" s="91" t="s">
        <v>14</v>
      </c>
      <c r="C358" s="91" t="s">
        <v>961</v>
      </c>
      <c r="D358" s="91" t="s">
        <v>337</v>
      </c>
      <c r="E358" s="94">
        <f t="shared" ref="E358:F358" si="687">(COUNTIFS(J358,"&lt;="&amp;$C$1)*50%)+(COUNTIFS(M358,"&lt;="&amp;$C$1)*20%)+(COUNTIFS(P358,"&lt;="&amp;$C$1)*10%)+(COUNTIFS(S358,"&lt;="&amp;$C$1)*20%)</f>
        <v>1</v>
      </c>
      <c r="F358" s="94">
        <f t="shared" si="687"/>
        <v>1</v>
      </c>
      <c r="G358" s="94">
        <f>(COUNTIFS(L358,"&lt;="&amp;$C$1)*50%)+(COUNTIFS(O358,"&lt;="&amp;$C$1)*20%)+(COUNTIFS(R358,"&lt;="&amp;$C$1)*10%)+(COUNTIFS(U358,"&lt;="&amp;$C$1)*20%)</f>
        <v>1</v>
      </c>
      <c r="H358" s="94">
        <f>G358-E358</f>
        <v>0</v>
      </c>
      <c r="I358" s="95">
        <v>4.7E-2</v>
      </c>
      <c r="J358" s="89">
        <v>46206</v>
      </c>
      <c r="K358" s="89">
        <f t="shared" si="625"/>
        <v>46206</v>
      </c>
      <c r="L358" s="89">
        <v>46220</v>
      </c>
      <c r="M358" s="89">
        <f t="shared" si="626"/>
        <v>46248</v>
      </c>
      <c r="N358" s="89">
        <f t="shared" si="627"/>
        <v>46248</v>
      </c>
      <c r="O358" s="89">
        <v>46233</v>
      </c>
      <c r="P358" s="89">
        <f t="shared" si="628"/>
        <v>46290</v>
      </c>
      <c r="Q358" s="89">
        <f t="shared" si="629"/>
        <v>46290</v>
      </c>
      <c r="R358" s="89">
        <v>46254</v>
      </c>
      <c r="S358" s="89">
        <f t="shared" si="634"/>
        <v>46304</v>
      </c>
      <c r="T358" s="89">
        <f t="shared" si="630"/>
        <v>46304</v>
      </c>
      <c r="U358" s="90">
        <v>46269</v>
      </c>
      <c r="V358" s="218"/>
      <c r="X358" s="168" t="str">
        <f t="shared" ref="X358:X421" ca="1" si="688">IF(OR(L358&lt;&gt;""),"Completed",
IF(K358="","",IF(K358&lt;TODAY(),"Overdue",
IF(AND(K358&gt;=TODAY()-WEEKDAY(TODAY(),2)+1,K358&lt;=TODAY()-WEEKDAY(TODAY(),2)+7),"Follow-This Week",
IF(AND(K358&gt;=TODAY()-WEEKDAY(TODAY(),2)+8,K358&lt;=TODAY()-WEEKDAY(TODAY(),2)+14),"Follow-Next Week","")))))</f>
        <v>Completed</v>
      </c>
      <c r="Y358" s="168" t="str">
        <f t="shared" ref="Y358:Y421" ca="1" si="689">IF(OR(O358&lt;&gt;""),"Completed",IF(N358="","",
IF(N358&lt;TODAY(),"Overdue",
IF(AND(N358&gt;=TODAY()-WEEKDAY(TODAY(),2)+1,N358&lt;=TODAY()-WEEKDAY(TODAY(),2)+7),"Follow-This Week",
IF(AND(N358&gt;=TODAY()-WEEKDAY(TODAY(),2)+8,N358&lt;=TODAY()-WEEKDAY(TODAY(),2)+14),"Follow-Next Week","")))))</f>
        <v>Completed</v>
      </c>
      <c r="Z358" s="168" t="str">
        <f t="shared" ref="Z358:Z421" ca="1" si="690">IF(OR(R358&lt;&gt;""),"Completed",IF(Q358="","",
IF(Q358&lt;TODAY(),"Overdue",
IF(AND(Q358&gt;=TODAY()-WEEKDAY(TODAY(),2)+1,Q358&lt;=TODAY()-WEEKDAY(TODAY(),2)+7),"Follow-This Week",
IF(AND(Q358&gt;=TODAY()-WEEKDAY(TODAY(),2)+8,Q358&lt;=TODAY()-WEEKDAY(TODAY(),2)+14),"Follow-Next Week","")))))</f>
        <v>Completed</v>
      </c>
      <c r="AA358" s="169" t="str">
        <f t="shared" ref="AA358:AA421" ca="1" si="691">IF(OR(U358&lt;&gt;""),"Completed",IF(T358="","",
IF(T358&lt;TODAY(),"Overdue",
IF(AND(T358&gt;=TODAY()-WEEKDAY(TODAY(),2)+1,T358&lt;=TODAY()-WEEKDAY(TODAY(),2)+7),"Follow-This Week",
IF(AND(T358&gt;=TODAY()-WEEKDAY(TODAY(),2)+8,T358&lt;=TODAY()-WEEKDAY(TODAY(),2)+14),"Follow-Next Week","")))))</f>
        <v>Completed</v>
      </c>
    </row>
    <row r="359" spans="1:27" s="70" customFormat="1" ht="11.5" x14ac:dyDescent="0.25">
      <c r="A359" s="92" t="s">
        <v>66</v>
      </c>
      <c r="B359" s="92" t="s">
        <v>14</v>
      </c>
      <c r="C359" s="92" t="s">
        <v>338</v>
      </c>
      <c r="D359" s="92" t="s">
        <v>339</v>
      </c>
      <c r="E359" s="94">
        <f t="shared" si="621"/>
        <v>1</v>
      </c>
      <c r="F359" s="94">
        <f t="shared" si="622"/>
        <v>1</v>
      </c>
      <c r="G359" s="94">
        <f>(COUNTIFS(L359,"&lt;="&amp;$C$1)*50%)+(COUNTIFS(O359,"&lt;="&amp;$C$1)*20%)+(COUNTIFS(R359,"&lt;="&amp;$C$1)*10%)+(COUNTIFS(U359,"&lt;="&amp;$C$1)*20%)</f>
        <v>0.7</v>
      </c>
      <c r="H359" s="94">
        <f t="shared" si="624"/>
        <v>-0.30000000000000004</v>
      </c>
      <c r="I359" s="95">
        <v>4.7E-2</v>
      </c>
      <c r="J359" s="89">
        <v>46206</v>
      </c>
      <c r="K359" s="89">
        <f t="shared" si="625"/>
        <v>46206</v>
      </c>
      <c r="L359" s="146">
        <v>46248</v>
      </c>
      <c r="M359" s="89">
        <f t="shared" si="626"/>
        <v>46248</v>
      </c>
      <c r="N359" s="89">
        <f t="shared" si="627"/>
        <v>46248</v>
      </c>
      <c r="O359" s="89">
        <v>46255</v>
      </c>
      <c r="P359" s="89">
        <f t="shared" si="628"/>
        <v>46290</v>
      </c>
      <c r="Q359" s="89">
        <f t="shared" si="629"/>
        <v>46290</v>
      </c>
      <c r="R359" s="89"/>
      <c r="S359" s="89">
        <f t="shared" si="634"/>
        <v>46304</v>
      </c>
      <c r="T359" s="89">
        <f t="shared" si="630"/>
        <v>46304</v>
      </c>
      <c r="U359" s="89"/>
      <c r="V359" s="214"/>
      <c r="X359" s="168" t="str">
        <f t="shared" ca="1" si="688"/>
        <v>Completed</v>
      </c>
      <c r="Y359" s="168" t="str">
        <f t="shared" ca="1" si="689"/>
        <v>Completed</v>
      </c>
      <c r="Z359" s="168" t="str">
        <f t="shared" ca="1" si="690"/>
        <v>Overdue</v>
      </c>
      <c r="AA359" s="169" t="str">
        <f t="shared" ca="1" si="691"/>
        <v>Overdue</v>
      </c>
    </row>
    <row r="360" spans="1:27" s="70" customFormat="1" ht="11.5" x14ac:dyDescent="0.25">
      <c r="A360" s="92" t="s">
        <v>66</v>
      </c>
      <c r="B360" s="92" t="s">
        <v>14</v>
      </c>
      <c r="C360" s="92" t="s">
        <v>340</v>
      </c>
      <c r="D360" s="92" t="s">
        <v>341</v>
      </c>
      <c r="E360" s="94">
        <f t="shared" si="621"/>
        <v>1</v>
      </c>
      <c r="F360" s="94">
        <f t="shared" si="622"/>
        <v>1</v>
      </c>
      <c r="G360" s="94">
        <f>(COUNTIFS(L360,"&lt;="&amp;$C$1)*50%)+(COUNTIFS(O360,"&lt;="&amp;$C$1)*20%)+(COUNTIFS(R360,"&lt;="&amp;$C$1)*10%)+(COUNTIFS(U360,"&lt;="&amp;$C$1)*20%)</f>
        <v>0.7</v>
      </c>
      <c r="H360" s="94">
        <f t="shared" si="624"/>
        <v>-0.30000000000000004</v>
      </c>
      <c r="I360" s="95">
        <v>4.7E-2</v>
      </c>
      <c r="J360" s="89">
        <v>46206</v>
      </c>
      <c r="K360" s="89">
        <f t="shared" si="625"/>
        <v>46206</v>
      </c>
      <c r="L360" s="146">
        <v>46248</v>
      </c>
      <c r="M360" s="89">
        <f t="shared" si="626"/>
        <v>46248</v>
      </c>
      <c r="N360" s="89">
        <f t="shared" si="627"/>
        <v>46248</v>
      </c>
      <c r="O360" s="89">
        <v>46255</v>
      </c>
      <c r="P360" s="89">
        <f t="shared" si="628"/>
        <v>46290</v>
      </c>
      <c r="Q360" s="89">
        <f t="shared" si="629"/>
        <v>46290</v>
      </c>
      <c r="R360" s="89"/>
      <c r="S360" s="89">
        <f t="shared" si="634"/>
        <v>46304</v>
      </c>
      <c r="T360" s="89">
        <f t="shared" si="630"/>
        <v>46304</v>
      </c>
      <c r="U360" s="89"/>
      <c r="V360" s="214"/>
      <c r="X360" s="168" t="str">
        <f t="shared" ca="1" si="688"/>
        <v>Completed</v>
      </c>
      <c r="Y360" s="168" t="str">
        <f t="shared" ca="1" si="689"/>
        <v>Completed</v>
      </c>
      <c r="Z360" s="168" t="str">
        <f t="shared" ca="1" si="690"/>
        <v>Overdue</v>
      </c>
      <c r="AA360" s="169" t="str">
        <f t="shared" ca="1" si="691"/>
        <v>Overdue</v>
      </c>
    </row>
    <row r="361" spans="1:27" s="70" customFormat="1" ht="11.5" x14ac:dyDescent="0.25">
      <c r="A361" s="92" t="s">
        <v>66</v>
      </c>
      <c r="B361" s="92" t="s">
        <v>14</v>
      </c>
      <c r="C361" s="92" t="s">
        <v>42</v>
      </c>
      <c r="D361" s="92" t="s">
        <v>342</v>
      </c>
      <c r="E361" s="94">
        <f t="shared" si="621"/>
        <v>0</v>
      </c>
      <c r="F361" s="94">
        <f t="shared" si="622"/>
        <v>0</v>
      </c>
      <c r="G361" s="94">
        <f>(COUNTIFS(L361,"&lt;="&amp;$C$1)*50%)+(COUNTIFS(O361,"&lt;="&amp;$C$1)*20%)+(COUNTIFS(R361,"&lt;="&amp;$C$1)*10%)+(COUNTIFS(U361,"&lt;="&amp;$C$1)*20%)</f>
        <v>0</v>
      </c>
      <c r="H361" s="94">
        <f t="shared" si="624"/>
        <v>0</v>
      </c>
      <c r="I361" s="129">
        <v>1.5</v>
      </c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214"/>
      <c r="X361" s="168" t="str">
        <f t="shared" ca="1" si="688"/>
        <v/>
      </c>
      <c r="Y361" s="168" t="str">
        <f t="shared" ca="1" si="689"/>
        <v/>
      </c>
      <c r="Z361" s="168" t="str">
        <f t="shared" ca="1" si="690"/>
        <v/>
      </c>
      <c r="AA361" s="169" t="str">
        <f t="shared" ca="1" si="691"/>
        <v/>
      </c>
    </row>
    <row r="362" spans="1:27" s="70" customFormat="1" ht="11.5" x14ac:dyDescent="0.25">
      <c r="A362" s="73"/>
      <c r="B362" s="73"/>
      <c r="C362" s="73"/>
      <c r="D362" s="73"/>
      <c r="E362" s="74"/>
      <c r="F362" s="74"/>
      <c r="G362" s="74"/>
      <c r="H362" s="74"/>
      <c r="I362" s="75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219"/>
      <c r="X362" s="168" t="str">
        <f t="shared" ca="1" si="688"/>
        <v/>
      </c>
      <c r="Y362" s="168" t="str">
        <f t="shared" ca="1" si="689"/>
        <v/>
      </c>
      <c r="Z362" s="168" t="str">
        <f t="shared" ca="1" si="690"/>
        <v/>
      </c>
      <c r="AA362" s="169" t="str">
        <f t="shared" ca="1" si="691"/>
        <v/>
      </c>
    </row>
    <row r="363" spans="1:27" s="70" customFormat="1" ht="11.5" x14ac:dyDescent="0.25">
      <c r="A363" s="101" t="s">
        <v>64</v>
      </c>
      <c r="B363" s="101" t="s">
        <v>14</v>
      </c>
      <c r="C363" s="101" t="s">
        <v>824</v>
      </c>
      <c r="D363" s="101" t="s">
        <v>820</v>
      </c>
      <c r="E363" s="104">
        <f t="shared" si="621"/>
        <v>1</v>
      </c>
      <c r="F363" s="104">
        <f t="shared" si="622"/>
        <v>1</v>
      </c>
      <c r="G363" s="104">
        <f t="shared" ref="G363:G394" si="692">(COUNTIFS(L363,"&lt;="&amp;$C$1)*50%)+(COUNTIFS(O363,"&lt;="&amp;$C$1)*20%)+(COUNTIFS(R363,"&lt;="&amp;$C$1)*10%)+(COUNTIFS(U363,"&lt;="&amp;$C$1)*20%)</f>
        <v>1</v>
      </c>
      <c r="H363" s="104">
        <f t="shared" si="624"/>
        <v>0</v>
      </c>
      <c r="I363" s="105">
        <v>8.9999999999999993E-3</v>
      </c>
      <c r="J363" s="106">
        <f t="shared" ref="J363:J394" si="693">J228+28</f>
        <v>46178</v>
      </c>
      <c r="K363" s="106">
        <f t="shared" si="625"/>
        <v>46178</v>
      </c>
      <c r="L363" s="106">
        <v>46175</v>
      </c>
      <c r="M363" s="107">
        <f t="shared" si="626"/>
        <v>46220</v>
      </c>
      <c r="N363" s="106">
        <f t="shared" si="627"/>
        <v>46220</v>
      </c>
      <c r="O363" s="106">
        <v>46191</v>
      </c>
      <c r="P363" s="107">
        <f t="shared" si="628"/>
        <v>46262</v>
      </c>
      <c r="Q363" s="106">
        <f t="shared" si="629"/>
        <v>46262</v>
      </c>
      <c r="R363" s="106">
        <v>46245</v>
      </c>
      <c r="S363" s="106">
        <f t="shared" si="634"/>
        <v>46276</v>
      </c>
      <c r="T363" s="106">
        <f t="shared" si="630"/>
        <v>46276</v>
      </c>
      <c r="U363" s="106">
        <v>46255</v>
      </c>
      <c r="V363" s="221"/>
      <c r="X363" s="168" t="str">
        <f t="shared" ca="1" si="688"/>
        <v>Completed</v>
      </c>
      <c r="Y363" s="168" t="str">
        <f t="shared" ca="1" si="689"/>
        <v>Completed</v>
      </c>
      <c r="Z363" s="168" t="str">
        <f t="shared" ca="1" si="690"/>
        <v>Completed</v>
      </c>
      <c r="AA363" s="169" t="str">
        <f t="shared" ca="1" si="691"/>
        <v>Completed</v>
      </c>
    </row>
    <row r="364" spans="1:27" s="70" customFormat="1" ht="11.5" x14ac:dyDescent="0.25">
      <c r="A364" s="101" t="s">
        <v>64</v>
      </c>
      <c r="B364" s="101" t="s">
        <v>14</v>
      </c>
      <c r="C364" s="101" t="s">
        <v>825</v>
      </c>
      <c r="D364" s="101" t="s">
        <v>821</v>
      </c>
      <c r="E364" s="104">
        <f t="shared" si="621"/>
        <v>1</v>
      </c>
      <c r="F364" s="104">
        <f t="shared" si="622"/>
        <v>1</v>
      </c>
      <c r="G364" s="104">
        <f t="shared" si="692"/>
        <v>1</v>
      </c>
      <c r="H364" s="104">
        <f t="shared" si="624"/>
        <v>0</v>
      </c>
      <c r="I364" s="105">
        <v>8.9999999999999993E-3</v>
      </c>
      <c r="J364" s="106">
        <f t="shared" si="693"/>
        <v>46178</v>
      </c>
      <c r="K364" s="106">
        <f t="shared" si="625"/>
        <v>46178</v>
      </c>
      <c r="L364" s="106">
        <v>46175</v>
      </c>
      <c r="M364" s="107">
        <f t="shared" si="626"/>
        <v>46220</v>
      </c>
      <c r="N364" s="106">
        <f t="shared" si="627"/>
        <v>46220</v>
      </c>
      <c r="O364" s="106">
        <v>46191</v>
      </c>
      <c r="P364" s="107">
        <f t="shared" si="628"/>
        <v>46262</v>
      </c>
      <c r="Q364" s="106">
        <f t="shared" si="629"/>
        <v>46262</v>
      </c>
      <c r="R364" s="106">
        <v>46245</v>
      </c>
      <c r="S364" s="106">
        <f t="shared" si="634"/>
        <v>46276</v>
      </c>
      <c r="T364" s="106">
        <f t="shared" si="630"/>
        <v>46276</v>
      </c>
      <c r="U364" s="106">
        <v>46255</v>
      </c>
      <c r="V364" s="221"/>
      <c r="X364" s="168" t="str">
        <f t="shared" ca="1" si="688"/>
        <v>Completed</v>
      </c>
      <c r="Y364" s="168" t="str">
        <f t="shared" ca="1" si="689"/>
        <v>Completed</v>
      </c>
      <c r="Z364" s="168" t="str">
        <f t="shared" ca="1" si="690"/>
        <v>Completed</v>
      </c>
      <c r="AA364" s="169" t="str">
        <f t="shared" ca="1" si="691"/>
        <v>Completed</v>
      </c>
    </row>
    <row r="365" spans="1:27" s="70" customFormat="1" ht="11.5" x14ac:dyDescent="0.25">
      <c r="A365" s="101" t="s">
        <v>64</v>
      </c>
      <c r="B365" s="101" t="s">
        <v>14</v>
      </c>
      <c r="C365" s="101" t="s">
        <v>826</v>
      </c>
      <c r="D365" s="101" t="s">
        <v>822</v>
      </c>
      <c r="E365" s="104">
        <f t="shared" si="621"/>
        <v>1</v>
      </c>
      <c r="F365" s="104">
        <f t="shared" si="622"/>
        <v>1</v>
      </c>
      <c r="G365" s="104">
        <f t="shared" si="692"/>
        <v>1</v>
      </c>
      <c r="H365" s="103">
        <f t="shared" si="624"/>
        <v>0</v>
      </c>
      <c r="I365" s="109">
        <v>4.7E-2</v>
      </c>
      <c r="J365" s="106">
        <f t="shared" si="693"/>
        <v>46178</v>
      </c>
      <c r="K365" s="106">
        <f t="shared" si="625"/>
        <v>46178</v>
      </c>
      <c r="L365" s="106">
        <v>46175</v>
      </c>
      <c r="M365" s="107">
        <f t="shared" si="626"/>
        <v>46220</v>
      </c>
      <c r="N365" s="106">
        <f t="shared" si="627"/>
        <v>46220</v>
      </c>
      <c r="O365" s="106">
        <v>46191</v>
      </c>
      <c r="P365" s="107">
        <f t="shared" si="628"/>
        <v>46262</v>
      </c>
      <c r="Q365" s="106">
        <f t="shared" si="629"/>
        <v>46262</v>
      </c>
      <c r="R365" s="106">
        <v>46245</v>
      </c>
      <c r="S365" s="106">
        <f t="shared" si="634"/>
        <v>46276</v>
      </c>
      <c r="T365" s="106">
        <f t="shared" si="630"/>
        <v>46276</v>
      </c>
      <c r="U365" s="106">
        <v>46255</v>
      </c>
      <c r="V365" s="221"/>
      <c r="X365" s="168" t="str">
        <f t="shared" ca="1" si="688"/>
        <v>Completed</v>
      </c>
      <c r="Y365" s="168" t="str">
        <f t="shared" ca="1" si="689"/>
        <v>Completed</v>
      </c>
      <c r="Z365" s="168" t="str">
        <f t="shared" ca="1" si="690"/>
        <v>Completed</v>
      </c>
      <c r="AA365" s="169" t="str">
        <f t="shared" ca="1" si="691"/>
        <v>Completed</v>
      </c>
    </row>
    <row r="366" spans="1:27" s="70" customFormat="1" ht="11.5" x14ac:dyDescent="0.25">
      <c r="A366" s="101" t="s">
        <v>64</v>
      </c>
      <c r="B366" s="101" t="s">
        <v>14</v>
      </c>
      <c r="C366" s="101" t="s">
        <v>827</v>
      </c>
      <c r="D366" s="101" t="s">
        <v>823</v>
      </c>
      <c r="E366" s="104">
        <f t="shared" si="621"/>
        <v>1</v>
      </c>
      <c r="F366" s="104">
        <f t="shared" si="622"/>
        <v>1</v>
      </c>
      <c r="G366" s="104">
        <f t="shared" si="692"/>
        <v>1</v>
      </c>
      <c r="H366" s="103">
        <f t="shared" si="624"/>
        <v>0</v>
      </c>
      <c r="I366" s="109">
        <v>4.7E-2</v>
      </c>
      <c r="J366" s="106">
        <f t="shared" si="693"/>
        <v>46178</v>
      </c>
      <c r="K366" s="106">
        <f t="shared" si="625"/>
        <v>46178</v>
      </c>
      <c r="L366" s="106">
        <v>46175</v>
      </c>
      <c r="M366" s="107">
        <f t="shared" si="626"/>
        <v>46220</v>
      </c>
      <c r="N366" s="106">
        <f t="shared" si="627"/>
        <v>46220</v>
      </c>
      <c r="O366" s="106">
        <v>46191</v>
      </c>
      <c r="P366" s="107">
        <f t="shared" si="628"/>
        <v>46262</v>
      </c>
      <c r="Q366" s="106">
        <f t="shared" si="629"/>
        <v>46262</v>
      </c>
      <c r="R366" s="106">
        <v>46245</v>
      </c>
      <c r="S366" s="106">
        <f t="shared" si="634"/>
        <v>46276</v>
      </c>
      <c r="T366" s="106">
        <f t="shared" si="630"/>
        <v>46276</v>
      </c>
      <c r="U366" s="106">
        <v>46255</v>
      </c>
      <c r="V366" s="221"/>
      <c r="X366" s="168" t="str">
        <f t="shared" ca="1" si="688"/>
        <v>Completed</v>
      </c>
      <c r="Y366" s="168" t="str">
        <f t="shared" ca="1" si="689"/>
        <v>Completed</v>
      </c>
      <c r="Z366" s="168" t="str">
        <f t="shared" ca="1" si="690"/>
        <v>Completed</v>
      </c>
      <c r="AA366" s="169" t="str">
        <f t="shared" ca="1" si="691"/>
        <v>Completed</v>
      </c>
    </row>
    <row r="367" spans="1:27" s="70" customFormat="1" ht="11.5" x14ac:dyDescent="0.25">
      <c r="A367" s="101" t="s">
        <v>64</v>
      </c>
      <c r="B367" s="101" t="s">
        <v>14</v>
      </c>
      <c r="C367" s="101" t="s">
        <v>343</v>
      </c>
      <c r="D367" s="101" t="s">
        <v>344</v>
      </c>
      <c r="E367" s="104">
        <f t="shared" si="621"/>
        <v>1</v>
      </c>
      <c r="F367" s="104">
        <f t="shared" si="622"/>
        <v>1</v>
      </c>
      <c r="G367" s="104">
        <f t="shared" si="692"/>
        <v>0</v>
      </c>
      <c r="H367" s="103">
        <f t="shared" si="624"/>
        <v>-1</v>
      </c>
      <c r="I367" s="109">
        <v>4.7E-2</v>
      </c>
      <c r="J367" s="106">
        <f t="shared" si="693"/>
        <v>46178</v>
      </c>
      <c r="K367" s="107">
        <f t="shared" si="625"/>
        <v>46178</v>
      </c>
      <c r="L367" s="107"/>
      <c r="M367" s="107">
        <f t="shared" si="626"/>
        <v>46220</v>
      </c>
      <c r="N367" s="107">
        <f t="shared" si="627"/>
        <v>46220</v>
      </c>
      <c r="O367" s="107"/>
      <c r="P367" s="107">
        <f t="shared" si="628"/>
        <v>46262</v>
      </c>
      <c r="Q367" s="107">
        <f t="shared" si="629"/>
        <v>46262</v>
      </c>
      <c r="R367" s="107"/>
      <c r="S367" s="106">
        <f t="shared" si="634"/>
        <v>46276</v>
      </c>
      <c r="T367" s="107">
        <f t="shared" si="630"/>
        <v>46276</v>
      </c>
      <c r="U367" s="107"/>
      <c r="V367" s="222"/>
      <c r="X367" s="168" t="str">
        <f t="shared" ca="1" si="688"/>
        <v>Overdue</v>
      </c>
      <c r="Y367" s="168" t="str">
        <f t="shared" ca="1" si="689"/>
        <v>Overdue</v>
      </c>
      <c r="Z367" s="168" t="str">
        <f t="shared" ca="1" si="690"/>
        <v>Overdue</v>
      </c>
      <c r="AA367" s="169" t="str">
        <f t="shared" ca="1" si="691"/>
        <v>Overdue</v>
      </c>
    </row>
    <row r="368" spans="1:27" s="70" customFormat="1" ht="11.5" x14ac:dyDescent="0.25">
      <c r="A368" s="101" t="s">
        <v>64</v>
      </c>
      <c r="B368" s="101" t="s">
        <v>14</v>
      </c>
      <c r="C368" s="101" t="s">
        <v>345</v>
      </c>
      <c r="D368" s="101" t="s">
        <v>346</v>
      </c>
      <c r="E368" s="104">
        <f t="shared" ref="E368:E424" si="694">(COUNTIFS(J368,"&lt;="&amp;$C$1)*50%)+(COUNTIFS(M368,"&lt;="&amp;$C$1)*20%)+(COUNTIFS(P368,"&lt;="&amp;$C$1)*10%)+(COUNTIFS(S368,"&lt;="&amp;$C$1)*20%)</f>
        <v>1</v>
      </c>
      <c r="F368" s="104">
        <f t="shared" ref="F368:F424" si="695">(COUNTIFS(K368,"&lt;="&amp;$C$1)*50%)+(COUNTIFS(N368,"&lt;="&amp;$C$1)*20%)+(COUNTIFS(Q368,"&lt;="&amp;$C$1)*10%)+(COUNTIFS(T368,"&lt;="&amp;$C$1)*20%)</f>
        <v>1</v>
      </c>
      <c r="G368" s="104">
        <f t="shared" si="692"/>
        <v>0</v>
      </c>
      <c r="H368" s="103">
        <f t="shared" ref="H368:H424" si="696">G368-E368</f>
        <v>-1</v>
      </c>
      <c r="I368" s="109">
        <v>4.7E-2</v>
      </c>
      <c r="J368" s="106">
        <f t="shared" si="693"/>
        <v>46178</v>
      </c>
      <c r="K368" s="107">
        <f t="shared" si="625"/>
        <v>46178</v>
      </c>
      <c r="L368" s="107"/>
      <c r="M368" s="107">
        <f t="shared" si="626"/>
        <v>46220</v>
      </c>
      <c r="N368" s="107">
        <f t="shared" si="627"/>
        <v>46220</v>
      </c>
      <c r="O368" s="107"/>
      <c r="P368" s="107">
        <f t="shared" si="628"/>
        <v>46262</v>
      </c>
      <c r="Q368" s="107">
        <f t="shared" si="629"/>
        <v>46262</v>
      </c>
      <c r="R368" s="107"/>
      <c r="S368" s="106">
        <f t="shared" si="634"/>
        <v>46276</v>
      </c>
      <c r="T368" s="107">
        <f t="shared" si="630"/>
        <v>46276</v>
      </c>
      <c r="U368" s="107"/>
      <c r="V368" s="222"/>
      <c r="X368" s="168" t="str">
        <f t="shared" ca="1" si="688"/>
        <v>Overdue</v>
      </c>
      <c r="Y368" s="168" t="str">
        <f t="shared" ca="1" si="689"/>
        <v>Overdue</v>
      </c>
      <c r="Z368" s="168" t="str">
        <f t="shared" ca="1" si="690"/>
        <v>Overdue</v>
      </c>
      <c r="AA368" s="169" t="str">
        <f t="shared" ca="1" si="691"/>
        <v>Overdue</v>
      </c>
    </row>
    <row r="369" spans="1:27" s="70" customFormat="1" ht="11.5" x14ac:dyDescent="0.25">
      <c r="A369" s="101" t="s">
        <v>64</v>
      </c>
      <c r="B369" s="101" t="s">
        <v>14</v>
      </c>
      <c r="C369" s="101" t="s">
        <v>347</v>
      </c>
      <c r="D369" s="101" t="s">
        <v>348</v>
      </c>
      <c r="E369" s="104">
        <f t="shared" si="694"/>
        <v>1</v>
      </c>
      <c r="F369" s="104">
        <f t="shared" si="695"/>
        <v>1</v>
      </c>
      <c r="G369" s="104">
        <f t="shared" si="692"/>
        <v>0.79999999999999993</v>
      </c>
      <c r="H369" s="103">
        <f t="shared" si="696"/>
        <v>-0.20000000000000007</v>
      </c>
      <c r="I369" s="109">
        <v>4.7E-2</v>
      </c>
      <c r="J369" s="106">
        <f t="shared" si="693"/>
        <v>46178</v>
      </c>
      <c r="K369" s="107">
        <f t="shared" si="625"/>
        <v>46178</v>
      </c>
      <c r="L369" s="106">
        <v>46130</v>
      </c>
      <c r="M369" s="107">
        <f t="shared" si="626"/>
        <v>46220</v>
      </c>
      <c r="N369" s="107">
        <f t="shared" si="627"/>
        <v>46220</v>
      </c>
      <c r="O369" s="107">
        <v>46217</v>
      </c>
      <c r="P369" s="107">
        <f>M369+38</f>
        <v>46258</v>
      </c>
      <c r="Q369" s="107">
        <f t="shared" si="629"/>
        <v>46258</v>
      </c>
      <c r="R369" s="106">
        <v>46273</v>
      </c>
      <c r="S369" s="106">
        <f t="shared" si="634"/>
        <v>46272</v>
      </c>
      <c r="T369" s="107">
        <f t="shared" si="630"/>
        <v>46272</v>
      </c>
      <c r="U369" s="107"/>
      <c r="V369" s="222" t="s">
        <v>1231</v>
      </c>
      <c r="X369" s="168" t="str">
        <f t="shared" ca="1" si="688"/>
        <v>Completed</v>
      </c>
      <c r="Y369" s="168" t="str">
        <f t="shared" ca="1" si="689"/>
        <v>Completed</v>
      </c>
      <c r="Z369" s="168" t="str">
        <f t="shared" ca="1" si="690"/>
        <v>Completed</v>
      </c>
      <c r="AA369" s="169" t="str">
        <f t="shared" ca="1" si="691"/>
        <v>Overdue</v>
      </c>
    </row>
    <row r="370" spans="1:27" s="70" customFormat="1" ht="11.5" x14ac:dyDescent="0.25">
      <c r="A370" s="101" t="s">
        <v>64</v>
      </c>
      <c r="B370" s="101" t="s">
        <v>14</v>
      </c>
      <c r="C370" s="101" t="s">
        <v>349</v>
      </c>
      <c r="D370" s="101" t="s">
        <v>350</v>
      </c>
      <c r="E370" s="104">
        <f t="shared" si="694"/>
        <v>1</v>
      </c>
      <c r="F370" s="104">
        <f t="shared" si="695"/>
        <v>1</v>
      </c>
      <c r="G370" s="104">
        <f t="shared" si="692"/>
        <v>0.79999999999999993</v>
      </c>
      <c r="H370" s="103">
        <f t="shared" si="696"/>
        <v>-0.20000000000000007</v>
      </c>
      <c r="I370" s="109">
        <v>4.7E-2</v>
      </c>
      <c r="J370" s="106">
        <f t="shared" si="693"/>
        <v>46178</v>
      </c>
      <c r="K370" s="107">
        <f t="shared" si="625"/>
        <v>46178</v>
      </c>
      <c r="L370" s="106">
        <v>46130</v>
      </c>
      <c r="M370" s="107">
        <f t="shared" si="626"/>
        <v>46220</v>
      </c>
      <c r="N370" s="107">
        <f t="shared" si="627"/>
        <v>46220</v>
      </c>
      <c r="O370" s="107">
        <v>46217</v>
      </c>
      <c r="P370" s="107">
        <f t="shared" ref="P370:P395" si="697">M370+38</f>
        <v>46258</v>
      </c>
      <c r="Q370" s="107">
        <f t="shared" si="629"/>
        <v>46258</v>
      </c>
      <c r="R370" s="106">
        <v>46273</v>
      </c>
      <c r="S370" s="106">
        <f t="shared" si="634"/>
        <v>46272</v>
      </c>
      <c r="T370" s="107">
        <f t="shared" si="630"/>
        <v>46272</v>
      </c>
      <c r="U370" s="107"/>
      <c r="V370" s="222" t="s">
        <v>1231</v>
      </c>
      <c r="X370" s="168" t="str">
        <f t="shared" ca="1" si="688"/>
        <v>Completed</v>
      </c>
      <c r="Y370" s="168" t="str">
        <f t="shared" ca="1" si="689"/>
        <v>Completed</v>
      </c>
      <c r="Z370" s="168" t="str">
        <f t="shared" ca="1" si="690"/>
        <v>Completed</v>
      </c>
      <c r="AA370" s="169" t="str">
        <f t="shared" ca="1" si="691"/>
        <v>Overdue</v>
      </c>
    </row>
    <row r="371" spans="1:27" s="70" customFormat="1" ht="11.5" x14ac:dyDescent="0.25">
      <c r="A371" s="101" t="s">
        <v>64</v>
      </c>
      <c r="B371" s="101" t="s">
        <v>14</v>
      </c>
      <c r="C371" s="101" t="s">
        <v>351</v>
      </c>
      <c r="D371" s="101" t="s">
        <v>352</v>
      </c>
      <c r="E371" s="104">
        <f t="shared" si="694"/>
        <v>1</v>
      </c>
      <c r="F371" s="104">
        <f t="shared" si="695"/>
        <v>1</v>
      </c>
      <c r="G371" s="104">
        <f t="shared" si="692"/>
        <v>0.79999999999999993</v>
      </c>
      <c r="H371" s="103">
        <f t="shared" si="696"/>
        <v>-0.20000000000000007</v>
      </c>
      <c r="I371" s="109">
        <v>4.7E-2</v>
      </c>
      <c r="J371" s="106">
        <f t="shared" si="693"/>
        <v>46178</v>
      </c>
      <c r="K371" s="107">
        <f t="shared" si="625"/>
        <v>46178</v>
      </c>
      <c r="L371" s="106">
        <v>46130</v>
      </c>
      <c r="M371" s="107">
        <f t="shared" si="626"/>
        <v>46220</v>
      </c>
      <c r="N371" s="107">
        <f t="shared" si="627"/>
        <v>46220</v>
      </c>
      <c r="O371" s="107">
        <v>46217</v>
      </c>
      <c r="P371" s="107">
        <f t="shared" si="697"/>
        <v>46258</v>
      </c>
      <c r="Q371" s="107">
        <f t="shared" si="629"/>
        <v>46258</v>
      </c>
      <c r="R371" s="106">
        <v>46273</v>
      </c>
      <c r="S371" s="106">
        <f t="shared" si="634"/>
        <v>46272</v>
      </c>
      <c r="T371" s="107">
        <f t="shared" si="630"/>
        <v>46272</v>
      </c>
      <c r="U371" s="107"/>
      <c r="V371" s="222" t="s">
        <v>1231</v>
      </c>
      <c r="X371" s="168" t="str">
        <f t="shared" ca="1" si="688"/>
        <v>Completed</v>
      </c>
      <c r="Y371" s="168" t="str">
        <f t="shared" ca="1" si="689"/>
        <v>Completed</v>
      </c>
      <c r="Z371" s="168" t="str">
        <f t="shared" ca="1" si="690"/>
        <v>Completed</v>
      </c>
      <c r="AA371" s="169" t="str">
        <f t="shared" ca="1" si="691"/>
        <v>Overdue</v>
      </c>
    </row>
    <row r="372" spans="1:27" s="70" customFormat="1" ht="11.5" x14ac:dyDescent="0.25">
      <c r="A372" s="101" t="s">
        <v>64</v>
      </c>
      <c r="B372" s="101" t="s">
        <v>14</v>
      </c>
      <c r="C372" s="101" t="s">
        <v>353</v>
      </c>
      <c r="D372" s="101" t="s">
        <v>354</v>
      </c>
      <c r="E372" s="104">
        <f t="shared" si="694"/>
        <v>1</v>
      </c>
      <c r="F372" s="104">
        <f t="shared" si="695"/>
        <v>1</v>
      </c>
      <c r="G372" s="104">
        <f t="shared" si="692"/>
        <v>0.79999999999999993</v>
      </c>
      <c r="H372" s="103">
        <f t="shared" si="696"/>
        <v>-0.20000000000000007</v>
      </c>
      <c r="I372" s="109">
        <v>4.7E-2</v>
      </c>
      <c r="J372" s="106">
        <f t="shared" si="693"/>
        <v>46178</v>
      </c>
      <c r="K372" s="107">
        <f t="shared" si="625"/>
        <v>46178</v>
      </c>
      <c r="L372" s="106">
        <v>46130</v>
      </c>
      <c r="M372" s="107">
        <f t="shared" si="626"/>
        <v>46220</v>
      </c>
      <c r="N372" s="107">
        <f t="shared" si="627"/>
        <v>46220</v>
      </c>
      <c r="O372" s="107">
        <v>46217</v>
      </c>
      <c r="P372" s="107">
        <f t="shared" si="697"/>
        <v>46258</v>
      </c>
      <c r="Q372" s="107">
        <f t="shared" si="629"/>
        <v>46258</v>
      </c>
      <c r="R372" s="106">
        <v>46273</v>
      </c>
      <c r="S372" s="106">
        <f t="shared" si="634"/>
        <v>46272</v>
      </c>
      <c r="T372" s="107">
        <f t="shared" si="630"/>
        <v>46272</v>
      </c>
      <c r="U372" s="107"/>
      <c r="V372" s="222" t="s">
        <v>1231</v>
      </c>
      <c r="X372" s="168" t="str">
        <f t="shared" ca="1" si="688"/>
        <v>Completed</v>
      </c>
      <c r="Y372" s="168" t="str">
        <f t="shared" ca="1" si="689"/>
        <v>Completed</v>
      </c>
      <c r="Z372" s="168" t="str">
        <f t="shared" ca="1" si="690"/>
        <v>Completed</v>
      </c>
      <c r="AA372" s="169" t="str">
        <f t="shared" ca="1" si="691"/>
        <v>Overdue</v>
      </c>
    </row>
    <row r="373" spans="1:27" s="70" customFormat="1" ht="11.5" x14ac:dyDescent="0.25">
      <c r="A373" s="101" t="s">
        <v>64</v>
      </c>
      <c r="B373" s="101" t="s">
        <v>14</v>
      </c>
      <c r="C373" s="101" t="s">
        <v>355</v>
      </c>
      <c r="D373" s="101" t="s">
        <v>356</v>
      </c>
      <c r="E373" s="104">
        <f t="shared" si="694"/>
        <v>1</v>
      </c>
      <c r="F373" s="104">
        <f t="shared" si="695"/>
        <v>1</v>
      </c>
      <c r="G373" s="104">
        <f t="shared" si="692"/>
        <v>0.79999999999999993</v>
      </c>
      <c r="H373" s="103">
        <f t="shared" si="696"/>
        <v>-0.20000000000000007</v>
      </c>
      <c r="I373" s="109">
        <v>4.7E-2</v>
      </c>
      <c r="J373" s="106">
        <f t="shared" si="693"/>
        <v>46178</v>
      </c>
      <c r="K373" s="107">
        <f t="shared" si="625"/>
        <v>46178</v>
      </c>
      <c r="L373" s="106">
        <v>46130</v>
      </c>
      <c r="M373" s="107">
        <f t="shared" si="626"/>
        <v>46220</v>
      </c>
      <c r="N373" s="107">
        <f t="shared" si="627"/>
        <v>46220</v>
      </c>
      <c r="O373" s="107">
        <v>46217</v>
      </c>
      <c r="P373" s="107">
        <f t="shared" si="697"/>
        <v>46258</v>
      </c>
      <c r="Q373" s="107">
        <f t="shared" si="629"/>
        <v>46258</v>
      </c>
      <c r="R373" s="106">
        <v>46273</v>
      </c>
      <c r="S373" s="106">
        <f t="shared" si="634"/>
        <v>46272</v>
      </c>
      <c r="T373" s="107">
        <f t="shared" si="630"/>
        <v>46272</v>
      </c>
      <c r="U373" s="107"/>
      <c r="V373" s="222" t="s">
        <v>1231</v>
      </c>
      <c r="X373" s="168" t="str">
        <f t="shared" ca="1" si="688"/>
        <v>Completed</v>
      </c>
      <c r="Y373" s="168" t="str">
        <f t="shared" ca="1" si="689"/>
        <v>Completed</v>
      </c>
      <c r="Z373" s="168" t="str">
        <f t="shared" ca="1" si="690"/>
        <v>Completed</v>
      </c>
      <c r="AA373" s="169" t="str">
        <f t="shared" ca="1" si="691"/>
        <v>Overdue</v>
      </c>
    </row>
    <row r="374" spans="1:27" s="70" customFormat="1" ht="11.5" x14ac:dyDescent="0.25">
      <c r="A374" s="101" t="s">
        <v>64</v>
      </c>
      <c r="B374" s="101" t="s">
        <v>14</v>
      </c>
      <c r="C374" s="101" t="s">
        <v>357</v>
      </c>
      <c r="D374" s="101" t="s">
        <v>358</v>
      </c>
      <c r="E374" s="104">
        <f t="shared" si="694"/>
        <v>1</v>
      </c>
      <c r="F374" s="104">
        <f t="shared" si="695"/>
        <v>1</v>
      </c>
      <c r="G374" s="104">
        <f t="shared" si="692"/>
        <v>0.79999999999999993</v>
      </c>
      <c r="H374" s="103">
        <f t="shared" si="696"/>
        <v>-0.20000000000000007</v>
      </c>
      <c r="I374" s="109">
        <v>4.7E-2</v>
      </c>
      <c r="J374" s="106">
        <f t="shared" si="693"/>
        <v>46178</v>
      </c>
      <c r="K374" s="107">
        <f t="shared" si="625"/>
        <v>46178</v>
      </c>
      <c r="L374" s="106">
        <v>46130</v>
      </c>
      <c r="M374" s="107">
        <f t="shared" si="626"/>
        <v>46220</v>
      </c>
      <c r="N374" s="107">
        <f t="shared" si="627"/>
        <v>46220</v>
      </c>
      <c r="O374" s="107">
        <v>46217</v>
      </c>
      <c r="P374" s="107">
        <f t="shared" si="697"/>
        <v>46258</v>
      </c>
      <c r="Q374" s="107">
        <f t="shared" si="629"/>
        <v>46258</v>
      </c>
      <c r="R374" s="106">
        <v>46273</v>
      </c>
      <c r="S374" s="106">
        <f t="shared" si="634"/>
        <v>46272</v>
      </c>
      <c r="T374" s="107">
        <f t="shared" si="630"/>
        <v>46272</v>
      </c>
      <c r="U374" s="107"/>
      <c r="V374" s="222" t="s">
        <v>1231</v>
      </c>
      <c r="X374" s="168" t="str">
        <f t="shared" ca="1" si="688"/>
        <v>Completed</v>
      </c>
      <c r="Y374" s="168" t="str">
        <f t="shared" ca="1" si="689"/>
        <v>Completed</v>
      </c>
      <c r="Z374" s="168" t="str">
        <f t="shared" ca="1" si="690"/>
        <v>Completed</v>
      </c>
      <c r="AA374" s="169" t="str">
        <f t="shared" ca="1" si="691"/>
        <v>Overdue</v>
      </c>
    </row>
    <row r="375" spans="1:27" s="70" customFormat="1" ht="11.5" x14ac:dyDescent="0.25">
      <c r="A375" s="101" t="s">
        <v>64</v>
      </c>
      <c r="B375" s="101" t="s">
        <v>14</v>
      </c>
      <c r="C375" s="101" t="s">
        <v>359</v>
      </c>
      <c r="D375" s="101" t="s">
        <v>360</v>
      </c>
      <c r="E375" s="104">
        <f t="shared" si="694"/>
        <v>1</v>
      </c>
      <c r="F375" s="104">
        <f t="shared" si="695"/>
        <v>1</v>
      </c>
      <c r="G375" s="104">
        <f t="shared" si="692"/>
        <v>1</v>
      </c>
      <c r="H375" s="103">
        <f t="shared" si="696"/>
        <v>0</v>
      </c>
      <c r="I375" s="109">
        <v>4.7E-2</v>
      </c>
      <c r="J375" s="106">
        <f t="shared" si="693"/>
        <v>46178</v>
      </c>
      <c r="K375" s="107">
        <f t="shared" si="625"/>
        <v>46178</v>
      </c>
      <c r="L375" s="106">
        <v>46130</v>
      </c>
      <c r="M375" s="107">
        <f t="shared" si="626"/>
        <v>46220</v>
      </c>
      <c r="N375" s="107">
        <f t="shared" si="627"/>
        <v>46220</v>
      </c>
      <c r="O375" s="107">
        <v>46217</v>
      </c>
      <c r="P375" s="107">
        <f t="shared" si="697"/>
        <v>46258</v>
      </c>
      <c r="Q375" s="107">
        <f t="shared" si="629"/>
        <v>46258</v>
      </c>
      <c r="R375" s="106">
        <v>46273</v>
      </c>
      <c r="S375" s="106">
        <f t="shared" si="634"/>
        <v>46272</v>
      </c>
      <c r="T375" s="107">
        <f t="shared" si="630"/>
        <v>46272</v>
      </c>
      <c r="U375" s="106">
        <v>46288</v>
      </c>
      <c r="V375" s="221"/>
      <c r="X375" s="168" t="str">
        <f t="shared" ca="1" si="688"/>
        <v>Completed</v>
      </c>
      <c r="Y375" s="168" t="str">
        <f t="shared" ca="1" si="689"/>
        <v>Completed</v>
      </c>
      <c r="Z375" s="168" t="str">
        <f t="shared" ca="1" si="690"/>
        <v>Completed</v>
      </c>
      <c r="AA375" s="169" t="str">
        <f t="shared" ca="1" si="691"/>
        <v>Completed</v>
      </c>
    </row>
    <row r="376" spans="1:27" s="70" customFormat="1" ht="11.5" x14ac:dyDescent="0.25">
      <c r="A376" s="101" t="s">
        <v>64</v>
      </c>
      <c r="B376" s="101" t="s">
        <v>14</v>
      </c>
      <c r="C376" s="101" t="s">
        <v>361</v>
      </c>
      <c r="D376" s="101" t="s">
        <v>362</v>
      </c>
      <c r="E376" s="104">
        <f t="shared" si="694"/>
        <v>1</v>
      </c>
      <c r="F376" s="104">
        <f t="shared" si="695"/>
        <v>1</v>
      </c>
      <c r="G376" s="104">
        <f t="shared" si="692"/>
        <v>1</v>
      </c>
      <c r="H376" s="103">
        <f t="shared" si="696"/>
        <v>0</v>
      </c>
      <c r="I376" s="109">
        <v>4.7E-2</v>
      </c>
      <c r="J376" s="106">
        <f t="shared" si="693"/>
        <v>46178</v>
      </c>
      <c r="K376" s="107">
        <f t="shared" si="625"/>
        <v>46178</v>
      </c>
      <c r="L376" s="106">
        <v>46130</v>
      </c>
      <c r="M376" s="107">
        <f t="shared" si="626"/>
        <v>46220</v>
      </c>
      <c r="N376" s="107">
        <f t="shared" si="627"/>
        <v>46220</v>
      </c>
      <c r="O376" s="107">
        <v>46217</v>
      </c>
      <c r="P376" s="107">
        <f t="shared" si="697"/>
        <v>46258</v>
      </c>
      <c r="Q376" s="107">
        <f t="shared" si="629"/>
        <v>46258</v>
      </c>
      <c r="R376" s="106">
        <v>46273</v>
      </c>
      <c r="S376" s="106">
        <f t="shared" si="634"/>
        <v>46272</v>
      </c>
      <c r="T376" s="107">
        <f t="shared" si="630"/>
        <v>46272</v>
      </c>
      <c r="U376" s="106">
        <v>46288</v>
      </c>
      <c r="V376" s="221"/>
      <c r="X376" s="168" t="str">
        <f t="shared" ca="1" si="688"/>
        <v>Completed</v>
      </c>
      <c r="Y376" s="168" t="str">
        <f t="shared" ca="1" si="689"/>
        <v>Completed</v>
      </c>
      <c r="Z376" s="168" t="str">
        <f t="shared" ca="1" si="690"/>
        <v>Completed</v>
      </c>
      <c r="AA376" s="169" t="str">
        <f t="shared" ca="1" si="691"/>
        <v>Completed</v>
      </c>
    </row>
    <row r="377" spans="1:27" s="70" customFormat="1" ht="11.5" x14ac:dyDescent="0.25">
      <c r="A377" s="101" t="s">
        <v>64</v>
      </c>
      <c r="B377" s="101" t="s">
        <v>14</v>
      </c>
      <c r="C377" s="101" t="s">
        <v>363</v>
      </c>
      <c r="D377" s="101" t="s">
        <v>364</v>
      </c>
      <c r="E377" s="104">
        <f t="shared" si="694"/>
        <v>1</v>
      </c>
      <c r="F377" s="104">
        <f t="shared" si="695"/>
        <v>1</v>
      </c>
      <c r="G377" s="104">
        <f t="shared" si="692"/>
        <v>0.79999999999999993</v>
      </c>
      <c r="H377" s="103">
        <f t="shared" si="696"/>
        <v>-0.20000000000000007</v>
      </c>
      <c r="I377" s="109">
        <v>4.7E-2</v>
      </c>
      <c r="J377" s="106">
        <f t="shared" si="693"/>
        <v>46178</v>
      </c>
      <c r="K377" s="107">
        <f t="shared" si="625"/>
        <v>46178</v>
      </c>
      <c r="L377" s="106">
        <v>46130</v>
      </c>
      <c r="M377" s="107">
        <f t="shared" si="626"/>
        <v>46220</v>
      </c>
      <c r="N377" s="107">
        <f t="shared" si="627"/>
        <v>46220</v>
      </c>
      <c r="O377" s="107">
        <v>46217</v>
      </c>
      <c r="P377" s="107">
        <f t="shared" si="697"/>
        <v>46258</v>
      </c>
      <c r="Q377" s="107">
        <f t="shared" si="629"/>
        <v>46258</v>
      </c>
      <c r="R377" s="106">
        <v>46273</v>
      </c>
      <c r="S377" s="106">
        <f t="shared" si="634"/>
        <v>46272</v>
      </c>
      <c r="T377" s="107">
        <f t="shared" si="630"/>
        <v>46272</v>
      </c>
      <c r="U377" s="107"/>
      <c r="V377" s="222" t="s">
        <v>1231</v>
      </c>
      <c r="X377" s="168" t="str">
        <f t="shared" ca="1" si="688"/>
        <v>Completed</v>
      </c>
      <c r="Y377" s="168" t="str">
        <f t="shared" ca="1" si="689"/>
        <v>Completed</v>
      </c>
      <c r="Z377" s="168" t="str">
        <f t="shared" ca="1" si="690"/>
        <v>Completed</v>
      </c>
      <c r="AA377" s="169" t="str">
        <f t="shared" ca="1" si="691"/>
        <v>Overdue</v>
      </c>
    </row>
    <row r="378" spans="1:27" s="70" customFormat="1" ht="11.5" x14ac:dyDescent="0.25">
      <c r="A378" s="101" t="s">
        <v>64</v>
      </c>
      <c r="B378" s="101" t="s">
        <v>14</v>
      </c>
      <c r="C378" s="101" t="s">
        <v>365</v>
      </c>
      <c r="D378" s="101" t="s">
        <v>366</v>
      </c>
      <c r="E378" s="104">
        <f t="shared" si="694"/>
        <v>1</v>
      </c>
      <c r="F378" s="104">
        <f t="shared" si="695"/>
        <v>1</v>
      </c>
      <c r="G378" s="104">
        <f t="shared" si="692"/>
        <v>1</v>
      </c>
      <c r="H378" s="103">
        <f t="shared" si="696"/>
        <v>0</v>
      </c>
      <c r="I378" s="109">
        <v>4.7E-2</v>
      </c>
      <c r="J378" s="106">
        <f t="shared" si="693"/>
        <v>46178</v>
      </c>
      <c r="K378" s="107">
        <f t="shared" ref="K378:K448" si="698">J378</f>
        <v>46178</v>
      </c>
      <c r="L378" s="106">
        <v>46130</v>
      </c>
      <c r="M378" s="107">
        <f t="shared" ref="M378:M448" si="699">J378+42</f>
        <v>46220</v>
      </c>
      <c r="N378" s="107">
        <f t="shared" ref="N378:N448" si="700">M378</f>
        <v>46220</v>
      </c>
      <c r="O378" s="107">
        <v>46217</v>
      </c>
      <c r="P378" s="107">
        <f t="shared" si="697"/>
        <v>46258</v>
      </c>
      <c r="Q378" s="107">
        <f t="shared" ref="Q378:Q448" si="701">P378</f>
        <v>46258</v>
      </c>
      <c r="R378" s="106">
        <v>46273</v>
      </c>
      <c r="S378" s="106">
        <f t="shared" si="634"/>
        <v>46272</v>
      </c>
      <c r="T378" s="107">
        <f t="shared" ref="T378:T448" si="702">S378</f>
        <v>46272</v>
      </c>
      <c r="U378" s="106">
        <v>46288</v>
      </c>
      <c r="V378" s="221"/>
      <c r="X378" s="168" t="str">
        <f t="shared" ca="1" si="688"/>
        <v>Completed</v>
      </c>
      <c r="Y378" s="168" t="str">
        <f t="shared" ca="1" si="689"/>
        <v>Completed</v>
      </c>
      <c r="Z378" s="168" t="str">
        <f t="shared" ca="1" si="690"/>
        <v>Completed</v>
      </c>
      <c r="AA378" s="169" t="str">
        <f t="shared" ca="1" si="691"/>
        <v>Completed</v>
      </c>
    </row>
    <row r="379" spans="1:27" s="70" customFormat="1" ht="11.5" x14ac:dyDescent="0.25">
      <c r="A379" s="101" t="s">
        <v>64</v>
      </c>
      <c r="B379" s="101" t="s">
        <v>14</v>
      </c>
      <c r="C379" s="101" t="s">
        <v>367</v>
      </c>
      <c r="D379" s="101" t="s">
        <v>368</v>
      </c>
      <c r="E379" s="104">
        <f t="shared" si="694"/>
        <v>1</v>
      </c>
      <c r="F379" s="104">
        <f t="shared" si="695"/>
        <v>1</v>
      </c>
      <c r="G379" s="104">
        <f t="shared" si="692"/>
        <v>0.79999999999999993</v>
      </c>
      <c r="H379" s="103">
        <f t="shared" si="696"/>
        <v>-0.20000000000000007</v>
      </c>
      <c r="I379" s="109">
        <v>4.7E-2</v>
      </c>
      <c r="J379" s="106">
        <f t="shared" si="693"/>
        <v>46178</v>
      </c>
      <c r="K379" s="107">
        <f t="shared" si="698"/>
        <v>46178</v>
      </c>
      <c r="L379" s="106">
        <v>46130</v>
      </c>
      <c r="M379" s="107">
        <f t="shared" si="699"/>
        <v>46220</v>
      </c>
      <c r="N379" s="107">
        <f t="shared" si="700"/>
        <v>46220</v>
      </c>
      <c r="O379" s="107">
        <v>46217</v>
      </c>
      <c r="P379" s="107">
        <f t="shared" si="697"/>
        <v>46258</v>
      </c>
      <c r="Q379" s="107">
        <f t="shared" si="701"/>
        <v>46258</v>
      </c>
      <c r="R379" s="106">
        <v>46273</v>
      </c>
      <c r="S379" s="106">
        <f t="shared" ref="S379:S449" si="703">P379+14</f>
        <v>46272</v>
      </c>
      <c r="T379" s="107">
        <f t="shared" si="702"/>
        <v>46272</v>
      </c>
      <c r="U379" s="107"/>
      <c r="V379" s="222" t="s">
        <v>1231</v>
      </c>
      <c r="X379" s="168" t="str">
        <f t="shared" ca="1" si="688"/>
        <v>Completed</v>
      </c>
      <c r="Y379" s="168" t="str">
        <f t="shared" ca="1" si="689"/>
        <v>Completed</v>
      </c>
      <c r="Z379" s="168" t="str">
        <f t="shared" ca="1" si="690"/>
        <v>Completed</v>
      </c>
      <c r="AA379" s="169" t="str">
        <f t="shared" ca="1" si="691"/>
        <v>Overdue</v>
      </c>
    </row>
    <row r="380" spans="1:27" s="70" customFormat="1" ht="11.5" x14ac:dyDescent="0.25">
      <c r="A380" s="101" t="s">
        <v>64</v>
      </c>
      <c r="B380" s="101" t="s">
        <v>14</v>
      </c>
      <c r="C380" s="101" t="s">
        <v>369</v>
      </c>
      <c r="D380" s="101" t="s">
        <v>370</v>
      </c>
      <c r="E380" s="104">
        <f t="shared" si="694"/>
        <v>1</v>
      </c>
      <c r="F380" s="104">
        <f t="shared" si="695"/>
        <v>1</v>
      </c>
      <c r="G380" s="104">
        <f t="shared" si="692"/>
        <v>1</v>
      </c>
      <c r="H380" s="103">
        <f t="shared" si="696"/>
        <v>0</v>
      </c>
      <c r="I380" s="109">
        <v>4.7E-2</v>
      </c>
      <c r="J380" s="106">
        <f t="shared" si="693"/>
        <v>46178</v>
      </c>
      <c r="K380" s="107">
        <f t="shared" si="698"/>
        <v>46178</v>
      </c>
      <c r="L380" s="106">
        <v>46130</v>
      </c>
      <c r="M380" s="107">
        <f t="shared" si="699"/>
        <v>46220</v>
      </c>
      <c r="N380" s="107">
        <f t="shared" si="700"/>
        <v>46220</v>
      </c>
      <c r="O380" s="107">
        <v>46217</v>
      </c>
      <c r="P380" s="107">
        <f t="shared" si="697"/>
        <v>46258</v>
      </c>
      <c r="Q380" s="107">
        <f t="shared" si="701"/>
        <v>46258</v>
      </c>
      <c r="R380" s="106">
        <v>46273</v>
      </c>
      <c r="S380" s="106">
        <f t="shared" si="703"/>
        <v>46272</v>
      </c>
      <c r="T380" s="107">
        <f t="shared" si="702"/>
        <v>46272</v>
      </c>
      <c r="U380" s="106">
        <v>46288</v>
      </c>
      <c r="V380" s="221"/>
      <c r="X380" s="168" t="str">
        <f t="shared" ca="1" si="688"/>
        <v>Completed</v>
      </c>
      <c r="Y380" s="168" t="str">
        <f t="shared" ca="1" si="689"/>
        <v>Completed</v>
      </c>
      <c r="Z380" s="168" t="str">
        <f t="shared" ca="1" si="690"/>
        <v>Completed</v>
      </c>
      <c r="AA380" s="169" t="str">
        <f t="shared" ca="1" si="691"/>
        <v>Completed</v>
      </c>
    </row>
    <row r="381" spans="1:27" s="70" customFormat="1" ht="11.5" x14ac:dyDescent="0.25">
      <c r="A381" s="101" t="s">
        <v>64</v>
      </c>
      <c r="B381" s="101" t="s">
        <v>14</v>
      </c>
      <c r="C381" s="101" t="s">
        <v>371</v>
      </c>
      <c r="D381" s="101" t="s">
        <v>372</v>
      </c>
      <c r="E381" s="104">
        <f t="shared" si="694"/>
        <v>1</v>
      </c>
      <c r="F381" s="104">
        <f t="shared" si="695"/>
        <v>1</v>
      </c>
      <c r="G381" s="104">
        <f t="shared" si="692"/>
        <v>0.79999999999999993</v>
      </c>
      <c r="H381" s="103">
        <f t="shared" si="696"/>
        <v>-0.20000000000000007</v>
      </c>
      <c r="I381" s="109">
        <v>4.7E-2</v>
      </c>
      <c r="J381" s="106">
        <f t="shared" si="693"/>
        <v>46178</v>
      </c>
      <c r="K381" s="107">
        <f t="shared" si="698"/>
        <v>46178</v>
      </c>
      <c r="L381" s="106">
        <v>46130</v>
      </c>
      <c r="M381" s="107">
        <f t="shared" si="699"/>
        <v>46220</v>
      </c>
      <c r="N381" s="107">
        <f t="shared" si="700"/>
        <v>46220</v>
      </c>
      <c r="O381" s="107">
        <v>46217</v>
      </c>
      <c r="P381" s="107">
        <f t="shared" si="697"/>
        <v>46258</v>
      </c>
      <c r="Q381" s="107">
        <f t="shared" si="701"/>
        <v>46258</v>
      </c>
      <c r="R381" s="106">
        <v>46273</v>
      </c>
      <c r="S381" s="106">
        <f t="shared" si="703"/>
        <v>46272</v>
      </c>
      <c r="T381" s="107">
        <f t="shared" si="702"/>
        <v>46272</v>
      </c>
      <c r="U381" s="107"/>
      <c r="V381" s="222" t="s">
        <v>1231</v>
      </c>
      <c r="X381" s="168" t="str">
        <f t="shared" ca="1" si="688"/>
        <v>Completed</v>
      </c>
      <c r="Y381" s="168" t="str">
        <f t="shared" ca="1" si="689"/>
        <v>Completed</v>
      </c>
      <c r="Z381" s="168" t="str">
        <f t="shared" ca="1" si="690"/>
        <v>Completed</v>
      </c>
      <c r="AA381" s="169" t="str">
        <f t="shared" ca="1" si="691"/>
        <v>Overdue</v>
      </c>
    </row>
    <row r="382" spans="1:27" s="70" customFormat="1" ht="11.5" x14ac:dyDescent="0.25">
      <c r="A382" s="101" t="s">
        <v>64</v>
      </c>
      <c r="B382" s="101" t="s">
        <v>14</v>
      </c>
      <c r="C382" s="101" t="s">
        <v>373</v>
      </c>
      <c r="D382" s="101" t="s">
        <v>374</v>
      </c>
      <c r="E382" s="104">
        <f t="shared" si="694"/>
        <v>1</v>
      </c>
      <c r="F382" s="104">
        <f t="shared" si="695"/>
        <v>1</v>
      </c>
      <c r="G382" s="104">
        <f t="shared" si="692"/>
        <v>1</v>
      </c>
      <c r="H382" s="103">
        <f t="shared" si="696"/>
        <v>0</v>
      </c>
      <c r="I382" s="109">
        <v>4.7E-2</v>
      </c>
      <c r="J382" s="106">
        <f t="shared" si="693"/>
        <v>46178</v>
      </c>
      <c r="K382" s="107">
        <f t="shared" si="698"/>
        <v>46178</v>
      </c>
      <c r="L382" s="106">
        <v>46130</v>
      </c>
      <c r="M382" s="107">
        <f t="shared" si="699"/>
        <v>46220</v>
      </c>
      <c r="N382" s="107">
        <f t="shared" si="700"/>
        <v>46220</v>
      </c>
      <c r="O382" s="107">
        <v>46217</v>
      </c>
      <c r="P382" s="107">
        <f t="shared" si="697"/>
        <v>46258</v>
      </c>
      <c r="Q382" s="107">
        <f t="shared" si="701"/>
        <v>46258</v>
      </c>
      <c r="R382" s="106">
        <v>46273</v>
      </c>
      <c r="S382" s="106">
        <f t="shared" si="703"/>
        <v>46272</v>
      </c>
      <c r="T382" s="107">
        <f t="shared" si="702"/>
        <v>46272</v>
      </c>
      <c r="U382" s="106">
        <v>46288</v>
      </c>
      <c r="V382" s="221"/>
      <c r="X382" s="168" t="str">
        <f t="shared" ca="1" si="688"/>
        <v>Completed</v>
      </c>
      <c r="Y382" s="168" t="str">
        <f t="shared" ca="1" si="689"/>
        <v>Completed</v>
      </c>
      <c r="Z382" s="168" t="str">
        <f t="shared" ca="1" si="690"/>
        <v>Completed</v>
      </c>
      <c r="AA382" s="169" t="str">
        <f t="shared" ca="1" si="691"/>
        <v>Completed</v>
      </c>
    </row>
    <row r="383" spans="1:27" s="70" customFormat="1" ht="11.5" x14ac:dyDescent="0.25">
      <c r="A383" s="101" t="s">
        <v>64</v>
      </c>
      <c r="B383" s="101" t="s">
        <v>14</v>
      </c>
      <c r="C383" s="101" t="s">
        <v>375</v>
      </c>
      <c r="D383" s="101" t="s">
        <v>376</v>
      </c>
      <c r="E383" s="104">
        <f t="shared" si="694"/>
        <v>1</v>
      </c>
      <c r="F383" s="104">
        <f t="shared" si="695"/>
        <v>1</v>
      </c>
      <c r="G383" s="104">
        <f t="shared" si="692"/>
        <v>0.79999999999999993</v>
      </c>
      <c r="H383" s="103">
        <f t="shared" si="696"/>
        <v>-0.20000000000000007</v>
      </c>
      <c r="I383" s="109">
        <v>4.7E-2</v>
      </c>
      <c r="J383" s="106">
        <f t="shared" si="693"/>
        <v>46178</v>
      </c>
      <c r="K383" s="107">
        <f t="shared" si="698"/>
        <v>46178</v>
      </c>
      <c r="L383" s="106">
        <v>46130</v>
      </c>
      <c r="M383" s="107">
        <f t="shared" si="699"/>
        <v>46220</v>
      </c>
      <c r="N383" s="107">
        <f t="shared" si="700"/>
        <v>46220</v>
      </c>
      <c r="O383" s="107">
        <v>46217</v>
      </c>
      <c r="P383" s="107">
        <f t="shared" si="697"/>
        <v>46258</v>
      </c>
      <c r="Q383" s="107">
        <f t="shared" si="701"/>
        <v>46258</v>
      </c>
      <c r="R383" s="106">
        <v>46273</v>
      </c>
      <c r="S383" s="106">
        <f t="shared" si="703"/>
        <v>46272</v>
      </c>
      <c r="T383" s="107">
        <f t="shared" si="702"/>
        <v>46272</v>
      </c>
      <c r="U383" s="107"/>
      <c r="V383" s="222" t="s">
        <v>1231</v>
      </c>
      <c r="X383" s="168" t="str">
        <f t="shared" ca="1" si="688"/>
        <v>Completed</v>
      </c>
      <c r="Y383" s="168" t="str">
        <f t="shared" ca="1" si="689"/>
        <v>Completed</v>
      </c>
      <c r="Z383" s="168" t="str">
        <f t="shared" ca="1" si="690"/>
        <v>Completed</v>
      </c>
      <c r="AA383" s="169" t="str">
        <f t="shared" ca="1" si="691"/>
        <v>Overdue</v>
      </c>
    </row>
    <row r="384" spans="1:27" s="70" customFormat="1" ht="11.5" x14ac:dyDescent="0.25">
      <c r="A384" s="101" t="s">
        <v>64</v>
      </c>
      <c r="B384" s="101" t="s">
        <v>14</v>
      </c>
      <c r="C384" s="101" t="s">
        <v>377</v>
      </c>
      <c r="D384" s="101" t="s">
        <v>378</v>
      </c>
      <c r="E384" s="104">
        <f t="shared" si="694"/>
        <v>1</v>
      </c>
      <c r="F384" s="104">
        <f t="shared" si="695"/>
        <v>1</v>
      </c>
      <c r="G384" s="104">
        <f t="shared" si="692"/>
        <v>1</v>
      </c>
      <c r="H384" s="103">
        <f t="shared" si="696"/>
        <v>0</v>
      </c>
      <c r="I384" s="109">
        <v>4.7E-2</v>
      </c>
      <c r="J384" s="106">
        <f t="shared" si="693"/>
        <v>46178</v>
      </c>
      <c r="K384" s="107">
        <f t="shared" si="698"/>
        <v>46178</v>
      </c>
      <c r="L384" s="106">
        <v>46130</v>
      </c>
      <c r="M384" s="107">
        <f t="shared" si="699"/>
        <v>46220</v>
      </c>
      <c r="N384" s="107">
        <f t="shared" si="700"/>
        <v>46220</v>
      </c>
      <c r="O384" s="107">
        <v>46217</v>
      </c>
      <c r="P384" s="107">
        <f t="shared" si="697"/>
        <v>46258</v>
      </c>
      <c r="Q384" s="107">
        <f t="shared" si="701"/>
        <v>46258</v>
      </c>
      <c r="R384" s="106">
        <v>46273</v>
      </c>
      <c r="S384" s="106">
        <f t="shared" si="703"/>
        <v>46272</v>
      </c>
      <c r="T384" s="107">
        <f t="shared" si="702"/>
        <v>46272</v>
      </c>
      <c r="U384" s="106">
        <v>46288</v>
      </c>
      <c r="V384" s="221"/>
      <c r="X384" s="168" t="str">
        <f t="shared" ca="1" si="688"/>
        <v>Completed</v>
      </c>
      <c r="Y384" s="168" t="str">
        <f t="shared" ca="1" si="689"/>
        <v>Completed</v>
      </c>
      <c r="Z384" s="168" t="str">
        <f t="shared" ca="1" si="690"/>
        <v>Completed</v>
      </c>
      <c r="AA384" s="169" t="str">
        <f t="shared" ca="1" si="691"/>
        <v>Completed</v>
      </c>
    </row>
    <row r="385" spans="1:27" s="70" customFormat="1" ht="11.5" x14ac:dyDescent="0.25">
      <c r="A385" s="101" t="s">
        <v>64</v>
      </c>
      <c r="B385" s="101" t="s">
        <v>14</v>
      </c>
      <c r="C385" s="101" t="s">
        <v>379</v>
      </c>
      <c r="D385" s="101" t="s">
        <v>380</v>
      </c>
      <c r="E385" s="104">
        <f t="shared" si="694"/>
        <v>1</v>
      </c>
      <c r="F385" s="104">
        <f t="shared" si="695"/>
        <v>1</v>
      </c>
      <c r="G385" s="104">
        <f t="shared" si="692"/>
        <v>0.79999999999999993</v>
      </c>
      <c r="H385" s="103">
        <f t="shared" si="696"/>
        <v>-0.20000000000000007</v>
      </c>
      <c r="I385" s="109">
        <v>4.7E-2</v>
      </c>
      <c r="J385" s="106">
        <f t="shared" si="693"/>
        <v>46178</v>
      </c>
      <c r="K385" s="107">
        <f t="shared" si="698"/>
        <v>46178</v>
      </c>
      <c r="L385" s="106">
        <v>46130</v>
      </c>
      <c r="M385" s="107">
        <f t="shared" si="699"/>
        <v>46220</v>
      </c>
      <c r="N385" s="107">
        <f t="shared" si="700"/>
        <v>46220</v>
      </c>
      <c r="O385" s="107">
        <v>46217</v>
      </c>
      <c r="P385" s="107">
        <f t="shared" si="697"/>
        <v>46258</v>
      </c>
      <c r="Q385" s="107">
        <f t="shared" si="701"/>
        <v>46258</v>
      </c>
      <c r="R385" s="106">
        <v>46273</v>
      </c>
      <c r="S385" s="106">
        <f t="shared" si="703"/>
        <v>46272</v>
      </c>
      <c r="T385" s="107">
        <f t="shared" si="702"/>
        <v>46272</v>
      </c>
      <c r="U385" s="107"/>
      <c r="V385" s="222" t="s">
        <v>1231</v>
      </c>
      <c r="X385" s="168" t="str">
        <f t="shared" ca="1" si="688"/>
        <v>Completed</v>
      </c>
      <c r="Y385" s="168" t="str">
        <f t="shared" ca="1" si="689"/>
        <v>Completed</v>
      </c>
      <c r="Z385" s="168" t="str">
        <f t="shared" ca="1" si="690"/>
        <v>Completed</v>
      </c>
      <c r="AA385" s="169" t="str">
        <f t="shared" ca="1" si="691"/>
        <v>Overdue</v>
      </c>
    </row>
    <row r="386" spans="1:27" s="70" customFormat="1" ht="11.5" x14ac:dyDescent="0.25">
      <c r="A386" s="101" t="s">
        <v>64</v>
      </c>
      <c r="B386" s="101" t="s">
        <v>14</v>
      </c>
      <c r="C386" s="101" t="s">
        <v>381</v>
      </c>
      <c r="D386" s="101" t="s">
        <v>382</v>
      </c>
      <c r="E386" s="104">
        <f t="shared" si="694"/>
        <v>1</v>
      </c>
      <c r="F386" s="104">
        <f>(COUNTIFS(K386,"&lt;="&amp;$C$1)*50%)+(COUNTIFS(N386,"&lt;="&amp;$C$1)*20%)+(COUNTIFS(Q386,"&lt;="&amp;$C$1)*10%)+(COUNTIFS(T386,"&lt;="&amp;$C$1)*20%)</f>
        <v>1</v>
      </c>
      <c r="G386" s="104">
        <f t="shared" si="692"/>
        <v>1</v>
      </c>
      <c r="H386" s="103">
        <f t="shared" si="696"/>
        <v>0</v>
      </c>
      <c r="I386" s="109">
        <v>4.7E-2</v>
      </c>
      <c r="J386" s="106">
        <f t="shared" si="693"/>
        <v>46178</v>
      </c>
      <c r="K386" s="107">
        <f t="shared" si="698"/>
        <v>46178</v>
      </c>
      <c r="L386" s="106">
        <v>46130</v>
      </c>
      <c r="M386" s="107">
        <f t="shared" si="699"/>
        <v>46220</v>
      </c>
      <c r="N386" s="107">
        <f t="shared" si="700"/>
        <v>46220</v>
      </c>
      <c r="O386" s="107">
        <v>46217</v>
      </c>
      <c r="P386" s="107">
        <f t="shared" si="697"/>
        <v>46258</v>
      </c>
      <c r="Q386" s="107">
        <f t="shared" si="701"/>
        <v>46258</v>
      </c>
      <c r="R386" s="106">
        <v>46273</v>
      </c>
      <c r="S386" s="106">
        <f t="shared" si="703"/>
        <v>46272</v>
      </c>
      <c r="T386" s="107">
        <f t="shared" si="702"/>
        <v>46272</v>
      </c>
      <c r="U386" s="106">
        <v>46288</v>
      </c>
      <c r="V386" s="221"/>
      <c r="X386" s="168" t="str">
        <f t="shared" ca="1" si="688"/>
        <v>Completed</v>
      </c>
      <c r="Y386" s="168" t="str">
        <f t="shared" ca="1" si="689"/>
        <v>Completed</v>
      </c>
      <c r="Z386" s="168" t="str">
        <f t="shared" ca="1" si="690"/>
        <v>Completed</v>
      </c>
      <c r="AA386" s="169" t="str">
        <f t="shared" ca="1" si="691"/>
        <v>Completed</v>
      </c>
    </row>
    <row r="387" spans="1:27" s="70" customFormat="1" ht="11.5" x14ac:dyDescent="0.25">
      <c r="A387" s="101" t="s">
        <v>64</v>
      </c>
      <c r="B387" s="101" t="s">
        <v>14</v>
      </c>
      <c r="C387" s="101" t="s">
        <v>383</v>
      </c>
      <c r="D387" s="148" t="s">
        <v>902</v>
      </c>
      <c r="E387" s="104">
        <f t="shared" si="694"/>
        <v>1</v>
      </c>
      <c r="F387" s="104">
        <f>(COUNTIFS(K387,"&lt;="&amp;$C$1)*50%)+(COUNTIFS(N387,"&lt;="&amp;$C$1)*20%)+(COUNTIFS(Q387,"&lt;="&amp;$C$1)*10%)+(COUNTIFS(T387,"&lt;="&amp;$C$1)*20%)</f>
        <v>1</v>
      </c>
      <c r="G387" s="104">
        <f t="shared" si="692"/>
        <v>0.79999999999999993</v>
      </c>
      <c r="H387" s="103">
        <f t="shared" si="696"/>
        <v>-0.20000000000000007</v>
      </c>
      <c r="I387" s="109">
        <v>4.7E-2</v>
      </c>
      <c r="J387" s="106">
        <f t="shared" si="693"/>
        <v>46178</v>
      </c>
      <c r="K387" s="106">
        <f t="shared" si="698"/>
        <v>46178</v>
      </c>
      <c r="L387" s="106">
        <v>46130</v>
      </c>
      <c r="M387" s="107">
        <f t="shared" si="699"/>
        <v>46220</v>
      </c>
      <c r="N387" s="106">
        <f t="shared" si="700"/>
        <v>46220</v>
      </c>
      <c r="O387" s="107">
        <v>46217</v>
      </c>
      <c r="P387" s="107">
        <f t="shared" si="697"/>
        <v>46258</v>
      </c>
      <c r="Q387" s="106">
        <f t="shared" si="701"/>
        <v>46258</v>
      </c>
      <c r="R387" s="106">
        <v>46273</v>
      </c>
      <c r="S387" s="106">
        <f t="shared" si="703"/>
        <v>46272</v>
      </c>
      <c r="T387" s="106">
        <f t="shared" si="702"/>
        <v>46272</v>
      </c>
      <c r="U387" s="107"/>
      <c r="V387" s="222" t="s">
        <v>1231</v>
      </c>
      <c r="X387" s="168" t="str">
        <f t="shared" ca="1" si="688"/>
        <v>Completed</v>
      </c>
      <c r="Y387" s="168" t="str">
        <f t="shared" ca="1" si="689"/>
        <v>Completed</v>
      </c>
      <c r="Z387" s="168" t="str">
        <f t="shared" ca="1" si="690"/>
        <v>Completed</v>
      </c>
      <c r="AA387" s="169" t="str">
        <f t="shared" ca="1" si="691"/>
        <v>Overdue</v>
      </c>
    </row>
    <row r="388" spans="1:27" s="70" customFormat="1" ht="11.5" x14ac:dyDescent="0.25">
      <c r="A388" s="101" t="s">
        <v>64</v>
      </c>
      <c r="B388" s="101" t="s">
        <v>14</v>
      </c>
      <c r="C388" s="101" t="s">
        <v>384</v>
      </c>
      <c r="D388" s="101" t="s">
        <v>385</v>
      </c>
      <c r="E388" s="104">
        <f t="shared" si="694"/>
        <v>1</v>
      </c>
      <c r="F388" s="104">
        <f t="shared" si="695"/>
        <v>1</v>
      </c>
      <c r="G388" s="104">
        <f t="shared" si="692"/>
        <v>1</v>
      </c>
      <c r="H388" s="103">
        <f t="shared" si="696"/>
        <v>0</v>
      </c>
      <c r="I388" s="109">
        <v>4.7E-2</v>
      </c>
      <c r="J388" s="106">
        <f t="shared" si="693"/>
        <v>46178</v>
      </c>
      <c r="K388" s="106">
        <f t="shared" si="698"/>
        <v>46178</v>
      </c>
      <c r="L388" s="106">
        <v>46130</v>
      </c>
      <c r="M388" s="107">
        <f t="shared" si="699"/>
        <v>46220</v>
      </c>
      <c r="N388" s="106">
        <f t="shared" si="700"/>
        <v>46220</v>
      </c>
      <c r="O388" s="107">
        <v>46224</v>
      </c>
      <c r="P388" s="107">
        <f t="shared" si="697"/>
        <v>46258</v>
      </c>
      <c r="Q388" s="106">
        <f t="shared" si="701"/>
        <v>46258</v>
      </c>
      <c r="R388" s="106">
        <v>46273</v>
      </c>
      <c r="S388" s="106">
        <f t="shared" si="703"/>
        <v>46272</v>
      </c>
      <c r="T388" s="106">
        <f t="shared" si="702"/>
        <v>46272</v>
      </c>
      <c r="U388" s="106">
        <v>46288</v>
      </c>
      <c r="V388" s="221"/>
      <c r="X388" s="168" t="str">
        <f t="shared" ca="1" si="688"/>
        <v>Completed</v>
      </c>
      <c r="Y388" s="168" t="str">
        <f t="shared" ca="1" si="689"/>
        <v>Completed</v>
      </c>
      <c r="Z388" s="168" t="str">
        <f t="shared" ca="1" si="690"/>
        <v>Completed</v>
      </c>
      <c r="AA388" s="169" t="str">
        <f t="shared" ca="1" si="691"/>
        <v>Completed</v>
      </c>
    </row>
    <row r="389" spans="1:27" s="70" customFormat="1" ht="11.5" x14ac:dyDescent="0.25">
      <c r="A389" s="101" t="s">
        <v>64</v>
      </c>
      <c r="B389" s="101" t="s">
        <v>14</v>
      </c>
      <c r="C389" s="101" t="s">
        <v>386</v>
      </c>
      <c r="D389" s="101" t="s">
        <v>387</v>
      </c>
      <c r="E389" s="104">
        <f t="shared" si="694"/>
        <v>1</v>
      </c>
      <c r="F389" s="104">
        <f t="shared" si="695"/>
        <v>1</v>
      </c>
      <c r="G389" s="104">
        <f t="shared" si="692"/>
        <v>1</v>
      </c>
      <c r="H389" s="103">
        <f t="shared" si="696"/>
        <v>0</v>
      </c>
      <c r="I389" s="109">
        <v>4.7E-2</v>
      </c>
      <c r="J389" s="106">
        <f t="shared" si="693"/>
        <v>46178</v>
      </c>
      <c r="K389" s="106">
        <f t="shared" si="698"/>
        <v>46178</v>
      </c>
      <c r="L389" s="106">
        <v>46150</v>
      </c>
      <c r="M389" s="107">
        <f t="shared" si="699"/>
        <v>46220</v>
      </c>
      <c r="N389" s="106">
        <f t="shared" si="700"/>
        <v>46220</v>
      </c>
      <c r="O389" s="106">
        <v>46205</v>
      </c>
      <c r="P389" s="107">
        <f t="shared" si="697"/>
        <v>46258</v>
      </c>
      <c r="Q389" s="106">
        <f t="shared" si="701"/>
        <v>46258</v>
      </c>
      <c r="R389" s="106">
        <v>46286</v>
      </c>
      <c r="S389" s="106">
        <f t="shared" si="703"/>
        <v>46272</v>
      </c>
      <c r="T389" s="106">
        <f t="shared" si="702"/>
        <v>46272</v>
      </c>
      <c r="U389" s="106">
        <v>46288</v>
      </c>
      <c r="V389" s="221"/>
      <c r="X389" s="168" t="str">
        <f t="shared" ca="1" si="688"/>
        <v>Completed</v>
      </c>
      <c r="Y389" s="168" t="str">
        <f t="shared" ca="1" si="689"/>
        <v>Completed</v>
      </c>
      <c r="Z389" s="168" t="str">
        <f t="shared" ca="1" si="690"/>
        <v>Completed</v>
      </c>
      <c r="AA389" s="169" t="str">
        <f t="shared" ca="1" si="691"/>
        <v>Completed</v>
      </c>
    </row>
    <row r="390" spans="1:27" s="70" customFormat="1" ht="11.5" x14ac:dyDescent="0.25">
      <c r="A390" s="101" t="s">
        <v>64</v>
      </c>
      <c r="B390" s="101" t="s">
        <v>14</v>
      </c>
      <c r="C390" s="101" t="s">
        <v>388</v>
      </c>
      <c r="D390" s="101" t="s">
        <v>389</v>
      </c>
      <c r="E390" s="104">
        <f t="shared" si="694"/>
        <v>1</v>
      </c>
      <c r="F390" s="104">
        <f t="shared" si="695"/>
        <v>1</v>
      </c>
      <c r="G390" s="104">
        <f t="shared" si="692"/>
        <v>1</v>
      </c>
      <c r="H390" s="103">
        <f t="shared" si="696"/>
        <v>0</v>
      </c>
      <c r="I390" s="109">
        <v>4.7E-2</v>
      </c>
      <c r="J390" s="106">
        <f t="shared" si="693"/>
        <v>46178</v>
      </c>
      <c r="K390" s="106">
        <f t="shared" si="698"/>
        <v>46178</v>
      </c>
      <c r="L390" s="106">
        <v>46150</v>
      </c>
      <c r="M390" s="107">
        <f t="shared" si="699"/>
        <v>46220</v>
      </c>
      <c r="N390" s="106">
        <f t="shared" si="700"/>
        <v>46220</v>
      </c>
      <c r="O390" s="106">
        <v>46205</v>
      </c>
      <c r="P390" s="107">
        <f t="shared" si="697"/>
        <v>46258</v>
      </c>
      <c r="Q390" s="106">
        <f t="shared" si="701"/>
        <v>46258</v>
      </c>
      <c r="R390" s="106">
        <v>46286</v>
      </c>
      <c r="S390" s="106">
        <f t="shared" si="703"/>
        <v>46272</v>
      </c>
      <c r="T390" s="106">
        <f t="shared" si="702"/>
        <v>46272</v>
      </c>
      <c r="U390" s="106">
        <v>46288</v>
      </c>
      <c r="V390" s="221"/>
      <c r="X390" s="168" t="str">
        <f t="shared" ca="1" si="688"/>
        <v>Completed</v>
      </c>
      <c r="Y390" s="168" t="str">
        <f t="shared" ca="1" si="689"/>
        <v>Completed</v>
      </c>
      <c r="Z390" s="168" t="str">
        <f t="shared" ca="1" si="690"/>
        <v>Completed</v>
      </c>
      <c r="AA390" s="169" t="str">
        <f t="shared" ca="1" si="691"/>
        <v>Completed</v>
      </c>
    </row>
    <row r="391" spans="1:27" s="70" customFormat="1" ht="11.5" x14ac:dyDescent="0.25">
      <c r="A391" s="101" t="s">
        <v>64</v>
      </c>
      <c r="B391" s="101" t="s">
        <v>14</v>
      </c>
      <c r="C391" s="101" t="s">
        <v>390</v>
      </c>
      <c r="D391" s="101" t="s">
        <v>391</v>
      </c>
      <c r="E391" s="104">
        <f t="shared" si="694"/>
        <v>1</v>
      </c>
      <c r="F391" s="104">
        <f t="shared" si="695"/>
        <v>1</v>
      </c>
      <c r="G391" s="104">
        <f t="shared" si="692"/>
        <v>1</v>
      </c>
      <c r="H391" s="103">
        <f t="shared" si="696"/>
        <v>0</v>
      </c>
      <c r="I391" s="109">
        <v>4.7E-2</v>
      </c>
      <c r="J391" s="106">
        <f t="shared" si="693"/>
        <v>46178</v>
      </c>
      <c r="K391" s="106">
        <f t="shared" si="698"/>
        <v>46178</v>
      </c>
      <c r="L391" s="106">
        <v>46150</v>
      </c>
      <c r="M391" s="107">
        <f t="shared" si="699"/>
        <v>46220</v>
      </c>
      <c r="N391" s="106">
        <f t="shared" si="700"/>
        <v>46220</v>
      </c>
      <c r="O391" s="106">
        <v>46205</v>
      </c>
      <c r="P391" s="107">
        <f t="shared" si="697"/>
        <v>46258</v>
      </c>
      <c r="Q391" s="106">
        <f t="shared" si="701"/>
        <v>46258</v>
      </c>
      <c r="R391" s="107">
        <v>46248</v>
      </c>
      <c r="S391" s="106">
        <f t="shared" si="703"/>
        <v>46272</v>
      </c>
      <c r="T391" s="106">
        <f t="shared" si="702"/>
        <v>46272</v>
      </c>
      <c r="U391" s="106">
        <v>46262</v>
      </c>
      <c r="V391" s="221"/>
      <c r="X391" s="168" t="str">
        <f t="shared" ca="1" si="688"/>
        <v>Completed</v>
      </c>
      <c r="Y391" s="168" t="str">
        <f t="shared" ca="1" si="689"/>
        <v>Completed</v>
      </c>
      <c r="Z391" s="168" t="str">
        <f t="shared" ca="1" si="690"/>
        <v>Completed</v>
      </c>
      <c r="AA391" s="169" t="str">
        <f t="shared" ca="1" si="691"/>
        <v>Completed</v>
      </c>
    </row>
    <row r="392" spans="1:27" s="70" customFormat="1" ht="11.5" x14ac:dyDescent="0.25">
      <c r="A392" s="101" t="s">
        <v>64</v>
      </c>
      <c r="B392" s="101" t="s">
        <v>14</v>
      </c>
      <c r="C392" s="101" t="s">
        <v>392</v>
      </c>
      <c r="D392" s="101" t="s">
        <v>393</v>
      </c>
      <c r="E392" s="104">
        <f t="shared" si="694"/>
        <v>1</v>
      </c>
      <c r="F392" s="104">
        <f t="shared" si="695"/>
        <v>1</v>
      </c>
      <c r="G392" s="104">
        <f t="shared" si="692"/>
        <v>0.79999999999999993</v>
      </c>
      <c r="H392" s="103">
        <f t="shared" si="696"/>
        <v>-0.20000000000000007</v>
      </c>
      <c r="I392" s="109">
        <v>4.7E-2</v>
      </c>
      <c r="J392" s="106">
        <f t="shared" si="693"/>
        <v>46178</v>
      </c>
      <c r="K392" s="106">
        <f t="shared" si="698"/>
        <v>46178</v>
      </c>
      <c r="L392" s="142">
        <v>46157</v>
      </c>
      <c r="M392" s="107">
        <f t="shared" si="699"/>
        <v>46220</v>
      </c>
      <c r="N392" s="106">
        <f t="shared" si="700"/>
        <v>46220</v>
      </c>
      <c r="O392" s="106">
        <v>46190</v>
      </c>
      <c r="P392" s="107">
        <f t="shared" si="697"/>
        <v>46258</v>
      </c>
      <c r="Q392" s="106">
        <f t="shared" si="701"/>
        <v>46258</v>
      </c>
      <c r="R392" s="160">
        <v>46300</v>
      </c>
      <c r="S392" s="106">
        <f t="shared" si="703"/>
        <v>46272</v>
      </c>
      <c r="T392" s="106">
        <f t="shared" si="702"/>
        <v>46272</v>
      </c>
      <c r="U392" s="107"/>
      <c r="V392" s="222"/>
      <c r="X392" s="168" t="str">
        <f t="shared" ca="1" si="688"/>
        <v>Completed</v>
      </c>
      <c r="Y392" s="168" t="str">
        <f t="shared" ca="1" si="689"/>
        <v>Completed</v>
      </c>
      <c r="Z392" s="168" t="str">
        <f t="shared" ca="1" si="690"/>
        <v>Completed</v>
      </c>
      <c r="AA392" s="169" t="str">
        <f t="shared" ca="1" si="691"/>
        <v>Overdue</v>
      </c>
    </row>
    <row r="393" spans="1:27" s="70" customFormat="1" ht="11.5" x14ac:dyDescent="0.25">
      <c r="A393" s="101" t="s">
        <v>64</v>
      </c>
      <c r="B393" s="101" t="s">
        <v>14</v>
      </c>
      <c r="C393" s="101" t="s">
        <v>394</v>
      </c>
      <c r="D393" s="101" t="s">
        <v>395</v>
      </c>
      <c r="E393" s="104">
        <f t="shared" si="694"/>
        <v>1</v>
      </c>
      <c r="F393" s="104">
        <f t="shared" si="695"/>
        <v>1</v>
      </c>
      <c r="G393" s="104">
        <f t="shared" si="692"/>
        <v>0.79999999999999993</v>
      </c>
      <c r="H393" s="103">
        <f t="shared" si="696"/>
        <v>-0.20000000000000007</v>
      </c>
      <c r="I393" s="109">
        <v>4.7E-2</v>
      </c>
      <c r="J393" s="106">
        <f t="shared" si="693"/>
        <v>46178</v>
      </c>
      <c r="K393" s="106">
        <f t="shared" si="698"/>
        <v>46178</v>
      </c>
      <c r="L393" s="142">
        <v>46157</v>
      </c>
      <c r="M393" s="107">
        <f t="shared" si="699"/>
        <v>46220</v>
      </c>
      <c r="N393" s="106">
        <f t="shared" si="700"/>
        <v>46220</v>
      </c>
      <c r="O393" s="106">
        <v>46190</v>
      </c>
      <c r="P393" s="107">
        <f t="shared" si="697"/>
        <v>46258</v>
      </c>
      <c r="Q393" s="106">
        <f t="shared" si="701"/>
        <v>46258</v>
      </c>
      <c r="R393" s="160">
        <v>46300</v>
      </c>
      <c r="S393" s="106">
        <f t="shared" si="703"/>
        <v>46272</v>
      </c>
      <c r="T393" s="106">
        <f t="shared" si="702"/>
        <v>46272</v>
      </c>
      <c r="U393" s="107"/>
      <c r="V393" s="222"/>
      <c r="X393" s="168" t="str">
        <f t="shared" ca="1" si="688"/>
        <v>Completed</v>
      </c>
      <c r="Y393" s="168" t="str">
        <f t="shared" ca="1" si="689"/>
        <v>Completed</v>
      </c>
      <c r="Z393" s="168" t="str">
        <f t="shared" ca="1" si="690"/>
        <v>Completed</v>
      </c>
      <c r="AA393" s="169" t="str">
        <f t="shared" ca="1" si="691"/>
        <v>Overdue</v>
      </c>
    </row>
    <row r="394" spans="1:27" s="70" customFormat="1" ht="11.5" x14ac:dyDescent="0.25">
      <c r="A394" s="101" t="s">
        <v>64</v>
      </c>
      <c r="B394" s="101" t="s">
        <v>14</v>
      </c>
      <c r="C394" s="101" t="s">
        <v>396</v>
      </c>
      <c r="D394" s="101" t="s">
        <v>397</v>
      </c>
      <c r="E394" s="104">
        <f t="shared" si="694"/>
        <v>1</v>
      </c>
      <c r="F394" s="104">
        <f t="shared" si="695"/>
        <v>1</v>
      </c>
      <c r="G394" s="104">
        <f t="shared" si="692"/>
        <v>0.79999999999999993</v>
      </c>
      <c r="H394" s="103">
        <f t="shared" si="696"/>
        <v>-0.20000000000000007</v>
      </c>
      <c r="I394" s="109">
        <v>4.7E-2</v>
      </c>
      <c r="J394" s="106">
        <f t="shared" si="693"/>
        <v>46178</v>
      </c>
      <c r="K394" s="106">
        <f t="shared" si="698"/>
        <v>46178</v>
      </c>
      <c r="L394" s="142">
        <v>46157</v>
      </c>
      <c r="M394" s="107">
        <f t="shared" si="699"/>
        <v>46220</v>
      </c>
      <c r="N394" s="106">
        <f t="shared" si="700"/>
        <v>46220</v>
      </c>
      <c r="O394" s="106">
        <v>46190</v>
      </c>
      <c r="P394" s="107">
        <f t="shared" si="697"/>
        <v>46258</v>
      </c>
      <c r="Q394" s="106">
        <f t="shared" si="701"/>
        <v>46258</v>
      </c>
      <c r="R394" s="160">
        <v>46300</v>
      </c>
      <c r="S394" s="106">
        <f t="shared" si="703"/>
        <v>46272</v>
      </c>
      <c r="T394" s="106">
        <f t="shared" si="702"/>
        <v>46272</v>
      </c>
      <c r="U394" s="107"/>
      <c r="V394" s="222"/>
      <c r="X394" s="168" t="str">
        <f t="shared" ca="1" si="688"/>
        <v>Completed</v>
      </c>
      <c r="Y394" s="168" t="str">
        <f t="shared" ca="1" si="689"/>
        <v>Completed</v>
      </c>
      <c r="Z394" s="168" t="str">
        <f t="shared" ca="1" si="690"/>
        <v>Completed</v>
      </c>
      <c r="AA394" s="169" t="str">
        <f t="shared" ca="1" si="691"/>
        <v>Overdue</v>
      </c>
    </row>
    <row r="395" spans="1:27" s="70" customFormat="1" ht="11.5" x14ac:dyDescent="0.25">
      <c r="A395" s="101" t="s">
        <v>64</v>
      </c>
      <c r="B395" s="101" t="s">
        <v>14</v>
      </c>
      <c r="C395" s="101" t="s">
        <v>398</v>
      </c>
      <c r="D395" s="101" t="s">
        <v>399</v>
      </c>
      <c r="E395" s="104">
        <f t="shared" si="694"/>
        <v>1</v>
      </c>
      <c r="F395" s="104">
        <f t="shared" si="695"/>
        <v>1</v>
      </c>
      <c r="G395" s="104">
        <f t="shared" ref="G395:G426" si="704">(COUNTIFS(L395,"&lt;="&amp;$C$1)*50%)+(COUNTIFS(O395,"&lt;="&amp;$C$1)*20%)+(COUNTIFS(R395,"&lt;="&amp;$C$1)*10%)+(COUNTIFS(U395,"&lt;="&amp;$C$1)*20%)</f>
        <v>0.79999999999999993</v>
      </c>
      <c r="H395" s="103">
        <f t="shared" si="696"/>
        <v>-0.20000000000000007</v>
      </c>
      <c r="I395" s="109">
        <v>4.7E-2</v>
      </c>
      <c r="J395" s="106">
        <f t="shared" ref="J395:J426" si="705">J260+28</f>
        <v>46178</v>
      </c>
      <c r="K395" s="106">
        <f t="shared" si="698"/>
        <v>46178</v>
      </c>
      <c r="L395" s="142">
        <v>46157</v>
      </c>
      <c r="M395" s="107">
        <f t="shared" si="699"/>
        <v>46220</v>
      </c>
      <c r="N395" s="106">
        <f t="shared" si="700"/>
        <v>46220</v>
      </c>
      <c r="O395" s="106">
        <v>46190</v>
      </c>
      <c r="P395" s="107">
        <f t="shared" si="697"/>
        <v>46258</v>
      </c>
      <c r="Q395" s="106">
        <f t="shared" si="701"/>
        <v>46258</v>
      </c>
      <c r="R395" s="160">
        <v>46300</v>
      </c>
      <c r="S395" s="106">
        <f t="shared" si="703"/>
        <v>46272</v>
      </c>
      <c r="T395" s="106">
        <f t="shared" si="702"/>
        <v>46272</v>
      </c>
      <c r="U395" s="107"/>
      <c r="V395" s="222"/>
      <c r="X395" s="168" t="str">
        <f t="shared" ca="1" si="688"/>
        <v>Completed</v>
      </c>
      <c r="Y395" s="168" t="str">
        <f t="shared" ca="1" si="689"/>
        <v>Completed</v>
      </c>
      <c r="Z395" s="168" t="str">
        <f t="shared" ca="1" si="690"/>
        <v>Completed</v>
      </c>
      <c r="AA395" s="169" t="str">
        <f t="shared" ca="1" si="691"/>
        <v>Overdue</v>
      </c>
    </row>
    <row r="396" spans="1:27" s="70" customFormat="1" ht="11.5" x14ac:dyDescent="0.25">
      <c r="A396" s="101" t="s">
        <v>64</v>
      </c>
      <c r="B396" s="101" t="s">
        <v>14</v>
      </c>
      <c r="C396" s="101" t="s">
        <v>400</v>
      </c>
      <c r="D396" s="101" t="s">
        <v>401</v>
      </c>
      <c r="E396" s="104">
        <f t="shared" si="694"/>
        <v>1</v>
      </c>
      <c r="F396" s="104">
        <f t="shared" si="695"/>
        <v>1</v>
      </c>
      <c r="G396" s="104">
        <f t="shared" si="704"/>
        <v>0.79999999999999993</v>
      </c>
      <c r="H396" s="103">
        <f t="shared" si="696"/>
        <v>-0.20000000000000007</v>
      </c>
      <c r="I396" s="109">
        <v>4.7E-2</v>
      </c>
      <c r="J396" s="106">
        <f t="shared" si="705"/>
        <v>46199</v>
      </c>
      <c r="K396" s="106">
        <f t="shared" si="698"/>
        <v>46199</v>
      </c>
      <c r="L396" s="106">
        <v>46156</v>
      </c>
      <c r="M396" s="107">
        <f t="shared" si="699"/>
        <v>46241</v>
      </c>
      <c r="N396" s="106">
        <f t="shared" si="700"/>
        <v>46241</v>
      </c>
      <c r="O396" s="106">
        <v>46286</v>
      </c>
      <c r="P396" s="107">
        <f t="shared" ref="P396:P448" si="706">M396+42</f>
        <v>46283</v>
      </c>
      <c r="Q396" s="106">
        <f t="shared" si="701"/>
        <v>46283</v>
      </c>
      <c r="R396" s="106">
        <v>46295</v>
      </c>
      <c r="S396" s="106">
        <f t="shared" si="703"/>
        <v>46297</v>
      </c>
      <c r="T396" s="106">
        <f t="shared" si="702"/>
        <v>46297</v>
      </c>
      <c r="U396" s="107"/>
      <c r="V396" s="222" t="s">
        <v>1231</v>
      </c>
      <c r="X396" s="168" t="str">
        <f t="shared" ca="1" si="688"/>
        <v>Completed</v>
      </c>
      <c r="Y396" s="168" t="str">
        <f t="shared" ca="1" si="689"/>
        <v>Completed</v>
      </c>
      <c r="Z396" s="168" t="str">
        <f t="shared" ca="1" si="690"/>
        <v>Completed</v>
      </c>
      <c r="AA396" s="169" t="str">
        <f t="shared" ca="1" si="691"/>
        <v>Overdue</v>
      </c>
    </row>
    <row r="397" spans="1:27" s="70" customFormat="1" ht="11.5" x14ac:dyDescent="0.25">
      <c r="A397" s="101" t="s">
        <v>64</v>
      </c>
      <c r="B397" s="101" t="s">
        <v>14</v>
      </c>
      <c r="C397" s="101" t="s">
        <v>402</v>
      </c>
      <c r="D397" s="101" t="s">
        <v>403</v>
      </c>
      <c r="E397" s="104">
        <f t="shared" si="694"/>
        <v>1</v>
      </c>
      <c r="F397" s="104">
        <f t="shared" si="695"/>
        <v>1</v>
      </c>
      <c r="G397" s="104">
        <f t="shared" si="704"/>
        <v>1</v>
      </c>
      <c r="H397" s="103">
        <f t="shared" si="696"/>
        <v>0</v>
      </c>
      <c r="I397" s="109">
        <v>4.7E-2</v>
      </c>
      <c r="J397" s="106">
        <f t="shared" si="705"/>
        <v>46199</v>
      </c>
      <c r="K397" s="106">
        <f t="shared" si="698"/>
        <v>46199</v>
      </c>
      <c r="L397" s="106">
        <v>46156</v>
      </c>
      <c r="M397" s="107">
        <f t="shared" si="699"/>
        <v>46241</v>
      </c>
      <c r="N397" s="106">
        <f t="shared" si="700"/>
        <v>46241</v>
      </c>
      <c r="O397" s="106">
        <v>46286</v>
      </c>
      <c r="P397" s="107">
        <f t="shared" si="706"/>
        <v>46283</v>
      </c>
      <c r="Q397" s="106">
        <f t="shared" si="701"/>
        <v>46283</v>
      </c>
      <c r="R397" s="106">
        <v>46295</v>
      </c>
      <c r="S397" s="106">
        <f t="shared" si="703"/>
        <v>46297</v>
      </c>
      <c r="T397" s="106">
        <f t="shared" si="702"/>
        <v>46297</v>
      </c>
      <c r="U397" s="160">
        <v>46300</v>
      </c>
      <c r="V397" s="222"/>
      <c r="X397" s="168" t="str">
        <f t="shared" ca="1" si="688"/>
        <v>Completed</v>
      </c>
      <c r="Y397" s="168" t="str">
        <f t="shared" ca="1" si="689"/>
        <v>Completed</v>
      </c>
      <c r="Z397" s="168" t="str">
        <f t="shared" ca="1" si="690"/>
        <v>Completed</v>
      </c>
      <c r="AA397" s="169" t="str">
        <f t="shared" ca="1" si="691"/>
        <v>Completed</v>
      </c>
    </row>
    <row r="398" spans="1:27" s="70" customFormat="1" ht="11.5" x14ac:dyDescent="0.25">
      <c r="A398" s="101" t="s">
        <v>64</v>
      </c>
      <c r="B398" s="101" t="s">
        <v>14</v>
      </c>
      <c r="C398" s="101" t="s">
        <v>404</v>
      </c>
      <c r="D398" s="101" t="s">
        <v>405</v>
      </c>
      <c r="E398" s="104">
        <f t="shared" si="694"/>
        <v>1</v>
      </c>
      <c r="F398" s="104">
        <f t="shared" si="695"/>
        <v>1</v>
      </c>
      <c r="G398" s="104">
        <f t="shared" si="704"/>
        <v>0.7</v>
      </c>
      <c r="H398" s="104">
        <f t="shared" si="696"/>
        <v>-0.30000000000000004</v>
      </c>
      <c r="I398" s="105">
        <v>4.7E-2</v>
      </c>
      <c r="J398" s="106">
        <f t="shared" si="705"/>
        <v>46199</v>
      </c>
      <c r="K398" s="106">
        <f t="shared" si="698"/>
        <v>46199</v>
      </c>
      <c r="L398" s="106">
        <v>46156</v>
      </c>
      <c r="M398" s="107">
        <f t="shared" si="699"/>
        <v>46241</v>
      </c>
      <c r="N398" s="106">
        <f t="shared" si="700"/>
        <v>46241</v>
      </c>
      <c r="O398" s="106">
        <v>46191</v>
      </c>
      <c r="P398" s="107">
        <f t="shared" si="706"/>
        <v>46283</v>
      </c>
      <c r="Q398" s="106">
        <f t="shared" si="701"/>
        <v>46283</v>
      </c>
      <c r="R398" s="107"/>
      <c r="S398" s="106">
        <f t="shared" si="703"/>
        <v>46297</v>
      </c>
      <c r="T398" s="106">
        <f t="shared" si="702"/>
        <v>46297</v>
      </c>
      <c r="U398" s="107"/>
      <c r="V398" s="222"/>
      <c r="X398" s="168" t="str">
        <f t="shared" ca="1" si="688"/>
        <v>Completed</v>
      </c>
      <c r="Y398" s="168" t="str">
        <f t="shared" ca="1" si="689"/>
        <v>Completed</v>
      </c>
      <c r="Z398" s="168" t="str">
        <f t="shared" ca="1" si="690"/>
        <v>Overdue</v>
      </c>
      <c r="AA398" s="169" t="str">
        <f t="shared" ca="1" si="691"/>
        <v>Overdue</v>
      </c>
    </row>
    <row r="399" spans="1:27" s="70" customFormat="1" ht="11.5" x14ac:dyDescent="0.25">
      <c r="A399" s="101" t="s">
        <v>64</v>
      </c>
      <c r="B399" s="101" t="s">
        <v>14</v>
      </c>
      <c r="C399" s="101" t="s">
        <v>406</v>
      </c>
      <c r="D399" s="101" t="s">
        <v>407</v>
      </c>
      <c r="E399" s="104">
        <f t="shared" si="694"/>
        <v>1</v>
      </c>
      <c r="F399" s="104">
        <f t="shared" si="695"/>
        <v>1</v>
      </c>
      <c r="G399" s="104">
        <f t="shared" si="704"/>
        <v>1</v>
      </c>
      <c r="H399" s="104">
        <f t="shared" si="696"/>
        <v>0</v>
      </c>
      <c r="I399" s="105">
        <v>4.7E-2</v>
      </c>
      <c r="J399" s="106">
        <f t="shared" si="705"/>
        <v>46192</v>
      </c>
      <c r="K399" s="106">
        <f t="shared" si="698"/>
        <v>46192</v>
      </c>
      <c r="L399" s="106">
        <v>46178</v>
      </c>
      <c r="M399" s="107">
        <f t="shared" si="699"/>
        <v>46234</v>
      </c>
      <c r="N399" s="106">
        <f t="shared" si="700"/>
        <v>46234</v>
      </c>
      <c r="O399" s="107">
        <v>46266</v>
      </c>
      <c r="P399" s="107">
        <f t="shared" si="706"/>
        <v>46276</v>
      </c>
      <c r="Q399" s="106">
        <f t="shared" si="701"/>
        <v>46276</v>
      </c>
      <c r="R399" s="106">
        <v>46294</v>
      </c>
      <c r="S399" s="106">
        <f t="shared" si="703"/>
        <v>46290</v>
      </c>
      <c r="T399" s="106">
        <f t="shared" si="702"/>
        <v>46290</v>
      </c>
      <c r="U399" s="160">
        <v>46300</v>
      </c>
      <c r="V399" s="222"/>
      <c r="X399" s="168" t="str">
        <f t="shared" ca="1" si="688"/>
        <v>Completed</v>
      </c>
      <c r="Y399" s="168" t="str">
        <f t="shared" ca="1" si="689"/>
        <v>Completed</v>
      </c>
      <c r="Z399" s="168" t="str">
        <f t="shared" ca="1" si="690"/>
        <v>Completed</v>
      </c>
      <c r="AA399" s="169" t="str">
        <f t="shared" ca="1" si="691"/>
        <v>Completed</v>
      </c>
    </row>
    <row r="400" spans="1:27" s="70" customFormat="1" ht="11.5" x14ac:dyDescent="0.25">
      <c r="A400" s="101" t="s">
        <v>64</v>
      </c>
      <c r="B400" s="101" t="s">
        <v>14</v>
      </c>
      <c r="C400" s="101" t="s">
        <v>408</v>
      </c>
      <c r="D400" s="101" t="s">
        <v>409</v>
      </c>
      <c r="E400" s="104">
        <f t="shared" si="694"/>
        <v>1</v>
      </c>
      <c r="F400" s="104">
        <f t="shared" si="695"/>
        <v>1</v>
      </c>
      <c r="G400" s="104">
        <f t="shared" si="704"/>
        <v>0</v>
      </c>
      <c r="H400" s="104">
        <f t="shared" si="696"/>
        <v>-1</v>
      </c>
      <c r="I400" s="105">
        <v>4.7E-2</v>
      </c>
      <c r="J400" s="106">
        <f t="shared" si="705"/>
        <v>46199</v>
      </c>
      <c r="K400" s="106">
        <f t="shared" si="698"/>
        <v>46199</v>
      </c>
      <c r="L400" s="107"/>
      <c r="M400" s="107">
        <f t="shared" si="699"/>
        <v>46241</v>
      </c>
      <c r="N400" s="106">
        <f t="shared" si="700"/>
        <v>46241</v>
      </c>
      <c r="O400" s="107"/>
      <c r="P400" s="107">
        <f t="shared" si="706"/>
        <v>46283</v>
      </c>
      <c r="Q400" s="106">
        <f t="shared" si="701"/>
        <v>46283</v>
      </c>
      <c r="R400" s="107"/>
      <c r="S400" s="106">
        <f t="shared" si="703"/>
        <v>46297</v>
      </c>
      <c r="T400" s="106">
        <f t="shared" si="702"/>
        <v>46297</v>
      </c>
      <c r="U400" s="107"/>
      <c r="V400" s="222"/>
      <c r="X400" s="168" t="str">
        <f t="shared" ca="1" si="688"/>
        <v>Overdue</v>
      </c>
      <c r="Y400" s="168" t="str">
        <f t="shared" ca="1" si="689"/>
        <v>Overdue</v>
      </c>
      <c r="Z400" s="168" t="str">
        <f t="shared" ca="1" si="690"/>
        <v>Overdue</v>
      </c>
      <c r="AA400" s="169" t="str">
        <f t="shared" ca="1" si="691"/>
        <v>Overdue</v>
      </c>
    </row>
    <row r="401" spans="1:27" s="70" customFormat="1" ht="11.5" x14ac:dyDescent="0.25">
      <c r="A401" s="101" t="s">
        <v>64</v>
      </c>
      <c r="B401" s="101" t="s">
        <v>14</v>
      </c>
      <c r="C401" s="101" t="s">
        <v>410</v>
      </c>
      <c r="D401" s="101" t="s">
        <v>411</v>
      </c>
      <c r="E401" s="104">
        <f t="shared" si="694"/>
        <v>1</v>
      </c>
      <c r="F401" s="104">
        <f t="shared" si="695"/>
        <v>1</v>
      </c>
      <c r="G401" s="104">
        <f t="shared" si="704"/>
        <v>0.7</v>
      </c>
      <c r="H401" s="104">
        <f t="shared" si="696"/>
        <v>-0.30000000000000004</v>
      </c>
      <c r="I401" s="105">
        <v>4.7E-2</v>
      </c>
      <c r="J401" s="106">
        <f t="shared" si="705"/>
        <v>46192</v>
      </c>
      <c r="K401" s="106">
        <f t="shared" si="698"/>
        <v>46192</v>
      </c>
      <c r="L401" s="106">
        <v>46191</v>
      </c>
      <c r="M401" s="107">
        <f t="shared" si="699"/>
        <v>46234</v>
      </c>
      <c r="N401" s="106">
        <f t="shared" si="700"/>
        <v>46234</v>
      </c>
      <c r="O401" s="107">
        <v>46283</v>
      </c>
      <c r="P401" s="107">
        <f t="shared" si="706"/>
        <v>46276</v>
      </c>
      <c r="Q401" s="106">
        <f t="shared" si="701"/>
        <v>46276</v>
      </c>
      <c r="R401" s="106"/>
      <c r="S401" s="106">
        <f t="shared" si="703"/>
        <v>46290</v>
      </c>
      <c r="T401" s="106">
        <f t="shared" si="702"/>
        <v>46290</v>
      </c>
      <c r="U401" s="107"/>
      <c r="V401" s="222"/>
      <c r="X401" s="168" t="str">
        <f t="shared" ca="1" si="688"/>
        <v>Completed</v>
      </c>
      <c r="Y401" s="168" t="str">
        <f t="shared" ca="1" si="689"/>
        <v>Completed</v>
      </c>
      <c r="Z401" s="168" t="str">
        <f t="shared" ca="1" si="690"/>
        <v>Overdue</v>
      </c>
      <c r="AA401" s="169" t="str">
        <f t="shared" ca="1" si="691"/>
        <v>Overdue</v>
      </c>
    </row>
    <row r="402" spans="1:27" s="70" customFormat="1" ht="11.5" x14ac:dyDescent="0.25">
      <c r="A402" s="101" t="s">
        <v>64</v>
      </c>
      <c r="B402" s="101" t="s">
        <v>14</v>
      </c>
      <c r="C402" s="101" t="s">
        <v>412</v>
      </c>
      <c r="D402" s="101" t="s">
        <v>413</v>
      </c>
      <c r="E402" s="104">
        <f t="shared" si="694"/>
        <v>1</v>
      </c>
      <c r="F402" s="104">
        <f t="shared" si="695"/>
        <v>1</v>
      </c>
      <c r="G402" s="104">
        <f t="shared" si="704"/>
        <v>0.7</v>
      </c>
      <c r="H402" s="104">
        <f t="shared" si="696"/>
        <v>-0.30000000000000004</v>
      </c>
      <c r="I402" s="105">
        <v>4.7E-2</v>
      </c>
      <c r="J402" s="106">
        <f t="shared" si="705"/>
        <v>46192</v>
      </c>
      <c r="K402" s="106">
        <f t="shared" si="698"/>
        <v>46192</v>
      </c>
      <c r="L402" s="106">
        <v>46191</v>
      </c>
      <c r="M402" s="107">
        <f t="shared" si="699"/>
        <v>46234</v>
      </c>
      <c r="N402" s="106">
        <f t="shared" si="700"/>
        <v>46234</v>
      </c>
      <c r="O402" s="107">
        <v>46283</v>
      </c>
      <c r="P402" s="107">
        <f t="shared" si="706"/>
        <v>46276</v>
      </c>
      <c r="Q402" s="106">
        <f t="shared" si="701"/>
        <v>46276</v>
      </c>
      <c r="R402" s="106"/>
      <c r="S402" s="106">
        <f t="shared" si="703"/>
        <v>46290</v>
      </c>
      <c r="T402" s="106">
        <f t="shared" si="702"/>
        <v>46290</v>
      </c>
      <c r="U402" s="107"/>
      <c r="V402" s="222"/>
      <c r="X402" s="168" t="str">
        <f t="shared" ca="1" si="688"/>
        <v>Completed</v>
      </c>
      <c r="Y402" s="168" t="str">
        <f t="shared" ca="1" si="689"/>
        <v>Completed</v>
      </c>
      <c r="Z402" s="168" t="str">
        <f t="shared" ca="1" si="690"/>
        <v>Overdue</v>
      </c>
      <c r="AA402" s="169" t="str">
        <f t="shared" ca="1" si="691"/>
        <v>Overdue</v>
      </c>
    </row>
    <row r="403" spans="1:27" s="70" customFormat="1" ht="11.5" x14ac:dyDescent="0.25">
      <c r="A403" s="101" t="s">
        <v>64</v>
      </c>
      <c r="B403" s="101" t="s">
        <v>14</v>
      </c>
      <c r="C403" s="101" t="s">
        <v>828</v>
      </c>
      <c r="D403" s="101" t="s">
        <v>807</v>
      </c>
      <c r="E403" s="104">
        <f t="shared" si="694"/>
        <v>1</v>
      </c>
      <c r="F403" s="104">
        <f t="shared" si="695"/>
        <v>1</v>
      </c>
      <c r="G403" s="104">
        <f t="shared" si="704"/>
        <v>1</v>
      </c>
      <c r="H403" s="104">
        <f t="shared" si="696"/>
        <v>0</v>
      </c>
      <c r="I403" s="105">
        <v>4.7E-2</v>
      </c>
      <c r="J403" s="106">
        <f t="shared" si="705"/>
        <v>46206</v>
      </c>
      <c r="K403" s="106">
        <f t="shared" si="698"/>
        <v>46206</v>
      </c>
      <c r="L403" s="106">
        <v>46182</v>
      </c>
      <c r="M403" s="107">
        <f t="shared" si="699"/>
        <v>46248</v>
      </c>
      <c r="N403" s="106">
        <f t="shared" si="700"/>
        <v>46248</v>
      </c>
      <c r="O403" s="106">
        <v>46191</v>
      </c>
      <c r="P403" s="107">
        <f t="shared" si="706"/>
        <v>46290</v>
      </c>
      <c r="Q403" s="106">
        <f t="shared" si="701"/>
        <v>46290</v>
      </c>
      <c r="R403" s="107">
        <v>46252</v>
      </c>
      <c r="S403" s="106">
        <f t="shared" si="703"/>
        <v>46304</v>
      </c>
      <c r="T403" s="106">
        <f t="shared" si="702"/>
        <v>46304</v>
      </c>
      <c r="U403" s="106">
        <v>46262</v>
      </c>
      <c r="V403" s="221"/>
      <c r="X403" s="168" t="str">
        <f t="shared" ca="1" si="688"/>
        <v>Completed</v>
      </c>
      <c r="Y403" s="168" t="str">
        <f t="shared" ca="1" si="689"/>
        <v>Completed</v>
      </c>
      <c r="Z403" s="168" t="str">
        <f t="shared" ca="1" si="690"/>
        <v>Completed</v>
      </c>
      <c r="AA403" s="169" t="str">
        <f t="shared" ca="1" si="691"/>
        <v>Completed</v>
      </c>
    </row>
    <row r="404" spans="1:27" s="70" customFormat="1" ht="11.5" x14ac:dyDescent="0.25">
      <c r="A404" s="101" t="s">
        <v>64</v>
      </c>
      <c r="B404" s="101" t="s">
        <v>14</v>
      </c>
      <c r="C404" s="101" t="s">
        <v>829</v>
      </c>
      <c r="D404" s="101" t="s">
        <v>808</v>
      </c>
      <c r="E404" s="104">
        <f t="shared" si="694"/>
        <v>1</v>
      </c>
      <c r="F404" s="104">
        <f t="shared" si="695"/>
        <v>1</v>
      </c>
      <c r="G404" s="104">
        <f t="shared" si="704"/>
        <v>1</v>
      </c>
      <c r="H404" s="104">
        <f t="shared" si="696"/>
        <v>0</v>
      </c>
      <c r="I404" s="105">
        <v>4.7E-2</v>
      </c>
      <c r="J404" s="106">
        <f t="shared" si="705"/>
        <v>46206</v>
      </c>
      <c r="K404" s="106">
        <f t="shared" si="698"/>
        <v>46206</v>
      </c>
      <c r="L404" s="106">
        <v>46182</v>
      </c>
      <c r="M404" s="107">
        <f t="shared" si="699"/>
        <v>46248</v>
      </c>
      <c r="N404" s="106">
        <f t="shared" si="700"/>
        <v>46248</v>
      </c>
      <c r="O404" s="106">
        <v>46191</v>
      </c>
      <c r="P404" s="107">
        <f t="shared" si="706"/>
        <v>46290</v>
      </c>
      <c r="Q404" s="106">
        <f t="shared" si="701"/>
        <v>46290</v>
      </c>
      <c r="R404" s="107">
        <v>46252</v>
      </c>
      <c r="S404" s="106">
        <f t="shared" si="703"/>
        <v>46304</v>
      </c>
      <c r="T404" s="106">
        <f t="shared" si="702"/>
        <v>46304</v>
      </c>
      <c r="U404" s="106">
        <v>46262</v>
      </c>
      <c r="V404" s="221"/>
      <c r="X404" s="168" t="str">
        <f t="shared" ca="1" si="688"/>
        <v>Completed</v>
      </c>
      <c r="Y404" s="168" t="str">
        <f t="shared" ca="1" si="689"/>
        <v>Completed</v>
      </c>
      <c r="Z404" s="168" t="str">
        <f t="shared" ca="1" si="690"/>
        <v>Completed</v>
      </c>
      <c r="AA404" s="169" t="str">
        <f t="shared" ca="1" si="691"/>
        <v>Completed</v>
      </c>
    </row>
    <row r="405" spans="1:27" s="70" customFormat="1" ht="11.5" x14ac:dyDescent="0.25">
      <c r="A405" s="101" t="s">
        <v>64</v>
      </c>
      <c r="B405" s="101" t="s">
        <v>14</v>
      </c>
      <c r="C405" s="101" t="s">
        <v>830</v>
      </c>
      <c r="D405" s="101" t="s">
        <v>809</v>
      </c>
      <c r="E405" s="104">
        <f t="shared" si="694"/>
        <v>1</v>
      </c>
      <c r="F405" s="104">
        <f t="shared" si="695"/>
        <v>1</v>
      </c>
      <c r="G405" s="104">
        <f t="shared" si="704"/>
        <v>1</v>
      </c>
      <c r="H405" s="104">
        <f t="shared" si="696"/>
        <v>0</v>
      </c>
      <c r="I405" s="105">
        <v>4.7E-2</v>
      </c>
      <c r="J405" s="106">
        <f t="shared" si="705"/>
        <v>46206</v>
      </c>
      <c r="K405" s="106">
        <f t="shared" si="698"/>
        <v>46206</v>
      </c>
      <c r="L405" s="106">
        <v>46182</v>
      </c>
      <c r="M405" s="107">
        <f t="shared" si="699"/>
        <v>46248</v>
      </c>
      <c r="N405" s="106">
        <f t="shared" si="700"/>
        <v>46248</v>
      </c>
      <c r="O405" s="106">
        <v>46191</v>
      </c>
      <c r="P405" s="107">
        <f t="shared" si="706"/>
        <v>46290</v>
      </c>
      <c r="Q405" s="106">
        <f t="shared" si="701"/>
        <v>46290</v>
      </c>
      <c r="R405" s="107">
        <v>46252</v>
      </c>
      <c r="S405" s="106">
        <f t="shared" si="703"/>
        <v>46304</v>
      </c>
      <c r="T405" s="106">
        <f t="shared" si="702"/>
        <v>46304</v>
      </c>
      <c r="U405" s="106">
        <v>46262</v>
      </c>
      <c r="V405" s="221"/>
      <c r="X405" s="168" t="str">
        <f t="shared" ca="1" si="688"/>
        <v>Completed</v>
      </c>
      <c r="Y405" s="168" t="str">
        <f t="shared" ca="1" si="689"/>
        <v>Completed</v>
      </c>
      <c r="Z405" s="168" t="str">
        <f t="shared" ca="1" si="690"/>
        <v>Completed</v>
      </c>
      <c r="AA405" s="169" t="str">
        <f t="shared" ca="1" si="691"/>
        <v>Completed</v>
      </c>
    </row>
    <row r="406" spans="1:27" s="70" customFormat="1" ht="11.5" x14ac:dyDescent="0.25">
      <c r="A406" s="101" t="s">
        <v>64</v>
      </c>
      <c r="B406" s="101" t="s">
        <v>14</v>
      </c>
      <c r="C406" s="101" t="s">
        <v>831</v>
      </c>
      <c r="D406" s="101" t="s">
        <v>810</v>
      </c>
      <c r="E406" s="104">
        <f t="shared" si="694"/>
        <v>1</v>
      </c>
      <c r="F406" s="104">
        <f t="shared" si="695"/>
        <v>1</v>
      </c>
      <c r="G406" s="104">
        <f t="shared" si="704"/>
        <v>1</v>
      </c>
      <c r="H406" s="104">
        <f t="shared" si="696"/>
        <v>0</v>
      </c>
      <c r="I406" s="105">
        <v>4.7E-2</v>
      </c>
      <c r="J406" s="106">
        <f t="shared" si="705"/>
        <v>46206</v>
      </c>
      <c r="K406" s="106">
        <f t="shared" si="698"/>
        <v>46206</v>
      </c>
      <c r="L406" s="106">
        <v>46182</v>
      </c>
      <c r="M406" s="107">
        <f t="shared" si="699"/>
        <v>46248</v>
      </c>
      <c r="N406" s="106">
        <f t="shared" si="700"/>
        <v>46248</v>
      </c>
      <c r="O406" s="106">
        <v>46191</v>
      </c>
      <c r="P406" s="107">
        <f t="shared" si="706"/>
        <v>46290</v>
      </c>
      <c r="Q406" s="106">
        <f t="shared" si="701"/>
        <v>46290</v>
      </c>
      <c r="R406" s="107">
        <v>46252</v>
      </c>
      <c r="S406" s="106">
        <f t="shared" si="703"/>
        <v>46304</v>
      </c>
      <c r="T406" s="106">
        <f t="shared" si="702"/>
        <v>46304</v>
      </c>
      <c r="U406" s="106">
        <v>46262</v>
      </c>
      <c r="V406" s="221"/>
      <c r="X406" s="168" t="str">
        <f t="shared" ca="1" si="688"/>
        <v>Completed</v>
      </c>
      <c r="Y406" s="168" t="str">
        <f t="shared" ca="1" si="689"/>
        <v>Completed</v>
      </c>
      <c r="Z406" s="168" t="str">
        <f t="shared" ca="1" si="690"/>
        <v>Completed</v>
      </c>
      <c r="AA406" s="169" t="str">
        <f t="shared" ca="1" si="691"/>
        <v>Completed</v>
      </c>
    </row>
    <row r="407" spans="1:27" s="70" customFormat="1" ht="11.5" x14ac:dyDescent="0.25">
      <c r="A407" s="101" t="s">
        <v>64</v>
      </c>
      <c r="B407" s="101" t="s">
        <v>14</v>
      </c>
      <c r="C407" s="101" t="s">
        <v>832</v>
      </c>
      <c r="D407" s="101" t="s">
        <v>811</v>
      </c>
      <c r="E407" s="104">
        <f t="shared" si="694"/>
        <v>1</v>
      </c>
      <c r="F407" s="104">
        <f t="shared" si="695"/>
        <v>1</v>
      </c>
      <c r="G407" s="104">
        <f t="shared" si="704"/>
        <v>1</v>
      </c>
      <c r="H407" s="104">
        <f t="shared" si="696"/>
        <v>0</v>
      </c>
      <c r="I407" s="105">
        <v>4.7E-2</v>
      </c>
      <c r="J407" s="106">
        <f t="shared" si="705"/>
        <v>46206</v>
      </c>
      <c r="K407" s="106">
        <f t="shared" si="698"/>
        <v>46206</v>
      </c>
      <c r="L407" s="106">
        <v>46182</v>
      </c>
      <c r="M407" s="107">
        <f t="shared" si="699"/>
        <v>46248</v>
      </c>
      <c r="N407" s="106">
        <f t="shared" si="700"/>
        <v>46248</v>
      </c>
      <c r="O407" s="106">
        <v>46191</v>
      </c>
      <c r="P407" s="107">
        <f t="shared" si="706"/>
        <v>46290</v>
      </c>
      <c r="Q407" s="106">
        <f t="shared" si="701"/>
        <v>46290</v>
      </c>
      <c r="R407" s="107">
        <v>46252</v>
      </c>
      <c r="S407" s="106">
        <f t="shared" si="703"/>
        <v>46304</v>
      </c>
      <c r="T407" s="106">
        <f t="shared" si="702"/>
        <v>46304</v>
      </c>
      <c r="U407" s="106">
        <v>46262</v>
      </c>
      <c r="V407" s="221"/>
      <c r="X407" s="168" t="str">
        <f t="shared" ca="1" si="688"/>
        <v>Completed</v>
      </c>
      <c r="Y407" s="168" t="str">
        <f t="shared" ca="1" si="689"/>
        <v>Completed</v>
      </c>
      <c r="Z407" s="168" t="str">
        <f t="shared" ca="1" si="690"/>
        <v>Completed</v>
      </c>
      <c r="AA407" s="169" t="str">
        <f t="shared" ca="1" si="691"/>
        <v>Completed</v>
      </c>
    </row>
    <row r="408" spans="1:27" s="70" customFormat="1" ht="11.5" x14ac:dyDescent="0.25">
      <c r="A408" s="101" t="s">
        <v>64</v>
      </c>
      <c r="B408" s="101" t="s">
        <v>14</v>
      </c>
      <c r="C408" s="101" t="s">
        <v>833</v>
      </c>
      <c r="D408" s="101" t="s">
        <v>812</v>
      </c>
      <c r="E408" s="104">
        <f t="shared" si="694"/>
        <v>1</v>
      </c>
      <c r="F408" s="104">
        <f t="shared" si="695"/>
        <v>1</v>
      </c>
      <c r="G408" s="104">
        <f t="shared" si="704"/>
        <v>1</v>
      </c>
      <c r="H408" s="104">
        <f t="shared" si="696"/>
        <v>0</v>
      </c>
      <c r="I408" s="105">
        <v>4.7E-2</v>
      </c>
      <c r="J408" s="106">
        <f t="shared" si="705"/>
        <v>46206</v>
      </c>
      <c r="K408" s="106">
        <f t="shared" si="698"/>
        <v>46206</v>
      </c>
      <c r="L408" s="142">
        <v>46162</v>
      </c>
      <c r="M408" s="107">
        <f t="shared" si="699"/>
        <v>46248</v>
      </c>
      <c r="N408" s="106">
        <f t="shared" si="700"/>
        <v>46248</v>
      </c>
      <c r="O408" s="106">
        <v>46191</v>
      </c>
      <c r="P408" s="107">
        <f t="shared" si="706"/>
        <v>46290</v>
      </c>
      <c r="Q408" s="106">
        <f t="shared" si="701"/>
        <v>46290</v>
      </c>
      <c r="R408" s="107">
        <v>46252</v>
      </c>
      <c r="S408" s="106">
        <f t="shared" si="703"/>
        <v>46304</v>
      </c>
      <c r="T408" s="106">
        <f t="shared" si="702"/>
        <v>46304</v>
      </c>
      <c r="U408" s="106">
        <v>46262</v>
      </c>
      <c r="V408" s="221"/>
      <c r="X408" s="168" t="str">
        <f t="shared" ca="1" si="688"/>
        <v>Completed</v>
      </c>
      <c r="Y408" s="168" t="str">
        <f t="shared" ca="1" si="689"/>
        <v>Completed</v>
      </c>
      <c r="Z408" s="168" t="str">
        <f t="shared" ca="1" si="690"/>
        <v>Completed</v>
      </c>
      <c r="AA408" s="169" t="str">
        <f t="shared" ca="1" si="691"/>
        <v>Completed</v>
      </c>
    </row>
    <row r="409" spans="1:27" s="70" customFormat="1" ht="11.5" x14ac:dyDescent="0.25">
      <c r="A409" s="101" t="s">
        <v>64</v>
      </c>
      <c r="B409" s="101" t="s">
        <v>14</v>
      </c>
      <c r="C409" s="101" t="s">
        <v>834</v>
      </c>
      <c r="D409" s="101" t="s">
        <v>813</v>
      </c>
      <c r="E409" s="104">
        <f t="shared" si="694"/>
        <v>1</v>
      </c>
      <c r="F409" s="104">
        <f t="shared" si="695"/>
        <v>1</v>
      </c>
      <c r="G409" s="104">
        <f t="shared" si="704"/>
        <v>1</v>
      </c>
      <c r="H409" s="104">
        <f t="shared" si="696"/>
        <v>0</v>
      </c>
      <c r="I409" s="105">
        <v>4.7E-2</v>
      </c>
      <c r="J409" s="106">
        <f t="shared" si="705"/>
        <v>46206</v>
      </c>
      <c r="K409" s="106">
        <f t="shared" si="698"/>
        <v>46206</v>
      </c>
      <c r="L409" s="142">
        <v>46162</v>
      </c>
      <c r="M409" s="107">
        <f t="shared" si="699"/>
        <v>46248</v>
      </c>
      <c r="N409" s="106">
        <f t="shared" si="700"/>
        <v>46248</v>
      </c>
      <c r="O409" s="106">
        <v>46191</v>
      </c>
      <c r="P409" s="107">
        <f t="shared" si="706"/>
        <v>46290</v>
      </c>
      <c r="Q409" s="106">
        <f t="shared" si="701"/>
        <v>46290</v>
      </c>
      <c r="R409" s="107">
        <v>46252</v>
      </c>
      <c r="S409" s="106">
        <f t="shared" si="703"/>
        <v>46304</v>
      </c>
      <c r="T409" s="106">
        <f t="shared" si="702"/>
        <v>46304</v>
      </c>
      <c r="U409" s="106">
        <v>46262</v>
      </c>
      <c r="V409" s="221"/>
      <c r="X409" s="168" t="str">
        <f t="shared" ca="1" si="688"/>
        <v>Completed</v>
      </c>
      <c r="Y409" s="168" t="str">
        <f t="shared" ca="1" si="689"/>
        <v>Completed</v>
      </c>
      <c r="Z409" s="168" t="str">
        <f t="shared" ca="1" si="690"/>
        <v>Completed</v>
      </c>
      <c r="AA409" s="169" t="str">
        <f t="shared" ca="1" si="691"/>
        <v>Completed</v>
      </c>
    </row>
    <row r="410" spans="1:27" s="70" customFormat="1" ht="11.5" x14ac:dyDescent="0.25">
      <c r="A410" s="101" t="s">
        <v>64</v>
      </c>
      <c r="B410" s="101" t="s">
        <v>14</v>
      </c>
      <c r="C410" s="101" t="s">
        <v>835</v>
      </c>
      <c r="D410" s="101" t="s">
        <v>814</v>
      </c>
      <c r="E410" s="104">
        <f t="shared" si="694"/>
        <v>1</v>
      </c>
      <c r="F410" s="104">
        <f t="shared" si="695"/>
        <v>1</v>
      </c>
      <c r="G410" s="104">
        <f t="shared" si="704"/>
        <v>1</v>
      </c>
      <c r="H410" s="104">
        <f t="shared" si="696"/>
        <v>0</v>
      </c>
      <c r="I410" s="105">
        <v>4.7E-2</v>
      </c>
      <c r="J410" s="106">
        <f t="shared" si="705"/>
        <v>46206</v>
      </c>
      <c r="K410" s="106">
        <f t="shared" si="698"/>
        <v>46206</v>
      </c>
      <c r="L410" s="142">
        <v>46162</v>
      </c>
      <c r="M410" s="107">
        <f t="shared" si="699"/>
        <v>46248</v>
      </c>
      <c r="N410" s="106">
        <f t="shared" si="700"/>
        <v>46248</v>
      </c>
      <c r="O410" s="106">
        <v>46191</v>
      </c>
      <c r="P410" s="107">
        <f t="shared" si="706"/>
        <v>46290</v>
      </c>
      <c r="Q410" s="106">
        <f t="shared" si="701"/>
        <v>46290</v>
      </c>
      <c r="R410" s="107">
        <v>46252</v>
      </c>
      <c r="S410" s="106">
        <f t="shared" si="703"/>
        <v>46304</v>
      </c>
      <c r="T410" s="106">
        <f t="shared" si="702"/>
        <v>46304</v>
      </c>
      <c r="U410" s="106">
        <v>46262</v>
      </c>
      <c r="V410" s="221"/>
      <c r="X410" s="168" t="str">
        <f t="shared" ca="1" si="688"/>
        <v>Completed</v>
      </c>
      <c r="Y410" s="168" t="str">
        <f t="shared" ca="1" si="689"/>
        <v>Completed</v>
      </c>
      <c r="Z410" s="168" t="str">
        <f t="shared" ca="1" si="690"/>
        <v>Completed</v>
      </c>
      <c r="AA410" s="169" t="str">
        <f t="shared" ca="1" si="691"/>
        <v>Completed</v>
      </c>
    </row>
    <row r="411" spans="1:27" s="70" customFormat="1" ht="11.5" x14ac:dyDescent="0.25">
      <c r="A411" s="101" t="s">
        <v>64</v>
      </c>
      <c r="B411" s="101" t="s">
        <v>14</v>
      </c>
      <c r="C411" s="101" t="s">
        <v>836</v>
      </c>
      <c r="D411" s="101" t="s">
        <v>815</v>
      </c>
      <c r="E411" s="104">
        <f t="shared" si="694"/>
        <v>1</v>
      </c>
      <c r="F411" s="104">
        <f t="shared" si="695"/>
        <v>1</v>
      </c>
      <c r="G411" s="104">
        <f t="shared" si="704"/>
        <v>1</v>
      </c>
      <c r="H411" s="104">
        <f t="shared" si="696"/>
        <v>0</v>
      </c>
      <c r="I411" s="105">
        <v>4.7E-2</v>
      </c>
      <c r="J411" s="106">
        <f t="shared" si="705"/>
        <v>46206</v>
      </c>
      <c r="K411" s="106">
        <f t="shared" si="698"/>
        <v>46206</v>
      </c>
      <c r="L411" s="142">
        <v>46162</v>
      </c>
      <c r="M411" s="107">
        <f t="shared" si="699"/>
        <v>46248</v>
      </c>
      <c r="N411" s="106">
        <f t="shared" si="700"/>
        <v>46248</v>
      </c>
      <c r="O411" s="106">
        <v>46191</v>
      </c>
      <c r="P411" s="107">
        <f t="shared" si="706"/>
        <v>46290</v>
      </c>
      <c r="Q411" s="106">
        <f t="shared" si="701"/>
        <v>46290</v>
      </c>
      <c r="R411" s="107">
        <v>46252</v>
      </c>
      <c r="S411" s="106">
        <f t="shared" si="703"/>
        <v>46304</v>
      </c>
      <c r="T411" s="106">
        <f t="shared" si="702"/>
        <v>46304</v>
      </c>
      <c r="U411" s="106">
        <v>46262</v>
      </c>
      <c r="V411" s="221"/>
      <c r="X411" s="168" t="str">
        <f t="shared" ca="1" si="688"/>
        <v>Completed</v>
      </c>
      <c r="Y411" s="168" t="str">
        <f t="shared" ca="1" si="689"/>
        <v>Completed</v>
      </c>
      <c r="Z411" s="168" t="str">
        <f t="shared" ca="1" si="690"/>
        <v>Completed</v>
      </c>
      <c r="AA411" s="169" t="str">
        <f t="shared" ca="1" si="691"/>
        <v>Completed</v>
      </c>
    </row>
    <row r="412" spans="1:27" s="70" customFormat="1" ht="11.5" x14ac:dyDescent="0.25">
      <c r="A412" s="101" t="s">
        <v>64</v>
      </c>
      <c r="B412" s="101" t="s">
        <v>14</v>
      </c>
      <c r="C412" s="101" t="s">
        <v>837</v>
      </c>
      <c r="D412" s="101" t="s">
        <v>816</v>
      </c>
      <c r="E412" s="104">
        <f t="shared" si="694"/>
        <v>1</v>
      </c>
      <c r="F412" s="104">
        <f t="shared" si="695"/>
        <v>1</v>
      </c>
      <c r="G412" s="104">
        <f t="shared" si="704"/>
        <v>1</v>
      </c>
      <c r="H412" s="104">
        <f t="shared" si="696"/>
        <v>0</v>
      </c>
      <c r="I412" s="105">
        <v>4.7E-2</v>
      </c>
      <c r="J412" s="106">
        <f t="shared" si="705"/>
        <v>46206</v>
      </c>
      <c r="K412" s="106">
        <f t="shared" si="698"/>
        <v>46206</v>
      </c>
      <c r="L412" s="142">
        <v>46162</v>
      </c>
      <c r="M412" s="107">
        <f t="shared" si="699"/>
        <v>46248</v>
      </c>
      <c r="N412" s="106">
        <f t="shared" si="700"/>
        <v>46248</v>
      </c>
      <c r="O412" s="106">
        <v>46191</v>
      </c>
      <c r="P412" s="107">
        <f t="shared" si="706"/>
        <v>46290</v>
      </c>
      <c r="Q412" s="106">
        <f t="shared" si="701"/>
        <v>46290</v>
      </c>
      <c r="R412" s="107">
        <v>46252</v>
      </c>
      <c r="S412" s="106">
        <f t="shared" si="703"/>
        <v>46304</v>
      </c>
      <c r="T412" s="106">
        <f t="shared" si="702"/>
        <v>46304</v>
      </c>
      <c r="U412" s="106">
        <v>46262</v>
      </c>
      <c r="V412" s="221"/>
      <c r="X412" s="168" t="str">
        <f t="shared" ca="1" si="688"/>
        <v>Completed</v>
      </c>
      <c r="Y412" s="168" t="str">
        <f t="shared" ca="1" si="689"/>
        <v>Completed</v>
      </c>
      <c r="Z412" s="168" t="str">
        <f t="shared" ca="1" si="690"/>
        <v>Completed</v>
      </c>
      <c r="AA412" s="169" t="str">
        <f t="shared" ca="1" si="691"/>
        <v>Completed</v>
      </c>
    </row>
    <row r="413" spans="1:27" s="70" customFormat="1" ht="11.5" x14ac:dyDescent="0.25">
      <c r="A413" s="101" t="s">
        <v>64</v>
      </c>
      <c r="B413" s="101" t="s">
        <v>14</v>
      </c>
      <c r="C413" s="101" t="s">
        <v>838</v>
      </c>
      <c r="D413" s="101" t="s">
        <v>817</v>
      </c>
      <c r="E413" s="104">
        <f t="shared" si="694"/>
        <v>1</v>
      </c>
      <c r="F413" s="104">
        <f t="shared" si="695"/>
        <v>1</v>
      </c>
      <c r="G413" s="104">
        <f t="shared" si="704"/>
        <v>1</v>
      </c>
      <c r="H413" s="104">
        <f t="shared" si="696"/>
        <v>0</v>
      </c>
      <c r="I413" s="105">
        <v>4.7E-2</v>
      </c>
      <c r="J413" s="106">
        <f t="shared" si="705"/>
        <v>46206</v>
      </c>
      <c r="K413" s="106">
        <f t="shared" si="698"/>
        <v>46206</v>
      </c>
      <c r="L413" s="142">
        <v>46162</v>
      </c>
      <c r="M413" s="107">
        <f t="shared" si="699"/>
        <v>46248</v>
      </c>
      <c r="N413" s="106">
        <f t="shared" si="700"/>
        <v>46248</v>
      </c>
      <c r="O413" s="106">
        <v>46191</v>
      </c>
      <c r="P413" s="107">
        <f t="shared" si="706"/>
        <v>46290</v>
      </c>
      <c r="Q413" s="106">
        <f t="shared" si="701"/>
        <v>46290</v>
      </c>
      <c r="R413" s="107">
        <v>46252</v>
      </c>
      <c r="S413" s="106">
        <f t="shared" si="703"/>
        <v>46304</v>
      </c>
      <c r="T413" s="106">
        <f t="shared" si="702"/>
        <v>46304</v>
      </c>
      <c r="U413" s="106">
        <v>46262</v>
      </c>
      <c r="V413" s="221"/>
      <c r="X413" s="168" t="str">
        <f t="shared" ca="1" si="688"/>
        <v>Completed</v>
      </c>
      <c r="Y413" s="168" t="str">
        <f t="shared" ca="1" si="689"/>
        <v>Completed</v>
      </c>
      <c r="Z413" s="168" t="str">
        <f t="shared" ca="1" si="690"/>
        <v>Completed</v>
      </c>
      <c r="AA413" s="169" t="str">
        <f t="shared" ca="1" si="691"/>
        <v>Completed</v>
      </c>
    </row>
    <row r="414" spans="1:27" s="70" customFormat="1" ht="11.5" x14ac:dyDescent="0.25">
      <c r="A414" s="101" t="s">
        <v>64</v>
      </c>
      <c r="B414" s="101" t="s">
        <v>14</v>
      </c>
      <c r="C414" s="101" t="s">
        <v>839</v>
      </c>
      <c r="D414" s="101" t="s">
        <v>818</v>
      </c>
      <c r="E414" s="104">
        <f t="shared" si="694"/>
        <v>1</v>
      </c>
      <c r="F414" s="104">
        <f t="shared" si="695"/>
        <v>1</v>
      </c>
      <c r="G414" s="104">
        <f t="shared" si="704"/>
        <v>1</v>
      </c>
      <c r="H414" s="104">
        <f t="shared" si="696"/>
        <v>0</v>
      </c>
      <c r="I414" s="105">
        <v>4.7E-2</v>
      </c>
      <c r="J414" s="106">
        <f t="shared" si="705"/>
        <v>46206</v>
      </c>
      <c r="K414" s="106">
        <f t="shared" si="698"/>
        <v>46206</v>
      </c>
      <c r="L414" s="142">
        <v>46162</v>
      </c>
      <c r="M414" s="107">
        <f t="shared" si="699"/>
        <v>46248</v>
      </c>
      <c r="N414" s="106">
        <f t="shared" si="700"/>
        <v>46248</v>
      </c>
      <c r="O414" s="106">
        <v>46191</v>
      </c>
      <c r="P414" s="107">
        <f t="shared" si="706"/>
        <v>46290</v>
      </c>
      <c r="Q414" s="106">
        <f t="shared" si="701"/>
        <v>46290</v>
      </c>
      <c r="R414" s="107">
        <v>46252</v>
      </c>
      <c r="S414" s="106">
        <f t="shared" si="703"/>
        <v>46304</v>
      </c>
      <c r="T414" s="106">
        <f t="shared" si="702"/>
        <v>46304</v>
      </c>
      <c r="U414" s="106">
        <v>46262</v>
      </c>
      <c r="V414" s="221"/>
      <c r="X414" s="168" t="str">
        <f t="shared" ca="1" si="688"/>
        <v>Completed</v>
      </c>
      <c r="Y414" s="168" t="str">
        <f t="shared" ca="1" si="689"/>
        <v>Completed</v>
      </c>
      <c r="Z414" s="168" t="str">
        <f t="shared" ca="1" si="690"/>
        <v>Completed</v>
      </c>
      <c r="AA414" s="169" t="str">
        <f t="shared" ca="1" si="691"/>
        <v>Completed</v>
      </c>
    </row>
    <row r="415" spans="1:27" s="70" customFormat="1" ht="11.5" x14ac:dyDescent="0.25">
      <c r="A415" s="101" t="s">
        <v>64</v>
      </c>
      <c r="B415" s="101" t="s">
        <v>14</v>
      </c>
      <c r="C415" s="101" t="s">
        <v>840</v>
      </c>
      <c r="D415" s="101" t="s">
        <v>819</v>
      </c>
      <c r="E415" s="104">
        <f t="shared" si="694"/>
        <v>1</v>
      </c>
      <c r="F415" s="104">
        <f t="shared" si="695"/>
        <v>1</v>
      </c>
      <c r="G415" s="104">
        <f t="shared" si="704"/>
        <v>1</v>
      </c>
      <c r="H415" s="104">
        <f t="shared" si="696"/>
        <v>0</v>
      </c>
      <c r="I415" s="105">
        <v>4.7E-2</v>
      </c>
      <c r="J415" s="106">
        <f t="shared" si="705"/>
        <v>46206</v>
      </c>
      <c r="K415" s="106">
        <f t="shared" si="698"/>
        <v>46206</v>
      </c>
      <c r="L415" s="142">
        <v>46162</v>
      </c>
      <c r="M415" s="107">
        <f t="shared" si="699"/>
        <v>46248</v>
      </c>
      <c r="N415" s="106">
        <f t="shared" si="700"/>
        <v>46248</v>
      </c>
      <c r="O415" s="106">
        <v>46191</v>
      </c>
      <c r="P415" s="107">
        <f t="shared" si="706"/>
        <v>46290</v>
      </c>
      <c r="Q415" s="106">
        <f t="shared" si="701"/>
        <v>46290</v>
      </c>
      <c r="R415" s="107">
        <v>46252</v>
      </c>
      <c r="S415" s="106">
        <f t="shared" si="703"/>
        <v>46304</v>
      </c>
      <c r="T415" s="106">
        <f t="shared" si="702"/>
        <v>46304</v>
      </c>
      <c r="U415" s="106">
        <v>46262</v>
      </c>
      <c r="V415" s="221"/>
      <c r="X415" s="168" t="str">
        <f t="shared" ca="1" si="688"/>
        <v>Completed</v>
      </c>
      <c r="Y415" s="168" t="str">
        <f t="shared" ca="1" si="689"/>
        <v>Completed</v>
      </c>
      <c r="Z415" s="168" t="str">
        <f t="shared" ca="1" si="690"/>
        <v>Completed</v>
      </c>
      <c r="AA415" s="169" t="str">
        <f t="shared" ca="1" si="691"/>
        <v>Completed</v>
      </c>
    </row>
    <row r="416" spans="1:27" s="70" customFormat="1" ht="11.5" x14ac:dyDescent="0.25">
      <c r="A416" s="101" t="s">
        <v>64</v>
      </c>
      <c r="B416" s="101" t="s">
        <v>14</v>
      </c>
      <c r="C416" s="101" t="s">
        <v>414</v>
      </c>
      <c r="D416" s="101" t="s">
        <v>415</v>
      </c>
      <c r="E416" s="104">
        <f t="shared" si="694"/>
        <v>1</v>
      </c>
      <c r="F416" s="104">
        <f t="shared" si="695"/>
        <v>1</v>
      </c>
      <c r="G416" s="104">
        <f t="shared" si="704"/>
        <v>0.7</v>
      </c>
      <c r="H416" s="104">
        <f t="shared" si="696"/>
        <v>-0.30000000000000004</v>
      </c>
      <c r="I416" s="105">
        <v>4.7E-2</v>
      </c>
      <c r="J416" s="106">
        <f t="shared" si="705"/>
        <v>46192</v>
      </c>
      <c r="K416" s="106">
        <f t="shared" si="698"/>
        <v>46192</v>
      </c>
      <c r="L416" s="107">
        <v>46184</v>
      </c>
      <c r="M416" s="107">
        <f t="shared" si="699"/>
        <v>46234</v>
      </c>
      <c r="N416" s="106">
        <f t="shared" si="700"/>
        <v>46234</v>
      </c>
      <c r="O416" s="107">
        <v>46213</v>
      </c>
      <c r="P416" s="107">
        <f t="shared" si="706"/>
        <v>46276</v>
      </c>
      <c r="Q416" s="106">
        <f t="shared" si="701"/>
        <v>46276</v>
      </c>
      <c r="R416" s="107"/>
      <c r="S416" s="106">
        <f t="shared" si="703"/>
        <v>46290</v>
      </c>
      <c r="T416" s="106">
        <f t="shared" si="702"/>
        <v>46290</v>
      </c>
      <c r="U416" s="107"/>
      <c r="V416" s="222"/>
      <c r="X416" s="168" t="str">
        <f t="shared" ca="1" si="688"/>
        <v>Completed</v>
      </c>
      <c r="Y416" s="168" t="str">
        <f t="shared" ca="1" si="689"/>
        <v>Completed</v>
      </c>
      <c r="Z416" s="168" t="str">
        <f t="shared" ca="1" si="690"/>
        <v>Overdue</v>
      </c>
      <c r="AA416" s="169" t="str">
        <f t="shared" ca="1" si="691"/>
        <v>Overdue</v>
      </c>
    </row>
    <row r="417" spans="1:27" s="70" customFormat="1" ht="11.5" x14ac:dyDescent="0.25">
      <c r="A417" s="175" t="s">
        <v>64</v>
      </c>
      <c r="B417" s="175" t="s">
        <v>14</v>
      </c>
      <c r="C417" s="175" t="s">
        <v>416</v>
      </c>
      <c r="D417" s="175" t="s">
        <v>1128</v>
      </c>
      <c r="E417" s="176"/>
      <c r="F417" s="176"/>
      <c r="G417" s="176">
        <f t="shared" si="704"/>
        <v>1</v>
      </c>
      <c r="H417" s="176"/>
      <c r="I417" s="175">
        <v>4.7E-2</v>
      </c>
      <c r="J417" s="178">
        <f t="shared" si="705"/>
        <v>46192</v>
      </c>
      <c r="K417" s="178">
        <f t="shared" si="698"/>
        <v>46192</v>
      </c>
      <c r="L417" s="179">
        <v>46184</v>
      </c>
      <c r="M417" s="179">
        <f t="shared" si="699"/>
        <v>46234</v>
      </c>
      <c r="N417" s="178">
        <f t="shared" si="700"/>
        <v>46234</v>
      </c>
      <c r="O417" s="179">
        <v>46213</v>
      </c>
      <c r="P417" s="179">
        <f t="shared" si="706"/>
        <v>46276</v>
      </c>
      <c r="Q417" s="178">
        <f t="shared" si="701"/>
        <v>46276</v>
      </c>
      <c r="R417" s="179">
        <v>46262</v>
      </c>
      <c r="S417" s="178">
        <f t="shared" si="703"/>
        <v>46290</v>
      </c>
      <c r="T417" s="178">
        <f t="shared" si="702"/>
        <v>46290</v>
      </c>
      <c r="U417" s="179">
        <v>46262</v>
      </c>
      <c r="V417" s="223"/>
      <c r="X417" s="168" t="str">
        <f t="shared" ca="1" si="688"/>
        <v>Completed</v>
      </c>
      <c r="Y417" s="168" t="str">
        <f t="shared" ca="1" si="689"/>
        <v>Completed</v>
      </c>
      <c r="Z417" s="168" t="str">
        <f t="shared" ca="1" si="690"/>
        <v>Completed</v>
      </c>
      <c r="AA417" s="169" t="str">
        <f t="shared" ca="1" si="691"/>
        <v>Completed</v>
      </c>
    </row>
    <row r="418" spans="1:27" s="70" customFormat="1" ht="11.5" x14ac:dyDescent="0.25">
      <c r="A418" s="101" t="s">
        <v>64</v>
      </c>
      <c r="B418" s="101" t="s">
        <v>14</v>
      </c>
      <c r="C418" s="101" t="s">
        <v>417</v>
      </c>
      <c r="D418" s="102" t="s">
        <v>418</v>
      </c>
      <c r="E418" s="104">
        <f t="shared" si="694"/>
        <v>1</v>
      </c>
      <c r="F418" s="104">
        <f t="shared" si="695"/>
        <v>1</v>
      </c>
      <c r="G418" s="104">
        <f t="shared" si="704"/>
        <v>1</v>
      </c>
      <c r="H418" s="104">
        <f t="shared" si="696"/>
        <v>0</v>
      </c>
      <c r="I418" s="105">
        <v>4.7E-2</v>
      </c>
      <c r="J418" s="106">
        <f t="shared" si="705"/>
        <v>46192</v>
      </c>
      <c r="K418" s="106">
        <f t="shared" si="698"/>
        <v>46192</v>
      </c>
      <c r="L418" s="107">
        <v>46268</v>
      </c>
      <c r="M418" s="107">
        <f t="shared" si="699"/>
        <v>46234</v>
      </c>
      <c r="N418" s="106">
        <f t="shared" si="700"/>
        <v>46234</v>
      </c>
      <c r="O418" s="106">
        <v>46281</v>
      </c>
      <c r="P418" s="107">
        <f t="shared" si="706"/>
        <v>46276</v>
      </c>
      <c r="Q418" s="106">
        <f t="shared" si="701"/>
        <v>46276</v>
      </c>
      <c r="R418" s="106">
        <v>46288</v>
      </c>
      <c r="S418" s="106">
        <f t="shared" si="703"/>
        <v>46290</v>
      </c>
      <c r="T418" s="106">
        <f t="shared" si="702"/>
        <v>46290</v>
      </c>
      <c r="U418" s="106">
        <v>46293</v>
      </c>
      <c r="V418" s="222"/>
      <c r="X418" s="168" t="str">
        <f t="shared" ca="1" si="688"/>
        <v>Completed</v>
      </c>
      <c r="Y418" s="168" t="str">
        <f t="shared" ca="1" si="689"/>
        <v>Completed</v>
      </c>
      <c r="Z418" s="168" t="str">
        <f t="shared" ca="1" si="690"/>
        <v>Completed</v>
      </c>
      <c r="AA418" s="169" t="str">
        <f t="shared" ca="1" si="691"/>
        <v>Completed</v>
      </c>
    </row>
    <row r="419" spans="1:27" s="70" customFormat="1" ht="11.5" x14ac:dyDescent="0.25">
      <c r="A419" s="101" t="s">
        <v>64</v>
      </c>
      <c r="B419" s="101" t="s">
        <v>14</v>
      </c>
      <c r="C419" s="101" t="s">
        <v>419</v>
      </c>
      <c r="D419" s="102" t="s">
        <v>420</v>
      </c>
      <c r="E419" s="104">
        <f t="shared" si="694"/>
        <v>1</v>
      </c>
      <c r="F419" s="104">
        <f t="shared" si="695"/>
        <v>1</v>
      </c>
      <c r="G419" s="104">
        <f t="shared" si="704"/>
        <v>1</v>
      </c>
      <c r="H419" s="104">
        <f t="shared" si="696"/>
        <v>0</v>
      </c>
      <c r="I419" s="105">
        <v>4.7E-2</v>
      </c>
      <c r="J419" s="106">
        <f t="shared" si="705"/>
        <v>46192</v>
      </c>
      <c r="K419" s="106">
        <f t="shared" si="698"/>
        <v>46192</v>
      </c>
      <c r="L419" s="107">
        <v>46268</v>
      </c>
      <c r="M419" s="107">
        <f t="shared" si="699"/>
        <v>46234</v>
      </c>
      <c r="N419" s="106">
        <f t="shared" si="700"/>
        <v>46234</v>
      </c>
      <c r="O419" s="106">
        <v>46281</v>
      </c>
      <c r="P419" s="107">
        <f t="shared" si="706"/>
        <v>46276</v>
      </c>
      <c r="Q419" s="106">
        <f t="shared" si="701"/>
        <v>46276</v>
      </c>
      <c r="R419" s="106">
        <v>46288</v>
      </c>
      <c r="S419" s="106">
        <f t="shared" si="703"/>
        <v>46290</v>
      </c>
      <c r="T419" s="106">
        <f t="shared" si="702"/>
        <v>46290</v>
      </c>
      <c r="U419" s="106">
        <v>46293</v>
      </c>
      <c r="V419" s="222"/>
      <c r="X419" s="168" t="str">
        <f t="shared" ca="1" si="688"/>
        <v>Completed</v>
      </c>
      <c r="Y419" s="168" t="str">
        <f t="shared" ca="1" si="689"/>
        <v>Completed</v>
      </c>
      <c r="Z419" s="168" t="str">
        <f t="shared" ca="1" si="690"/>
        <v>Completed</v>
      </c>
      <c r="AA419" s="169" t="str">
        <f t="shared" ca="1" si="691"/>
        <v>Completed</v>
      </c>
    </row>
    <row r="420" spans="1:27" s="70" customFormat="1" ht="11.5" x14ac:dyDescent="0.25">
      <c r="A420" s="101" t="s">
        <v>64</v>
      </c>
      <c r="B420" s="101" t="s">
        <v>14</v>
      </c>
      <c r="C420" s="101" t="s">
        <v>421</v>
      </c>
      <c r="D420" s="102" t="s">
        <v>422</v>
      </c>
      <c r="E420" s="104">
        <f t="shared" si="694"/>
        <v>0.79999999999999993</v>
      </c>
      <c r="F420" s="104">
        <f t="shared" si="695"/>
        <v>0.79999999999999993</v>
      </c>
      <c r="G420" s="104">
        <f t="shared" si="704"/>
        <v>0.79999999999999993</v>
      </c>
      <c r="H420" s="104">
        <f t="shared" si="696"/>
        <v>0</v>
      </c>
      <c r="I420" s="105">
        <v>4.7E-2</v>
      </c>
      <c r="J420" s="106">
        <f t="shared" si="705"/>
        <v>46213</v>
      </c>
      <c r="K420" s="106">
        <f t="shared" si="698"/>
        <v>46213</v>
      </c>
      <c r="L420" s="106">
        <v>46142</v>
      </c>
      <c r="M420" s="107">
        <f t="shared" si="699"/>
        <v>46255</v>
      </c>
      <c r="N420" s="106">
        <f t="shared" si="700"/>
        <v>46255</v>
      </c>
      <c r="O420" s="107">
        <v>46266</v>
      </c>
      <c r="P420" s="107">
        <f t="shared" si="706"/>
        <v>46297</v>
      </c>
      <c r="Q420" s="106">
        <f t="shared" si="701"/>
        <v>46297</v>
      </c>
      <c r="R420" s="160">
        <v>46300</v>
      </c>
      <c r="S420" s="106">
        <f t="shared" si="703"/>
        <v>46311</v>
      </c>
      <c r="T420" s="106">
        <f t="shared" si="702"/>
        <v>46311</v>
      </c>
      <c r="U420" s="107"/>
      <c r="V420" s="222"/>
      <c r="X420" s="168" t="str">
        <f t="shared" ca="1" si="688"/>
        <v>Completed</v>
      </c>
      <c r="Y420" s="168" t="str">
        <f t="shared" ca="1" si="689"/>
        <v>Completed</v>
      </c>
      <c r="Z420" s="168" t="str">
        <f t="shared" ca="1" si="690"/>
        <v>Completed</v>
      </c>
      <c r="AA420" s="169" t="str">
        <f t="shared" ca="1" si="691"/>
        <v>Follow-Next Week</v>
      </c>
    </row>
    <row r="421" spans="1:27" s="70" customFormat="1" ht="11.5" x14ac:dyDescent="0.25">
      <c r="A421" s="102" t="s">
        <v>64</v>
      </c>
      <c r="B421" s="102" t="s">
        <v>14</v>
      </c>
      <c r="C421" s="102" t="s">
        <v>962</v>
      </c>
      <c r="D421" s="102" t="s">
        <v>423</v>
      </c>
      <c r="E421" s="103">
        <f t="shared" si="694"/>
        <v>0.79999999999999993</v>
      </c>
      <c r="F421" s="103">
        <f t="shared" si="695"/>
        <v>0.79999999999999993</v>
      </c>
      <c r="G421" s="103">
        <f t="shared" si="704"/>
        <v>0.79999999999999993</v>
      </c>
      <c r="H421" s="103">
        <f t="shared" si="696"/>
        <v>0</v>
      </c>
      <c r="I421" s="109">
        <v>4.7E-2</v>
      </c>
      <c r="J421" s="106">
        <f t="shared" si="705"/>
        <v>46213</v>
      </c>
      <c r="K421" s="106">
        <f t="shared" si="698"/>
        <v>46213</v>
      </c>
      <c r="L421" s="106">
        <v>46142</v>
      </c>
      <c r="M421" s="107">
        <f t="shared" si="699"/>
        <v>46255</v>
      </c>
      <c r="N421" s="106">
        <f t="shared" si="700"/>
        <v>46255</v>
      </c>
      <c r="O421" s="107">
        <v>46266</v>
      </c>
      <c r="P421" s="107">
        <f t="shared" si="706"/>
        <v>46297</v>
      </c>
      <c r="Q421" s="106">
        <f t="shared" si="701"/>
        <v>46297</v>
      </c>
      <c r="R421" s="160">
        <v>46300</v>
      </c>
      <c r="S421" s="106">
        <f t="shared" si="703"/>
        <v>46311</v>
      </c>
      <c r="T421" s="106">
        <f t="shared" si="702"/>
        <v>46311</v>
      </c>
      <c r="U421" s="107"/>
      <c r="V421" s="222"/>
      <c r="X421" s="168" t="str">
        <f t="shared" ca="1" si="688"/>
        <v>Completed</v>
      </c>
      <c r="Y421" s="168" t="str">
        <f t="shared" ca="1" si="689"/>
        <v>Completed</v>
      </c>
      <c r="Z421" s="168" t="str">
        <f t="shared" ca="1" si="690"/>
        <v>Completed</v>
      </c>
      <c r="AA421" s="169" t="str">
        <f t="shared" ca="1" si="691"/>
        <v>Follow-Next Week</v>
      </c>
    </row>
    <row r="422" spans="1:27" s="70" customFormat="1" ht="11.5" x14ac:dyDescent="0.25">
      <c r="A422" s="102" t="s">
        <v>64</v>
      </c>
      <c r="B422" s="102" t="s">
        <v>14</v>
      </c>
      <c r="C422" s="102" t="s">
        <v>963</v>
      </c>
      <c r="D422" s="102" t="s">
        <v>424</v>
      </c>
      <c r="E422" s="103">
        <f t="shared" si="694"/>
        <v>0.79999999999999993</v>
      </c>
      <c r="F422" s="103">
        <f t="shared" si="695"/>
        <v>0.79999999999999993</v>
      </c>
      <c r="G422" s="103">
        <f t="shared" si="704"/>
        <v>0.79999999999999993</v>
      </c>
      <c r="H422" s="103">
        <f t="shared" si="696"/>
        <v>0</v>
      </c>
      <c r="I422" s="109">
        <v>4.7E-2</v>
      </c>
      <c r="J422" s="106">
        <f t="shared" si="705"/>
        <v>46213</v>
      </c>
      <c r="K422" s="106">
        <f t="shared" si="698"/>
        <v>46213</v>
      </c>
      <c r="L422" s="106">
        <v>46142</v>
      </c>
      <c r="M422" s="107">
        <f t="shared" si="699"/>
        <v>46255</v>
      </c>
      <c r="N422" s="106">
        <f t="shared" si="700"/>
        <v>46255</v>
      </c>
      <c r="O422" s="107">
        <v>46266</v>
      </c>
      <c r="P422" s="107">
        <f t="shared" si="706"/>
        <v>46297</v>
      </c>
      <c r="Q422" s="106">
        <f t="shared" si="701"/>
        <v>46297</v>
      </c>
      <c r="R422" s="160">
        <v>46300</v>
      </c>
      <c r="S422" s="106">
        <f t="shared" si="703"/>
        <v>46311</v>
      </c>
      <c r="T422" s="106">
        <f t="shared" si="702"/>
        <v>46311</v>
      </c>
      <c r="U422" s="107"/>
      <c r="V422" s="222"/>
      <c r="X422" s="168" t="str">
        <f t="shared" ref="X422:X485" ca="1" si="707">IF(OR(L422&lt;&gt;""),"Completed",
IF(K422="","",IF(K422&lt;TODAY(),"Overdue",
IF(AND(K422&gt;=TODAY()-WEEKDAY(TODAY(),2)+1,K422&lt;=TODAY()-WEEKDAY(TODAY(),2)+7),"Follow-This Week",
IF(AND(K422&gt;=TODAY()-WEEKDAY(TODAY(),2)+8,K422&lt;=TODAY()-WEEKDAY(TODAY(),2)+14),"Follow-Next Week","")))))</f>
        <v>Completed</v>
      </c>
      <c r="Y422" s="168" t="str">
        <f t="shared" ref="Y422:Y485" ca="1" si="708">IF(OR(O422&lt;&gt;""),"Completed",IF(N422="","",
IF(N422&lt;TODAY(),"Overdue",
IF(AND(N422&gt;=TODAY()-WEEKDAY(TODAY(),2)+1,N422&lt;=TODAY()-WEEKDAY(TODAY(),2)+7),"Follow-This Week",
IF(AND(N422&gt;=TODAY()-WEEKDAY(TODAY(),2)+8,N422&lt;=TODAY()-WEEKDAY(TODAY(),2)+14),"Follow-Next Week","")))))</f>
        <v>Completed</v>
      </c>
      <c r="Z422" s="168" t="str">
        <f t="shared" ref="Z422:Z485" ca="1" si="709">IF(OR(R422&lt;&gt;""),"Completed",IF(Q422="","",
IF(Q422&lt;TODAY(),"Overdue",
IF(AND(Q422&gt;=TODAY()-WEEKDAY(TODAY(),2)+1,Q422&lt;=TODAY()-WEEKDAY(TODAY(),2)+7),"Follow-This Week",
IF(AND(Q422&gt;=TODAY()-WEEKDAY(TODAY(),2)+8,Q422&lt;=TODAY()-WEEKDAY(TODAY(),2)+14),"Follow-Next Week","")))))</f>
        <v>Completed</v>
      </c>
      <c r="AA422" s="169" t="str">
        <f t="shared" ref="AA422:AA485" ca="1" si="710">IF(OR(U422&lt;&gt;""),"Completed",IF(T422="","",
IF(T422&lt;TODAY(),"Overdue",
IF(AND(T422&gt;=TODAY()-WEEKDAY(TODAY(),2)+1,T422&lt;=TODAY()-WEEKDAY(TODAY(),2)+7),"Follow-This Week",
IF(AND(T422&gt;=TODAY()-WEEKDAY(TODAY(),2)+8,T422&lt;=TODAY()-WEEKDAY(TODAY(),2)+14),"Follow-Next Week","")))))</f>
        <v>Follow-Next Week</v>
      </c>
    </row>
    <row r="423" spans="1:27" s="70" customFormat="1" ht="11.5" x14ac:dyDescent="0.25">
      <c r="A423" s="102" t="s">
        <v>64</v>
      </c>
      <c r="B423" s="102" t="s">
        <v>14</v>
      </c>
      <c r="C423" s="102" t="s">
        <v>964</v>
      </c>
      <c r="D423" s="102" t="s">
        <v>425</v>
      </c>
      <c r="E423" s="103">
        <f t="shared" ref="E423" si="711">(COUNTIFS(J423,"&lt;="&amp;$C$1)*50%)+(COUNTIFS(M423,"&lt;="&amp;$C$1)*20%)+(COUNTIFS(P423,"&lt;="&amp;$C$1)*10%)+(COUNTIFS(S423,"&lt;="&amp;$C$1)*20%)</f>
        <v>0.79999999999999993</v>
      </c>
      <c r="F423" s="103">
        <f t="shared" ref="F423" si="712">(COUNTIFS(K423,"&lt;="&amp;$C$1)*50%)+(COUNTIFS(N423,"&lt;="&amp;$C$1)*20%)+(COUNTIFS(Q423,"&lt;="&amp;$C$1)*10%)+(COUNTIFS(T423,"&lt;="&amp;$C$1)*20%)</f>
        <v>0.79999999999999993</v>
      </c>
      <c r="G423" s="103">
        <f t="shared" si="704"/>
        <v>0.79999999999999993</v>
      </c>
      <c r="H423" s="103">
        <f t="shared" ref="H423" si="713">G423-E423</f>
        <v>0</v>
      </c>
      <c r="I423" s="109">
        <v>4.7E-2</v>
      </c>
      <c r="J423" s="106">
        <f t="shared" si="705"/>
        <v>46213</v>
      </c>
      <c r="K423" s="106">
        <f t="shared" si="698"/>
        <v>46213</v>
      </c>
      <c r="L423" s="106">
        <v>46142</v>
      </c>
      <c r="M423" s="107">
        <f t="shared" si="699"/>
        <v>46255</v>
      </c>
      <c r="N423" s="106">
        <f t="shared" si="700"/>
        <v>46255</v>
      </c>
      <c r="O423" s="107">
        <v>46266</v>
      </c>
      <c r="P423" s="107">
        <f t="shared" si="706"/>
        <v>46297</v>
      </c>
      <c r="Q423" s="106">
        <f t="shared" si="701"/>
        <v>46297</v>
      </c>
      <c r="R423" s="160">
        <v>46300</v>
      </c>
      <c r="S423" s="106">
        <f t="shared" si="703"/>
        <v>46311</v>
      </c>
      <c r="T423" s="106">
        <f t="shared" si="702"/>
        <v>46311</v>
      </c>
      <c r="U423" s="107"/>
      <c r="V423" s="222"/>
      <c r="X423" s="168" t="str">
        <f t="shared" ca="1" si="707"/>
        <v>Completed</v>
      </c>
      <c r="Y423" s="168" t="str">
        <f t="shared" ca="1" si="708"/>
        <v>Completed</v>
      </c>
      <c r="Z423" s="168" t="str">
        <f t="shared" ca="1" si="709"/>
        <v>Completed</v>
      </c>
      <c r="AA423" s="169" t="str">
        <f t="shared" ca="1" si="710"/>
        <v>Follow-Next Week</v>
      </c>
    </row>
    <row r="424" spans="1:27" s="70" customFormat="1" ht="11.5" x14ac:dyDescent="0.25">
      <c r="A424" s="102" t="s">
        <v>64</v>
      </c>
      <c r="B424" s="102" t="s">
        <v>14</v>
      </c>
      <c r="C424" s="102" t="s">
        <v>965</v>
      </c>
      <c r="D424" s="102" t="s">
        <v>426</v>
      </c>
      <c r="E424" s="103">
        <f t="shared" si="694"/>
        <v>0.79999999999999993</v>
      </c>
      <c r="F424" s="103">
        <f t="shared" si="695"/>
        <v>0.79999999999999993</v>
      </c>
      <c r="G424" s="103">
        <f t="shared" si="704"/>
        <v>0.79999999999999993</v>
      </c>
      <c r="H424" s="103">
        <f t="shared" si="696"/>
        <v>0</v>
      </c>
      <c r="I424" s="109">
        <v>4.7E-2</v>
      </c>
      <c r="J424" s="106">
        <f t="shared" si="705"/>
        <v>46213</v>
      </c>
      <c r="K424" s="106">
        <f t="shared" si="698"/>
        <v>46213</v>
      </c>
      <c r="L424" s="106">
        <v>46142</v>
      </c>
      <c r="M424" s="107">
        <f t="shared" si="699"/>
        <v>46255</v>
      </c>
      <c r="N424" s="106">
        <f t="shared" si="700"/>
        <v>46255</v>
      </c>
      <c r="O424" s="107">
        <v>46266</v>
      </c>
      <c r="P424" s="107">
        <f t="shared" si="706"/>
        <v>46297</v>
      </c>
      <c r="Q424" s="106">
        <f t="shared" si="701"/>
        <v>46297</v>
      </c>
      <c r="R424" s="160">
        <v>46300</v>
      </c>
      <c r="S424" s="106">
        <f t="shared" si="703"/>
        <v>46311</v>
      </c>
      <c r="T424" s="106">
        <f t="shared" si="702"/>
        <v>46311</v>
      </c>
      <c r="U424" s="107"/>
      <c r="V424" s="222"/>
      <c r="X424" s="168" t="str">
        <f t="shared" ca="1" si="707"/>
        <v>Completed</v>
      </c>
      <c r="Y424" s="168" t="str">
        <f t="shared" ca="1" si="708"/>
        <v>Completed</v>
      </c>
      <c r="Z424" s="168" t="str">
        <f t="shared" ca="1" si="709"/>
        <v>Completed</v>
      </c>
      <c r="AA424" s="169" t="str">
        <f t="shared" ca="1" si="710"/>
        <v>Follow-Next Week</v>
      </c>
    </row>
    <row r="425" spans="1:27" s="70" customFormat="1" ht="11.5" x14ac:dyDescent="0.25">
      <c r="A425" s="102" t="s">
        <v>64</v>
      </c>
      <c r="B425" s="102" t="s">
        <v>14</v>
      </c>
      <c r="C425" s="102" t="s">
        <v>966</v>
      </c>
      <c r="D425" s="102" t="s">
        <v>427</v>
      </c>
      <c r="E425" s="103">
        <f t="shared" ref="E425:E492" si="714">(COUNTIFS(J425,"&lt;="&amp;$C$1)*50%)+(COUNTIFS(M425,"&lt;="&amp;$C$1)*20%)+(COUNTIFS(P425,"&lt;="&amp;$C$1)*10%)+(COUNTIFS(S425,"&lt;="&amp;$C$1)*20%)</f>
        <v>0.79999999999999993</v>
      </c>
      <c r="F425" s="103">
        <f t="shared" ref="F425:F492" si="715">(COUNTIFS(K425,"&lt;="&amp;$C$1)*50%)+(COUNTIFS(N425,"&lt;="&amp;$C$1)*20%)+(COUNTIFS(Q425,"&lt;="&amp;$C$1)*10%)+(COUNTIFS(T425,"&lt;="&amp;$C$1)*20%)</f>
        <v>0.79999999999999993</v>
      </c>
      <c r="G425" s="103">
        <f t="shared" si="704"/>
        <v>0.79999999999999993</v>
      </c>
      <c r="H425" s="103">
        <f t="shared" ref="H425:H492" si="716">G425-E425</f>
        <v>0</v>
      </c>
      <c r="I425" s="109">
        <v>4.7E-2</v>
      </c>
      <c r="J425" s="106">
        <f t="shared" si="705"/>
        <v>46213</v>
      </c>
      <c r="K425" s="106">
        <f t="shared" si="698"/>
        <v>46213</v>
      </c>
      <c r="L425" s="106">
        <v>46142</v>
      </c>
      <c r="M425" s="107">
        <f t="shared" si="699"/>
        <v>46255</v>
      </c>
      <c r="N425" s="106">
        <f t="shared" si="700"/>
        <v>46255</v>
      </c>
      <c r="O425" s="107">
        <v>46266</v>
      </c>
      <c r="P425" s="107">
        <f t="shared" si="706"/>
        <v>46297</v>
      </c>
      <c r="Q425" s="106">
        <f t="shared" si="701"/>
        <v>46297</v>
      </c>
      <c r="R425" s="160">
        <v>46300</v>
      </c>
      <c r="S425" s="106">
        <f t="shared" si="703"/>
        <v>46311</v>
      </c>
      <c r="T425" s="106">
        <f t="shared" si="702"/>
        <v>46311</v>
      </c>
      <c r="U425" s="107"/>
      <c r="V425" s="222"/>
      <c r="X425" s="168" t="str">
        <f t="shared" ca="1" si="707"/>
        <v>Completed</v>
      </c>
      <c r="Y425" s="168" t="str">
        <f t="shared" ca="1" si="708"/>
        <v>Completed</v>
      </c>
      <c r="Z425" s="168" t="str">
        <f t="shared" ca="1" si="709"/>
        <v>Completed</v>
      </c>
      <c r="AA425" s="169" t="str">
        <f t="shared" ca="1" si="710"/>
        <v>Follow-Next Week</v>
      </c>
    </row>
    <row r="426" spans="1:27" s="70" customFormat="1" ht="11.5" x14ac:dyDescent="0.25">
      <c r="A426" s="102" t="s">
        <v>64</v>
      </c>
      <c r="B426" s="102" t="s">
        <v>14</v>
      </c>
      <c r="C426" s="102" t="s">
        <v>967</v>
      </c>
      <c r="D426" s="102" t="s">
        <v>428</v>
      </c>
      <c r="E426" s="103">
        <f t="shared" si="714"/>
        <v>0.79999999999999993</v>
      </c>
      <c r="F426" s="103">
        <f t="shared" si="715"/>
        <v>0.79999999999999993</v>
      </c>
      <c r="G426" s="103">
        <f t="shared" si="704"/>
        <v>0.79999999999999993</v>
      </c>
      <c r="H426" s="103">
        <f t="shared" si="716"/>
        <v>0</v>
      </c>
      <c r="I426" s="109">
        <v>4.7E-2</v>
      </c>
      <c r="J426" s="106">
        <f t="shared" si="705"/>
        <v>46213</v>
      </c>
      <c r="K426" s="106">
        <f t="shared" si="698"/>
        <v>46213</v>
      </c>
      <c r="L426" s="106">
        <v>46142</v>
      </c>
      <c r="M426" s="107">
        <f t="shared" si="699"/>
        <v>46255</v>
      </c>
      <c r="N426" s="106">
        <f t="shared" si="700"/>
        <v>46255</v>
      </c>
      <c r="O426" s="107">
        <v>46266</v>
      </c>
      <c r="P426" s="107">
        <f t="shared" si="706"/>
        <v>46297</v>
      </c>
      <c r="Q426" s="106">
        <f t="shared" si="701"/>
        <v>46297</v>
      </c>
      <c r="R426" s="160">
        <v>46300</v>
      </c>
      <c r="S426" s="106">
        <f t="shared" si="703"/>
        <v>46311</v>
      </c>
      <c r="T426" s="106">
        <f t="shared" si="702"/>
        <v>46311</v>
      </c>
      <c r="U426" s="107"/>
      <c r="V426" s="222"/>
      <c r="X426" s="168" t="str">
        <f t="shared" ca="1" si="707"/>
        <v>Completed</v>
      </c>
      <c r="Y426" s="168" t="str">
        <f t="shared" ca="1" si="708"/>
        <v>Completed</v>
      </c>
      <c r="Z426" s="168" t="str">
        <f t="shared" ca="1" si="709"/>
        <v>Completed</v>
      </c>
      <c r="AA426" s="169" t="str">
        <f t="shared" ca="1" si="710"/>
        <v>Follow-Next Week</v>
      </c>
    </row>
    <row r="427" spans="1:27" s="70" customFormat="1" ht="11.5" x14ac:dyDescent="0.25">
      <c r="A427" s="102" t="s">
        <v>64</v>
      </c>
      <c r="B427" s="102" t="s">
        <v>14</v>
      </c>
      <c r="C427" s="102" t="s">
        <v>968</v>
      </c>
      <c r="D427" s="102" t="s">
        <v>429</v>
      </c>
      <c r="E427" s="103">
        <f t="shared" si="714"/>
        <v>0.79999999999999993</v>
      </c>
      <c r="F427" s="103">
        <f t="shared" si="715"/>
        <v>0.79999999999999993</v>
      </c>
      <c r="G427" s="103">
        <f t="shared" ref="G427:G438" si="717">(COUNTIFS(L427,"&lt;="&amp;$C$1)*50%)+(COUNTIFS(O427,"&lt;="&amp;$C$1)*20%)+(COUNTIFS(R427,"&lt;="&amp;$C$1)*10%)+(COUNTIFS(U427,"&lt;="&amp;$C$1)*20%)</f>
        <v>0.79999999999999993</v>
      </c>
      <c r="H427" s="103">
        <f t="shared" si="716"/>
        <v>0</v>
      </c>
      <c r="I427" s="109">
        <v>4.7E-2</v>
      </c>
      <c r="J427" s="106">
        <f t="shared" ref="J427:J447" si="718">J292+28</f>
        <v>46213</v>
      </c>
      <c r="K427" s="106">
        <f t="shared" si="698"/>
        <v>46213</v>
      </c>
      <c r="L427" s="106">
        <v>46142</v>
      </c>
      <c r="M427" s="107">
        <f t="shared" si="699"/>
        <v>46255</v>
      </c>
      <c r="N427" s="106">
        <f t="shared" si="700"/>
        <v>46255</v>
      </c>
      <c r="O427" s="107">
        <v>46266</v>
      </c>
      <c r="P427" s="107">
        <f t="shared" si="706"/>
        <v>46297</v>
      </c>
      <c r="Q427" s="106">
        <f t="shared" si="701"/>
        <v>46297</v>
      </c>
      <c r="R427" s="160">
        <v>46300</v>
      </c>
      <c r="S427" s="106">
        <f t="shared" si="703"/>
        <v>46311</v>
      </c>
      <c r="T427" s="106">
        <f t="shared" si="702"/>
        <v>46311</v>
      </c>
      <c r="U427" s="107"/>
      <c r="V427" s="222"/>
      <c r="X427" s="168" t="str">
        <f t="shared" ca="1" si="707"/>
        <v>Completed</v>
      </c>
      <c r="Y427" s="168" t="str">
        <f t="shared" ca="1" si="708"/>
        <v>Completed</v>
      </c>
      <c r="Z427" s="168" t="str">
        <f t="shared" ca="1" si="709"/>
        <v>Completed</v>
      </c>
      <c r="AA427" s="169" t="str">
        <f t="shared" ca="1" si="710"/>
        <v>Follow-Next Week</v>
      </c>
    </row>
    <row r="428" spans="1:27" s="70" customFormat="1" ht="11.5" x14ac:dyDescent="0.25">
      <c r="A428" s="102" t="s">
        <v>64</v>
      </c>
      <c r="B428" s="102" t="s">
        <v>14</v>
      </c>
      <c r="C428" s="102" t="s">
        <v>969</v>
      </c>
      <c r="D428" s="102" t="s">
        <v>430</v>
      </c>
      <c r="E428" s="103">
        <f t="shared" si="714"/>
        <v>0.79999999999999993</v>
      </c>
      <c r="F428" s="103">
        <f t="shared" si="715"/>
        <v>0.79999999999999993</v>
      </c>
      <c r="G428" s="103">
        <f t="shared" si="717"/>
        <v>0.79999999999999993</v>
      </c>
      <c r="H428" s="103">
        <f t="shared" si="716"/>
        <v>0</v>
      </c>
      <c r="I428" s="109">
        <v>4.7E-2</v>
      </c>
      <c r="J428" s="106">
        <f t="shared" si="718"/>
        <v>46213</v>
      </c>
      <c r="K428" s="106">
        <f t="shared" si="698"/>
        <v>46213</v>
      </c>
      <c r="L428" s="106">
        <v>46142</v>
      </c>
      <c r="M428" s="107">
        <f t="shared" si="699"/>
        <v>46255</v>
      </c>
      <c r="N428" s="106">
        <f t="shared" si="700"/>
        <v>46255</v>
      </c>
      <c r="O428" s="107">
        <v>46266</v>
      </c>
      <c r="P428" s="107">
        <f t="shared" si="706"/>
        <v>46297</v>
      </c>
      <c r="Q428" s="106">
        <f t="shared" si="701"/>
        <v>46297</v>
      </c>
      <c r="R428" s="160">
        <v>46300</v>
      </c>
      <c r="S428" s="106">
        <f t="shared" si="703"/>
        <v>46311</v>
      </c>
      <c r="T428" s="106">
        <f t="shared" si="702"/>
        <v>46311</v>
      </c>
      <c r="U428" s="107"/>
      <c r="V428" s="222"/>
      <c r="X428" s="168" t="str">
        <f t="shared" ca="1" si="707"/>
        <v>Completed</v>
      </c>
      <c r="Y428" s="168" t="str">
        <f t="shared" ca="1" si="708"/>
        <v>Completed</v>
      </c>
      <c r="Z428" s="168" t="str">
        <f t="shared" ca="1" si="709"/>
        <v>Completed</v>
      </c>
      <c r="AA428" s="169" t="str">
        <f t="shared" ca="1" si="710"/>
        <v>Follow-Next Week</v>
      </c>
    </row>
    <row r="429" spans="1:27" s="70" customFormat="1" ht="11.5" x14ac:dyDescent="0.25">
      <c r="A429" s="102" t="s">
        <v>64</v>
      </c>
      <c r="B429" s="102" t="s">
        <v>14</v>
      </c>
      <c r="C429" s="102" t="s">
        <v>970</v>
      </c>
      <c r="D429" s="102" t="s">
        <v>431</v>
      </c>
      <c r="E429" s="103">
        <f t="shared" si="714"/>
        <v>0.79999999999999993</v>
      </c>
      <c r="F429" s="103">
        <f t="shared" si="715"/>
        <v>0.79999999999999993</v>
      </c>
      <c r="G429" s="103">
        <f t="shared" si="717"/>
        <v>0.79999999999999993</v>
      </c>
      <c r="H429" s="103">
        <f t="shared" si="716"/>
        <v>0</v>
      </c>
      <c r="I429" s="109">
        <v>4.7E-2</v>
      </c>
      <c r="J429" s="106">
        <f t="shared" si="718"/>
        <v>46213</v>
      </c>
      <c r="K429" s="106">
        <f t="shared" si="698"/>
        <v>46213</v>
      </c>
      <c r="L429" s="106">
        <v>46142</v>
      </c>
      <c r="M429" s="107">
        <f t="shared" si="699"/>
        <v>46255</v>
      </c>
      <c r="N429" s="106">
        <f t="shared" si="700"/>
        <v>46255</v>
      </c>
      <c r="O429" s="107">
        <v>46266</v>
      </c>
      <c r="P429" s="107">
        <f t="shared" si="706"/>
        <v>46297</v>
      </c>
      <c r="Q429" s="106">
        <f t="shared" si="701"/>
        <v>46297</v>
      </c>
      <c r="R429" s="160">
        <v>46300</v>
      </c>
      <c r="S429" s="106">
        <f t="shared" si="703"/>
        <v>46311</v>
      </c>
      <c r="T429" s="106">
        <f t="shared" si="702"/>
        <v>46311</v>
      </c>
      <c r="U429" s="107"/>
      <c r="V429" s="222"/>
      <c r="X429" s="168" t="str">
        <f t="shared" ca="1" si="707"/>
        <v>Completed</v>
      </c>
      <c r="Y429" s="168" t="str">
        <f t="shared" ca="1" si="708"/>
        <v>Completed</v>
      </c>
      <c r="Z429" s="168" t="str">
        <f t="shared" ca="1" si="709"/>
        <v>Completed</v>
      </c>
      <c r="AA429" s="169" t="str">
        <f t="shared" ca="1" si="710"/>
        <v>Follow-Next Week</v>
      </c>
    </row>
    <row r="430" spans="1:27" s="70" customFormat="1" ht="11.5" x14ac:dyDescent="0.25">
      <c r="A430" s="102" t="s">
        <v>64</v>
      </c>
      <c r="B430" s="102" t="s">
        <v>14</v>
      </c>
      <c r="C430" s="102" t="s">
        <v>971</v>
      </c>
      <c r="D430" s="102" t="s">
        <v>432</v>
      </c>
      <c r="E430" s="103">
        <f t="shared" si="714"/>
        <v>0.79999999999999993</v>
      </c>
      <c r="F430" s="103">
        <f t="shared" si="715"/>
        <v>0.79999999999999993</v>
      </c>
      <c r="G430" s="103">
        <f t="shared" si="717"/>
        <v>0.79999999999999993</v>
      </c>
      <c r="H430" s="103">
        <f t="shared" si="716"/>
        <v>0</v>
      </c>
      <c r="I430" s="109">
        <v>4.7E-2</v>
      </c>
      <c r="J430" s="106">
        <f t="shared" si="718"/>
        <v>46213</v>
      </c>
      <c r="K430" s="106">
        <f t="shared" si="698"/>
        <v>46213</v>
      </c>
      <c r="L430" s="106">
        <v>46142</v>
      </c>
      <c r="M430" s="107">
        <f t="shared" si="699"/>
        <v>46255</v>
      </c>
      <c r="N430" s="106">
        <f t="shared" si="700"/>
        <v>46255</v>
      </c>
      <c r="O430" s="107">
        <v>46266</v>
      </c>
      <c r="P430" s="107">
        <f t="shared" si="706"/>
        <v>46297</v>
      </c>
      <c r="Q430" s="106">
        <f t="shared" si="701"/>
        <v>46297</v>
      </c>
      <c r="R430" s="160">
        <v>46300</v>
      </c>
      <c r="S430" s="106">
        <f t="shared" si="703"/>
        <v>46311</v>
      </c>
      <c r="T430" s="106">
        <f t="shared" si="702"/>
        <v>46311</v>
      </c>
      <c r="U430" s="107"/>
      <c r="V430" s="222"/>
      <c r="X430" s="168" t="str">
        <f t="shared" ca="1" si="707"/>
        <v>Completed</v>
      </c>
      <c r="Y430" s="168" t="str">
        <f t="shared" ca="1" si="708"/>
        <v>Completed</v>
      </c>
      <c r="Z430" s="168" t="str">
        <f t="shared" ca="1" si="709"/>
        <v>Completed</v>
      </c>
      <c r="AA430" s="169" t="str">
        <f t="shared" ca="1" si="710"/>
        <v>Follow-Next Week</v>
      </c>
    </row>
    <row r="431" spans="1:27" s="70" customFormat="1" ht="11.5" x14ac:dyDescent="0.25">
      <c r="A431" s="102" t="s">
        <v>64</v>
      </c>
      <c r="B431" s="102" t="s">
        <v>14</v>
      </c>
      <c r="C431" s="102" t="s">
        <v>972</v>
      </c>
      <c r="D431" s="102" t="s">
        <v>433</v>
      </c>
      <c r="E431" s="103">
        <f t="shared" si="714"/>
        <v>0.79999999999999993</v>
      </c>
      <c r="F431" s="103">
        <f t="shared" si="715"/>
        <v>0.79999999999999993</v>
      </c>
      <c r="G431" s="103">
        <f t="shared" si="717"/>
        <v>0.79999999999999993</v>
      </c>
      <c r="H431" s="103">
        <f t="shared" si="716"/>
        <v>0</v>
      </c>
      <c r="I431" s="109">
        <v>4.7E-2</v>
      </c>
      <c r="J431" s="106">
        <f t="shared" si="718"/>
        <v>46213</v>
      </c>
      <c r="K431" s="106">
        <f t="shared" si="698"/>
        <v>46213</v>
      </c>
      <c r="L431" s="106">
        <v>46142</v>
      </c>
      <c r="M431" s="107">
        <f t="shared" si="699"/>
        <v>46255</v>
      </c>
      <c r="N431" s="106">
        <f t="shared" si="700"/>
        <v>46255</v>
      </c>
      <c r="O431" s="107">
        <v>46266</v>
      </c>
      <c r="P431" s="107">
        <f t="shared" si="706"/>
        <v>46297</v>
      </c>
      <c r="Q431" s="106">
        <f t="shared" si="701"/>
        <v>46297</v>
      </c>
      <c r="R431" s="160">
        <v>46300</v>
      </c>
      <c r="S431" s="106">
        <f t="shared" si="703"/>
        <v>46311</v>
      </c>
      <c r="T431" s="106">
        <f t="shared" si="702"/>
        <v>46311</v>
      </c>
      <c r="U431" s="107"/>
      <c r="V431" s="222"/>
      <c r="X431" s="168" t="str">
        <f t="shared" ca="1" si="707"/>
        <v>Completed</v>
      </c>
      <c r="Y431" s="168" t="str">
        <f t="shared" ca="1" si="708"/>
        <v>Completed</v>
      </c>
      <c r="Z431" s="168" t="str">
        <f t="shared" ca="1" si="709"/>
        <v>Completed</v>
      </c>
      <c r="AA431" s="169" t="str">
        <f t="shared" ca="1" si="710"/>
        <v>Follow-Next Week</v>
      </c>
    </row>
    <row r="432" spans="1:27" s="70" customFormat="1" ht="11.5" x14ac:dyDescent="0.25">
      <c r="A432" s="102" t="s">
        <v>64</v>
      </c>
      <c r="B432" s="102" t="s">
        <v>14</v>
      </c>
      <c r="C432" s="102" t="s">
        <v>973</v>
      </c>
      <c r="D432" s="102" t="s">
        <v>434</v>
      </c>
      <c r="E432" s="103">
        <f t="shared" si="714"/>
        <v>0.79999999999999993</v>
      </c>
      <c r="F432" s="103">
        <f t="shared" si="715"/>
        <v>0.79999999999999993</v>
      </c>
      <c r="G432" s="103">
        <f t="shared" si="717"/>
        <v>0.79999999999999993</v>
      </c>
      <c r="H432" s="103">
        <f t="shared" si="716"/>
        <v>0</v>
      </c>
      <c r="I432" s="109">
        <v>4.7E-2</v>
      </c>
      <c r="J432" s="106">
        <f t="shared" si="718"/>
        <v>46213</v>
      </c>
      <c r="K432" s="106">
        <f t="shared" si="698"/>
        <v>46213</v>
      </c>
      <c r="L432" s="106">
        <v>46142</v>
      </c>
      <c r="M432" s="107">
        <f t="shared" si="699"/>
        <v>46255</v>
      </c>
      <c r="N432" s="106">
        <f t="shared" si="700"/>
        <v>46255</v>
      </c>
      <c r="O432" s="107">
        <v>46266</v>
      </c>
      <c r="P432" s="107">
        <f t="shared" si="706"/>
        <v>46297</v>
      </c>
      <c r="Q432" s="106">
        <f t="shared" si="701"/>
        <v>46297</v>
      </c>
      <c r="R432" s="160">
        <v>46300</v>
      </c>
      <c r="S432" s="106">
        <f t="shared" si="703"/>
        <v>46311</v>
      </c>
      <c r="T432" s="106">
        <f t="shared" si="702"/>
        <v>46311</v>
      </c>
      <c r="U432" s="107"/>
      <c r="V432" s="222"/>
      <c r="X432" s="168" t="str">
        <f t="shared" ca="1" si="707"/>
        <v>Completed</v>
      </c>
      <c r="Y432" s="168" t="str">
        <f t="shared" ca="1" si="708"/>
        <v>Completed</v>
      </c>
      <c r="Z432" s="168" t="str">
        <f t="shared" ca="1" si="709"/>
        <v>Completed</v>
      </c>
      <c r="AA432" s="169" t="str">
        <f t="shared" ca="1" si="710"/>
        <v>Follow-Next Week</v>
      </c>
    </row>
    <row r="433" spans="1:27" s="70" customFormat="1" ht="11.5" x14ac:dyDescent="0.25">
      <c r="A433" s="102" t="s">
        <v>64</v>
      </c>
      <c r="B433" s="102" t="s">
        <v>14</v>
      </c>
      <c r="C433" s="102" t="s">
        <v>974</v>
      </c>
      <c r="D433" s="102" t="s">
        <v>435</v>
      </c>
      <c r="E433" s="103">
        <f t="shared" si="714"/>
        <v>0.79999999999999993</v>
      </c>
      <c r="F433" s="103">
        <f t="shared" si="715"/>
        <v>0.79999999999999993</v>
      </c>
      <c r="G433" s="103">
        <f t="shared" si="717"/>
        <v>0.79999999999999993</v>
      </c>
      <c r="H433" s="103">
        <f t="shared" si="716"/>
        <v>0</v>
      </c>
      <c r="I433" s="109">
        <v>4.7E-2</v>
      </c>
      <c r="J433" s="106">
        <f t="shared" si="718"/>
        <v>46213</v>
      </c>
      <c r="K433" s="106">
        <f t="shared" si="698"/>
        <v>46213</v>
      </c>
      <c r="L433" s="106">
        <v>46142</v>
      </c>
      <c r="M433" s="107">
        <f t="shared" si="699"/>
        <v>46255</v>
      </c>
      <c r="N433" s="106">
        <f t="shared" si="700"/>
        <v>46255</v>
      </c>
      <c r="O433" s="107">
        <v>46266</v>
      </c>
      <c r="P433" s="107">
        <f t="shared" si="706"/>
        <v>46297</v>
      </c>
      <c r="Q433" s="106">
        <f t="shared" si="701"/>
        <v>46297</v>
      </c>
      <c r="R433" s="160">
        <v>46300</v>
      </c>
      <c r="S433" s="106">
        <f t="shared" si="703"/>
        <v>46311</v>
      </c>
      <c r="T433" s="106">
        <f t="shared" si="702"/>
        <v>46311</v>
      </c>
      <c r="U433" s="107"/>
      <c r="V433" s="222"/>
      <c r="X433" s="168" t="str">
        <f t="shared" ca="1" si="707"/>
        <v>Completed</v>
      </c>
      <c r="Y433" s="168" t="str">
        <f t="shared" ca="1" si="708"/>
        <v>Completed</v>
      </c>
      <c r="Z433" s="168" t="str">
        <f t="shared" ca="1" si="709"/>
        <v>Completed</v>
      </c>
      <c r="AA433" s="169" t="str">
        <f t="shared" ca="1" si="710"/>
        <v>Follow-Next Week</v>
      </c>
    </row>
    <row r="434" spans="1:27" s="70" customFormat="1" ht="11.5" x14ac:dyDescent="0.25">
      <c r="A434" s="102" t="s">
        <v>64</v>
      </c>
      <c r="B434" s="102" t="s">
        <v>14</v>
      </c>
      <c r="C434" s="102" t="s">
        <v>975</v>
      </c>
      <c r="D434" s="102" t="s">
        <v>436</v>
      </c>
      <c r="E434" s="103">
        <f t="shared" si="714"/>
        <v>0.79999999999999993</v>
      </c>
      <c r="F434" s="103">
        <f t="shared" si="715"/>
        <v>0.79999999999999993</v>
      </c>
      <c r="G434" s="103">
        <f t="shared" si="717"/>
        <v>0.79999999999999993</v>
      </c>
      <c r="H434" s="103">
        <f t="shared" si="716"/>
        <v>0</v>
      </c>
      <c r="I434" s="109">
        <v>4.7E-2</v>
      </c>
      <c r="J434" s="106">
        <f t="shared" si="718"/>
        <v>46213</v>
      </c>
      <c r="K434" s="107">
        <f t="shared" si="698"/>
        <v>46213</v>
      </c>
      <c r="L434" s="106">
        <v>46142</v>
      </c>
      <c r="M434" s="107">
        <f t="shared" si="699"/>
        <v>46255</v>
      </c>
      <c r="N434" s="107">
        <f t="shared" si="700"/>
        <v>46255</v>
      </c>
      <c r="O434" s="107">
        <v>46266</v>
      </c>
      <c r="P434" s="107">
        <f t="shared" si="706"/>
        <v>46297</v>
      </c>
      <c r="Q434" s="107">
        <f t="shared" si="701"/>
        <v>46297</v>
      </c>
      <c r="R434" s="160">
        <v>46300</v>
      </c>
      <c r="S434" s="106">
        <f t="shared" si="703"/>
        <v>46311</v>
      </c>
      <c r="T434" s="107">
        <f t="shared" si="702"/>
        <v>46311</v>
      </c>
      <c r="U434" s="107"/>
      <c r="V434" s="222"/>
      <c r="X434" s="168" t="str">
        <f t="shared" ca="1" si="707"/>
        <v>Completed</v>
      </c>
      <c r="Y434" s="168" t="str">
        <f t="shared" ca="1" si="708"/>
        <v>Completed</v>
      </c>
      <c r="Z434" s="168" t="str">
        <f t="shared" ca="1" si="709"/>
        <v>Completed</v>
      </c>
      <c r="AA434" s="169" t="str">
        <f t="shared" ca="1" si="710"/>
        <v>Follow-Next Week</v>
      </c>
    </row>
    <row r="435" spans="1:27" s="70" customFormat="1" ht="11.5" x14ac:dyDescent="0.25">
      <c r="A435" s="102" t="s">
        <v>64</v>
      </c>
      <c r="B435" s="102" t="s">
        <v>14</v>
      </c>
      <c r="C435" s="102" t="s">
        <v>976</v>
      </c>
      <c r="D435" s="102" t="s">
        <v>437</v>
      </c>
      <c r="E435" s="103">
        <f t="shared" si="714"/>
        <v>0.79999999999999993</v>
      </c>
      <c r="F435" s="103">
        <f t="shared" si="715"/>
        <v>0.79999999999999993</v>
      </c>
      <c r="G435" s="103">
        <f t="shared" si="717"/>
        <v>0.79999999999999993</v>
      </c>
      <c r="H435" s="103">
        <f t="shared" si="716"/>
        <v>0</v>
      </c>
      <c r="I435" s="109">
        <v>4.7E-2</v>
      </c>
      <c r="J435" s="106">
        <f t="shared" si="718"/>
        <v>46213</v>
      </c>
      <c r="K435" s="107">
        <f t="shared" si="698"/>
        <v>46213</v>
      </c>
      <c r="L435" s="106">
        <v>46142</v>
      </c>
      <c r="M435" s="107">
        <f t="shared" si="699"/>
        <v>46255</v>
      </c>
      <c r="N435" s="107">
        <f t="shared" si="700"/>
        <v>46255</v>
      </c>
      <c r="O435" s="107">
        <v>46266</v>
      </c>
      <c r="P435" s="107">
        <f t="shared" si="706"/>
        <v>46297</v>
      </c>
      <c r="Q435" s="107">
        <f t="shared" si="701"/>
        <v>46297</v>
      </c>
      <c r="R435" s="160">
        <v>46300</v>
      </c>
      <c r="S435" s="106">
        <f t="shared" si="703"/>
        <v>46311</v>
      </c>
      <c r="T435" s="107">
        <f t="shared" si="702"/>
        <v>46311</v>
      </c>
      <c r="U435" s="107"/>
      <c r="V435" s="222"/>
      <c r="X435" s="168" t="str">
        <f t="shared" ca="1" si="707"/>
        <v>Completed</v>
      </c>
      <c r="Y435" s="168" t="str">
        <f t="shared" ca="1" si="708"/>
        <v>Completed</v>
      </c>
      <c r="Z435" s="168" t="str">
        <f t="shared" ca="1" si="709"/>
        <v>Completed</v>
      </c>
      <c r="AA435" s="169" t="str">
        <f t="shared" ca="1" si="710"/>
        <v>Follow-Next Week</v>
      </c>
    </row>
    <row r="436" spans="1:27" s="70" customFormat="1" ht="11.5" x14ac:dyDescent="0.25">
      <c r="A436" s="102" t="s">
        <v>64</v>
      </c>
      <c r="B436" s="102" t="s">
        <v>14</v>
      </c>
      <c r="C436" s="102" t="s">
        <v>977</v>
      </c>
      <c r="D436" s="102" t="s">
        <v>438</v>
      </c>
      <c r="E436" s="103">
        <f t="shared" ref="E436:E438" si="719">(COUNTIFS(J436,"&lt;="&amp;$C$1)*50%)+(COUNTIFS(M436,"&lt;="&amp;$C$1)*20%)+(COUNTIFS(P436,"&lt;="&amp;$C$1)*10%)+(COUNTIFS(S436,"&lt;="&amp;$C$1)*20%)</f>
        <v>0.79999999999999993</v>
      </c>
      <c r="F436" s="103">
        <f t="shared" ref="F436:F438" si="720">(COUNTIFS(K436,"&lt;="&amp;$C$1)*50%)+(COUNTIFS(N436,"&lt;="&amp;$C$1)*20%)+(COUNTIFS(Q436,"&lt;="&amp;$C$1)*10%)+(COUNTIFS(T436,"&lt;="&amp;$C$1)*20%)</f>
        <v>0.79999999999999993</v>
      </c>
      <c r="G436" s="103">
        <f t="shared" si="717"/>
        <v>0.79999999999999993</v>
      </c>
      <c r="H436" s="103">
        <f t="shared" ref="H436:H438" si="721">G436-E436</f>
        <v>0</v>
      </c>
      <c r="I436" s="109">
        <v>4.7E-2</v>
      </c>
      <c r="J436" s="106">
        <f t="shared" si="718"/>
        <v>46213</v>
      </c>
      <c r="K436" s="107">
        <f t="shared" si="698"/>
        <v>46213</v>
      </c>
      <c r="L436" s="106">
        <v>46142</v>
      </c>
      <c r="M436" s="107">
        <f t="shared" si="699"/>
        <v>46255</v>
      </c>
      <c r="N436" s="107">
        <f t="shared" si="700"/>
        <v>46255</v>
      </c>
      <c r="O436" s="107">
        <v>46266</v>
      </c>
      <c r="P436" s="107">
        <f t="shared" si="706"/>
        <v>46297</v>
      </c>
      <c r="Q436" s="107">
        <f t="shared" si="701"/>
        <v>46297</v>
      </c>
      <c r="R436" s="160">
        <v>46300</v>
      </c>
      <c r="S436" s="106">
        <f t="shared" si="703"/>
        <v>46311</v>
      </c>
      <c r="T436" s="107">
        <f t="shared" si="702"/>
        <v>46311</v>
      </c>
      <c r="U436" s="107"/>
      <c r="V436" s="222"/>
      <c r="X436" s="168" t="str">
        <f t="shared" ca="1" si="707"/>
        <v>Completed</v>
      </c>
      <c r="Y436" s="168" t="str">
        <f t="shared" ca="1" si="708"/>
        <v>Completed</v>
      </c>
      <c r="Z436" s="168" t="str">
        <f t="shared" ca="1" si="709"/>
        <v>Completed</v>
      </c>
      <c r="AA436" s="169" t="str">
        <f t="shared" ca="1" si="710"/>
        <v>Follow-Next Week</v>
      </c>
    </row>
    <row r="437" spans="1:27" s="70" customFormat="1" ht="11.5" x14ac:dyDescent="0.25">
      <c r="A437" s="102" t="s">
        <v>64</v>
      </c>
      <c r="B437" s="102" t="s">
        <v>14</v>
      </c>
      <c r="C437" s="102" t="s">
        <v>978</v>
      </c>
      <c r="D437" s="148" t="s">
        <v>1086</v>
      </c>
      <c r="E437" s="103">
        <f t="shared" si="719"/>
        <v>0.79999999999999993</v>
      </c>
      <c r="F437" s="103">
        <f t="shared" si="720"/>
        <v>0.79999999999999993</v>
      </c>
      <c r="G437" s="103">
        <f t="shared" si="717"/>
        <v>0.79999999999999993</v>
      </c>
      <c r="H437" s="103">
        <f t="shared" si="721"/>
        <v>0</v>
      </c>
      <c r="I437" s="109">
        <v>4.7E-2</v>
      </c>
      <c r="J437" s="106">
        <f t="shared" si="718"/>
        <v>46213</v>
      </c>
      <c r="K437" s="107">
        <f t="shared" si="698"/>
        <v>46213</v>
      </c>
      <c r="L437" s="106">
        <v>46142</v>
      </c>
      <c r="M437" s="107">
        <f t="shared" si="699"/>
        <v>46255</v>
      </c>
      <c r="N437" s="107">
        <f t="shared" si="700"/>
        <v>46255</v>
      </c>
      <c r="O437" s="107">
        <v>46266</v>
      </c>
      <c r="P437" s="107">
        <f t="shared" si="706"/>
        <v>46297</v>
      </c>
      <c r="Q437" s="107">
        <f t="shared" si="701"/>
        <v>46297</v>
      </c>
      <c r="R437" s="160">
        <v>46300</v>
      </c>
      <c r="S437" s="106">
        <f t="shared" si="703"/>
        <v>46311</v>
      </c>
      <c r="T437" s="107">
        <f t="shared" si="702"/>
        <v>46311</v>
      </c>
      <c r="U437" s="107"/>
      <c r="V437" s="222"/>
      <c r="X437" s="168" t="str">
        <f t="shared" ca="1" si="707"/>
        <v>Completed</v>
      </c>
      <c r="Y437" s="168" t="str">
        <f t="shared" ca="1" si="708"/>
        <v>Completed</v>
      </c>
      <c r="Z437" s="168" t="str">
        <f t="shared" ca="1" si="709"/>
        <v>Completed</v>
      </c>
      <c r="AA437" s="169" t="str">
        <f t="shared" ca="1" si="710"/>
        <v>Follow-Next Week</v>
      </c>
    </row>
    <row r="438" spans="1:27" s="70" customFormat="1" ht="11.5" x14ac:dyDescent="0.25">
      <c r="A438" s="102" t="s">
        <v>64</v>
      </c>
      <c r="B438" s="102" t="s">
        <v>14</v>
      </c>
      <c r="C438" s="102" t="s">
        <v>979</v>
      </c>
      <c r="D438" s="102" t="s">
        <v>439</v>
      </c>
      <c r="E438" s="103">
        <f t="shared" si="719"/>
        <v>0.79999999999999993</v>
      </c>
      <c r="F438" s="103">
        <f t="shared" si="720"/>
        <v>0.79999999999999993</v>
      </c>
      <c r="G438" s="103">
        <f t="shared" si="717"/>
        <v>0.79999999999999993</v>
      </c>
      <c r="H438" s="103">
        <f t="shared" si="721"/>
        <v>0</v>
      </c>
      <c r="I438" s="109">
        <v>4.7E-2</v>
      </c>
      <c r="J438" s="106">
        <f t="shared" si="718"/>
        <v>46213</v>
      </c>
      <c r="K438" s="107">
        <f t="shared" si="698"/>
        <v>46213</v>
      </c>
      <c r="L438" s="106">
        <v>46142</v>
      </c>
      <c r="M438" s="107">
        <f t="shared" si="699"/>
        <v>46255</v>
      </c>
      <c r="N438" s="107">
        <f t="shared" si="700"/>
        <v>46255</v>
      </c>
      <c r="O438" s="107">
        <v>46266</v>
      </c>
      <c r="P438" s="107">
        <f t="shared" si="706"/>
        <v>46297</v>
      </c>
      <c r="Q438" s="107">
        <f t="shared" si="701"/>
        <v>46297</v>
      </c>
      <c r="R438" s="160">
        <v>46300</v>
      </c>
      <c r="S438" s="106">
        <f t="shared" si="703"/>
        <v>46311</v>
      </c>
      <c r="T438" s="107">
        <f t="shared" si="702"/>
        <v>46311</v>
      </c>
      <c r="U438" s="107"/>
      <c r="V438" s="222"/>
      <c r="X438" s="168" t="str">
        <f t="shared" ca="1" si="707"/>
        <v>Completed</v>
      </c>
      <c r="Y438" s="168" t="str">
        <f t="shared" ca="1" si="708"/>
        <v>Completed</v>
      </c>
      <c r="Z438" s="168" t="str">
        <f t="shared" ca="1" si="709"/>
        <v>Completed</v>
      </c>
      <c r="AA438" s="169" t="str">
        <f t="shared" ca="1" si="710"/>
        <v>Follow-Next Week</v>
      </c>
    </row>
    <row r="439" spans="1:27" s="70" customFormat="1" ht="11.5" x14ac:dyDescent="0.25">
      <c r="A439" s="185" t="s">
        <v>64</v>
      </c>
      <c r="B439" s="185" t="s">
        <v>14</v>
      </c>
      <c r="C439" s="185" t="s">
        <v>440</v>
      </c>
      <c r="D439" s="185" t="s">
        <v>1130</v>
      </c>
      <c r="E439" s="186"/>
      <c r="F439" s="186"/>
      <c r="G439" s="186"/>
      <c r="H439" s="186"/>
      <c r="I439" s="180">
        <v>4.7E-2</v>
      </c>
      <c r="J439" s="178">
        <f t="shared" si="718"/>
        <v>46220</v>
      </c>
      <c r="K439" s="179">
        <f t="shared" si="698"/>
        <v>46220</v>
      </c>
      <c r="L439" s="179">
        <v>46262</v>
      </c>
      <c r="M439" s="179">
        <f t="shared" si="699"/>
        <v>46262</v>
      </c>
      <c r="N439" s="179">
        <f t="shared" si="700"/>
        <v>46262</v>
      </c>
      <c r="O439" s="179">
        <v>46262</v>
      </c>
      <c r="P439" s="179">
        <f t="shared" si="706"/>
        <v>46304</v>
      </c>
      <c r="Q439" s="179">
        <f t="shared" si="701"/>
        <v>46304</v>
      </c>
      <c r="R439" s="179">
        <v>46262</v>
      </c>
      <c r="S439" s="178">
        <f t="shared" si="703"/>
        <v>46318</v>
      </c>
      <c r="T439" s="179">
        <f t="shared" si="702"/>
        <v>46318</v>
      </c>
      <c r="U439" s="179">
        <v>46262</v>
      </c>
      <c r="V439" s="223"/>
      <c r="X439" s="168" t="str">
        <f t="shared" ca="1" si="707"/>
        <v>Completed</v>
      </c>
      <c r="Y439" s="168" t="str">
        <f t="shared" ca="1" si="708"/>
        <v>Completed</v>
      </c>
      <c r="Z439" s="168" t="str">
        <f t="shared" ca="1" si="709"/>
        <v>Completed</v>
      </c>
      <c r="AA439" s="169" t="str">
        <f t="shared" ca="1" si="710"/>
        <v>Completed</v>
      </c>
    </row>
    <row r="440" spans="1:27" s="70" customFormat="1" ht="11.5" x14ac:dyDescent="0.25">
      <c r="A440" s="185" t="s">
        <v>64</v>
      </c>
      <c r="B440" s="185" t="s">
        <v>14</v>
      </c>
      <c r="C440" s="185" t="s">
        <v>441</v>
      </c>
      <c r="D440" s="185" t="s">
        <v>1131</v>
      </c>
      <c r="E440" s="186"/>
      <c r="F440" s="186"/>
      <c r="G440" s="186"/>
      <c r="H440" s="186"/>
      <c r="I440" s="180">
        <v>4.7E-2</v>
      </c>
      <c r="J440" s="178">
        <f t="shared" si="718"/>
        <v>46220</v>
      </c>
      <c r="K440" s="179">
        <f t="shared" si="698"/>
        <v>46220</v>
      </c>
      <c r="L440" s="179">
        <v>46262</v>
      </c>
      <c r="M440" s="179">
        <f t="shared" si="699"/>
        <v>46262</v>
      </c>
      <c r="N440" s="179">
        <f t="shared" si="700"/>
        <v>46262</v>
      </c>
      <c r="O440" s="179">
        <v>46262</v>
      </c>
      <c r="P440" s="179">
        <f t="shared" si="706"/>
        <v>46304</v>
      </c>
      <c r="Q440" s="179">
        <f t="shared" si="701"/>
        <v>46304</v>
      </c>
      <c r="R440" s="179">
        <v>46262</v>
      </c>
      <c r="S440" s="178">
        <f t="shared" si="703"/>
        <v>46318</v>
      </c>
      <c r="T440" s="179">
        <f t="shared" si="702"/>
        <v>46318</v>
      </c>
      <c r="U440" s="179">
        <v>46262</v>
      </c>
      <c r="V440" s="223"/>
      <c r="X440" s="168" t="str">
        <f t="shared" ca="1" si="707"/>
        <v>Completed</v>
      </c>
      <c r="Y440" s="168" t="str">
        <f t="shared" ca="1" si="708"/>
        <v>Completed</v>
      </c>
      <c r="Z440" s="168" t="str">
        <f t="shared" ca="1" si="709"/>
        <v>Completed</v>
      </c>
      <c r="AA440" s="169" t="str">
        <f t="shared" ca="1" si="710"/>
        <v>Completed</v>
      </c>
    </row>
    <row r="441" spans="1:27" s="70" customFormat="1" ht="11.5" x14ac:dyDescent="0.25">
      <c r="A441" s="102" t="s">
        <v>64</v>
      </c>
      <c r="B441" s="102" t="s">
        <v>14</v>
      </c>
      <c r="C441" s="102" t="s">
        <v>1129</v>
      </c>
      <c r="D441" s="102" t="s">
        <v>1132</v>
      </c>
      <c r="E441" s="103">
        <f t="shared" ref="E441:E442" si="722">(COUNTIFS(J441,"&lt;="&amp;$C$1)*50%)+(COUNTIFS(M441,"&lt;="&amp;$C$1)*20%)+(COUNTIFS(P441,"&lt;="&amp;$C$1)*10%)+(COUNTIFS(S441,"&lt;="&amp;$C$1)*20%)</f>
        <v>0</v>
      </c>
      <c r="F441" s="103">
        <f t="shared" ref="F441:F442" si="723">(COUNTIFS(K441,"&lt;="&amp;$C$1)*50%)+(COUNTIFS(N441,"&lt;="&amp;$C$1)*20%)+(COUNTIFS(Q441,"&lt;="&amp;$C$1)*10%)+(COUNTIFS(T441,"&lt;="&amp;$C$1)*20%)</f>
        <v>0</v>
      </c>
      <c r="G441" s="103">
        <f t="shared" ref="G441:G478" si="724">(COUNTIFS(L441,"&lt;="&amp;$C$1)*50%)+(COUNTIFS(O441,"&lt;="&amp;$C$1)*20%)+(COUNTIFS(R441,"&lt;="&amp;$C$1)*10%)+(COUNTIFS(U441,"&lt;="&amp;$C$1)*20%)</f>
        <v>0</v>
      </c>
      <c r="H441" s="103">
        <f t="shared" ref="H441:H442" si="725">G441-E441</f>
        <v>0</v>
      </c>
      <c r="I441" s="109"/>
      <c r="J441" s="106">
        <f t="shared" si="718"/>
        <v>46332</v>
      </c>
      <c r="K441" s="107">
        <f t="shared" ref="K441:K442" si="726">J441</f>
        <v>46332</v>
      </c>
      <c r="L441" s="107"/>
      <c r="M441" s="107">
        <f t="shared" ref="M441:M442" si="727">J441+42</f>
        <v>46374</v>
      </c>
      <c r="N441" s="107">
        <f t="shared" ref="N441:N442" si="728">M441</f>
        <v>46374</v>
      </c>
      <c r="O441" s="107"/>
      <c r="P441" s="107">
        <f t="shared" ref="P441:P442" si="729">M441+42</f>
        <v>46416</v>
      </c>
      <c r="Q441" s="107">
        <f t="shared" ref="Q441:Q442" si="730">P441</f>
        <v>46416</v>
      </c>
      <c r="R441" s="107"/>
      <c r="S441" s="106">
        <f t="shared" ref="S441:S442" si="731">P441+14</f>
        <v>46430</v>
      </c>
      <c r="T441" s="107">
        <f t="shared" ref="T441:T442" si="732">S441</f>
        <v>46430</v>
      </c>
      <c r="U441" s="107"/>
      <c r="V441" s="222"/>
      <c r="X441" s="168" t="str">
        <f t="shared" ca="1" si="707"/>
        <v/>
      </c>
      <c r="Y441" s="168" t="str">
        <f t="shared" ca="1" si="708"/>
        <v/>
      </c>
      <c r="Z441" s="168" t="str">
        <f t="shared" ca="1" si="709"/>
        <v/>
      </c>
      <c r="AA441" s="169" t="str">
        <f t="shared" ca="1" si="710"/>
        <v/>
      </c>
    </row>
    <row r="442" spans="1:27" s="70" customFormat="1" ht="11.5" x14ac:dyDescent="0.25">
      <c r="A442" s="102" t="s">
        <v>64</v>
      </c>
      <c r="B442" s="102" t="s">
        <v>14</v>
      </c>
      <c r="C442" s="102" t="s">
        <v>1129</v>
      </c>
      <c r="D442" s="102" t="s">
        <v>1133</v>
      </c>
      <c r="E442" s="103">
        <f t="shared" si="722"/>
        <v>0</v>
      </c>
      <c r="F442" s="103">
        <f t="shared" si="723"/>
        <v>0</v>
      </c>
      <c r="G442" s="103">
        <f t="shared" si="724"/>
        <v>0</v>
      </c>
      <c r="H442" s="103">
        <f t="shared" si="725"/>
        <v>0</v>
      </c>
      <c r="I442" s="109"/>
      <c r="J442" s="106">
        <f t="shared" si="718"/>
        <v>46332</v>
      </c>
      <c r="K442" s="107">
        <f t="shared" si="726"/>
        <v>46332</v>
      </c>
      <c r="L442" s="107"/>
      <c r="M442" s="107">
        <f t="shared" si="727"/>
        <v>46374</v>
      </c>
      <c r="N442" s="107">
        <f t="shared" si="728"/>
        <v>46374</v>
      </c>
      <c r="O442" s="107"/>
      <c r="P442" s="107">
        <f t="shared" si="729"/>
        <v>46416</v>
      </c>
      <c r="Q442" s="107">
        <f t="shared" si="730"/>
        <v>46416</v>
      </c>
      <c r="R442" s="107"/>
      <c r="S442" s="106">
        <f t="shared" si="731"/>
        <v>46430</v>
      </c>
      <c r="T442" s="107">
        <f t="shared" si="732"/>
        <v>46430</v>
      </c>
      <c r="U442" s="107"/>
      <c r="V442" s="222"/>
      <c r="X442" s="168" t="str">
        <f t="shared" ca="1" si="707"/>
        <v/>
      </c>
      <c r="Y442" s="168" t="str">
        <f t="shared" ca="1" si="708"/>
        <v/>
      </c>
      <c r="Z442" s="168" t="str">
        <f t="shared" ca="1" si="709"/>
        <v/>
      </c>
      <c r="AA442" s="169" t="str">
        <f t="shared" ca="1" si="710"/>
        <v/>
      </c>
    </row>
    <row r="443" spans="1:27" s="70" customFormat="1" ht="11.5" x14ac:dyDescent="0.25">
      <c r="A443" s="102" t="s">
        <v>64</v>
      </c>
      <c r="B443" s="102" t="s">
        <v>14</v>
      </c>
      <c r="C443" s="102" t="s">
        <v>871</v>
      </c>
      <c r="D443" s="102" t="s">
        <v>872</v>
      </c>
      <c r="E443" s="103">
        <f t="shared" ref="E443:E447" si="733">(COUNTIFS(J443,"&lt;="&amp;$C$1)*50%)+(COUNTIFS(M443,"&lt;="&amp;$C$1)*20%)+(COUNTIFS(P443,"&lt;="&amp;$C$1)*10%)+(COUNTIFS(S443,"&lt;="&amp;$C$1)*20%)</f>
        <v>0.7</v>
      </c>
      <c r="F443" s="103">
        <f t="shared" ref="F443:F447" si="734">(COUNTIFS(K443,"&lt;="&amp;$C$1)*50%)+(COUNTIFS(N443,"&lt;="&amp;$C$1)*20%)+(COUNTIFS(Q443,"&lt;="&amp;$C$1)*10%)+(COUNTIFS(T443,"&lt;="&amp;$C$1)*20%)</f>
        <v>0.7</v>
      </c>
      <c r="G443" s="103">
        <f t="shared" si="724"/>
        <v>0.79999999999999993</v>
      </c>
      <c r="H443" s="103">
        <f t="shared" ref="H443:H447" si="735">G443-E443</f>
        <v>9.9999999999999978E-2</v>
      </c>
      <c r="I443" s="109"/>
      <c r="J443" s="106">
        <f t="shared" si="718"/>
        <v>46227</v>
      </c>
      <c r="K443" s="107">
        <f t="shared" ref="K443:K447" si="736">J443</f>
        <v>46227</v>
      </c>
      <c r="L443" s="106">
        <v>46190</v>
      </c>
      <c r="M443" s="107">
        <f t="shared" ref="M443:M447" si="737">J443+42</f>
        <v>46269</v>
      </c>
      <c r="N443" s="107">
        <f t="shared" ref="N443:N447" si="738">M443</f>
        <v>46269</v>
      </c>
      <c r="O443" s="107">
        <v>46269</v>
      </c>
      <c r="P443" s="107">
        <f t="shared" ref="P443:P447" si="739">M443+42</f>
        <v>46311</v>
      </c>
      <c r="Q443" s="107">
        <f t="shared" ref="Q443:Q447" si="740">P443</f>
        <v>46311</v>
      </c>
      <c r="R443" s="160">
        <v>46300</v>
      </c>
      <c r="S443" s="106">
        <f t="shared" ref="S443:S447" si="741">P443+14</f>
        <v>46325</v>
      </c>
      <c r="T443" s="107">
        <f t="shared" ref="T443:T447" si="742">S443</f>
        <v>46325</v>
      </c>
      <c r="U443" s="107"/>
      <c r="V443" s="222"/>
      <c r="X443" s="168" t="str">
        <f t="shared" ca="1" si="707"/>
        <v>Completed</v>
      </c>
      <c r="Y443" s="168" t="str">
        <f t="shared" ca="1" si="708"/>
        <v>Completed</v>
      </c>
      <c r="Z443" s="168" t="str">
        <f t="shared" ca="1" si="709"/>
        <v>Completed</v>
      </c>
      <c r="AA443" s="169" t="str">
        <f t="shared" ca="1" si="710"/>
        <v/>
      </c>
    </row>
    <row r="444" spans="1:27" s="70" customFormat="1" ht="11.5" x14ac:dyDescent="0.25">
      <c r="A444" s="102" t="s">
        <v>64</v>
      </c>
      <c r="B444" s="102" t="s">
        <v>14</v>
      </c>
      <c r="C444" s="102" t="s">
        <v>873</v>
      </c>
      <c r="D444" s="102" t="s">
        <v>1112</v>
      </c>
      <c r="E444" s="103">
        <f t="shared" si="733"/>
        <v>0.5</v>
      </c>
      <c r="F444" s="103">
        <f t="shared" si="734"/>
        <v>0.5</v>
      </c>
      <c r="G444" s="103">
        <f t="shared" si="724"/>
        <v>0.7</v>
      </c>
      <c r="H444" s="103">
        <f t="shared" si="735"/>
        <v>0.19999999999999996</v>
      </c>
      <c r="I444" s="109"/>
      <c r="J444" s="106">
        <f t="shared" si="718"/>
        <v>46293</v>
      </c>
      <c r="K444" s="107">
        <f t="shared" si="736"/>
        <v>46293</v>
      </c>
      <c r="L444" s="107">
        <v>46269</v>
      </c>
      <c r="M444" s="107">
        <f t="shared" si="737"/>
        <v>46335</v>
      </c>
      <c r="N444" s="107">
        <f t="shared" si="738"/>
        <v>46335</v>
      </c>
      <c r="O444" s="160">
        <v>46300</v>
      </c>
      <c r="P444" s="107">
        <f t="shared" si="739"/>
        <v>46377</v>
      </c>
      <c r="Q444" s="107">
        <f t="shared" si="740"/>
        <v>46377</v>
      </c>
      <c r="R444" s="107"/>
      <c r="S444" s="106">
        <f t="shared" si="741"/>
        <v>46391</v>
      </c>
      <c r="T444" s="107">
        <f t="shared" si="742"/>
        <v>46391</v>
      </c>
      <c r="U444" s="107"/>
      <c r="V444" s="222"/>
      <c r="X444" s="168" t="str">
        <f t="shared" ca="1" si="707"/>
        <v>Completed</v>
      </c>
      <c r="Y444" s="168" t="str">
        <f t="shared" ca="1" si="708"/>
        <v>Completed</v>
      </c>
      <c r="Z444" s="168" t="str">
        <f t="shared" ca="1" si="709"/>
        <v/>
      </c>
      <c r="AA444" s="169" t="str">
        <f t="shared" ca="1" si="710"/>
        <v/>
      </c>
    </row>
    <row r="445" spans="1:27" s="70" customFormat="1" ht="11.5" x14ac:dyDescent="0.25">
      <c r="A445" s="102" t="s">
        <v>64</v>
      </c>
      <c r="B445" s="102" t="s">
        <v>14</v>
      </c>
      <c r="C445" s="102" t="s">
        <v>874</v>
      </c>
      <c r="D445" s="102" t="s">
        <v>1113</v>
      </c>
      <c r="E445" s="103">
        <f t="shared" si="733"/>
        <v>0.5</v>
      </c>
      <c r="F445" s="103">
        <f t="shared" si="734"/>
        <v>0.5</v>
      </c>
      <c r="G445" s="103">
        <f t="shared" si="724"/>
        <v>0.7</v>
      </c>
      <c r="H445" s="103">
        <f t="shared" si="735"/>
        <v>0.19999999999999996</v>
      </c>
      <c r="I445" s="109"/>
      <c r="J445" s="106">
        <f t="shared" si="718"/>
        <v>46293</v>
      </c>
      <c r="K445" s="107">
        <f t="shared" si="736"/>
        <v>46293</v>
      </c>
      <c r="L445" s="107">
        <v>46269</v>
      </c>
      <c r="M445" s="107">
        <f t="shared" si="737"/>
        <v>46335</v>
      </c>
      <c r="N445" s="107">
        <f t="shared" si="738"/>
        <v>46335</v>
      </c>
      <c r="O445" s="160">
        <v>46300</v>
      </c>
      <c r="P445" s="107">
        <f t="shared" si="739"/>
        <v>46377</v>
      </c>
      <c r="Q445" s="107">
        <f t="shared" si="740"/>
        <v>46377</v>
      </c>
      <c r="R445" s="107"/>
      <c r="S445" s="106">
        <f t="shared" si="741"/>
        <v>46391</v>
      </c>
      <c r="T445" s="107">
        <f t="shared" si="742"/>
        <v>46391</v>
      </c>
      <c r="U445" s="107"/>
      <c r="V445" s="222"/>
      <c r="X445" s="168" t="str">
        <f t="shared" ca="1" si="707"/>
        <v>Completed</v>
      </c>
      <c r="Y445" s="168" t="str">
        <f t="shared" ca="1" si="708"/>
        <v>Completed</v>
      </c>
      <c r="Z445" s="168" t="str">
        <f t="shared" ca="1" si="709"/>
        <v/>
      </c>
      <c r="AA445" s="169" t="str">
        <f t="shared" ca="1" si="710"/>
        <v/>
      </c>
    </row>
    <row r="446" spans="1:27" s="70" customFormat="1" ht="11.5" x14ac:dyDescent="0.25">
      <c r="A446" s="102" t="s">
        <v>64</v>
      </c>
      <c r="B446" s="102" t="s">
        <v>14</v>
      </c>
      <c r="C446" s="102" t="s">
        <v>875</v>
      </c>
      <c r="D446" s="102" t="s">
        <v>1114</v>
      </c>
      <c r="E446" s="103">
        <f t="shared" si="733"/>
        <v>0.5</v>
      </c>
      <c r="F446" s="103">
        <f t="shared" si="734"/>
        <v>0.5</v>
      </c>
      <c r="G446" s="103">
        <f t="shared" si="724"/>
        <v>0.7</v>
      </c>
      <c r="H446" s="103">
        <f t="shared" si="735"/>
        <v>0.19999999999999996</v>
      </c>
      <c r="I446" s="109"/>
      <c r="J446" s="106">
        <f t="shared" si="718"/>
        <v>46293</v>
      </c>
      <c r="K446" s="107">
        <f t="shared" si="736"/>
        <v>46293</v>
      </c>
      <c r="L446" s="107">
        <v>46269</v>
      </c>
      <c r="M446" s="107">
        <f t="shared" si="737"/>
        <v>46335</v>
      </c>
      <c r="N446" s="107">
        <f t="shared" si="738"/>
        <v>46335</v>
      </c>
      <c r="O446" s="160">
        <v>46300</v>
      </c>
      <c r="P446" s="107">
        <f t="shared" si="739"/>
        <v>46377</v>
      </c>
      <c r="Q446" s="107">
        <f t="shared" si="740"/>
        <v>46377</v>
      </c>
      <c r="R446" s="107"/>
      <c r="S446" s="106">
        <f t="shared" si="741"/>
        <v>46391</v>
      </c>
      <c r="T446" s="107">
        <f t="shared" si="742"/>
        <v>46391</v>
      </c>
      <c r="U446" s="107"/>
      <c r="V446" s="222"/>
      <c r="X446" s="168" t="str">
        <f t="shared" ca="1" si="707"/>
        <v>Completed</v>
      </c>
      <c r="Y446" s="168" t="str">
        <f t="shared" ca="1" si="708"/>
        <v>Completed</v>
      </c>
      <c r="Z446" s="168" t="str">
        <f t="shared" ca="1" si="709"/>
        <v/>
      </c>
      <c r="AA446" s="169" t="str">
        <f t="shared" ca="1" si="710"/>
        <v/>
      </c>
    </row>
    <row r="447" spans="1:27" s="70" customFormat="1" ht="11.5" x14ac:dyDescent="0.25">
      <c r="A447" s="102" t="s">
        <v>64</v>
      </c>
      <c r="B447" s="102" t="s">
        <v>14</v>
      </c>
      <c r="C447" s="102" t="s">
        <v>876</v>
      </c>
      <c r="D447" s="102" t="s">
        <v>1115</v>
      </c>
      <c r="E447" s="103">
        <f t="shared" si="733"/>
        <v>0.5</v>
      </c>
      <c r="F447" s="103">
        <f t="shared" si="734"/>
        <v>0.5</v>
      </c>
      <c r="G447" s="103">
        <f t="shared" si="724"/>
        <v>0.7</v>
      </c>
      <c r="H447" s="103">
        <f t="shared" si="735"/>
        <v>0.19999999999999996</v>
      </c>
      <c r="I447" s="109"/>
      <c r="J447" s="106">
        <f t="shared" si="718"/>
        <v>46293</v>
      </c>
      <c r="K447" s="107">
        <f t="shared" si="736"/>
        <v>46293</v>
      </c>
      <c r="L447" s="107">
        <v>46269</v>
      </c>
      <c r="M447" s="107">
        <f t="shared" si="737"/>
        <v>46335</v>
      </c>
      <c r="N447" s="107">
        <f t="shared" si="738"/>
        <v>46335</v>
      </c>
      <c r="O447" s="160">
        <v>46300</v>
      </c>
      <c r="P447" s="107">
        <f t="shared" si="739"/>
        <v>46377</v>
      </c>
      <c r="Q447" s="107">
        <f t="shared" si="740"/>
        <v>46377</v>
      </c>
      <c r="R447" s="107"/>
      <c r="S447" s="106">
        <f t="shared" si="741"/>
        <v>46391</v>
      </c>
      <c r="T447" s="107">
        <f t="shared" si="742"/>
        <v>46391</v>
      </c>
      <c r="U447" s="107"/>
      <c r="V447" s="222"/>
      <c r="X447" s="168" t="str">
        <f t="shared" ca="1" si="707"/>
        <v>Completed</v>
      </c>
      <c r="Y447" s="168" t="str">
        <f t="shared" ca="1" si="708"/>
        <v>Completed</v>
      </c>
      <c r="Z447" s="168" t="str">
        <f t="shared" ca="1" si="709"/>
        <v/>
      </c>
      <c r="AA447" s="169" t="str">
        <f t="shared" ca="1" si="710"/>
        <v/>
      </c>
    </row>
    <row r="448" spans="1:27" s="70" customFormat="1" ht="11.5" x14ac:dyDescent="0.25">
      <c r="A448" s="102" t="s">
        <v>64</v>
      </c>
      <c r="B448" s="102" t="s">
        <v>14</v>
      </c>
      <c r="C448" s="102" t="s">
        <v>442</v>
      </c>
      <c r="D448" s="102" t="s">
        <v>443</v>
      </c>
      <c r="E448" s="103">
        <f t="shared" si="714"/>
        <v>0.79999999999999993</v>
      </c>
      <c r="F448" s="103">
        <f t="shared" si="715"/>
        <v>0.79999999999999993</v>
      </c>
      <c r="G448" s="103">
        <f t="shared" si="724"/>
        <v>0.79999999999999993</v>
      </c>
      <c r="H448" s="103">
        <f t="shared" si="716"/>
        <v>0</v>
      </c>
      <c r="I448" s="109">
        <v>4.7E-2</v>
      </c>
      <c r="J448" s="106">
        <f t="shared" ref="J448:J462" si="743">J317+28</f>
        <v>46220</v>
      </c>
      <c r="K448" s="106">
        <f t="shared" si="698"/>
        <v>46220</v>
      </c>
      <c r="L448" s="107">
        <v>46184</v>
      </c>
      <c r="M448" s="107">
        <f t="shared" si="699"/>
        <v>46262</v>
      </c>
      <c r="N448" s="106">
        <f t="shared" si="700"/>
        <v>46262</v>
      </c>
      <c r="O448" s="137">
        <v>46269</v>
      </c>
      <c r="P448" s="107">
        <f t="shared" si="706"/>
        <v>46304</v>
      </c>
      <c r="Q448" s="106">
        <f t="shared" si="701"/>
        <v>46304</v>
      </c>
      <c r="R448" s="160">
        <v>46300</v>
      </c>
      <c r="S448" s="106">
        <f t="shared" si="703"/>
        <v>46318</v>
      </c>
      <c r="T448" s="106">
        <f t="shared" si="702"/>
        <v>46318</v>
      </c>
      <c r="U448" s="107"/>
      <c r="V448" s="222"/>
      <c r="X448" s="168" t="str">
        <f t="shared" ca="1" si="707"/>
        <v>Completed</v>
      </c>
      <c r="Y448" s="168" t="str">
        <f t="shared" ca="1" si="708"/>
        <v>Completed</v>
      </c>
      <c r="Z448" s="168" t="str">
        <f t="shared" ca="1" si="709"/>
        <v>Completed</v>
      </c>
      <c r="AA448" s="169" t="str">
        <f t="shared" ca="1" si="710"/>
        <v/>
      </c>
    </row>
    <row r="449" spans="1:27" s="70" customFormat="1" ht="11.5" x14ac:dyDescent="0.25">
      <c r="A449" s="102" t="s">
        <v>64</v>
      </c>
      <c r="B449" s="102" t="s">
        <v>14</v>
      </c>
      <c r="C449" s="102" t="s">
        <v>444</v>
      </c>
      <c r="D449" s="102" t="s">
        <v>445</v>
      </c>
      <c r="E449" s="103">
        <f t="shared" si="714"/>
        <v>0.79999999999999993</v>
      </c>
      <c r="F449" s="103">
        <f t="shared" si="715"/>
        <v>0.79999999999999993</v>
      </c>
      <c r="G449" s="103">
        <f t="shared" si="724"/>
        <v>0.79999999999999993</v>
      </c>
      <c r="H449" s="103">
        <f t="shared" si="716"/>
        <v>0</v>
      </c>
      <c r="I449" s="109">
        <v>4.7E-2</v>
      </c>
      <c r="J449" s="106">
        <f t="shared" si="743"/>
        <v>46220</v>
      </c>
      <c r="K449" s="106">
        <f t="shared" ref="K449:K512" si="744">J449</f>
        <v>46220</v>
      </c>
      <c r="L449" s="107">
        <v>46184</v>
      </c>
      <c r="M449" s="107">
        <f t="shared" ref="M449:M512" si="745">J449+42</f>
        <v>46262</v>
      </c>
      <c r="N449" s="106">
        <f t="shared" ref="N449:N512" si="746">M449</f>
        <v>46262</v>
      </c>
      <c r="O449" s="137">
        <v>46269</v>
      </c>
      <c r="P449" s="107">
        <f t="shared" ref="P449:P485" si="747">M449+42</f>
        <v>46304</v>
      </c>
      <c r="Q449" s="106">
        <f t="shared" ref="Q449:Q512" si="748">P449</f>
        <v>46304</v>
      </c>
      <c r="R449" s="160">
        <v>46300</v>
      </c>
      <c r="S449" s="106">
        <f t="shared" si="703"/>
        <v>46318</v>
      </c>
      <c r="T449" s="106">
        <f t="shared" ref="T449:T512" si="749">S449</f>
        <v>46318</v>
      </c>
      <c r="U449" s="107"/>
      <c r="V449" s="222"/>
      <c r="X449" s="168" t="str">
        <f t="shared" ca="1" si="707"/>
        <v>Completed</v>
      </c>
      <c r="Y449" s="168" t="str">
        <f t="shared" ca="1" si="708"/>
        <v>Completed</v>
      </c>
      <c r="Z449" s="168" t="str">
        <f t="shared" ca="1" si="709"/>
        <v>Completed</v>
      </c>
      <c r="AA449" s="169" t="str">
        <f t="shared" ca="1" si="710"/>
        <v/>
      </c>
    </row>
    <row r="450" spans="1:27" s="70" customFormat="1" ht="11.5" x14ac:dyDescent="0.25">
      <c r="A450" s="102" t="s">
        <v>64</v>
      </c>
      <c r="B450" s="102" t="s">
        <v>14</v>
      </c>
      <c r="C450" s="102" t="s">
        <v>446</v>
      </c>
      <c r="D450" s="102" t="s">
        <v>447</v>
      </c>
      <c r="E450" s="103">
        <f t="shared" si="714"/>
        <v>0.79999999999999993</v>
      </c>
      <c r="F450" s="103">
        <f t="shared" si="715"/>
        <v>0.79999999999999993</v>
      </c>
      <c r="G450" s="103">
        <f t="shared" si="724"/>
        <v>0.79999999999999993</v>
      </c>
      <c r="H450" s="103">
        <f t="shared" si="716"/>
        <v>0</v>
      </c>
      <c r="I450" s="109">
        <v>4.7E-2</v>
      </c>
      <c r="J450" s="106">
        <f t="shared" si="743"/>
        <v>46220</v>
      </c>
      <c r="K450" s="106">
        <f t="shared" si="744"/>
        <v>46220</v>
      </c>
      <c r="L450" s="107">
        <v>46184</v>
      </c>
      <c r="M450" s="107">
        <f t="shared" si="745"/>
        <v>46262</v>
      </c>
      <c r="N450" s="106">
        <f t="shared" si="746"/>
        <v>46262</v>
      </c>
      <c r="O450" s="106">
        <v>46266</v>
      </c>
      <c r="P450" s="107">
        <f t="shared" si="747"/>
        <v>46304</v>
      </c>
      <c r="Q450" s="106">
        <f t="shared" si="748"/>
        <v>46304</v>
      </c>
      <c r="R450" s="160">
        <v>46300</v>
      </c>
      <c r="S450" s="106">
        <f t="shared" ref="S450:S513" si="750">P450+14</f>
        <v>46318</v>
      </c>
      <c r="T450" s="106">
        <f t="shared" si="749"/>
        <v>46318</v>
      </c>
      <c r="U450" s="107"/>
      <c r="V450" s="222"/>
      <c r="X450" s="168" t="str">
        <f t="shared" ca="1" si="707"/>
        <v>Completed</v>
      </c>
      <c r="Y450" s="168" t="str">
        <f t="shared" ca="1" si="708"/>
        <v>Completed</v>
      </c>
      <c r="Z450" s="168" t="str">
        <f t="shared" ca="1" si="709"/>
        <v>Completed</v>
      </c>
      <c r="AA450" s="169" t="str">
        <f t="shared" ca="1" si="710"/>
        <v/>
      </c>
    </row>
    <row r="451" spans="1:27" s="70" customFormat="1" ht="11.5" x14ac:dyDescent="0.25">
      <c r="A451" s="102" t="s">
        <v>64</v>
      </c>
      <c r="B451" s="102" t="s">
        <v>14</v>
      </c>
      <c r="C451" s="102" t="s">
        <v>448</v>
      </c>
      <c r="D451" s="102" t="s">
        <v>449</v>
      </c>
      <c r="E451" s="103">
        <f t="shared" si="714"/>
        <v>0.79999999999999993</v>
      </c>
      <c r="F451" s="103">
        <f t="shared" si="715"/>
        <v>0.79999999999999993</v>
      </c>
      <c r="G451" s="103">
        <f t="shared" si="724"/>
        <v>0.7</v>
      </c>
      <c r="H451" s="103">
        <f t="shared" si="716"/>
        <v>-9.9999999999999978E-2</v>
      </c>
      <c r="I451" s="109">
        <v>4.7E-2</v>
      </c>
      <c r="J451" s="106">
        <f t="shared" si="743"/>
        <v>46220</v>
      </c>
      <c r="K451" s="106">
        <f t="shared" si="744"/>
        <v>46220</v>
      </c>
      <c r="L451" s="106">
        <v>46293</v>
      </c>
      <c r="M451" s="107">
        <f t="shared" si="745"/>
        <v>46262</v>
      </c>
      <c r="N451" s="106">
        <f t="shared" si="746"/>
        <v>46262</v>
      </c>
      <c r="O451" s="236">
        <v>46304</v>
      </c>
      <c r="P451" s="107">
        <f t="shared" si="747"/>
        <v>46304</v>
      </c>
      <c r="Q451" s="106">
        <f t="shared" si="748"/>
        <v>46304</v>
      </c>
      <c r="R451" s="107"/>
      <c r="S451" s="106">
        <f t="shared" si="750"/>
        <v>46318</v>
      </c>
      <c r="T451" s="106">
        <f t="shared" si="749"/>
        <v>46318</v>
      </c>
      <c r="U451" s="107"/>
      <c r="V451" s="222"/>
      <c r="X451" s="168" t="str">
        <f t="shared" ca="1" si="707"/>
        <v>Completed</v>
      </c>
      <c r="Y451" s="168" t="str">
        <f t="shared" ca="1" si="708"/>
        <v>Completed</v>
      </c>
      <c r="Z451" s="168" t="str">
        <f t="shared" ca="1" si="709"/>
        <v>Overdue</v>
      </c>
      <c r="AA451" s="169" t="str">
        <f t="shared" ca="1" si="710"/>
        <v/>
      </c>
    </row>
    <row r="452" spans="1:27" s="70" customFormat="1" ht="11.5" x14ac:dyDescent="0.25">
      <c r="A452" s="102" t="s">
        <v>64</v>
      </c>
      <c r="B452" s="102" t="s">
        <v>14</v>
      </c>
      <c r="C452" s="102" t="s">
        <v>450</v>
      </c>
      <c r="D452" s="102" t="s">
        <v>451</v>
      </c>
      <c r="E452" s="103">
        <f t="shared" ref="E452" si="751">(COUNTIFS(J452,"&lt;="&amp;$C$1)*50%)+(COUNTIFS(M452,"&lt;="&amp;$C$1)*20%)+(COUNTIFS(P452,"&lt;="&amp;$C$1)*10%)+(COUNTIFS(S452,"&lt;="&amp;$C$1)*20%)</f>
        <v>0.7</v>
      </c>
      <c r="F452" s="103">
        <f t="shared" ref="F452" si="752">(COUNTIFS(K452,"&lt;="&amp;$C$1)*50%)+(COUNTIFS(N452,"&lt;="&amp;$C$1)*20%)+(COUNTIFS(Q452,"&lt;="&amp;$C$1)*10%)+(COUNTIFS(T452,"&lt;="&amp;$C$1)*20%)</f>
        <v>0.7</v>
      </c>
      <c r="G452" s="103">
        <f t="shared" si="724"/>
        <v>0.7</v>
      </c>
      <c r="H452" s="103">
        <f t="shared" ref="H452" si="753">G452-E452</f>
        <v>0</v>
      </c>
      <c r="I452" s="109">
        <v>4.7E-2</v>
      </c>
      <c r="J452" s="106">
        <f t="shared" si="743"/>
        <v>46227</v>
      </c>
      <c r="K452" s="107">
        <f t="shared" si="744"/>
        <v>46227</v>
      </c>
      <c r="L452" s="106">
        <v>46142</v>
      </c>
      <c r="M452" s="107">
        <f t="shared" si="745"/>
        <v>46269</v>
      </c>
      <c r="N452" s="107">
        <f t="shared" si="746"/>
        <v>46269</v>
      </c>
      <c r="O452" s="106">
        <v>46255</v>
      </c>
      <c r="P452" s="107">
        <f t="shared" si="747"/>
        <v>46311</v>
      </c>
      <c r="Q452" s="107">
        <f t="shared" si="748"/>
        <v>46311</v>
      </c>
      <c r="R452" s="107"/>
      <c r="S452" s="106">
        <f t="shared" si="750"/>
        <v>46325</v>
      </c>
      <c r="T452" s="107">
        <f t="shared" si="749"/>
        <v>46325</v>
      </c>
      <c r="U452" s="107"/>
      <c r="V452" s="222"/>
      <c r="X452" s="168" t="str">
        <f t="shared" ca="1" si="707"/>
        <v>Completed</v>
      </c>
      <c r="Y452" s="168" t="str">
        <f t="shared" ca="1" si="708"/>
        <v>Completed</v>
      </c>
      <c r="Z452" s="168" t="str">
        <f t="shared" ca="1" si="709"/>
        <v>Follow-Next Week</v>
      </c>
      <c r="AA452" s="169" t="str">
        <f t="shared" ca="1" si="710"/>
        <v/>
      </c>
    </row>
    <row r="453" spans="1:27" s="70" customFormat="1" ht="11.5" x14ac:dyDescent="0.25">
      <c r="A453" s="102" t="s">
        <v>64</v>
      </c>
      <c r="B453" s="102" t="s">
        <v>14</v>
      </c>
      <c r="C453" s="102" t="s">
        <v>452</v>
      </c>
      <c r="D453" s="102" t="s">
        <v>453</v>
      </c>
      <c r="E453" s="103">
        <f t="shared" si="714"/>
        <v>0.7</v>
      </c>
      <c r="F453" s="103">
        <f t="shared" si="715"/>
        <v>0.7</v>
      </c>
      <c r="G453" s="103">
        <f t="shared" si="724"/>
        <v>0.7</v>
      </c>
      <c r="H453" s="103">
        <f t="shared" si="716"/>
        <v>0</v>
      </c>
      <c r="I453" s="109">
        <v>4.7E-2</v>
      </c>
      <c r="J453" s="106">
        <f t="shared" si="743"/>
        <v>46227</v>
      </c>
      <c r="K453" s="107">
        <f t="shared" si="744"/>
        <v>46227</v>
      </c>
      <c r="L453" s="106">
        <v>46142</v>
      </c>
      <c r="M453" s="107">
        <f t="shared" si="745"/>
        <v>46269</v>
      </c>
      <c r="N453" s="107">
        <f t="shared" si="746"/>
        <v>46269</v>
      </c>
      <c r="O453" s="106">
        <v>46255</v>
      </c>
      <c r="P453" s="107">
        <f t="shared" si="747"/>
        <v>46311</v>
      </c>
      <c r="Q453" s="107">
        <f t="shared" si="748"/>
        <v>46311</v>
      </c>
      <c r="R453" s="107"/>
      <c r="S453" s="106">
        <f t="shared" si="750"/>
        <v>46325</v>
      </c>
      <c r="T453" s="107">
        <f t="shared" si="749"/>
        <v>46325</v>
      </c>
      <c r="U453" s="107"/>
      <c r="V453" s="222"/>
      <c r="X453" s="168" t="str">
        <f t="shared" ca="1" si="707"/>
        <v>Completed</v>
      </c>
      <c r="Y453" s="168" t="str">
        <f t="shared" ca="1" si="708"/>
        <v>Completed</v>
      </c>
      <c r="Z453" s="168" t="str">
        <f t="shared" ca="1" si="709"/>
        <v>Follow-Next Week</v>
      </c>
      <c r="AA453" s="169" t="str">
        <f t="shared" ca="1" si="710"/>
        <v/>
      </c>
    </row>
    <row r="454" spans="1:27" s="70" customFormat="1" ht="11.5" x14ac:dyDescent="0.25">
      <c r="A454" s="102" t="s">
        <v>64</v>
      </c>
      <c r="B454" s="102" t="s">
        <v>14</v>
      </c>
      <c r="C454" s="102" t="s">
        <v>980</v>
      </c>
      <c r="D454" s="102" t="s">
        <v>454</v>
      </c>
      <c r="E454" s="103">
        <f t="shared" si="714"/>
        <v>0.7</v>
      </c>
      <c r="F454" s="103">
        <f t="shared" si="715"/>
        <v>0.7</v>
      </c>
      <c r="G454" s="103">
        <f t="shared" si="724"/>
        <v>0.79999999999999993</v>
      </c>
      <c r="H454" s="103">
        <f t="shared" si="716"/>
        <v>9.9999999999999978E-2</v>
      </c>
      <c r="I454" s="109">
        <v>4.7E-2</v>
      </c>
      <c r="J454" s="106">
        <f t="shared" si="743"/>
        <v>46227</v>
      </c>
      <c r="K454" s="107">
        <f t="shared" si="744"/>
        <v>46227</v>
      </c>
      <c r="L454" s="107">
        <v>46224</v>
      </c>
      <c r="M454" s="107">
        <f t="shared" si="745"/>
        <v>46269</v>
      </c>
      <c r="N454" s="107">
        <f t="shared" si="746"/>
        <v>46269</v>
      </c>
      <c r="O454" s="106">
        <v>46233</v>
      </c>
      <c r="P454" s="107">
        <f t="shared" si="747"/>
        <v>46311</v>
      </c>
      <c r="Q454" s="107">
        <f t="shared" si="748"/>
        <v>46311</v>
      </c>
      <c r="R454" s="106">
        <v>46266</v>
      </c>
      <c r="S454" s="106">
        <f t="shared" si="750"/>
        <v>46325</v>
      </c>
      <c r="T454" s="107">
        <f t="shared" si="749"/>
        <v>46325</v>
      </c>
      <c r="U454" s="107"/>
      <c r="V454" s="222" t="s">
        <v>1231</v>
      </c>
      <c r="X454" s="168" t="str">
        <f t="shared" ca="1" si="707"/>
        <v>Completed</v>
      </c>
      <c r="Y454" s="168" t="str">
        <f t="shared" ca="1" si="708"/>
        <v>Completed</v>
      </c>
      <c r="Z454" s="168" t="str">
        <f t="shared" ca="1" si="709"/>
        <v>Completed</v>
      </c>
      <c r="AA454" s="169" t="str">
        <f t="shared" ca="1" si="710"/>
        <v/>
      </c>
    </row>
    <row r="455" spans="1:27" s="70" customFormat="1" ht="11.5" x14ac:dyDescent="0.25">
      <c r="A455" s="102" t="s">
        <v>64</v>
      </c>
      <c r="B455" s="102" t="s">
        <v>14</v>
      </c>
      <c r="C455" s="102" t="s">
        <v>981</v>
      </c>
      <c r="D455" s="102" t="s">
        <v>455</v>
      </c>
      <c r="E455" s="103">
        <f t="shared" si="714"/>
        <v>0.7</v>
      </c>
      <c r="F455" s="103">
        <f t="shared" si="715"/>
        <v>0.7</v>
      </c>
      <c r="G455" s="103">
        <f t="shared" si="724"/>
        <v>0.79999999999999993</v>
      </c>
      <c r="H455" s="103">
        <f t="shared" si="716"/>
        <v>9.9999999999999978E-2</v>
      </c>
      <c r="I455" s="109">
        <v>4.7E-2</v>
      </c>
      <c r="J455" s="106">
        <f t="shared" si="743"/>
        <v>46227</v>
      </c>
      <c r="K455" s="107">
        <f t="shared" si="744"/>
        <v>46227</v>
      </c>
      <c r="L455" s="107">
        <v>46224</v>
      </c>
      <c r="M455" s="107">
        <f t="shared" si="745"/>
        <v>46269</v>
      </c>
      <c r="N455" s="107">
        <f t="shared" si="746"/>
        <v>46269</v>
      </c>
      <c r="O455" s="106">
        <v>46233</v>
      </c>
      <c r="P455" s="107">
        <f t="shared" si="747"/>
        <v>46311</v>
      </c>
      <c r="Q455" s="107">
        <f t="shared" si="748"/>
        <v>46311</v>
      </c>
      <c r="R455" s="106">
        <v>46266</v>
      </c>
      <c r="S455" s="106">
        <f t="shared" si="750"/>
        <v>46325</v>
      </c>
      <c r="T455" s="107">
        <f t="shared" si="749"/>
        <v>46325</v>
      </c>
      <c r="U455" s="107"/>
      <c r="V455" s="222" t="s">
        <v>1231</v>
      </c>
      <c r="X455" s="168" t="str">
        <f t="shared" ca="1" si="707"/>
        <v>Completed</v>
      </c>
      <c r="Y455" s="168" t="str">
        <f t="shared" ca="1" si="708"/>
        <v>Completed</v>
      </c>
      <c r="Z455" s="168" t="str">
        <f t="shared" ca="1" si="709"/>
        <v>Completed</v>
      </c>
      <c r="AA455" s="169" t="str">
        <f t="shared" ca="1" si="710"/>
        <v/>
      </c>
    </row>
    <row r="456" spans="1:27" s="70" customFormat="1" ht="11.5" x14ac:dyDescent="0.25">
      <c r="A456" s="102" t="s">
        <v>64</v>
      </c>
      <c r="B456" s="102" t="s">
        <v>14</v>
      </c>
      <c r="C456" s="102" t="s">
        <v>982</v>
      </c>
      <c r="D456" s="102" t="s">
        <v>456</v>
      </c>
      <c r="E456" s="103">
        <f t="shared" si="714"/>
        <v>0.7</v>
      </c>
      <c r="F456" s="103">
        <f t="shared" si="715"/>
        <v>0.7</v>
      </c>
      <c r="G456" s="103">
        <f t="shared" si="724"/>
        <v>0.5</v>
      </c>
      <c r="H456" s="103">
        <f t="shared" si="716"/>
        <v>-0.19999999999999996</v>
      </c>
      <c r="I456" s="109">
        <v>4.7E-2</v>
      </c>
      <c r="J456" s="106">
        <f t="shared" si="743"/>
        <v>46227</v>
      </c>
      <c r="K456" s="107">
        <f t="shared" si="744"/>
        <v>46227</v>
      </c>
      <c r="L456" s="107">
        <v>46224</v>
      </c>
      <c r="M456" s="107">
        <f t="shared" si="745"/>
        <v>46269</v>
      </c>
      <c r="N456" s="107">
        <f t="shared" si="746"/>
        <v>46269</v>
      </c>
      <c r="O456" s="107"/>
      <c r="P456" s="107">
        <f t="shared" si="747"/>
        <v>46311</v>
      </c>
      <c r="Q456" s="107">
        <f t="shared" si="748"/>
        <v>46311</v>
      </c>
      <c r="R456" s="107"/>
      <c r="S456" s="106">
        <f t="shared" si="750"/>
        <v>46325</v>
      </c>
      <c r="T456" s="107">
        <f t="shared" si="749"/>
        <v>46325</v>
      </c>
      <c r="U456" s="107"/>
      <c r="V456" s="222"/>
      <c r="X456" s="168" t="str">
        <f t="shared" ca="1" si="707"/>
        <v>Completed</v>
      </c>
      <c r="Y456" s="168" t="str">
        <f t="shared" ca="1" si="708"/>
        <v>Overdue</v>
      </c>
      <c r="Z456" s="168" t="str">
        <f t="shared" ca="1" si="709"/>
        <v>Follow-Next Week</v>
      </c>
      <c r="AA456" s="169" t="str">
        <f t="shared" ca="1" si="710"/>
        <v/>
      </c>
    </row>
    <row r="457" spans="1:27" s="70" customFormat="1" ht="11.5" x14ac:dyDescent="0.25">
      <c r="A457" s="102" t="s">
        <v>64</v>
      </c>
      <c r="B457" s="102" t="s">
        <v>14</v>
      </c>
      <c r="C457" s="102" t="s">
        <v>983</v>
      </c>
      <c r="D457" s="102" t="s">
        <v>457</v>
      </c>
      <c r="E457" s="103">
        <f t="shared" si="714"/>
        <v>0.7</v>
      </c>
      <c r="F457" s="103">
        <f t="shared" si="715"/>
        <v>0.7</v>
      </c>
      <c r="G457" s="103">
        <f t="shared" si="724"/>
        <v>0.5</v>
      </c>
      <c r="H457" s="103">
        <f t="shared" si="716"/>
        <v>-0.19999999999999996</v>
      </c>
      <c r="I457" s="109">
        <v>4.7E-2</v>
      </c>
      <c r="J457" s="106">
        <f t="shared" si="743"/>
        <v>46227</v>
      </c>
      <c r="K457" s="107">
        <f t="shared" si="744"/>
        <v>46227</v>
      </c>
      <c r="L457" s="107">
        <v>46224</v>
      </c>
      <c r="M457" s="107">
        <f t="shared" si="745"/>
        <v>46269</v>
      </c>
      <c r="N457" s="107">
        <f t="shared" si="746"/>
        <v>46269</v>
      </c>
      <c r="O457" s="107"/>
      <c r="P457" s="107">
        <f t="shared" si="747"/>
        <v>46311</v>
      </c>
      <c r="Q457" s="107">
        <f t="shared" si="748"/>
        <v>46311</v>
      </c>
      <c r="R457" s="107"/>
      <c r="S457" s="106">
        <f t="shared" si="750"/>
        <v>46325</v>
      </c>
      <c r="T457" s="107">
        <f t="shared" si="749"/>
        <v>46325</v>
      </c>
      <c r="U457" s="107"/>
      <c r="V457" s="222"/>
      <c r="X457" s="168" t="str">
        <f t="shared" ca="1" si="707"/>
        <v>Completed</v>
      </c>
      <c r="Y457" s="168" t="str">
        <f t="shared" ca="1" si="708"/>
        <v>Overdue</v>
      </c>
      <c r="Z457" s="168" t="str">
        <f t="shared" ca="1" si="709"/>
        <v>Follow-Next Week</v>
      </c>
      <c r="AA457" s="169" t="str">
        <f t="shared" ca="1" si="710"/>
        <v/>
      </c>
    </row>
    <row r="458" spans="1:27" s="70" customFormat="1" ht="11.5" x14ac:dyDescent="0.25">
      <c r="A458" s="102" t="s">
        <v>64</v>
      </c>
      <c r="B458" s="102" t="s">
        <v>14</v>
      </c>
      <c r="C458" s="102" t="s">
        <v>984</v>
      </c>
      <c r="D458" s="102" t="s">
        <v>458</v>
      </c>
      <c r="E458" s="103">
        <f t="shared" si="714"/>
        <v>0.7</v>
      </c>
      <c r="F458" s="103">
        <f t="shared" si="715"/>
        <v>0.7</v>
      </c>
      <c r="G458" s="103">
        <f t="shared" si="724"/>
        <v>0.5</v>
      </c>
      <c r="H458" s="103">
        <f t="shared" si="716"/>
        <v>-0.19999999999999996</v>
      </c>
      <c r="I458" s="109">
        <v>4.7E-2</v>
      </c>
      <c r="J458" s="106">
        <f t="shared" si="743"/>
        <v>46227</v>
      </c>
      <c r="K458" s="107">
        <f t="shared" si="744"/>
        <v>46227</v>
      </c>
      <c r="L458" s="107">
        <v>46224</v>
      </c>
      <c r="M458" s="107">
        <f t="shared" si="745"/>
        <v>46269</v>
      </c>
      <c r="N458" s="107">
        <f t="shared" si="746"/>
        <v>46269</v>
      </c>
      <c r="O458" s="107"/>
      <c r="P458" s="107">
        <f t="shared" si="747"/>
        <v>46311</v>
      </c>
      <c r="Q458" s="107">
        <f t="shared" si="748"/>
        <v>46311</v>
      </c>
      <c r="R458" s="107"/>
      <c r="S458" s="106">
        <f t="shared" si="750"/>
        <v>46325</v>
      </c>
      <c r="T458" s="107">
        <f t="shared" si="749"/>
        <v>46325</v>
      </c>
      <c r="U458" s="107"/>
      <c r="V458" s="222"/>
      <c r="X458" s="168" t="str">
        <f t="shared" ca="1" si="707"/>
        <v>Completed</v>
      </c>
      <c r="Y458" s="168" t="str">
        <f t="shared" ca="1" si="708"/>
        <v>Overdue</v>
      </c>
      <c r="Z458" s="168" t="str">
        <f t="shared" ca="1" si="709"/>
        <v>Follow-Next Week</v>
      </c>
      <c r="AA458" s="169" t="str">
        <f t="shared" ca="1" si="710"/>
        <v/>
      </c>
    </row>
    <row r="459" spans="1:27" s="70" customFormat="1" ht="11.5" x14ac:dyDescent="0.25">
      <c r="A459" s="101" t="s">
        <v>64</v>
      </c>
      <c r="B459" s="102" t="s">
        <v>14</v>
      </c>
      <c r="C459" s="102" t="s">
        <v>985</v>
      </c>
      <c r="D459" s="102" t="s">
        <v>459</v>
      </c>
      <c r="E459" s="104">
        <f t="shared" si="714"/>
        <v>0.7</v>
      </c>
      <c r="F459" s="104">
        <f t="shared" si="715"/>
        <v>0.7</v>
      </c>
      <c r="G459" s="104">
        <f t="shared" si="724"/>
        <v>0.5</v>
      </c>
      <c r="H459" s="104">
        <f t="shared" si="716"/>
        <v>-0.19999999999999996</v>
      </c>
      <c r="I459" s="105">
        <v>4.7E-2</v>
      </c>
      <c r="J459" s="106">
        <f t="shared" si="743"/>
        <v>46227</v>
      </c>
      <c r="K459" s="107">
        <f t="shared" si="744"/>
        <v>46227</v>
      </c>
      <c r="L459" s="107">
        <v>46224</v>
      </c>
      <c r="M459" s="107">
        <f t="shared" si="745"/>
        <v>46269</v>
      </c>
      <c r="N459" s="107">
        <f t="shared" si="746"/>
        <v>46269</v>
      </c>
      <c r="O459" s="107"/>
      <c r="P459" s="107">
        <f t="shared" si="747"/>
        <v>46311</v>
      </c>
      <c r="Q459" s="107">
        <f t="shared" si="748"/>
        <v>46311</v>
      </c>
      <c r="R459" s="107"/>
      <c r="S459" s="106">
        <f t="shared" si="750"/>
        <v>46325</v>
      </c>
      <c r="T459" s="107">
        <f t="shared" si="749"/>
        <v>46325</v>
      </c>
      <c r="U459" s="107"/>
      <c r="V459" s="222"/>
      <c r="X459" s="168" t="str">
        <f t="shared" ca="1" si="707"/>
        <v>Completed</v>
      </c>
      <c r="Y459" s="168" t="str">
        <f t="shared" ca="1" si="708"/>
        <v>Overdue</v>
      </c>
      <c r="Z459" s="168" t="str">
        <f t="shared" ca="1" si="709"/>
        <v>Follow-Next Week</v>
      </c>
      <c r="AA459" s="169" t="str">
        <f t="shared" ca="1" si="710"/>
        <v/>
      </c>
    </row>
    <row r="460" spans="1:27" s="70" customFormat="1" ht="11.5" x14ac:dyDescent="0.25">
      <c r="A460" s="101" t="s">
        <v>64</v>
      </c>
      <c r="B460" s="102" t="s">
        <v>14</v>
      </c>
      <c r="C460" s="102" t="s">
        <v>986</v>
      </c>
      <c r="D460" s="102" t="s">
        <v>460</v>
      </c>
      <c r="E460" s="104">
        <f t="shared" si="714"/>
        <v>0.7</v>
      </c>
      <c r="F460" s="104">
        <f t="shared" si="715"/>
        <v>0.7</v>
      </c>
      <c r="G460" s="104">
        <f t="shared" si="724"/>
        <v>0.5</v>
      </c>
      <c r="H460" s="104">
        <f t="shared" si="716"/>
        <v>-0.19999999999999996</v>
      </c>
      <c r="I460" s="105">
        <v>4.7E-2</v>
      </c>
      <c r="J460" s="106">
        <f t="shared" si="743"/>
        <v>46227</v>
      </c>
      <c r="K460" s="107">
        <f t="shared" si="744"/>
        <v>46227</v>
      </c>
      <c r="L460" s="107">
        <v>46224</v>
      </c>
      <c r="M460" s="107">
        <f t="shared" si="745"/>
        <v>46269</v>
      </c>
      <c r="N460" s="107">
        <f t="shared" si="746"/>
        <v>46269</v>
      </c>
      <c r="O460" s="107"/>
      <c r="P460" s="107">
        <f t="shared" si="747"/>
        <v>46311</v>
      </c>
      <c r="Q460" s="107">
        <f t="shared" si="748"/>
        <v>46311</v>
      </c>
      <c r="R460" s="107"/>
      <c r="S460" s="106">
        <f t="shared" si="750"/>
        <v>46325</v>
      </c>
      <c r="T460" s="107">
        <f t="shared" si="749"/>
        <v>46325</v>
      </c>
      <c r="U460" s="107"/>
      <c r="V460" s="222"/>
      <c r="X460" s="168" t="str">
        <f t="shared" ca="1" si="707"/>
        <v>Completed</v>
      </c>
      <c r="Y460" s="168" t="str">
        <f t="shared" ca="1" si="708"/>
        <v>Overdue</v>
      </c>
      <c r="Z460" s="168" t="str">
        <f t="shared" ca="1" si="709"/>
        <v>Follow-Next Week</v>
      </c>
      <c r="AA460" s="169" t="str">
        <f t="shared" ca="1" si="710"/>
        <v/>
      </c>
    </row>
    <row r="461" spans="1:27" s="70" customFormat="1" ht="11.5" x14ac:dyDescent="0.25">
      <c r="A461" s="101" t="s">
        <v>64</v>
      </c>
      <c r="B461" s="102" t="s">
        <v>14</v>
      </c>
      <c r="C461" s="102" t="s">
        <v>987</v>
      </c>
      <c r="D461" s="102" t="s">
        <v>461</v>
      </c>
      <c r="E461" s="104">
        <f t="shared" si="714"/>
        <v>0.7</v>
      </c>
      <c r="F461" s="104">
        <f t="shared" si="715"/>
        <v>0.7</v>
      </c>
      <c r="G461" s="104">
        <f t="shared" si="724"/>
        <v>0.5</v>
      </c>
      <c r="H461" s="104">
        <f t="shared" si="716"/>
        <v>-0.19999999999999996</v>
      </c>
      <c r="I461" s="105">
        <v>4.7E-2</v>
      </c>
      <c r="J461" s="106">
        <f t="shared" si="743"/>
        <v>46227</v>
      </c>
      <c r="K461" s="107">
        <f t="shared" si="744"/>
        <v>46227</v>
      </c>
      <c r="L461" s="107">
        <v>46224</v>
      </c>
      <c r="M461" s="107">
        <f t="shared" si="745"/>
        <v>46269</v>
      </c>
      <c r="N461" s="107">
        <f t="shared" si="746"/>
        <v>46269</v>
      </c>
      <c r="O461" s="107"/>
      <c r="P461" s="107">
        <f t="shared" si="747"/>
        <v>46311</v>
      </c>
      <c r="Q461" s="107">
        <f t="shared" si="748"/>
        <v>46311</v>
      </c>
      <c r="R461" s="107"/>
      <c r="S461" s="106">
        <f t="shared" si="750"/>
        <v>46325</v>
      </c>
      <c r="T461" s="107">
        <f t="shared" si="749"/>
        <v>46325</v>
      </c>
      <c r="U461" s="107"/>
      <c r="V461" s="222"/>
      <c r="X461" s="168" t="str">
        <f t="shared" ca="1" si="707"/>
        <v>Completed</v>
      </c>
      <c r="Y461" s="168" t="str">
        <f t="shared" ca="1" si="708"/>
        <v>Overdue</v>
      </c>
      <c r="Z461" s="168" t="str">
        <f t="shared" ca="1" si="709"/>
        <v>Follow-Next Week</v>
      </c>
      <c r="AA461" s="169" t="str">
        <f t="shared" ca="1" si="710"/>
        <v/>
      </c>
    </row>
    <row r="462" spans="1:27" s="70" customFormat="1" ht="11.5" x14ac:dyDescent="0.25">
      <c r="A462" s="101" t="s">
        <v>64</v>
      </c>
      <c r="B462" s="102" t="s">
        <v>14</v>
      </c>
      <c r="C462" s="102" t="s">
        <v>988</v>
      </c>
      <c r="D462" s="102" t="s">
        <v>462</v>
      </c>
      <c r="E462" s="104">
        <f t="shared" si="714"/>
        <v>0.7</v>
      </c>
      <c r="F462" s="104">
        <f t="shared" si="715"/>
        <v>0.7</v>
      </c>
      <c r="G462" s="104">
        <f t="shared" si="724"/>
        <v>0.5</v>
      </c>
      <c r="H462" s="104">
        <f t="shared" si="716"/>
        <v>-0.19999999999999996</v>
      </c>
      <c r="I462" s="105">
        <v>4.7E-2</v>
      </c>
      <c r="J462" s="106">
        <f t="shared" si="743"/>
        <v>46227</v>
      </c>
      <c r="K462" s="107">
        <f t="shared" si="744"/>
        <v>46227</v>
      </c>
      <c r="L462" s="107">
        <v>46224</v>
      </c>
      <c r="M462" s="107">
        <f t="shared" si="745"/>
        <v>46269</v>
      </c>
      <c r="N462" s="107">
        <f t="shared" si="746"/>
        <v>46269</v>
      </c>
      <c r="O462" s="107"/>
      <c r="P462" s="107">
        <f t="shared" si="747"/>
        <v>46311</v>
      </c>
      <c r="Q462" s="107">
        <f t="shared" si="748"/>
        <v>46311</v>
      </c>
      <c r="R462" s="107"/>
      <c r="S462" s="106">
        <f t="shared" si="750"/>
        <v>46325</v>
      </c>
      <c r="T462" s="107">
        <f t="shared" si="749"/>
        <v>46325</v>
      </c>
      <c r="U462" s="107"/>
      <c r="V462" s="222"/>
      <c r="X462" s="168" t="str">
        <f t="shared" ca="1" si="707"/>
        <v>Completed</v>
      </c>
      <c r="Y462" s="168" t="str">
        <f t="shared" ca="1" si="708"/>
        <v>Overdue</v>
      </c>
      <c r="Z462" s="168" t="str">
        <f t="shared" ca="1" si="709"/>
        <v>Follow-Next Week</v>
      </c>
      <c r="AA462" s="169" t="str">
        <f t="shared" ca="1" si="710"/>
        <v/>
      </c>
    </row>
    <row r="463" spans="1:27" s="70" customFormat="1" ht="11.5" x14ac:dyDescent="0.25">
      <c r="A463" s="101" t="s">
        <v>64</v>
      </c>
      <c r="B463" s="102" t="s">
        <v>14</v>
      </c>
      <c r="C463" s="102" t="s">
        <v>463</v>
      </c>
      <c r="D463" s="102" t="s">
        <v>464</v>
      </c>
      <c r="E463" s="104">
        <f t="shared" si="714"/>
        <v>0.7</v>
      </c>
      <c r="F463" s="104">
        <f t="shared" si="715"/>
        <v>0.7</v>
      </c>
      <c r="G463" s="104">
        <f t="shared" si="724"/>
        <v>0</v>
      </c>
      <c r="H463" s="104">
        <f t="shared" si="716"/>
        <v>-0.7</v>
      </c>
      <c r="I463" s="105">
        <v>4.7E-2</v>
      </c>
      <c r="J463" s="106">
        <f t="shared" ref="J463:J477" si="754">J346+28</f>
        <v>46234</v>
      </c>
      <c r="K463" s="107">
        <f t="shared" si="744"/>
        <v>46234</v>
      </c>
      <c r="L463" s="107"/>
      <c r="M463" s="107">
        <f t="shared" si="745"/>
        <v>46276</v>
      </c>
      <c r="N463" s="107">
        <f t="shared" si="746"/>
        <v>46276</v>
      </c>
      <c r="O463" s="107"/>
      <c r="P463" s="107">
        <f t="shared" si="747"/>
        <v>46318</v>
      </c>
      <c r="Q463" s="107">
        <f t="shared" si="748"/>
        <v>46318</v>
      </c>
      <c r="R463" s="107"/>
      <c r="S463" s="106">
        <f t="shared" si="750"/>
        <v>46332</v>
      </c>
      <c r="T463" s="107">
        <f t="shared" si="749"/>
        <v>46332</v>
      </c>
      <c r="U463" s="107"/>
      <c r="V463" s="222"/>
      <c r="X463" s="168" t="str">
        <f t="shared" ca="1" si="707"/>
        <v>Overdue</v>
      </c>
      <c r="Y463" s="168" t="str">
        <f t="shared" ca="1" si="708"/>
        <v>Overdue</v>
      </c>
      <c r="Z463" s="168" t="str">
        <f t="shared" ca="1" si="709"/>
        <v/>
      </c>
      <c r="AA463" s="169" t="str">
        <f t="shared" ca="1" si="710"/>
        <v/>
      </c>
    </row>
    <row r="464" spans="1:27" s="70" customFormat="1" ht="11.5" x14ac:dyDescent="0.25">
      <c r="A464" s="101" t="s">
        <v>64</v>
      </c>
      <c r="B464" s="102" t="s">
        <v>14</v>
      </c>
      <c r="C464" s="102" t="s">
        <v>465</v>
      </c>
      <c r="D464" s="102" t="s">
        <v>466</v>
      </c>
      <c r="E464" s="104">
        <f t="shared" si="714"/>
        <v>0.7</v>
      </c>
      <c r="F464" s="104">
        <f t="shared" si="715"/>
        <v>0.7</v>
      </c>
      <c r="G464" s="104">
        <f t="shared" si="724"/>
        <v>0</v>
      </c>
      <c r="H464" s="104">
        <f t="shared" si="716"/>
        <v>-0.7</v>
      </c>
      <c r="I464" s="105">
        <v>4.7E-2</v>
      </c>
      <c r="J464" s="106">
        <f t="shared" si="754"/>
        <v>46234</v>
      </c>
      <c r="K464" s="107">
        <f t="shared" si="744"/>
        <v>46234</v>
      </c>
      <c r="L464" s="107"/>
      <c r="M464" s="107">
        <f t="shared" si="745"/>
        <v>46276</v>
      </c>
      <c r="N464" s="107">
        <f t="shared" si="746"/>
        <v>46276</v>
      </c>
      <c r="O464" s="107"/>
      <c r="P464" s="107">
        <f t="shared" si="747"/>
        <v>46318</v>
      </c>
      <c r="Q464" s="107">
        <f t="shared" si="748"/>
        <v>46318</v>
      </c>
      <c r="R464" s="107"/>
      <c r="S464" s="106">
        <f t="shared" si="750"/>
        <v>46332</v>
      </c>
      <c r="T464" s="107">
        <f t="shared" si="749"/>
        <v>46332</v>
      </c>
      <c r="U464" s="107"/>
      <c r="V464" s="222"/>
      <c r="X464" s="168" t="str">
        <f t="shared" ca="1" si="707"/>
        <v>Overdue</v>
      </c>
      <c r="Y464" s="168" t="str">
        <f t="shared" ca="1" si="708"/>
        <v>Overdue</v>
      </c>
      <c r="Z464" s="168" t="str">
        <f t="shared" ca="1" si="709"/>
        <v/>
      </c>
      <c r="AA464" s="169" t="str">
        <f t="shared" ca="1" si="710"/>
        <v/>
      </c>
    </row>
    <row r="465" spans="1:27" s="84" customFormat="1" ht="11.5" x14ac:dyDescent="0.25">
      <c r="A465" s="101" t="s">
        <v>64</v>
      </c>
      <c r="B465" s="102" t="s">
        <v>14</v>
      </c>
      <c r="C465" s="102" t="s">
        <v>467</v>
      </c>
      <c r="D465" s="102" t="s">
        <v>468</v>
      </c>
      <c r="E465" s="104">
        <f t="shared" si="714"/>
        <v>0.7</v>
      </c>
      <c r="F465" s="104">
        <f t="shared" si="715"/>
        <v>0.7</v>
      </c>
      <c r="G465" s="104">
        <f t="shared" si="724"/>
        <v>0</v>
      </c>
      <c r="H465" s="104">
        <f t="shared" si="716"/>
        <v>-0.7</v>
      </c>
      <c r="I465" s="105">
        <v>4.7E-2</v>
      </c>
      <c r="J465" s="106">
        <f t="shared" si="754"/>
        <v>46234</v>
      </c>
      <c r="K465" s="107">
        <f t="shared" si="744"/>
        <v>46234</v>
      </c>
      <c r="L465" s="110"/>
      <c r="M465" s="107">
        <f t="shared" si="745"/>
        <v>46276</v>
      </c>
      <c r="N465" s="107">
        <f t="shared" si="746"/>
        <v>46276</v>
      </c>
      <c r="O465" s="110"/>
      <c r="P465" s="107">
        <f t="shared" si="747"/>
        <v>46318</v>
      </c>
      <c r="Q465" s="107">
        <f t="shared" si="748"/>
        <v>46318</v>
      </c>
      <c r="R465" s="110"/>
      <c r="S465" s="106">
        <f t="shared" si="750"/>
        <v>46332</v>
      </c>
      <c r="T465" s="107">
        <f t="shared" si="749"/>
        <v>46332</v>
      </c>
      <c r="U465" s="102"/>
      <c r="V465" s="233"/>
      <c r="X465" s="168" t="str">
        <f t="shared" ca="1" si="707"/>
        <v>Overdue</v>
      </c>
      <c r="Y465" s="168" t="str">
        <f t="shared" ca="1" si="708"/>
        <v>Overdue</v>
      </c>
      <c r="Z465" s="168" t="str">
        <f t="shared" ca="1" si="709"/>
        <v/>
      </c>
      <c r="AA465" s="169" t="str">
        <f t="shared" ca="1" si="710"/>
        <v/>
      </c>
    </row>
    <row r="466" spans="1:27" s="70" customFormat="1" ht="11.5" x14ac:dyDescent="0.25">
      <c r="A466" s="101" t="s">
        <v>64</v>
      </c>
      <c r="B466" s="102" t="s">
        <v>14</v>
      </c>
      <c r="C466" s="102" t="s">
        <v>989</v>
      </c>
      <c r="D466" s="102" t="s">
        <v>469</v>
      </c>
      <c r="E466" s="104">
        <f t="shared" si="714"/>
        <v>0.7</v>
      </c>
      <c r="F466" s="104">
        <f t="shared" si="715"/>
        <v>0.7</v>
      </c>
      <c r="G466" s="104">
        <f t="shared" si="724"/>
        <v>0.7</v>
      </c>
      <c r="H466" s="104">
        <f t="shared" si="716"/>
        <v>0</v>
      </c>
      <c r="I466" s="105">
        <v>4.7E-2</v>
      </c>
      <c r="J466" s="106">
        <f t="shared" si="754"/>
        <v>46234</v>
      </c>
      <c r="K466" s="106">
        <f t="shared" si="744"/>
        <v>46234</v>
      </c>
      <c r="L466" s="106">
        <v>46247</v>
      </c>
      <c r="M466" s="107">
        <f t="shared" si="745"/>
        <v>46276</v>
      </c>
      <c r="N466" s="106">
        <f t="shared" si="746"/>
        <v>46276</v>
      </c>
      <c r="O466" s="106">
        <v>46262</v>
      </c>
      <c r="P466" s="107">
        <f t="shared" si="747"/>
        <v>46318</v>
      </c>
      <c r="Q466" s="106">
        <f t="shared" si="748"/>
        <v>46318</v>
      </c>
      <c r="R466" s="106"/>
      <c r="S466" s="106">
        <f t="shared" si="750"/>
        <v>46332</v>
      </c>
      <c r="T466" s="106">
        <f t="shared" si="749"/>
        <v>46332</v>
      </c>
      <c r="U466" s="107"/>
      <c r="V466" s="222"/>
      <c r="X466" s="168" t="str">
        <f t="shared" ca="1" si="707"/>
        <v>Completed</v>
      </c>
      <c r="Y466" s="168" t="str">
        <f t="shared" ca="1" si="708"/>
        <v>Completed</v>
      </c>
      <c r="Z466" s="168" t="str">
        <f t="shared" ca="1" si="709"/>
        <v/>
      </c>
      <c r="AA466" s="169" t="str">
        <f t="shared" ca="1" si="710"/>
        <v/>
      </c>
    </row>
    <row r="467" spans="1:27" s="70" customFormat="1" ht="11.5" x14ac:dyDescent="0.25">
      <c r="A467" s="101" t="s">
        <v>64</v>
      </c>
      <c r="B467" s="102" t="s">
        <v>14</v>
      </c>
      <c r="C467" s="102" t="s">
        <v>990</v>
      </c>
      <c r="D467" s="102" t="s">
        <v>470</v>
      </c>
      <c r="E467" s="104">
        <f t="shared" si="714"/>
        <v>0.7</v>
      </c>
      <c r="F467" s="104">
        <f t="shared" si="715"/>
        <v>0.7</v>
      </c>
      <c r="G467" s="104">
        <f t="shared" si="724"/>
        <v>0.7</v>
      </c>
      <c r="H467" s="104">
        <f t="shared" si="716"/>
        <v>0</v>
      </c>
      <c r="I467" s="105">
        <v>4.7E-2</v>
      </c>
      <c r="J467" s="106">
        <f t="shared" si="754"/>
        <v>46234</v>
      </c>
      <c r="K467" s="106">
        <f t="shared" si="744"/>
        <v>46234</v>
      </c>
      <c r="L467" s="106">
        <v>46247</v>
      </c>
      <c r="M467" s="107">
        <f t="shared" si="745"/>
        <v>46276</v>
      </c>
      <c r="N467" s="106">
        <f t="shared" si="746"/>
        <v>46276</v>
      </c>
      <c r="O467" s="106">
        <v>46262</v>
      </c>
      <c r="P467" s="107">
        <f t="shared" si="747"/>
        <v>46318</v>
      </c>
      <c r="Q467" s="106">
        <f t="shared" si="748"/>
        <v>46318</v>
      </c>
      <c r="R467" s="106"/>
      <c r="S467" s="106">
        <f t="shared" si="750"/>
        <v>46332</v>
      </c>
      <c r="T467" s="106">
        <f t="shared" si="749"/>
        <v>46332</v>
      </c>
      <c r="U467" s="107"/>
      <c r="V467" s="222"/>
      <c r="X467" s="168" t="str">
        <f t="shared" ca="1" si="707"/>
        <v>Completed</v>
      </c>
      <c r="Y467" s="168" t="str">
        <f t="shared" ca="1" si="708"/>
        <v>Completed</v>
      </c>
      <c r="Z467" s="168" t="str">
        <f t="shared" ca="1" si="709"/>
        <v/>
      </c>
      <c r="AA467" s="169" t="str">
        <f t="shared" ca="1" si="710"/>
        <v/>
      </c>
    </row>
    <row r="468" spans="1:27" s="70" customFormat="1" ht="11.5" x14ac:dyDescent="0.25">
      <c r="A468" s="101" t="s">
        <v>64</v>
      </c>
      <c r="B468" s="102" t="s">
        <v>14</v>
      </c>
      <c r="C468" s="102" t="s">
        <v>991</v>
      </c>
      <c r="D468" s="102" t="s">
        <v>471</v>
      </c>
      <c r="E468" s="104">
        <f t="shared" si="714"/>
        <v>0.7</v>
      </c>
      <c r="F468" s="104">
        <f t="shared" si="715"/>
        <v>0.7</v>
      </c>
      <c r="G468" s="104">
        <f t="shared" si="724"/>
        <v>0.7</v>
      </c>
      <c r="H468" s="104">
        <f t="shared" si="716"/>
        <v>0</v>
      </c>
      <c r="I468" s="105">
        <v>4.7E-2</v>
      </c>
      <c r="J468" s="106">
        <f t="shared" si="754"/>
        <v>46234</v>
      </c>
      <c r="K468" s="106">
        <f t="shared" si="744"/>
        <v>46234</v>
      </c>
      <c r="L468" s="106">
        <v>46247</v>
      </c>
      <c r="M468" s="107">
        <f t="shared" si="745"/>
        <v>46276</v>
      </c>
      <c r="N468" s="106">
        <f t="shared" si="746"/>
        <v>46276</v>
      </c>
      <c r="O468" s="106">
        <v>46262</v>
      </c>
      <c r="P468" s="107">
        <f t="shared" si="747"/>
        <v>46318</v>
      </c>
      <c r="Q468" s="106">
        <f t="shared" si="748"/>
        <v>46318</v>
      </c>
      <c r="R468" s="106"/>
      <c r="S468" s="106">
        <f t="shared" si="750"/>
        <v>46332</v>
      </c>
      <c r="T468" s="106">
        <f t="shared" si="749"/>
        <v>46332</v>
      </c>
      <c r="U468" s="107"/>
      <c r="V468" s="222"/>
      <c r="X468" s="168" t="str">
        <f t="shared" ca="1" si="707"/>
        <v>Completed</v>
      </c>
      <c r="Y468" s="168" t="str">
        <f t="shared" ca="1" si="708"/>
        <v>Completed</v>
      </c>
      <c r="Z468" s="168" t="str">
        <f t="shared" ca="1" si="709"/>
        <v/>
      </c>
      <c r="AA468" s="169" t="str">
        <f t="shared" ca="1" si="710"/>
        <v/>
      </c>
    </row>
    <row r="469" spans="1:27" s="70" customFormat="1" ht="11.5" x14ac:dyDescent="0.25">
      <c r="A469" s="101" t="s">
        <v>64</v>
      </c>
      <c r="B469" s="102" t="s">
        <v>14</v>
      </c>
      <c r="C469" s="102" t="s">
        <v>992</v>
      </c>
      <c r="D469" s="102" t="s">
        <v>472</v>
      </c>
      <c r="E469" s="104">
        <f t="shared" si="714"/>
        <v>0.7</v>
      </c>
      <c r="F469" s="104">
        <f t="shared" si="715"/>
        <v>0.7</v>
      </c>
      <c r="G469" s="104">
        <f t="shared" si="724"/>
        <v>0.7</v>
      </c>
      <c r="H469" s="104">
        <f t="shared" si="716"/>
        <v>0</v>
      </c>
      <c r="I469" s="105">
        <v>4.7E-2</v>
      </c>
      <c r="J469" s="106">
        <f t="shared" si="754"/>
        <v>46234</v>
      </c>
      <c r="K469" s="106">
        <f t="shared" si="744"/>
        <v>46234</v>
      </c>
      <c r="L469" s="106">
        <v>46247</v>
      </c>
      <c r="M469" s="107">
        <f t="shared" si="745"/>
        <v>46276</v>
      </c>
      <c r="N469" s="106">
        <f t="shared" si="746"/>
        <v>46276</v>
      </c>
      <c r="O469" s="106">
        <v>46262</v>
      </c>
      <c r="P469" s="107">
        <f t="shared" si="747"/>
        <v>46318</v>
      </c>
      <c r="Q469" s="106">
        <f t="shared" si="748"/>
        <v>46318</v>
      </c>
      <c r="R469" s="106"/>
      <c r="S469" s="106">
        <f t="shared" si="750"/>
        <v>46332</v>
      </c>
      <c r="T469" s="106">
        <f t="shared" si="749"/>
        <v>46332</v>
      </c>
      <c r="U469" s="107"/>
      <c r="V469" s="222"/>
      <c r="X469" s="168" t="str">
        <f t="shared" ca="1" si="707"/>
        <v>Completed</v>
      </c>
      <c r="Y469" s="168" t="str">
        <f t="shared" ca="1" si="708"/>
        <v>Completed</v>
      </c>
      <c r="Z469" s="168" t="str">
        <f t="shared" ca="1" si="709"/>
        <v/>
      </c>
      <c r="AA469" s="169" t="str">
        <f t="shared" ca="1" si="710"/>
        <v/>
      </c>
    </row>
    <row r="470" spans="1:27" s="70" customFormat="1" ht="11.5" x14ac:dyDescent="0.25">
      <c r="A470" s="101" t="s">
        <v>64</v>
      </c>
      <c r="B470" s="102" t="s">
        <v>14</v>
      </c>
      <c r="C470" s="102" t="s">
        <v>993</v>
      </c>
      <c r="D470" s="102" t="s">
        <v>473</v>
      </c>
      <c r="E470" s="104">
        <f t="shared" ref="E470:E472" si="755">(COUNTIFS(J470,"&lt;="&amp;$C$1)*50%)+(COUNTIFS(M470,"&lt;="&amp;$C$1)*20%)+(COUNTIFS(P470,"&lt;="&amp;$C$1)*10%)+(COUNTIFS(S470,"&lt;="&amp;$C$1)*20%)</f>
        <v>0.7</v>
      </c>
      <c r="F470" s="104">
        <f t="shared" ref="F470:F472" si="756">(COUNTIFS(K470,"&lt;="&amp;$C$1)*50%)+(COUNTIFS(N470,"&lt;="&amp;$C$1)*20%)+(COUNTIFS(Q470,"&lt;="&amp;$C$1)*10%)+(COUNTIFS(T470,"&lt;="&amp;$C$1)*20%)</f>
        <v>0.7</v>
      </c>
      <c r="G470" s="104">
        <f t="shared" si="724"/>
        <v>0.7</v>
      </c>
      <c r="H470" s="104">
        <f t="shared" ref="H470:H472" si="757">G470-E470</f>
        <v>0</v>
      </c>
      <c r="I470" s="105">
        <v>4.7E-2</v>
      </c>
      <c r="J470" s="106">
        <f t="shared" si="754"/>
        <v>46234</v>
      </c>
      <c r="K470" s="106">
        <f t="shared" si="744"/>
        <v>46234</v>
      </c>
      <c r="L470" s="106">
        <v>46247</v>
      </c>
      <c r="M470" s="107">
        <f t="shared" si="745"/>
        <v>46276</v>
      </c>
      <c r="N470" s="106">
        <f t="shared" si="746"/>
        <v>46276</v>
      </c>
      <c r="O470" s="106">
        <v>46262</v>
      </c>
      <c r="P470" s="107">
        <f t="shared" si="747"/>
        <v>46318</v>
      </c>
      <c r="Q470" s="106">
        <f t="shared" si="748"/>
        <v>46318</v>
      </c>
      <c r="R470" s="106"/>
      <c r="S470" s="106">
        <f t="shared" si="750"/>
        <v>46332</v>
      </c>
      <c r="T470" s="106">
        <f t="shared" si="749"/>
        <v>46332</v>
      </c>
      <c r="U470" s="107"/>
      <c r="V470" s="222"/>
      <c r="X470" s="168" t="str">
        <f t="shared" ca="1" si="707"/>
        <v>Completed</v>
      </c>
      <c r="Y470" s="168" t="str">
        <f t="shared" ca="1" si="708"/>
        <v>Completed</v>
      </c>
      <c r="Z470" s="168" t="str">
        <f t="shared" ca="1" si="709"/>
        <v/>
      </c>
      <c r="AA470" s="169" t="str">
        <f t="shared" ca="1" si="710"/>
        <v/>
      </c>
    </row>
    <row r="471" spans="1:27" s="70" customFormat="1" ht="11.5" x14ac:dyDescent="0.25">
      <c r="A471" s="101" t="s">
        <v>64</v>
      </c>
      <c r="B471" s="101" t="s">
        <v>14</v>
      </c>
      <c r="C471" s="101" t="s">
        <v>994</v>
      </c>
      <c r="D471" s="101" t="s">
        <v>474</v>
      </c>
      <c r="E471" s="104">
        <f t="shared" si="755"/>
        <v>0.7</v>
      </c>
      <c r="F471" s="104">
        <f t="shared" si="756"/>
        <v>0.7</v>
      </c>
      <c r="G471" s="104">
        <f t="shared" si="724"/>
        <v>0.7</v>
      </c>
      <c r="H471" s="104">
        <f t="shared" si="757"/>
        <v>0</v>
      </c>
      <c r="I471" s="105">
        <v>4.7E-2</v>
      </c>
      <c r="J471" s="106">
        <f t="shared" si="754"/>
        <v>46234</v>
      </c>
      <c r="K471" s="106">
        <f t="shared" si="744"/>
        <v>46234</v>
      </c>
      <c r="L471" s="106">
        <v>46247</v>
      </c>
      <c r="M471" s="107">
        <f t="shared" si="745"/>
        <v>46276</v>
      </c>
      <c r="N471" s="106">
        <f t="shared" si="746"/>
        <v>46276</v>
      </c>
      <c r="O471" s="106">
        <v>46262</v>
      </c>
      <c r="P471" s="107">
        <f t="shared" si="747"/>
        <v>46318</v>
      </c>
      <c r="Q471" s="106">
        <f t="shared" si="748"/>
        <v>46318</v>
      </c>
      <c r="R471" s="106"/>
      <c r="S471" s="106">
        <f t="shared" si="750"/>
        <v>46332</v>
      </c>
      <c r="T471" s="106">
        <f t="shared" si="749"/>
        <v>46332</v>
      </c>
      <c r="U471" s="107"/>
      <c r="V471" s="222"/>
      <c r="X471" s="168" t="str">
        <f t="shared" ca="1" si="707"/>
        <v>Completed</v>
      </c>
      <c r="Y471" s="168" t="str">
        <f t="shared" ca="1" si="708"/>
        <v>Completed</v>
      </c>
      <c r="Z471" s="168" t="str">
        <f t="shared" ca="1" si="709"/>
        <v/>
      </c>
      <c r="AA471" s="169" t="str">
        <f t="shared" ca="1" si="710"/>
        <v/>
      </c>
    </row>
    <row r="472" spans="1:27" s="70" customFormat="1" ht="11.5" x14ac:dyDescent="0.25">
      <c r="A472" s="101" t="s">
        <v>64</v>
      </c>
      <c r="B472" s="101" t="s">
        <v>14</v>
      </c>
      <c r="C472" s="101" t="s">
        <v>475</v>
      </c>
      <c r="D472" s="101" t="s">
        <v>476</v>
      </c>
      <c r="E472" s="104">
        <f t="shared" si="755"/>
        <v>0.7</v>
      </c>
      <c r="F472" s="104">
        <f t="shared" si="756"/>
        <v>0.7</v>
      </c>
      <c r="G472" s="104">
        <f t="shared" si="724"/>
        <v>0</v>
      </c>
      <c r="H472" s="104">
        <f t="shared" si="757"/>
        <v>-0.7</v>
      </c>
      <c r="I472" s="105">
        <v>4.7E-2</v>
      </c>
      <c r="J472" s="106">
        <f t="shared" si="754"/>
        <v>46234</v>
      </c>
      <c r="K472" s="106">
        <f t="shared" si="744"/>
        <v>46234</v>
      </c>
      <c r="L472" s="107"/>
      <c r="M472" s="107">
        <f t="shared" si="745"/>
        <v>46276</v>
      </c>
      <c r="N472" s="106">
        <f t="shared" si="746"/>
        <v>46276</v>
      </c>
      <c r="O472" s="107"/>
      <c r="P472" s="107">
        <f t="shared" si="747"/>
        <v>46318</v>
      </c>
      <c r="Q472" s="106">
        <f t="shared" si="748"/>
        <v>46318</v>
      </c>
      <c r="R472" s="107"/>
      <c r="S472" s="106">
        <f t="shared" si="750"/>
        <v>46332</v>
      </c>
      <c r="T472" s="106">
        <f t="shared" si="749"/>
        <v>46332</v>
      </c>
      <c r="U472" s="107"/>
      <c r="V472" s="222"/>
      <c r="X472" s="168" t="str">
        <f t="shared" ca="1" si="707"/>
        <v>Overdue</v>
      </c>
      <c r="Y472" s="168" t="str">
        <f t="shared" ca="1" si="708"/>
        <v>Overdue</v>
      </c>
      <c r="Z472" s="168" t="str">
        <f t="shared" ca="1" si="709"/>
        <v/>
      </c>
      <c r="AA472" s="169" t="str">
        <f t="shared" ca="1" si="710"/>
        <v/>
      </c>
    </row>
    <row r="473" spans="1:27" s="70" customFormat="1" ht="11.5" x14ac:dyDescent="0.25">
      <c r="A473" s="101" t="s">
        <v>64</v>
      </c>
      <c r="B473" s="101" t="s">
        <v>14</v>
      </c>
      <c r="C473" s="101" t="s">
        <v>477</v>
      </c>
      <c r="D473" s="101" t="s">
        <v>478</v>
      </c>
      <c r="E473" s="104">
        <f t="shared" si="714"/>
        <v>0.7</v>
      </c>
      <c r="F473" s="104">
        <f t="shared" si="715"/>
        <v>0.7</v>
      </c>
      <c r="G473" s="104">
        <f t="shared" si="724"/>
        <v>0</v>
      </c>
      <c r="H473" s="104">
        <f t="shared" si="716"/>
        <v>-0.7</v>
      </c>
      <c r="I473" s="105">
        <v>4.7E-2</v>
      </c>
      <c r="J473" s="106">
        <f t="shared" si="754"/>
        <v>46234</v>
      </c>
      <c r="K473" s="107">
        <f t="shared" si="744"/>
        <v>46234</v>
      </c>
      <c r="L473" s="107"/>
      <c r="M473" s="107">
        <f t="shared" si="745"/>
        <v>46276</v>
      </c>
      <c r="N473" s="107">
        <f t="shared" si="746"/>
        <v>46276</v>
      </c>
      <c r="O473" s="107"/>
      <c r="P473" s="107">
        <f t="shared" si="747"/>
        <v>46318</v>
      </c>
      <c r="Q473" s="107">
        <f t="shared" si="748"/>
        <v>46318</v>
      </c>
      <c r="R473" s="107"/>
      <c r="S473" s="106">
        <f t="shared" si="750"/>
        <v>46332</v>
      </c>
      <c r="T473" s="107">
        <f t="shared" si="749"/>
        <v>46332</v>
      </c>
      <c r="U473" s="107"/>
      <c r="V473" s="222"/>
      <c r="X473" s="168" t="str">
        <f t="shared" ca="1" si="707"/>
        <v>Overdue</v>
      </c>
      <c r="Y473" s="168" t="str">
        <f t="shared" ca="1" si="708"/>
        <v>Overdue</v>
      </c>
      <c r="Z473" s="168" t="str">
        <f t="shared" ca="1" si="709"/>
        <v/>
      </c>
      <c r="AA473" s="169" t="str">
        <f t="shared" ca="1" si="710"/>
        <v/>
      </c>
    </row>
    <row r="474" spans="1:27" s="70" customFormat="1" ht="11.5" x14ac:dyDescent="0.25">
      <c r="A474" s="101" t="s">
        <v>64</v>
      </c>
      <c r="B474" s="101" t="s">
        <v>14</v>
      </c>
      <c r="C474" s="101" t="s">
        <v>479</v>
      </c>
      <c r="D474" s="101" t="s">
        <v>480</v>
      </c>
      <c r="E474" s="104">
        <f t="shared" si="714"/>
        <v>0.7</v>
      </c>
      <c r="F474" s="104">
        <f t="shared" si="715"/>
        <v>0.7</v>
      </c>
      <c r="G474" s="104">
        <f t="shared" si="724"/>
        <v>1</v>
      </c>
      <c r="H474" s="104">
        <f t="shared" si="716"/>
        <v>0.30000000000000004</v>
      </c>
      <c r="I474" s="105">
        <v>4.7E-2</v>
      </c>
      <c r="J474" s="106">
        <f t="shared" si="754"/>
        <v>46234</v>
      </c>
      <c r="K474" s="107">
        <f t="shared" si="744"/>
        <v>46234</v>
      </c>
      <c r="L474" s="107">
        <v>46220</v>
      </c>
      <c r="M474" s="107">
        <f t="shared" si="745"/>
        <v>46276</v>
      </c>
      <c r="N474" s="107">
        <f t="shared" si="746"/>
        <v>46276</v>
      </c>
      <c r="O474" s="106">
        <v>46233</v>
      </c>
      <c r="P474" s="107">
        <f t="shared" si="747"/>
        <v>46318</v>
      </c>
      <c r="Q474" s="107">
        <f t="shared" si="748"/>
        <v>46318</v>
      </c>
      <c r="R474" s="106">
        <v>46294</v>
      </c>
      <c r="S474" s="106">
        <f t="shared" si="750"/>
        <v>46332</v>
      </c>
      <c r="T474" s="107">
        <f t="shared" si="749"/>
        <v>46332</v>
      </c>
      <c r="U474" s="160">
        <v>46300</v>
      </c>
      <c r="V474" s="222"/>
      <c r="X474" s="168" t="str">
        <f t="shared" ca="1" si="707"/>
        <v>Completed</v>
      </c>
      <c r="Y474" s="168" t="str">
        <f t="shared" ca="1" si="708"/>
        <v>Completed</v>
      </c>
      <c r="Z474" s="168" t="str">
        <f t="shared" ca="1" si="709"/>
        <v>Completed</v>
      </c>
      <c r="AA474" s="169" t="str">
        <f t="shared" ca="1" si="710"/>
        <v>Completed</v>
      </c>
    </row>
    <row r="475" spans="1:27" s="70" customFormat="1" ht="11.5" x14ac:dyDescent="0.25">
      <c r="A475" s="101" t="s">
        <v>64</v>
      </c>
      <c r="B475" s="101" t="s">
        <v>14</v>
      </c>
      <c r="C475" s="101" t="s">
        <v>995</v>
      </c>
      <c r="D475" s="101" t="s">
        <v>481</v>
      </c>
      <c r="E475" s="104">
        <f t="shared" si="714"/>
        <v>0.7</v>
      </c>
      <c r="F475" s="104">
        <f t="shared" si="715"/>
        <v>0.7</v>
      </c>
      <c r="G475" s="104">
        <f t="shared" si="724"/>
        <v>0.7</v>
      </c>
      <c r="H475" s="104">
        <f t="shared" si="716"/>
        <v>0</v>
      </c>
      <c r="I475" s="105">
        <v>4.7E-2</v>
      </c>
      <c r="J475" s="106">
        <f t="shared" si="754"/>
        <v>46234</v>
      </c>
      <c r="K475" s="107">
        <f t="shared" si="744"/>
        <v>46234</v>
      </c>
      <c r="L475" s="107">
        <v>46275</v>
      </c>
      <c r="M475" s="107">
        <f t="shared" si="745"/>
        <v>46276</v>
      </c>
      <c r="N475" s="107">
        <f t="shared" si="746"/>
        <v>46276</v>
      </c>
      <c r="O475" s="106">
        <v>46288</v>
      </c>
      <c r="P475" s="107">
        <f t="shared" si="747"/>
        <v>46318</v>
      </c>
      <c r="Q475" s="107">
        <f t="shared" si="748"/>
        <v>46318</v>
      </c>
      <c r="R475" s="107"/>
      <c r="S475" s="106">
        <f t="shared" si="750"/>
        <v>46332</v>
      </c>
      <c r="T475" s="107">
        <f t="shared" si="749"/>
        <v>46332</v>
      </c>
      <c r="U475" s="107"/>
      <c r="V475" s="222"/>
      <c r="X475" s="168" t="str">
        <f t="shared" ca="1" si="707"/>
        <v>Completed</v>
      </c>
      <c r="Y475" s="168" t="str">
        <f t="shared" ca="1" si="708"/>
        <v>Completed</v>
      </c>
      <c r="Z475" s="168" t="str">
        <f t="shared" ca="1" si="709"/>
        <v/>
      </c>
      <c r="AA475" s="169" t="str">
        <f t="shared" ca="1" si="710"/>
        <v/>
      </c>
    </row>
    <row r="476" spans="1:27" s="70" customFormat="1" ht="11.5" x14ac:dyDescent="0.25">
      <c r="A476" s="101" t="s">
        <v>64</v>
      </c>
      <c r="B476" s="101" t="s">
        <v>14</v>
      </c>
      <c r="C476" s="101" t="s">
        <v>482</v>
      </c>
      <c r="D476" s="101" t="s">
        <v>483</v>
      </c>
      <c r="E476" s="104">
        <f t="shared" si="714"/>
        <v>0.7</v>
      </c>
      <c r="F476" s="104">
        <f t="shared" si="715"/>
        <v>0.7</v>
      </c>
      <c r="G476" s="104">
        <f t="shared" si="724"/>
        <v>0</v>
      </c>
      <c r="H476" s="104">
        <f t="shared" si="716"/>
        <v>-0.7</v>
      </c>
      <c r="I476" s="105">
        <v>4.7E-2</v>
      </c>
      <c r="J476" s="106">
        <f t="shared" si="754"/>
        <v>46234</v>
      </c>
      <c r="K476" s="107">
        <f t="shared" si="744"/>
        <v>46234</v>
      </c>
      <c r="L476" s="107"/>
      <c r="M476" s="107">
        <f t="shared" si="745"/>
        <v>46276</v>
      </c>
      <c r="N476" s="107">
        <f t="shared" si="746"/>
        <v>46276</v>
      </c>
      <c r="O476" s="107"/>
      <c r="P476" s="107">
        <f t="shared" si="747"/>
        <v>46318</v>
      </c>
      <c r="Q476" s="107">
        <f t="shared" si="748"/>
        <v>46318</v>
      </c>
      <c r="R476" s="107"/>
      <c r="S476" s="106">
        <f t="shared" si="750"/>
        <v>46332</v>
      </c>
      <c r="T476" s="107">
        <f t="shared" si="749"/>
        <v>46332</v>
      </c>
      <c r="U476" s="107"/>
      <c r="V476" s="222"/>
      <c r="X476" s="168" t="str">
        <f t="shared" ca="1" si="707"/>
        <v>Overdue</v>
      </c>
      <c r="Y476" s="168" t="str">
        <f t="shared" ca="1" si="708"/>
        <v>Overdue</v>
      </c>
      <c r="Z476" s="168" t="str">
        <f t="shared" ca="1" si="709"/>
        <v/>
      </c>
      <c r="AA476" s="169" t="str">
        <f t="shared" ca="1" si="710"/>
        <v/>
      </c>
    </row>
    <row r="477" spans="1:27" s="70" customFormat="1" ht="11.5" x14ac:dyDescent="0.25">
      <c r="A477" s="101" t="s">
        <v>64</v>
      </c>
      <c r="B477" s="101" t="s">
        <v>14</v>
      </c>
      <c r="C477" s="101" t="s">
        <v>484</v>
      </c>
      <c r="D477" s="101" t="s">
        <v>485</v>
      </c>
      <c r="E477" s="104">
        <f t="shared" si="714"/>
        <v>0.7</v>
      </c>
      <c r="F477" s="104">
        <f t="shared" si="715"/>
        <v>0.7</v>
      </c>
      <c r="G477" s="104">
        <f t="shared" si="724"/>
        <v>0</v>
      </c>
      <c r="H477" s="104">
        <f t="shared" si="716"/>
        <v>-0.7</v>
      </c>
      <c r="I477" s="105">
        <v>4.7E-2</v>
      </c>
      <c r="J477" s="106">
        <f t="shared" si="754"/>
        <v>46234</v>
      </c>
      <c r="K477" s="106">
        <f t="shared" si="744"/>
        <v>46234</v>
      </c>
      <c r="L477" s="107"/>
      <c r="M477" s="107">
        <f t="shared" si="745"/>
        <v>46276</v>
      </c>
      <c r="N477" s="106">
        <f t="shared" si="746"/>
        <v>46276</v>
      </c>
      <c r="O477" s="107"/>
      <c r="P477" s="107">
        <f t="shared" si="747"/>
        <v>46318</v>
      </c>
      <c r="Q477" s="106">
        <f t="shared" si="748"/>
        <v>46318</v>
      </c>
      <c r="R477" s="107"/>
      <c r="S477" s="106">
        <f t="shared" si="750"/>
        <v>46332</v>
      </c>
      <c r="T477" s="106">
        <f t="shared" si="749"/>
        <v>46332</v>
      </c>
      <c r="U477" s="107"/>
      <c r="V477" s="222"/>
      <c r="X477" s="168" t="str">
        <f t="shared" ca="1" si="707"/>
        <v>Overdue</v>
      </c>
      <c r="Y477" s="168" t="str">
        <f t="shared" ca="1" si="708"/>
        <v>Overdue</v>
      </c>
      <c r="Z477" s="168" t="str">
        <f t="shared" ca="1" si="709"/>
        <v/>
      </c>
      <c r="AA477" s="169" t="str">
        <f t="shared" ca="1" si="710"/>
        <v/>
      </c>
    </row>
    <row r="478" spans="1:27" s="70" customFormat="1" ht="11.5" x14ac:dyDescent="0.25">
      <c r="A478" s="101" t="s">
        <v>64</v>
      </c>
      <c r="B478" s="101" t="s">
        <v>14</v>
      </c>
      <c r="C478" s="101" t="s">
        <v>42</v>
      </c>
      <c r="D478" s="101" t="s">
        <v>486</v>
      </c>
      <c r="E478" s="104">
        <f t="shared" si="714"/>
        <v>0</v>
      </c>
      <c r="F478" s="104">
        <f t="shared" si="715"/>
        <v>0</v>
      </c>
      <c r="G478" s="104">
        <f t="shared" si="724"/>
        <v>0</v>
      </c>
      <c r="H478" s="104">
        <f t="shared" si="716"/>
        <v>0</v>
      </c>
      <c r="I478" s="109">
        <v>1.5</v>
      </c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221"/>
      <c r="X478" s="168" t="str">
        <f t="shared" ca="1" si="707"/>
        <v/>
      </c>
      <c r="Y478" s="168" t="str">
        <f t="shared" ca="1" si="708"/>
        <v/>
      </c>
      <c r="Z478" s="168" t="str">
        <f t="shared" ca="1" si="709"/>
        <v/>
      </c>
      <c r="AA478" s="169" t="str">
        <f t="shared" ca="1" si="710"/>
        <v/>
      </c>
    </row>
    <row r="479" spans="1:27" s="70" customFormat="1" ht="11.5" x14ac:dyDescent="0.25">
      <c r="A479" s="73"/>
      <c r="B479" s="73"/>
      <c r="C479" s="73"/>
      <c r="D479" s="73"/>
      <c r="E479" s="74"/>
      <c r="F479" s="74"/>
      <c r="G479" s="74"/>
      <c r="H479" s="74"/>
      <c r="I479" s="75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219"/>
      <c r="X479" s="168" t="str">
        <f t="shared" ca="1" si="707"/>
        <v/>
      </c>
      <c r="Y479" s="168" t="str">
        <f t="shared" ca="1" si="708"/>
        <v/>
      </c>
      <c r="Z479" s="168" t="str">
        <f t="shared" ca="1" si="709"/>
        <v/>
      </c>
      <c r="AA479" s="169" t="str">
        <f t="shared" ca="1" si="710"/>
        <v/>
      </c>
    </row>
    <row r="480" spans="1:27" s="70" customFormat="1" ht="11.5" x14ac:dyDescent="0.25">
      <c r="A480" s="111" t="s">
        <v>67</v>
      </c>
      <c r="B480" s="111" t="s">
        <v>14</v>
      </c>
      <c r="C480" s="111" t="s">
        <v>824</v>
      </c>
      <c r="D480" s="111" t="s">
        <v>820</v>
      </c>
      <c r="E480" s="112">
        <f t="shared" si="714"/>
        <v>1</v>
      </c>
      <c r="F480" s="112">
        <f t="shared" si="715"/>
        <v>1</v>
      </c>
      <c r="G480" s="112">
        <f t="shared" ref="G480:G511" si="758">(COUNTIFS(L480,"&lt;="&amp;$C$1)*50%)+(COUNTIFS(O480,"&lt;="&amp;$C$1)*20%)+(COUNTIFS(R480,"&lt;="&amp;$C$1)*10%)+(COUNTIFS(U480,"&lt;="&amp;$C$1)*20%)</f>
        <v>1</v>
      </c>
      <c r="H480" s="112">
        <f t="shared" si="716"/>
        <v>0</v>
      </c>
      <c r="I480" s="113">
        <v>8.9999999999999993E-3</v>
      </c>
      <c r="J480" s="114">
        <f t="shared" ref="J480:J511" si="759">J363+28</f>
        <v>46206</v>
      </c>
      <c r="K480" s="114">
        <f t="shared" si="744"/>
        <v>46206</v>
      </c>
      <c r="L480" s="114">
        <v>46175</v>
      </c>
      <c r="M480" s="115">
        <f t="shared" si="745"/>
        <v>46248</v>
      </c>
      <c r="N480" s="114">
        <f t="shared" si="746"/>
        <v>46248</v>
      </c>
      <c r="O480" s="114">
        <v>46191</v>
      </c>
      <c r="P480" s="115">
        <f t="shared" si="747"/>
        <v>46290</v>
      </c>
      <c r="Q480" s="114">
        <f t="shared" si="748"/>
        <v>46290</v>
      </c>
      <c r="R480" s="114">
        <v>46245</v>
      </c>
      <c r="S480" s="114">
        <f t="shared" si="750"/>
        <v>46304</v>
      </c>
      <c r="T480" s="114">
        <f t="shared" si="749"/>
        <v>46304</v>
      </c>
      <c r="U480" s="114">
        <v>46255</v>
      </c>
      <c r="V480" s="226"/>
      <c r="X480" s="168" t="str">
        <f t="shared" ca="1" si="707"/>
        <v>Completed</v>
      </c>
      <c r="Y480" s="168" t="str">
        <f t="shared" ca="1" si="708"/>
        <v>Completed</v>
      </c>
      <c r="Z480" s="168" t="str">
        <f t="shared" ca="1" si="709"/>
        <v>Completed</v>
      </c>
      <c r="AA480" s="169" t="str">
        <f t="shared" ca="1" si="710"/>
        <v>Completed</v>
      </c>
    </row>
    <row r="481" spans="1:27" s="70" customFormat="1" ht="11.5" x14ac:dyDescent="0.25">
      <c r="A481" s="111" t="s">
        <v>67</v>
      </c>
      <c r="B481" s="111" t="s">
        <v>14</v>
      </c>
      <c r="C481" s="111" t="s">
        <v>825</v>
      </c>
      <c r="D481" s="111" t="s">
        <v>821</v>
      </c>
      <c r="E481" s="112">
        <f t="shared" si="714"/>
        <v>1</v>
      </c>
      <c r="F481" s="112">
        <f t="shared" si="715"/>
        <v>1</v>
      </c>
      <c r="G481" s="112">
        <f t="shared" si="758"/>
        <v>1</v>
      </c>
      <c r="H481" s="112">
        <f t="shared" si="716"/>
        <v>0</v>
      </c>
      <c r="I481" s="113">
        <v>8.9999999999999993E-3</v>
      </c>
      <c r="J481" s="114">
        <f t="shared" si="759"/>
        <v>46206</v>
      </c>
      <c r="K481" s="114">
        <f t="shared" si="744"/>
        <v>46206</v>
      </c>
      <c r="L481" s="114">
        <v>46175</v>
      </c>
      <c r="M481" s="115">
        <f t="shared" si="745"/>
        <v>46248</v>
      </c>
      <c r="N481" s="114">
        <f t="shared" si="746"/>
        <v>46248</v>
      </c>
      <c r="O481" s="114">
        <v>46191</v>
      </c>
      <c r="P481" s="115">
        <f t="shared" si="747"/>
        <v>46290</v>
      </c>
      <c r="Q481" s="114">
        <f t="shared" si="748"/>
        <v>46290</v>
      </c>
      <c r="R481" s="114">
        <v>46245</v>
      </c>
      <c r="S481" s="114">
        <f t="shared" si="750"/>
        <v>46304</v>
      </c>
      <c r="T481" s="114">
        <f t="shared" si="749"/>
        <v>46304</v>
      </c>
      <c r="U481" s="114">
        <v>46255</v>
      </c>
      <c r="V481" s="226"/>
      <c r="X481" s="168" t="str">
        <f t="shared" ca="1" si="707"/>
        <v>Completed</v>
      </c>
      <c r="Y481" s="168" t="str">
        <f t="shared" ca="1" si="708"/>
        <v>Completed</v>
      </c>
      <c r="Z481" s="168" t="str">
        <f t="shared" ca="1" si="709"/>
        <v>Completed</v>
      </c>
      <c r="AA481" s="169" t="str">
        <f t="shared" ca="1" si="710"/>
        <v>Completed</v>
      </c>
    </row>
    <row r="482" spans="1:27" s="70" customFormat="1" ht="11.5" x14ac:dyDescent="0.25">
      <c r="A482" s="111" t="s">
        <v>67</v>
      </c>
      <c r="B482" s="111" t="s">
        <v>14</v>
      </c>
      <c r="C482" s="111" t="s">
        <v>826</v>
      </c>
      <c r="D482" s="111" t="s">
        <v>822</v>
      </c>
      <c r="E482" s="112">
        <f t="shared" si="714"/>
        <v>1</v>
      </c>
      <c r="F482" s="112">
        <f t="shared" si="715"/>
        <v>1</v>
      </c>
      <c r="G482" s="112">
        <f t="shared" si="758"/>
        <v>1</v>
      </c>
      <c r="H482" s="112">
        <f t="shared" si="716"/>
        <v>0</v>
      </c>
      <c r="I482" s="113">
        <v>4.7E-2</v>
      </c>
      <c r="J482" s="114">
        <f t="shared" si="759"/>
        <v>46206</v>
      </c>
      <c r="K482" s="114">
        <f t="shared" si="744"/>
        <v>46206</v>
      </c>
      <c r="L482" s="114">
        <v>46175</v>
      </c>
      <c r="M482" s="115">
        <f t="shared" si="745"/>
        <v>46248</v>
      </c>
      <c r="N482" s="114">
        <f t="shared" si="746"/>
        <v>46248</v>
      </c>
      <c r="O482" s="114">
        <v>46191</v>
      </c>
      <c r="P482" s="115">
        <f t="shared" si="747"/>
        <v>46290</v>
      </c>
      <c r="Q482" s="114">
        <f t="shared" si="748"/>
        <v>46290</v>
      </c>
      <c r="R482" s="114">
        <v>46245</v>
      </c>
      <c r="S482" s="114">
        <f t="shared" si="750"/>
        <v>46304</v>
      </c>
      <c r="T482" s="114">
        <f t="shared" si="749"/>
        <v>46304</v>
      </c>
      <c r="U482" s="114">
        <v>46255</v>
      </c>
      <c r="V482" s="226"/>
      <c r="X482" s="168" t="str">
        <f t="shared" ca="1" si="707"/>
        <v>Completed</v>
      </c>
      <c r="Y482" s="168" t="str">
        <f t="shared" ca="1" si="708"/>
        <v>Completed</v>
      </c>
      <c r="Z482" s="168" t="str">
        <f t="shared" ca="1" si="709"/>
        <v>Completed</v>
      </c>
      <c r="AA482" s="169" t="str">
        <f t="shared" ca="1" si="710"/>
        <v>Completed</v>
      </c>
    </row>
    <row r="483" spans="1:27" s="70" customFormat="1" ht="11.5" x14ac:dyDescent="0.25">
      <c r="A483" s="111" t="s">
        <v>67</v>
      </c>
      <c r="B483" s="111" t="s">
        <v>14</v>
      </c>
      <c r="C483" s="111" t="s">
        <v>827</v>
      </c>
      <c r="D483" s="111" t="s">
        <v>823</v>
      </c>
      <c r="E483" s="112">
        <f t="shared" si="714"/>
        <v>1</v>
      </c>
      <c r="F483" s="112">
        <f t="shared" si="715"/>
        <v>1</v>
      </c>
      <c r="G483" s="118">
        <f t="shared" si="758"/>
        <v>1</v>
      </c>
      <c r="H483" s="118">
        <f t="shared" si="716"/>
        <v>0</v>
      </c>
      <c r="I483" s="119">
        <v>4.7E-2</v>
      </c>
      <c r="J483" s="114">
        <f t="shared" si="759"/>
        <v>46206</v>
      </c>
      <c r="K483" s="114">
        <f t="shared" si="744"/>
        <v>46206</v>
      </c>
      <c r="L483" s="114">
        <v>46175</v>
      </c>
      <c r="M483" s="115">
        <f t="shared" si="745"/>
        <v>46248</v>
      </c>
      <c r="N483" s="114">
        <f t="shared" si="746"/>
        <v>46248</v>
      </c>
      <c r="O483" s="114">
        <v>46191</v>
      </c>
      <c r="P483" s="115">
        <f t="shared" si="747"/>
        <v>46290</v>
      </c>
      <c r="Q483" s="114">
        <f t="shared" si="748"/>
        <v>46290</v>
      </c>
      <c r="R483" s="114">
        <v>46245</v>
      </c>
      <c r="S483" s="114">
        <f t="shared" si="750"/>
        <v>46304</v>
      </c>
      <c r="T483" s="114">
        <f t="shared" si="749"/>
        <v>46304</v>
      </c>
      <c r="U483" s="114">
        <v>46255</v>
      </c>
      <c r="V483" s="226"/>
      <c r="X483" s="168" t="str">
        <f t="shared" ca="1" si="707"/>
        <v>Completed</v>
      </c>
      <c r="Y483" s="168" t="str">
        <f t="shared" ca="1" si="708"/>
        <v>Completed</v>
      </c>
      <c r="Z483" s="168" t="str">
        <f t="shared" ca="1" si="709"/>
        <v>Completed</v>
      </c>
      <c r="AA483" s="169" t="str">
        <f t="shared" ca="1" si="710"/>
        <v>Completed</v>
      </c>
    </row>
    <row r="484" spans="1:27" s="70" customFormat="1" ht="11.5" x14ac:dyDescent="0.25">
      <c r="A484" s="111" t="s">
        <v>67</v>
      </c>
      <c r="B484" s="111" t="s">
        <v>14</v>
      </c>
      <c r="C484" s="111" t="s">
        <v>487</v>
      </c>
      <c r="D484" s="111" t="s">
        <v>488</v>
      </c>
      <c r="E484" s="112">
        <f t="shared" si="714"/>
        <v>1</v>
      </c>
      <c r="F484" s="112">
        <f t="shared" si="715"/>
        <v>1</v>
      </c>
      <c r="G484" s="118">
        <f t="shared" si="758"/>
        <v>0</v>
      </c>
      <c r="H484" s="118">
        <f t="shared" si="716"/>
        <v>-1</v>
      </c>
      <c r="I484" s="119">
        <v>4.7E-2</v>
      </c>
      <c r="J484" s="114">
        <f t="shared" si="759"/>
        <v>46206</v>
      </c>
      <c r="K484" s="114">
        <f t="shared" si="744"/>
        <v>46206</v>
      </c>
      <c r="L484" s="114"/>
      <c r="M484" s="115">
        <f t="shared" si="745"/>
        <v>46248</v>
      </c>
      <c r="N484" s="114">
        <f t="shared" si="746"/>
        <v>46248</v>
      </c>
      <c r="O484" s="114"/>
      <c r="P484" s="115">
        <f t="shared" si="747"/>
        <v>46290</v>
      </c>
      <c r="Q484" s="114">
        <f t="shared" si="748"/>
        <v>46290</v>
      </c>
      <c r="R484" s="114"/>
      <c r="S484" s="114">
        <f t="shared" si="750"/>
        <v>46304</v>
      </c>
      <c r="T484" s="114">
        <f t="shared" si="749"/>
        <v>46304</v>
      </c>
      <c r="U484" s="114"/>
      <c r="V484" s="226"/>
      <c r="X484" s="168" t="str">
        <f t="shared" ca="1" si="707"/>
        <v>Overdue</v>
      </c>
      <c r="Y484" s="168" t="str">
        <f t="shared" ca="1" si="708"/>
        <v>Overdue</v>
      </c>
      <c r="Z484" s="168" t="str">
        <f t="shared" ca="1" si="709"/>
        <v>Overdue</v>
      </c>
      <c r="AA484" s="169" t="str">
        <f t="shared" ca="1" si="710"/>
        <v>Overdue</v>
      </c>
    </row>
    <row r="485" spans="1:27" s="70" customFormat="1" ht="11.5" x14ac:dyDescent="0.25">
      <c r="A485" s="111" t="s">
        <v>67</v>
      </c>
      <c r="B485" s="111" t="s">
        <v>14</v>
      </c>
      <c r="C485" s="111" t="s">
        <v>489</v>
      </c>
      <c r="D485" s="111" t="s">
        <v>490</v>
      </c>
      <c r="E485" s="112">
        <f t="shared" si="714"/>
        <v>1</v>
      </c>
      <c r="F485" s="112">
        <f t="shared" si="715"/>
        <v>1</v>
      </c>
      <c r="G485" s="118">
        <f t="shared" si="758"/>
        <v>0</v>
      </c>
      <c r="H485" s="118">
        <f t="shared" si="716"/>
        <v>-1</v>
      </c>
      <c r="I485" s="119">
        <v>4.7E-2</v>
      </c>
      <c r="J485" s="114">
        <f t="shared" si="759"/>
        <v>46206</v>
      </c>
      <c r="K485" s="114">
        <f t="shared" si="744"/>
        <v>46206</v>
      </c>
      <c r="L485" s="114"/>
      <c r="M485" s="115">
        <f t="shared" si="745"/>
        <v>46248</v>
      </c>
      <c r="N485" s="114">
        <f t="shared" si="746"/>
        <v>46248</v>
      </c>
      <c r="O485" s="114"/>
      <c r="P485" s="115">
        <f t="shared" si="747"/>
        <v>46290</v>
      </c>
      <c r="Q485" s="114">
        <f t="shared" si="748"/>
        <v>46290</v>
      </c>
      <c r="R485" s="114"/>
      <c r="S485" s="114">
        <f t="shared" si="750"/>
        <v>46304</v>
      </c>
      <c r="T485" s="114">
        <f t="shared" si="749"/>
        <v>46304</v>
      </c>
      <c r="U485" s="114"/>
      <c r="V485" s="226"/>
      <c r="X485" s="168" t="str">
        <f t="shared" ca="1" si="707"/>
        <v>Overdue</v>
      </c>
      <c r="Y485" s="168" t="str">
        <f t="shared" ca="1" si="708"/>
        <v>Overdue</v>
      </c>
      <c r="Z485" s="168" t="str">
        <f t="shared" ca="1" si="709"/>
        <v>Overdue</v>
      </c>
      <c r="AA485" s="169" t="str">
        <f t="shared" ca="1" si="710"/>
        <v>Overdue</v>
      </c>
    </row>
    <row r="486" spans="1:27" s="70" customFormat="1" ht="11.5" x14ac:dyDescent="0.25">
      <c r="A486" s="111" t="s">
        <v>67</v>
      </c>
      <c r="B486" s="111" t="s">
        <v>14</v>
      </c>
      <c r="C486" s="111" t="s">
        <v>491</v>
      </c>
      <c r="D486" s="111" t="s">
        <v>492</v>
      </c>
      <c r="E486" s="112">
        <f t="shared" si="714"/>
        <v>1</v>
      </c>
      <c r="F486" s="112">
        <f t="shared" si="715"/>
        <v>1</v>
      </c>
      <c r="G486" s="118">
        <f t="shared" si="758"/>
        <v>0.79999999999999993</v>
      </c>
      <c r="H486" s="118">
        <f t="shared" si="716"/>
        <v>-0.20000000000000007</v>
      </c>
      <c r="I486" s="119">
        <v>4.7E-2</v>
      </c>
      <c r="J486" s="114">
        <f t="shared" si="759"/>
        <v>46206</v>
      </c>
      <c r="K486" s="114">
        <f t="shared" si="744"/>
        <v>46206</v>
      </c>
      <c r="L486" s="114">
        <v>46130</v>
      </c>
      <c r="M486" s="115">
        <f t="shared" si="745"/>
        <v>46248</v>
      </c>
      <c r="N486" s="114">
        <f t="shared" si="746"/>
        <v>46248</v>
      </c>
      <c r="O486" s="114">
        <v>46225</v>
      </c>
      <c r="P486" s="115">
        <f>M486+38</f>
        <v>46286</v>
      </c>
      <c r="Q486" s="114">
        <f t="shared" si="748"/>
        <v>46286</v>
      </c>
      <c r="R486" s="114">
        <v>46286</v>
      </c>
      <c r="S486" s="114">
        <f t="shared" si="750"/>
        <v>46300</v>
      </c>
      <c r="T486" s="114">
        <f t="shared" si="749"/>
        <v>46300</v>
      </c>
      <c r="U486" s="114"/>
      <c r="V486" s="226" t="s">
        <v>1231</v>
      </c>
      <c r="X486" s="168" t="str">
        <f t="shared" ref="X486:X549" ca="1" si="760">IF(OR(L486&lt;&gt;""),"Completed",
IF(K486="","",IF(K486&lt;TODAY(),"Overdue",
IF(AND(K486&gt;=TODAY()-WEEKDAY(TODAY(),2)+1,K486&lt;=TODAY()-WEEKDAY(TODAY(),2)+7),"Follow-This Week",
IF(AND(K486&gt;=TODAY()-WEEKDAY(TODAY(),2)+8,K486&lt;=TODAY()-WEEKDAY(TODAY(),2)+14),"Follow-Next Week","")))))</f>
        <v>Completed</v>
      </c>
      <c r="Y486" s="168" t="str">
        <f t="shared" ref="Y486:Y549" ca="1" si="761">IF(OR(O486&lt;&gt;""),"Completed",IF(N486="","",
IF(N486&lt;TODAY(),"Overdue",
IF(AND(N486&gt;=TODAY()-WEEKDAY(TODAY(),2)+1,N486&lt;=TODAY()-WEEKDAY(TODAY(),2)+7),"Follow-This Week",
IF(AND(N486&gt;=TODAY()-WEEKDAY(TODAY(),2)+8,N486&lt;=TODAY()-WEEKDAY(TODAY(),2)+14),"Follow-Next Week","")))))</f>
        <v>Completed</v>
      </c>
      <c r="Z486" s="168" t="str">
        <f t="shared" ref="Z486:Z549" ca="1" si="762">IF(OR(R486&lt;&gt;""),"Completed",IF(Q486="","",
IF(Q486&lt;TODAY(),"Overdue",
IF(AND(Q486&gt;=TODAY()-WEEKDAY(TODAY(),2)+1,Q486&lt;=TODAY()-WEEKDAY(TODAY(),2)+7),"Follow-This Week",
IF(AND(Q486&gt;=TODAY()-WEEKDAY(TODAY(),2)+8,Q486&lt;=TODAY()-WEEKDAY(TODAY(),2)+14),"Follow-Next Week","")))))</f>
        <v>Completed</v>
      </c>
      <c r="AA486" s="169" t="str">
        <f t="shared" ref="AA486:AA549" ca="1" si="763">IF(OR(U486&lt;&gt;""),"Completed",IF(T486="","",
IF(T486&lt;TODAY(),"Overdue",
IF(AND(T486&gt;=TODAY()-WEEKDAY(TODAY(),2)+1,T486&lt;=TODAY()-WEEKDAY(TODAY(),2)+7),"Follow-This Week",
IF(AND(T486&gt;=TODAY()-WEEKDAY(TODAY(),2)+8,T486&lt;=TODAY()-WEEKDAY(TODAY(),2)+14),"Follow-Next Week","")))))</f>
        <v>Overdue</v>
      </c>
    </row>
    <row r="487" spans="1:27" s="70" customFormat="1" ht="11.5" x14ac:dyDescent="0.25">
      <c r="A487" s="111" t="s">
        <v>67</v>
      </c>
      <c r="B487" s="111" t="s">
        <v>14</v>
      </c>
      <c r="C487" s="111" t="s">
        <v>493</v>
      </c>
      <c r="D487" s="111" t="s">
        <v>494</v>
      </c>
      <c r="E487" s="112">
        <f t="shared" si="714"/>
        <v>1</v>
      </c>
      <c r="F487" s="112">
        <f t="shared" si="715"/>
        <v>1</v>
      </c>
      <c r="G487" s="118">
        <f t="shared" si="758"/>
        <v>0.79999999999999993</v>
      </c>
      <c r="H487" s="118">
        <f t="shared" si="716"/>
        <v>-0.20000000000000007</v>
      </c>
      <c r="I487" s="119">
        <v>4.7E-2</v>
      </c>
      <c r="J487" s="114">
        <f t="shared" si="759"/>
        <v>46206</v>
      </c>
      <c r="K487" s="114">
        <f t="shared" si="744"/>
        <v>46206</v>
      </c>
      <c r="L487" s="114">
        <v>46130</v>
      </c>
      <c r="M487" s="115">
        <f t="shared" si="745"/>
        <v>46248</v>
      </c>
      <c r="N487" s="114">
        <f t="shared" si="746"/>
        <v>46248</v>
      </c>
      <c r="O487" s="114">
        <v>46225</v>
      </c>
      <c r="P487" s="115">
        <f t="shared" ref="P487:P512" si="764">M487+38</f>
        <v>46286</v>
      </c>
      <c r="Q487" s="114">
        <f t="shared" si="748"/>
        <v>46286</v>
      </c>
      <c r="R487" s="114">
        <v>46286</v>
      </c>
      <c r="S487" s="114">
        <f t="shared" si="750"/>
        <v>46300</v>
      </c>
      <c r="T487" s="114">
        <f t="shared" si="749"/>
        <v>46300</v>
      </c>
      <c r="U487" s="114"/>
      <c r="V487" s="226" t="s">
        <v>1231</v>
      </c>
      <c r="X487" s="168" t="str">
        <f t="shared" ca="1" si="760"/>
        <v>Completed</v>
      </c>
      <c r="Y487" s="168" t="str">
        <f t="shared" ca="1" si="761"/>
        <v>Completed</v>
      </c>
      <c r="Z487" s="168" t="str">
        <f t="shared" ca="1" si="762"/>
        <v>Completed</v>
      </c>
      <c r="AA487" s="169" t="str">
        <f t="shared" ca="1" si="763"/>
        <v>Overdue</v>
      </c>
    </row>
    <row r="488" spans="1:27" s="70" customFormat="1" ht="11.5" x14ac:dyDescent="0.25">
      <c r="A488" s="111" t="s">
        <v>67</v>
      </c>
      <c r="B488" s="111" t="s">
        <v>14</v>
      </c>
      <c r="C488" s="111" t="s">
        <v>495</v>
      </c>
      <c r="D488" s="111" t="s">
        <v>496</v>
      </c>
      <c r="E488" s="112">
        <f t="shared" si="714"/>
        <v>1</v>
      </c>
      <c r="F488" s="112">
        <f t="shared" si="715"/>
        <v>1</v>
      </c>
      <c r="G488" s="118">
        <f t="shared" si="758"/>
        <v>0.79999999999999993</v>
      </c>
      <c r="H488" s="118">
        <f t="shared" si="716"/>
        <v>-0.20000000000000007</v>
      </c>
      <c r="I488" s="119">
        <v>4.7E-2</v>
      </c>
      <c r="J488" s="114">
        <f t="shared" si="759"/>
        <v>46206</v>
      </c>
      <c r="K488" s="114">
        <f t="shared" si="744"/>
        <v>46206</v>
      </c>
      <c r="L488" s="114">
        <v>46130</v>
      </c>
      <c r="M488" s="115">
        <f t="shared" si="745"/>
        <v>46248</v>
      </c>
      <c r="N488" s="114">
        <f t="shared" si="746"/>
        <v>46248</v>
      </c>
      <c r="O488" s="114">
        <v>46225</v>
      </c>
      <c r="P488" s="115">
        <f t="shared" si="764"/>
        <v>46286</v>
      </c>
      <c r="Q488" s="114">
        <f t="shared" si="748"/>
        <v>46286</v>
      </c>
      <c r="R488" s="114">
        <v>46286</v>
      </c>
      <c r="S488" s="114">
        <f t="shared" si="750"/>
        <v>46300</v>
      </c>
      <c r="T488" s="114">
        <f t="shared" si="749"/>
        <v>46300</v>
      </c>
      <c r="U488" s="114"/>
      <c r="V488" s="226" t="s">
        <v>1231</v>
      </c>
      <c r="X488" s="168" t="str">
        <f t="shared" ca="1" si="760"/>
        <v>Completed</v>
      </c>
      <c r="Y488" s="168" t="str">
        <f t="shared" ca="1" si="761"/>
        <v>Completed</v>
      </c>
      <c r="Z488" s="168" t="str">
        <f t="shared" ca="1" si="762"/>
        <v>Completed</v>
      </c>
      <c r="AA488" s="169" t="str">
        <f t="shared" ca="1" si="763"/>
        <v>Overdue</v>
      </c>
    </row>
    <row r="489" spans="1:27" s="70" customFormat="1" ht="11.5" x14ac:dyDescent="0.25">
      <c r="A489" s="111" t="s">
        <v>67</v>
      </c>
      <c r="B489" s="111" t="s">
        <v>14</v>
      </c>
      <c r="C489" s="111" t="s">
        <v>497</v>
      </c>
      <c r="D489" s="111" t="s">
        <v>498</v>
      </c>
      <c r="E489" s="112">
        <f t="shared" si="714"/>
        <v>1</v>
      </c>
      <c r="F489" s="112">
        <f t="shared" si="715"/>
        <v>1</v>
      </c>
      <c r="G489" s="118">
        <f t="shared" si="758"/>
        <v>0.79999999999999993</v>
      </c>
      <c r="H489" s="118">
        <f t="shared" si="716"/>
        <v>-0.20000000000000007</v>
      </c>
      <c r="I489" s="119">
        <v>4.7E-2</v>
      </c>
      <c r="J489" s="114">
        <f t="shared" si="759"/>
        <v>46206</v>
      </c>
      <c r="K489" s="114">
        <f t="shared" si="744"/>
        <v>46206</v>
      </c>
      <c r="L489" s="114">
        <v>46130</v>
      </c>
      <c r="M489" s="115">
        <f t="shared" si="745"/>
        <v>46248</v>
      </c>
      <c r="N489" s="114">
        <f t="shared" si="746"/>
        <v>46248</v>
      </c>
      <c r="O489" s="114">
        <v>46225</v>
      </c>
      <c r="P489" s="115">
        <f t="shared" si="764"/>
        <v>46286</v>
      </c>
      <c r="Q489" s="114">
        <f t="shared" si="748"/>
        <v>46286</v>
      </c>
      <c r="R489" s="114">
        <v>46286</v>
      </c>
      <c r="S489" s="114">
        <f t="shared" si="750"/>
        <v>46300</v>
      </c>
      <c r="T489" s="114">
        <f t="shared" si="749"/>
        <v>46300</v>
      </c>
      <c r="U489" s="114"/>
      <c r="V489" s="226" t="s">
        <v>1231</v>
      </c>
      <c r="X489" s="168" t="str">
        <f t="shared" ca="1" si="760"/>
        <v>Completed</v>
      </c>
      <c r="Y489" s="168" t="str">
        <f t="shared" ca="1" si="761"/>
        <v>Completed</v>
      </c>
      <c r="Z489" s="168" t="str">
        <f t="shared" ca="1" si="762"/>
        <v>Completed</v>
      </c>
      <c r="AA489" s="169" t="str">
        <f t="shared" ca="1" si="763"/>
        <v>Overdue</v>
      </c>
    </row>
    <row r="490" spans="1:27" s="70" customFormat="1" ht="11.5" x14ac:dyDescent="0.25">
      <c r="A490" s="111" t="s">
        <v>67</v>
      </c>
      <c r="B490" s="111" t="s">
        <v>14</v>
      </c>
      <c r="C490" s="111" t="s">
        <v>499</v>
      </c>
      <c r="D490" s="111" t="s">
        <v>500</v>
      </c>
      <c r="E490" s="112">
        <f t="shared" si="714"/>
        <v>1</v>
      </c>
      <c r="F490" s="112">
        <f t="shared" si="715"/>
        <v>1</v>
      </c>
      <c r="G490" s="118">
        <f t="shared" si="758"/>
        <v>0.79999999999999993</v>
      </c>
      <c r="H490" s="118">
        <f t="shared" si="716"/>
        <v>-0.20000000000000007</v>
      </c>
      <c r="I490" s="119">
        <v>4.7E-2</v>
      </c>
      <c r="J490" s="114">
        <f t="shared" si="759"/>
        <v>46206</v>
      </c>
      <c r="K490" s="114">
        <f t="shared" si="744"/>
        <v>46206</v>
      </c>
      <c r="L490" s="114">
        <v>46130</v>
      </c>
      <c r="M490" s="115">
        <f t="shared" si="745"/>
        <v>46248</v>
      </c>
      <c r="N490" s="114">
        <f t="shared" si="746"/>
        <v>46248</v>
      </c>
      <c r="O490" s="114">
        <v>46225</v>
      </c>
      <c r="P490" s="115">
        <f t="shared" si="764"/>
        <v>46286</v>
      </c>
      <c r="Q490" s="114">
        <f t="shared" si="748"/>
        <v>46286</v>
      </c>
      <c r="R490" s="114">
        <v>46286</v>
      </c>
      <c r="S490" s="114">
        <f t="shared" si="750"/>
        <v>46300</v>
      </c>
      <c r="T490" s="114">
        <f t="shared" si="749"/>
        <v>46300</v>
      </c>
      <c r="U490" s="114"/>
      <c r="V490" s="226" t="s">
        <v>1231</v>
      </c>
      <c r="X490" s="168" t="str">
        <f t="shared" ca="1" si="760"/>
        <v>Completed</v>
      </c>
      <c r="Y490" s="168" t="str">
        <f t="shared" ca="1" si="761"/>
        <v>Completed</v>
      </c>
      <c r="Z490" s="168" t="str">
        <f t="shared" ca="1" si="762"/>
        <v>Completed</v>
      </c>
      <c r="AA490" s="169" t="str">
        <f t="shared" ca="1" si="763"/>
        <v>Overdue</v>
      </c>
    </row>
    <row r="491" spans="1:27" s="70" customFormat="1" ht="11.5" x14ac:dyDescent="0.25">
      <c r="A491" s="111" t="s">
        <v>67</v>
      </c>
      <c r="B491" s="111" t="s">
        <v>14</v>
      </c>
      <c r="C491" s="111" t="s">
        <v>501</v>
      </c>
      <c r="D491" s="111" t="s">
        <v>502</v>
      </c>
      <c r="E491" s="112">
        <f t="shared" si="714"/>
        <v>1</v>
      </c>
      <c r="F491" s="112">
        <f t="shared" si="715"/>
        <v>1</v>
      </c>
      <c r="G491" s="118">
        <f t="shared" si="758"/>
        <v>0.79999999999999993</v>
      </c>
      <c r="H491" s="118">
        <f t="shared" si="716"/>
        <v>-0.20000000000000007</v>
      </c>
      <c r="I491" s="119">
        <v>4.7E-2</v>
      </c>
      <c r="J491" s="114">
        <f t="shared" si="759"/>
        <v>46206</v>
      </c>
      <c r="K491" s="114">
        <f t="shared" si="744"/>
        <v>46206</v>
      </c>
      <c r="L491" s="114">
        <v>46130</v>
      </c>
      <c r="M491" s="115">
        <f t="shared" si="745"/>
        <v>46248</v>
      </c>
      <c r="N491" s="114">
        <f t="shared" si="746"/>
        <v>46248</v>
      </c>
      <c r="O491" s="114">
        <v>46225</v>
      </c>
      <c r="P491" s="115">
        <f t="shared" si="764"/>
        <v>46286</v>
      </c>
      <c r="Q491" s="114">
        <f t="shared" si="748"/>
        <v>46286</v>
      </c>
      <c r="R491" s="114">
        <v>46286</v>
      </c>
      <c r="S491" s="114">
        <f t="shared" si="750"/>
        <v>46300</v>
      </c>
      <c r="T491" s="114">
        <f t="shared" si="749"/>
        <v>46300</v>
      </c>
      <c r="U491" s="114"/>
      <c r="V491" s="226" t="s">
        <v>1231</v>
      </c>
      <c r="X491" s="168" t="str">
        <f t="shared" ca="1" si="760"/>
        <v>Completed</v>
      </c>
      <c r="Y491" s="168" t="str">
        <f t="shared" ca="1" si="761"/>
        <v>Completed</v>
      </c>
      <c r="Z491" s="168" t="str">
        <f t="shared" ca="1" si="762"/>
        <v>Completed</v>
      </c>
      <c r="AA491" s="169" t="str">
        <f t="shared" ca="1" si="763"/>
        <v>Overdue</v>
      </c>
    </row>
    <row r="492" spans="1:27" s="70" customFormat="1" ht="11.5" x14ac:dyDescent="0.25">
      <c r="A492" s="111" t="s">
        <v>67</v>
      </c>
      <c r="B492" s="111" t="s">
        <v>14</v>
      </c>
      <c r="C492" s="111" t="s">
        <v>503</v>
      </c>
      <c r="D492" s="111" t="s">
        <v>504</v>
      </c>
      <c r="E492" s="112">
        <f t="shared" si="714"/>
        <v>1</v>
      </c>
      <c r="F492" s="112">
        <f t="shared" si="715"/>
        <v>1</v>
      </c>
      <c r="G492" s="118">
        <f t="shared" si="758"/>
        <v>1</v>
      </c>
      <c r="H492" s="118">
        <f t="shared" si="716"/>
        <v>0</v>
      </c>
      <c r="I492" s="119">
        <v>4.7E-2</v>
      </c>
      <c r="J492" s="114">
        <f t="shared" si="759"/>
        <v>46206</v>
      </c>
      <c r="K492" s="114">
        <f t="shared" si="744"/>
        <v>46206</v>
      </c>
      <c r="L492" s="114">
        <v>46130</v>
      </c>
      <c r="M492" s="115">
        <f t="shared" si="745"/>
        <v>46248</v>
      </c>
      <c r="N492" s="114">
        <f t="shared" si="746"/>
        <v>46248</v>
      </c>
      <c r="O492" s="114">
        <v>46225</v>
      </c>
      <c r="P492" s="115">
        <f t="shared" si="764"/>
        <v>46286</v>
      </c>
      <c r="Q492" s="114">
        <f t="shared" si="748"/>
        <v>46286</v>
      </c>
      <c r="R492" s="114">
        <v>46286</v>
      </c>
      <c r="S492" s="114">
        <f t="shared" si="750"/>
        <v>46300</v>
      </c>
      <c r="T492" s="114">
        <f t="shared" si="749"/>
        <v>46300</v>
      </c>
      <c r="U492" s="114">
        <v>46293</v>
      </c>
      <c r="V492" s="226"/>
      <c r="X492" s="168" t="str">
        <f t="shared" ca="1" si="760"/>
        <v>Completed</v>
      </c>
      <c r="Y492" s="168" t="str">
        <f t="shared" ca="1" si="761"/>
        <v>Completed</v>
      </c>
      <c r="Z492" s="168" t="str">
        <f t="shared" ca="1" si="762"/>
        <v>Completed</v>
      </c>
      <c r="AA492" s="169" t="str">
        <f t="shared" ca="1" si="763"/>
        <v>Completed</v>
      </c>
    </row>
    <row r="493" spans="1:27" s="70" customFormat="1" ht="11.5" x14ac:dyDescent="0.25">
      <c r="A493" s="111" t="s">
        <v>67</v>
      </c>
      <c r="B493" s="111" t="s">
        <v>14</v>
      </c>
      <c r="C493" s="111" t="s">
        <v>505</v>
      </c>
      <c r="D493" s="111" t="s">
        <v>506</v>
      </c>
      <c r="E493" s="112">
        <f t="shared" ref="E493:E550" si="765">(COUNTIFS(J493,"&lt;="&amp;$C$1)*50%)+(COUNTIFS(M493,"&lt;="&amp;$C$1)*20%)+(COUNTIFS(P493,"&lt;="&amp;$C$1)*10%)+(COUNTIFS(S493,"&lt;="&amp;$C$1)*20%)</f>
        <v>1</v>
      </c>
      <c r="F493" s="112">
        <f t="shared" ref="F493:F550" si="766">(COUNTIFS(K493,"&lt;="&amp;$C$1)*50%)+(COUNTIFS(N493,"&lt;="&amp;$C$1)*20%)+(COUNTIFS(Q493,"&lt;="&amp;$C$1)*10%)+(COUNTIFS(T493,"&lt;="&amp;$C$1)*20%)</f>
        <v>1</v>
      </c>
      <c r="G493" s="118">
        <f t="shared" si="758"/>
        <v>1</v>
      </c>
      <c r="H493" s="118">
        <f t="shared" ref="H493:H550" si="767">G493-E493</f>
        <v>0</v>
      </c>
      <c r="I493" s="119">
        <v>4.7E-2</v>
      </c>
      <c r="J493" s="114">
        <f t="shared" si="759"/>
        <v>46206</v>
      </c>
      <c r="K493" s="114">
        <f t="shared" si="744"/>
        <v>46206</v>
      </c>
      <c r="L493" s="114">
        <v>46130</v>
      </c>
      <c r="M493" s="115">
        <f t="shared" si="745"/>
        <v>46248</v>
      </c>
      <c r="N493" s="114">
        <f t="shared" si="746"/>
        <v>46248</v>
      </c>
      <c r="O493" s="114">
        <v>46225</v>
      </c>
      <c r="P493" s="115">
        <f t="shared" si="764"/>
        <v>46286</v>
      </c>
      <c r="Q493" s="114">
        <f t="shared" si="748"/>
        <v>46286</v>
      </c>
      <c r="R493" s="114">
        <v>46286</v>
      </c>
      <c r="S493" s="114">
        <f t="shared" si="750"/>
        <v>46300</v>
      </c>
      <c r="T493" s="114">
        <f t="shared" si="749"/>
        <v>46300</v>
      </c>
      <c r="U493" s="114">
        <v>46293</v>
      </c>
      <c r="V493" s="226"/>
      <c r="X493" s="168" t="str">
        <f t="shared" ca="1" si="760"/>
        <v>Completed</v>
      </c>
      <c r="Y493" s="168" t="str">
        <f t="shared" ca="1" si="761"/>
        <v>Completed</v>
      </c>
      <c r="Z493" s="168" t="str">
        <f t="shared" ca="1" si="762"/>
        <v>Completed</v>
      </c>
      <c r="AA493" s="169" t="str">
        <f t="shared" ca="1" si="763"/>
        <v>Completed</v>
      </c>
    </row>
    <row r="494" spans="1:27" s="70" customFormat="1" ht="11.5" x14ac:dyDescent="0.25">
      <c r="A494" s="111" t="s">
        <v>67</v>
      </c>
      <c r="B494" s="111" t="s">
        <v>14</v>
      </c>
      <c r="C494" s="111" t="s">
        <v>507</v>
      </c>
      <c r="D494" s="111" t="s">
        <v>508</v>
      </c>
      <c r="E494" s="112">
        <f t="shared" si="765"/>
        <v>1</v>
      </c>
      <c r="F494" s="112">
        <f t="shared" si="766"/>
        <v>1</v>
      </c>
      <c r="G494" s="118">
        <f t="shared" si="758"/>
        <v>0.79999999999999993</v>
      </c>
      <c r="H494" s="118">
        <f t="shared" si="767"/>
        <v>-0.20000000000000007</v>
      </c>
      <c r="I494" s="119">
        <v>4.7E-2</v>
      </c>
      <c r="J494" s="114">
        <f t="shared" si="759"/>
        <v>46206</v>
      </c>
      <c r="K494" s="114">
        <f t="shared" si="744"/>
        <v>46206</v>
      </c>
      <c r="L494" s="114">
        <v>46130</v>
      </c>
      <c r="M494" s="115">
        <f t="shared" si="745"/>
        <v>46248</v>
      </c>
      <c r="N494" s="114">
        <f t="shared" si="746"/>
        <v>46248</v>
      </c>
      <c r="O494" s="114">
        <v>46225</v>
      </c>
      <c r="P494" s="115">
        <f t="shared" si="764"/>
        <v>46286</v>
      </c>
      <c r="Q494" s="114">
        <f t="shared" si="748"/>
        <v>46286</v>
      </c>
      <c r="R494" s="114">
        <v>46286</v>
      </c>
      <c r="S494" s="114">
        <f t="shared" si="750"/>
        <v>46300</v>
      </c>
      <c r="T494" s="114">
        <f t="shared" si="749"/>
        <v>46300</v>
      </c>
      <c r="U494" s="114"/>
      <c r="V494" s="226" t="s">
        <v>1231</v>
      </c>
      <c r="X494" s="168" t="str">
        <f t="shared" ca="1" si="760"/>
        <v>Completed</v>
      </c>
      <c r="Y494" s="168" t="str">
        <f t="shared" ca="1" si="761"/>
        <v>Completed</v>
      </c>
      <c r="Z494" s="168" t="str">
        <f t="shared" ca="1" si="762"/>
        <v>Completed</v>
      </c>
      <c r="AA494" s="169" t="str">
        <f t="shared" ca="1" si="763"/>
        <v>Overdue</v>
      </c>
    </row>
    <row r="495" spans="1:27" s="70" customFormat="1" ht="11.5" x14ac:dyDescent="0.25">
      <c r="A495" s="111" t="s">
        <v>67</v>
      </c>
      <c r="B495" s="111" t="s">
        <v>14</v>
      </c>
      <c r="C495" s="111" t="s">
        <v>509</v>
      </c>
      <c r="D495" s="111" t="s">
        <v>510</v>
      </c>
      <c r="E495" s="112">
        <f t="shared" si="765"/>
        <v>1</v>
      </c>
      <c r="F495" s="112">
        <f t="shared" si="766"/>
        <v>1</v>
      </c>
      <c r="G495" s="118">
        <f t="shared" si="758"/>
        <v>1</v>
      </c>
      <c r="H495" s="118">
        <f t="shared" si="767"/>
        <v>0</v>
      </c>
      <c r="I495" s="119">
        <v>4.7E-2</v>
      </c>
      <c r="J495" s="114">
        <f t="shared" si="759"/>
        <v>46206</v>
      </c>
      <c r="K495" s="114">
        <f t="shared" si="744"/>
        <v>46206</v>
      </c>
      <c r="L495" s="114">
        <v>46130</v>
      </c>
      <c r="M495" s="115">
        <f t="shared" si="745"/>
        <v>46248</v>
      </c>
      <c r="N495" s="114">
        <f t="shared" si="746"/>
        <v>46248</v>
      </c>
      <c r="O495" s="114">
        <v>46225</v>
      </c>
      <c r="P495" s="115">
        <f t="shared" si="764"/>
        <v>46286</v>
      </c>
      <c r="Q495" s="114">
        <f t="shared" si="748"/>
        <v>46286</v>
      </c>
      <c r="R495" s="114">
        <v>46286</v>
      </c>
      <c r="S495" s="114">
        <f t="shared" si="750"/>
        <v>46300</v>
      </c>
      <c r="T495" s="114">
        <f t="shared" si="749"/>
        <v>46300</v>
      </c>
      <c r="U495" s="114">
        <v>46293</v>
      </c>
      <c r="V495" s="226"/>
      <c r="X495" s="168" t="str">
        <f t="shared" ca="1" si="760"/>
        <v>Completed</v>
      </c>
      <c r="Y495" s="168" t="str">
        <f t="shared" ca="1" si="761"/>
        <v>Completed</v>
      </c>
      <c r="Z495" s="168" t="str">
        <f t="shared" ca="1" si="762"/>
        <v>Completed</v>
      </c>
      <c r="AA495" s="169" t="str">
        <f t="shared" ca="1" si="763"/>
        <v>Completed</v>
      </c>
    </row>
    <row r="496" spans="1:27" s="70" customFormat="1" ht="11.5" x14ac:dyDescent="0.25">
      <c r="A496" s="111" t="s">
        <v>67</v>
      </c>
      <c r="B496" s="111" t="s">
        <v>14</v>
      </c>
      <c r="C496" s="111" t="s">
        <v>511</v>
      </c>
      <c r="D496" s="111" t="s">
        <v>512</v>
      </c>
      <c r="E496" s="112">
        <f t="shared" si="765"/>
        <v>1</v>
      </c>
      <c r="F496" s="112">
        <f t="shared" si="766"/>
        <v>1</v>
      </c>
      <c r="G496" s="118">
        <f t="shared" si="758"/>
        <v>0.79999999999999993</v>
      </c>
      <c r="H496" s="118">
        <f t="shared" si="767"/>
        <v>-0.20000000000000007</v>
      </c>
      <c r="I496" s="119">
        <v>4.7E-2</v>
      </c>
      <c r="J496" s="114">
        <f t="shared" si="759"/>
        <v>46206</v>
      </c>
      <c r="K496" s="114">
        <f t="shared" si="744"/>
        <v>46206</v>
      </c>
      <c r="L496" s="114">
        <v>46130</v>
      </c>
      <c r="M496" s="115">
        <f t="shared" si="745"/>
        <v>46248</v>
      </c>
      <c r="N496" s="114">
        <f t="shared" si="746"/>
        <v>46248</v>
      </c>
      <c r="O496" s="114">
        <v>46225</v>
      </c>
      <c r="P496" s="115">
        <f t="shared" si="764"/>
        <v>46286</v>
      </c>
      <c r="Q496" s="114">
        <f t="shared" si="748"/>
        <v>46286</v>
      </c>
      <c r="R496" s="114">
        <v>46286</v>
      </c>
      <c r="S496" s="114">
        <f t="shared" si="750"/>
        <v>46300</v>
      </c>
      <c r="T496" s="114">
        <f t="shared" si="749"/>
        <v>46300</v>
      </c>
      <c r="U496" s="114"/>
      <c r="V496" s="226" t="s">
        <v>1231</v>
      </c>
      <c r="X496" s="168" t="str">
        <f t="shared" ca="1" si="760"/>
        <v>Completed</v>
      </c>
      <c r="Y496" s="168" t="str">
        <f t="shared" ca="1" si="761"/>
        <v>Completed</v>
      </c>
      <c r="Z496" s="168" t="str">
        <f t="shared" ca="1" si="762"/>
        <v>Completed</v>
      </c>
      <c r="AA496" s="169" t="str">
        <f t="shared" ca="1" si="763"/>
        <v>Overdue</v>
      </c>
    </row>
    <row r="497" spans="1:27" s="70" customFormat="1" ht="11.5" x14ac:dyDescent="0.25">
      <c r="A497" s="111" t="s">
        <v>67</v>
      </c>
      <c r="B497" s="111" t="s">
        <v>14</v>
      </c>
      <c r="C497" s="111" t="s">
        <v>513</v>
      </c>
      <c r="D497" s="111" t="s">
        <v>514</v>
      </c>
      <c r="E497" s="112">
        <f t="shared" si="765"/>
        <v>1</v>
      </c>
      <c r="F497" s="112">
        <f t="shared" si="766"/>
        <v>1</v>
      </c>
      <c r="G497" s="118">
        <f t="shared" si="758"/>
        <v>1</v>
      </c>
      <c r="H497" s="118">
        <f t="shared" si="767"/>
        <v>0</v>
      </c>
      <c r="I497" s="119">
        <v>4.7E-2</v>
      </c>
      <c r="J497" s="114">
        <f t="shared" si="759"/>
        <v>46206</v>
      </c>
      <c r="K497" s="114">
        <f t="shared" si="744"/>
        <v>46206</v>
      </c>
      <c r="L497" s="114">
        <v>46130</v>
      </c>
      <c r="M497" s="115">
        <f t="shared" si="745"/>
        <v>46248</v>
      </c>
      <c r="N497" s="114">
        <f t="shared" si="746"/>
        <v>46248</v>
      </c>
      <c r="O497" s="114">
        <v>46225</v>
      </c>
      <c r="P497" s="115">
        <f t="shared" si="764"/>
        <v>46286</v>
      </c>
      <c r="Q497" s="114">
        <f t="shared" si="748"/>
        <v>46286</v>
      </c>
      <c r="R497" s="114">
        <v>46286</v>
      </c>
      <c r="S497" s="114">
        <f t="shared" si="750"/>
        <v>46300</v>
      </c>
      <c r="T497" s="114">
        <f t="shared" si="749"/>
        <v>46300</v>
      </c>
      <c r="U497" s="114">
        <v>46293</v>
      </c>
      <c r="V497" s="226"/>
      <c r="X497" s="168" t="str">
        <f t="shared" ca="1" si="760"/>
        <v>Completed</v>
      </c>
      <c r="Y497" s="168" t="str">
        <f t="shared" ca="1" si="761"/>
        <v>Completed</v>
      </c>
      <c r="Z497" s="168" t="str">
        <f t="shared" ca="1" si="762"/>
        <v>Completed</v>
      </c>
      <c r="AA497" s="169" t="str">
        <f t="shared" ca="1" si="763"/>
        <v>Completed</v>
      </c>
    </row>
    <row r="498" spans="1:27" s="70" customFormat="1" ht="11.5" x14ac:dyDescent="0.25">
      <c r="A498" s="111" t="s">
        <v>67</v>
      </c>
      <c r="B498" s="111" t="s">
        <v>14</v>
      </c>
      <c r="C498" s="111" t="s">
        <v>515</v>
      </c>
      <c r="D498" s="111" t="s">
        <v>516</v>
      </c>
      <c r="E498" s="112">
        <f t="shared" si="765"/>
        <v>1</v>
      </c>
      <c r="F498" s="112">
        <f t="shared" si="766"/>
        <v>1</v>
      </c>
      <c r="G498" s="118">
        <f t="shared" si="758"/>
        <v>0.79999999999999993</v>
      </c>
      <c r="H498" s="118">
        <f t="shared" si="767"/>
        <v>-0.20000000000000007</v>
      </c>
      <c r="I498" s="119">
        <v>4.7E-2</v>
      </c>
      <c r="J498" s="114">
        <f t="shared" si="759"/>
        <v>46206</v>
      </c>
      <c r="K498" s="114">
        <f t="shared" si="744"/>
        <v>46206</v>
      </c>
      <c r="L498" s="114">
        <v>46130</v>
      </c>
      <c r="M498" s="115">
        <f t="shared" si="745"/>
        <v>46248</v>
      </c>
      <c r="N498" s="114">
        <f t="shared" si="746"/>
        <v>46248</v>
      </c>
      <c r="O498" s="114">
        <v>46225</v>
      </c>
      <c r="P498" s="115">
        <f t="shared" si="764"/>
        <v>46286</v>
      </c>
      <c r="Q498" s="114">
        <f t="shared" si="748"/>
        <v>46286</v>
      </c>
      <c r="R498" s="114">
        <v>46286</v>
      </c>
      <c r="S498" s="114">
        <f t="shared" si="750"/>
        <v>46300</v>
      </c>
      <c r="T498" s="114">
        <f t="shared" si="749"/>
        <v>46300</v>
      </c>
      <c r="U498" s="114"/>
      <c r="V498" s="226" t="s">
        <v>1231</v>
      </c>
      <c r="X498" s="168" t="str">
        <f t="shared" ca="1" si="760"/>
        <v>Completed</v>
      </c>
      <c r="Y498" s="168" t="str">
        <f t="shared" ca="1" si="761"/>
        <v>Completed</v>
      </c>
      <c r="Z498" s="168" t="str">
        <f t="shared" ca="1" si="762"/>
        <v>Completed</v>
      </c>
      <c r="AA498" s="169" t="str">
        <f t="shared" ca="1" si="763"/>
        <v>Overdue</v>
      </c>
    </row>
    <row r="499" spans="1:27" s="70" customFormat="1" ht="11.5" x14ac:dyDescent="0.25">
      <c r="A499" s="111" t="s">
        <v>67</v>
      </c>
      <c r="B499" s="111" t="s">
        <v>14</v>
      </c>
      <c r="C499" s="111" t="s">
        <v>517</v>
      </c>
      <c r="D499" s="111" t="s">
        <v>518</v>
      </c>
      <c r="E499" s="112">
        <f t="shared" si="765"/>
        <v>1</v>
      </c>
      <c r="F499" s="112">
        <f t="shared" si="766"/>
        <v>1</v>
      </c>
      <c r="G499" s="118">
        <f t="shared" si="758"/>
        <v>1</v>
      </c>
      <c r="H499" s="118">
        <f t="shared" si="767"/>
        <v>0</v>
      </c>
      <c r="I499" s="119">
        <v>4.7E-2</v>
      </c>
      <c r="J499" s="114">
        <f t="shared" si="759"/>
        <v>46206</v>
      </c>
      <c r="K499" s="114">
        <f t="shared" si="744"/>
        <v>46206</v>
      </c>
      <c r="L499" s="114">
        <v>46130</v>
      </c>
      <c r="M499" s="115">
        <f t="shared" si="745"/>
        <v>46248</v>
      </c>
      <c r="N499" s="114">
        <f t="shared" si="746"/>
        <v>46248</v>
      </c>
      <c r="O499" s="114">
        <v>46225</v>
      </c>
      <c r="P499" s="115">
        <f t="shared" si="764"/>
        <v>46286</v>
      </c>
      <c r="Q499" s="114">
        <f t="shared" si="748"/>
        <v>46286</v>
      </c>
      <c r="R499" s="114">
        <v>46286</v>
      </c>
      <c r="S499" s="114">
        <f t="shared" si="750"/>
        <v>46300</v>
      </c>
      <c r="T499" s="114">
        <f t="shared" si="749"/>
        <v>46300</v>
      </c>
      <c r="U499" s="114">
        <v>46293</v>
      </c>
      <c r="V499" s="226"/>
      <c r="X499" s="168" t="str">
        <f t="shared" ca="1" si="760"/>
        <v>Completed</v>
      </c>
      <c r="Y499" s="168" t="str">
        <f t="shared" ca="1" si="761"/>
        <v>Completed</v>
      </c>
      <c r="Z499" s="168" t="str">
        <f t="shared" ca="1" si="762"/>
        <v>Completed</v>
      </c>
      <c r="AA499" s="169" t="str">
        <f t="shared" ca="1" si="763"/>
        <v>Completed</v>
      </c>
    </row>
    <row r="500" spans="1:27" s="70" customFormat="1" ht="11.5" x14ac:dyDescent="0.25">
      <c r="A500" s="111" t="s">
        <v>67</v>
      </c>
      <c r="B500" s="111" t="s">
        <v>14</v>
      </c>
      <c r="C500" s="111" t="s">
        <v>519</v>
      </c>
      <c r="D500" s="111" t="s">
        <v>520</v>
      </c>
      <c r="E500" s="112">
        <f t="shared" si="765"/>
        <v>1</v>
      </c>
      <c r="F500" s="112">
        <f t="shared" si="766"/>
        <v>1</v>
      </c>
      <c r="G500" s="118">
        <f t="shared" si="758"/>
        <v>0.79999999999999993</v>
      </c>
      <c r="H500" s="118">
        <f t="shared" si="767"/>
        <v>-0.20000000000000007</v>
      </c>
      <c r="I500" s="119">
        <v>4.7E-2</v>
      </c>
      <c r="J500" s="114">
        <f t="shared" si="759"/>
        <v>46206</v>
      </c>
      <c r="K500" s="114">
        <f t="shared" si="744"/>
        <v>46206</v>
      </c>
      <c r="L500" s="114">
        <v>46130</v>
      </c>
      <c r="M500" s="115">
        <f t="shared" si="745"/>
        <v>46248</v>
      </c>
      <c r="N500" s="114">
        <f t="shared" si="746"/>
        <v>46248</v>
      </c>
      <c r="O500" s="114">
        <v>46225</v>
      </c>
      <c r="P500" s="115">
        <f t="shared" si="764"/>
        <v>46286</v>
      </c>
      <c r="Q500" s="114">
        <f t="shared" si="748"/>
        <v>46286</v>
      </c>
      <c r="R500" s="114">
        <v>46286</v>
      </c>
      <c r="S500" s="114">
        <f t="shared" si="750"/>
        <v>46300</v>
      </c>
      <c r="T500" s="114">
        <f t="shared" si="749"/>
        <v>46300</v>
      </c>
      <c r="U500" s="114"/>
      <c r="V500" s="226" t="s">
        <v>1231</v>
      </c>
      <c r="X500" s="168" t="str">
        <f t="shared" ca="1" si="760"/>
        <v>Completed</v>
      </c>
      <c r="Y500" s="168" t="str">
        <f t="shared" ca="1" si="761"/>
        <v>Completed</v>
      </c>
      <c r="Z500" s="168" t="str">
        <f t="shared" ca="1" si="762"/>
        <v>Completed</v>
      </c>
      <c r="AA500" s="169" t="str">
        <f t="shared" ca="1" si="763"/>
        <v>Overdue</v>
      </c>
    </row>
    <row r="501" spans="1:27" s="70" customFormat="1" ht="11.5" x14ac:dyDescent="0.25">
      <c r="A501" s="111" t="s">
        <v>67</v>
      </c>
      <c r="B501" s="111" t="s">
        <v>14</v>
      </c>
      <c r="C501" s="111" t="s">
        <v>521</v>
      </c>
      <c r="D501" s="111" t="s">
        <v>522</v>
      </c>
      <c r="E501" s="112">
        <f t="shared" si="765"/>
        <v>1</v>
      </c>
      <c r="F501" s="112">
        <f t="shared" si="766"/>
        <v>1</v>
      </c>
      <c r="G501" s="118">
        <f t="shared" si="758"/>
        <v>1</v>
      </c>
      <c r="H501" s="118">
        <f t="shared" si="767"/>
        <v>0</v>
      </c>
      <c r="I501" s="119">
        <v>4.7E-2</v>
      </c>
      <c r="J501" s="114">
        <f t="shared" si="759"/>
        <v>46206</v>
      </c>
      <c r="K501" s="114">
        <f t="shared" si="744"/>
        <v>46206</v>
      </c>
      <c r="L501" s="114">
        <v>46130</v>
      </c>
      <c r="M501" s="115">
        <f t="shared" si="745"/>
        <v>46248</v>
      </c>
      <c r="N501" s="114">
        <f t="shared" si="746"/>
        <v>46248</v>
      </c>
      <c r="O501" s="114">
        <v>46225</v>
      </c>
      <c r="P501" s="115">
        <f t="shared" si="764"/>
        <v>46286</v>
      </c>
      <c r="Q501" s="114">
        <f t="shared" si="748"/>
        <v>46286</v>
      </c>
      <c r="R501" s="114">
        <v>46286</v>
      </c>
      <c r="S501" s="114">
        <f t="shared" si="750"/>
        <v>46300</v>
      </c>
      <c r="T501" s="114">
        <f t="shared" si="749"/>
        <v>46300</v>
      </c>
      <c r="U501" s="114">
        <v>46293</v>
      </c>
      <c r="V501" s="226"/>
      <c r="X501" s="168" t="str">
        <f t="shared" ca="1" si="760"/>
        <v>Completed</v>
      </c>
      <c r="Y501" s="168" t="str">
        <f t="shared" ca="1" si="761"/>
        <v>Completed</v>
      </c>
      <c r="Z501" s="168" t="str">
        <f t="shared" ca="1" si="762"/>
        <v>Completed</v>
      </c>
      <c r="AA501" s="169" t="str">
        <f t="shared" ca="1" si="763"/>
        <v>Completed</v>
      </c>
    </row>
    <row r="502" spans="1:27" s="70" customFormat="1" ht="11.5" x14ac:dyDescent="0.25">
      <c r="A502" s="111" t="s">
        <v>67</v>
      </c>
      <c r="B502" s="111" t="s">
        <v>14</v>
      </c>
      <c r="C502" s="111" t="s">
        <v>523</v>
      </c>
      <c r="D502" s="111" t="s">
        <v>524</v>
      </c>
      <c r="E502" s="112">
        <f t="shared" si="765"/>
        <v>1</v>
      </c>
      <c r="F502" s="112">
        <f t="shared" si="766"/>
        <v>1</v>
      </c>
      <c r="G502" s="118">
        <f t="shared" si="758"/>
        <v>0.79999999999999993</v>
      </c>
      <c r="H502" s="118">
        <f t="shared" si="767"/>
        <v>-0.20000000000000007</v>
      </c>
      <c r="I502" s="119">
        <v>4.7E-2</v>
      </c>
      <c r="J502" s="114">
        <f t="shared" si="759"/>
        <v>46206</v>
      </c>
      <c r="K502" s="114">
        <f t="shared" si="744"/>
        <v>46206</v>
      </c>
      <c r="L502" s="114">
        <v>46130</v>
      </c>
      <c r="M502" s="115">
        <f t="shared" si="745"/>
        <v>46248</v>
      </c>
      <c r="N502" s="114">
        <f t="shared" si="746"/>
        <v>46248</v>
      </c>
      <c r="O502" s="114">
        <v>46225</v>
      </c>
      <c r="P502" s="115">
        <f t="shared" si="764"/>
        <v>46286</v>
      </c>
      <c r="Q502" s="114">
        <f t="shared" si="748"/>
        <v>46286</v>
      </c>
      <c r="R502" s="114">
        <v>46286</v>
      </c>
      <c r="S502" s="114">
        <f t="shared" si="750"/>
        <v>46300</v>
      </c>
      <c r="T502" s="114">
        <f t="shared" si="749"/>
        <v>46300</v>
      </c>
      <c r="U502" s="114"/>
      <c r="V502" s="226" t="s">
        <v>1231</v>
      </c>
      <c r="X502" s="168" t="str">
        <f t="shared" ca="1" si="760"/>
        <v>Completed</v>
      </c>
      <c r="Y502" s="168" t="str">
        <f t="shared" ca="1" si="761"/>
        <v>Completed</v>
      </c>
      <c r="Z502" s="168" t="str">
        <f t="shared" ca="1" si="762"/>
        <v>Completed</v>
      </c>
      <c r="AA502" s="169" t="str">
        <f t="shared" ca="1" si="763"/>
        <v>Overdue</v>
      </c>
    </row>
    <row r="503" spans="1:27" s="70" customFormat="1" ht="11.5" x14ac:dyDescent="0.25">
      <c r="A503" s="111" t="s">
        <v>67</v>
      </c>
      <c r="B503" s="111" t="s">
        <v>14</v>
      </c>
      <c r="C503" s="111" t="s">
        <v>525</v>
      </c>
      <c r="D503" s="111" t="s">
        <v>526</v>
      </c>
      <c r="E503" s="112">
        <f t="shared" si="765"/>
        <v>1</v>
      </c>
      <c r="F503" s="112">
        <f t="shared" si="766"/>
        <v>1</v>
      </c>
      <c r="G503" s="118">
        <f t="shared" si="758"/>
        <v>1</v>
      </c>
      <c r="H503" s="118">
        <f t="shared" si="767"/>
        <v>0</v>
      </c>
      <c r="I503" s="119">
        <v>4.7E-2</v>
      </c>
      <c r="J503" s="114">
        <f t="shared" si="759"/>
        <v>46206</v>
      </c>
      <c r="K503" s="114">
        <f t="shared" si="744"/>
        <v>46206</v>
      </c>
      <c r="L503" s="114">
        <v>46130</v>
      </c>
      <c r="M503" s="115">
        <f t="shared" si="745"/>
        <v>46248</v>
      </c>
      <c r="N503" s="114">
        <f t="shared" si="746"/>
        <v>46248</v>
      </c>
      <c r="O503" s="114">
        <v>46225</v>
      </c>
      <c r="P503" s="115">
        <f t="shared" si="764"/>
        <v>46286</v>
      </c>
      <c r="Q503" s="114">
        <f t="shared" si="748"/>
        <v>46286</v>
      </c>
      <c r="R503" s="114">
        <v>46286</v>
      </c>
      <c r="S503" s="114">
        <f t="shared" si="750"/>
        <v>46300</v>
      </c>
      <c r="T503" s="114">
        <f t="shared" si="749"/>
        <v>46300</v>
      </c>
      <c r="U503" s="114">
        <v>46293</v>
      </c>
      <c r="V503" s="226"/>
      <c r="X503" s="168" t="str">
        <f t="shared" ca="1" si="760"/>
        <v>Completed</v>
      </c>
      <c r="Y503" s="168" t="str">
        <f t="shared" ca="1" si="761"/>
        <v>Completed</v>
      </c>
      <c r="Z503" s="168" t="str">
        <f t="shared" ca="1" si="762"/>
        <v>Completed</v>
      </c>
      <c r="AA503" s="169" t="str">
        <f t="shared" ca="1" si="763"/>
        <v>Completed</v>
      </c>
    </row>
    <row r="504" spans="1:27" s="70" customFormat="1" ht="11.5" x14ac:dyDescent="0.25">
      <c r="A504" s="111" t="s">
        <v>67</v>
      </c>
      <c r="B504" s="111" t="s">
        <v>14</v>
      </c>
      <c r="C504" s="111" t="s">
        <v>527</v>
      </c>
      <c r="D504" s="149" t="s">
        <v>903</v>
      </c>
      <c r="E504" s="112">
        <f t="shared" si="765"/>
        <v>1</v>
      </c>
      <c r="F504" s="112">
        <f t="shared" si="766"/>
        <v>1</v>
      </c>
      <c r="G504" s="118">
        <f t="shared" si="758"/>
        <v>0.79999999999999993</v>
      </c>
      <c r="H504" s="118">
        <f t="shared" si="767"/>
        <v>-0.20000000000000007</v>
      </c>
      <c r="I504" s="119">
        <v>4.7E-2</v>
      </c>
      <c r="J504" s="114">
        <f t="shared" si="759"/>
        <v>46206</v>
      </c>
      <c r="K504" s="114">
        <f t="shared" si="744"/>
        <v>46206</v>
      </c>
      <c r="L504" s="114">
        <v>46130</v>
      </c>
      <c r="M504" s="115">
        <f t="shared" si="745"/>
        <v>46248</v>
      </c>
      <c r="N504" s="114">
        <f t="shared" si="746"/>
        <v>46248</v>
      </c>
      <c r="O504" s="114">
        <v>46225</v>
      </c>
      <c r="P504" s="115">
        <f t="shared" si="764"/>
        <v>46286</v>
      </c>
      <c r="Q504" s="114">
        <f t="shared" si="748"/>
        <v>46286</v>
      </c>
      <c r="R504" s="114">
        <v>46286</v>
      </c>
      <c r="S504" s="114">
        <f t="shared" si="750"/>
        <v>46300</v>
      </c>
      <c r="T504" s="114">
        <f t="shared" si="749"/>
        <v>46300</v>
      </c>
      <c r="U504" s="114"/>
      <c r="V504" s="226" t="s">
        <v>1231</v>
      </c>
      <c r="X504" s="168" t="str">
        <f t="shared" ca="1" si="760"/>
        <v>Completed</v>
      </c>
      <c r="Y504" s="168" t="str">
        <f t="shared" ca="1" si="761"/>
        <v>Completed</v>
      </c>
      <c r="Z504" s="168" t="str">
        <f t="shared" ca="1" si="762"/>
        <v>Completed</v>
      </c>
      <c r="AA504" s="169" t="str">
        <f t="shared" ca="1" si="763"/>
        <v>Overdue</v>
      </c>
    </row>
    <row r="505" spans="1:27" s="70" customFormat="1" ht="11.5" x14ac:dyDescent="0.25">
      <c r="A505" s="111" t="s">
        <v>67</v>
      </c>
      <c r="B505" s="111" t="s">
        <v>14</v>
      </c>
      <c r="C505" s="111" t="s">
        <v>528</v>
      </c>
      <c r="D505" s="111" t="s">
        <v>529</v>
      </c>
      <c r="E505" s="112">
        <f t="shared" si="765"/>
        <v>1</v>
      </c>
      <c r="F505" s="112">
        <f t="shared" si="766"/>
        <v>1</v>
      </c>
      <c r="G505" s="118">
        <f t="shared" si="758"/>
        <v>1</v>
      </c>
      <c r="H505" s="118">
        <f t="shared" si="767"/>
        <v>0</v>
      </c>
      <c r="I505" s="119">
        <v>4.7E-2</v>
      </c>
      <c r="J505" s="114">
        <f t="shared" si="759"/>
        <v>46206</v>
      </c>
      <c r="K505" s="114">
        <f t="shared" si="744"/>
        <v>46206</v>
      </c>
      <c r="L505" s="114">
        <v>46130</v>
      </c>
      <c r="M505" s="115">
        <f t="shared" si="745"/>
        <v>46248</v>
      </c>
      <c r="N505" s="114">
        <f t="shared" si="746"/>
        <v>46248</v>
      </c>
      <c r="O505" s="114">
        <v>46225</v>
      </c>
      <c r="P505" s="115">
        <f t="shared" si="764"/>
        <v>46286</v>
      </c>
      <c r="Q505" s="114">
        <f t="shared" si="748"/>
        <v>46286</v>
      </c>
      <c r="R505" s="114">
        <v>46286</v>
      </c>
      <c r="S505" s="114">
        <f t="shared" si="750"/>
        <v>46300</v>
      </c>
      <c r="T505" s="114">
        <f t="shared" si="749"/>
        <v>46300</v>
      </c>
      <c r="U505" s="114">
        <v>46293</v>
      </c>
      <c r="V505" s="227"/>
      <c r="X505" s="168" t="str">
        <f t="shared" ca="1" si="760"/>
        <v>Completed</v>
      </c>
      <c r="Y505" s="168" t="str">
        <f t="shared" ca="1" si="761"/>
        <v>Completed</v>
      </c>
      <c r="Z505" s="168" t="str">
        <f t="shared" ca="1" si="762"/>
        <v>Completed</v>
      </c>
      <c r="AA505" s="169" t="str">
        <f t="shared" ca="1" si="763"/>
        <v>Completed</v>
      </c>
    </row>
    <row r="506" spans="1:27" s="70" customFormat="1" ht="11.5" x14ac:dyDescent="0.25">
      <c r="A506" s="111" t="s">
        <v>67</v>
      </c>
      <c r="B506" s="111" t="s">
        <v>14</v>
      </c>
      <c r="C506" s="111" t="s">
        <v>530</v>
      </c>
      <c r="D506" s="111" t="s">
        <v>531</v>
      </c>
      <c r="E506" s="112">
        <f t="shared" si="765"/>
        <v>1</v>
      </c>
      <c r="F506" s="112">
        <f t="shared" si="766"/>
        <v>1</v>
      </c>
      <c r="G506" s="118">
        <f t="shared" si="758"/>
        <v>1</v>
      </c>
      <c r="H506" s="118">
        <f t="shared" si="767"/>
        <v>0</v>
      </c>
      <c r="I506" s="119">
        <v>4.7E-2</v>
      </c>
      <c r="J506" s="114">
        <f t="shared" si="759"/>
        <v>46206</v>
      </c>
      <c r="K506" s="114">
        <f t="shared" si="744"/>
        <v>46206</v>
      </c>
      <c r="L506" s="114">
        <v>46150</v>
      </c>
      <c r="M506" s="115">
        <f t="shared" si="745"/>
        <v>46248</v>
      </c>
      <c r="N506" s="114">
        <f t="shared" si="746"/>
        <v>46248</v>
      </c>
      <c r="O506" s="114">
        <v>46205</v>
      </c>
      <c r="P506" s="115">
        <f t="shared" si="764"/>
        <v>46286</v>
      </c>
      <c r="Q506" s="114">
        <f t="shared" si="748"/>
        <v>46286</v>
      </c>
      <c r="R506" s="114">
        <v>46286</v>
      </c>
      <c r="S506" s="114">
        <f t="shared" si="750"/>
        <v>46300</v>
      </c>
      <c r="T506" s="114">
        <f t="shared" si="749"/>
        <v>46300</v>
      </c>
      <c r="U506" s="114">
        <v>46288</v>
      </c>
      <c r="V506" s="226"/>
      <c r="X506" s="168" t="str">
        <f t="shared" ca="1" si="760"/>
        <v>Completed</v>
      </c>
      <c r="Y506" s="168" t="str">
        <f t="shared" ca="1" si="761"/>
        <v>Completed</v>
      </c>
      <c r="Z506" s="168" t="str">
        <f t="shared" ca="1" si="762"/>
        <v>Completed</v>
      </c>
      <c r="AA506" s="169" t="str">
        <f t="shared" ca="1" si="763"/>
        <v>Completed</v>
      </c>
    </row>
    <row r="507" spans="1:27" s="70" customFormat="1" ht="11.5" x14ac:dyDescent="0.25">
      <c r="A507" s="111" t="s">
        <v>67</v>
      </c>
      <c r="B507" s="111" t="s">
        <v>14</v>
      </c>
      <c r="C507" s="111" t="s">
        <v>532</v>
      </c>
      <c r="D507" s="111" t="s">
        <v>533</v>
      </c>
      <c r="E507" s="112">
        <f t="shared" si="765"/>
        <v>1</v>
      </c>
      <c r="F507" s="112">
        <f t="shared" si="766"/>
        <v>1</v>
      </c>
      <c r="G507" s="118">
        <f t="shared" si="758"/>
        <v>1</v>
      </c>
      <c r="H507" s="118">
        <f t="shared" si="767"/>
        <v>0</v>
      </c>
      <c r="I507" s="119">
        <v>4.7E-2</v>
      </c>
      <c r="J507" s="114">
        <f t="shared" si="759"/>
        <v>46206</v>
      </c>
      <c r="K507" s="114">
        <f t="shared" si="744"/>
        <v>46206</v>
      </c>
      <c r="L507" s="114">
        <v>46150</v>
      </c>
      <c r="M507" s="115">
        <f t="shared" si="745"/>
        <v>46248</v>
      </c>
      <c r="N507" s="114">
        <f t="shared" si="746"/>
        <v>46248</v>
      </c>
      <c r="O507" s="114">
        <v>46205</v>
      </c>
      <c r="P507" s="115">
        <f t="shared" si="764"/>
        <v>46286</v>
      </c>
      <c r="Q507" s="114">
        <f t="shared" si="748"/>
        <v>46286</v>
      </c>
      <c r="R507" s="114">
        <v>46286</v>
      </c>
      <c r="S507" s="114">
        <f t="shared" si="750"/>
        <v>46300</v>
      </c>
      <c r="T507" s="114">
        <f t="shared" si="749"/>
        <v>46300</v>
      </c>
      <c r="U507" s="114">
        <v>46288</v>
      </c>
      <c r="V507" s="226"/>
      <c r="X507" s="168" t="str">
        <f t="shared" ca="1" si="760"/>
        <v>Completed</v>
      </c>
      <c r="Y507" s="168" t="str">
        <f t="shared" ca="1" si="761"/>
        <v>Completed</v>
      </c>
      <c r="Z507" s="168" t="str">
        <f t="shared" ca="1" si="762"/>
        <v>Completed</v>
      </c>
      <c r="AA507" s="169" t="str">
        <f t="shared" ca="1" si="763"/>
        <v>Completed</v>
      </c>
    </row>
    <row r="508" spans="1:27" s="70" customFormat="1" ht="11.5" x14ac:dyDescent="0.25">
      <c r="A508" s="111" t="s">
        <v>67</v>
      </c>
      <c r="B508" s="111" t="s">
        <v>14</v>
      </c>
      <c r="C508" s="111" t="s">
        <v>534</v>
      </c>
      <c r="D508" s="111" t="s">
        <v>535</v>
      </c>
      <c r="E508" s="112">
        <f t="shared" si="765"/>
        <v>1</v>
      </c>
      <c r="F508" s="112">
        <f t="shared" si="766"/>
        <v>1</v>
      </c>
      <c r="G508" s="118">
        <f t="shared" si="758"/>
        <v>1</v>
      </c>
      <c r="H508" s="118">
        <f t="shared" si="767"/>
        <v>0</v>
      </c>
      <c r="I508" s="119">
        <v>4.7E-2</v>
      </c>
      <c r="J508" s="114">
        <f t="shared" si="759"/>
        <v>46206</v>
      </c>
      <c r="K508" s="114">
        <f t="shared" si="744"/>
        <v>46206</v>
      </c>
      <c r="L508" s="114">
        <v>46150</v>
      </c>
      <c r="M508" s="115">
        <f t="shared" si="745"/>
        <v>46248</v>
      </c>
      <c r="N508" s="114">
        <f t="shared" si="746"/>
        <v>46248</v>
      </c>
      <c r="O508" s="114">
        <v>46205</v>
      </c>
      <c r="P508" s="115">
        <f t="shared" si="764"/>
        <v>46286</v>
      </c>
      <c r="Q508" s="114">
        <f t="shared" si="748"/>
        <v>46286</v>
      </c>
      <c r="R508" s="115">
        <v>46248</v>
      </c>
      <c r="S508" s="114">
        <f t="shared" si="750"/>
        <v>46300</v>
      </c>
      <c r="T508" s="114">
        <f t="shared" si="749"/>
        <v>46300</v>
      </c>
      <c r="U508" s="114">
        <v>46262</v>
      </c>
      <c r="V508" s="226"/>
      <c r="X508" s="168" t="str">
        <f t="shared" ca="1" si="760"/>
        <v>Completed</v>
      </c>
      <c r="Y508" s="168" t="str">
        <f t="shared" ca="1" si="761"/>
        <v>Completed</v>
      </c>
      <c r="Z508" s="168" t="str">
        <f t="shared" ca="1" si="762"/>
        <v>Completed</v>
      </c>
      <c r="AA508" s="169" t="str">
        <f t="shared" ca="1" si="763"/>
        <v>Completed</v>
      </c>
    </row>
    <row r="509" spans="1:27" s="70" customFormat="1" ht="11.5" x14ac:dyDescent="0.25">
      <c r="A509" s="111" t="s">
        <v>67</v>
      </c>
      <c r="B509" s="111" t="s">
        <v>14</v>
      </c>
      <c r="C509" s="111" t="s">
        <v>536</v>
      </c>
      <c r="D509" s="111" t="s">
        <v>537</v>
      </c>
      <c r="E509" s="112">
        <f t="shared" si="765"/>
        <v>1</v>
      </c>
      <c r="F509" s="112">
        <f t="shared" si="766"/>
        <v>1</v>
      </c>
      <c r="G509" s="118">
        <f t="shared" si="758"/>
        <v>0.7</v>
      </c>
      <c r="H509" s="118">
        <f t="shared" si="767"/>
        <v>-0.30000000000000004</v>
      </c>
      <c r="I509" s="119">
        <v>4.7E-2</v>
      </c>
      <c r="J509" s="114">
        <f t="shared" si="759"/>
        <v>46206</v>
      </c>
      <c r="K509" s="114">
        <f t="shared" si="744"/>
        <v>46206</v>
      </c>
      <c r="L509" s="143">
        <v>46157</v>
      </c>
      <c r="M509" s="115">
        <f t="shared" si="745"/>
        <v>46248</v>
      </c>
      <c r="N509" s="114">
        <f t="shared" si="746"/>
        <v>46248</v>
      </c>
      <c r="O509" s="115">
        <v>46266</v>
      </c>
      <c r="P509" s="115">
        <f t="shared" si="764"/>
        <v>46286</v>
      </c>
      <c r="Q509" s="114">
        <f t="shared" si="748"/>
        <v>46286</v>
      </c>
      <c r="R509" s="114"/>
      <c r="S509" s="114">
        <f t="shared" si="750"/>
        <v>46300</v>
      </c>
      <c r="T509" s="114">
        <f t="shared" si="749"/>
        <v>46300</v>
      </c>
      <c r="U509" s="114"/>
      <c r="V509" s="226"/>
      <c r="X509" s="168" t="str">
        <f t="shared" ca="1" si="760"/>
        <v>Completed</v>
      </c>
      <c r="Y509" s="168" t="str">
        <f t="shared" ca="1" si="761"/>
        <v>Completed</v>
      </c>
      <c r="Z509" s="168" t="str">
        <f t="shared" ca="1" si="762"/>
        <v>Overdue</v>
      </c>
      <c r="AA509" s="169" t="str">
        <f t="shared" ca="1" si="763"/>
        <v>Overdue</v>
      </c>
    </row>
    <row r="510" spans="1:27" s="70" customFormat="1" ht="11.5" x14ac:dyDescent="0.25">
      <c r="A510" s="111" t="s">
        <v>67</v>
      </c>
      <c r="B510" s="111" t="s">
        <v>14</v>
      </c>
      <c r="C510" s="111" t="s">
        <v>538</v>
      </c>
      <c r="D510" s="111" t="s">
        <v>539</v>
      </c>
      <c r="E510" s="112">
        <f t="shared" si="765"/>
        <v>1</v>
      </c>
      <c r="F510" s="112">
        <f t="shared" si="766"/>
        <v>1</v>
      </c>
      <c r="G510" s="118">
        <f t="shared" si="758"/>
        <v>0.7</v>
      </c>
      <c r="H510" s="118">
        <f t="shared" si="767"/>
        <v>-0.30000000000000004</v>
      </c>
      <c r="I510" s="119">
        <v>4.7E-2</v>
      </c>
      <c r="J510" s="114">
        <f t="shared" si="759"/>
        <v>46206</v>
      </c>
      <c r="K510" s="114">
        <f t="shared" si="744"/>
        <v>46206</v>
      </c>
      <c r="L510" s="143">
        <v>46157</v>
      </c>
      <c r="M510" s="115">
        <f t="shared" si="745"/>
        <v>46248</v>
      </c>
      <c r="N510" s="114">
        <f t="shared" si="746"/>
        <v>46248</v>
      </c>
      <c r="O510" s="115">
        <v>46266</v>
      </c>
      <c r="P510" s="115">
        <f t="shared" si="764"/>
        <v>46286</v>
      </c>
      <c r="Q510" s="114">
        <f t="shared" si="748"/>
        <v>46286</v>
      </c>
      <c r="R510" s="114"/>
      <c r="S510" s="114">
        <f t="shared" si="750"/>
        <v>46300</v>
      </c>
      <c r="T510" s="114">
        <f t="shared" si="749"/>
        <v>46300</v>
      </c>
      <c r="U510" s="114"/>
      <c r="V510" s="226"/>
      <c r="X510" s="168" t="str">
        <f t="shared" ca="1" si="760"/>
        <v>Completed</v>
      </c>
      <c r="Y510" s="168" t="str">
        <f t="shared" ca="1" si="761"/>
        <v>Completed</v>
      </c>
      <c r="Z510" s="168" t="str">
        <f t="shared" ca="1" si="762"/>
        <v>Overdue</v>
      </c>
      <c r="AA510" s="169" t="str">
        <f t="shared" ca="1" si="763"/>
        <v>Overdue</v>
      </c>
    </row>
    <row r="511" spans="1:27" s="70" customFormat="1" ht="11.5" x14ac:dyDescent="0.25">
      <c r="A511" s="111" t="s">
        <v>67</v>
      </c>
      <c r="B511" s="111" t="s">
        <v>14</v>
      </c>
      <c r="C511" s="111" t="s">
        <v>540</v>
      </c>
      <c r="D511" s="111" t="s">
        <v>541</v>
      </c>
      <c r="E511" s="112">
        <f t="shared" si="765"/>
        <v>1</v>
      </c>
      <c r="F511" s="112">
        <f t="shared" si="766"/>
        <v>1</v>
      </c>
      <c r="G511" s="118">
        <f t="shared" si="758"/>
        <v>0.7</v>
      </c>
      <c r="H511" s="118">
        <f t="shared" si="767"/>
        <v>-0.30000000000000004</v>
      </c>
      <c r="I511" s="119">
        <v>4.7E-2</v>
      </c>
      <c r="J511" s="114">
        <f t="shared" si="759"/>
        <v>46206</v>
      </c>
      <c r="K511" s="114">
        <f t="shared" si="744"/>
        <v>46206</v>
      </c>
      <c r="L511" s="143">
        <v>46157</v>
      </c>
      <c r="M511" s="115">
        <f t="shared" si="745"/>
        <v>46248</v>
      </c>
      <c r="N511" s="114">
        <f t="shared" si="746"/>
        <v>46248</v>
      </c>
      <c r="O511" s="115">
        <v>46266</v>
      </c>
      <c r="P511" s="115">
        <f t="shared" si="764"/>
        <v>46286</v>
      </c>
      <c r="Q511" s="114">
        <f t="shared" si="748"/>
        <v>46286</v>
      </c>
      <c r="R511" s="114"/>
      <c r="S511" s="114">
        <f t="shared" si="750"/>
        <v>46300</v>
      </c>
      <c r="T511" s="114">
        <f t="shared" si="749"/>
        <v>46300</v>
      </c>
      <c r="U511" s="114"/>
      <c r="V511" s="226"/>
      <c r="X511" s="168" t="str">
        <f t="shared" ca="1" si="760"/>
        <v>Completed</v>
      </c>
      <c r="Y511" s="168" t="str">
        <f t="shared" ca="1" si="761"/>
        <v>Completed</v>
      </c>
      <c r="Z511" s="168" t="str">
        <f t="shared" ca="1" si="762"/>
        <v>Overdue</v>
      </c>
      <c r="AA511" s="169" t="str">
        <f t="shared" ca="1" si="763"/>
        <v>Overdue</v>
      </c>
    </row>
    <row r="512" spans="1:27" s="70" customFormat="1" ht="11.5" x14ac:dyDescent="0.25">
      <c r="A512" s="111" t="s">
        <v>67</v>
      </c>
      <c r="B512" s="111" t="s">
        <v>14</v>
      </c>
      <c r="C512" s="111" t="s">
        <v>542</v>
      </c>
      <c r="D512" s="111" t="s">
        <v>543</v>
      </c>
      <c r="E512" s="112">
        <f t="shared" si="765"/>
        <v>1</v>
      </c>
      <c r="F512" s="112">
        <f t="shared" si="766"/>
        <v>1</v>
      </c>
      <c r="G512" s="118">
        <f t="shared" ref="G512:G543" si="768">(COUNTIFS(L512,"&lt;="&amp;$C$1)*50%)+(COUNTIFS(O512,"&lt;="&amp;$C$1)*20%)+(COUNTIFS(R512,"&lt;="&amp;$C$1)*10%)+(COUNTIFS(U512,"&lt;="&amp;$C$1)*20%)</f>
        <v>0.7</v>
      </c>
      <c r="H512" s="118">
        <f t="shared" si="767"/>
        <v>-0.30000000000000004</v>
      </c>
      <c r="I512" s="119">
        <v>4.7E-2</v>
      </c>
      <c r="J512" s="114">
        <f t="shared" ref="J512:J543" si="769">J395+28</f>
        <v>46206</v>
      </c>
      <c r="K512" s="114">
        <f t="shared" si="744"/>
        <v>46206</v>
      </c>
      <c r="L512" s="143">
        <v>46157</v>
      </c>
      <c r="M512" s="115">
        <f t="shared" si="745"/>
        <v>46248</v>
      </c>
      <c r="N512" s="114">
        <f t="shared" si="746"/>
        <v>46248</v>
      </c>
      <c r="O512" s="114">
        <v>46205</v>
      </c>
      <c r="P512" s="115">
        <f t="shared" si="764"/>
        <v>46286</v>
      </c>
      <c r="Q512" s="114">
        <f t="shared" si="748"/>
        <v>46286</v>
      </c>
      <c r="R512" s="114"/>
      <c r="S512" s="114">
        <f t="shared" si="750"/>
        <v>46300</v>
      </c>
      <c r="T512" s="114">
        <f t="shared" si="749"/>
        <v>46300</v>
      </c>
      <c r="U512" s="114"/>
      <c r="V512" s="226"/>
      <c r="X512" s="168" t="str">
        <f t="shared" ca="1" si="760"/>
        <v>Completed</v>
      </c>
      <c r="Y512" s="168" t="str">
        <f t="shared" ca="1" si="761"/>
        <v>Completed</v>
      </c>
      <c r="Z512" s="168" t="str">
        <f t="shared" ca="1" si="762"/>
        <v>Overdue</v>
      </c>
      <c r="AA512" s="169" t="str">
        <f t="shared" ca="1" si="763"/>
        <v>Overdue</v>
      </c>
    </row>
    <row r="513" spans="1:27" s="70" customFormat="1" ht="11.5" x14ac:dyDescent="0.25">
      <c r="A513" s="111" t="s">
        <v>67</v>
      </c>
      <c r="B513" s="111" t="s">
        <v>14</v>
      </c>
      <c r="C513" s="111" t="s">
        <v>544</v>
      </c>
      <c r="D513" s="111" t="s">
        <v>545</v>
      </c>
      <c r="E513" s="112">
        <f t="shared" si="765"/>
        <v>0.7</v>
      </c>
      <c r="F513" s="112">
        <f t="shared" si="766"/>
        <v>0.7</v>
      </c>
      <c r="G513" s="118">
        <f t="shared" si="768"/>
        <v>0.79999999999999993</v>
      </c>
      <c r="H513" s="118">
        <f t="shared" si="767"/>
        <v>9.9999999999999978E-2</v>
      </c>
      <c r="I513" s="119">
        <v>4.7E-2</v>
      </c>
      <c r="J513" s="114">
        <f t="shared" si="769"/>
        <v>46227</v>
      </c>
      <c r="K513" s="114">
        <f t="shared" ref="K513:K587" si="770">J513</f>
        <v>46227</v>
      </c>
      <c r="L513" s="114">
        <v>46156</v>
      </c>
      <c r="M513" s="115">
        <f t="shared" ref="M513:M587" si="771">J513+42</f>
        <v>46269</v>
      </c>
      <c r="N513" s="114">
        <f t="shared" ref="N513:N587" si="772">M513</f>
        <v>46269</v>
      </c>
      <c r="O513" s="114">
        <v>46286</v>
      </c>
      <c r="P513" s="114">
        <f t="shared" ref="P513:P587" si="773">M513+42</f>
        <v>46311</v>
      </c>
      <c r="Q513" s="114">
        <f t="shared" ref="Q513:Q587" si="774">P513</f>
        <v>46311</v>
      </c>
      <c r="R513" s="114">
        <v>46295</v>
      </c>
      <c r="S513" s="114">
        <f t="shared" si="750"/>
        <v>46325</v>
      </c>
      <c r="T513" s="114">
        <f t="shared" ref="T513:T587" si="775">S513</f>
        <v>46325</v>
      </c>
      <c r="U513" s="114"/>
      <c r="V513" s="226" t="s">
        <v>1231</v>
      </c>
      <c r="X513" s="168" t="str">
        <f t="shared" ca="1" si="760"/>
        <v>Completed</v>
      </c>
      <c r="Y513" s="168" t="str">
        <f t="shared" ca="1" si="761"/>
        <v>Completed</v>
      </c>
      <c r="Z513" s="168" t="str">
        <f t="shared" ca="1" si="762"/>
        <v>Completed</v>
      </c>
      <c r="AA513" s="169" t="str">
        <f t="shared" ca="1" si="763"/>
        <v/>
      </c>
    </row>
    <row r="514" spans="1:27" s="70" customFormat="1" ht="11.5" x14ac:dyDescent="0.25">
      <c r="A514" s="111" t="s">
        <v>67</v>
      </c>
      <c r="B514" s="111" t="s">
        <v>14</v>
      </c>
      <c r="C514" s="111" t="s">
        <v>546</v>
      </c>
      <c r="D514" s="111" t="s">
        <v>547</v>
      </c>
      <c r="E514" s="112">
        <f t="shared" si="765"/>
        <v>0.7</v>
      </c>
      <c r="F514" s="112">
        <f t="shared" si="766"/>
        <v>0.7</v>
      </c>
      <c r="G514" s="118">
        <f t="shared" si="768"/>
        <v>1</v>
      </c>
      <c r="H514" s="118">
        <f t="shared" si="767"/>
        <v>0.30000000000000004</v>
      </c>
      <c r="I514" s="119">
        <v>4.7E-2</v>
      </c>
      <c r="J514" s="114">
        <f t="shared" si="769"/>
        <v>46227</v>
      </c>
      <c r="K514" s="114">
        <f t="shared" si="770"/>
        <v>46227</v>
      </c>
      <c r="L514" s="114">
        <v>46156</v>
      </c>
      <c r="M514" s="115">
        <f t="shared" si="771"/>
        <v>46269</v>
      </c>
      <c r="N514" s="114">
        <f t="shared" si="772"/>
        <v>46269</v>
      </c>
      <c r="O514" s="114">
        <v>46286</v>
      </c>
      <c r="P514" s="114">
        <f t="shared" si="773"/>
        <v>46311</v>
      </c>
      <c r="Q514" s="114">
        <f t="shared" si="774"/>
        <v>46311</v>
      </c>
      <c r="R514" s="114">
        <v>46295</v>
      </c>
      <c r="S514" s="114">
        <f t="shared" ref="S514:S588" si="776">P514+14</f>
        <v>46325</v>
      </c>
      <c r="T514" s="114">
        <f t="shared" si="775"/>
        <v>46325</v>
      </c>
      <c r="U514" s="160">
        <v>46300</v>
      </c>
      <c r="V514" s="226"/>
      <c r="X514" s="168" t="str">
        <f t="shared" ca="1" si="760"/>
        <v>Completed</v>
      </c>
      <c r="Y514" s="168" t="str">
        <f t="shared" ca="1" si="761"/>
        <v>Completed</v>
      </c>
      <c r="Z514" s="168" t="str">
        <f t="shared" ca="1" si="762"/>
        <v>Completed</v>
      </c>
      <c r="AA514" s="169" t="str">
        <f t="shared" ca="1" si="763"/>
        <v>Completed</v>
      </c>
    </row>
    <row r="515" spans="1:27" s="70" customFormat="1" ht="11.5" x14ac:dyDescent="0.25">
      <c r="A515" s="111" t="s">
        <v>67</v>
      </c>
      <c r="B515" s="111" t="s">
        <v>14</v>
      </c>
      <c r="C515" s="111" t="s">
        <v>548</v>
      </c>
      <c r="D515" s="111" t="s">
        <v>549</v>
      </c>
      <c r="E515" s="112">
        <f t="shared" si="765"/>
        <v>0.7</v>
      </c>
      <c r="F515" s="112">
        <f t="shared" si="766"/>
        <v>0.7</v>
      </c>
      <c r="G515" s="118">
        <f t="shared" si="768"/>
        <v>0.7</v>
      </c>
      <c r="H515" s="118">
        <f t="shared" si="767"/>
        <v>0</v>
      </c>
      <c r="I515" s="119">
        <v>4.7E-2</v>
      </c>
      <c r="J515" s="114">
        <f t="shared" si="769"/>
        <v>46227</v>
      </c>
      <c r="K515" s="114">
        <f t="shared" si="770"/>
        <v>46227</v>
      </c>
      <c r="L515" s="114">
        <v>46156</v>
      </c>
      <c r="M515" s="115">
        <f t="shared" si="771"/>
        <v>46269</v>
      </c>
      <c r="N515" s="114">
        <f t="shared" si="772"/>
        <v>46269</v>
      </c>
      <c r="O515" s="114">
        <v>46191</v>
      </c>
      <c r="P515" s="114">
        <f t="shared" si="773"/>
        <v>46311</v>
      </c>
      <c r="Q515" s="114">
        <f t="shared" si="774"/>
        <v>46311</v>
      </c>
      <c r="R515" s="114"/>
      <c r="S515" s="114">
        <f t="shared" si="776"/>
        <v>46325</v>
      </c>
      <c r="T515" s="114">
        <f t="shared" si="775"/>
        <v>46325</v>
      </c>
      <c r="U515" s="114"/>
      <c r="V515" s="226"/>
      <c r="X515" s="168" t="str">
        <f t="shared" ca="1" si="760"/>
        <v>Completed</v>
      </c>
      <c r="Y515" s="168" t="str">
        <f t="shared" ca="1" si="761"/>
        <v>Completed</v>
      </c>
      <c r="Z515" s="168" t="str">
        <f t="shared" ca="1" si="762"/>
        <v>Follow-Next Week</v>
      </c>
      <c r="AA515" s="169" t="str">
        <f t="shared" ca="1" si="763"/>
        <v/>
      </c>
    </row>
    <row r="516" spans="1:27" s="70" customFormat="1" ht="11.5" x14ac:dyDescent="0.25">
      <c r="A516" s="111" t="s">
        <v>67</v>
      </c>
      <c r="B516" s="111" t="s">
        <v>14</v>
      </c>
      <c r="C516" s="111" t="s">
        <v>550</v>
      </c>
      <c r="D516" s="111" t="s">
        <v>551</v>
      </c>
      <c r="E516" s="112">
        <f t="shared" si="765"/>
        <v>0.79999999999999993</v>
      </c>
      <c r="F516" s="112">
        <f t="shared" si="766"/>
        <v>0.79999999999999993</v>
      </c>
      <c r="G516" s="118">
        <f t="shared" si="768"/>
        <v>1</v>
      </c>
      <c r="H516" s="118">
        <f t="shared" si="767"/>
        <v>0.20000000000000007</v>
      </c>
      <c r="I516" s="119">
        <v>4.7E-2</v>
      </c>
      <c r="J516" s="114">
        <f t="shared" si="769"/>
        <v>46220</v>
      </c>
      <c r="K516" s="114">
        <f t="shared" si="770"/>
        <v>46220</v>
      </c>
      <c r="L516" s="114">
        <v>46178</v>
      </c>
      <c r="M516" s="115">
        <f t="shared" si="771"/>
        <v>46262</v>
      </c>
      <c r="N516" s="114">
        <f t="shared" si="772"/>
        <v>46262</v>
      </c>
      <c r="O516" s="115">
        <v>46266</v>
      </c>
      <c r="P516" s="114">
        <f t="shared" si="773"/>
        <v>46304</v>
      </c>
      <c r="Q516" s="114">
        <f t="shared" si="774"/>
        <v>46304</v>
      </c>
      <c r="R516" s="114">
        <v>46294</v>
      </c>
      <c r="S516" s="114">
        <f t="shared" si="776"/>
        <v>46318</v>
      </c>
      <c r="T516" s="114">
        <f t="shared" si="775"/>
        <v>46318</v>
      </c>
      <c r="U516" s="160">
        <v>46300</v>
      </c>
      <c r="V516" s="226"/>
      <c r="X516" s="168" t="str">
        <f t="shared" ca="1" si="760"/>
        <v>Completed</v>
      </c>
      <c r="Y516" s="168" t="str">
        <f t="shared" ca="1" si="761"/>
        <v>Completed</v>
      </c>
      <c r="Z516" s="168" t="str">
        <f t="shared" ca="1" si="762"/>
        <v>Completed</v>
      </c>
      <c r="AA516" s="169" t="str">
        <f t="shared" ca="1" si="763"/>
        <v>Completed</v>
      </c>
    </row>
    <row r="517" spans="1:27" s="70" customFormat="1" ht="11.5" x14ac:dyDescent="0.25">
      <c r="A517" s="111" t="s">
        <v>67</v>
      </c>
      <c r="B517" s="111" t="s">
        <v>14</v>
      </c>
      <c r="C517" s="111" t="s">
        <v>552</v>
      </c>
      <c r="D517" s="111" t="s">
        <v>553</v>
      </c>
      <c r="E517" s="112">
        <f t="shared" si="765"/>
        <v>0.7</v>
      </c>
      <c r="F517" s="112">
        <f t="shared" si="766"/>
        <v>0.7</v>
      </c>
      <c r="G517" s="112">
        <f t="shared" si="768"/>
        <v>0</v>
      </c>
      <c r="H517" s="112">
        <f t="shared" si="767"/>
        <v>-0.7</v>
      </c>
      <c r="I517" s="113">
        <v>4.7E-2</v>
      </c>
      <c r="J517" s="116">
        <f t="shared" si="769"/>
        <v>46227</v>
      </c>
      <c r="K517" s="116">
        <f t="shared" si="770"/>
        <v>46227</v>
      </c>
      <c r="L517" s="114"/>
      <c r="M517" s="115">
        <f t="shared" si="771"/>
        <v>46269</v>
      </c>
      <c r="N517" s="116">
        <f t="shared" si="772"/>
        <v>46269</v>
      </c>
      <c r="O517" s="114"/>
      <c r="P517" s="114">
        <f t="shared" si="773"/>
        <v>46311</v>
      </c>
      <c r="Q517" s="116">
        <f t="shared" si="774"/>
        <v>46311</v>
      </c>
      <c r="R517" s="114"/>
      <c r="S517" s="114">
        <f t="shared" si="776"/>
        <v>46325</v>
      </c>
      <c r="T517" s="116">
        <f t="shared" si="775"/>
        <v>46325</v>
      </c>
      <c r="U517" s="114"/>
      <c r="V517" s="226"/>
      <c r="X517" s="168" t="str">
        <f t="shared" ca="1" si="760"/>
        <v>Overdue</v>
      </c>
      <c r="Y517" s="168" t="str">
        <f t="shared" ca="1" si="761"/>
        <v>Overdue</v>
      </c>
      <c r="Z517" s="168" t="str">
        <f t="shared" ca="1" si="762"/>
        <v>Follow-Next Week</v>
      </c>
      <c r="AA517" s="169" t="str">
        <f t="shared" ca="1" si="763"/>
        <v/>
      </c>
    </row>
    <row r="518" spans="1:27" s="70" customFormat="1" ht="11.5" x14ac:dyDescent="0.25">
      <c r="A518" s="111" t="s">
        <v>67</v>
      </c>
      <c r="B518" s="111" t="s">
        <v>14</v>
      </c>
      <c r="C518" s="111" t="s">
        <v>554</v>
      </c>
      <c r="D518" s="111" t="s">
        <v>555</v>
      </c>
      <c r="E518" s="112">
        <f t="shared" si="765"/>
        <v>0.79999999999999993</v>
      </c>
      <c r="F518" s="112">
        <f t="shared" si="766"/>
        <v>0.79999999999999993</v>
      </c>
      <c r="G518" s="112">
        <f t="shared" si="768"/>
        <v>0.7</v>
      </c>
      <c r="H518" s="112">
        <f t="shared" si="767"/>
        <v>-9.9999999999999978E-2</v>
      </c>
      <c r="I518" s="113">
        <v>4.7E-2</v>
      </c>
      <c r="J518" s="116">
        <f t="shared" si="769"/>
        <v>46220</v>
      </c>
      <c r="K518" s="116">
        <f t="shared" si="770"/>
        <v>46220</v>
      </c>
      <c r="L518" s="114">
        <v>46205</v>
      </c>
      <c r="M518" s="115">
        <f t="shared" si="771"/>
        <v>46262</v>
      </c>
      <c r="N518" s="116">
        <f t="shared" si="772"/>
        <v>46262</v>
      </c>
      <c r="O518" s="115">
        <v>46283</v>
      </c>
      <c r="P518" s="114">
        <f t="shared" si="773"/>
        <v>46304</v>
      </c>
      <c r="Q518" s="116">
        <f t="shared" si="774"/>
        <v>46304</v>
      </c>
      <c r="R518" s="114"/>
      <c r="S518" s="114">
        <f t="shared" si="776"/>
        <v>46318</v>
      </c>
      <c r="T518" s="116">
        <f t="shared" si="775"/>
        <v>46318</v>
      </c>
      <c r="U518" s="114"/>
      <c r="V518" s="226"/>
      <c r="X518" s="168" t="str">
        <f t="shared" ca="1" si="760"/>
        <v>Completed</v>
      </c>
      <c r="Y518" s="168" t="str">
        <f t="shared" ca="1" si="761"/>
        <v>Completed</v>
      </c>
      <c r="Z518" s="168" t="str">
        <f t="shared" ca="1" si="762"/>
        <v>Overdue</v>
      </c>
      <c r="AA518" s="169" t="str">
        <f t="shared" ca="1" si="763"/>
        <v/>
      </c>
    </row>
    <row r="519" spans="1:27" s="70" customFormat="1" ht="11.5" x14ac:dyDescent="0.25">
      <c r="A519" s="111" t="s">
        <v>67</v>
      </c>
      <c r="B519" s="111" t="s">
        <v>14</v>
      </c>
      <c r="C519" s="111" t="s">
        <v>556</v>
      </c>
      <c r="D519" s="111" t="s">
        <v>557</v>
      </c>
      <c r="E519" s="112">
        <f t="shared" si="765"/>
        <v>0.79999999999999993</v>
      </c>
      <c r="F519" s="112">
        <f t="shared" si="766"/>
        <v>0.79999999999999993</v>
      </c>
      <c r="G519" s="112">
        <f t="shared" si="768"/>
        <v>0.7</v>
      </c>
      <c r="H519" s="112">
        <f t="shared" si="767"/>
        <v>-9.9999999999999978E-2</v>
      </c>
      <c r="I519" s="113">
        <v>4.7E-2</v>
      </c>
      <c r="J519" s="114">
        <f t="shared" si="769"/>
        <v>46220</v>
      </c>
      <c r="K519" s="114">
        <f t="shared" si="770"/>
        <v>46220</v>
      </c>
      <c r="L519" s="114">
        <v>46205</v>
      </c>
      <c r="M519" s="115">
        <f t="shared" si="771"/>
        <v>46262</v>
      </c>
      <c r="N519" s="114">
        <f t="shared" si="772"/>
        <v>46262</v>
      </c>
      <c r="O519" s="115">
        <v>46283</v>
      </c>
      <c r="P519" s="114">
        <f t="shared" si="773"/>
        <v>46304</v>
      </c>
      <c r="Q519" s="114">
        <f t="shared" si="774"/>
        <v>46304</v>
      </c>
      <c r="R519" s="114"/>
      <c r="S519" s="114">
        <f t="shared" si="776"/>
        <v>46318</v>
      </c>
      <c r="T519" s="114">
        <f t="shared" si="775"/>
        <v>46318</v>
      </c>
      <c r="U519" s="114"/>
      <c r="V519" s="226"/>
      <c r="X519" s="168" t="str">
        <f t="shared" ca="1" si="760"/>
        <v>Completed</v>
      </c>
      <c r="Y519" s="168" t="str">
        <f t="shared" ca="1" si="761"/>
        <v>Completed</v>
      </c>
      <c r="Z519" s="168" t="str">
        <f t="shared" ca="1" si="762"/>
        <v>Overdue</v>
      </c>
      <c r="AA519" s="169" t="str">
        <f t="shared" ca="1" si="763"/>
        <v/>
      </c>
    </row>
    <row r="520" spans="1:27" s="70" customFormat="1" ht="11.5" x14ac:dyDescent="0.25">
      <c r="A520" s="111" t="s">
        <v>67</v>
      </c>
      <c r="B520" s="111" t="s">
        <v>14</v>
      </c>
      <c r="C520" s="111" t="s">
        <v>828</v>
      </c>
      <c r="D520" s="111" t="s">
        <v>807</v>
      </c>
      <c r="E520" s="112">
        <f t="shared" si="765"/>
        <v>0.7</v>
      </c>
      <c r="F520" s="112">
        <f t="shared" si="766"/>
        <v>0.7</v>
      </c>
      <c r="G520" s="112">
        <f t="shared" si="768"/>
        <v>1</v>
      </c>
      <c r="H520" s="112">
        <f t="shared" si="767"/>
        <v>0.30000000000000004</v>
      </c>
      <c r="I520" s="113">
        <v>4.7E-2</v>
      </c>
      <c r="J520" s="114">
        <f t="shared" si="769"/>
        <v>46234</v>
      </c>
      <c r="K520" s="114">
        <f t="shared" si="770"/>
        <v>46234</v>
      </c>
      <c r="L520" s="114">
        <v>46182</v>
      </c>
      <c r="M520" s="115">
        <f t="shared" si="771"/>
        <v>46276</v>
      </c>
      <c r="N520" s="114">
        <f t="shared" si="772"/>
        <v>46276</v>
      </c>
      <c r="O520" s="114">
        <v>46191</v>
      </c>
      <c r="P520" s="114">
        <f t="shared" si="773"/>
        <v>46318</v>
      </c>
      <c r="Q520" s="114">
        <f t="shared" si="774"/>
        <v>46318</v>
      </c>
      <c r="R520" s="115">
        <v>46252</v>
      </c>
      <c r="S520" s="114">
        <f t="shared" si="776"/>
        <v>46332</v>
      </c>
      <c r="T520" s="114">
        <f t="shared" si="775"/>
        <v>46332</v>
      </c>
      <c r="U520" s="114">
        <v>46262</v>
      </c>
      <c r="V520" s="226"/>
      <c r="X520" s="168" t="str">
        <f t="shared" ca="1" si="760"/>
        <v>Completed</v>
      </c>
      <c r="Y520" s="168" t="str">
        <f t="shared" ca="1" si="761"/>
        <v>Completed</v>
      </c>
      <c r="Z520" s="168" t="str">
        <f t="shared" ca="1" si="762"/>
        <v>Completed</v>
      </c>
      <c r="AA520" s="169" t="str">
        <f t="shared" ca="1" si="763"/>
        <v>Completed</v>
      </c>
    </row>
    <row r="521" spans="1:27" s="70" customFormat="1" ht="11.5" x14ac:dyDescent="0.25">
      <c r="A521" s="111" t="s">
        <v>67</v>
      </c>
      <c r="B521" s="111" t="s">
        <v>14</v>
      </c>
      <c r="C521" s="111" t="s">
        <v>829</v>
      </c>
      <c r="D521" s="111" t="s">
        <v>808</v>
      </c>
      <c r="E521" s="112">
        <f t="shared" si="765"/>
        <v>0.7</v>
      </c>
      <c r="F521" s="112">
        <f t="shared" si="766"/>
        <v>0.7</v>
      </c>
      <c r="G521" s="112">
        <f t="shared" si="768"/>
        <v>1</v>
      </c>
      <c r="H521" s="112">
        <f t="shared" si="767"/>
        <v>0.30000000000000004</v>
      </c>
      <c r="I521" s="113">
        <v>4.7E-2</v>
      </c>
      <c r="J521" s="114">
        <f t="shared" si="769"/>
        <v>46234</v>
      </c>
      <c r="K521" s="114">
        <f t="shared" si="770"/>
        <v>46234</v>
      </c>
      <c r="L521" s="114">
        <v>46182</v>
      </c>
      <c r="M521" s="115">
        <f t="shared" si="771"/>
        <v>46276</v>
      </c>
      <c r="N521" s="114">
        <f t="shared" si="772"/>
        <v>46276</v>
      </c>
      <c r="O521" s="114">
        <v>46191</v>
      </c>
      <c r="P521" s="114">
        <f t="shared" si="773"/>
        <v>46318</v>
      </c>
      <c r="Q521" s="114">
        <f t="shared" si="774"/>
        <v>46318</v>
      </c>
      <c r="R521" s="115">
        <v>46252</v>
      </c>
      <c r="S521" s="114">
        <f t="shared" si="776"/>
        <v>46332</v>
      </c>
      <c r="T521" s="114">
        <f t="shared" si="775"/>
        <v>46332</v>
      </c>
      <c r="U521" s="114">
        <v>46262</v>
      </c>
      <c r="V521" s="226"/>
      <c r="X521" s="168" t="str">
        <f t="shared" ca="1" si="760"/>
        <v>Completed</v>
      </c>
      <c r="Y521" s="168" t="str">
        <f t="shared" ca="1" si="761"/>
        <v>Completed</v>
      </c>
      <c r="Z521" s="168" t="str">
        <f t="shared" ca="1" si="762"/>
        <v>Completed</v>
      </c>
      <c r="AA521" s="169" t="str">
        <f t="shared" ca="1" si="763"/>
        <v>Completed</v>
      </c>
    </row>
    <row r="522" spans="1:27" s="70" customFormat="1" ht="11.5" x14ac:dyDescent="0.25">
      <c r="A522" s="111" t="s">
        <v>67</v>
      </c>
      <c r="B522" s="111" t="s">
        <v>14</v>
      </c>
      <c r="C522" s="111" t="s">
        <v>830</v>
      </c>
      <c r="D522" s="111" t="s">
        <v>809</v>
      </c>
      <c r="E522" s="112">
        <f t="shared" si="765"/>
        <v>0.7</v>
      </c>
      <c r="F522" s="112">
        <f t="shared" si="766"/>
        <v>0.7</v>
      </c>
      <c r="G522" s="112">
        <f t="shared" si="768"/>
        <v>1</v>
      </c>
      <c r="H522" s="112">
        <f t="shared" si="767"/>
        <v>0.30000000000000004</v>
      </c>
      <c r="I522" s="113">
        <v>4.7E-2</v>
      </c>
      <c r="J522" s="114">
        <f t="shared" si="769"/>
        <v>46234</v>
      </c>
      <c r="K522" s="114">
        <f t="shared" si="770"/>
        <v>46234</v>
      </c>
      <c r="L522" s="114">
        <v>46182</v>
      </c>
      <c r="M522" s="115">
        <f t="shared" si="771"/>
        <v>46276</v>
      </c>
      <c r="N522" s="114">
        <f t="shared" si="772"/>
        <v>46276</v>
      </c>
      <c r="O522" s="114">
        <v>46191</v>
      </c>
      <c r="P522" s="114">
        <f t="shared" si="773"/>
        <v>46318</v>
      </c>
      <c r="Q522" s="114">
        <f t="shared" si="774"/>
        <v>46318</v>
      </c>
      <c r="R522" s="115">
        <v>46252</v>
      </c>
      <c r="S522" s="114">
        <f t="shared" si="776"/>
        <v>46332</v>
      </c>
      <c r="T522" s="114">
        <f t="shared" si="775"/>
        <v>46332</v>
      </c>
      <c r="U522" s="114">
        <v>46262</v>
      </c>
      <c r="V522" s="226"/>
      <c r="X522" s="168" t="str">
        <f t="shared" ca="1" si="760"/>
        <v>Completed</v>
      </c>
      <c r="Y522" s="168" t="str">
        <f t="shared" ca="1" si="761"/>
        <v>Completed</v>
      </c>
      <c r="Z522" s="168" t="str">
        <f t="shared" ca="1" si="762"/>
        <v>Completed</v>
      </c>
      <c r="AA522" s="169" t="str">
        <f t="shared" ca="1" si="763"/>
        <v>Completed</v>
      </c>
    </row>
    <row r="523" spans="1:27" s="70" customFormat="1" ht="11.5" x14ac:dyDescent="0.25">
      <c r="A523" s="111" t="s">
        <v>67</v>
      </c>
      <c r="B523" s="111" t="s">
        <v>14</v>
      </c>
      <c r="C523" s="111" t="s">
        <v>831</v>
      </c>
      <c r="D523" s="111" t="s">
        <v>810</v>
      </c>
      <c r="E523" s="112">
        <f t="shared" si="765"/>
        <v>0.7</v>
      </c>
      <c r="F523" s="112">
        <f t="shared" si="766"/>
        <v>0.7</v>
      </c>
      <c r="G523" s="112">
        <f t="shared" si="768"/>
        <v>1</v>
      </c>
      <c r="H523" s="112">
        <f t="shared" si="767"/>
        <v>0.30000000000000004</v>
      </c>
      <c r="I523" s="113">
        <v>4.7E-2</v>
      </c>
      <c r="J523" s="114">
        <f t="shared" si="769"/>
        <v>46234</v>
      </c>
      <c r="K523" s="114">
        <f t="shared" si="770"/>
        <v>46234</v>
      </c>
      <c r="L523" s="114">
        <v>46182</v>
      </c>
      <c r="M523" s="115">
        <f t="shared" si="771"/>
        <v>46276</v>
      </c>
      <c r="N523" s="114">
        <f t="shared" si="772"/>
        <v>46276</v>
      </c>
      <c r="O523" s="114">
        <v>46191</v>
      </c>
      <c r="P523" s="114">
        <f t="shared" si="773"/>
        <v>46318</v>
      </c>
      <c r="Q523" s="114">
        <f t="shared" si="774"/>
        <v>46318</v>
      </c>
      <c r="R523" s="115">
        <v>46252</v>
      </c>
      <c r="S523" s="114">
        <f t="shared" si="776"/>
        <v>46332</v>
      </c>
      <c r="T523" s="114">
        <f t="shared" si="775"/>
        <v>46332</v>
      </c>
      <c r="U523" s="114">
        <v>46262</v>
      </c>
      <c r="V523" s="226"/>
      <c r="X523" s="168" t="str">
        <f t="shared" ca="1" si="760"/>
        <v>Completed</v>
      </c>
      <c r="Y523" s="168" t="str">
        <f t="shared" ca="1" si="761"/>
        <v>Completed</v>
      </c>
      <c r="Z523" s="168" t="str">
        <f t="shared" ca="1" si="762"/>
        <v>Completed</v>
      </c>
      <c r="AA523" s="169" t="str">
        <f t="shared" ca="1" si="763"/>
        <v>Completed</v>
      </c>
    </row>
    <row r="524" spans="1:27" s="70" customFormat="1" ht="11.5" x14ac:dyDescent="0.25">
      <c r="A524" s="111" t="s">
        <v>67</v>
      </c>
      <c r="B524" s="111" t="s">
        <v>14</v>
      </c>
      <c r="C524" s="111" t="s">
        <v>832</v>
      </c>
      <c r="D524" s="111" t="s">
        <v>811</v>
      </c>
      <c r="E524" s="112">
        <f t="shared" si="765"/>
        <v>0.7</v>
      </c>
      <c r="F524" s="112">
        <f t="shared" si="766"/>
        <v>0.7</v>
      </c>
      <c r="G524" s="112">
        <f t="shared" si="768"/>
        <v>1</v>
      </c>
      <c r="H524" s="112">
        <f t="shared" si="767"/>
        <v>0.30000000000000004</v>
      </c>
      <c r="I524" s="113">
        <v>4.7E-2</v>
      </c>
      <c r="J524" s="114">
        <f t="shared" si="769"/>
        <v>46234</v>
      </c>
      <c r="K524" s="114">
        <f t="shared" si="770"/>
        <v>46234</v>
      </c>
      <c r="L524" s="114">
        <v>46182</v>
      </c>
      <c r="M524" s="115">
        <f t="shared" si="771"/>
        <v>46276</v>
      </c>
      <c r="N524" s="114">
        <f t="shared" si="772"/>
        <v>46276</v>
      </c>
      <c r="O524" s="114">
        <v>46191</v>
      </c>
      <c r="P524" s="114">
        <f t="shared" si="773"/>
        <v>46318</v>
      </c>
      <c r="Q524" s="114">
        <f t="shared" si="774"/>
        <v>46318</v>
      </c>
      <c r="R524" s="115">
        <v>46252</v>
      </c>
      <c r="S524" s="114">
        <f t="shared" si="776"/>
        <v>46332</v>
      </c>
      <c r="T524" s="114">
        <f t="shared" si="775"/>
        <v>46332</v>
      </c>
      <c r="U524" s="114">
        <v>46262</v>
      </c>
      <c r="V524" s="226"/>
      <c r="X524" s="168" t="str">
        <f t="shared" ca="1" si="760"/>
        <v>Completed</v>
      </c>
      <c r="Y524" s="168" t="str">
        <f t="shared" ca="1" si="761"/>
        <v>Completed</v>
      </c>
      <c r="Z524" s="168" t="str">
        <f t="shared" ca="1" si="762"/>
        <v>Completed</v>
      </c>
      <c r="AA524" s="169" t="str">
        <f t="shared" ca="1" si="763"/>
        <v>Completed</v>
      </c>
    </row>
    <row r="525" spans="1:27" s="70" customFormat="1" ht="11.5" x14ac:dyDescent="0.25">
      <c r="A525" s="111" t="s">
        <v>67</v>
      </c>
      <c r="B525" s="111" t="s">
        <v>14</v>
      </c>
      <c r="C525" s="111" t="s">
        <v>833</v>
      </c>
      <c r="D525" s="111" t="s">
        <v>812</v>
      </c>
      <c r="E525" s="112">
        <f t="shared" si="765"/>
        <v>0.7</v>
      </c>
      <c r="F525" s="112">
        <f t="shared" si="766"/>
        <v>0.7</v>
      </c>
      <c r="G525" s="112">
        <f t="shared" si="768"/>
        <v>1</v>
      </c>
      <c r="H525" s="112">
        <f t="shared" si="767"/>
        <v>0.30000000000000004</v>
      </c>
      <c r="I525" s="113">
        <v>4.7E-2</v>
      </c>
      <c r="J525" s="114">
        <f t="shared" si="769"/>
        <v>46234</v>
      </c>
      <c r="K525" s="114">
        <f t="shared" si="770"/>
        <v>46234</v>
      </c>
      <c r="L525" s="143">
        <v>46162</v>
      </c>
      <c r="M525" s="115">
        <f t="shared" si="771"/>
        <v>46276</v>
      </c>
      <c r="N525" s="114">
        <f t="shared" si="772"/>
        <v>46276</v>
      </c>
      <c r="O525" s="114">
        <v>46191</v>
      </c>
      <c r="P525" s="114">
        <f t="shared" si="773"/>
        <v>46318</v>
      </c>
      <c r="Q525" s="114">
        <f t="shared" si="774"/>
        <v>46318</v>
      </c>
      <c r="R525" s="115">
        <v>46252</v>
      </c>
      <c r="S525" s="114">
        <f t="shared" si="776"/>
        <v>46332</v>
      </c>
      <c r="T525" s="114">
        <f t="shared" si="775"/>
        <v>46332</v>
      </c>
      <c r="U525" s="114">
        <v>46262</v>
      </c>
      <c r="V525" s="226"/>
      <c r="X525" s="168" t="str">
        <f t="shared" ca="1" si="760"/>
        <v>Completed</v>
      </c>
      <c r="Y525" s="168" t="str">
        <f t="shared" ca="1" si="761"/>
        <v>Completed</v>
      </c>
      <c r="Z525" s="168" t="str">
        <f t="shared" ca="1" si="762"/>
        <v>Completed</v>
      </c>
      <c r="AA525" s="169" t="str">
        <f t="shared" ca="1" si="763"/>
        <v>Completed</v>
      </c>
    </row>
    <row r="526" spans="1:27" s="70" customFormat="1" ht="11.5" x14ac:dyDescent="0.25">
      <c r="A526" s="111" t="s">
        <v>67</v>
      </c>
      <c r="B526" s="111" t="s">
        <v>14</v>
      </c>
      <c r="C526" s="111" t="s">
        <v>834</v>
      </c>
      <c r="D526" s="111" t="s">
        <v>813</v>
      </c>
      <c r="E526" s="112">
        <f t="shared" si="765"/>
        <v>0.7</v>
      </c>
      <c r="F526" s="112">
        <f t="shared" si="766"/>
        <v>0.7</v>
      </c>
      <c r="G526" s="112">
        <f t="shared" si="768"/>
        <v>1</v>
      </c>
      <c r="H526" s="112">
        <f t="shared" si="767"/>
        <v>0.30000000000000004</v>
      </c>
      <c r="I526" s="113">
        <v>4.7E-2</v>
      </c>
      <c r="J526" s="114">
        <f t="shared" si="769"/>
        <v>46234</v>
      </c>
      <c r="K526" s="114">
        <f t="shared" si="770"/>
        <v>46234</v>
      </c>
      <c r="L526" s="143">
        <v>46162</v>
      </c>
      <c r="M526" s="115">
        <f t="shared" si="771"/>
        <v>46276</v>
      </c>
      <c r="N526" s="114">
        <f t="shared" si="772"/>
        <v>46276</v>
      </c>
      <c r="O526" s="114">
        <v>46191</v>
      </c>
      <c r="P526" s="114">
        <f t="shared" si="773"/>
        <v>46318</v>
      </c>
      <c r="Q526" s="114">
        <f t="shared" si="774"/>
        <v>46318</v>
      </c>
      <c r="R526" s="115">
        <v>46252</v>
      </c>
      <c r="S526" s="114">
        <f t="shared" si="776"/>
        <v>46332</v>
      </c>
      <c r="T526" s="114">
        <f t="shared" si="775"/>
        <v>46332</v>
      </c>
      <c r="U526" s="114">
        <v>46262</v>
      </c>
      <c r="V526" s="226"/>
      <c r="X526" s="168" t="str">
        <f t="shared" ca="1" si="760"/>
        <v>Completed</v>
      </c>
      <c r="Y526" s="168" t="str">
        <f t="shared" ca="1" si="761"/>
        <v>Completed</v>
      </c>
      <c r="Z526" s="168" t="str">
        <f t="shared" ca="1" si="762"/>
        <v>Completed</v>
      </c>
      <c r="AA526" s="169" t="str">
        <f t="shared" ca="1" si="763"/>
        <v>Completed</v>
      </c>
    </row>
    <row r="527" spans="1:27" s="70" customFormat="1" ht="11.5" x14ac:dyDescent="0.25">
      <c r="A527" s="111" t="s">
        <v>67</v>
      </c>
      <c r="B527" s="111" t="s">
        <v>14</v>
      </c>
      <c r="C527" s="111" t="s">
        <v>835</v>
      </c>
      <c r="D527" s="111" t="s">
        <v>814</v>
      </c>
      <c r="E527" s="112">
        <f t="shared" si="765"/>
        <v>0.7</v>
      </c>
      <c r="F527" s="112">
        <f t="shared" si="766"/>
        <v>0.7</v>
      </c>
      <c r="G527" s="112">
        <f t="shared" si="768"/>
        <v>1</v>
      </c>
      <c r="H527" s="112">
        <f t="shared" si="767"/>
        <v>0.30000000000000004</v>
      </c>
      <c r="I527" s="113">
        <v>4.7E-2</v>
      </c>
      <c r="J527" s="114">
        <f t="shared" si="769"/>
        <v>46234</v>
      </c>
      <c r="K527" s="114">
        <f t="shared" si="770"/>
        <v>46234</v>
      </c>
      <c r="L527" s="143">
        <v>46162</v>
      </c>
      <c r="M527" s="115">
        <f t="shared" si="771"/>
        <v>46276</v>
      </c>
      <c r="N527" s="114">
        <f t="shared" si="772"/>
        <v>46276</v>
      </c>
      <c r="O527" s="114">
        <v>46191</v>
      </c>
      <c r="P527" s="114">
        <f t="shared" si="773"/>
        <v>46318</v>
      </c>
      <c r="Q527" s="114">
        <f t="shared" si="774"/>
        <v>46318</v>
      </c>
      <c r="R527" s="115">
        <v>46252</v>
      </c>
      <c r="S527" s="114">
        <f t="shared" si="776"/>
        <v>46332</v>
      </c>
      <c r="T527" s="114">
        <f t="shared" si="775"/>
        <v>46332</v>
      </c>
      <c r="U527" s="114">
        <v>46262</v>
      </c>
      <c r="V527" s="226"/>
      <c r="X527" s="168" t="str">
        <f t="shared" ca="1" si="760"/>
        <v>Completed</v>
      </c>
      <c r="Y527" s="168" t="str">
        <f t="shared" ca="1" si="761"/>
        <v>Completed</v>
      </c>
      <c r="Z527" s="168" t="str">
        <f t="shared" ca="1" si="762"/>
        <v>Completed</v>
      </c>
      <c r="AA527" s="169" t="str">
        <f t="shared" ca="1" si="763"/>
        <v>Completed</v>
      </c>
    </row>
    <row r="528" spans="1:27" s="70" customFormat="1" ht="11.5" x14ac:dyDescent="0.25">
      <c r="A528" s="111" t="s">
        <v>67</v>
      </c>
      <c r="B528" s="111" t="s">
        <v>14</v>
      </c>
      <c r="C528" s="111" t="s">
        <v>836</v>
      </c>
      <c r="D528" s="111" t="s">
        <v>815</v>
      </c>
      <c r="E528" s="112">
        <f t="shared" si="765"/>
        <v>0.7</v>
      </c>
      <c r="F528" s="112">
        <f t="shared" si="766"/>
        <v>0.7</v>
      </c>
      <c r="G528" s="112">
        <f t="shared" si="768"/>
        <v>1</v>
      </c>
      <c r="H528" s="112">
        <f t="shared" si="767"/>
        <v>0.30000000000000004</v>
      </c>
      <c r="I528" s="113">
        <v>4.7E-2</v>
      </c>
      <c r="J528" s="114">
        <f t="shared" si="769"/>
        <v>46234</v>
      </c>
      <c r="K528" s="114">
        <f t="shared" si="770"/>
        <v>46234</v>
      </c>
      <c r="L528" s="143">
        <v>46162</v>
      </c>
      <c r="M528" s="115">
        <f t="shared" si="771"/>
        <v>46276</v>
      </c>
      <c r="N528" s="114">
        <f t="shared" si="772"/>
        <v>46276</v>
      </c>
      <c r="O528" s="114">
        <v>46191</v>
      </c>
      <c r="P528" s="114">
        <f t="shared" si="773"/>
        <v>46318</v>
      </c>
      <c r="Q528" s="114">
        <f t="shared" si="774"/>
        <v>46318</v>
      </c>
      <c r="R528" s="115">
        <v>46252</v>
      </c>
      <c r="S528" s="114">
        <f t="shared" si="776"/>
        <v>46332</v>
      </c>
      <c r="T528" s="114">
        <f t="shared" si="775"/>
        <v>46332</v>
      </c>
      <c r="U528" s="114">
        <v>46262</v>
      </c>
      <c r="V528" s="226"/>
      <c r="X528" s="168" t="str">
        <f t="shared" ca="1" si="760"/>
        <v>Completed</v>
      </c>
      <c r="Y528" s="168" t="str">
        <f t="shared" ca="1" si="761"/>
        <v>Completed</v>
      </c>
      <c r="Z528" s="168" t="str">
        <f t="shared" ca="1" si="762"/>
        <v>Completed</v>
      </c>
      <c r="AA528" s="169" t="str">
        <f t="shared" ca="1" si="763"/>
        <v>Completed</v>
      </c>
    </row>
    <row r="529" spans="1:27" s="70" customFormat="1" ht="11.5" x14ac:dyDescent="0.25">
      <c r="A529" s="111" t="s">
        <v>67</v>
      </c>
      <c r="B529" s="111" t="s">
        <v>14</v>
      </c>
      <c r="C529" s="111" t="s">
        <v>837</v>
      </c>
      <c r="D529" s="111" t="s">
        <v>816</v>
      </c>
      <c r="E529" s="112">
        <f t="shared" si="765"/>
        <v>0.7</v>
      </c>
      <c r="F529" s="112">
        <f t="shared" si="766"/>
        <v>0.7</v>
      </c>
      <c r="G529" s="112">
        <f t="shared" si="768"/>
        <v>1</v>
      </c>
      <c r="H529" s="112">
        <f t="shared" si="767"/>
        <v>0.30000000000000004</v>
      </c>
      <c r="I529" s="113">
        <v>4.7E-2</v>
      </c>
      <c r="J529" s="114">
        <f t="shared" si="769"/>
        <v>46234</v>
      </c>
      <c r="K529" s="114">
        <f t="shared" si="770"/>
        <v>46234</v>
      </c>
      <c r="L529" s="143">
        <v>46162</v>
      </c>
      <c r="M529" s="115">
        <f t="shared" si="771"/>
        <v>46276</v>
      </c>
      <c r="N529" s="114">
        <f t="shared" si="772"/>
        <v>46276</v>
      </c>
      <c r="O529" s="114">
        <v>46191</v>
      </c>
      <c r="P529" s="114">
        <f t="shared" si="773"/>
        <v>46318</v>
      </c>
      <c r="Q529" s="114">
        <f t="shared" si="774"/>
        <v>46318</v>
      </c>
      <c r="R529" s="115">
        <v>46252</v>
      </c>
      <c r="S529" s="114">
        <f t="shared" si="776"/>
        <v>46332</v>
      </c>
      <c r="T529" s="114">
        <f t="shared" si="775"/>
        <v>46332</v>
      </c>
      <c r="U529" s="114">
        <v>46262</v>
      </c>
      <c r="V529" s="226"/>
      <c r="X529" s="168" t="str">
        <f t="shared" ca="1" si="760"/>
        <v>Completed</v>
      </c>
      <c r="Y529" s="168" t="str">
        <f t="shared" ca="1" si="761"/>
        <v>Completed</v>
      </c>
      <c r="Z529" s="168" t="str">
        <f t="shared" ca="1" si="762"/>
        <v>Completed</v>
      </c>
      <c r="AA529" s="169" t="str">
        <f t="shared" ca="1" si="763"/>
        <v>Completed</v>
      </c>
    </row>
    <row r="530" spans="1:27" s="70" customFormat="1" ht="11.5" x14ac:dyDescent="0.25">
      <c r="A530" s="111" t="s">
        <v>67</v>
      </c>
      <c r="B530" s="111" t="s">
        <v>14</v>
      </c>
      <c r="C530" s="111" t="s">
        <v>838</v>
      </c>
      <c r="D530" s="111" t="s">
        <v>817</v>
      </c>
      <c r="E530" s="112">
        <f t="shared" si="765"/>
        <v>0.7</v>
      </c>
      <c r="F530" s="112">
        <f t="shared" si="766"/>
        <v>0.7</v>
      </c>
      <c r="G530" s="112">
        <f t="shared" si="768"/>
        <v>1</v>
      </c>
      <c r="H530" s="112">
        <f t="shared" si="767"/>
        <v>0.30000000000000004</v>
      </c>
      <c r="I530" s="113">
        <v>4.7E-2</v>
      </c>
      <c r="J530" s="114">
        <f t="shared" si="769"/>
        <v>46234</v>
      </c>
      <c r="K530" s="114">
        <f t="shared" si="770"/>
        <v>46234</v>
      </c>
      <c r="L530" s="143">
        <v>46162</v>
      </c>
      <c r="M530" s="115">
        <f t="shared" si="771"/>
        <v>46276</v>
      </c>
      <c r="N530" s="114">
        <f t="shared" si="772"/>
        <v>46276</v>
      </c>
      <c r="O530" s="114">
        <v>46191</v>
      </c>
      <c r="P530" s="114">
        <f t="shared" si="773"/>
        <v>46318</v>
      </c>
      <c r="Q530" s="114">
        <f t="shared" si="774"/>
        <v>46318</v>
      </c>
      <c r="R530" s="115">
        <v>46252</v>
      </c>
      <c r="S530" s="114">
        <f t="shared" si="776"/>
        <v>46332</v>
      </c>
      <c r="T530" s="114">
        <f t="shared" si="775"/>
        <v>46332</v>
      </c>
      <c r="U530" s="114">
        <v>46262</v>
      </c>
      <c r="V530" s="226"/>
      <c r="X530" s="168" t="str">
        <f t="shared" ca="1" si="760"/>
        <v>Completed</v>
      </c>
      <c r="Y530" s="168" t="str">
        <f t="shared" ca="1" si="761"/>
        <v>Completed</v>
      </c>
      <c r="Z530" s="168" t="str">
        <f t="shared" ca="1" si="762"/>
        <v>Completed</v>
      </c>
      <c r="AA530" s="169" t="str">
        <f t="shared" ca="1" si="763"/>
        <v>Completed</v>
      </c>
    </row>
    <row r="531" spans="1:27" s="70" customFormat="1" ht="11.5" x14ac:dyDescent="0.25">
      <c r="A531" s="111" t="s">
        <v>67</v>
      </c>
      <c r="B531" s="111" t="s">
        <v>14</v>
      </c>
      <c r="C531" s="111" t="s">
        <v>839</v>
      </c>
      <c r="D531" s="111" t="s">
        <v>818</v>
      </c>
      <c r="E531" s="112">
        <f t="shared" si="765"/>
        <v>0.7</v>
      </c>
      <c r="F531" s="112">
        <f t="shared" si="766"/>
        <v>0.7</v>
      </c>
      <c r="G531" s="112">
        <f t="shared" si="768"/>
        <v>1</v>
      </c>
      <c r="H531" s="112">
        <f t="shared" si="767"/>
        <v>0.30000000000000004</v>
      </c>
      <c r="I531" s="113">
        <v>4.7E-2</v>
      </c>
      <c r="J531" s="114">
        <f t="shared" si="769"/>
        <v>46234</v>
      </c>
      <c r="K531" s="114">
        <f t="shared" si="770"/>
        <v>46234</v>
      </c>
      <c r="L531" s="143">
        <v>46162</v>
      </c>
      <c r="M531" s="115">
        <f t="shared" si="771"/>
        <v>46276</v>
      </c>
      <c r="N531" s="114">
        <f t="shared" si="772"/>
        <v>46276</v>
      </c>
      <c r="O531" s="114">
        <v>46191</v>
      </c>
      <c r="P531" s="114">
        <f t="shared" si="773"/>
        <v>46318</v>
      </c>
      <c r="Q531" s="114">
        <f t="shared" si="774"/>
        <v>46318</v>
      </c>
      <c r="R531" s="115">
        <v>46252</v>
      </c>
      <c r="S531" s="114">
        <f t="shared" si="776"/>
        <v>46332</v>
      </c>
      <c r="T531" s="114">
        <f t="shared" si="775"/>
        <v>46332</v>
      </c>
      <c r="U531" s="114">
        <v>46262</v>
      </c>
      <c r="V531" s="226"/>
      <c r="X531" s="168" t="str">
        <f t="shared" ca="1" si="760"/>
        <v>Completed</v>
      </c>
      <c r="Y531" s="168" t="str">
        <f t="shared" ca="1" si="761"/>
        <v>Completed</v>
      </c>
      <c r="Z531" s="168" t="str">
        <f t="shared" ca="1" si="762"/>
        <v>Completed</v>
      </c>
      <c r="AA531" s="169" t="str">
        <f t="shared" ca="1" si="763"/>
        <v>Completed</v>
      </c>
    </row>
    <row r="532" spans="1:27" s="70" customFormat="1" ht="11.5" x14ac:dyDescent="0.25">
      <c r="A532" s="111" t="s">
        <v>67</v>
      </c>
      <c r="B532" s="111" t="s">
        <v>14</v>
      </c>
      <c r="C532" s="111" t="s">
        <v>840</v>
      </c>
      <c r="D532" s="111" t="s">
        <v>819</v>
      </c>
      <c r="E532" s="112">
        <f t="shared" si="765"/>
        <v>0.7</v>
      </c>
      <c r="F532" s="112">
        <f t="shared" si="766"/>
        <v>0.7</v>
      </c>
      <c r="G532" s="112">
        <f t="shared" si="768"/>
        <v>1</v>
      </c>
      <c r="H532" s="112">
        <f t="shared" si="767"/>
        <v>0.30000000000000004</v>
      </c>
      <c r="I532" s="113">
        <v>4.7E-2</v>
      </c>
      <c r="J532" s="114">
        <f t="shared" si="769"/>
        <v>46234</v>
      </c>
      <c r="K532" s="114">
        <f t="shared" si="770"/>
        <v>46234</v>
      </c>
      <c r="L532" s="143">
        <v>46162</v>
      </c>
      <c r="M532" s="115">
        <f t="shared" si="771"/>
        <v>46276</v>
      </c>
      <c r="N532" s="114">
        <f t="shared" si="772"/>
        <v>46276</v>
      </c>
      <c r="O532" s="114">
        <v>46191</v>
      </c>
      <c r="P532" s="114">
        <f t="shared" si="773"/>
        <v>46318</v>
      </c>
      <c r="Q532" s="114">
        <f t="shared" si="774"/>
        <v>46318</v>
      </c>
      <c r="R532" s="115">
        <v>46252</v>
      </c>
      <c r="S532" s="114">
        <f t="shared" si="776"/>
        <v>46332</v>
      </c>
      <c r="T532" s="114">
        <f t="shared" si="775"/>
        <v>46332</v>
      </c>
      <c r="U532" s="114">
        <v>46262</v>
      </c>
      <c r="V532" s="226"/>
      <c r="X532" s="168" t="str">
        <f t="shared" ca="1" si="760"/>
        <v>Completed</v>
      </c>
      <c r="Y532" s="168" t="str">
        <f t="shared" ca="1" si="761"/>
        <v>Completed</v>
      </c>
      <c r="Z532" s="168" t="str">
        <f t="shared" ca="1" si="762"/>
        <v>Completed</v>
      </c>
      <c r="AA532" s="169" t="str">
        <f t="shared" ca="1" si="763"/>
        <v>Completed</v>
      </c>
    </row>
    <row r="533" spans="1:27" s="70" customFormat="1" ht="11.5" x14ac:dyDescent="0.25">
      <c r="A533" s="111" t="s">
        <v>67</v>
      </c>
      <c r="B533" s="111" t="s">
        <v>14</v>
      </c>
      <c r="C533" s="111" t="s">
        <v>558</v>
      </c>
      <c r="D533" s="111" t="s">
        <v>559</v>
      </c>
      <c r="E533" s="112">
        <f t="shared" si="765"/>
        <v>0.79999999999999993</v>
      </c>
      <c r="F533" s="112">
        <f t="shared" si="766"/>
        <v>0.79999999999999993</v>
      </c>
      <c r="G533" s="112">
        <f t="shared" si="768"/>
        <v>0.7</v>
      </c>
      <c r="H533" s="112">
        <f t="shared" si="767"/>
        <v>-9.9999999999999978E-2</v>
      </c>
      <c r="I533" s="113">
        <v>4.7E-2</v>
      </c>
      <c r="J533" s="114">
        <f t="shared" si="769"/>
        <v>46220</v>
      </c>
      <c r="K533" s="114">
        <f t="shared" si="770"/>
        <v>46220</v>
      </c>
      <c r="L533" s="115">
        <v>46184</v>
      </c>
      <c r="M533" s="115">
        <f t="shared" si="771"/>
        <v>46262</v>
      </c>
      <c r="N533" s="114">
        <f t="shared" si="772"/>
        <v>46262</v>
      </c>
      <c r="O533" s="114">
        <v>46213</v>
      </c>
      <c r="P533" s="114">
        <f t="shared" si="773"/>
        <v>46304</v>
      </c>
      <c r="Q533" s="114">
        <f t="shared" si="774"/>
        <v>46304</v>
      </c>
      <c r="R533" s="114"/>
      <c r="S533" s="114">
        <f t="shared" si="776"/>
        <v>46318</v>
      </c>
      <c r="T533" s="114">
        <f t="shared" si="775"/>
        <v>46318</v>
      </c>
      <c r="U533" s="114"/>
      <c r="V533" s="226"/>
      <c r="X533" s="168" t="str">
        <f t="shared" ca="1" si="760"/>
        <v>Completed</v>
      </c>
      <c r="Y533" s="168" t="str">
        <f t="shared" ca="1" si="761"/>
        <v>Completed</v>
      </c>
      <c r="Z533" s="168" t="str">
        <f t="shared" ca="1" si="762"/>
        <v>Overdue</v>
      </c>
      <c r="AA533" s="169" t="str">
        <f t="shared" ca="1" si="763"/>
        <v/>
      </c>
    </row>
    <row r="534" spans="1:27" s="70" customFormat="1" ht="11.5" x14ac:dyDescent="0.25">
      <c r="A534" s="187" t="s">
        <v>67</v>
      </c>
      <c r="B534" s="187" t="s">
        <v>14</v>
      </c>
      <c r="C534" s="187" t="s">
        <v>560</v>
      </c>
      <c r="D534" s="187" t="s">
        <v>1134</v>
      </c>
      <c r="E534" s="188"/>
      <c r="F534" s="188"/>
      <c r="G534" s="188">
        <f t="shared" si="768"/>
        <v>1</v>
      </c>
      <c r="H534" s="188"/>
      <c r="I534" s="189">
        <v>4.7E-2</v>
      </c>
      <c r="J534" s="190">
        <f t="shared" si="769"/>
        <v>46220</v>
      </c>
      <c r="K534" s="190">
        <f t="shared" si="770"/>
        <v>46220</v>
      </c>
      <c r="L534" s="190">
        <v>46184</v>
      </c>
      <c r="M534" s="196">
        <f t="shared" si="771"/>
        <v>46262</v>
      </c>
      <c r="N534" s="190">
        <f t="shared" si="772"/>
        <v>46262</v>
      </c>
      <c r="O534" s="190">
        <v>46213</v>
      </c>
      <c r="P534" s="190">
        <f t="shared" si="773"/>
        <v>46304</v>
      </c>
      <c r="Q534" s="190">
        <f t="shared" si="774"/>
        <v>46304</v>
      </c>
      <c r="R534" s="190">
        <v>46262</v>
      </c>
      <c r="S534" s="190">
        <f t="shared" si="776"/>
        <v>46318</v>
      </c>
      <c r="T534" s="190">
        <f t="shared" si="775"/>
        <v>46318</v>
      </c>
      <c r="U534" s="190">
        <v>46262</v>
      </c>
      <c r="V534" s="225"/>
      <c r="X534" s="168" t="str">
        <f t="shared" ca="1" si="760"/>
        <v>Completed</v>
      </c>
      <c r="Y534" s="168" t="str">
        <f t="shared" ca="1" si="761"/>
        <v>Completed</v>
      </c>
      <c r="Z534" s="168" t="str">
        <f t="shared" ca="1" si="762"/>
        <v>Completed</v>
      </c>
      <c r="AA534" s="169" t="str">
        <f t="shared" ca="1" si="763"/>
        <v>Completed</v>
      </c>
    </row>
    <row r="535" spans="1:27" s="70" customFormat="1" ht="11.5" x14ac:dyDescent="0.25">
      <c r="A535" s="117" t="s">
        <v>67</v>
      </c>
      <c r="B535" s="117" t="s">
        <v>14</v>
      </c>
      <c r="C535" s="117" t="s">
        <v>561</v>
      </c>
      <c r="D535" s="117" t="s">
        <v>562</v>
      </c>
      <c r="E535" s="118">
        <f t="shared" si="765"/>
        <v>0.79999999999999993</v>
      </c>
      <c r="F535" s="118">
        <f t="shared" si="766"/>
        <v>0.79999999999999993</v>
      </c>
      <c r="G535" s="118">
        <f t="shared" si="768"/>
        <v>0.79999999999999993</v>
      </c>
      <c r="H535" s="118">
        <f t="shared" si="767"/>
        <v>0</v>
      </c>
      <c r="I535" s="119">
        <v>4.7E-2</v>
      </c>
      <c r="J535" s="114">
        <f t="shared" si="769"/>
        <v>46220</v>
      </c>
      <c r="K535" s="114">
        <f t="shared" si="770"/>
        <v>46220</v>
      </c>
      <c r="L535" s="115">
        <v>46268</v>
      </c>
      <c r="M535" s="115">
        <f t="shared" si="771"/>
        <v>46262</v>
      </c>
      <c r="N535" s="114">
        <f t="shared" si="772"/>
        <v>46262</v>
      </c>
      <c r="O535" s="114">
        <v>46281</v>
      </c>
      <c r="P535" s="114">
        <f t="shared" si="773"/>
        <v>46304</v>
      </c>
      <c r="Q535" s="114">
        <f t="shared" si="774"/>
        <v>46304</v>
      </c>
      <c r="R535" s="114">
        <v>46288</v>
      </c>
      <c r="S535" s="114">
        <f t="shared" si="776"/>
        <v>46318</v>
      </c>
      <c r="T535" s="114">
        <f t="shared" si="775"/>
        <v>46318</v>
      </c>
      <c r="U535" s="115"/>
      <c r="V535" s="227"/>
      <c r="X535" s="168" t="str">
        <f t="shared" ca="1" si="760"/>
        <v>Completed</v>
      </c>
      <c r="Y535" s="168" t="str">
        <f t="shared" ca="1" si="761"/>
        <v>Completed</v>
      </c>
      <c r="Z535" s="168" t="str">
        <f t="shared" ca="1" si="762"/>
        <v>Completed</v>
      </c>
      <c r="AA535" s="169" t="str">
        <f t="shared" ca="1" si="763"/>
        <v/>
      </c>
    </row>
    <row r="536" spans="1:27" s="70" customFormat="1" ht="11.5" x14ac:dyDescent="0.25">
      <c r="A536" s="117" t="s">
        <v>67</v>
      </c>
      <c r="B536" s="117" t="s">
        <v>14</v>
      </c>
      <c r="C536" s="117" t="s">
        <v>563</v>
      </c>
      <c r="D536" s="117" t="s">
        <v>564</v>
      </c>
      <c r="E536" s="118">
        <f t="shared" si="765"/>
        <v>0.79999999999999993</v>
      </c>
      <c r="F536" s="118">
        <f t="shared" si="766"/>
        <v>0.79999999999999993</v>
      </c>
      <c r="G536" s="118">
        <f t="shared" si="768"/>
        <v>1</v>
      </c>
      <c r="H536" s="118">
        <f t="shared" si="767"/>
        <v>0.20000000000000007</v>
      </c>
      <c r="I536" s="119">
        <v>4.7E-2</v>
      </c>
      <c r="J536" s="114">
        <f t="shared" si="769"/>
        <v>46220</v>
      </c>
      <c r="K536" s="114">
        <f t="shared" si="770"/>
        <v>46220</v>
      </c>
      <c r="L536" s="115">
        <v>46268</v>
      </c>
      <c r="M536" s="115">
        <f t="shared" si="771"/>
        <v>46262</v>
      </c>
      <c r="N536" s="114">
        <f t="shared" si="772"/>
        <v>46262</v>
      </c>
      <c r="O536" s="114">
        <v>46281</v>
      </c>
      <c r="P536" s="114">
        <f t="shared" si="773"/>
        <v>46304</v>
      </c>
      <c r="Q536" s="114">
        <f t="shared" si="774"/>
        <v>46304</v>
      </c>
      <c r="R536" s="114">
        <v>46288</v>
      </c>
      <c r="S536" s="114">
        <f t="shared" si="776"/>
        <v>46318</v>
      </c>
      <c r="T536" s="114">
        <f t="shared" si="775"/>
        <v>46318</v>
      </c>
      <c r="U536" s="114">
        <v>46293</v>
      </c>
      <c r="V536" s="227"/>
      <c r="X536" s="168" t="str">
        <f t="shared" ca="1" si="760"/>
        <v>Completed</v>
      </c>
      <c r="Y536" s="168" t="str">
        <f t="shared" ca="1" si="761"/>
        <v>Completed</v>
      </c>
      <c r="Z536" s="168" t="str">
        <f t="shared" ca="1" si="762"/>
        <v>Completed</v>
      </c>
      <c r="AA536" s="169" t="str">
        <f t="shared" ca="1" si="763"/>
        <v>Completed</v>
      </c>
    </row>
    <row r="537" spans="1:27" s="70" customFormat="1" ht="11.5" x14ac:dyDescent="0.25">
      <c r="A537" s="117" t="s">
        <v>67</v>
      </c>
      <c r="B537" s="117" t="s">
        <v>14</v>
      </c>
      <c r="C537" s="117" t="s">
        <v>565</v>
      </c>
      <c r="D537" s="117" t="s">
        <v>566</v>
      </c>
      <c r="E537" s="118">
        <f t="shared" si="765"/>
        <v>0.7</v>
      </c>
      <c r="F537" s="118">
        <f t="shared" si="766"/>
        <v>0.7</v>
      </c>
      <c r="G537" s="118">
        <f t="shared" si="768"/>
        <v>0.7</v>
      </c>
      <c r="H537" s="118">
        <f t="shared" si="767"/>
        <v>0</v>
      </c>
      <c r="I537" s="119">
        <v>4.7E-2</v>
      </c>
      <c r="J537" s="114">
        <f t="shared" si="769"/>
        <v>46241</v>
      </c>
      <c r="K537" s="114">
        <f t="shared" si="770"/>
        <v>46241</v>
      </c>
      <c r="L537" s="114">
        <v>46142</v>
      </c>
      <c r="M537" s="115">
        <f t="shared" si="771"/>
        <v>46283</v>
      </c>
      <c r="N537" s="114">
        <f t="shared" si="772"/>
        <v>46283</v>
      </c>
      <c r="O537" s="115">
        <v>46268</v>
      </c>
      <c r="P537" s="114">
        <f t="shared" si="773"/>
        <v>46325</v>
      </c>
      <c r="Q537" s="114">
        <f t="shared" si="774"/>
        <v>46325</v>
      </c>
      <c r="R537" s="114"/>
      <c r="S537" s="114">
        <f t="shared" si="776"/>
        <v>46339</v>
      </c>
      <c r="T537" s="114">
        <f t="shared" si="775"/>
        <v>46339</v>
      </c>
      <c r="U537" s="115"/>
      <c r="V537" s="227"/>
      <c r="X537" s="168" t="str">
        <f t="shared" ca="1" si="760"/>
        <v>Completed</v>
      </c>
      <c r="Y537" s="168" t="str">
        <f t="shared" ca="1" si="761"/>
        <v>Completed</v>
      </c>
      <c r="Z537" s="168" t="str">
        <f t="shared" ca="1" si="762"/>
        <v/>
      </c>
      <c r="AA537" s="169" t="str">
        <f t="shared" ca="1" si="763"/>
        <v/>
      </c>
    </row>
    <row r="538" spans="1:27" s="70" customFormat="1" ht="11.5" x14ac:dyDescent="0.25">
      <c r="A538" s="117" t="s">
        <v>67</v>
      </c>
      <c r="B538" s="117" t="s">
        <v>14</v>
      </c>
      <c r="C538" s="117" t="s">
        <v>996</v>
      </c>
      <c r="D538" s="117" t="s">
        <v>567</v>
      </c>
      <c r="E538" s="118">
        <f t="shared" si="765"/>
        <v>0.7</v>
      </c>
      <c r="F538" s="118">
        <f t="shared" si="766"/>
        <v>0.7</v>
      </c>
      <c r="G538" s="118">
        <f t="shared" si="768"/>
        <v>0.7</v>
      </c>
      <c r="H538" s="118">
        <f t="shared" si="767"/>
        <v>0</v>
      </c>
      <c r="I538" s="119">
        <v>4.7E-2</v>
      </c>
      <c r="J538" s="114">
        <f t="shared" si="769"/>
        <v>46241</v>
      </c>
      <c r="K538" s="114">
        <f t="shared" si="770"/>
        <v>46241</v>
      </c>
      <c r="L538" s="114">
        <v>46142</v>
      </c>
      <c r="M538" s="115">
        <f t="shared" si="771"/>
        <v>46283</v>
      </c>
      <c r="N538" s="114">
        <f t="shared" si="772"/>
        <v>46283</v>
      </c>
      <c r="O538" s="115">
        <v>46268</v>
      </c>
      <c r="P538" s="114">
        <f t="shared" si="773"/>
        <v>46325</v>
      </c>
      <c r="Q538" s="114">
        <f t="shared" si="774"/>
        <v>46325</v>
      </c>
      <c r="R538" s="114"/>
      <c r="S538" s="114">
        <f t="shared" si="776"/>
        <v>46339</v>
      </c>
      <c r="T538" s="114">
        <f t="shared" si="775"/>
        <v>46339</v>
      </c>
      <c r="U538" s="115"/>
      <c r="V538" s="227"/>
      <c r="X538" s="168" t="str">
        <f t="shared" ca="1" si="760"/>
        <v>Completed</v>
      </c>
      <c r="Y538" s="168" t="str">
        <f t="shared" ca="1" si="761"/>
        <v>Completed</v>
      </c>
      <c r="Z538" s="168" t="str">
        <f t="shared" ca="1" si="762"/>
        <v/>
      </c>
      <c r="AA538" s="169" t="str">
        <f t="shared" ca="1" si="763"/>
        <v/>
      </c>
    </row>
    <row r="539" spans="1:27" s="70" customFormat="1" ht="11.5" x14ac:dyDescent="0.25">
      <c r="A539" s="117" t="s">
        <v>67</v>
      </c>
      <c r="B539" s="117" t="s">
        <v>14</v>
      </c>
      <c r="C539" s="117" t="s">
        <v>997</v>
      </c>
      <c r="D539" s="117" t="s">
        <v>568</v>
      </c>
      <c r="E539" s="118">
        <f t="shared" si="765"/>
        <v>0.7</v>
      </c>
      <c r="F539" s="118">
        <f t="shared" si="766"/>
        <v>0.7</v>
      </c>
      <c r="G539" s="118">
        <f t="shared" si="768"/>
        <v>0.7</v>
      </c>
      <c r="H539" s="118">
        <f t="shared" si="767"/>
        <v>0</v>
      </c>
      <c r="I539" s="119">
        <v>4.7E-2</v>
      </c>
      <c r="J539" s="114">
        <f t="shared" si="769"/>
        <v>46241</v>
      </c>
      <c r="K539" s="114">
        <f t="shared" si="770"/>
        <v>46241</v>
      </c>
      <c r="L539" s="114">
        <v>46142</v>
      </c>
      <c r="M539" s="115">
        <f t="shared" si="771"/>
        <v>46283</v>
      </c>
      <c r="N539" s="114">
        <f t="shared" si="772"/>
        <v>46283</v>
      </c>
      <c r="O539" s="115">
        <v>46268</v>
      </c>
      <c r="P539" s="114">
        <f t="shared" si="773"/>
        <v>46325</v>
      </c>
      <c r="Q539" s="114">
        <f t="shared" si="774"/>
        <v>46325</v>
      </c>
      <c r="R539" s="114"/>
      <c r="S539" s="114">
        <f t="shared" si="776"/>
        <v>46339</v>
      </c>
      <c r="T539" s="114">
        <f t="shared" si="775"/>
        <v>46339</v>
      </c>
      <c r="U539" s="115"/>
      <c r="V539" s="227"/>
      <c r="X539" s="168" t="str">
        <f t="shared" ca="1" si="760"/>
        <v>Completed</v>
      </c>
      <c r="Y539" s="168" t="str">
        <f t="shared" ca="1" si="761"/>
        <v>Completed</v>
      </c>
      <c r="Z539" s="168" t="str">
        <f t="shared" ca="1" si="762"/>
        <v/>
      </c>
      <c r="AA539" s="169" t="str">
        <f t="shared" ca="1" si="763"/>
        <v/>
      </c>
    </row>
    <row r="540" spans="1:27" s="70" customFormat="1" ht="9" customHeight="1" x14ac:dyDescent="0.25">
      <c r="A540" s="117" t="s">
        <v>67</v>
      </c>
      <c r="B540" s="117" t="s">
        <v>14</v>
      </c>
      <c r="C540" s="117" t="s">
        <v>998</v>
      </c>
      <c r="D540" s="117" t="s">
        <v>569</v>
      </c>
      <c r="E540" s="118">
        <f t="shared" si="765"/>
        <v>0.7</v>
      </c>
      <c r="F540" s="118">
        <f t="shared" si="766"/>
        <v>0.7</v>
      </c>
      <c r="G540" s="118">
        <f t="shared" si="768"/>
        <v>0.7</v>
      </c>
      <c r="H540" s="118">
        <f t="shared" si="767"/>
        <v>0</v>
      </c>
      <c r="I540" s="119">
        <v>4.7E-2</v>
      </c>
      <c r="J540" s="114">
        <f t="shared" si="769"/>
        <v>46241</v>
      </c>
      <c r="K540" s="114">
        <f t="shared" si="770"/>
        <v>46241</v>
      </c>
      <c r="L540" s="114">
        <v>46142</v>
      </c>
      <c r="M540" s="115">
        <f t="shared" si="771"/>
        <v>46283</v>
      </c>
      <c r="N540" s="114">
        <f t="shared" si="772"/>
        <v>46283</v>
      </c>
      <c r="O540" s="115">
        <v>46268</v>
      </c>
      <c r="P540" s="114">
        <f t="shared" si="773"/>
        <v>46325</v>
      </c>
      <c r="Q540" s="114">
        <f t="shared" si="774"/>
        <v>46325</v>
      </c>
      <c r="R540" s="114"/>
      <c r="S540" s="114">
        <f t="shared" si="776"/>
        <v>46339</v>
      </c>
      <c r="T540" s="114">
        <f t="shared" si="775"/>
        <v>46339</v>
      </c>
      <c r="U540" s="115"/>
      <c r="V540" s="227"/>
      <c r="X540" s="168" t="str">
        <f t="shared" ca="1" si="760"/>
        <v>Completed</v>
      </c>
      <c r="Y540" s="168" t="str">
        <f t="shared" ca="1" si="761"/>
        <v>Completed</v>
      </c>
      <c r="Z540" s="168" t="str">
        <f t="shared" ca="1" si="762"/>
        <v/>
      </c>
      <c r="AA540" s="169" t="str">
        <f t="shared" ca="1" si="763"/>
        <v/>
      </c>
    </row>
    <row r="541" spans="1:27" s="70" customFormat="1" ht="9" customHeight="1" x14ac:dyDescent="0.25">
      <c r="A541" s="117" t="s">
        <v>67</v>
      </c>
      <c r="B541" s="117" t="s">
        <v>14</v>
      </c>
      <c r="C541" s="117" t="s">
        <v>999</v>
      </c>
      <c r="D541" s="117" t="s">
        <v>570</v>
      </c>
      <c r="E541" s="118">
        <f t="shared" ref="E541" si="777">(COUNTIFS(J541,"&lt;="&amp;$C$1)*50%)+(COUNTIFS(M541,"&lt;="&amp;$C$1)*20%)+(COUNTIFS(P541,"&lt;="&amp;$C$1)*10%)+(COUNTIFS(S541,"&lt;="&amp;$C$1)*20%)</f>
        <v>0.7</v>
      </c>
      <c r="F541" s="118">
        <f t="shared" ref="F541" si="778">(COUNTIFS(K541,"&lt;="&amp;$C$1)*50%)+(COUNTIFS(N541,"&lt;="&amp;$C$1)*20%)+(COUNTIFS(Q541,"&lt;="&amp;$C$1)*10%)+(COUNTIFS(T541,"&lt;="&amp;$C$1)*20%)</f>
        <v>0.7</v>
      </c>
      <c r="G541" s="118">
        <f t="shared" si="768"/>
        <v>0.7</v>
      </c>
      <c r="H541" s="118">
        <f t="shared" ref="H541" si="779">G541-E541</f>
        <v>0</v>
      </c>
      <c r="I541" s="119">
        <v>4.7E-2</v>
      </c>
      <c r="J541" s="114">
        <f t="shared" si="769"/>
        <v>46241</v>
      </c>
      <c r="K541" s="114">
        <f t="shared" si="770"/>
        <v>46241</v>
      </c>
      <c r="L541" s="114">
        <v>46142</v>
      </c>
      <c r="M541" s="115">
        <f t="shared" si="771"/>
        <v>46283</v>
      </c>
      <c r="N541" s="114">
        <f t="shared" si="772"/>
        <v>46283</v>
      </c>
      <c r="O541" s="115">
        <v>46268</v>
      </c>
      <c r="P541" s="114">
        <f t="shared" si="773"/>
        <v>46325</v>
      </c>
      <c r="Q541" s="114">
        <f t="shared" si="774"/>
        <v>46325</v>
      </c>
      <c r="R541" s="114"/>
      <c r="S541" s="114">
        <f t="shared" si="776"/>
        <v>46339</v>
      </c>
      <c r="T541" s="114">
        <f t="shared" si="775"/>
        <v>46339</v>
      </c>
      <c r="U541" s="115"/>
      <c r="V541" s="227"/>
      <c r="X541" s="168" t="str">
        <f t="shared" ca="1" si="760"/>
        <v>Completed</v>
      </c>
      <c r="Y541" s="168" t="str">
        <f t="shared" ca="1" si="761"/>
        <v>Completed</v>
      </c>
      <c r="Z541" s="168" t="str">
        <f t="shared" ca="1" si="762"/>
        <v/>
      </c>
      <c r="AA541" s="169" t="str">
        <f t="shared" ca="1" si="763"/>
        <v/>
      </c>
    </row>
    <row r="542" spans="1:27" s="70" customFormat="1" ht="11.5" x14ac:dyDescent="0.25">
      <c r="A542" s="117" t="s">
        <v>67</v>
      </c>
      <c r="B542" s="117" t="s">
        <v>14</v>
      </c>
      <c r="C542" s="117" t="s">
        <v>1000</v>
      </c>
      <c r="D542" s="117" t="s">
        <v>571</v>
      </c>
      <c r="E542" s="118">
        <f t="shared" si="765"/>
        <v>0.7</v>
      </c>
      <c r="F542" s="118">
        <f t="shared" si="766"/>
        <v>0.7</v>
      </c>
      <c r="G542" s="118">
        <f t="shared" si="768"/>
        <v>0.7</v>
      </c>
      <c r="H542" s="118">
        <f t="shared" si="767"/>
        <v>0</v>
      </c>
      <c r="I542" s="119">
        <v>4.7E-2</v>
      </c>
      <c r="J542" s="114">
        <f t="shared" si="769"/>
        <v>46241</v>
      </c>
      <c r="K542" s="114">
        <f t="shared" si="770"/>
        <v>46241</v>
      </c>
      <c r="L542" s="114">
        <v>46142</v>
      </c>
      <c r="M542" s="115">
        <f t="shared" si="771"/>
        <v>46283</v>
      </c>
      <c r="N542" s="114">
        <f t="shared" si="772"/>
        <v>46283</v>
      </c>
      <c r="O542" s="115">
        <v>46268</v>
      </c>
      <c r="P542" s="114">
        <f t="shared" si="773"/>
        <v>46325</v>
      </c>
      <c r="Q542" s="114">
        <f t="shared" si="774"/>
        <v>46325</v>
      </c>
      <c r="R542" s="114"/>
      <c r="S542" s="114">
        <f t="shared" si="776"/>
        <v>46339</v>
      </c>
      <c r="T542" s="114">
        <f t="shared" si="775"/>
        <v>46339</v>
      </c>
      <c r="U542" s="115"/>
      <c r="V542" s="227"/>
      <c r="X542" s="168" t="str">
        <f t="shared" ca="1" si="760"/>
        <v>Completed</v>
      </c>
      <c r="Y542" s="168" t="str">
        <f t="shared" ca="1" si="761"/>
        <v>Completed</v>
      </c>
      <c r="Z542" s="168" t="str">
        <f t="shared" ca="1" si="762"/>
        <v/>
      </c>
      <c r="AA542" s="169" t="str">
        <f t="shared" ca="1" si="763"/>
        <v/>
      </c>
    </row>
    <row r="543" spans="1:27" s="70" customFormat="1" ht="11.5" x14ac:dyDescent="0.25">
      <c r="A543" s="117" t="s">
        <v>67</v>
      </c>
      <c r="B543" s="117" t="s">
        <v>14</v>
      </c>
      <c r="C543" s="117" t="s">
        <v>1001</v>
      </c>
      <c r="D543" s="117" t="s">
        <v>572</v>
      </c>
      <c r="E543" s="118">
        <f t="shared" si="765"/>
        <v>0.7</v>
      </c>
      <c r="F543" s="118">
        <f t="shared" si="766"/>
        <v>0.7</v>
      </c>
      <c r="G543" s="118">
        <f t="shared" si="768"/>
        <v>0.7</v>
      </c>
      <c r="H543" s="118">
        <f t="shared" si="767"/>
        <v>0</v>
      </c>
      <c r="I543" s="119">
        <v>4.7E-2</v>
      </c>
      <c r="J543" s="114">
        <f t="shared" si="769"/>
        <v>46241</v>
      </c>
      <c r="K543" s="114">
        <f t="shared" si="770"/>
        <v>46241</v>
      </c>
      <c r="L543" s="114">
        <v>46142</v>
      </c>
      <c r="M543" s="115">
        <f t="shared" si="771"/>
        <v>46283</v>
      </c>
      <c r="N543" s="114">
        <f t="shared" si="772"/>
        <v>46283</v>
      </c>
      <c r="O543" s="115">
        <v>46268</v>
      </c>
      <c r="P543" s="114">
        <f t="shared" si="773"/>
        <v>46325</v>
      </c>
      <c r="Q543" s="114">
        <f t="shared" si="774"/>
        <v>46325</v>
      </c>
      <c r="R543" s="114"/>
      <c r="S543" s="114">
        <f t="shared" si="776"/>
        <v>46339</v>
      </c>
      <c r="T543" s="114">
        <f t="shared" si="775"/>
        <v>46339</v>
      </c>
      <c r="U543" s="115"/>
      <c r="V543" s="227"/>
      <c r="X543" s="168" t="str">
        <f t="shared" ca="1" si="760"/>
        <v>Completed</v>
      </c>
      <c r="Y543" s="168" t="str">
        <f t="shared" ca="1" si="761"/>
        <v>Completed</v>
      </c>
      <c r="Z543" s="168" t="str">
        <f t="shared" ca="1" si="762"/>
        <v/>
      </c>
      <c r="AA543" s="169" t="str">
        <f t="shared" ca="1" si="763"/>
        <v/>
      </c>
    </row>
    <row r="544" spans="1:27" s="70" customFormat="1" ht="11.5" x14ac:dyDescent="0.25">
      <c r="A544" s="117" t="s">
        <v>67</v>
      </c>
      <c r="B544" s="117" t="s">
        <v>14</v>
      </c>
      <c r="C544" s="117" t="s">
        <v>1002</v>
      </c>
      <c r="D544" s="117" t="s">
        <v>573</v>
      </c>
      <c r="E544" s="118">
        <f t="shared" si="765"/>
        <v>0.7</v>
      </c>
      <c r="F544" s="118">
        <f t="shared" si="766"/>
        <v>0.7</v>
      </c>
      <c r="G544" s="118">
        <f t="shared" ref="G544:G575" si="780">(COUNTIFS(L544,"&lt;="&amp;$C$1)*50%)+(COUNTIFS(O544,"&lt;="&amp;$C$1)*20%)+(COUNTIFS(R544,"&lt;="&amp;$C$1)*10%)+(COUNTIFS(U544,"&lt;="&amp;$C$1)*20%)</f>
        <v>0.7</v>
      </c>
      <c r="H544" s="118">
        <f t="shared" si="767"/>
        <v>0</v>
      </c>
      <c r="I544" s="119">
        <v>4.7E-2</v>
      </c>
      <c r="J544" s="114">
        <f t="shared" ref="J544:J564" si="781">J427+28</f>
        <v>46241</v>
      </c>
      <c r="K544" s="114">
        <f t="shared" si="770"/>
        <v>46241</v>
      </c>
      <c r="L544" s="114">
        <v>46142</v>
      </c>
      <c r="M544" s="115">
        <f t="shared" si="771"/>
        <v>46283</v>
      </c>
      <c r="N544" s="114">
        <f t="shared" si="772"/>
        <v>46283</v>
      </c>
      <c r="O544" s="115">
        <v>46268</v>
      </c>
      <c r="P544" s="114">
        <f t="shared" si="773"/>
        <v>46325</v>
      </c>
      <c r="Q544" s="114">
        <f t="shared" si="774"/>
        <v>46325</v>
      </c>
      <c r="R544" s="114"/>
      <c r="S544" s="114">
        <f t="shared" si="776"/>
        <v>46339</v>
      </c>
      <c r="T544" s="114">
        <f t="shared" si="775"/>
        <v>46339</v>
      </c>
      <c r="U544" s="115"/>
      <c r="V544" s="227"/>
      <c r="X544" s="168" t="str">
        <f t="shared" ca="1" si="760"/>
        <v>Completed</v>
      </c>
      <c r="Y544" s="168" t="str">
        <f t="shared" ca="1" si="761"/>
        <v>Completed</v>
      </c>
      <c r="Z544" s="168" t="str">
        <f t="shared" ca="1" si="762"/>
        <v/>
      </c>
      <c r="AA544" s="169" t="str">
        <f t="shared" ca="1" si="763"/>
        <v/>
      </c>
    </row>
    <row r="545" spans="1:27" s="70" customFormat="1" ht="11.5" x14ac:dyDescent="0.25">
      <c r="A545" s="117" t="s">
        <v>67</v>
      </c>
      <c r="B545" s="117" t="s">
        <v>14</v>
      </c>
      <c r="C545" s="117" t="s">
        <v>1003</v>
      </c>
      <c r="D545" s="117" t="s">
        <v>574</v>
      </c>
      <c r="E545" s="118">
        <f t="shared" si="765"/>
        <v>0.7</v>
      </c>
      <c r="F545" s="118">
        <f t="shared" si="766"/>
        <v>0.7</v>
      </c>
      <c r="G545" s="118">
        <f t="shared" si="780"/>
        <v>0.7</v>
      </c>
      <c r="H545" s="118">
        <f t="shared" si="767"/>
        <v>0</v>
      </c>
      <c r="I545" s="119">
        <v>4.7E-2</v>
      </c>
      <c r="J545" s="114">
        <f t="shared" si="781"/>
        <v>46241</v>
      </c>
      <c r="K545" s="114">
        <f t="shared" si="770"/>
        <v>46241</v>
      </c>
      <c r="L545" s="114">
        <v>46142</v>
      </c>
      <c r="M545" s="115">
        <f t="shared" si="771"/>
        <v>46283</v>
      </c>
      <c r="N545" s="114">
        <f t="shared" si="772"/>
        <v>46283</v>
      </c>
      <c r="O545" s="115">
        <v>46268</v>
      </c>
      <c r="P545" s="114">
        <f t="shared" si="773"/>
        <v>46325</v>
      </c>
      <c r="Q545" s="114">
        <f t="shared" si="774"/>
        <v>46325</v>
      </c>
      <c r="R545" s="114"/>
      <c r="S545" s="114">
        <f t="shared" si="776"/>
        <v>46339</v>
      </c>
      <c r="T545" s="114">
        <f t="shared" si="775"/>
        <v>46339</v>
      </c>
      <c r="U545" s="115"/>
      <c r="V545" s="227"/>
      <c r="X545" s="168" t="str">
        <f t="shared" ca="1" si="760"/>
        <v>Completed</v>
      </c>
      <c r="Y545" s="168" t="str">
        <f t="shared" ca="1" si="761"/>
        <v>Completed</v>
      </c>
      <c r="Z545" s="168" t="str">
        <f t="shared" ca="1" si="762"/>
        <v/>
      </c>
      <c r="AA545" s="169" t="str">
        <f t="shared" ca="1" si="763"/>
        <v/>
      </c>
    </row>
    <row r="546" spans="1:27" s="70" customFormat="1" ht="11.5" x14ac:dyDescent="0.25">
      <c r="A546" s="117" t="s">
        <v>67</v>
      </c>
      <c r="B546" s="117" t="s">
        <v>14</v>
      </c>
      <c r="C546" s="117" t="s">
        <v>1004</v>
      </c>
      <c r="D546" s="117" t="s">
        <v>575</v>
      </c>
      <c r="E546" s="118">
        <f t="shared" si="765"/>
        <v>0.7</v>
      </c>
      <c r="F546" s="118">
        <f t="shared" si="766"/>
        <v>0.7</v>
      </c>
      <c r="G546" s="118">
        <f t="shared" si="780"/>
        <v>0.7</v>
      </c>
      <c r="H546" s="118">
        <f t="shared" si="767"/>
        <v>0</v>
      </c>
      <c r="I546" s="119">
        <v>4.7E-2</v>
      </c>
      <c r="J546" s="114">
        <f t="shared" si="781"/>
        <v>46241</v>
      </c>
      <c r="K546" s="114">
        <f t="shared" si="770"/>
        <v>46241</v>
      </c>
      <c r="L546" s="114">
        <v>46142</v>
      </c>
      <c r="M546" s="115">
        <f t="shared" si="771"/>
        <v>46283</v>
      </c>
      <c r="N546" s="114">
        <f t="shared" si="772"/>
        <v>46283</v>
      </c>
      <c r="O546" s="115">
        <v>46268</v>
      </c>
      <c r="P546" s="114">
        <f t="shared" si="773"/>
        <v>46325</v>
      </c>
      <c r="Q546" s="114">
        <f t="shared" si="774"/>
        <v>46325</v>
      </c>
      <c r="R546" s="114"/>
      <c r="S546" s="114">
        <f t="shared" si="776"/>
        <v>46339</v>
      </c>
      <c r="T546" s="114">
        <f t="shared" si="775"/>
        <v>46339</v>
      </c>
      <c r="U546" s="115"/>
      <c r="V546" s="227"/>
      <c r="X546" s="168" t="str">
        <f t="shared" ca="1" si="760"/>
        <v>Completed</v>
      </c>
      <c r="Y546" s="168" t="str">
        <f t="shared" ca="1" si="761"/>
        <v>Completed</v>
      </c>
      <c r="Z546" s="168" t="str">
        <f t="shared" ca="1" si="762"/>
        <v/>
      </c>
      <c r="AA546" s="169" t="str">
        <f t="shared" ca="1" si="763"/>
        <v/>
      </c>
    </row>
    <row r="547" spans="1:27" s="70" customFormat="1" ht="11.5" x14ac:dyDescent="0.25">
      <c r="A547" s="117" t="s">
        <v>67</v>
      </c>
      <c r="B547" s="117" t="s">
        <v>14</v>
      </c>
      <c r="C547" s="117" t="s">
        <v>1005</v>
      </c>
      <c r="D547" s="117" t="s">
        <v>576</v>
      </c>
      <c r="E547" s="118">
        <f t="shared" si="765"/>
        <v>0.7</v>
      </c>
      <c r="F547" s="118">
        <f t="shared" si="766"/>
        <v>0.7</v>
      </c>
      <c r="G547" s="118">
        <f t="shared" si="780"/>
        <v>0.7</v>
      </c>
      <c r="H547" s="118">
        <f t="shared" si="767"/>
        <v>0</v>
      </c>
      <c r="I547" s="119">
        <v>4.7E-2</v>
      </c>
      <c r="J547" s="114">
        <f t="shared" si="781"/>
        <v>46241</v>
      </c>
      <c r="K547" s="114">
        <f t="shared" si="770"/>
        <v>46241</v>
      </c>
      <c r="L547" s="114">
        <v>46142</v>
      </c>
      <c r="M547" s="115">
        <f t="shared" si="771"/>
        <v>46283</v>
      </c>
      <c r="N547" s="114">
        <f t="shared" si="772"/>
        <v>46283</v>
      </c>
      <c r="O547" s="115">
        <v>46268</v>
      </c>
      <c r="P547" s="114">
        <f t="shared" si="773"/>
        <v>46325</v>
      </c>
      <c r="Q547" s="114">
        <f t="shared" si="774"/>
        <v>46325</v>
      </c>
      <c r="R547" s="114"/>
      <c r="S547" s="114">
        <f t="shared" si="776"/>
        <v>46339</v>
      </c>
      <c r="T547" s="114">
        <f t="shared" si="775"/>
        <v>46339</v>
      </c>
      <c r="U547" s="115"/>
      <c r="V547" s="227"/>
      <c r="X547" s="168" t="str">
        <f t="shared" ca="1" si="760"/>
        <v>Completed</v>
      </c>
      <c r="Y547" s="168" t="str">
        <f t="shared" ca="1" si="761"/>
        <v>Completed</v>
      </c>
      <c r="Z547" s="168" t="str">
        <f t="shared" ca="1" si="762"/>
        <v/>
      </c>
      <c r="AA547" s="169" t="str">
        <f t="shared" ca="1" si="763"/>
        <v/>
      </c>
    </row>
    <row r="548" spans="1:27" s="70" customFormat="1" ht="11.5" x14ac:dyDescent="0.25">
      <c r="A548" s="117" t="s">
        <v>67</v>
      </c>
      <c r="B548" s="117" t="s">
        <v>14</v>
      </c>
      <c r="C548" s="117" t="s">
        <v>1006</v>
      </c>
      <c r="D548" s="117" t="s">
        <v>577</v>
      </c>
      <c r="E548" s="118">
        <f t="shared" si="765"/>
        <v>0.7</v>
      </c>
      <c r="F548" s="118">
        <f t="shared" si="766"/>
        <v>0.7</v>
      </c>
      <c r="G548" s="118">
        <f t="shared" si="780"/>
        <v>0.7</v>
      </c>
      <c r="H548" s="118">
        <f t="shared" si="767"/>
        <v>0</v>
      </c>
      <c r="I548" s="119">
        <v>4.7E-2</v>
      </c>
      <c r="J548" s="114">
        <f t="shared" si="781"/>
        <v>46241</v>
      </c>
      <c r="K548" s="114">
        <f t="shared" si="770"/>
        <v>46241</v>
      </c>
      <c r="L548" s="114">
        <v>46142</v>
      </c>
      <c r="M548" s="115">
        <f t="shared" si="771"/>
        <v>46283</v>
      </c>
      <c r="N548" s="114">
        <f t="shared" si="772"/>
        <v>46283</v>
      </c>
      <c r="O548" s="115">
        <v>46268</v>
      </c>
      <c r="P548" s="114">
        <f t="shared" si="773"/>
        <v>46325</v>
      </c>
      <c r="Q548" s="114">
        <f t="shared" si="774"/>
        <v>46325</v>
      </c>
      <c r="R548" s="114"/>
      <c r="S548" s="114">
        <f t="shared" si="776"/>
        <v>46339</v>
      </c>
      <c r="T548" s="114">
        <f t="shared" si="775"/>
        <v>46339</v>
      </c>
      <c r="U548" s="115"/>
      <c r="V548" s="227"/>
      <c r="X548" s="168" t="str">
        <f t="shared" ca="1" si="760"/>
        <v>Completed</v>
      </c>
      <c r="Y548" s="168" t="str">
        <f t="shared" ca="1" si="761"/>
        <v>Completed</v>
      </c>
      <c r="Z548" s="168" t="str">
        <f t="shared" ca="1" si="762"/>
        <v/>
      </c>
      <c r="AA548" s="169" t="str">
        <f t="shared" ca="1" si="763"/>
        <v/>
      </c>
    </row>
    <row r="549" spans="1:27" s="70" customFormat="1" ht="11.5" x14ac:dyDescent="0.25">
      <c r="A549" s="117" t="s">
        <v>67</v>
      </c>
      <c r="B549" s="117" t="s">
        <v>14</v>
      </c>
      <c r="C549" s="117" t="s">
        <v>1007</v>
      </c>
      <c r="D549" s="117" t="s">
        <v>578</v>
      </c>
      <c r="E549" s="118">
        <f t="shared" si="765"/>
        <v>0.7</v>
      </c>
      <c r="F549" s="118">
        <f t="shared" si="766"/>
        <v>0.7</v>
      </c>
      <c r="G549" s="118">
        <f t="shared" si="780"/>
        <v>0.7</v>
      </c>
      <c r="H549" s="118">
        <f t="shared" si="767"/>
        <v>0</v>
      </c>
      <c r="I549" s="119">
        <v>4.7E-2</v>
      </c>
      <c r="J549" s="114">
        <f t="shared" si="781"/>
        <v>46241</v>
      </c>
      <c r="K549" s="114">
        <f t="shared" si="770"/>
        <v>46241</v>
      </c>
      <c r="L549" s="114">
        <v>46142</v>
      </c>
      <c r="M549" s="115">
        <f t="shared" si="771"/>
        <v>46283</v>
      </c>
      <c r="N549" s="114">
        <f t="shared" si="772"/>
        <v>46283</v>
      </c>
      <c r="O549" s="115">
        <v>46268</v>
      </c>
      <c r="P549" s="114">
        <f t="shared" si="773"/>
        <v>46325</v>
      </c>
      <c r="Q549" s="114">
        <f t="shared" si="774"/>
        <v>46325</v>
      </c>
      <c r="R549" s="114"/>
      <c r="S549" s="114">
        <f t="shared" si="776"/>
        <v>46339</v>
      </c>
      <c r="T549" s="114">
        <f t="shared" si="775"/>
        <v>46339</v>
      </c>
      <c r="U549" s="115"/>
      <c r="V549" s="227"/>
      <c r="X549" s="168" t="str">
        <f t="shared" ca="1" si="760"/>
        <v>Completed</v>
      </c>
      <c r="Y549" s="168" t="str">
        <f t="shared" ca="1" si="761"/>
        <v>Completed</v>
      </c>
      <c r="Z549" s="168" t="str">
        <f t="shared" ca="1" si="762"/>
        <v/>
      </c>
      <c r="AA549" s="169" t="str">
        <f t="shared" ca="1" si="763"/>
        <v/>
      </c>
    </row>
    <row r="550" spans="1:27" s="70" customFormat="1" ht="11.5" x14ac:dyDescent="0.25">
      <c r="A550" s="117" t="s">
        <v>67</v>
      </c>
      <c r="B550" s="117" t="s">
        <v>14</v>
      </c>
      <c r="C550" s="117" t="s">
        <v>1008</v>
      </c>
      <c r="D550" s="117" t="s">
        <v>579</v>
      </c>
      <c r="E550" s="118">
        <f t="shared" si="765"/>
        <v>0.7</v>
      </c>
      <c r="F550" s="118">
        <f t="shared" si="766"/>
        <v>0.7</v>
      </c>
      <c r="G550" s="118">
        <f t="shared" si="780"/>
        <v>0.7</v>
      </c>
      <c r="H550" s="118">
        <f t="shared" si="767"/>
        <v>0</v>
      </c>
      <c r="I550" s="119">
        <v>4.7E-2</v>
      </c>
      <c r="J550" s="114">
        <f t="shared" si="781"/>
        <v>46241</v>
      </c>
      <c r="K550" s="114">
        <f t="shared" si="770"/>
        <v>46241</v>
      </c>
      <c r="L550" s="114">
        <v>46142</v>
      </c>
      <c r="M550" s="115">
        <f t="shared" si="771"/>
        <v>46283</v>
      </c>
      <c r="N550" s="114">
        <f t="shared" si="772"/>
        <v>46283</v>
      </c>
      <c r="O550" s="115">
        <v>46268</v>
      </c>
      <c r="P550" s="114">
        <f t="shared" si="773"/>
        <v>46325</v>
      </c>
      <c r="Q550" s="114">
        <f t="shared" si="774"/>
        <v>46325</v>
      </c>
      <c r="R550" s="114"/>
      <c r="S550" s="114">
        <f t="shared" si="776"/>
        <v>46339</v>
      </c>
      <c r="T550" s="114">
        <f t="shared" si="775"/>
        <v>46339</v>
      </c>
      <c r="U550" s="115"/>
      <c r="V550" s="227"/>
      <c r="X550" s="168" t="str">
        <f t="shared" ref="X550:X613" ca="1" si="782">IF(OR(L550&lt;&gt;""),"Completed",
IF(K550="","",IF(K550&lt;TODAY(),"Overdue",
IF(AND(K550&gt;=TODAY()-WEEKDAY(TODAY(),2)+1,K550&lt;=TODAY()-WEEKDAY(TODAY(),2)+7),"Follow-This Week",
IF(AND(K550&gt;=TODAY()-WEEKDAY(TODAY(),2)+8,K550&lt;=TODAY()-WEEKDAY(TODAY(),2)+14),"Follow-Next Week","")))))</f>
        <v>Completed</v>
      </c>
      <c r="Y550" s="168" t="str">
        <f t="shared" ref="Y550:Y613" ca="1" si="783">IF(OR(O550&lt;&gt;""),"Completed",IF(N550="","",
IF(N550&lt;TODAY(),"Overdue",
IF(AND(N550&gt;=TODAY()-WEEKDAY(TODAY(),2)+1,N550&lt;=TODAY()-WEEKDAY(TODAY(),2)+7),"Follow-This Week",
IF(AND(N550&gt;=TODAY()-WEEKDAY(TODAY(),2)+8,N550&lt;=TODAY()-WEEKDAY(TODAY(),2)+14),"Follow-Next Week","")))))</f>
        <v>Completed</v>
      </c>
      <c r="Z550" s="168" t="str">
        <f t="shared" ref="Z550:Z613" ca="1" si="784">IF(OR(R550&lt;&gt;""),"Completed",IF(Q550="","",
IF(Q550&lt;TODAY(),"Overdue",
IF(AND(Q550&gt;=TODAY()-WEEKDAY(TODAY(),2)+1,Q550&lt;=TODAY()-WEEKDAY(TODAY(),2)+7),"Follow-This Week",
IF(AND(Q550&gt;=TODAY()-WEEKDAY(TODAY(),2)+8,Q550&lt;=TODAY()-WEEKDAY(TODAY(),2)+14),"Follow-Next Week","")))))</f>
        <v/>
      </c>
      <c r="AA550" s="169" t="str">
        <f t="shared" ref="AA550:AA613" ca="1" si="785">IF(OR(U550&lt;&gt;""),"Completed",IF(T550="","",
IF(T550&lt;TODAY(),"Overdue",
IF(AND(T550&gt;=TODAY()-WEEKDAY(TODAY(),2)+1,T550&lt;=TODAY()-WEEKDAY(TODAY(),2)+7),"Follow-This Week",
IF(AND(T550&gt;=TODAY()-WEEKDAY(TODAY(),2)+8,T550&lt;=TODAY()-WEEKDAY(TODAY(),2)+14),"Follow-Next Week","")))))</f>
        <v/>
      </c>
    </row>
    <row r="551" spans="1:27" s="70" customFormat="1" ht="11.5" x14ac:dyDescent="0.25">
      <c r="A551" s="117" t="s">
        <v>67</v>
      </c>
      <c r="B551" s="117" t="s">
        <v>14</v>
      </c>
      <c r="C551" s="117" t="s">
        <v>1009</v>
      </c>
      <c r="D551" s="117" t="s">
        <v>580</v>
      </c>
      <c r="E551" s="118">
        <f t="shared" ref="E551:E621" si="786">(COUNTIFS(J551,"&lt;="&amp;$C$1)*50%)+(COUNTIFS(M551,"&lt;="&amp;$C$1)*20%)+(COUNTIFS(P551,"&lt;="&amp;$C$1)*10%)+(COUNTIFS(S551,"&lt;="&amp;$C$1)*20%)</f>
        <v>0.7</v>
      </c>
      <c r="F551" s="118">
        <f t="shared" ref="F551:F621" si="787">(COUNTIFS(K551,"&lt;="&amp;$C$1)*50%)+(COUNTIFS(N551,"&lt;="&amp;$C$1)*20%)+(COUNTIFS(Q551,"&lt;="&amp;$C$1)*10%)+(COUNTIFS(T551,"&lt;="&amp;$C$1)*20%)</f>
        <v>0.7</v>
      </c>
      <c r="G551" s="118">
        <f t="shared" si="780"/>
        <v>0.7</v>
      </c>
      <c r="H551" s="118">
        <f t="shared" ref="H551:H621" si="788">G551-E551</f>
        <v>0</v>
      </c>
      <c r="I551" s="119">
        <v>4.7E-2</v>
      </c>
      <c r="J551" s="114">
        <f t="shared" si="781"/>
        <v>46241</v>
      </c>
      <c r="K551" s="114">
        <f t="shared" si="770"/>
        <v>46241</v>
      </c>
      <c r="L551" s="114">
        <v>46142</v>
      </c>
      <c r="M551" s="115">
        <f t="shared" si="771"/>
        <v>46283</v>
      </c>
      <c r="N551" s="114">
        <f t="shared" si="772"/>
        <v>46283</v>
      </c>
      <c r="O551" s="115">
        <v>46268</v>
      </c>
      <c r="P551" s="114">
        <f t="shared" si="773"/>
        <v>46325</v>
      </c>
      <c r="Q551" s="114">
        <f t="shared" si="774"/>
        <v>46325</v>
      </c>
      <c r="R551" s="114"/>
      <c r="S551" s="114">
        <f t="shared" si="776"/>
        <v>46339</v>
      </c>
      <c r="T551" s="114">
        <f t="shared" si="775"/>
        <v>46339</v>
      </c>
      <c r="U551" s="115"/>
      <c r="V551" s="227"/>
      <c r="X551" s="168" t="str">
        <f t="shared" ca="1" si="782"/>
        <v>Completed</v>
      </c>
      <c r="Y551" s="168" t="str">
        <f t="shared" ca="1" si="783"/>
        <v>Completed</v>
      </c>
      <c r="Z551" s="168" t="str">
        <f t="shared" ca="1" si="784"/>
        <v/>
      </c>
      <c r="AA551" s="169" t="str">
        <f t="shared" ca="1" si="785"/>
        <v/>
      </c>
    </row>
    <row r="552" spans="1:27" s="70" customFormat="1" ht="11.5" x14ac:dyDescent="0.25">
      <c r="A552" s="117" t="s">
        <v>67</v>
      </c>
      <c r="B552" s="117" t="s">
        <v>14</v>
      </c>
      <c r="C552" s="117" t="s">
        <v>1010</v>
      </c>
      <c r="D552" s="117" t="s">
        <v>581</v>
      </c>
      <c r="E552" s="118">
        <f t="shared" si="786"/>
        <v>0.7</v>
      </c>
      <c r="F552" s="118">
        <f t="shared" si="787"/>
        <v>0.7</v>
      </c>
      <c r="G552" s="118">
        <f t="shared" si="780"/>
        <v>0.7</v>
      </c>
      <c r="H552" s="118">
        <f t="shared" si="788"/>
        <v>0</v>
      </c>
      <c r="I552" s="119">
        <v>4.7E-2</v>
      </c>
      <c r="J552" s="114">
        <f t="shared" si="781"/>
        <v>46241</v>
      </c>
      <c r="K552" s="114">
        <f t="shared" si="770"/>
        <v>46241</v>
      </c>
      <c r="L552" s="114">
        <v>46142</v>
      </c>
      <c r="M552" s="115">
        <f t="shared" si="771"/>
        <v>46283</v>
      </c>
      <c r="N552" s="114">
        <f t="shared" si="772"/>
        <v>46283</v>
      </c>
      <c r="O552" s="115">
        <v>46268</v>
      </c>
      <c r="P552" s="114">
        <f t="shared" si="773"/>
        <v>46325</v>
      </c>
      <c r="Q552" s="114">
        <f t="shared" si="774"/>
        <v>46325</v>
      </c>
      <c r="R552" s="114"/>
      <c r="S552" s="114">
        <f t="shared" si="776"/>
        <v>46339</v>
      </c>
      <c r="T552" s="114">
        <f t="shared" si="775"/>
        <v>46339</v>
      </c>
      <c r="U552" s="115"/>
      <c r="V552" s="227"/>
      <c r="X552" s="168" t="str">
        <f t="shared" ca="1" si="782"/>
        <v>Completed</v>
      </c>
      <c r="Y552" s="168" t="str">
        <f t="shared" ca="1" si="783"/>
        <v>Completed</v>
      </c>
      <c r="Z552" s="168" t="str">
        <f t="shared" ca="1" si="784"/>
        <v/>
      </c>
      <c r="AA552" s="169" t="str">
        <f t="shared" ca="1" si="785"/>
        <v/>
      </c>
    </row>
    <row r="553" spans="1:27" s="70" customFormat="1" ht="11.5" x14ac:dyDescent="0.25">
      <c r="A553" s="117" t="s">
        <v>67</v>
      </c>
      <c r="B553" s="117" t="s">
        <v>14</v>
      </c>
      <c r="C553" s="117" t="s">
        <v>1011</v>
      </c>
      <c r="D553" s="117" t="s">
        <v>582</v>
      </c>
      <c r="E553" s="118">
        <f t="shared" si="786"/>
        <v>0.7</v>
      </c>
      <c r="F553" s="118">
        <f t="shared" si="787"/>
        <v>0.7</v>
      </c>
      <c r="G553" s="118">
        <f t="shared" si="780"/>
        <v>0.7</v>
      </c>
      <c r="H553" s="118">
        <f t="shared" si="788"/>
        <v>0</v>
      </c>
      <c r="I553" s="119">
        <v>4.7E-2</v>
      </c>
      <c r="J553" s="114">
        <f t="shared" si="781"/>
        <v>46241</v>
      </c>
      <c r="K553" s="114">
        <f t="shared" si="770"/>
        <v>46241</v>
      </c>
      <c r="L553" s="114">
        <v>46142</v>
      </c>
      <c r="M553" s="115">
        <f t="shared" si="771"/>
        <v>46283</v>
      </c>
      <c r="N553" s="114">
        <f t="shared" si="772"/>
        <v>46283</v>
      </c>
      <c r="O553" s="115">
        <v>46268</v>
      </c>
      <c r="P553" s="114">
        <f t="shared" si="773"/>
        <v>46325</v>
      </c>
      <c r="Q553" s="114">
        <f t="shared" si="774"/>
        <v>46325</v>
      </c>
      <c r="R553" s="114"/>
      <c r="S553" s="114">
        <f t="shared" si="776"/>
        <v>46339</v>
      </c>
      <c r="T553" s="114">
        <f t="shared" si="775"/>
        <v>46339</v>
      </c>
      <c r="U553" s="114"/>
      <c r="V553" s="226"/>
      <c r="X553" s="168" t="str">
        <f t="shared" ca="1" si="782"/>
        <v>Completed</v>
      </c>
      <c r="Y553" s="168" t="str">
        <f t="shared" ca="1" si="783"/>
        <v>Completed</v>
      </c>
      <c r="Z553" s="168" t="str">
        <f t="shared" ca="1" si="784"/>
        <v/>
      </c>
      <c r="AA553" s="169" t="str">
        <f t="shared" ca="1" si="785"/>
        <v/>
      </c>
    </row>
    <row r="554" spans="1:27" s="70" customFormat="1" ht="11.5" x14ac:dyDescent="0.25">
      <c r="A554" s="117" t="s">
        <v>67</v>
      </c>
      <c r="B554" s="117" t="s">
        <v>14</v>
      </c>
      <c r="C554" s="117" t="s">
        <v>1012</v>
      </c>
      <c r="D554" s="149" t="s">
        <v>1087</v>
      </c>
      <c r="E554" s="118">
        <f t="shared" si="786"/>
        <v>0.7</v>
      </c>
      <c r="F554" s="118">
        <f t="shared" si="787"/>
        <v>0.7</v>
      </c>
      <c r="G554" s="118">
        <f t="shared" si="780"/>
        <v>0.7</v>
      </c>
      <c r="H554" s="118">
        <f t="shared" si="788"/>
        <v>0</v>
      </c>
      <c r="I554" s="119">
        <v>4.7E-2</v>
      </c>
      <c r="J554" s="114">
        <f t="shared" si="781"/>
        <v>46241</v>
      </c>
      <c r="K554" s="114">
        <f t="shared" si="770"/>
        <v>46241</v>
      </c>
      <c r="L554" s="114">
        <v>46142</v>
      </c>
      <c r="M554" s="115">
        <f t="shared" si="771"/>
        <v>46283</v>
      </c>
      <c r="N554" s="114">
        <f t="shared" si="772"/>
        <v>46283</v>
      </c>
      <c r="O554" s="115">
        <v>46268</v>
      </c>
      <c r="P554" s="114">
        <f t="shared" si="773"/>
        <v>46325</v>
      </c>
      <c r="Q554" s="114">
        <f t="shared" si="774"/>
        <v>46325</v>
      </c>
      <c r="R554" s="114"/>
      <c r="S554" s="114">
        <f t="shared" si="776"/>
        <v>46339</v>
      </c>
      <c r="T554" s="114">
        <f t="shared" si="775"/>
        <v>46339</v>
      </c>
      <c r="U554" s="114"/>
      <c r="V554" s="226"/>
      <c r="X554" s="168" t="str">
        <f t="shared" ca="1" si="782"/>
        <v>Completed</v>
      </c>
      <c r="Y554" s="168" t="str">
        <f t="shared" ca="1" si="783"/>
        <v>Completed</v>
      </c>
      <c r="Z554" s="168" t="str">
        <f t="shared" ca="1" si="784"/>
        <v/>
      </c>
      <c r="AA554" s="169" t="str">
        <f t="shared" ca="1" si="785"/>
        <v/>
      </c>
    </row>
    <row r="555" spans="1:27" s="70" customFormat="1" ht="11.5" x14ac:dyDescent="0.25">
      <c r="A555" s="117" t="s">
        <v>67</v>
      </c>
      <c r="B555" s="117" t="s">
        <v>14</v>
      </c>
      <c r="C555" s="117" t="s">
        <v>1013</v>
      </c>
      <c r="D555" s="117" t="s">
        <v>583</v>
      </c>
      <c r="E555" s="118">
        <f t="shared" si="786"/>
        <v>0.7</v>
      </c>
      <c r="F555" s="118">
        <f t="shared" si="787"/>
        <v>0.7</v>
      </c>
      <c r="G555" s="118">
        <f t="shared" si="780"/>
        <v>0.7</v>
      </c>
      <c r="H555" s="118">
        <f t="shared" si="788"/>
        <v>0</v>
      </c>
      <c r="I555" s="119">
        <v>4.7E-2</v>
      </c>
      <c r="J555" s="115">
        <f t="shared" si="781"/>
        <v>46241</v>
      </c>
      <c r="K555" s="115">
        <f t="shared" si="770"/>
        <v>46241</v>
      </c>
      <c r="L555" s="114">
        <v>46142</v>
      </c>
      <c r="M555" s="115">
        <f t="shared" si="771"/>
        <v>46283</v>
      </c>
      <c r="N555" s="115">
        <f t="shared" si="772"/>
        <v>46283</v>
      </c>
      <c r="O555" s="115">
        <v>46268</v>
      </c>
      <c r="P555" s="115">
        <f t="shared" si="773"/>
        <v>46325</v>
      </c>
      <c r="Q555" s="115">
        <f t="shared" si="774"/>
        <v>46325</v>
      </c>
      <c r="R555" s="114"/>
      <c r="S555" s="114">
        <f t="shared" si="776"/>
        <v>46339</v>
      </c>
      <c r="T555" s="115">
        <f t="shared" si="775"/>
        <v>46339</v>
      </c>
      <c r="U555" s="115"/>
      <c r="V555" s="227"/>
      <c r="X555" s="168" t="str">
        <f t="shared" ca="1" si="782"/>
        <v>Completed</v>
      </c>
      <c r="Y555" s="168" t="str">
        <f t="shared" ca="1" si="783"/>
        <v>Completed</v>
      </c>
      <c r="Z555" s="168" t="str">
        <f t="shared" ca="1" si="784"/>
        <v/>
      </c>
      <c r="AA555" s="169" t="str">
        <f t="shared" ca="1" si="785"/>
        <v/>
      </c>
    </row>
    <row r="556" spans="1:27" s="70" customFormat="1" ht="11.5" x14ac:dyDescent="0.25">
      <c r="A556" s="197" t="s">
        <v>67</v>
      </c>
      <c r="B556" s="197" t="s">
        <v>14</v>
      </c>
      <c r="C556" s="197" t="s">
        <v>584</v>
      </c>
      <c r="D556" s="197" t="s">
        <v>1136</v>
      </c>
      <c r="E556" s="198">
        <f t="shared" si="786"/>
        <v>0.7</v>
      </c>
      <c r="F556" s="198">
        <f t="shared" si="787"/>
        <v>0.7</v>
      </c>
      <c r="G556" s="198">
        <f t="shared" si="780"/>
        <v>1</v>
      </c>
      <c r="H556" s="198">
        <f t="shared" si="788"/>
        <v>0.30000000000000004</v>
      </c>
      <c r="I556" s="199">
        <v>4.7E-2</v>
      </c>
      <c r="J556" s="196">
        <f t="shared" si="781"/>
        <v>46248</v>
      </c>
      <c r="K556" s="196">
        <f t="shared" si="770"/>
        <v>46248</v>
      </c>
      <c r="L556" s="196">
        <v>46262</v>
      </c>
      <c r="M556" s="196">
        <f t="shared" si="771"/>
        <v>46290</v>
      </c>
      <c r="N556" s="196">
        <f t="shared" si="772"/>
        <v>46290</v>
      </c>
      <c r="O556" s="196">
        <v>46262</v>
      </c>
      <c r="P556" s="196">
        <f t="shared" si="773"/>
        <v>46332</v>
      </c>
      <c r="Q556" s="196">
        <f t="shared" si="774"/>
        <v>46332</v>
      </c>
      <c r="R556" s="196">
        <v>46262</v>
      </c>
      <c r="S556" s="190">
        <f t="shared" si="776"/>
        <v>46346</v>
      </c>
      <c r="T556" s="196">
        <f t="shared" si="775"/>
        <v>46346</v>
      </c>
      <c r="U556" s="196">
        <v>46262</v>
      </c>
      <c r="V556" s="234"/>
      <c r="X556" s="168" t="str">
        <f t="shared" ca="1" si="782"/>
        <v>Completed</v>
      </c>
      <c r="Y556" s="168" t="str">
        <f t="shared" ca="1" si="783"/>
        <v>Completed</v>
      </c>
      <c r="Z556" s="168" t="str">
        <f t="shared" ca="1" si="784"/>
        <v>Completed</v>
      </c>
      <c r="AA556" s="169" t="str">
        <f t="shared" ca="1" si="785"/>
        <v>Completed</v>
      </c>
    </row>
    <row r="557" spans="1:27" s="70" customFormat="1" ht="11.5" x14ac:dyDescent="0.25">
      <c r="A557" s="197" t="s">
        <v>67</v>
      </c>
      <c r="B557" s="197" t="s">
        <v>14</v>
      </c>
      <c r="C557" s="197" t="s">
        <v>585</v>
      </c>
      <c r="D557" s="197" t="s">
        <v>1137</v>
      </c>
      <c r="E557" s="198">
        <f t="shared" si="786"/>
        <v>0.7</v>
      </c>
      <c r="F557" s="198">
        <f t="shared" si="787"/>
        <v>0.7</v>
      </c>
      <c r="G557" s="198">
        <f t="shared" si="780"/>
        <v>1</v>
      </c>
      <c r="H557" s="198">
        <f t="shared" si="788"/>
        <v>0.30000000000000004</v>
      </c>
      <c r="I557" s="199">
        <v>4.7E-2</v>
      </c>
      <c r="J557" s="196">
        <f t="shared" si="781"/>
        <v>46248</v>
      </c>
      <c r="K557" s="196">
        <f t="shared" si="770"/>
        <v>46248</v>
      </c>
      <c r="L557" s="196">
        <v>46262</v>
      </c>
      <c r="M557" s="196">
        <f t="shared" si="771"/>
        <v>46290</v>
      </c>
      <c r="N557" s="196">
        <f t="shared" si="772"/>
        <v>46290</v>
      </c>
      <c r="O557" s="196">
        <v>46262</v>
      </c>
      <c r="P557" s="196">
        <f t="shared" si="773"/>
        <v>46332</v>
      </c>
      <c r="Q557" s="196">
        <f t="shared" si="774"/>
        <v>46332</v>
      </c>
      <c r="R557" s="196">
        <v>46262</v>
      </c>
      <c r="S557" s="190">
        <f t="shared" si="776"/>
        <v>46346</v>
      </c>
      <c r="T557" s="196">
        <f t="shared" si="775"/>
        <v>46346</v>
      </c>
      <c r="U557" s="196">
        <v>46262</v>
      </c>
      <c r="V557" s="234"/>
      <c r="X557" s="168" t="str">
        <f t="shared" ca="1" si="782"/>
        <v>Completed</v>
      </c>
      <c r="Y557" s="168" t="str">
        <f t="shared" ca="1" si="783"/>
        <v>Completed</v>
      </c>
      <c r="Z557" s="168" t="str">
        <f t="shared" ca="1" si="784"/>
        <v>Completed</v>
      </c>
      <c r="AA557" s="169" t="str">
        <f t="shared" ca="1" si="785"/>
        <v>Completed</v>
      </c>
    </row>
    <row r="558" spans="1:27" s="70" customFormat="1" ht="11.5" x14ac:dyDescent="0.25">
      <c r="A558" s="117" t="s">
        <v>67</v>
      </c>
      <c r="B558" s="117" t="s">
        <v>14</v>
      </c>
      <c r="C558" s="117" t="s">
        <v>1135</v>
      </c>
      <c r="D558" s="117" t="s">
        <v>1138</v>
      </c>
      <c r="E558" s="118">
        <f t="shared" ref="E558:E559" si="789">(COUNTIFS(J558,"&lt;="&amp;$C$1)*50%)+(COUNTIFS(M558,"&lt;="&amp;$C$1)*20%)+(COUNTIFS(P558,"&lt;="&amp;$C$1)*10%)+(COUNTIFS(S558,"&lt;="&amp;$C$1)*20%)</f>
        <v>0</v>
      </c>
      <c r="F558" s="118">
        <f t="shared" ref="F558:F559" si="790">(COUNTIFS(K558,"&lt;="&amp;$C$1)*50%)+(COUNTIFS(N558,"&lt;="&amp;$C$1)*20%)+(COUNTIFS(Q558,"&lt;="&amp;$C$1)*10%)+(COUNTIFS(T558,"&lt;="&amp;$C$1)*20%)</f>
        <v>0</v>
      </c>
      <c r="G558" s="118">
        <f t="shared" si="780"/>
        <v>0</v>
      </c>
      <c r="H558" s="118">
        <f t="shared" ref="H558:H559" si="791">G558-E558</f>
        <v>0</v>
      </c>
      <c r="I558" s="119"/>
      <c r="J558" s="115">
        <f t="shared" si="781"/>
        <v>46360</v>
      </c>
      <c r="K558" s="115">
        <f t="shared" ref="K558:K559" si="792">J558</f>
        <v>46360</v>
      </c>
      <c r="L558" s="115"/>
      <c r="M558" s="115">
        <f t="shared" ref="M558:M559" si="793">J558+42</f>
        <v>46402</v>
      </c>
      <c r="N558" s="115">
        <f t="shared" ref="N558:N559" si="794">M558</f>
        <v>46402</v>
      </c>
      <c r="O558" s="115"/>
      <c r="P558" s="115">
        <f t="shared" ref="P558:P559" si="795">M558+42</f>
        <v>46444</v>
      </c>
      <c r="Q558" s="115">
        <f t="shared" ref="Q558:Q559" si="796">P558</f>
        <v>46444</v>
      </c>
      <c r="R558" s="115"/>
      <c r="S558" s="114">
        <f t="shared" ref="S558:S559" si="797">P558+14</f>
        <v>46458</v>
      </c>
      <c r="T558" s="115">
        <f t="shared" ref="T558:T559" si="798">S558</f>
        <v>46458</v>
      </c>
      <c r="U558" s="115"/>
      <c r="V558" s="227"/>
      <c r="X558" s="168" t="str">
        <f t="shared" ca="1" si="782"/>
        <v/>
      </c>
      <c r="Y558" s="168" t="str">
        <f t="shared" ca="1" si="783"/>
        <v/>
      </c>
      <c r="Z558" s="168" t="str">
        <f t="shared" ca="1" si="784"/>
        <v/>
      </c>
      <c r="AA558" s="169" t="str">
        <f t="shared" ca="1" si="785"/>
        <v/>
      </c>
    </row>
    <row r="559" spans="1:27" s="70" customFormat="1" ht="11.5" x14ac:dyDescent="0.25">
      <c r="A559" s="117" t="s">
        <v>67</v>
      </c>
      <c r="B559" s="117" t="s">
        <v>14</v>
      </c>
      <c r="C559" s="117" t="s">
        <v>1135</v>
      </c>
      <c r="D559" s="117" t="s">
        <v>1139</v>
      </c>
      <c r="E559" s="118">
        <f t="shared" si="789"/>
        <v>0</v>
      </c>
      <c r="F559" s="118">
        <f t="shared" si="790"/>
        <v>0</v>
      </c>
      <c r="G559" s="118">
        <f t="shared" si="780"/>
        <v>0</v>
      </c>
      <c r="H559" s="118">
        <f t="shared" si="791"/>
        <v>0</v>
      </c>
      <c r="I559" s="119"/>
      <c r="J559" s="115">
        <f t="shared" si="781"/>
        <v>46360</v>
      </c>
      <c r="K559" s="115">
        <f t="shared" si="792"/>
        <v>46360</v>
      </c>
      <c r="L559" s="115"/>
      <c r="M559" s="115">
        <f t="shared" si="793"/>
        <v>46402</v>
      </c>
      <c r="N559" s="115">
        <f t="shared" si="794"/>
        <v>46402</v>
      </c>
      <c r="O559" s="115"/>
      <c r="P559" s="115">
        <f t="shared" si="795"/>
        <v>46444</v>
      </c>
      <c r="Q559" s="115">
        <f t="shared" si="796"/>
        <v>46444</v>
      </c>
      <c r="R559" s="115"/>
      <c r="S559" s="114">
        <f t="shared" si="797"/>
        <v>46458</v>
      </c>
      <c r="T559" s="115">
        <f t="shared" si="798"/>
        <v>46458</v>
      </c>
      <c r="U559" s="115"/>
      <c r="V559" s="227"/>
      <c r="X559" s="168" t="str">
        <f t="shared" ca="1" si="782"/>
        <v/>
      </c>
      <c r="Y559" s="168" t="str">
        <f t="shared" ca="1" si="783"/>
        <v/>
      </c>
      <c r="Z559" s="168" t="str">
        <f t="shared" ca="1" si="784"/>
        <v/>
      </c>
      <c r="AA559" s="169" t="str">
        <f t="shared" ca="1" si="785"/>
        <v/>
      </c>
    </row>
    <row r="560" spans="1:27" s="70" customFormat="1" ht="11.5" x14ac:dyDescent="0.25">
      <c r="A560" s="117" t="s">
        <v>67</v>
      </c>
      <c r="B560" s="117" t="s">
        <v>14</v>
      </c>
      <c r="C560" s="117" t="s">
        <v>877</v>
      </c>
      <c r="D560" s="117" t="s">
        <v>878</v>
      </c>
      <c r="E560" s="118">
        <f t="shared" ref="E560:E568" si="799">(COUNTIFS(J560,"&lt;="&amp;$C$1)*50%)+(COUNTIFS(M560,"&lt;="&amp;$C$1)*20%)+(COUNTIFS(P560,"&lt;="&amp;$C$1)*10%)+(COUNTIFS(S560,"&lt;="&amp;$C$1)*20%)</f>
        <v>0.7</v>
      </c>
      <c r="F560" s="118">
        <f t="shared" ref="F560:F568" si="800">(COUNTIFS(K560,"&lt;="&amp;$C$1)*50%)+(COUNTIFS(N560,"&lt;="&amp;$C$1)*20%)+(COUNTIFS(Q560,"&lt;="&amp;$C$1)*10%)+(COUNTIFS(T560,"&lt;="&amp;$C$1)*20%)</f>
        <v>0.7</v>
      </c>
      <c r="G560" s="118">
        <f t="shared" si="780"/>
        <v>0.7</v>
      </c>
      <c r="H560" s="118">
        <f t="shared" ref="H560:H568" si="801">G560-E560</f>
        <v>0</v>
      </c>
      <c r="I560" s="119"/>
      <c r="J560" s="115">
        <f t="shared" si="781"/>
        <v>46255</v>
      </c>
      <c r="K560" s="115">
        <f t="shared" ref="K560:K566" si="802">J560</f>
        <v>46255</v>
      </c>
      <c r="L560" s="114">
        <v>46190</v>
      </c>
      <c r="M560" s="115">
        <f t="shared" ref="M560:M566" si="803">J560+42</f>
        <v>46297</v>
      </c>
      <c r="N560" s="115">
        <f t="shared" ref="N560:N566" si="804">M560</f>
        <v>46297</v>
      </c>
      <c r="O560" s="115">
        <v>46276</v>
      </c>
      <c r="P560" s="115">
        <f t="shared" ref="P560:P566" si="805">M560+42</f>
        <v>46339</v>
      </c>
      <c r="Q560" s="115">
        <f t="shared" ref="Q560:Q566" si="806">P560</f>
        <v>46339</v>
      </c>
      <c r="R560" s="115"/>
      <c r="S560" s="114">
        <f t="shared" ref="S560:S566" si="807">P560+14</f>
        <v>46353</v>
      </c>
      <c r="T560" s="115">
        <f t="shared" ref="T560:T566" si="808">S560</f>
        <v>46353</v>
      </c>
      <c r="U560" s="115"/>
      <c r="V560" s="227"/>
      <c r="X560" s="168" t="str">
        <f t="shared" ca="1" si="782"/>
        <v>Completed</v>
      </c>
      <c r="Y560" s="168" t="str">
        <f t="shared" ca="1" si="783"/>
        <v>Completed</v>
      </c>
      <c r="Z560" s="168" t="str">
        <f t="shared" ca="1" si="784"/>
        <v/>
      </c>
      <c r="AA560" s="169" t="str">
        <f t="shared" ca="1" si="785"/>
        <v/>
      </c>
    </row>
    <row r="561" spans="1:27" s="70" customFormat="1" ht="11.5" x14ac:dyDescent="0.25">
      <c r="A561" s="117" t="s">
        <v>67</v>
      </c>
      <c r="B561" s="117" t="s">
        <v>14</v>
      </c>
      <c r="C561" s="117" t="s">
        <v>879</v>
      </c>
      <c r="D561" s="117" t="s">
        <v>1116</v>
      </c>
      <c r="E561" s="118">
        <f t="shared" si="799"/>
        <v>0</v>
      </c>
      <c r="F561" s="118">
        <f t="shared" si="800"/>
        <v>0</v>
      </c>
      <c r="G561" s="118">
        <f t="shared" si="780"/>
        <v>0.5</v>
      </c>
      <c r="H561" s="118">
        <f t="shared" si="801"/>
        <v>0.5</v>
      </c>
      <c r="I561" s="119"/>
      <c r="J561" s="115">
        <f t="shared" si="781"/>
        <v>46321</v>
      </c>
      <c r="K561" s="115">
        <f t="shared" si="802"/>
        <v>46321</v>
      </c>
      <c r="L561" s="115">
        <v>46276</v>
      </c>
      <c r="M561" s="115">
        <f t="shared" si="803"/>
        <v>46363</v>
      </c>
      <c r="N561" s="115">
        <f t="shared" si="804"/>
        <v>46363</v>
      </c>
      <c r="O561" s="115"/>
      <c r="P561" s="115">
        <f t="shared" si="805"/>
        <v>46405</v>
      </c>
      <c r="Q561" s="115">
        <f t="shared" si="806"/>
        <v>46405</v>
      </c>
      <c r="R561" s="115"/>
      <c r="S561" s="114">
        <f t="shared" si="807"/>
        <v>46419</v>
      </c>
      <c r="T561" s="115">
        <f t="shared" si="808"/>
        <v>46419</v>
      </c>
      <c r="U561" s="115"/>
      <c r="V561" s="227"/>
      <c r="X561" s="168" t="str">
        <f t="shared" ca="1" si="782"/>
        <v>Completed</v>
      </c>
      <c r="Y561" s="168" t="str">
        <f t="shared" ca="1" si="783"/>
        <v/>
      </c>
      <c r="Z561" s="168" t="str">
        <f t="shared" ca="1" si="784"/>
        <v/>
      </c>
      <c r="AA561" s="169" t="str">
        <f t="shared" ca="1" si="785"/>
        <v/>
      </c>
    </row>
    <row r="562" spans="1:27" s="70" customFormat="1" ht="11.5" x14ac:dyDescent="0.25">
      <c r="A562" s="117" t="s">
        <v>67</v>
      </c>
      <c r="B562" s="117" t="s">
        <v>14</v>
      </c>
      <c r="C562" s="117" t="s">
        <v>880</v>
      </c>
      <c r="D562" s="117" t="s">
        <v>1117</v>
      </c>
      <c r="E562" s="118">
        <f t="shared" si="799"/>
        <v>0</v>
      </c>
      <c r="F562" s="118">
        <f t="shared" si="800"/>
        <v>0</v>
      </c>
      <c r="G562" s="118">
        <f t="shared" si="780"/>
        <v>0.5</v>
      </c>
      <c r="H562" s="118">
        <f t="shared" si="801"/>
        <v>0.5</v>
      </c>
      <c r="I562" s="119"/>
      <c r="J562" s="115">
        <f t="shared" si="781"/>
        <v>46321</v>
      </c>
      <c r="K562" s="115">
        <f t="shared" si="802"/>
        <v>46321</v>
      </c>
      <c r="L562" s="115">
        <v>46276</v>
      </c>
      <c r="M562" s="115">
        <f t="shared" si="803"/>
        <v>46363</v>
      </c>
      <c r="N562" s="115">
        <f t="shared" si="804"/>
        <v>46363</v>
      </c>
      <c r="O562" s="115"/>
      <c r="P562" s="115">
        <f t="shared" si="805"/>
        <v>46405</v>
      </c>
      <c r="Q562" s="115">
        <f t="shared" si="806"/>
        <v>46405</v>
      </c>
      <c r="R562" s="115"/>
      <c r="S562" s="114">
        <f t="shared" si="807"/>
        <v>46419</v>
      </c>
      <c r="T562" s="115">
        <f t="shared" si="808"/>
        <v>46419</v>
      </c>
      <c r="U562" s="115"/>
      <c r="V562" s="227"/>
      <c r="X562" s="168" t="str">
        <f t="shared" ca="1" si="782"/>
        <v>Completed</v>
      </c>
      <c r="Y562" s="168" t="str">
        <f t="shared" ca="1" si="783"/>
        <v/>
      </c>
      <c r="Z562" s="168" t="str">
        <f t="shared" ca="1" si="784"/>
        <v/>
      </c>
      <c r="AA562" s="169" t="str">
        <f t="shared" ca="1" si="785"/>
        <v/>
      </c>
    </row>
    <row r="563" spans="1:27" s="70" customFormat="1" ht="11.5" x14ac:dyDescent="0.25">
      <c r="A563" s="117" t="s">
        <v>67</v>
      </c>
      <c r="B563" s="117" t="s">
        <v>14</v>
      </c>
      <c r="C563" s="117" t="s">
        <v>881</v>
      </c>
      <c r="D563" s="117" t="s">
        <v>1118</v>
      </c>
      <c r="E563" s="118">
        <f t="shared" si="799"/>
        <v>0</v>
      </c>
      <c r="F563" s="118">
        <f t="shared" si="800"/>
        <v>0</v>
      </c>
      <c r="G563" s="118">
        <f t="shared" si="780"/>
        <v>0.5</v>
      </c>
      <c r="H563" s="118">
        <f t="shared" si="801"/>
        <v>0.5</v>
      </c>
      <c r="I563" s="119"/>
      <c r="J563" s="115">
        <f t="shared" si="781"/>
        <v>46321</v>
      </c>
      <c r="K563" s="115">
        <f t="shared" si="802"/>
        <v>46321</v>
      </c>
      <c r="L563" s="115">
        <v>46276</v>
      </c>
      <c r="M563" s="115">
        <f t="shared" si="803"/>
        <v>46363</v>
      </c>
      <c r="N563" s="115">
        <f t="shared" si="804"/>
        <v>46363</v>
      </c>
      <c r="O563" s="115"/>
      <c r="P563" s="115">
        <f t="shared" si="805"/>
        <v>46405</v>
      </c>
      <c r="Q563" s="115">
        <f t="shared" si="806"/>
        <v>46405</v>
      </c>
      <c r="R563" s="115"/>
      <c r="S563" s="114">
        <f t="shared" si="807"/>
        <v>46419</v>
      </c>
      <c r="T563" s="115">
        <f t="shared" si="808"/>
        <v>46419</v>
      </c>
      <c r="U563" s="115"/>
      <c r="V563" s="227"/>
      <c r="X563" s="168" t="str">
        <f t="shared" ca="1" si="782"/>
        <v>Completed</v>
      </c>
      <c r="Y563" s="168" t="str">
        <f t="shared" ca="1" si="783"/>
        <v/>
      </c>
      <c r="Z563" s="168" t="str">
        <f t="shared" ca="1" si="784"/>
        <v/>
      </c>
      <c r="AA563" s="169" t="str">
        <f t="shared" ca="1" si="785"/>
        <v/>
      </c>
    </row>
    <row r="564" spans="1:27" s="70" customFormat="1" ht="11.5" x14ac:dyDescent="0.25">
      <c r="A564" s="117" t="s">
        <v>67</v>
      </c>
      <c r="B564" s="117" t="s">
        <v>14</v>
      </c>
      <c r="C564" s="117" t="s">
        <v>882</v>
      </c>
      <c r="D564" s="117" t="s">
        <v>1119</v>
      </c>
      <c r="E564" s="118">
        <f t="shared" si="799"/>
        <v>0</v>
      </c>
      <c r="F564" s="118">
        <f t="shared" si="800"/>
        <v>0</v>
      </c>
      <c r="G564" s="118">
        <f t="shared" si="780"/>
        <v>0.5</v>
      </c>
      <c r="H564" s="118">
        <f t="shared" si="801"/>
        <v>0.5</v>
      </c>
      <c r="I564" s="119"/>
      <c r="J564" s="115">
        <f t="shared" si="781"/>
        <v>46321</v>
      </c>
      <c r="K564" s="115">
        <f t="shared" si="802"/>
        <v>46321</v>
      </c>
      <c r="L564" s="115">
        <v>46276</v>
      </c>
      <c r="M564" s="115">
        <f t="shared" si="803"/>
        <v>46363</v>
      </c>
      <c r="N564" s="115">
        <f t="shared" si="804"/>
        <v>46363</v>
      </c>
      <c r="O564" s="115"/>
      <c r="P564" s="115">
        <f t="shared" si="805"/>
        <v>46405</v>
      </c>
      <c r="Q564" s="115">
        <f t="shared" si="806"/>
        <v>46405</v>
      </c>
      <c r="R564" s="115"/>
      <c r="S564" s="114">
        <f t="shared" si="807"/>
        <v>46419</v>
      </c>
      <c r="T564" s="115">
        <f t="shared" si="808"/>
        <v>46419</v>
      </c>
      <c r="U564" s="115"/>
      <c r="V564" s="227"/>
      <c r="X564" s="168" t="str">
        <f t="shared" ca="1" si="782"/>
        <v>Completed</v>
      </c>
      <c r="Y564" s="168" t="str">
        <f t="shared" ca="1" si="783"/>
        <v/>
      </c>
      <c r="Z564" s="168" t="str">
        <f t="shared" ca="1" si="784"/>
        <v/>
      </c>
      <c r="AA564" s="169" t="str">
        <f t="shared" ca="1" si="785"/>
        <v/>
      </c>
    </row>
    <row r="565" spans="1:27" s="70" customFormat="1" ht="11.5" x14ac:dyDescent="0.25">
      <c r="A565" s="117" t="s">
        <v>67</v>
      </c>
      <c r="B565" s="117" t="s">
        <v>14</v>
      </c>
      <c r="C565" s="117" t="s">
        <v>883</v>
      </c>
      <c r="D565" s="117" t="s">
        <v>1120</v>
      </c>
      <c r="E565" s="118">
        <f t="shared" si="799"/>
        <v>0</v>
      </c>
      <c r="F565" s="118">
        <f t="shared" si="800"/>
        <v>0</v>
      </c>
      <c r="G565" s="118">
        <f t="shared" si="780"/>
        <v>0.5</v>
      </c>
      <c r="H565" s="118">
        <f t="shared" si="801"/>
        <v>0.5</v>
      </c>
      <c r="I565" s="119"/>
      <c r="J565" s="115">
        <f t="shared" ref="J565:J568" si="809">J564</f>
        <v>46321</v>
      </c>
      <c r="K565" s="115">
        <f t="shared" si="802"/>
        <v>46321</v>
      </c>
      <c r="L565" s="115">
        <v>46276</v>
      </c>
      <c r="M565" s="115">
        <f t="shared" si="803"/>
        <v>46363</v>
      </c>
      <c r="N565" s="115">
        <f t="shared" si="804"/>
        <v>46363</v>
      </c>
      <c r="O565" s="115"/>
      <c r="P565" s="115">
        <f t="shared" si="805"/>
        <v>46405</v>
      </c>
      <c r="Q565" s="115">
        <f t="shared" si="806"/>
        <v>46405</v>
      </c>
      <c r="R565" s="115"/>
      <c r="S565" s="114">
        <f t="shared" si="807"/>
        <v>46419</v>
      </c>
      <c r="T565" s="115">
        <f t="shared" si="808"/>
        <v>46419</v>
      </c>
      <c r="U565" s="115"/>
      <c r="V565" s="227"/>
      <c r="X565" s="168" t="str">
        <f t="shared" ca="1" si="782"/>
        <v>Completed</v>
      </c>
      <c r="Y565" s="168" t="str">
        <f t="shared" ca="1" si="783"/>
        <v/>
      </c>
      <c r="Z565" s="168" t="str">
        <f t="shared" ca="1" si="784"/>
        <v/>
      </c>
      <c r="AA565" s="169" t="str">
        <f t="shared" ca="1" si="785"/>
        <v/>
      </c>
    </row>
    <row r="566" spans="1:27" s="70" customFormat="1" ht="11.5" x14ac:dyDescent="0.25">
      <c r="A566" s="117" t="s">
        <v>67</v>
      </c>
      <c r="B566" s="117" t="s">
        <v>14</v>
      </c>
      <c r="C566" s="117" t="s">
        <v>884</v>
      </c>
      <c r="D566" s="117" t="s">
        <v>1121</v>
      </c>
      <c r="E566" s="118">
        <f t="shared" si="799"/>
        <v>0</v>
      </c>
      <c r="F566" s="118">
        <f t="shared" si="800"/>
        <v>0</v>
      </c>
      <c r="G566" s="118">
        <f t="shared" si="780"/>
        <v>0.5</v>
      </c>
      <c r="H566" s="118">
        <f t="shared" si="801"/>
        <v>0.5</v>
      </c>
      <c r="I566" s="119"/>
      <c r="J566" s="115">
        <f t="shared" si="809"/>
        <v>46321</v>
      </c>
      <c r="K566" s="115">
        <f t="shared" si="802"/>
        <v>46321</v>
      </c>
      <c r="L566" s="115">
        <v>46276</v>
      </c>
      <c r="M566" s="115">
        <f t="shared" si="803"/>
        <v>46363</v>
      </c>
      <c r="N566" s="115">
        <f t="shared" si="804"/>
        <v>46363</v>
      </c>
      <c r="O566" s="115"/>
      <c r="P566" s="115">
        <f t="shared" si="805"/>
        <v>46405</v>
      </c>
      <c r="Q566" s="115">
        <f t="shared" si="806"/>
        <v>46405</v>
      </c>
      <c r="R566" s="115"/>
      <c r="S566" s="114">
        <f t="shared" si="807"/>
        <v>46419</v>
      </c>
      <c r="T566" s="115">
        <f t="shared" si="808"/>
        <v>46419</v>
      </c>
      <c r="U566" s="115"/>
      <c r="V566" s="227"/>
      <c r="X566" s="168" t="str">
        <f t="shared" ca="1" si="782"/>
        <v>Completed</v>
      </c>
      <c r="Y566" s="168" t="str">
        <f t="shared" ca="1" si="783"/>
        <v/>
      </c>
      <c r="Z566" s="168" t="str">
        <f t="shared" ca="1" si="784"/>
        <v/>
      </c>
      <c r="AA566" s="169" t="str">
        <f t="shared" ca="1" si="785"/>
        <v/>
      </c>
    </row>
    <row r="567" spans="1:27" s="70" customFormat="1" ht="11.5" x14ac:dyDescent="0.25">
      <c r="A567" s="117" t="s">
        <v>67</v>
      </c>
      <c r="B567" s="117" t="s">
        <v>14</v>
      </c>
      <c r="C567" s="117" t="s">
        <v>885</v>
      </c>
      <c r="D567" s="117" t="s">
        <v>1122</v>
      </c>
      <c r="E567" s="118">
        <f t="shared" si="799"/>
        <v>0</v>
      </c>
      <c r="F567" s="118">
        <f t="shared" si="800"/>
        <v>0</v>
      </c>
      <c r="G567" s="118">
        <f t="shared" si="780"/>
        <v>0.5</v>
      </c>
      <c r="H567" s="118">
        <f t="shared" si="801"/>
        <v>0.5</v>
      </c>
      <c r="I567" s="119"/>
      <c r="J567" s="115">
        <f t="shared" si="809"/>
        <v>46321</v>
      </c>
      <c r="K567" s="115">
        <f t="shared" ref="K567:K568" si="810">J567</f>
        <v>46321</v>
      </c>
      <c r="L567" s="115">
        <v>46276</v>
      </c>
      <c r="M567" s="115">
        <f t="shared" ref="M567:M568" si="811">J567+42</f>
        <v>46363</v>
      </c>
      <c r="N567" s="115">
        <f t="shared" ref="N567:N568" si="812">M567</f>
        <v>46363</v>
      </c>
      <c r="O567" s="115"/>
      <c r="P567" s="115">
        <f t="shared" ref="P567:P568" si="813">M567+42</f>
        <v>46405</v>
      </c>
      <c r="Q567" s="115">
        <f t="shared" ref="Q567:Q568" si="814">P567</f>
        <v>46405</v>
      </c>
      <c r="R567" s="115"/>
      <c r="S567" s="114">
        <f t="shared" ref="S567:S568" si="815">P567+14</f>
        <v>46419</v>
      </c>
      <c r="T567" s="115">
        <f t="shared" ref="T567:T568" si="816">S567</f>
        <v>46419</v>
      </c>
      <c r="U567" s="115"/>
      <c r="V567" s="227"/>
      <c r="X567" s="168" t="str">
        <f t="shared" ca="1" si="782"/>
        <v>Completed</v>
      </c>
      <c r="Y567" s="168" t="str">
        <f t="shared" ca="1" si="783"/>
        <v/>
      </c>
      <c r="Z567" s="168" t="str">
        <f t="shared" ca="1" si="784"/>
        <v/>
      </c>
      <c r="AA567" s="169" t="str">
        <f t="shared" ca="1" si="785"/>
        <v/>
      </c>
    </row>
    <row r="568" spans="1:27" s="70" customFormat="1" ht="11.5" x14ac:dyDescent="0.25">
      <c r="A568" s="117" t="s">
        <v>67</v>
      </c>
      <c r="B568" s="117" t="s">
        <v>14</v>
      </c>
      <c r="C568" s="117" t="s">
        <v>886</v>
      </c>
      <c r="D568" s="117" t="s">
        <v>1123</v>
      </c>
      <c r="E568" s="118">
        <f t="shared" si="799"/>
        <v>0</v>
      </c>
      <c r="F568" s="118">
        <f t="shared" si="800"/>
        <v>0</v>
      </c>
      <c r="G568" s="118">
        <f t="shared" si="780"/>
        <v>0.5</v>
      </c>
      <c r="H568" s="118">
        <f t="shared" si="801"/>
        <v>0.5</v>
      </c>
      <c r="I568" s="119"/>
      <c r="J568" s="115">
        <f t="shared" si="809"/>
        <v>46321</v>
      </c>
      <c r="K568" s="115">
        <f t="shared" si="810"/>
        <v>46321</v>
      </c>
      <c r="L568" s="115">
        <v>46276</v>
      </c>
      <c r="M568" s="115">
        <f t="shared" si="811"/>
        <v>46363</v>
      </c>
      <c r="N568" s="115">
        <f t="shared" si="812"/>
        <v>46363</v>
      </c>
      <c r="O568" s="115"/>
      <c r="P568" s="115">
        <f t="shared" si="813"/>
        <v>46405</v>
      </c>
      <c r="Q568" s="115">
        <f t="shared" si="814"/>
        <v>46405</v>
      </c>
      <c r="R568" s="115"/>
      <c r="S568" s="114">
        <f t="shared" si="815"/>
        <v>46419</v>
      </c>
      <c r="T568" s="115">
        <f t="shared" si="816"/>
        <v>46419</v>
      </c>
      <c r="U568" s="115"/>
      <c r="V568" s="227"/>
      <c r="X568" s="168" t="str">
        <f t="shared" ca="1" si="782"/>
        <v>Completed</v>
      </c>
      <c r="Y568" s="168" t="str">
        <f t="shared" ca="1" si="783"/>
        <v/>
      </c>
      <c r="Z568" s="168" t="str">
        <f t="shared" ca="1" si="784"/>
        <v/>
      </c>
      <c r="AA568" s="169" t="str">
        <f t="shared" ca="1" si="785"/>
        <v/>
      </c>
    </row>
    <row r="569" spans="1:27" s="70" customFormat="1" ht="11.5" x14ac:dyDescent="0.25">
      <c r="A569" s="117" t="s">
        <v>67</v>
      </c>
      <c r="B569" s="117" t="s">
        <v>14</v>
      </c>
      <c r="C569" s="117" t="s">
        <v>586</v>
      </c>
      <c r="D569" s="117" t="s">
        <v>587</v>
      </c>
      <c r="E569" s="118">
        <f t="shared" si="786"/>
        <v>0.7</v>
      </c>
      <c r="F569" s="118">
        <f t="shared" si="787"/>
        <v>0.7</v>
      </c>
      <c r="G569" s="118">
        <f t="shared" si="780"/>
        <v>0.79999999999999993</v>
      </c>
      <c r="H569" s="118">
        <f t="shared" si="788"/>
        <v>9.9999999999999978E-2</v>
      </c>
      <c r="I569" s="119">
        <v>4.7E-2</v>
      </c>
      <c r="J569" s="115">
        <f t="shared" ref="J569:J598" si="817">J448+28</f>
        <v>46248</v>
      </c>
      <c r="K569" s="115">
        <f t="shared" si="770"/>
        <v>46248</v>
      </c>
      <c r="L569" s="115">
        <v>46184</v>
      </c>
      <c r="M569" s="115">
        <f t="shared" si="771"/>
        <v>46290</v>
      </c>
      <c r="N569" s="115">
        <f t="shared" si="772"/>
        <v>46290</v>
      </c>
      <c r="O569" s="141">
        <v>46269</v>
      </c>
      <c r="P569" s="115">
        <f t="shared" si="773"/>
        <v>46332</v>
      </c>
      <c r="Q569" s="115">
        <f t="shared" si="774"/>
        <v>46332</v>
      </c>
      <c r="R569" s="160">
        <v>46300</v>
      </c>
      <c r="S569" s="114">
        <f t="shared" si="776"/>
        <v>46346</v>
      </c>
      <c r="T569" s="115">
        <f t="shared" si="775"/>
        <v>46346</v>
      </c>
      <c r="U569" s="115"/>
      <c r="V569" s="227"/>
      <c r="X569" s="168" t="str">
        <f t="shared" ca="1" si="782"/>
        <v>Completed</v>
      </c>
      <c r="Y569" s="168" t="str">
        <f t="shared" ca="1" si="783"/>
        <v>Completed</v>
      </c>
      <c r="Z569" s="168" t="str">
        <f t="shared" ca="1" si="784"/>
        <v>Completed</v>
      </c>
      <c r="AA569" s="169" t="str">
        <f t="shared" ca="1" si="785"/>
        <v/>
      </c>
    </row>
    <row r="570" spans="1:27" s="70" customFormat="1" ht="11.5" x14ac:dyDescent="0.25">
      <c r="A570" s="117" t="s">
        <v>67</v>
      </c>
      <c r="B570" s="117" t="s">
        <v>14</v>
      </c>
      <c r="C570" s="117" t="s">
        <v>588</v>
      </c>
      <c r="D570" s="117" t="s">
        <v>589</v>
      </c>
      <c r="E570" s="118">
        <f t="shared" si="786"/>
        <v>0.7</v>
      </c>
      <c r="F570" s="118">
        <f t="shared" si="787"/>
        <v>0.7</v>
      </c>
      <c r="G570" s="118">
        <f t="shared" si="780"/>
        <v>0.79999999999999993</v>
      </c>
      <c r="H570" s="118">
        <f t="shared" si="788"/>
        <v>9.9999999999999978E-2</v>
      </c>
      <c r="I570" s="119">
        <v>4.7E-2</v>
      </c>
      <c r="J570" s="115">
        <f t="shared" si="817"/>
        <v>46248</v>
      </c>
      <c r="K570" s="115">
        <f t="shared" si="770"/>
        <v>46248</v>
      </c>
      <c r="L570" s="115">
        <v>46184</v>
      </c>
      <c r="M570" s="115">
        <f t="shared" si="771"/>
        <v>46290</v>
      </c>
      <c r="N570" s="115">
        <f t="shared" si="772"/>
        <v>46290</v>
      </c>
      <c r="O570" s="141">
        <v>46269</v>
      </c>
      <c r="P570" s="115">
        <f t="shared" si="773"/>
        <v>46332</v>
      </c>
      <c r="Q570" s="115">
        <f t="shared" si="774"/>
        <v>46332</v>
      </c>
      <c r="R570" s="160">
        <v>46300</v>
      </c>
      <c r="S570" s="114">
        <f t="shared" si="776"/>
        <v>46346</v>
      </c>
      <c r="T570" s="115">
        <f t="shared" si="775"/>
        <v>46346</v>
      </c>
      <c r="U570" s="115"/>
      <c r="V570" s="227"/>
      <c r="X570" s="168" t="str">
        <f t="shared" ca="1" si="782"/>
        <v>Completed</v>
      </c>
      <c r="Y570" s="168" t="str">
        <f t="shared" ca="1" si="783"/>
        <v>Completed</v>
      </c>
      <c r="Z570" s="168" t="str">
        <f t="shared" ca="1" si="784"/>
        <v>Completed</v>
      </c>
      <c r="AA570" s="169" t="str">
        <f t="shared" ca="1" si="785"/>
        <v/>
      </c>
    </row>
    <row r="571" spans="1:27" s="70" customFormat="1" ht="11.5" x14ac:dyDescent="0.25">
      <c r="A571" s="111" t="s">
        <v>67</v>
      </c>
      <c r="B571" s="111" t="s">
        <v>14</v>
      </c>
      <c r="C571" s="111" t="s">
        <v>590</v>
      </c>
      <c r="D571" s="111" t="s">
        <v>591</v>
      </c>
      <c r="E571" s="112">
        <f t="shared" si="786"/>
        <v>0.7</v>
      </c>
      <c r="F571" s="112">
        <f t="shared" si="787"/>
        <v>0.7</v>
      </c>
      <c r="G571" s="112">
        <f t="shared" si="780"/>
        <v>0.79999999999999993</v>
      </c>
      <c r="H571" s="112">
        <f t="shared" si="788"/>
        <v>9.9999999999999978E-2</v>
      </c>
      <c r="I571" s="113">
        <v>4.7E-2</v>
      </c>
      <c r="J571" s="114">
        <f t="shared" si="817"/>
        <v>46248</v>
      </c>
      <c r="K571" s="114">
        <f t="shared" si="770"/>
        <v>46248</v>
      </c>
      <c r="L571" s="115">
        <v>46184</v>
      </c>
      <c r="M571" s="115">
        <f t="shared" si="771"/>
        <v>46290</v>
      </c>
      <c r="N571" s="114">
        <f t="shared" si="772"/>
        <v>46290</v>
      </c>
      <c r="O571" s="114">
        <v>46266</v>
      </c>
      <c r="P571" s="114">
        <f t="shared" si="773"/>
        <v>46332</v>
      </c>
      <c r="Q571" s="114">
        <f t="shared" si="774"/>
        <v>46332</v>
      </c>
      <c r="R571" s="160">
        <v>46300</v>
      </c>
      <c r="S571" s="114">
        <f t="shared" si="776"/>
        <v>46346</v>
      </c>
      <c r="T571" s="114">
        <f t="shared" si="775"/>
        <v>46346</v>
      </c>
      <c r="U571" s="114"/>
      <c r="V571" s="226"/>
      <c r="X571" s="168" t="str">
        <f t="shared" ca="1" si="782"/>
        <v>Completed</v>
      </c>
      <c r="Y571" s="168" t="str">
        <f t="shared" ca="1" si="783"/>
        <v>Completed</v>
      </c>
      <c r="Z571" s="168" t="str">
        <f t="shared" ca="1" si="784"/>
        <v>Completed</v>
      </c>
      <c r="AA571" s="169" t="str">
        <f t="shared" ca="1" si="785"/>
        <v/>
      </c>
    </row>
    <row r="572" spans="1:27" s="70" customFormat="1" ht="11.5" x14ac:dyDescent="0.25">
      <c r="A572" s="111" t="s">
        <v>67</v>
      </c>
      <c r="B572" s="111" t="s">
        <v>14</v>
      </c>
      <c r="C572" s="111" t="s">
        <v>592</v>
      </c>
      <c r="D572" s="111" t="s">
        <v>593</v>
      </c>
      <c r="E572" s="112">
        <f t="shared" si="786"/>
        <v>0.7</v>
      </c>
      <c r="F572" s="112">
        <f t="shared" si="787"/>
        <v>0.7</v>
      </c>
      <c r="G572" s="112">
        <f t="shared" si="780"/>
        <v>0.5</v>
      </c>
      <c r="H572" s="112">
        <f t="shared" si="788"/>
        <v>-0.19999999999999996</v>
      </c>
      <c r="I572" s="113">
        <v>4.7E-2</v>
      </c>
      <c r="J572" s="114">
        <f t="shared" si="817"/>
        <v>46248</v>
      </c>
      <c r="K572" s="114">
        <f t="shared" si="770"/>
        <v>46248</v>
      </c>
      <c r="L572" s="114">
        <v>46293</v>
      </c>
      <c r="M572" s="115">
        <f t="shared" si="771"/>
        <v>46290</v>
      </c>
      <c r="N572" s="114">
        <f t="shared" si="772"/>
        <v>46290</v>
      </c>
      <c r="O572" s="114"/>
      <c r="P572" s="114">
        <f t="shared" si="773"/>
        <v>46332</v>
      </c>
      <c r="Q572" s="114">
        <f t="shared" si="774"/>
        <v>46332</v>
      </c>
      <c r="R572" s="114"/>
      <c r="S572" s="114">
        <f t="shared" si="776"/>
        <v>46346</v>
      </c>
      <c r="T572" s="114">
        <f t="shared" si="775"/>
        <v>46346</v>
      </c>
      <c r="U572" s="114"/>
      <c r="V572" s="226"/>
      <c r="X572" s="168" t="str">
        <f t="shared" ca="1" si="782"/>
        <v>Completed</v>
      </c>
      <c r="Y572" s="168" t="str">
        <f t="shared" ca="1" si="783"/>
        <v>Overdue</v>
      </c>
      <c r="Z572" s="168" t="str">
        <f t="shared" ca="1" si="784"/>
        <v/>
      </c>
      <c r="AA572" s="169" t="str">
        <f t="shared" ca="1" si="785"/>
        <v/>
      </c>
    </row>
    <row r="573" spans="1:27" s="70" customFormat="1" ht="11.5" x14ac:dyDescent="0.25">
      <c r="A573" s="111" t="s">
        <v>67</v>
      </c>
      <c r="B573" s="111" t="s">
        <v>14</v>
      </c>
      <c r="C573" s="117" t="s">
        <v>594</v>
      </c>
      <c r="D573" s="117" t="s">
        <v>595</v>
      </c>
      <c r="E573" s="112">
        <f t="shared" si="786"/>
        <v>0.7</v>
      </c>
      <c r="F573" s="112">
        <f t="shared" si="787"/>
        <v>0.7</v>
      </c>
      <c r="G573" s="112">
        <f t="shared" si="780"/>
        <v>0.7</v>
      </c>
      <c r="H573" s="112">
        <f t="shared" si="788"/>
        <v>0</v>
      </c>
      <c r="I573" s="113">
        <v>4.7E-2</v>
      </c>
      <c r="J573" s="114">
        <f t="shared" si="817"/>
        <v>46255</v>
      </c>
      <c r="K573" s="114">
        <f t="shared" si="770"/>
        <v>46255</v>
      </c>
      <c r="L573" s="114">
        <v>46142</v>
      </c>
      <c r="M573" s="115">
        <f t="shared" si="771"/>
        <v>46297</v>
      </c>
      <c r="N573" s="114">
        <f t="shared" si="772"/>
        <v>46297</v>
      </c>
      <c r="O573" s="114">
        <v>46255</v>
      </c>
      <c r="P573" s="114">
        <f t="shared" si="773"/>
        <v>46339</v>
      </c>
      <c r="Q573" s="114">
        <f t="shared" si="774"/>
        <v>46339</v>
      </c>
      <c r="R573" s="114"/>
      <c r="S573" s="114">
        <f t="shared" si="776"/>
        <v>46353</v>
      </c>
      <c r="T573" s="114">
        <f t="shared" si="775"/>
        <v>46353</v>
      </c>
      <c r="U573" s="114"/>
      <c r="V573" s="226"/>
      <c r="X573" s="168" t="str">
        <f t="shared" ca="1" si="782"/>
        <v>Completed</v>
      </c>
      <c r="Y573" s="168" t="str">
        <f t="shared" ca="1" si="783"/>
        <v>Completed</v>
      </c>
      <c r="Z573" s="168" t="str">
        <f t="shared" ca="1" si="784"/>
        <v/>
      </c>
      <c r="AA573" s="169" t="str">
        <f t="shared" ca="1" si="785"/>
        <v/>
      </c>
    </row>
    <row r="574" spans="1:27" s="70" customFormat="1" ht="11.5" x14ac:dyDescent="0.25">
      <c r="A574" s="111" t="s">
        <v>67</v>
      </c>
      <c r="B574" s="111" t="s">
        <v>14</v>
      </c>
      <c r="C574" s="117" t="s">
        <v>596</v>
      </c>
      <c r="D574" s="117" t="s">
        <v>597</v>
      </c>
      <c r="E574" s="112">
        <f t="shared" si="786"/>
        <v>0.7</v>
      </c>
      <c r="F574" s="112">
        <f t="shared" si="787"/>
        <v>0.7</v>
      </c>
      <c r="G574" s="112">
        <f t="shared" si="780"/>
        <v>0.7</v>
      </c>
      <c r="H574" s="112">
        <f t="shared" si="788"/>
        <v>0</v>
      </c>
      <c r="I574" s="113">
        <v>4.7E-2</v>
      </c>
      <c r="J574" s="114">
        <f t="shared" si="817"/>
        <v>46255</v>
      </c>
      <c r="K574" s="114">
        <f t="shared" si="770"/>
        <v>46255</v>
      </c>
      <c r="L574" s="114">
        <v>46142</v>
      </c>
      <c r="M574" s="115">
        <f t="shared" si="771"/>
        <v>46297</v>
      </c>
      <c r="N574" s="114">
        <f t="shared" si="772"/>
        <v>46297</v>
      </c>
      <c r="O574" s="114">
        <v>46255</v>
      </c>
      <c r="P574" s="114">
        <f t="shared" si="773"/>
        <v>46339</v>
      </c>
      <c r="Q574" s="114">
        <f t="shared" si="774"/>
        <v>46339</v>
      </c>
      <c r="R574" s="114"/>
      <c r="S574" s="114">
        <f t="shared" si="776"/>
        <v>46353</v>
      </c>
      <c r="T574" s="114">
        <f t="shared" si="775"/>
        <v>46353</v>
      </c>
      <c r="U574" s="114"/>
      <c r="V574" s="226"/>
      <c r="X574" s="168" t="str">
        <f t="shared" ca="1" si="782"/>
        <v>Completed</v>
      </c>
      <c r="Y574" s="168" t="str">
        <f t="shared" ca="1" si="783"/>
        <v>Completed</v>
      </c>
      <c r="Z574" s="168" t="str">
        <f t="shared" ca="1" si="784"/>
        <v/>
      </c>
      <c r="AA574" s="169" t="str">
        <f t="shared" ca="1" si="785"/>
        <v/>
      </c>
    </row>
    <row r="575" spans="1:27" s="70" customFormat="1" ht="11.5" x14ac:dyDescent="0.25">
      <c r="A575" s="117" t="s">
        <v>67</v>
      </c>
      <c r="B575" s="117" t="s">
        <v>14</v>
      </c>
      <c r="C575" s="117" t="s">
        <v>1014</v>
      </c>
      <c r="D575" s="117" t="s">
        <v>598</v>
      </c>
      <c r="E575" s="112">
        <f t="shared" ref="E575" si="818">(COUNTIFS(J575,"&lt;="&amp;$C$1)*50%)+(COUNTIFS(M575,"&lt;="&amp;$C$1)*20%)+(COUNTIFS(P575,"&lt;="&amp;$C$1)*10%)+(COUNTIFS(S575,"&lt;="&amp;$C$1)*20%)</f>
        <v>0.7</v>
      </c>
      <c r="F575" s="112">
        <f t="shared" ref="F575" si="819">(COUNTIFS(K575,"&lt;="&amp;$C$1)*50%)+(COUNTIFS(N575,"&lt;="&amp;$C$1)*20%)+(COUNTIFS(Q575,"&lt;="&amp;$C$1)*10%)+(COUNTIFS(T575,"&lt;="&amp;$C$1)*20%)</f>
        <v>0.7</v>
      </c>
      <c r="G575" s="112">
        <f t="shared" si="780"/>
        <v>0.7</v>
      </c>
      <c r="H575" s="112">
        <f t="shared" ref="H575" si="820">G575-E575</f>
        <v>0</v>
      </c>
      <c r="I575" s="113">
        <v>4.7E-2</v>
      </c>
      <c r="J575" s="114">
        <f t="shared" si="817"/>
        <v>46255</v>
      </c>
      <c r="K575" s="114">
        <f t="shared" si="770"/>
        <v>46255</v>
      </c>
      <c r="L575" s="114">
        <v>46266</v>
      </c>
      <c r="M575" s="115">
        <f t="shared" si="771"/>
        <v>46297</v>
      </c>
      <c r="N575" s="114">
        <f t="shared" si="772"/>
        <v>46297</v>
      </c>
      <c r="O575" s="141">
        <v>46269</v>
      </c>
      <c r="P575" s="114">
        <f t="shared" si="773"/>
        <v>46339</v>
      </c>
      <c r="Q575" s="114">
        <f t="shared" si="774"/>
        <v>46339</v>
      </c>
      <c r="R575" s="114"/>
      <c r="S575" s="114">
        <f t="shared" si="776"/>
        <v>46353</v>
      </c>
      <c r="T575" s="114">
        <f t="shared" si="775"/>
        <v>46353</v>
      </c>
      <c r="U575" s="114"/>
      <c r="V575" s="226"/>
      <c r="X575" s="168" t="str">
        <f t="shared" ca="1" si="782"/>
        <v>Completed</v>
      </c>
      <c r="Y575" s="168" t="str">
        <f t="shared" ca="1" si="783"/>
        <v>Completed</v>
      </c>
      <c r="Z575" s="168" t="str">
        <f t="shared" ca="1" si="784"/>
        <v/>
      </c>
      <c r="AA575" s="169" t="str">
        <f t="shared" ca="1" si="785"/>
        <v/>
      </c>
    </row>
    <row r="576" spans="1:27" s="70" customFormat="1" ht="11.5" x14ac:dyDescent="0.25">
      <c r="A576" s="111" t="s">
        <v>67</v>
      </c>
      <c r="B576" s="111" t="s">
        <v>14</v>
      </c>
      <c r="C576" s="117" t="s">
        <v>1015</v>
      </c>
      <c r="D576" s="117" t="s">
        <v>599</v>
      </c>
      <c r="E576" s="112">
        <f t="shared" si="786"/>
        <v>0.7</v>
      </c>
      <c r="F576" s="112">
        <f t="shared" si="787"/>
        <v>0.7</v>
      </c>
      <c r="G576" s="112">
        <f t="shared" ref="G576:G599" si="821">(COUNTIFS(L576,"&lt;="&amp;$C$1)*50%)+(COUNTIFS(O576,"&lt;="&amp;$C$1)*20%)+(COUNTIFS(R576,"&lt;="&amp;$C$1)*10%)+(COUNTIFS(U576,"&lt;="&amp;$C$1)*20%)</f>
        <v>0.7</v>
      </c>
      <c r="H576" s="112">
        <f t="shared" si="788"/>
        <v>0</v>
      </c>
      <c r="I576" s="113">
        <v>4.7E-2</v>
      </c>
      <c r="J576" s="114">
        <f t="shared" si="817"/>
        <v>46255</v>
      </c>
      <c r="K576" s="114">
        <f t="shared" si="770"/>
        <v>46255</v>
      </c>
      <c r="L576" s="114">
        <v>46266</v>
      </c>
      <c r="M576" s="115">
        <f t="shared" si="771"/>
        <v>46297</v>
      </c>
      <c r="N576" s="114">
        <f t="shared" si="772"/>
        <v>46297</v>
      </c>
      <c r="O576" s="141">
        <v>46269</v>
      </c>
      <c r="P576" s="114">
        <f t="shared" si="773"/>
        <v>46339</v>
      </c>
      <c r="Q576" s="114">
        <f t="shared" si="774"/>
        <v>46339</v>
      </c>
      <c r="R576" s="114"/>
      <c r="S576" s="114">
        <f t="shared" si="776"/>
        <v>46353</v>
      </c>
      <c r="T576" s="114">
        <f t="shared" si="775"/>
        <v>46353</v>
      </c>
      <c r="U576" s="114"/>
      <c r="V576" s="226"/>
      <c r="X576" s="168" t="str">
        <f t="shared" ca="1" si="782"/>
        <v>Completed</v>
      </c>
      <c r="Y576" s="168" t="str">
        <f t="shared" ca="1" si="783"/>
        <v>Completed</v>
      </c>
      <c r="Z576" s="168" t="str">
        <f t="shared" ca="1" si="784"/>
        <v/>
      </c>
      <c r="AA576" s="169" t="str">
        <f t="shared" ca="1" si="785"/>
        <v/>
      </c>
    </row>
    <row r="577" spans="1:27" s="70" customFormat="1" ht="11.5" x14ac:dyDescent="0.25">
      <c r="A577" s="111" t="s">
        <v>67</v>
      </c>
      <c r="B577" s="111" t="s">
        <v>14</v>
      </c>
      <c r="C577" s="117" t="s">
        <v>1016</v>
      </c>
      <c r="D577" s="117" t="s">
        <v>600</v>
      </c>
      <c r="E577" s="112">
        <f t="shared" si="786"/>
        <v>0.7</v>
      </c>
      <c r="F577" s="112">
        <f t="shared" si="787"/>
        <v>0.7</v>
      </c>
      <c r="G577" s="112">
        <f t="shared" si="821"/>
        <v>0.7</v>
      </c>
      <c r="H577" s="112">
        <f t="shared" si="788"/>
        <v>0</v>
      </c>
      <c r="I577" s="113">
        <v>4.7E-2</v>
      </c>
      <c r="J577" s="114">
        <f t="shared" si="817"/>
        <v>46255</v>
      </c>
      <c r="K577" s="114">
        <f t="shared" si="770"/>
        <v>46255</v>
      </c>
      <c r="L577" s="115">
        <v>46276</v>
      </c>
      <c r="M577" s="115">
        <f t="shared" si="771"/>
        <v>46297</v>
      </c>
      <c r="N577" s="114">
        <f t="shared" si="772"/>
        <v>46297</v>
      </c>
      <c r="O577" s="114">
        <v>46288</v>
      </c>
      <c r="P577" s="114">
        <f t="shared" si="773"/>
        <v>46339</v>
      </c>
      <c r="Q577" s="114">
        <f t="shared" si="774"/>
        <v>46339</v>
      </c>
      <c r="R577" s="114"/>
      <c r="S577" s="114">
        <f t="shared" si="776"/>
        <v>46353</v>
      </c>
      <c r="T577" s="114">
        <f t="shared" si="775"/>
        <v>46353</v>
      </c>
      <c r="U577" s="114"/>
      <c r="V577" s="226"/>
      <c r="X577" s="168" t="str">
        <f t="shared" ca="1" si="782"/>
        <v>Completed</v>
      </c>
      <c r="Y577" s="168" t="str">
        <f t="shared" ca="1" si="783"/>
        <v>Completed</v>
      </c>
      <c r="Z577" s="168" t="str">
        <f t="shared" ca="1" si="784"/>
        <v/>
      </c>
      <c r="AA577" s="169" t="str">
        <f t="shared" ca="1" si="785"/>
        <v/>
      </c>
    </row>
    <row r="578" spans="1:27" s="70" customFormat="1" ht="11.5" x14ac:dyDescent="0.25">
      <c r="A578" s="111" t="s">
        <v>67</v>
      </c>
      <c r="B578" s="111" t="s">
        <v>14</v>
      </c>
      <c r="C578" s="117" t="s">
        <v>1017</v>
      </c>
      <c r="D578" s="117" t="s">
        <v>601</v>
      </c>
      <c r="E578" s="112">
        <f t="shared" si="786"/>
        <v>0.7</v>
      </c>
      <c r="F578" s="112">
        <f t="shared" si="787"/>
        <v>0.7</v>
      </c>
      <c r="G578" s="112">
        <f t="shared" si="821"/>
        <v>0.7</v>
      </c>
      <c r="H578" s="112">
        <f t="shared" si="788"/>
        <v>0</v>
      </c>
      <c r="I578" s="113">
        <v>4.7E-2</v>
      </c>
      <c r="J578" s="114">
        <f t="shared" si="817"/>
        <v>46255</v>
      </c>
      <c r="K578" s="114">
        <f t="shared" si="770"/>
        <v>46255</v>
      </c>
      <c r="L578" s="115">
        <v>46276</v>
      </c>
      <c r="M578" s="115">
        <f t="shared" si="771"/>
        <v>46297</v>
      </c>
      <c r="N578" s="114">
        <f t="shared" si="772"/>
        <v>46297</v>
      </c>
      <c r="O578" s="114">
        <v>46288</v>
      </c>
      <c r="P578" s="114">
        <f t="shared" si="773"/>
        <v>46339</v>
      </c>
      <c r="Q578" s="114">
        <f t="shared" si="774"/>
        <v>46339</v>
      </c>
      <c r="R578" s="114"/>
      <c r="S578" s="114">
        <f t="shared" si="776"/>
        <v>46353</v>
      </c>
      <c r="T578" s="114">
        <f t="shared" si="775"/>
        <v>46353</v>
      </c>
      <c r="U578" s="114"/>
      <c r="V578" s="226"/>
      <c r="X578" s="168" t="str">
        <f t="shared" ca="1" si="782"/>
        <v>Completed</v>
      </c>
      <c r="Y578" s="168" t="str">
        <f t="shared" ca="1" si="783"/>
        <v>Completed</v>
      </c>
      <c r="Z578" s="168" t="str">
        <f t="shared" ca="1" si="784"/>
        <v/>
      </c>
      <c r="AA578" s="169" t="str">
        <f t="shared" ca="1" si="785"/>
        <v/>
      </c>
    </row>
    <row r="579" spans="1:27" s="70" customFormat="1" ht="11.5" x14ac:dyDescent="0.25">
      <c r="A579" s="111" t="s">
        <v>67</v>
      </c>
      <c r="B579" s="111" t="s">
        <v>14</v>
      </c>
      <c r="C579" s="117" t="s">
        <v>1018</v>
      </c>
      <c r="D579" s="117" t="s">
        <v>602</v>
      </c>
      <c r="E579" s="112">
        <f t="shared" si="786"/>
        <v>0.7</v>
      </c>
      <c r="F579" s="112">
        <f t="shared" si="787"/>
        <v>0.7</v>
      </c>
      <c r="G579" s="112">
        <f t="shared" si="821"/>
        <v>0.7</v>
      </c>
      <c r="H579" s="112">
        <f t="shared" si="788"/>
        <v>0</v>
      </c>
      <c r="I579" s="113">
        <v>4.7E-2</v>
      </c>
      <c r="J579" s="114">
        <f t="shared" si="817"/>
        <v>46255</v>
      </c>
      <c r="K579" s="114">
        <f t="shared" si="770"/>
        <v>46255</v>
      </c>
      <c r="L579" s="115">
        <v>46276</v>
      </c>
      <c r="M579" s="115">
        <f t="shared" si="771"/>
        <v>46297</v>
      </c>
      <c r="N579" s="114">
        <f t="shared" si="772"/>
        <v>46297</v>
      </c>
      <c r="O579" s="114">
        <v>46288</v>
      </c>
      <c r="P579" s="114">
        <f t="shared" si="773"/>
        <v>46339</v>
      </c>
      <c r="Q579" s="114">
        <f t="shared" si="774"/>
        <v>46339</v>
      </c>
      <c r="R579" s="114"/>
      <c r="S579" s="114">
        <f t="shared" si="776"/>
        <v>46353</v>
      </c>
      <c r="T579" s="114">
        <f t="shared" si="775"/>
        <v>46353</v>
      </c>
      <c r="U579" s="114"/>
      <c r="V579" s="226"/>
      <c r="X579" s="168" t="str">
        <f t="shared" ca="1" si="782"/>
        <v>Completed</v>
      </c>
      <c r="Y579" s="168" t="str">
        <f t="shared" ca="1" si="783"/>
        <v>Completed</v>
      </c>
      <c r="Z579" s="168" t="str">
        <f t="shared" ca="1" si="784"/>
        <v/>
      </c>
      <c r="AA579" s="169" t="str">
        <f t="shared" ca="1" si="785"/>
        <v/>
      </c>
    </row>
    <row r="580" spans="1:27" s="70" customFormat="1" ht="11.5" x14ac:dyDescent="0.25">
      <c r="A580" s="111" t="s">
        <v>67</v>
      </c>
      <c r="B580" s="111" t="s">
        <v>14</v>
      </c>
      <c r="C580" s="117" t="s">
        <v>1019</v>
      </c>
      <c r="D580" s="117" t="s">
        <v>603</v>
      </c>
      <c r="E580" s="112">
        <f t="shared" si="786"/>
        <v>0.7</v>
      </c>
      <c r="F580" s="112">
        <f t="shared" si="787"/>
        <v>0.7</v>
      </c>
      <c r="G580" s="112">
        <f t="shared" si="821"/>
        <v>0.7</v>
      </c>
      <c r="H580" s="112">
        <f t="shared" si="788"/>
        <v>0</v>
      </c>
      <c r="I580" s="113">
        <v>4.7E-2</v>
      </c>
      <c r="J580" s="114">
        <f t="shared" si="817"/>
        <v>46255</v>
      </c>
      <c r="K580" s="114">
        <f t="shared" si="770"/>
        <v>46255</v>
      </c>
      <c r="L580" s="115">
        <v>46276</v>
      </c>
      <c r="M580" s="115">
        <f t="shared" si="771"/>
        <v>46297</v>
      </c>
      <c r="N580" s="114">
        <f t="shared" si="772"/>
        <v>46297</v>
      </c>
      <c r="O580" s="114">
        <v>46288</v>
      </c>
      <c r="P580" s="114">
        <f t="shared" si="773"/>
        <v>46339</v>
      </c>
      <c r="Q580" s="114">
        <f t="shared" si="774"/>
        <v>46339</v>
      </c>
      <c r="R580" s="114"/>
      <c r="S580" s="114">
        <f t="shared" si="776"/>
        <v>46353</v>
      </c>
      <c r="T580" s="114">
        <f t="shared" si="775"/>
        <v>46353</v>
      </c>
      <c r="U580" s="114"/>
      <c r="V580" s="226"/>
      <c r="X580" s="168" t="str">
        <f t="shared" ca="1" si="782"/>
        <v>Completed</v>
      </c>
      <c r="Y580" s="168" t="str">
        <f t="shared" ca="1" si="783"/>
        <v>Completed</v>
      </c>
      <c r="Z580" s="168" t="str">
        <f t="shared" ca="1" si="784"/>
        <v/>
      </c>
      <c r="AA580" s="169" t="str">
        <f t="shared" ca="1" si="785"/>
        <v/>
      </c>
    </row>
    <row r="581" spans="1:27" s="70" customFormat="1" ht="11.5" x14ac:dyDescent="0.25">
      <c r="A581" s="111" t="s">
        <v>67</v>
      </c>
      <c r="B581" s="111" t="s">
        <v>14</v>
      </c>
      <c r="C581" s="117" t="s">
        <v>1020</v>
      </c>
      <c r="D581" s="117" t="s">
        <v>604</v>
      </c>
      <c r="E581" s="112">
        <f t="shared" si="786"/>
        <v>0.7</v>
      </c>
      <c r="F581" s="112">
        <f t="shared" si="787"/>
        <v>0.7</v>
      </c>
      <c r="G581" s="112">
        <f t="shared" si="821"/>
        <v>0.7</v>
      </c>
      <c r="H581" s="112">
        <f t="shared" si="788"/>
        <v>0</v>
      </c>
      <c r="I581" s="113">
        <v>4.7E-2</v>
      </c>
      <c r="J581" s="114">
        <f t="shared" si="817"/>
        <v>46255</v>
      </c>
      <c r="K581" s="114">
        <f t="shared" si="770"/>
        <v>46255</v>
      </c>
      <c r="L581" s="115">
        <v>46276</v>
      </c>
      <c r="M581" s="115">
        <f t="shared" si="771"/>
        <v>46297</v>
      </c>
      <c r="N581" s="114">
        <f t="shared" si="772"/>
        <v>46297</v>
      </c>
      <c r="O581" s="114">
        <v>46288</v>
      </c>
      <c r="P581" s="114">
        <f t="shared" si="773"/>
        <v>46339</v>
      </c>
      <c r="Q581" s="114">
        <f t="shared" si="774"/>
        <v>46339</v>
      </c>
      <c r="R581" s="114"/>
      <c r="S581" s="114">
        <f t="shared" si="776"/>
        <v>46353</v>
      </c>
      <c r="T581" s="114">
        <f t="shared" si="775"/>
        <v>46353</v>
      </c>
      <c r="U581" s="114"/>
      <c r="V581" s="226"/>
      <c r="X581" s="168" t="str">
        <f t="shared" ca="1" si="782"/>
        <v>Completed</v>
      </c>
      <c r="Y581" s="168" t="str">
        <f t="shared" ca="1" si="783"/>
        <v>Completed</v>
      </c>
      <c r="Z581" s="168" t="str">
        <f t="shared" ca="1" si="784"/>
        <v/>
      </c>
      <c r="AA581" s="169" t="str">
        <f t="shared" ca="1" si="785"/>
        <v/>
      </c>
    </row>
    <row r="582" spans="1:27" s="70" customFormat="1" ht="11.5" x14ac:dyDescent="0.25">
      <c r="A582" s="111" t="s">
        <v>67</v>
      </c>
      <c r="B582" s="111" t="s">
        <v>14</v>
      </c>
      <c r="C582" s="117" t="s">
        <v>1021</v>
      </c>
      <c r="D582" s="117" t="s">
        <v>605</v>
      </c>
      <c r="E582" s="112">
        <f t="shared" si="786"/>
        <v>0.7</v>
      </c>
      <c r="F582" s="112">
        <f t="shared" si="787"/>
        <v>0.7</v>
      </c>
      <c r="G582" s="112">
        <f t="shared" si="821"/>
        <v>0.7</v>
      </c>
      <c r="H582" s="112">
        <f t="shared" si="788"/>
        <v>0</v>
      </c>
      <c r="I582" s="113">
        <v>4.7E-2</v>
      </c>
      <c r="J582" s="114">
        <f t="shared" si="817"/>
        <v>46255</v>
      </c>
      <c r="K582" s="114">
        <f t="shared" si="770"/>
        <v>46255</v>
      </c>
      <c r="L582" s="115">
        <v>46276</v>
      </c>
      <c r="M582" s="115">
        <f t="shared" si="771"/>
        <v>46297</v>
      </c>
      <c r="N582" s="114">
        <f t="shared" si="772"/>
        <v>46297</v>
      </c>
      <c r="O582" s="114">
        <v>46288</v>
      </c>
      <c r="P582" s="114">
        <f t="shared" si="773"/>
        <v>46339</v>
      </c>
      <c r="Q582" s="114">
        <f t="shared" si="774"/>
        <v>46339</v>
      </c>
      <c r="R582" s="114"/>
      <c r="S582" s="114">
        <f t="shared" si="776"/>
        <v>46353</v>
      </c>
      <c r="T582" s="114">
        <f t="shared" si="775"/>
        <v>46353</v>
      </c>
      <c r="U582" s="114"/>
      <c r="V582" s="226"/>
      <c r="X582" s="168" t="str">
        <f t="shared" ca="1" si="782"/>
        <v>Completed</v>
      </c>
      <c r="Y582" s="168" t="str">
        <f t="shared" ca="1" si="783"/>
        <v>Completed</v>
      </c>
      <c r="Z582" s="168" t="str">
        <f t="shared" ca="1" si="784"/>
        <v/>
      </c>
      <c r="AA582" s="169" t="str">
        <f t="shared" ca="1" si="785"/>
        <v/>
      </c>
    </row>
    <row r="583" spans="1:27" s="70" customFormat="1" ht="11.5" x14ac:dyDescent="0.25">
      <c r="A583" s="111" t="s">
        <v>67</v>
      </c>
      <c r="B583" s="111" t="s">
        <v>14</v>
      </c>
      <c r="C583" s="117" t="s">
        <v>1022</v>
      </c>
      <c r="D583" s="117" t="s">
        <v>606</v>
      </c>
      <c r="E583" s="112">
        <f t="shared" si="786"/>
        <v>0.7</v>
      </c>
      <c r="F583" s="112">
        <f t="shared" si="787"/>
        <v>0.7</v>
      </c>
      <c r="G583" s="112">
        <f t="shared" si="821"/>
        <v>0.7</v>
      </c>
      <c r="H583" s="112">
        <f t="shared" si="788"/>
        <v>0</v>
      </c>
      <c r="I583" s="113">
        <v>4.7E-2</v>
      </c>
      <c r="J583" s="114">
        <f t="shared" si="817"/>
        <v>46255</v>
      </c>
      <c r="K583" s="114">
        <f t="shared" si="770"/>
        <v>46255</v>
      </c>
      <c r="L583" s="115">
        <v>46276</v>
      </c>
      <c r="M583" s="115">
        <f t="shared" si="771"/>
        <v>46297</v>
      </c>
      <c r="N583" s="114">
        <f t="shared" si="772"/>
        <v>46297</v>
      </c>
      <c r="O583" s="114">
        <v>46288</v>
      </c>
      <c r="P583" s="114">
        <f t="shared" si="773"/>
        <v>46339</v>
      </c>
      <c r="Q583" s="114">
        <f t="shared" si="774"/>
        <v>46339</v>
      </c>
      <c r="R583" s="114"/>
      <c r="S583" s="114">
        <f t="shared" si="776"/>
        <v>46353</v>
      </c>
      <c r="T583" s="114">
        <f t="shared" si="775"/>
        <v>46353</v>
      </c>
      <c r="U583" s="114"/>
      <c r="V583" s="226"/>
      <c r="X583" s="168" t="str">
        <f t="shared" ca="1" si="782"/>
        <v>Completed</v>
      </c>
      <c r="Y583" s="168" t="str">
        <f t="shared" ca="1" si="783"/>
        <v>Completed</v>
      </c>
      <c r="Z583" s="168" t="str">
        <f t="shared" ca="1" si="784"/>
        <v/>
      </c>
      <c r="AA583" s="169" t="str">
        <f t="shared" ca="1" si="785"/>
        <v/>
      </c>
    </row>
    <row r="584" spans="1:27" s="70" customFormat="1" ht="11.5" x14ac:dyDescent="0.25">
      <c r="A584" s="111" t="s">
        <v>67</v>
      </c>
      <c r="B584" s="111" t="s">
        <v>14</v>
      </c>
      <c r="C584" s="117" t="s">
        <v>607</v>
      </c>
      <c r="D584" s="117" t="s">
        <v>608</v>
      </c>
      <c r="E584" s="112">
        <f t="shared" si="786"/>
        <v>0.7</v>
      </c>
      <c r="F584" s="112">
        <f t="shared" si="787"/>
        <v>0.7</v>
      </c>
      <c r="G584" s="112">
        <f t="shared" si="821"/>
        <v>0</v>
      </c>
      <c r="H584" s="112">
        <f t="shared" si="788"/>
        <v>-0.7</v>
      </c>
      <c r="I584" s="113">
        <v>4.7E-2</v>
      </c>
      <c r="J584" s="114">
        <f t="shared" si="817"/>
        <v>46262</v>
      </c>
      <c r="K584" s="114">
        <f t="shared" si="770"/>
        <v>46262</v>
      </c>
      <c r="L584" s="114"/>
      <c r="M584" s="115">
        <f t="shared" si="771"/>
        <v>46304</v>
      </c>
      <c r="N584" s="114">
        <f t="shared" si="772"/>
        <v>46304</v>
      </c>
      <c r="O584" s="114"/>
      <c r="P584" s="114">
        <f t="shared" si="773"/>
        <v>46346</v>
      </c>
      <c r="Q584" s="114">
        <f t="shared" si="774"/>
        <v>46346</v>
      </c>
      <c r="R584" s="114"/>
      <c r="S584" s="114">
        <f t="shared" si="776"/>
        <v>46360</v>
      </c>
      <c r="T584" s="114">
        <f t="shared" si="775"/>
        <v>46360</v>
      </c>
      <c r="U584" s="114"/>
      <c r="V584" s="226"/>
      <c r="X584" s="168" t="str">
        <f t="shared" ca="1" si="782"/>
        <v>Overdue</v>
      </c>
      <c r="Y584" s="168" t="str">
        <f t="shared" ca="1" si="783"/>
        <v>Overdue</v>
      </c>
      <c r="Z584" s="168" t="str">
        <f t="shared" ca="1" si="784"/>
        <v/>
      </c>
      <c r="AA584" s="169" t="str">
        <f t="shared" ca="1" si="785"/>
        <v/>
      </c>
    </row>
    <row r="585" spans="1:27" s="70" customFormat="1" ht="11.5" x14ac:dyDescent="0.25">
      <c r="A585" s="111" t="s">
        <v>67</v>
      </c>
      <c r="B585" s="111" t="s">
        <v>14</v>
      </c>
      <c r="C585" s="117" t="s">
        <v>609</v>
      </c>
      <c r="D585" s="117" t="s">
        <v>610</v>
      </c>
      <c r="E585" s="112">
        <f t="shared" si="786"/>
        <v>0.7</v>
      </c>
      <c r="F585" s="112">
        <f t="shared" si="787"/>
        <v>0.7</v>
      </c>
      <c r="G585" s="112">
        <f t="shared" si="821"/>
        <v>0</v>
      </c>
      <c r="H585" s="112">
        <f t="shared" si="788"/>
        <v>-0.7</v>
      </c>
      <c r="I585" s="113">
        <v>4.7E-2</v>
      </c>
      <c r="J585" s="114">
        <f t="shared" si="817"/>
        <v>46262</v>
      </c>
      <c r="K585" s="114">
        <f t="shared" si="770"/>
        <v>46262</v>
      </c>
      <c r="L585" s="114"/>
      <c r="M585" s="115">
        <f t="shared" si="771"/>
        <v>46304</v>
      </c>
      <c r="N585" s="114">
        <f t="shared" si="772"/>
        <v>46304</v>
      </c>
      <c r="O585" s="114"/>
      <c r="P585" s="114">
        <f t="shared" si="773"/>
        <v>46346</v>
      </c>
      <c r="Q585" s="114">
        <f t="shared" si="774"/>
        <v>46346</v>
      </c>
      <c r="R585" s="114"/>
      <c r="S585" s="114">
        <f t="shared" si="776"/>
        <v>46360</v>
      </c>
      <c r="T585" s="114">
        <f t="shared" si="775"/>
        <v>46360</v>
      </c>
      <c r="U585" s="114"/>
      <c r="V585" s="226"/>
      <c r="X585" s="168" t="str">
        <f t="shared" ca="1" si="782"/>
        <v>Overdue</v>
      </c>
      <c r="Y585" s="168" t="str">
        <f t="shared" ca="1" si="783"/>
        <v>Overdue</v>
      </c>
      <c r="Z585" s="168" t="str">
        <f t="shared" ca="1" si="784"/>
        <v/>
      </c>
      <c r="AA585" s="169" t="str">
        <f t="shared" ca="1" si="785"/>
        <v/>
      </c>
    </row>
    <row r="586" spans="1:27" s="70" customFormat="1" ht="11.5" x14ac:dyDescent="0.25">
      <c r="A586" s="111" t="s">
        <v>67</v>
      </c>
      <c r="B586" s="111" t="s">
        <v>14</v>
      </c>
      <c r="C586" s="117" t="s">
        <v>611</v>
      </c>
      <c r="D586" s="117" t="s">
        <v>612</v>
      </c>
      <c r="E586" s="112">
        <f t="shared" si="786"/>
        <v>0.7</v>
      </c>
      <c r="F586" s="112">
        <f t="shared" si="787"/>
        <v>0.7</v>
      </c>
      <c r="G586" s="112">
        <f t="shared" si="821"/>
        <v>0</v>
      </c>
      <c r="H586" s="112">
        <f t="shared" si="788"/>
        <v>-0.7</v>
      </c>
      <c r="I586" s="113">
        <v>4.7E-2</v>
      </c>
      <c r="J586" s="114">
        <f t="shared" si="817"/>
        <v>46262</v>
      </c>
      <c r="K586" s="114">
        <f t="shared" si="770"/>
        <v>46262</v>
      </c>
      <c r="L586" s="114"/>
      <c r="M586" s="115">
        <f t="shared" si="771"/>
        <v>46304</v>
      </c>
      <c r="N586" s="114">
        <f t="shared" si="772"/>
        <v>46304</v>
      </c>
      <c r="O586" s="114"/>
      <c r="P586" s="114">
        <f t="shared" si="773"/>
        <v>46346</v>
      </c>
      <c r="Q586" s="114">
        <f t="shared" si="774"/>
        <v>46346</v>
      </c>
      <c r="R586" s="114"/>
      <c r="S586" s="114">
        <f t="shared" si="776"/>
        <v>46360</v>
      </c>
      <c r="T586" s="114">
        <f t="shared" si="775"/>
        <v>46360</v>
      </c>
      <c r="U586" s="114"/>
      <c r="V586" s="226"/>
      <c r="X586" s="168" t="str">
        <f t="shared" ca="1" si="782"/>
        <v>Overdue</v>
      </c>
      <c r="Y586" s="168" t="str">
        <f t="shared" ca="1" si="783"/>
        <v>Overdue</v>
      </c>
      <c r="Z586" s="168" t="str">
        <f t="shared" ca="1" si="784"/>
        <v/>
      </c>
      <c r="AA586" s="169" t="str">
        <f t="shared" ca="1" si="785"/>
        <v/>
      </c>
    </row>
    <row r="587" spans="1:27" s="70" customFormat="1" ht="11.5" x14ac:dyDescent="0.25">
      <c r="A587" s="111" t="s">
        <v>67</v>
      </c>
      <c r="B587" s="111" t="s">
        <v>14</v>
      </c>
      <c r="C587" s="117" t="s">
        <v>1023</v>
      </c>
      <c r="D587" s="117" t="s">
        <v>613</v>
      </c>
      <c r="E587" s="112">
        <f t="shared" si="786"/>
        <v>0.7</v>
      </c>
      <c r="F587" s="112">
        <f t="shared" si="787"/>
        <v>0.7</v>
      </c>
      <c r="G587" s="112">
        <f t="shared" si="821"/>
        <v>0.7</v>
      </c>
      <c r="H587" s="112">
        <f t="shared" si="788"/>
        <v>0</v>
      </c>
      <c r="I587" s="113">
        <v>4.7E-2</v>
      </c>
      <c r="J587" s="114">
        <f t="shared" si="817"/>
        <v>46262</v>
      </c>
      <c r="K587" s="114">
        <f t="shared" si="770"/>
        <v>46262</v>
      </c>
      <c r="L587" s="115">
        <v>46266</v>
      </c>
      <c r="M587" s="115">
        <f t="shared" si="771"/>
        <v>46304</v>
      </c>
      <c r="N587" s="114">
        <f t="shared" si="772"/>
        <v>46304</v>
      </c>
      <c r="O587" s="114">
        <v>46281</v>
      </c>
      <c r="P587" s="114">
        <f t="shared" si="773"/>
        <v>46346</v>
      </c>
      <c r="Q587" s="114">
        <f t="shared" si="774"/>
        <v>46346</v>
      </c>
      <c r="R587" s="114"/>
      <c r="S587" s="114">
        <f t="shared" si="776"/>
        <v>46360</v>
      </c>
      <c r="T587" s="114">
        <f t="shared" si="775"/>
        <v>46360</v>
      </c>
      <c r="U587" s="114"/>
      <c r="V587" s="226"/>
      <c r="X587" s="168" t="str">
        <f t="shared" ca="1" si="782"/>
        <v>Completed</v>
      </c>
      <c r="Y587" s="168" t="str">
        <f t="shared" ca="1" si="783"/>
        <v>Completed</v>
      </c>
      <c r="Z587" s="168" t="str">
        <f t="shared" ca="1" si="784"/>
        <v/>
      </c>
      <c r="AA587" s="169" t="str">
        <f t="shared" ca="1" si="785"/>
        <v/>
      </c>
    </row>
    <row r="588" spans="1:27" s="70" customFormat="1" ht="11.5" x14ac:dyDescent="0.25">
      <c r="A588" s="111" t="s">
        <v>67</v>
      </c>
      <c r="B588" s="111" t="s">
        <v>14</v>
      </c>
      <c r="C588" s="117" t="s">
        <v>1024</v>
      </c>
      <c r="D588" s="117" t="s">
        <v>614</v>
      </c>
      <c r="E588" s="112">
        <f t="shared" si="786"/>
        <v>0.7</v>
      </c>
      <c r="F588" s="112">
        <f t="shared" si="787"/>
        <v>0.7</v>
      </c>
      <c r="G588" s="112">
        <f t="shared" si="821"/>
        <v>0.7</v>
      </c>
      <c r="H588" s="112">
        <f t="shared" si="788"/>
        <v>0</v>
      </c>
      <c r="I588" s="113">
        <v>4.7E-2</v>
      </c>
      <c r="J588" s="114">
        <f t="shared" si="817"/>
        <v>46262</v>
      </c>
      <c r="K588" s="114">
        <f t="shared" ref="K588:K651" si="822">J588</f>
        <v>46262</v>
      </c>
      <c r="L588" s="115">
        <v>46266</v>
      </c>
      <c r="M588" s="115">
        <f t="shared" ref="M588:M651" si="823">J588+42</f>
        <v>46304</v>
      </c>
      <c r="N588" s="114">
        <f t="shared" ref="N588:N651" si="824">M588</f>
        <v>46304</v>
      </c>
      <c r="O588" s="114">
        <v>46281</v>
      </c>
      <c r="P588" s="114">
        <f t="shared" ref="P588:P651" si="825">M588+42</f>
        <v>46346</v>
      </c>
      <c r="Q588" s="114">
        <f t="shared" ref="Q588:Q651" si="826">P588</f>
        <v>46346</v>
      </c>
      <c r="R588" s="114"/>
      <c r="S588" s="114">
        <f t="shared" si="776"/>
        <v>46360</v>
      </c>
      <c r="T588" s="114">
        <f t="shared" ref="T588:T651" si="827">S588</f>
        <v>46360</v>
      </c>
      <c r="U588" s="114"/>
      <c r="V588" s="226"/>
      <c r="X588" s="168" t="str">
        <f t="shared" ca="1" si="782"/>
        <v>Completed</v>
      </c>
      <c r="Y588" s="168" t="str">
        <f t="shared" ca="1" si="783"/>
        <v>Completed</v>
      </c>
      <c r="Z588" s="168" t="str">
        <f t="shared" ca="1" si="784"/>
        <v/>
      </c>
      <c r="AA588" s="169" t="str">
        <f t="shared" ca="1" si="785"/>
        <v/>
      </c>
    </row>
    <row r="589" spans="1:27" s="70" customFormat="1" ht="11.5" x14ac:dyDescent="0.25">
      <c r="A589" s="111" t="s">
        <v>67</v>
      </c>
      <c r="B589" s="111" t="s">
        <v>14</v>
      </c>
      <c r="C589" s="117" t="s">
        <v>1025</v>
      </c>
      <c r="D589" s="117" t="s">
        <v>615</v>
      </c>
      <c r="E589" s="112">
        <f t="shared" si="786"/>
        <v>0.7</v>
      </c>
      <c r="F589" s="112">
        <f t="shared" si="787"/>
        <v>0.7</v>
      </c>
      <c r="G589" s="112">
        <f t="shared" si="821"/>
        <v>0.7</v>
      </c>
      <c r="H589" s="112">
        <f t="shared" si="788"/>
        <v>0</v>
      </c>
      <c r="I589" s="113">
        <v>4.7E-2</v>
      </c>
      <c r="J589" s="114">
        <f t="shared" si="817"/>
        <v>46262</v>
      </c>
      <c r="K589" s="114">
        <f t="shared" si="822"/>
        <v>46262</v>
      </c>
      <c r="L589" s="115">
        <v>46266</v>
      </c>
      <c r="M589" s="114">
        <f t="shared" si="823"/>
        <v>46304</v>
      </c>
      <c r="N589" s="114">
        <f t="shared" si="824"/>
        <v>46304</v>
      </c>
      <c r="O589" s="114">
        <v>46281</v>
      </c>
      <c r="P589" s="114">
        <f t="shared" si="825"/>
        <v>46346</v>
      </c>
      <c r="Q589" s="114">
        <f t="shared" si="826"/>
        <v>46346</v>
      </c>
      <c r="R589" s="114"/>
      <c r="S589" s="114">
        <f t="shared" ref="S589:S652" si="828">P589+14</f>
        <v>46360</v>
      </c>
      <c r="T589" s="114">
        <f t="shared" si="827"/>
        <v>46360</v>
      </c>
      <c r="U589" s="114"/>
      <c r="V589" s="226"/>
      <c r="X589" s="168" t="str">
        <f t="shared" ca="1" si="782"/>
        <v>Completed</v>
      </c>
      <c r="Y589" s="168" t="str">
        <f t="shared" ca="1" si="783"/>
        <v>Completed</v>
      </c>
      <c r="Z589" s="168" t="str">
        <f t="shared" ca="1" si="784"/>
        <v/>
      </c>
      <c r="AA589" s="169" t="str">
        <f t="shared" ca="1" si="785"/>
        <v/>
      </c>
    </row>
    <row r="590" spans="1:27" s="70" customFormat="1" ht="11.5" x14ac:dyDescent="0.25">
      <c r="A590" s="111" t="s">
        <v>67</v>
      </c>
      <c r="B590" s="111" t="s">
        <v>14</v>
      </c>
      <c r="C590" s="117" t="s">
        <v>1026</v>
      </c>
      <c r="D590" s="117" t="s">
        <v>616</v>
      </c>
      <c r="E590" s="112">
        <f t="shared" si="786"/>
        <v>0.7</v>
      </c>
      <c r="F590" s="112">
        <f t="shared" si="787"/>
        <v>0.7</v>
      </c>
      <c r="G590" s="112">
        <f t="shared" si="821"/>
        <v>0.7</v>
      </c>
      <c r="H590" s="112">
        <f t="shared" si="788"/>
        <v>0</v>
      </c>
      <c r="I590" s="113">
        <v>4.7E-2</v>
      </c>
      <c r="J590" s="114">
        <f t="shared" si="817"/>
        <v>46262</v>
      </c>
      <c r="K590" s="114">
        <f t="shared" si="822"/>
        <v>46262</v>
      </c>
      <c r="L590" s="115">
        <v>46266</v>
      </c>
      <c r="M590" s="114">
        <f t="shared" si="823"/>
        <v>46304</v>
      </c>
      <c r="N590" s="114">
        <f t="shared" si="824"/>
        <v>46304</v>
      </c>
      <c r="O590" s="114">
        <v>46281</v>
      </c>
      <c r="P590" s="114">
        <f t="shared" si="825"/>
        <v>46346</v>
      </c>
      <c r="Q590" s="114">
        <f t="shared" si="826"/>
        <v>46346</v>
      </c>
      <c r="R590" s="114"/>
      <c r="S590" s="114">
        <f t="shared" si="828"/>
        <v>46360</v>
      </c>
      <c r="T590" s="114">
        <f t="shared" si="827"/>
        <v>46360</v>
      </c>
      <c r="U590" s="114"/>
      <c r="V590" s="226"/>
      <c r="X590" s="168" t="str">
        <f t="shared" ca="1" si="782"/>
        <v>Completed</v>
      </c>
      <c r="Y590" s="168" t="str">
        <f t="shared" ca="1" si="783"/>
        <v>Completed</v>
      </c>
      <c r="Z590" s="168" t="str">
        <f t="shared" ca="1" si="784"/>
        <v/>
      </c>
      <c r="AA590" s="169" t="str">
        <f t="shared" ca="1" si="785"/>
        <v/>
      </c>
    </row>
    <row r="591" spans="1:27" s="70" customFormat="1" ht="11.5" x14ac:dyDescent="0.25">
      <c r="A591" s="111" t="s">
        <v>67</v>
      </c>
      <c r="B591" s="111" t="s">
        <v>14</v>
      </c>
      <c r="C591" s="111" t="s">
        <v>1027</v>
      </c>
      <c r="D591" s="111" t="s">
        <v>617</v>
      </c>
      <c r="E591" s="112">
        <f t="shared" si="786"/>
        <v>0.7</v>
      </c>
      <c r="F591" s="112">
        <f t="shared" si="787"/>
        <v>0.7</v>
      </c>
      <c r="G591" s="112">
        <f t="shared" si="821"/>
        <v>0.7</v>
      </c>
      <c r="H591" s="112">
        <f t="shared" si="788"/>
        <v>0</v>
      </c>
      <c r="I591" s="113">
        <v>4.7E-2</v>
      </c>
      <c r="J591" s="114">
        <f t="shared" si="817"/>
        <v>46262</v>
      </c>
      <c r="K591" s="114">
        <f t="shared" si="822"/>
        <v>46262</v>
      </c>
      <c r="L591" s="115">
        <v>46266</v>
      </c>
      <c r="M591" s="114">
        <f t="shared" si="823"/>
        <v>46304</v>
      </c>
      <c r="N591" s="114">
        <f t="shared" si="824"/>
        <v>46304</v>
      </c>
      <c r="O591" s="114">
        <v>46281</v>
      </c>
      <c r="P591" s="114">
        <f t="shared" si="825"/>
        <v>46346</v>
      </c>
      <c r="Q591" s="114">
        <f t="shared" si="826"/>
        <v>46346</v>
      </c>
      <c r="R591" s="114"/>
      <c r="S591" s="114">
        <f t="shared" si="828"/>
        <v>46360</v>
      </c>
      <c r="T591" s="114">
        <f t="shared" si="827"/>
        <v>46360</v>
      </c>
      <c r="U591" s="114"/>
      <c r="V591" s="226"/>
      <c r="X591" s="168" t="str">
        <f t="shared" ca="1" si="782"/>
        <v>Completed</v>
      </c>
      <c r="Y591" s="168" t="str">
        <f t="shared" ca="1" si="783"/>
        <v>Completed</v>
      </c>
      <c r="Z591" s="168" t="str">
        <f t="shared" ca="1" si="784"/>
        <v/>
      </c>
      <c r="AA591" s="169" t="str">
        <f t="shared" ca="1" si="785"/>
        <v/>
      </c>
    </row>
    <row r="592" spans="1:27" s="70" customFormat="1" ht="11.5" x14ac:dyDescent="0.25">
      <c r="A592" s="111" t="s">
        <v>67</v>
      </c>
      <c r="B592" s="111" t="s">
        <v>14</v>
      </c>
      <c r="C592" s="111" t="s">
        <v>1028</v>
      </c>
      <c r="D592" s="111" t="s">
        <v>618</v>
      </c>
      <c r="E592" s="112">
        <f t="shared" si="786"/>
        <v>0.7</v>
      </c>
      <c r="F592" s="112">
        <f t="shared" si="787"/>
        <v>0.7</v>
      </c>
      <c r="G592" s="112">
        <f t="shared" si="821"/>
        <v>0.7</v>
      </c>
      <c r="H592" s="112">
        <f t="shared" si="788"/>
        <v>0</v>
      </c>
      <c r="I592" s="113">
        <v>4.7E-2</v>
      </c>
      <c r="J592" s="114">
        <f t="shared" si="817"/>
        <v>46262</v>
      </c>
      <c r="K592" s="114">
        <f t="shared" si="822"/>
        <v>46262</v>
      </c>
      <c r="L592" s="115">
        <v>46266</v>
      </c>
      <c r="M592" s="114">
        <f t="shared" si="823"/>
        <v>46304</v>
      </c>
      <c r="N592" s="114">
        <f t="shared" si="824"/>
        <v>46304</v>
      </c>
      <c r="O592" s="114">
        <v>46281</v>
      </c>
      <c r="P592" s="114">
        <f t="shared" si="825"/>
        <v>46346</v>
      </c>
      <c r="Q592" s="114">
        <f t="shared" si="826"/>
        <v>46346</v>
      </c>
      <c r="R592" s="114"/>
      <c r="S592" s="114">
        <f t="shared" si="828"/>
        <v>46360</v>
      </c>
      <c r="T592" s="114">
        <f t="shared" si="827"/>
        <v>46360</v>
      </c>
      <c r="U592" s="114"/>
      <c r="V592" s="226"/>
      <c r="X592" s="168" t="str">
        <f t="shared" ca="1" si="782"/>
        <v>Completed</v>
      </c>
      <c r="Y592" s="168" t="str">
        <f t="shared" ca="1" si="783"/>
        <v>Completed</v>
      </c>
      <c r="Z592" s="168" t="str">
        <f t="shared" ca="1" si="784"/>
        <v/>
      </c>
      <c r="AA592" s="169" t="str">
        <f t="shared" ca="1" si="785"/>
        <v/>
      </c>
    </row>
    <row r="593" spans="1:27" s="70" customFormat="1" ht="11.5" x14ac:dyDescent="0.25">
      <c r="A593" s="111" t="s">
        <v>67</v>
      </c>
      <c r="B593" s="111" t="s">
        <v>14</v>
      </c>
      <c r="C593" s="111" t="s">
        <v>619</v>
      </c>
      <c r="D593" s="111" t="s">
        <v>620</v>
      </c>
      <c r="E593" s="112">
        <f t="shared" ref="E593" si="829">(COUNTIFS(J593,"&lt;="&amp;$C$1)*50%)+(COUNTIFS(M593,"&lt;="&amp;$C$1)*20%)+(COUNTIFS(P593,"&lt;="&amp;$C$1)*10%)+(COUNTIFS(S593,"&lt;="&amp;$C$1)*20%)</f>
        <v>0.7</v>
      </c>
      <c r="F593" s="112">
        <f t="shared" ref="F593" si="830">(COUNTIFS(K593,"&lt;="&amp;$C$1)*50%)+(COUNTIFS(N593,"&lt;="&amp;$C$1)*20%)+(COUNTIFS(Q593,"&lt;="&amp;$C$1)*10%)+(COUNTIFS(T593,"&lt;="&amp;$C$1)*20%)</f>
        <v>0.7</v>
      </c>
      <c r="G593" s="112">
        <f t="shared" si="821"/>
        <v>0</v>
      </c>
      <c r="H593" s="112">
        <f t="shared" ref="H593" si="831">G593-E593</f>
        <v>-0.7</v>
      </c>
      <c r="I593" s="113">
        <v>4.7E-2</v>
      </c>
      <c r="J593" s="114">
        <f t="shared" si="817"/>
        <v>46262</v>
      </c>
      <c r="K593" s="114">
        <f t="shared" si="822"/>
        <v>46262</v>
      </c>
      <c r="L593" s="114"/>
      <c r="M593" s="114">
        <f t="shared" si="823"/>
        <v>46304</v>
      </c>
      <c r="N593" s="114">
        <f t="shared" si="824"/>
        <v>46304</v>
      </c>
      <c r="O593" s="114"/>
      <c r="P593" s="114">
        <f t="shared" si="825"/>
        <v>46346</v>
      </c>
      <c r="Q593" s="114">
        <f t="shared" si="826"/>
        <v>46346</v>
      </c>
      <c r="R593" s="114"/>
      <c r="S593" s="114">
        <f t="shared" si="828"/>
        <v>46360</v>
      </c>
      <c r="T593" s="114">
        <f t="shared" si="827"/>
        <v>46360</v>
      </c>
      <c r="U593" s="114"/>
      <c r="V593" s="226"/>
      <c r="X593" s="168" t="str">
        <f t="shared" ca="1" si="782"/>
        <v>Overdue</v>
      </c>
      <c r="Y593" s="168" t="str">
        <f t="shared" ca="1" si="783"/>
        <v>Overdue</v>
      </c>
      <c r="Z593" s="168" t="str">
        <f t="shared" ca="1" si="784"/>
        <v/>
      </c>
      <c r="AA593" s="169" t="str">
        <f t="shared" ca="1" si="785"/>
        <v/>
      </c>
    </row>
    <row r="594" spans="1:27" s="70" customFormat="1" ht="11.5" x14ac:dyDescent="0.25">
      <c r="A594" s="111" t="s">
        <v>67</v>
      </c>
      <c r="B594" s="111" t="s">
        <v>14</v>
      </c>
      <c r="C594" s="111" t="s">
        <v>621</v>
      </c>
      <c r="D594" s="111" t="s">
        <v>622</v>
      </c>
      <c r="E594" s="112">
        <f t="shared" si="786"/>
        <v>0.7</v>
      </c>
      <c r="F594" s="112">
        <f t="shared" si="787"/>
        <v>0.7</v>
      </c>
      <c r="G594" s="112">
        <f t="shared" si="821"/>
        <v>0</v>
      </c>
      <c r="H594" s="112">
        <f t="shared" si="788"/>
        <v>-0.7</v>
      </c>
      <c r="I594" s="113">
        <v>4.7E-2</v>
      </c>
      <c r="J594" s="114">
        <f t="shared" si="817"/>
        <v>46262</v>
      </c>
      <c r="K594" s="114">
        <f t="shared" si="822"/>
        <v>46262</v>
      </c>
      <c r="L594" s="114"/>
      <c r="M594" s="115">
        <f t="shared" si="823"/>
        <v>46304</v>
      </c>
      <c r="N594" s="114">
        <f t="shared" si="824"/>
        <v>46304</v>
      </c>
      <c r="O594" s="114"/>
      <c r="P594" s="114">
        <f t="shared" si="825"/>
        <v>46346</v>
      </c>
      <c r="Q594" s="114">
        <f t="shared" si="826"/>
        <v>46346</v>
      </c>
      <c r="R594" s="114"/>
      <c r="S594" s="114">
        <f t="shared" si="828"/>
        <v>46360</v>
      </c>
      <c r="T594" s="114">
        <f t="shared" si="827"/>
        <v>46360</v>
      </c>
      <c r="U594" s="114"/>
      <c r="V594" s="226"/>
      <c r="X594" s="168" t="str">
        <f t="shared" ca="1" si="782"/>
        <v>Overdue</v>
      </c>
      <c r="Y594" s="168" t="str">
        <f t="shared" ca="1" si="783"/>
        <v>Overdue</v>
      </c>
      <c r="Z594" s="168" t="str">
        <f t="shared" ca="1" si="784"/>
        <v/>
      </c>
      <c r="AA594" s="169" t="str">
        <f t="shared" ca="1" si="785"/>
        <v/>
      </c>
    </row>
    <row r="595" spans="1:27" s="70" customFormat="1" ht="11.5" x14ac:dyDescent="0.25">
      <c r="A595" s="111" t="s">
        <v>67</v>
      </c>
      <c r="B595" s="111" t="s">
        <v>14</v>
      </c>
      <c r="C595" s="111" t="s">
        <v>623</v>
      </c>
      <c r="D595" s="111" t="s">
        <v>624</v>
      </c>
      <c r="E595" s="112">
        <f t="shared" si="786"/>
        <v>0.7</v>
      </c>
      <c r="F595" s="112">
        <f t="shared" si="787"/>
        <v>0.7</v>
      </c>
      <c r="G595" s="112">
        <f t="shared" si="821"/>
        <v>0.5</v>
      </c>
      <c r="H595" s="112">
        <f t="shared" si="788"/>
        <v>-0.19999999999999996</v>
      </c>
      <c r="I595" s="113">
        <v>4.7E-2</v>
      </c>
      <c r="J595" s="114">
        <f t="shared" si="817"/>
        <v>46262</v>
      </c>
      <c r="K595" s="114">
        <f t="shared" si="822"/>
        <v>46262</v>
      </c>
      <c r="L595" s="114">
        <v>46294</v>
      </c>
      <c r="M595" s="115">
        <f t="shared" si="823"/>
        <v>46304</v>
      </c>
      <c r="N595" s="114">
        <f t="shared" si="824"/>
        <v>46304</v>
      </c>
      <c r="O595" s="114"/>
      <c r="P595" s="114">
        <f t="shared" si="825"/>
        <v>46346</v>
      </c>
      <c r="Q595" s="114">
        <f t="shared" si="826"/>
        <v>46346</v>
      </c>
      <c r="R595" s="114"/>
      <c r="S595" s="114">
        <f t="shared" si="828"/>
        <v>46360</v>
      </c>
      <c r="T595" s="114">
        <f t="shared" si="827"/>
        <v>46360</v>
      </c>
      <c r="U595" s="114"/>
      <c r="V595" s="226"/>
      <c r="X595" s="168" t="str">
        <f t="shared" ca="1" si="782"/>
        <v>Completed</v>
      </c>
      <c r="Y595" s="168" t="str">
        <f t="shared" ca="1" si="783"/>
        <v>Overdue</v>
      </c>
      <c r="Z595" s="168" t="str">
        <f t="shared" ca="1" si="784"/>
        <v/>
      </c>
      <c r="AA595" s="169" t="str">
        <f t="shared" ca="1" si="785"/>
        <v/>
      </c>
    </row>
    <row r="596" spans="1:27" s="70" customFormat="1" ht="11.5" x14ac:dyDescent="0.25">
      <c r="A596" s="111" t="s">
        <v>67</v>
      </c>
      <c r="B596" s="111" t="s">
        <v>14</v>
      </c>
      <c r="C596" s="111" t="s">
        <v>1029</v>
      </c>
      <c r="D596" s="111" t="s">
        <v>625</v>
      </c>
      <c r="E596" s="112">
        <f t="shared" si="786"/>
        <v>0.7</v>
      </c>
      <c r="F596" s="112">
        <f t="shared" si="787"/>
        <v>0.7</v>
      </c>
      <c r="G596" s="112">
        <f t="shared" si="821"/>
        <v>0.7</v>
      </c>
      <c r="H596" s="112">
        <f t="shared" si="788"/>
        <v>0</v>
      </c>
      <c r="I596" s="113">
        <v>4.7E-2</v>
      </c>
      <c r="J596" s="114">
        <f t="shared" si="817"/>
        <v>46262</v>
      </c>
      <c r="K596" s="114">
        <f t="shared" si="822"/>
        <v>46262</v>
      </c>
      <c r="L596" s="114">
        <v>46275</v>
      </c>
      <c r="M596" s="115">
        <f t="shared" si="823"/>
        <v>46304</v>
      </c>
      <c r="N596" s="114">
        <f t="shared" si="824"/>
        <v>46304</v>
      </c>
      <c r="O596" s="114">
        <v>46288</v>
      </c>
      <c r="P596" s="114">
        <f t="shared" si="825"/>
        <v>46346</v>
      </c>
      <c r="Q596" s="114">
        <f t="shared" si="826"/>
        <v>46346</v>
      </c>
      <c r="R596" s="114"/>
      <c r="S596" s="114">
        <f t="shared" si="828"/>
        <v>46360</v>
      </c>
      <c r="T596" s="114">
        <f t="shared" si="827"/>
        <v>46360</v>
      </c>
      <c r="U596" s="114"/>
      <c r="V596" s="226"/>
      <c r="X596" s="168" t="str">
        <f t="shared" ca="1" si="782"/>
        <v>Completed</v>
      </c>
      <c r="Y596" s="168" t="str">
        <f t="shared" ca="1" si="783"/>
        <v>Completed</v>
      </c>
      <c r="Z596" s="168" t="str">
        <f t="shared" ca="1" si="784"/>
        <v/>
      </c>
      <c r="AA596" s="169" t="str">
        <f t="shared" ca="1" si="785"/>
        <v/>
      </c>
    </row>
    <row r="597" spans="1:27" s="70" customFormat="1" ht="11.5" x14ac:dyDescent="0.25">
      <c r="A597" s="111" t="s">
        <v>67</v>
      </c>
      <c r="B597" s="111" t="s">
        <v>14</v>
      </c>
      <c r="C597" s="111" t="s">
        <v>626</v>
      </c>
      <c r="D597" s="111" t="s">
        <v>627</v>
      </c>
      <c r="E597" s="112">
        <f t="shared" si="786"/>
        <v>0.7</v>
      </c>
      <c r="F597" s="112">
        <f t="shared" si="787"/>
        <v>0.7</v>
      </c>
      <c r="G597" s="112">
        <f t="shared" si="821"/>
        <v>0</v>
      </c>
      <c r="H597" s="112">
        <f t="shared" si="788"/>
        <v>-0.7</v>
      </c>
      <c r="I597" s="113">
        <v>4.7E-2</v>
      </c>
      <c r="J597" s="114">
        <f t="shared" si="817"/>
        <v>46262</v>
      </c>
      <c r="K597" s="114">
        <f t="shared" si="822"/>
        <v>46262</v>
      </c>
      <c r="L597" s="115"/>
      <c r="M597" s="115">
        <f t="shared" si="823"/>
        <v>46304</v>
      </c>
      <c r="N597" s="114">
        <f t="shared" si="824"/>
        <v>46304</v>
      </c>
      <c r="O597" s="115"/>
      <c r="P597" s="114">
        <f t="shared" si="825"/>
        <v>46346</v>
      </c>
      <c r="Q597" s="114">
        <f t="shared" si="826"/>
        <v>46346</v>
      </c>
      <c r="R597" s="115"/>
      <c r="S597" s="114">
        <f t="shared" si="828"/>
        <v>46360</v>
      </c>
      <c r="T597" s="114">
        <f t="shared" si="827"/>
        <v>46360</v>
      </c>
      <c r="U597" s="115"/>
      <c r="V597" s="227"/>
      <c r="X597" s="168" t="str">
        <f t="shared" ca="1" si="782"/>
        <v>Overdue</v>
      </c>
      <c r="Y597" s="168" t="str">
        <f t="shared" ca="1" si="783"/>
        <v>Overdue</v>
      </c>
      <c r="Z597" s="168" t="str">
        <f t="shared" ca="1" si="784"/>
        <v/>
      </c>
      <c r="AA597" s="169" t="str">
        <f t="shared" ca="1" si="785"/>
        <v/>
      </c>
    </row>
    <row r="598" spans="1:27" s="70" customFormat="1" ht="11.5" x14ac:dyDescent="0.25">
      <c r="A598" s="111" t="s">
        <v>67</v>
      </c>
      <c r="B598" s="111" t="s">
        <v>14</v>
      </c>
      <c r="C598" s="111" t="s">
        <v>628</v>
      </c>
      <c r="D598" s="111" t="s">
        <v>629</v>
      </c>
      <c r="E598" s="112">
        <f t="shared" si="786"/>
        <v>0.7</v>
      </c>
      <c r="F598" s="112">
        <f t="shared" si="787"/>
        <v>0.7</v>
      </c>
      <c r="G598" s="112">
        <f t="shared" si="821"/>
        <v>0</v>
      </c>
      <c r="H598" s="112">
        <f t="shared" si="788"/>
        <v>-0.7</v>
      </c>
      <c r="I598" s="113">
        <v>4.7E-2</v>
      </c>
      <c r="J598" s="114">
        <f t="shared" si="817"/>
        <v>46262</v>
      </c>
      <c r="K598" s="114">
        <f t="shared" si="822"/>
        <v>46262</v>
      </c>
      <c r="L598" s="115"/>
      <c r="M598" s="115">
        <f t="shared" si="823"/>
        <v>46304</v>
      </c>
      <c r="N598" s="114">
        <f t="shared" si="824"/>
        <v>46304</v>
      </c>
      <c r="O598" s="115"/>
      <c r="P598" s="114">
        <f t="shared" si="825"/>
        <v>46346</v>
      </c>
      <c r="Q598" s="114">
        <f t="shared" si="826"/>
        <v>46346</v>
      </c>
      <c r="R598" s="115"/>
      <c r="S598" s="114">
        <f t="shared" si="828"/>
        <v>46360</v>
      </c>
      <c r="T598" s="114">
        <f t="shared" si="827"/>
        <v>46360</v>
      </c>
      <c r="U598" s="115"/>
      <c r="V598" s="227"/>
      <c r="X598" s="168" t="str">
        <f t="shared" ca="1" si="782"/>
        <v>Overdue</v>
      </c>
      <c r="Y598" s="168" t="str">
        <f t="shared" ca="1" si="783"/>
        <v>Overdue</v>
      </c>
      <c r="Z598" s="168" t="str">
        <f t="shared" ca="1" si="784"/>
        <v/>
      </c>
      <c r="AA598" s="169" t="str">
        <f t="shared" ca="1" si="785"/>
        <v/>
      </c>
    </row>
    <row r="599" spans="1:27" s="70" customFormat="1" ht="11.5" x14ac:dyDescent="0.25">
      <c r="A599" s="111" t="s">
        <v>67</v>
      </c>
      <c r="B599" s="111" t="s">
        <v>14</v>
      </c>
      <c r="C599" s="111" t="s">
        <v>42</v>
      </c>
      <c r="D599" s="111" t="s">
        <v>630</v>
      </c>
      <c r="E599" s="112">
        <f t="shared" si="786"/>
        <v>0</v>
      </c>
      <c r="F599" s="112">
        <f t="shared" si="787"/>
        <v>0</v>
      </c>
      <c r="G599" s="112">
        <f t="shared" si="821"/>
        <v>0</v>
      </c>
      <c r="H599" s="112">
        <f t="shared" si="788"/>
        <v>0</v>
      </c>
      <c r="I599" s="119">
        <v>1.5</v>
      </c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226"/>
      <c r="X599" s="168" t="str">
        <f t="shared" ca="1" si="782"/>
        <v/>
      </c>
      <c r="Y599" s="168" t="str">
        <f t="shared" ca="1" si="783"/>
        <v/>
      </c>
      <c r="Z599" s="168" t="str">
        <f t="shared" ca="1" si="784"/>
        <v/>
      </c>
      <c r="AA599" s="169" t="str">
        <f t="shared" ca="1" si="785"/>
        <v/>
      </c>
    </row>
    <row r="600" spans="1:27" s="70" customFormat="1" ht="11.5" x14ac:dyDescent="0.25">
      <c r="A600" s="73"/>
      <c r="B600" s="73"/>
      <c r="C600" s="73"/>
      <c r="D600" s="73"/>
      <c r="E600" s="74"/>
      <c r="F600" s="74"/>
      <c r="G600" s="74"/>
      <c r="H600" s="74"/>
      <c r="I600" s="75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219"/>
      <c r="X600" s="168" t="str">
        <f t="shared" ca="1" si="782"/>
        <v/>
      </c>
      <c r="Y600" s="168" t="str">
        <f t="shared" ca="1" si="783"/>
        <v/>
      </c>
      <c r="Z600" s="168" t="str">
        <f t="shared" ca="1" si="784"/>
        <v/>
      </c>
      <c r="AA600" s="169" t="str">
        <f t="shared" ca="1" si="785"/>
        <v/>
      </c>
    </row>
    <row r="601" spans="1:27" s="70" customFormat="1" ht="11.5" x14ac:dyDescent="0.25">
      <c r="A601" s="120" t="s">
        <v>65</v>
      </c>
      <c r="B601" s="120" t="s">
        <v>14</v>
      </c>
      <c r="C601" s="120" t="s">
        <v>824</v>
      </c>
      <c r="D601" s="120" t="s">
        <v>820</v>
      </c>
      <c r="E601" s="122">
        <f t="shared" si="786"/>
        <v>0.7</v>
      </c>
      <c r="F601" s="122">
        <f t="shared" si="787"/>
        <v>0.7</v>
      </c>
      <c r="G601" s="122">
        <f t="shared" ref="G601:G632" si="832">(COUNTIFS(L601,"&lt;="&amp;$C$1)*50%)+(COUNTIFS(O601,"&lt;="&amp;$C$1)*20%)+(COUNTIFS(R601,"&lt;="&amp;$C$1)*10%)+(COUNTIFS(U601,"&lt;="&amp;$C$1)*20%)</f>
        <v>1</v>
      </c>
      <c r="H601" s="122">
        <f t="shared" si="788"/>
        <v>0.30000000000000004</v>
      </c>
      <c r="I601" s="123">
        <v>8.9999999999999993E-3</v>
      </c>
      <c r="J601" s="124">
        <f t="shared" ref="J601:J632" si="833">J480+28</f>
        <v>46234</v>
      </c>
      <c r="K601" s="124">
        <f t="shared" si="822"/>
        <v>46234</v>
      </c>
      <c r="L601" s="124">
        <v>46175</v>
      </c>
      <c r="M601" s="124">
        <f t="shared" si="823"/>
        <v>46276</v>
      </c>
      <c r="N601" s="124">
        <f t="shared" si="824"/>
        <v>46276</v>
      </c>
      <c r="O601" s="124">
        <v>46191</v>
      </c>
      <c r="P601" s="124">
        <f t="shared" si="825"/>
        <v>46318</v>
      </c>
      <c r="Q601" s="124">
        <f t="shared" si="826"/>
        <v>46318</v>
      </c>
      <c r="R601" s="124">
        <v>46245</v>
      </c>
      <c r="S601" s="124">
        <f t="shared" si="828"/>
        <v>46332</v>
      </c>
      <c r="T601" s="124">
        <f t="shared" si="827"/>
        <v>46332</v>
      </c>
      <c r="U601" s="124">
        <v>46255</v>
      </c>
      <c r="V601" s="229"/>
      <c r="X601" s="168" t="str">
        <f t="shared" ca="1" si="782"/>
        <v>Completed</v>
      </c>
      <c r="Y601" s="168" t="str">
        <f t="shared" ca="1" si="783"/>
        <v>Completed</v>
      </c>
      <c r="Z601" s="168" t="str">
        <f t="shared" ca="1" si="784"/>
        <v>Completed</v>
      </c>
      <c r="AA601" s="169" t="str">
        <f t="shared" ca="1" si="785"/>
        <v>Completed</v>
      </c>
    </row>
    <row r="602" spans="1:27" s="70" customFormat="1" ht="11.5" x14ac:dyDescent="0.25">
      <c r="A602" s="120" t="s">
        <v>65</v>
      </c>
      <c r="B602" s="120" t="s">
        <v>14</v>
      </c>
      <c r="C602" s="120" t="s">
        <v>825</v>
      </c>
      <c r="D602" s="120" t="s">
        <v>821</v>
      </c>
      <c r="E602" s="122">
        <f t="shared" si="786"/>
        <v>0.7</v>
      </c>
      <c r="F602" s="122">
        <f t="shared" si="787"/>
        <v>0.7</v>
      </c>
      <c r="G602" s="122">
        <f t="shared" si="832"/>
        <v>1</v>
      </c>
      <c r="H602" s="122">
        <f t="shared" si="788"/>
        <v>0.30000000000000004</v>
      </c>
      <c r="I602" s="123">
        <v>8.9999999999999993E-3</v>
      </c>
      <c r="J602" s="124">
        <f t="shared" si="833"/>
        <v>46234</v>
      </c>
      <c r="K602" s="124">
        <f t="shared" si="822"/>
        <v>46234</v>
      </c>
      <c r="L602" s="124">
        <v>46175</v>
      </c>
      <c r="M602" s="124">
        <f t="shared" si="823"/>
        <v>46276</v>
      </c>
      <c r="N602" s="124">
        <f t="shared" si="824"/>
        <v>46276</v>
      </c>
      <c r="O602" s="124">
        <v>46191</v>
      </c>
      <c r="P602" s="124">
        <f t="shared" si="825"/>
        <v>46318</v>
      </c>
      <c r="Q602" s="124">
        <f t="shared" si="826"/>
        <v>46318</v>
      </c>
      <c r="R602" s="124">
        <v>46245</v>
      </c>
      <c r="S602" s="124">
        <f t="shared" si="828"/>
        <v>46332</v>
      </c>
      <c r="T602" s="124">
        <f t="shared" si="827"/>
        <v>46332</v>
      </c>
      <c r="U602" s="124">
        <v>46255</v>
      </c>
      <c r="V602" s="229"/>
      <c r="X602" s="168" t="str">
        <f t="shared" ca="1" si="782"/>
        <v>Completed</v>
      </c>
      <c r="Y602" s="168" t="str">
        <f t="shared" ca="1" si="783"/>
        <v>Completed</v>
      </c>
      <c r="Z602" s="168" t="str">
        <f t="shared" ca="1" si="784"/>
        <v>Completed</v>
      </c>
      <c r="AA602" s="169" t="str">
        <f t="shared" ca="1" si="785"/>
        <v>Completed</v>
      </c>
    </row>
    <row r="603" spans="1:27" s="70" customFormat="1" ht="11.5" x14ac:dyDescent="0.25">
      <c r="A603" s="120" t="s">
        <v>65</v>
      </c>
      <c r="B603" s="120" t="s">
        <v>14</v>
      </c>
      <c r="C603" s="120" t="s">
        <v>826</v>
      </c>
      <c r="D603" s="120" t="s">
        <v>822</v>
      </c>
      <c r="E603" s="122">
        <f t="shared" si="786"/>
        <v>0.7</v>
      </c>
      <c r="F603" s="122">
        <f t="shared" si="787"/>
        <v>0.7</v>
      </c>
      <c r="G603" s="122">
        <f t="shared" si="832"/>
        <v>1</v>
      </c>
      <c r="H603" s="122">
        <f t="shared" si="788"/>
        <v>0.30000000000000004</v>
      </c>
      <c r="I603" s="123">
        <v>4.7E-2</v>
      </c>
      <c r="J603" s="124">
        <f t="shared" si="833"/>
        <v>46234</v>
      </c>
      <c r="K603" s="124">
        <f t="shared" si="822"/>
        <v>46234</v>
      </c>
      <c r="L603" s="124">
        <v>46175</v>
      </c>
      <c r="M603" s="124">
        <f t="shared" si="823"/>
        <v>46276</v>
      </c>
      <c r="N603" s="124">
        <f t="shared" si="824"/>
        <v>46276</v>
      </c>
      <c r="O603" s="124">
        <v>46191</v>
      </c>
      <c r="P603" s="124">
        <f t="shared" si="825"/>
        <v>46318</v>
      </c>
      <c r="Q603" s="124">
        <f t="shared" si="826"/>
        <v>46318</v>
      </c>
      <c r="R603" s="124">
        <v>46245</v>
      </c>
      <c r="S603" s="124">
        <f t="shared" si="828"/>
        <v>46332</v>
      </c>
      <c r="T603" s="124">
        <f t="shared" si="827"/>
        <v>46332</v>
      </c>
      <c r="U603" s="124">
        <v>46255</v>
      </c>
      <c r="V603" s="229"/>
      <c r="X603" s="168" t="str">
        <f t="shared" ca="1" si="782"/>
        <v>Completed</v>
      </c>
      <c r="Y603" s="168" t="str">
        <f t="shared" ca="1" si="783"/>
        <v>Completed</v>
      </c>
      <c r="Z603" s="168" t="str">
        <f t="shared" ca="1" si="784"/>
        <v>Completed</v>
      </c>
      <c r="AA603" s="169" t="str">
        <f t="shared" ca="1" si="785"/>
        <v>Completed</v>
      </c>
    </row>
    <row r="604" spans="1:27" s="70" customFormat="1" ht="11.5" x14ac:dyDescent="0.25">
      <c r="A604" s="120" t="s">
        <v>65</v>
      </c>
      <c r="B604" s="120" t="s">
        <v>14</v>
      </c>
      <c r="C604" s="120" t="s">
        <v>827</v>
      </c>
      <c r="D604" s="120" t="s">
        <v>823</v>
      </c>
      <c r="E604" s="122">
        <f t="shared" si="786"/>
        <v>0.7</v>
      </c>
      <c r="F604" s="122">
        <f t="shared" si="787"/>
        <v>0.7</v>
      </c>
      <c r="G604" s="122">
        <f t="shared" si="832"/>
        <v>1</v>
      </c>
      <c r="H604" s="122">
        <f t="shared" si="788"/>
        <v>0.30000000000000004</v>
      </c>
      <c r="I604" s="123">
        <v>4.7E-2</v>
      </c>
      <c r="J604" s="124">
        <f t="shared" si="833"/>
        <v>46234</v>
      </c>
      <c r="K604" s="124">
        <f t="shared" si="822"/>
        <v>46234</v>
      </c>
      <c r="L604" s="124">
        <v>46175</v>
      </c>
      <c r="M604" s="124">
        <f t="shared" si="823"/>
        <v>46276</v>
      </c>
      <c r="N604" s="124">
        <f t="shared" si="824"/>
        <v>46276</v>
      </c>
      <c r="O604" s="124">
        <v>46191</v>
      </c>
      <c r="P604" s="124">
        <f t="shared" si="825"/>
        <v>46318</v>
      </c>
      <c r="Q604" s="124">
        <f t="shared" si="826"/>
        <v>46318</v>
      </c>
      <c r="R604" s="124">
        <v>46245</v>
      </c>
      <c r="S604" s="124">
        <f t="shared" si="828"/>
        <v>46332</v>
      </c>
      <c r="T604" s="124">
        <f t="shared" si="827"/>
        <v>46332</v>
      </c>
      <c r="U604" s="124">
        <v>46255</v>
      </c>
      <c r="V604" s="229"/>
      <c r="X604" s="168" t="str">
        <f t="shared" ca="1" si="782"/>
        <v>Completed</v>
      </c>
      <c r="Y604" s="168" t="str">
        <f t="shared" ca="1" si="783"/>
        <v>Completed</v>
      </c>
      <c r="Z604" s="168" t="str">
        <f t="shared" ca="1" si="784"/>
        <v>Completed</v>
      </c>
      <c r="AA604" s="169" t="str">
        <f t="shared" ca="1" si="785"/>
        <v>Completed</v>
      </c>
    </row>
    <row r="605" spans="1:27" s="70" customFormat="1" ht="11.5" x14ac:dyDescent="0.25">
      <c r="A605" s="120" t="s">
        <v>65</v>
      </c>
      <c r="B605" s="120" t="s">
        <v>14</v>
      </c>
      <c r="C605" s="120" t="s">
        <v>631</v>
      </c>
      <c r="D605" s="120" t="s">
        <v>632</v>
      </c>
      <c r="E605" s="122">
        <f t="shared" si="786"/>
        <v>0.7</v>
      </c>
      <c r="F605" s="122">
        <f t="shared" si="787"/>
        <v>0.7</v>
      </c>
      <c r="G605" s="122">
        <f t="shared" si="832"/>
        <v>0</v>
      </c>
      <c r="H605" s="127">
        <f t="shared" si="788"/>
        <v>-0.7</v>
      </c>
      <c r="I605" s="125">
        <v>4.7E-2</v>
      </c>
      <c r="J605" s="124">
        <f t="shared" si="833"/>
        <v>46234</v>
      </c>
      <c r="K605" s="124">
        <f t="shared" si="822"/>
        <v>46234</v>
      </c>
      <c r="L605" s="124"/>
      <c r="M605" s="124">
        <f t="shared" si="823"/>
        <v>46276</v>
      </c>
      <c r="N605" s="124">
        <f t="shared" si="824"/>
        <v>46276</v>
      </c>
      <c r="O605" s="124"/>
      <c r="P605" s="124">
        <f t="shared" si="825"/>
        <v>46318</v>
      </c>
      <c r="Q605" s="124">
        <f t="shared" si="826"/>
        <v>46318</v>
      </c>
      <c r="R605" s="124"/>
      <c r="S605" s="124">
        <f t="shared" si="828"/>
        <v>46332</v>
      </c>
      <c r="T605" s="124">
        <f t="shared" si="827"/>
        <v>46332</v>
      </c>
      <c r="U605" s="124"/>
      <c r="V605" s="229"/>
      <c r="X605" s="168" t="str">
        <f t="shared" ca="1" si="782"/>
        <v>Overdue</v>
      </c>
      <c r="Y605" s="168" t="str">
        <f t="shared" ca="1" si="783"/>
        <v>Overdue</v>
      </c>
      <c r="Z605" s="168" t="str">
        <f t="shared" ca="1" si="784"/>
        <v/>
      </c>
      <c r="AA605" s="169" t="str">
        <f t="shared" ca="1" si="785"/>
        <v/>
      </c>
    </row>
    <row r="606" spans="1:27" s="70" customFormat="1" ht="11.5" x14ac:dyDescent="0.25">
      <c r="A606" s="120" t="s">
        <v>65</v>
      </c>
      <c r="B606" s="120" t="s">
        <v>14</v>
      </c>
      <c r="C606" s="120" t="s">
        <v>633</v>
      </c>
      <c r="D606" s="120" t="s">
        <v>634</v>
      </c>
      <c r="E606" s="122">
        <f t="shared" si="786"/>
        <v>0.7</v>
      </c>
      <c r="F606" s="122">
        <f t="shared" si="787"/>
        <v>0.7</v>
      </c>
      <c r="G606" s="122">
        <f t="shared" si="832"/>
        <v>0</v>
      </c>
      <c r="H606" s="127">
        <f t="shared" si="788"/>
        <v>-0.7</v>
      </c>
      <c r="I606" s="125">
        <v>4.7E-2</v>
      </c>
      <c r="J606" s="124">
        <f t="shared" si="833"/>
        <v>46234</v>
      </c>
      <c r="K606" s="124">
        <f t="shared" si="822"/>
        <v>46234</v>
      </c>
      <c r="L606" s="124"/>
      <c r="M606" s="124">
        <f t="shared" si="823"/>
        <v>46276</v>
      </c>
      <c r="N606" s="124">
        <f t="shared" si="824"/>
        <v>46276</v>
      </c>
      <c r="O606" s="124"/>
      <c r="P606" s="124">
        <f t="shared" si="825"/>
        <v>46318</v>
      </c>
      <c r="Q606" s="124">
        <f t="shared" si="826"/>
        <v>46318</v>
      </c>
      <c r="R606" s="124"/>
      <c r="S606" s="124">
        <f t="shared" si="828"/>
        <v>46332</v>
      </c>
      <c r="T606" s="124">
        <f t="shared" si="827"/>
        <v>46332</v>
      </c>
      <c r="U606" s="124"/>
      <c r="V606" s="229"/>
      <c r="X606" s="168" t="str">
        <f t="shared" ca="1" si="782"/>
        <v>Overdue</v>
      </c>
      <c r="Y606" s="168" t="str">
        <f t="shared" ca="1" si="783"/>
        <v>Overdue</v>
      </c>
      <c r="Z606" s="168" t="str">
        <f t="shared" ca="1" si="784"/>
        <v/>
      </c>
      <c r="AA606" s="169" t="str">
        <f t="shared" ca="1" si="785"/>
        <v/>
      </c>
    </row>
    <row r="607" spans="1:27" s="70" customFormat="1" ht="11.5" x14ac:dyDescent="0.25">
      <c r="A607" s="120" t="s">
        <v>65</v>
      </c>
      <c r="B607" s="120" t="s">
        <v>14</v>
      </c>
      <c r="C607" s="120" t="s">
        <v>635</v>
      </c>
      <c r="D607" s="120" t="s">
        <v>636</v>
      </c>
      <c r="E607" s="122">
        <f t="shared" si="786"/>
        <v>0.7</v>
      </c>
      <c r="F607" s="122">
        <f t="shared" si="787"/>
        <v>0.7</v>
      </c>
      <c r="G607" s="122">
        <f t="shared" si="832"/>
        <v>0.79999999999999993</v>
      </c>
      <c r="H607" s="127">
        <f t="shared" si="788"/>
        <v>9.9999999999999978E-2</v>
      </c>
      <c r="I607" s="125">
        <v>4.7E-2</v>
      </c>
      <c r="J607" s="124">
        <f t="shared" si="833"/>
        <v>46234</v>
      </c>
      <c r="K607" s="124">
        <f t="shared" si="822"/>
        <v>46234</v>
      </c>
      <c r="L607" s="124">
        <v>46130</v>
      </c>
      <c r="M607" s="124">
        <f>J607+35</f>
        <v>46269</v>
      </c>
      <c r="N607" s="124">
        <f t="shared" si="824"/>
        <v>46269</v>
      </c>
      <c r="O607" s="124">
        <v>46259</v>
      </c>
      <c r="P607" s="124">
        <f>M607+38</f>
        <v>46307</v>
      </c>
      <c r="Q607" s="124">
        <f t="shared" si="826"/>
        <v>46307</v>
      </c>
      <c r="R607" s="124">
        <v>46293</v>
      </c>
      <c r="S607" s="124">
        <f t="shared" si="828"/>
        <v>46321</v>
      </c>
      <c r="T607" s="124">
        <f t="shared" si="827"/>
        <v>46321</v>
      </c>
      <c r="U607" s="124"/>
      <c r="V607" s="229" t="s">
        <v>1231</v>
      </c>
      <c r="X607" s="168" t="str">
        <f t="shared" ca="1" si="782"/>
        <v>Completed</v>
      </c>
      <c r="Y607" s="168" t="str">
        <f t="shared" ca="1" si="783"/>
        <v>Completed</v>
      </c>
      <c r="Z607" s="168" t="str">
        <f t="shared" ca="1" si="784"/>
        <v>Completed</v>
      </c>
      <c r="AA607" s="169" t="str">
        <f t="shared" ca="1" si="785"/>
        <v/>
      </c>
    </row>
    <row r="608" spans="1:27" s="70" customFormat="1" ht="11.5" x14ac:dyDescent="0.25">
      <c r="A608" s="120" t="s">
        <v>65</v>
      </c>
      <c r="B608" s="120" t="s">
        <v>14</v>
      </c>
      <c r="C608" s="120" t="s">
        <v>637</v>
      </c>
      <c r="D608" s="120" t="s">
        <v>638</v>
      </c>
      <c r="E608" s="122">
        <f t="shared" si="786"/>
        <v>0.7</v>
      </c>
      <c r="F608" s="122">
        <f t="shared" si="787"/>
        <v>0.7</v>
      </c>
      <c r="G608" s="122">
        <f t="shared" si="832"/>
        <v>0.79999999999999993</v>
      </c>
      <c r="H608" s="127">
        <f t="shared" si="788"/>
        <v>9.9999999999999978E-2</v>
      </c>
      <c r="I608" s="125">
        <v>4.7E-2</v>
      </c>
      <c r="J608" s="124">
        <f t="shared" si="833"/>
        <v>46234</v>
      </c>
      <c r="K608" s="124">
        <f t="shared" si="822"/>
        <v>46234</v>
      </c>
      <c r="L608" s="124">
        <v>46130</v>
      </c>
      <c r="M608" s="124">
        <f t="shared" ref="M608:M633" si="834">J608+35</f>
        <v>46269</v>
      </c>
      <c r="N608" s="124">
        <f t="shared" si="824"/>
        <v>46269</v>
      </c>
      <c r="O608" s="124">
        <v>46259</v>
      </c>
      <c r="P608" s="124">
        <f t="shared" ref="P608:P633" si="835">M608+38</f>
        <v>46307</v>
      </c>
      <c r="Q608" s="124">
        <f t="shared" si="826"/>
        <v>46307</v>
      </c>
      <c r="R608" s="124">
        <v>46293</v>
      </c>
      <c r="S608" s="124">
        <f t="shared" si="828"/>
        <v>46321</v>
      </c>
      <c r="T608" s="124">
        <f t="shared" si="827"/>
        <v>46321</v>
      </c>
      <c r="U608" s="124"/>
      <c r="V608" s="229" t="s">
        <v>1231</v>
      </c>
      <c r="X608" s="168" t="str">
        <f t="shared" ca="1" si="782"/>
        <v>Completed</v>
      </c>
      <c r="Y608" s="168" t="str">
        <f t="shared" ca="1" si="783"/>
        <v>Completed</v>
      </c>
      <c r="Z608" s="168" t="str">
        <f t="shared" ca="1" si="784"/>
        <v>Completed</v>
      </c>
      <c r="AA608" s="169" t="str">
        <f t="shared" ca="1" si="785"/>
        <v/>
      </c>
    </row>
    <row r="609" spans="1:27" s="70" customFormat="1" ht="11.5" x14ac:dyDescent="0.25">
      <c r="A609" s="120" t="s">
        <v>65</v>
      </c>
      <c r="B609" s="120" t="s">
        <v>14</v>
      </c>
      <c r="C609" s="120" t="s">
        <v>639</v>
      </c>
      <c r="D609" s="120" t="s">
        <v>640</v>
      </c>
      <c r="E609" s="122">
        <f t="shared" si="786"/>
        <v>0.7</v>
      </c>
      <c r="F609" s="122">
        <f t="shared" si="787"/>
        <v>0.7</v>
      </c>
      <c r="G609" s="122">
        <f t="shared" si="832"/>
        <v>0.79999999999999993</v>
      </c>
      <c r="H609" s="127">
        <f t="shared" si="788"/>
        <v>9.9999999999999978E-2</v>
      </c>
      <c r="I609" s="125">
        <v>4.7E-2</v>
      </c>
      <c r="J609" s="124">
        <f t="shared" si="833"/>
        <v>46234</v>
      </c>
      <c r="K609" s="124">
        <f t="shared" si="822"/>
        <v>46234</v>
      </c>
      <c r="L609" s="124">
        <v>46130</v>
      </c>
      <c r="M609" s="124">
        <f t="shared" si="834"/>
        <v>46269</v>
      </c>
      <c r="N609" s="124">
        <f t="shared" si="824"/>
        <v>46269</v>
      </c>
      <c r="O609" s="124">
        <v>46259</v>
      </c>
      <c r="P609" s="124">
        <f t="shared" si="835"/>
        <v>46307</v>
      </c>
      <c r="Q609" s="124">
        <f t="shared" si="826"/>
        <v>46307</v>
      </c>
      <c r="R609" s="124">
        <v>46293</v>
      </c>
      <c r="S609" s="124">
        <f t="shared" si="828"/>
        <v>46321</v>
      </c>
      <c r="T609" s="124">
        <f t="shared" si="827"/>
        <v>46321</v>
      </c>
      <c r="U609" s="124"/>
      <c r="V609" s="229" t="s">
        <v>1231</v>
      </c>
      <c r="X609" s="168" t="str">
        <f t="shared" ca="1" si="782"/>
        <v>Completed</v>
      </c>
      <c r="Y609" s="168" t="str">
        <f t="shared" ca="1" si="783"/>
        <v>Completed</v>
      </c>
      <c r="Z609" s="168" t="str">
        <f t="shared" ca="1" si="784"/>
        <v>Completed</v>
      </c>
      <c r="AA609" s="169" t="str">
        <f t="shared" ca="1" si="785"/>
        <v/>
      </c>
    </row>
    <row r="610" spans="1:27" s="70" customFormat="1" ht="11.5" x14ac:dyDescent="0.25">
      <c r="A610" s="120" t="s">
        <v>65</v>
      </c>
      <c r="B610" s="120" t="s">
        <v>14</v>
      </c>
      <c r="C610" s="120" t="s">
        <v>641</v>
      </c>
      <c r="D610" s="120" t="s">
        <v>642</v>
      </c>
      <c r="E610" s="122">
        <f t="shared" si="786"/>
        <v>0.7</v>
      </c>
      <c r="F610" s="122">
        <f t="shared" si="787"/>
        <v>0.7</v>
      </c>
      <c r="G610" s="122">
        <f t="shared" si="832"/>
        <v>0.79999999999999993</v>
      </c>
      <c r="H610" s="127">
        <f t="shared" si="788"/>
        <v>9.9999999999999978E-2</v>
      </c>
      <c r="I610" s="125">
        <v>4.7E-2</v>
      </c>
      <c r="J610" s="124">
        <f t="shared" si="833"/>
        <v>46234</v>
      </c>
      <c r="K610" s="124">
        <f t="shared" si="822"/>
        <v>46234</v>
      </c>
      <c r="L610" s="124">
        <v>46130</v>
      </c>
      <c r="M610" s="124">
        <f t="shared" si="834"/>
        <v>46269</v>
      </c>
      <c r="N610" s="124">
        <f t="shared" si="824"/>
        <v>46269</v>
      </c>
      <c r="O610" s="124">
        <v>46259</v>
      </c>
      <c r="P610" s="124">
        <f t="shared" si="835"/>
        <v>46307</v>
      </c>
      <c r="Q610" s="124">
        <f t="shared" si="826"/>
        <v>46307</v>
      </c>
      <c r="R610" s="124">
        <v>46293</v>
      </c>
      <c r="S610" s="124">
        <f t="shared" si="828"/>
        <v>46321</v>
      </c>
      <c r="T610" s="124">
        <f t="shared" si="827"/>
        <v>46321</v>
      </c>
      <c r="U610" s="124"/>
      <c r="V610" s="229" t="s">
        <v>1231</v>
      </c>
      <c r="X610" s="168" t="str">
        <f t="shared" ca="1" si="782"/>
        <v>Completed</v>
      </c>
      <c r="Y610" s="168" t="str">
        <f t="shared" ca="1" si="783"/>
        <v>Completed</v>
      </c>
      <c r="Z610" s="168" t="str">
        <f t="shared" ca="1" si="784"/>
        <v>Completed</v>
      </c>
      <c r="AA610" s="169" t="str">
        <f t="shared" ca="1" si="785"/>
        <v/>
      </c>
    </row>
    <row r="611" spans="1:27" s="70" customFormat="1" ht="11.5" x14ac:dyDescent="0.25">
      <c r="A611" s="120" t="s">
        <v>65</v>
      </c>
      <c r="B611" s="120" t="s">
        <v>14</v>
      </c>
      <c r="C611" s="120" t="s">
        <v>643</v>
      </c>
      <c r="D611" s="120" t="s">
        <v>644</v>
      </c>
      <c r="E611" s="122">
        <f t="shared" si="786"/>
        <v>0.7</v>
      </c>
      <c r="F611" s="122">
        <f t="shared" si="787"/>
        <v>0.7</v>
      </c>
      <c r="G611" s="122">
        <f t="shared" si="832"/>
        <v>0.79999999999999993</v>
      </c>
      <c r="H611" s="127">
        <f t="shared" si="788"/>
        <v>9.9999999999999978E-2</v>
      </c>
      <c r="I611" s="125">
        <v>4.7E-2</v>
      </c>
      <c r="J611" s="124">
        <f t="shared" si="833"/>
        <v>46234</v>
      </c>
      <c r="K611" s="124">
        <f t="shared" si="822"/>
        <v>46234</v>
      </c>
      <c r="L611" s="124">
        <v>46130</v>
      </c>
      <c r="M611" s="124">
        <f t="shared" si="834"/>
        <v>46269</v>
      </c>
      <c r="N611" s="124">
        <f t="shared" si="824"/>
        <v>46269</v>
      </c>
      <c r="O611" s="124">
        <v>46259</v>
      </c>
      <c r="P611" s="124">
        <f t="shared" si="835"/>
        <v>46307</v>
      </c>
      <c r="Q611" s="124">
        <f t="shared" si="826"/>
        <v>46307</v>
      </c>
      <c r="R611" s="124">
        <v>46293</v>
      </c>
      <c r="S611" s="124">
        <f t="shared" si="828"/>
        <v>46321</v>
      </c>
      <c r="T611" s="124">
        <f t="shared" si="827"/>
        <v>46321</v>
      </c>
      <c r="U611" s="124"/>
      <c r="V611" s="229" t="s">
        <v>1231</v>
      </c>
      <c r="X611" s="168" t="str">
        <f t="shared" ca="1" si="782"/>
        <v>Completed</v>
      </c>
      <c r="Y611" s="168" t="str">
        <f t="shared" ca="1" si="783"/>
        <v>Completed</v>
      </c>
      <c r="Z611" s="168" t="str">
        <f t="shared" ca="1" si="784"/>
        <v>Completed</v>
      </c>
      <c r="AA611" s="169" t="str">
        <f t="shared" ca="1" si="785"/>
        <v/>
      </c>
    </row>
    <row r="612" spans="1:27" s="70" customFormat="1" ht="11.5" x14ac:dyDescent="0.25">
      <c r="A612" s="120" t="s">
        <v>65</v>
      </c>
      <c r="B612" s="120" t="s">
        <v>14</v>
      </c>
      <c r="C612" s="120" t="s">
        <v>645</v>
      </c>
      <c r="D612" s="120" t="s">
        <v>646</v>
      </c>
      <c r="E612" s="122">
        <f t="shared" si="786"/>
        <v>0.7</v>
      </c>
      <c r="F612" s="122">
        <f t="shared" si="787"/>
        <v>0.7</v>
      </c>
      <c r="G612" s="122">
        <f t="shared" si="832"/>
        <v>0.79999999999999993</v>
      </c>
      <c r="H612" s="127">
        <f t="shared" si="788"/>
        <v>9.9999999999999978E-2</v>
      </c>
      <c r="I612" s="125">
        <v>4.7E-2</v>
      </c>
      <c r="J612" s="124">
        <f t="shared" si="833"/>
        <v>46234</v>
      </c>
      <c r="K612" s="124">
        <f t="shared" si="822"/>
        <v>46234</v>
      </c>
      <c r="L612" s="124">
        <v>46130</v>
      </c>
      <c r="M612" s="124">
        <f t="shared" si="834"/>
        <v>46269</v>
      </c>
      <c r="N612" s="124">
        <f t="shared" si="824"/>
        <v>46269</v>
      </c>
      <c r="O612" s="124">
        <v>46259</v>
      </c>
      <c r="P612" s="124">
        <f t="shared" si="835"/>
        <v>46307</v>
      </c>
      <c r="Q612" s="124">
        <f t="shared" si="826"/>
        <v>46307</v>
      </c>
      <c r="R612" s="124">
        <v>46293</v>
      </c>
      <c r="S612" s="124">
        <f t="shared" si="828"/>
        <v>46321</v>
      </c>
      <c r="T612" s="124">
        <f t="shared" si="827"/>
        <v>46321</v>
      </c>
      <c r="U612" s="124"/>
      <c r="V612" s="229" t="s">
        <v>1231</v>
      </c>
      <c r="X612" s="168" t="str">
        <f t="shared" ca="1" si="782"/>
        <v>Completed</v>
      </c>
      <c r="Y612" s="168" t="str">
        <f t="shared" ca="1" si="783"/>
        <v>Completed</v>
      </c>
      <c r="Z612" s="168" t="str">
        <f t="shared" ca="1" si="784"/>
        <v>Completed</v>
      </c>
      <c r="AA612" s="169" t="str">
        <f t="shared" ca="1" si="785"/>
        <v/>
      </c>
    </row>
    <row r="613" spans="1:27" s="70" customFormat="1" ht="11.5" x14ac:dyDescent="0.25">
      <c r="A613" s="120" t="s">
        <v>65</v>
      </c>
      <c r="B613" s="120" t="s">
        <v>14</v>
      </c>
      <c r="C613" s="120" t="s">
        <v>647</v>
      </c>
      <c r="D613" s="120" t="s">
        <v>648</v>
      </c>
      <c r="E613" s="122">
        <f t="shared" si="786"/>
        <v>0.7</v>
      </c>
      <c r="F613" s="122">
        <f t="shared" si="787"/>
        <v>0.7</v>
      </c>
      <c r="G613" s="122">
        <f t="shared" si="832"/>
        <v>1</v>
      </c>
      <c r="H613" s="127">
        <f t="shared" si="788"/>
        <v>0.30000000000000004</v>
      </c>
      <c r="I613" s="125">
        <v>4.7E-2</v>
      </c>
      <c r="J613" s="124">
        <f t="shared" si="833"/>
        <v>46234</v>
      </c>
      <c r="K613" s="124">
        <f t="shared" si="822"/>
        <v>46234</v>
      </c>
      <c r="L613" s="124">
        <v>46130</v>
      </c>
      <c r="M613" s="124">
        <f t="shared" si="834"/>
        <v>46269</v>
      </c>
      <c r="N613" s="124">
        <f t="shared" si="824"/>
        <v>46269</v>
      </c>
      <c r="O613" s="124">
        <v>46259</v>
      </c>
      <c r="P613" s="124">
        <f t="shared" si="835"/>
        <v>46307</v>
      </c>
      <c r="Q613" s="124">
        <f t="shared" si="826"/>
        <v>46307</v>
      </c>
      <c r="R613" s="124">
        <v>46293</v>
      </c>
      <c r="S613" s="124">
        <f t="shared" si="828"/>
        <v>46321</v>
      </c>
      <c r="T613" s="124">
        <f t="shared" si="827"/>
        <v>46321</v>
      </c>
      <c r="U613" s="124">
        <v>46295</v>
      </c>
      <c r="V613" s="229"/>
      <c r="X613" s="168" t="str">
        <f t="shared" ca="1" si="782"/>
        <v>Completed</v>
      </c>
      <c r="Y613" s="168" t="str">
        <f t="shared" ca="1" si="783"/>
        <v>Completed</v>
      </c>
      <c r="Z613" s="168" t="str">
        <f t="shared" ca="1" si="784"/>
        <v>Completed</v>
      </c>
      <c r="AA613" s="169" t="str">
        <f t="shared" ca="1" si="785"/>
        <v>Completed</v>
      </c>
    </row>
    <row r="614" spans="1:27" s="70" customFormat="1" ht="11.5" x14ac:dyDescent="0.25">
      <c r="A614" s="120" t="s">
        <v>65</v>
      </c>
      <c r="B614" s="120" t="s">
        <v>14</v>
      </c>
      <c r="C614" s="120" t="s">
        <v>649</v>
      </c>
      <c r="D614" s="120" t="s">
        <v>650</v>
      </c>
      <c r="E614" s="122">
        <f t="shared" si="786"/>
        <v>0.7</v>
      </c>
      <c r="F614" s="122">
        <f t="shared" si="787"/>
        <v>0.7</v>
      </c>
      <c r="G614" s="122">
        <f t="shared" si="832"/>
        <v>1</v>
      </c>
      <c r="H614" s="127">
        <f t="shared" si="788"/>
        <v>0.30000000000000004</v>
      </c>
      <c r="I614" s="125">
        <v>4.7E-2</v>
      </c>
      <c r="J614" s="124">
        <f t="shared" si="833"/>
        <v>46234</v>
      </c>
      <c r="K614" s="124">
        <f t="shared" si="822"/>
        <v>46234</v>
      </c>
      <c r="L614" s="124">
        <v>46130</v>
      </c>
      <c r="M614" s="124">
        <f t="shared" si="834"/>
        <v>46269</v>
      </c>
      <c r="N614" s="124">
        <f t="shared" si="824"/>
        <v>46269</v>
      </c>
      <c r="O614" s="124">
        <v>46259</v>
      </c>
      <c r="P614" s="124">
        <f t="shared" si="835"/>
        <v>46307</v>
      </c>
      <c r="Q614" s="124">
        <f t="shared" si="826"/>
        <v>46307</v>
      </c>
      <c r="R614" s="124">
        <v>46293</v>
      </c>
      <c r="S614" s="124">
        <f t="shared" si="828"/>
        <v>46321</v>
      </c>
      <c r="T614" s="124">
        <f t="shared" si="827"/>
        <v>46321</v>
      </c>
      <c r="U614" s="124">
        <v>46295</v>
      </c>
      <c r="V614" s="229"/>
      <c r="X614" s="168" t="str">
        <f t="shared" ref="X614:X677" ca="1" si="836">IF(OR(L614&lt;&gt;""),"Completed",
IF(K614="","",IF(K614&lt;TODAY(),"Overdue",
IF(AND(K614&gt;=TODAY()-WEEKDAY(TODAY(),2)+1,K614&lt;=TODAY()-WEEKDAY(TODAY(),2)+7),"Follow-This Week",
IF(AND(K614&gt;=TODAY()-WEEKDAY(TODAY(),2)+8,K614&lt;=TODAY()-WEEKDAY(TODAY(),2)+14),"Follow-Next Week","")))))</f>
        <v>Completed</v>
      </c>
      <c r="Y614" s="168" t="str">
        <f t="shared" ref="Y614:Y677" ca="1" si="837">IF(OR(O614&lt;&gt;""),"Completed",IF(N614="","",
IF(N614&lt;TODAY(),"Overdue",
IF(AND(N614&gt;=TODAY()-WEEKDAY(TODAY(),2)+1,N614&lt;=TODAY()-WEEKDAY(TODAY(),2)+7),"Follow-This Week",
IF(AND(N614&gt;=TODAY()-WEEKDAY(TODAY(),2)+8,N614&lt;=TODAY()-WEEKDAY(TODAY(),2)+14),"Follow-Next Week","")))))</f>
        <v>Completed</v>
      </c>
      <c r="Z614" s="168" t="str">
        <f t="shared" ref="Z614:Z677" ca="1" si="838">IF(OR(R614&lt;&gt;""),"Completed",IF(Q614="","",
IF(Q614&lt;TODAY(),"Overdue",
IF(AND(Q614&gt;=TODAY()-WEEKDAY(TODAY(),2)+1,Q614&lt;=TODAY()-WEEKDAY(TODAY(),2)+7),"Follow-This Week",
IF(AND(Q614&gt;=TODAY()-WEEKDAY(TODAY(),2)+8,Q614&lt;=TODAY()-WEEKDAY(TODAY(),2)+14),"Follow-Next Week","")))))</f>
        <v>Completed</v>
      </c>
      <c r="AA614" s="169" t="str">
        <f t="shared" ref="AA614:AA677" ca="1" si="839">IF(OR(U614&lt;&gt;""),"Completed",IF(T614="","",
IF(T614&lt;TODAY(),"Overdue",
IF(AND(T614&gt;=TODAY()-WEEKDAY(TODAY(),2)+1,T614&lt;=TODAY()-WEEKDAY(TODAY(),2)+7),"Follow-This Week",
IF(AND(T614&gt;=TODAY()-WEEKDAY(TODAY(),2)+8,T614&lt;=TODAY()-WEEKDAY(TODAY(),2)+14),"Follow-Next Week","")))))</f>
        <v>Completed</v>
      </c>
    </row>
    <row r="615" spans="1:27" s="70" customFormat="1" ht="11.5" x14ac:dyDescent="0.25">
      <c r="A615" s="120" t="s">
        <v>65</v>
      </c>
      <c r="B615" s="120" t="s">
        <v>14</v>
      </c>
      <c r="C615" s="120" t="s">
        <v>651</v>
      </c>
      <c r="D615" s="120" t="s">
        <v>652</v>
      </c>
      <c r="E615" s="122">
        <f t="shared" si="786"/>
        <v>0.7</v>
      </c>
      <c r="F615" s="122">
        <f t="shared" si="787"/>
        <v>0.7</v>
      </c>
      <c r="G615" s="122">
        <f t="shared" si="832"/>
        <v>0.79999999999999993</v>
      </c>
      <c r="H615" s="127">
        <f t="shared" si="788"/>
        <v>9.9999999999999978E-2</v>
      </c>
      <c r="I615" s="125">
        <v>4.7E-2</v>
      </c>
      <c r="J615" s="124">
        <f t="shared" si="833"/>
        <v>46234</v>
      </c>
      <c r="K615" s="124">
        <f t="shared" si="822"/>
        <v>46234</v>
      </c>
      <c r="L615" s="124">
        <v>46130</v>
      </c>
      <c r="M615" s="124">
        <f t="shared" si="834"/>
        <v>46269</v>
      </c>
      <c r="N615" s="124">
        <f t="shared" si="824"/>
        <v>46269</v>
      </c>
      <c r="O615" s="124">
        <v>46259</v>
      </c>
      <c r="P615" s="124">
        <f t="shared" si="835"/>
        <v>46307</v>
      </c>
      <c r="Q615" s="124">
        <f t="shared" si="826"/>
        <v>46307</v>
      </c>
      <c r="R615" s="124">
        <v>46293</v>
      </c>
      <c r="S615" s="124">
        <f t="shared" si="828"/>
        <v>46321</v>
      </c>
      <c r="T615" s="124">
        <f t="shared" si="827"/>
        <v>46321</v>
      </c>
      <c r="U615" s="124"/>
      <c r="V615" s="229" t="s">
        <v>1231</v>
      </c>
      <c r="X615" s="168" t="str">
        <f t="shared" ca="1" si="836"/>
        <v>Completed</v>
      </c>
      <c r="Y615" s="168" t="str">
        <f t="shared" ca="1" si="837"/>
        <v>Completed</v>
      </c>
      <c r="Z615" s="168" t="str">
        <f t="shared" ca="1" si="838"/>
        <v>Completed</v>
      </c>
      <c r="AA615" s="169" t="str">
        <f t="shared" ca="1" si="839"/>
        <v/>
      </c>
    </row>
    <row r="616" spans="1:27" s="70" customFormat="1" ht="11.5" x14ac:dyDescent="0.25">
      <c r="A616" s="120" t="s">
        <v>65</v>
      </c>
      <c r="B616" s="120" t="s">
        <v>14</v>
      </c>
      <c r="C616" s="120" t="s">
        <v>653</v>
      </c>
      <c r="D616" s="120" t="s">
        <v>654</v>
      </c>
      <c r="E616" s="122">
        <f t="shared" si="786"/>
        <v>0.7</v>
      </c>
      <c r="F616" s="122">
        <f t="shared" si="787"/>
        <v>0.7</v>
      </c>
      <c r="G616" s="122">
        <f t="shared" si="832"/>
        <v>1</v>
      </c>
      <c r="H616" s="127">
        <f t="shared" si="788"/>
        <v>0.30000000000000004</v>
      </c>
      <c r="I616" s="125">
        <v>4.7E-2</v>
      </c>
      <c r="J616" s="124">
        <f t="shared" si="833"/>
        <v>46234</v>
      </c>
      <c r="K616" s="124">
        <f t="shared" si="822"/>
        <v>46234</v>
      </c>
      <c r="L616" s="124">
        <v>46130</v>
      </c>
      <c r="M616" s="124">
        <f t="shared" si="834"/>
        <v>46269</v>
      </c>
      <c r="N616" s="124">
        <f t="shared" si="824"/>
        <v>46269</v>
      </c>
      <c r="O616" s="124">
        <v>46259</v>
      </c>
      <c r="P616" s="124">
        <f t="shared" si="835"/>
        <v>46307</v>
      </c>
      <c r="Q616" s="124">
        <f t="shared" si="826"/>
        <v>46307</v>
      </c>
      <c r="R616" s="124">
        <v>46293</v>
      </c>
      <c r="S616" s="124">
        <f t="shared" si="828"/>
        <v>46321</v>
      </c>
      <c r="T616" s="124">
        <f t="shared" si="827"/>
        <v>46321</v>
      </c>
      <c r="U616" s="124">
        <v>46295</v>
      </c>
      <c r="V616" s="229"/>
      <c r="X616" s="168" t="str">
        <f t="shared" ca="1" si="836"/>
        <v>Completed</v>
      </c>
      <c r="Y616" s="168" t="str">
        <f t="shared" ca="1" si="837"/>
        <v>Completed</v>
      </c>
      <c r="Z616" s="168" t="str">
        <f t="shared" ca="1" si="838"/>
        <v>Completed</v>
      </c>
      <c r="AA616" s="169" t="str">
        <f t="shared" ca="1" si="839"/>
        <v>Completed</v>
      </c>
    </row>
    <row r="617" spans="1:27" s="70" customFormat="1" ht="11.5" x14ac:dyDescent="0.25">
      <c r="A617" s="120" t="s">
        <v>65</v>
      </c>
      <c r="B617" s="120" t="s">
        <v>14</v>
      </c>
      <c r="C617" s="120" t="s">
        <v>655</v>
      </c>
      <c r="D617" s="120" t="s">
        <v>656</v>
      </c>
      <c r="E617" s="122">
        <f t="shared" si="786"/>
        <v>0.7</v>
      </c>
      <c r="F617" s="122">
        <f t="shared" si="787"/>
        <v>0.7</v>
      </c>
      <c r="G617" s="122">
        <f t="shared" si="832"/>
        <v>0.79999999999999993</v>
      </c>
      <c r="H617" s="127">
        <f t="shared" si="788"/>
        <v>9.9999999999999978E-2</v>
      </c>
      <c r="I617" s="125">
        <v>4.7E-2</v>
      </c>
      <c r="J617" s="124">
        <f t="shared" si="833"/>
        <v>46234</v>
      </c>
      <c r="K617" s="124">
        <f t="shared" si="822"/>
        <v>46234</v>
      </c>
      <c r="L617" s="124">
        <v>46130</v>
      </c>
      <c r="M617" s="124">
        <f t="shared" si="834"/>
        <v>46269</v>
      </c>
      <c r="N617" s="124">
        <f t="shared" si="824"/>
        <v>46269</v>
      </c>
      <c r="O617" s="124">
        <v>46259</v>
      </c>
      <c r="P617" s="124">
        <f t="shared" si="835"/>
        <v>46307</v>
      </c>
      <c r="Q617" s="124">
        <f t="shared" si="826"/>
        <v>46307</v>
      </c>
      <c r="R617" s="124">
        <v>46293</v>
      </c>
      <c r="S617" s="124">
        <f t="shared" si="828"/>
        <v>46321</v>
      </c>
      <c r="T617" s="124">
        <f t="shared" si="827"/>
        <v>46321</v>
      </c>
      <c r="U617" s="124"/>
      <c r="V617" s="229" t="s">
        <v>1231</v>
      </c>
      <c r="X617" s="168" t="str">
        <f t="shared" ca="1" si="836"/>
        <v>Completed</v>
      </c>
      <c r="Y617" s="168" t="str">
        <f t="shared" ca="1" si="837"/>
        <v>Completed</v>
      </c>
      <c r="Z617" s="168" t="str">
        <f t="shared" ca="1" si="838"/>
        <v>Completed</v>
      </c>
      <c r="AA617" s="169" t="str">
        <f t="shared" ca="1" si="839"/>
        <v/>
      </c>
    </row>
    <row r="618" spans="1:27" s="70" customFormat="1" ht="11.5" x14ac:dyDescent="0.25">
      <c r="A618" s="120" t="s">
        <v>65</v>
      </c>
      <c r="B618" s="120" t="s">
        <v>14</v>
      </c>
      <c r="C618" s="120" t="s">
        <v>657</v>
      </c>
      <c r="D618" s="120" t="s">
        <v>658</v>
      </c>
      <c r="E618" s="122">
        <f t="shared" si="786"/>
        <v>0.7</v>
      </c>
      <c r="F618" s="122">
        <f t="shared" si="787"/>
        <v>0.7</v>
      </c>
      <c r="G618" s="122">
        <f t="shared" si="832"/>
        <v>1</v>
      </c>
      <c r="H618" s="127">
        <f t="shared" si="788"/>
        <v>0.30000000000000004</v>
      </c>
      <c r="I618" s="125">
        <v>4.7E-2</v>
      </c>
      <c r="J618" s="124">
        <f t="shared" si="833"/>
        <v>46234</v>
      </c>
      <c r="K618" s="124">
        <f t="shared" si="822"/>
        <v>46234</v>
      </c>
      <c r="L618" s="124">
        <v>46130</v>
      </c>
      <c r="M618" s="124">
        <f t="shared" si="834"/>
        <v>46269</v>
      </c>
      <c r="N618" s="124">
        <f t="shared" si="824"/>
        <v>46269</v>
      </c>
      <c r="O618" s="124">
        <v>46259</v>
      </c>
      <c r="P618" s="124">
        <f t="shared" si="835"/>
        <v>46307</v>
      </c>
      <c r="Q618" s="124">
        <f t="shared" si="826"/>
        <v>46307</v>
      </c>
      <c r="R618" s="124">
        <v>46293</v>
      </c>
      <c r="S618" s="124">
        <f t="shared" si="828"/>
        <v>46321</v>
      </c>
      <c r="T618" s="124">
        <f t="shared" si="827"/>
        <v>46321</v>
      </c>
      <c r="U618" s="124">
        <v>46296</v>
      </c>
      <c r="V618" s="229"/>
      <c r="X618" s="168" t="str">
        <f t="shared" ca="1" si="836"/>
        <v>Completed</v>
      </c>
      <c r="Y618" s="168" t="str">
        <f t="shared" ca="1" si="837"/>
        <v>Completed</v>
      </c>
      <c r="Z618" s="168" t="str">
        <f t="shared" ca="1" si="838"/>
        <v>Completed</v>
      </c>
      <c r="AA618" s="169" t="str">
        <f t="shared" ca="1" si="839"/>
        <v>Completed</v>
      </c>
    </row>
    <row r="619" spans="1:27" s="70" customFormat="1" ht="11.5" x14ac:dyDescent="0.25">
      <c r="A619" s="120" t="s">
        <v>65</v>
      </c>
      <c r="B619" s="120" t="s">
        <v>14</v>
      </c>
      <c r="C619" s="120" t="s">
        <v>659</v>
      </c>
      <c r="D619" s="120" t="s">
        <v>660</v>
      </c>
      <c r="E619" s="122">
        <f t="shared" si="786"/>
        <v>0.7</v>
      </c>
      <c r="F619" s="122">
        <f t="shared" si="787"/>
        <v>0.7</v>
      </c>
      <c r="G619" s="122">
        <f t="shared" si="832"/>
        <v>0.79999999999999993</v>
      </c>
      <c r="H619" s="127">
        <f t="shared" si="788"/>
        <v>9.9999999999999978E-2</v>
      </c>
      <c r="I619" s="125">
        <v>4.7E-2</v>
      </c>
      <c r="J619" s="124">
        <f t="shared" si="833"/>
        <v>46234</v>
      </c>
      <c r="K619" s="124">
        <f t="shared" si="822"/>
        <v>46234</v>
      </c>
      <c r="L619" s="124">
        <v>46130</v>
      </c>
      <c r="M619" s="124">
        <f t="shared" si="834"/>
        <v>46269</v>
      </c>
      <c r="N619" s="124">
        <f t="shared" si="824"/>
        <v>46269</v>
      </c>
      <c r="O619" s="124">
        <v>46259</v>
      </c>
      <c r="P619" s="124">
        <f t="shared" si="835"/>
        <v>46307</v>
      </c>
      <c r="Q619" s="124">
        <f t="shared" si="826"/>
        <v>46307</v>
      </c>
      <c r="R619" s="124">
        <v>46293</v>
      </c>
      <c r="S619" s="124">
        <f t="shared" si="828"/>
        <v>46321</v>
      </c>
      <c r="T619" s="124">
        <f t="shared" si="827"/>
        <v>46321</v>
      </c>
      <c r="U619" s="124"/>
      <c r="V619" s="229" t="s">
        <v>1231</v>
      </c>
      <c r="X619" s="168" t="str">
        <f t="shared" ca="1" si="836"/>
        <v>Completed</v>
      </c>
      <c r="Y619" s="168" t="str">
        <f t="shared" ca="1" si="837"/>
        <v>Completed</v>
      </c>
      <c r="Z619" s="168" t="str">
        <f t="shared" ca="1" si="838"/>
        <v>Completed</v>
      </c>
      <c r="AA619" s="169" t="str">
        <f t="shared" ca="1" si="839"/>
        <v/>
      </c>
    </row>
    <row r="620" spans="1:27" s="70" customFormat="1" ht="11.5" x14ac:dyDescent="0.25">
      <c r="A620" s="120" t="s">
        <v>65</v>
      </c>
      <c r="B620" s="120" t="s">
        <v>14</v>
      </c>
      <c r="C620" s="120" t="s">
        <v>661</v>
      </c>
      <c r="D620" s="120" t="s">
        <v>662</v>
      </c>
      <c r="E620" s="122">
        <f t="shared" si="786"/>
        <v>0.7</v>
      </c>
      <c r="F620" s="122">
        <f t="shared" si="787"/>
        <v>0.7</v>
      </c>
      <c r="G620" s="122">
        <f t="shared" si="832"/>
        <v>1</v>
      </c>
      <c r="H620" s="127">
        <f t="shared" si="788"/>
        <v>0.30000000000000004</v>
      </c>
      <c r="I620" s="125">
        <v>4.7E-2</v>
      </c>
      <c r="J620" s="124">
        <f t="shared" si="833"/>
        <v>46234</v>
      </c>
      <c r="K620" s="124">
        <f t="shared" si="822"/>
        <v>46234</v>
      </c>
      <c r="L620" s="124">
        <v>46130</v>
      </c>
      <c r="M620" s="124">
        <f t="shared" si="834"/>
        <v>46269</v>
      </c>
      <c r="N620" s="124">
        <f t="shared" si="824"/>
        <v>46269</v>
      </c>
      <c r="O620" s="124">
        <v>46259</v>
      </c>
      <c r="P620" s="124">
        <f t="shared" si="835"/>
        <v>46307</v>
      </c>
      <c r="Q620" s="124">
        <f t="shared" si="826"/>
        <v>46307</v>
      </c>
      <c r="R620" s="124">
        <v>46293</v>
      </c>
      <c r="S620" s="124">
        <f t="shared" si="828"/>
        <v>46321</v>
      </c>
      <c r="T620" s="124">
        <f t="shared" si="827"/>
        <v>46321</v>
      </c>
      <c r="U620" s="124">
        <v>46296</v>
      </c>
      <c r="V620" s="229"/>
      <c r="X620" s="168" t="str">
        <f t="shared" ca="1" si="836"/>
        <v>Completed</v>
      </c>
      <c r="Y620" s="168" t="str">
        <f t="shared" ca="1" si="837"/>
        <v>Completed</v>
      </c>
      <c r="Z620" s="168" t="str">
        <f t="shared" ca="1" si="838"/>
        <v>Completed</v>
      </c>
      <c r="AA620" s="169" t="str">
        <f t="shared" ca="1" si="839"/>
        <v>Completed</v>
      </c>
    </row>
    <row r="621" spans="1:27" s="70" customFormat="1" ht="11.5" x14ac:dyDescent="0.25">
      <c r="A621" s="120" t="s">
        <v>65</v>
      </c>
      <c r="B621" s="120" t="s">
        <v>14</v>
      </c>
      <c r="C621" s="120" t="s">
        <v>663</v>
      </c>
      <c r="D621" s="120" t="s">
        <v>664</v>
      </c>
      <c r="E621" s="122">
        <f t="shared" si="786"/>
        <v>0.7</v>
      </c>
      <c r="F621" s="122">
        <f t="shared" si="787"/>
        <v>0.7</v>
      </c>
      <c r="G621" s="122">
        <f t="shared" si="832"/>
        <v>0.79999999999999993</v>
      </c>
      <c r="H621" s="127">
        <f t="shared" si="788"/>
        <v>9.9999999999999978E-2</v>
      </c>
      <c r="I621" s="125">
        <v>4.7E-2</v>
      </c>
      <c r="J621" s="124">
        <f t="shared" si="833"/>
        <v>46234</v>
      </c>
      <c r="K621" s="124">
        <f t="shared" si="822"/>
        <v>46234</v>
      </c>
      <c r="L621" s="124">
        <v>46130</v>
      </c>
      <c r="M621" s="124">
        <f t="shared" si="834"/>
        <v>46269</v>
      </c>
      <c r="N621" s="124">
        <f t="shared" si="824"/>
        <v>46269</v>
      </c>
      <c r="O621" s="124">
        <v>46259</v>
      </c>
      <c r="P621" s="124">
        <f t="shared" si="835"/>
        <v>46307</v>
      </c>
      <c r="Q621" s="124">
        <f t="shared" si="826"/>
        <v>46307</v>
      </c>
      <c r="R621" s="124">
        <v>46293</v>
      </c>
      <c r="S621" s="124">
        <f t="shared" si="828"/>
        <v>46321</v>
      </c>
      <c r="T621" s="124">
        <f t="shared" si="827"/>
        <v>46321</v>
      </c>
      <c r="U621" s="124"/>
      <c r="V621" s="229" t="s">
        <v>1231</v>
      </c>
      <c r="X621" s="168" t="str">
        <f t="shared" ca="1" si="836"/>
        <v>Completed</v>
      </c>
      <c r="Y621" s="168" t="str">
        <f t="shared" ca="1" si="837"/>
        <v>Completed</v>
      </c>
      <c r="Z621" s="168" t="str">
        <f t="shared" ca="1" si="838"/>
        <v>Completed</v>
      </c>
      <c r="AA621" s="169" t="str">
        <f t="shared" ca="1" si="839"/>
        <v/>
      </c>
    </row>
    <row r="622" spans="1:27" s="70" customFormat="1" ht="11.5" x14ac:dyDescent="0.25">
      <c r="A622" s="120" t="s">
        <v>65</v>
      </c>
      <c r="B622" s="120" t="s">
        <v>14</v>
      </c>
      <c r="C622" s="120" t="s">
        <v>665</v>
      </c>
      <c r="D622" s="120" t="s">
        <v>666</v>
      </c>
      <c r="E622" s="122">
        <f t="shared" ref="E622:E695" si="840">(COUNTIFS(J622,"&lt;="&amp;$C$1)*50%)+(COUNTIFS(M622,"&lt;="&amp;$C$1)*20%)+(COUNTIFS(P622,"&lt;="&amp;$C$1)*10%)+(COUNTIFS(S622,"&lt;="&amp;$C$1)*20%)</f>
        <v>0.7</v>
      </c>
      <c r="F622" s="122">
        <f t="shared" ref="F622:F695" si="841">(COUNTIFS(K622,"&lt;="&amp;$C$1)*50%)+(COUNTIFS(N622,"&lt;="&amp;$C$1)*20%)+(COUNTIFS(Q622,"&lt;="&amp;$C$1)*10%)+(COUNTIFS(T622,"&lt;="&amp;$C$1)*20%)</f>
        <v>0.7</v>
      </c>
      <c r="G622" s="122">
        <f t="shared" si="832"/>
        <v>1</v>
      </c>
      <c r="H622" s="127">
        <f t="shared" ref="H622:H695" si="842">G622-E622</f>
        <v>0.30000000000000004</v>
      </c>
      <c r="I622" s="125">
        <v>4.7E-2</v>
      </c>
      <c r="J622" s="124">
        <f t="shared" si="833"/>
        <v>46234</v>
      </c>
      <c r="K622" s="124">
        <f t="shared" si="822"/>
        <v>46234</v>
      </c>
      <c r="L622" s="124">
        <v>46130</v>
      </c>
      <c r="M622" s="124">
        <f t="shared" si="834"/>
        <v>46269</v>
      </c>
      <c r="N622" s="124">
        <f t="shared" si="824"/>
        <v>46269</v>
      </c>
      <c r="O622" s="124">
        <v>46259</v>
      </c>
      <c r="P622" s="124">
        <f t="shared" si="835"/>
        <v>46307</v>
      </c>
      <c r="Q622" s="124">
        <f t="shared" si="826"/>
        <v>46307</v>
      </c>
      <c r="R622" s="124">
        <v>46293</v>
      </c>
      <c r="S622" s="124">
        <f t="shared" si="828"/>
        <v>46321</v>
      </c>
      <c r="T622" s="124">
        <f t="shared" si="827"/>
        <v>46321</v>
      </c>
      <c r="U622" s="124">
        <v>46296</v>
      </c>
      <c r="V622" s="229"/>
      <c r="X622" s="168" t="str">
        <f t="shared" ca="1" si="836"/>
        <v>Completed</v>
      </c>
      <c r="Y622" s="168" t="str">
        <f t="shared" ca="1" si="837"/>
        <v>Completed</v>
      </c>
      <c r="Z622" s="168" t="str">
        <f t="shared" ca="1" si="838"/>
        <v>Completed</v>
      </c>
      <c r="AA622" s="169" t="str">
        <f t="shared" ca="1" si="839"/>
        <v>Completed</v>
      </c>
    </row>
    <row r="623" spans="1:27" s="70" customFormat="1" ht="11.5" x14ac:dyDescent="0.25">
      <c r="A623" s="120" t="s">
        <v>65</v>
      </c>
      <c r="B623" s="120" t="s">
        <v>14</v>
      </c>
      <c r="C623" s="120" t="s">
        <v>667</v>
      </c>
      <c r="D623" s="120" t="s">
        <v>668</v>
      </c>
      <c r="E623" s="122">
        <f t="shared" si="840"/>
        <v>0.7</v>
      </c>
      <c r="F623" s="122">
        <f t="shared" si="841"/>
        <v>0.7</v>
      </c>
      <c r="G623" s="122">
        <f t="shared" si="832"/>
        <v>0.79999999999999993</v>
      </c>
      <c r="H623" s="127">
        <f t="shared" si="842"/>
        <v>9.9999999999999978E-2</v>
      </c>
      <c r="I623" s="125">
        <v>4.7E-2</v>
      </c>
      <c r="J623" s="124">
        <f t="shared" si="833"/>
        <v>46234</v>
      </c>
      <c r="K623" s="124">
        <f t="shared" si="822"/>
        <v>46234</v>
      </c>
      <c r="L623" s="124">
        <v>46130</v>
      </c>
      <c r="M623" s="124">
        <f t="shared" si="834"/>
        <v>46269</v>
      </c>
      <c r="N623" s="124">
        <f t="shared" si="824"/>
        <v>46269</v>
      </c>
      <c r="O623" s="124">
        <v>46259</v>
      </c>
      <c r="P623" s="124">
        <f t="shared" si="835"/>
        <v>46307</v>
      </c>
      <c r="Q623" s="124">
        <f t="shared" si="826"/>
        <v>46307</v>
      </c>
      <c r="R623" s="124">
        <v>46293</v>
      </c>
      <c r="S623" s="124">
        <f t="shared" si="828"/>
        <v>46321</v>
      </c>
      <c r="T623" s="124">
        <f t="shared" si="827"/>
        <v>46321</v>
      </c>
      <c r="U623" s="124"/>
      <c r="V623" s="229" t="s">
        <v>1231</v>
      </c>
      <c r="X623" s="168" t="str">
        <f t="shared" ca="1" si="836"/>
        <v>Completed</v>
      </c>
      <c r="Y623" s="168" t="str">
        <f t="shared" ca="1" si="837"/>
        <v>Completed</v>
      </c>
      <c r="Z623" s="168" t="str">
        <f t="shared" ca="1" si="838"/>
        <v>Completed</v>
      </c>
      <c r="AA623" s="169" t="str">
        <f t="shared" ca="1" si="839"/>
        <v/>
      </c>
    </row>
    <row r="624" spans="1:27" s="70" customFormat="1" ht="11.5" x14ac:dyDescent="0.25">
      <c r="A624" s="120" t="s">
        <v>65</v>
      </c>
      <c r="B624" s="120" t="s">
        <v>14</v>
      </c>
      <c r="C624" s="120" t="s">
        <v>669</v>
      </c>
      <c r="D624" s="120" t="s">
        <v>670</v>
      </c>
      <c r="E624" s="122">
        <f t="shared" si="840"/>
        <v>0.7</v>
      </c>
      <c r="F624" s="122">
        <f t="shared" si="841"/>
        <v>0.7</v>
      </c>
      <c r="G624" s="122">
        <f t="shared" si="832"/>
        <v>1</v>
      </c>
      <c r="H624" s="127">
        <f t="shared" si="842"/>
        <v>0.30000000000000004</v>
      </c>
      <c r="I624" s="125">
        <v>4.7E-2</v>
      </c>
      <c r="J624" s="124">
        <f t="shared" si="833"/>
        <v>46234</v>
      </c>
      <c r="K624" s="124">
        <f t="shared" si="822"/>
        <v>46234</v>
      </c>
      <c r="L624" s="124">
        <v>46130</v>
      </c>
      <c r="M624" s="124">
        <f t="shared" si="834"/>
        <v>46269</v>
      </c>
      <c r="N624" s="124">
        <f t="shared" si="824"/>
        <v>46269</v>
      </c>
      <c r="O624" s="124">
        <v>46259</v>
      </c>
      <c r="P624" s="124">
        <f t="shared" si="835"/>
        <v>46307</v>
      </c>
      <c r="Q624" s="124">
        <f t="shared" si="826"/>
        <v>46307</v>
      </c>
      <c r="R624" s="124">
        <v>46293</v>
      </c>
      <c r="S624" s="124">
        <f t="shared" si="828"/>
        <v>46321</v>
      </c>
      <c r="T624" s="124">
        <f t="shared" si="827"/>
        <v>46321</v>
      </c>
      <c r="U624" s="124">
        <v>46296</v>
      </c>
      <c r="V624" s="229"/>
      <c r="X624" s="168" t="str">
        <f t="shared" ca="1" si="836"/>
        <v>Completed</v>
      </c>
      <c r="Y624" s="168" t="str">
        <f t="shared" ca="1" si="837"/>
        <v>Completed</v>
      </c>
      <c r="Z624" s="168" t="str">
        <f t="shared" ca="1" si="838"/>
        <v>Completed</v>
      </c>
      <c r="AA624" s="169" t="str">
        <f t="shared" ca="1" si="839"/>
        <v>Completed</v>
      </c>
    </row>
    <row r="625" spans="1:27" s="70" customFormat="1" ht="11.5" x14ac:dyDescent="0.25">
      <c r="A625" s="120" t="s">
        <v>65</v>
      </c>
      <c r="B625" s="120" t="s">
        <v>14</v>
      </c>
      <c r="C625" s="120" t="s">
        <v>671</v>
      </c>
      <c r="D625" s="150" t="s">
        <v>904</v>
      </c>
      <c r="E625" s="122">
        <f t="shared" si="840"/>
        <v>0.7</v>
      </c>
      <c r="F625" s="122">
        <f t="shared" si="841"/>
        <v>0.7</v>
      </c>
      <c r="G625" s="122">
        <f t="shared" si="832"/>
        <v>0.79999999999999993</v>
      </c>
      <c r="H625" s="127">
        <f t="shared" si="842"/>
        <v>9.9999999999999978E-2</v>
      </c>
      <c r="I625" s="125">
        <v>4.7E-2</v>
      </c>
      <c r="J625" s="124">
        <f t="shared" si="833"/>
        <v>46234</v>
      </c>
      <c r="K625" s="124">
        <f t="shared" si="822"/>
        <v>46234</v>
      </c>
      <c r="L625" s="124">
        <v>46130</v>
      </c>
      <c r="M625" s="124">
        <f t="shared" si="834"/>
        <v>46269</v>
      </c>
      <c r="N625" s="124">
        <f t="shared" si="824"/>
        <v>46269</v>
      </c>
      <c r="O625" s="124">
        <v>46191</v>
      </c>
      <c r="P625" s="124">
        <f t="shared" si="835"/>
        <v>46307</v>
      </c>
      <c r="Q625" s="124">
        <f t="shared" si="826"/>
        <v>46307</v>
      </c>
      <c r="R625" s="124">
        <v>46293</v>
      </c>
      <c r="S625" s="124">
        <f t="shared" si="828"/>
        <v>46321</v>
      </c>
      <c r="T625" s="124">
        <f t="shared" si="827"/>
        <v>46321</v>
      </c>
      <c r="U625" s="124"/>
      <c r="V625" s="229" t="s">
        <v>1231</v>
      </c>
      <c r="X625" s="168" t="str">
        <f t="shared" ca="1" si="836"/>
        <v>Completed</v>
      </c>
      <c r="Y625" s="168" t="str">
        <f t="shared" ca="1" si="837"/>
        <v>Completed</v>
      </c>
      <c r="Z625" s="168" t="str">
        <f t="shared" ca="1" si="838"/>
        <v>Completed</v>
      </c>
      <c r="AA625" s="169" t="str">
        <f t="shared" ca="1" si="839"/>
        <v/>
      </c>
    </row>
    <row r="626" spans="1:27" s="70" customFormat="1" ht="11.5" x14ac:dyDescent="0.25">
      <c r="A626" s="120" t="s">
        <v>65</v>
      </c>
      <c r="B626" s="120" t="s">
        <v>14</v>
      </c>
      <c r="C626" s="120" t="s">
        <v>672</v>
      </c>
      <c r="D626" s="120" t="s">
        <v>673</v>
      </c>
      <c r="E626" s="122">
        <f t="shared" si="840"/>
        <v>0.7</v>
      </c>
      <c r="F626" s="122">
        <f t="shared" si="841"/>
        <v>0.7</v>
      </c>
      <c r="G626" s="122">
        <f t="shared" si="832"/>
        <v>1</v>
      </c>
      <c r="H626" s="127">
        <f t="shared" si="842"/>
        <v>0.30000000000000004</v>
      </c>
      <c r="I626" s="125">
        <v>4.7E-2</v>
      </c>
      <c r="J626" s="124">
        <f t="shared" si="833"/>
        <v>46234</v>
      </c>
      <c r="K626" s="124">
        <f t="shared" si="822"/>
        <v>46234</v>
      </c>
      <c r="L626" s="124">
        <v>46130</v>
      </c>
      <c r="M626" s="124">
        <f t="shared" si="834"/>
        <v>46269</v>
      </c>
      <c r="N626" s="124">
        <f t="shared" si="824"/>
        <v>46269</v>
      </c>
      <c r="O626" s="124">
        <v>46259</v>
      </c>
      <c r="P626" s="124">
        <f t="shared" si="835"/>
        <v>46307</v>
      </c>
      <c r="Q626" s="124">
        <f t="shared" si="826"/>
        <v>46307</v>
      </c>
      <c r="R626" s="124">
        <v>46293</v>
      </c>
      <c r="S626" s="124">
        <f t="shared" si="828"/>
        <v>46321</v>
      </c>
      <c r="T626" s="124">
        <f t="shared" si="827"/>
        <v>46321</v>
      </c>
      <c r="U626" s="124">
        <v>46296</v>
      </c>
      <c r="V626" s="229"/>
      <c r="X626" s="168" t="str">
        <f t="shared" ca="1" si="836"/>
        <v>Completed</v>
      </c>
      <c r="Y626" s="168" t="str">
        <f t="shared" ca="1" si="837"/>
        <v>Completed</v>
      </c>
      <c r="Z626" s="168" t="str">
        <f t="shared" ca="1" si="838"/>
        <v>Completed</v>
      </c>
      <c r="AA626" s="169" t="str">
        <f t="shared" ca="1" si="839"/>
        <v>Completed</v>
      </c>
    </row>
    <row r="627" spans="1:27" s="70" customFormat="1" ht="11.5" x14ac:dyDescent="0.25">
      <c r="A627" s="120" t="s">
        <v>65</v>
      </c>
      <c r="B627" s="120" t="s">
        <v>14</v>
      </c>
      <c r="C627" s="120" t="s">
        <v>674</v>
      </c>
      <c r="D627" s="120" t="s">
        <v>675</v>
      </c>
      <c r="E627" s="122">
        <f t="shared" si="840"/>
        <v>0.7</v>
      </c>
      <c r="F627" s="122">
        <f t="shared" si="841"/>
        <v>0.7</v>
      </c>
      <c r="G627" s="122">
        <f t="shared" si="832"/>
        <v>1</v>
      </c>
      <c r="H627" s="127">
        <f t="shared" si="842"/>
        <v>0.30000000000000004</v>
      </c>
      <c r="I627" s="125">
        <v>4.7E-2</v>
      </c>
      <c r="J627" s="124">
        <f t="shared" si="833"/>
        <v>46234</v>
      </c>
      <c r="K627" s="124">
        <f t="shared" si="822"/>
        <v>46234</v>
      </c>
      <c r="L627" s="124">
        <v>46150</v>
      </c>
      <c r="M627" s="124">
        <f t="shared" si="834"/>
        <v>46269</v>
      </c>
      <c r="N627" s="124">
        <f t="shared" si="824"/>
        <v>46269</v>
      </c>
      <c r="O627" s="124">
        <v>46205</v>
      </c>
      <c r="P627" s="124">
        <f t="shared" si="835"/>
        <v>46307</v>
      </c>
      <c r="Q627" s="124">
        <f t="shared" si="826"/>
        <v>46307</v>
      </c>
      <c r="R627" s="124">
        <v>46286</v>
      </c>
      <c r="S627" s="124">
        <f t="shared" si="828"/>
        <v>46321</v>
      </c>
      <c r="T627" s="124">
        <f t="shared" si="827"/>
        <v>46321</v>
      </c>
      <c r="U627" s="124">
        <v>46288</v>
      </c>
      <c r="V627" s="229"/>
      <c r="X627" s="168" t="str">
        <f t="shared" ca="1" si="836"/>
        <v>Completed</v>
      </c>
      <c r="Y627" s="168" t="str">
        <f t="shared" ca="1" si="837"/>
        <v>Completed</v>
      </c>
      <c r="Z627" s="168" t="str">
        <f t="shared" ca="1" si="838"/>
        <v>Completed</v>
      </c>
      <c r="AA627" s="169" t="str">
        <f t="shared" ca="1" si="839"/>
        <v>Completed</v>
      </c>
    </row>
    <row r="628" spans="1:27" s="70" customFormat="1" ht="11.5" x14ac:dyDescent="0.25">
      <c r="A628" s="120" t="s">
        <v>65</v>
      </c>
      <c r="B628" s="120" t="s">
        <v>14</v>
      </c>
      <c r="C628" s="120" t="s">
        <v>676</v>
      </c>
      <c r="D628" s="120" t="s">
        <v>677</v>
      </c>
      <c r="E628" s="122">
        <f t="shared" si="840"/>
        <v>0.7</v>
      </c>
      <c r="F628" s="122">
        <f t="shared" si="841"/>
        <v>0.7</v>
      </c>
      <c r="G628" s="122">
        <f t="shared" si="832"/>
        <v>0.79999999999999993</v>
      </c>
      <c r="H628" s="127">
        <f t="shared" si="842"/>
        <v>9.9999999999999978E-2</v>
      </c>
      <c r="I628" s="125">
        <v>4.7E-2</v>
      </c>
      <c r="J628" s="124">
        <f t="shared" si="833"/>
        <v>46234</v>
      </c>
      <c r="K628" s="124">
        <f t="shared" si="822"/>
        <v>46234</v>
      </c>
      <c r="L628" s="124">
        <v>46150</v>
      </c>
      <c r="M628" s="124">
        <f t="shared" si="834"/>
        <v>46269</v>
      </c>
      <c r="N628" s="124">
        <f t="shared" si="824"/>
        <v>46269</v>
      </c>
      <c r="O628" s="124">
        <v>46205</v>
      </c>
      <c r="P628" s="124">
        <f t="shared" si="835"/>
        <v>46307</v>
      </c>
      <c r="Q628" s="124">
        <f t="shared" si="826"/>
        <v>46307</v>
      </c>
      <c r="R628" s="124">
        <v>46286</v>
      </c>
      <c r="S628" s="124">
        <f t="shared" si="828"/>
        <v>46321</v>
      </c>
      <c r="T628" s="124">
        <f t="shared" si="827"/>
        <v>46321</v>
      </c>
      <c r="U628" s="124"/>
      <c r="V628" s="229" t="s">
        <v>1231</v>
      </c>
      <c r="X628" s="168" t="str">
        <f t="shared" ca="1" si="836"/>
        <v>Completed</v>
      </c>
      <c r="Y628" s="168" t="str">
        <f t="shared" ca="1" si="837"/>
        <v>Completed</v>
      </c>
      <c r="Z628" s="168" t="str">
        <f t="shared" ca="1" si="838"/>
        <v>Completed</v>
      </c>
      <c r="AA628" s="169" t="str">
        <f t="shared" ca="1" si="839"/>
        <v/>
      </c>
    </row>
    <row r="629" spans="1:27" s="70" customFormat="1" ht="11.5" x14ac:dyDescent="0.25">
      <c r="A629" s="120" t="s">
        <v>65</v>
      </c>
      <c r="B629" s="120" t="s">
        <v>14</v>
      </c>
      <c r="C629" s="120" t="s">
        <v>678</v>
      </c>
      <c r="D629" s="120" t="s">
        <v>679</v>
      </c>
      <c r="E629" s="122">
        <f t="shared" si="840"/>
        <v>0.7</v>
      </c>
      <c r="F629" s="122">
        <f t="shared" si="841"/>
        <v>0.7</v>
      </c>
      <c r="G629" s="122">
        <f t="shared" si="832"/>
        <v>1</v>
      </c>
      <c r="H629" s="127">
        <f t="shared" si="842"/>
        <v>0.30000000000000004</v>
      </c>
      <c r="I629" s="125">
        <v>4.7E-2</v>
      </c>
      <c r="J629" s="124">
        <f t="shared" si="833"/>
        <v>46234</v>
      </c>
      <c r="K629" s="124">
        <f t="shared" si="822"/>
        <v>46234</v>
      </c>
      <c r="L629" s="124">
        <v>46150</v>
      </c>
      <c r="M629" s="124">
        <f t="shared" si="834"/>
        <v>46269</v>
      </c>
      <c r="N629" s="124">
        <f t="shared" si="824"/>
        <v>46269</v>
      </c>
      <c r="O629" s="124">
        <v>46205</v>
      </c>
      <c r="P629" s="124">
        <f t="shared" si="835"/>
        <v>46307</v>
      </c>
      <c r="Q629" s="124">
        <f t="shared" si="826"/>
        <v>46307</v>
      </c>
      <c r="R629" s="126">
        <v>46248</v>
      </c>
      <c r="S629" s="124">
        <f t="shared" si="828"/>
        <v>46321</v>
      </c>
      <c r="T629" s="124">
        <f t="shared" si="827"/>
        <v>46321</v>
      </c>
      <c r="U629" s="124">
        <v>46262</v>
      </c>
      <c r="V629" s="229"/>
      <c r="X629" s="168" t="str">
        <f t="shared" ca="1" si="836"/>
        <v>Completed</v>
      </c>
      <c r="Y629" s="168" t="str">
        <f t="shared" ca="1" si="837"/>
        <v>Completed</v>
      </c>
      <c r="Z629" s="168" t="str">
        <f t="shared" ca="1" si="838"/>
        <v>Completed</v>
      </c>
      <c r="AA629" s="169" t="str">
        <f t="shared" ca="1" si="839"/>
        <v>Completed</v>
      </c>
    </row>
    <row r="630" spans="1:27" s="70" customFormat="1" ht="11.5" x14ac:dyDescent="0.25">
      <c r="A630" s="120" t="s">
        <v>65</v>
      </c>
      <c r="B630" s="120" t="s">
        <v>14</v>
      </c>
      <c r="C630" s="120" t="s">
        <v>680</v>
      </c>
      <c r="D630" s="120" t="s">
        <v>681</v>
      </c>
      <c r="E630" s="122">
        <f t="shared" si="840"/>
        <v>0.7</v>
      </c>
      <c r="F630" s="122">
        <f t="shared" si="841"/>
        <v>0.7</v>
      </c>
      <c r="G630" s="122">
        <f t="shared" si="832"/>
        <v>0.7</v>
      </c>
      <c r="H630" s="127">
        <f t="shared" si="842"/>
        <v>0</v>
      </c>
      <c r="I630" s="125">
        <v>4.7E-2</v>
      </c>
      <c r="J630" s="124">
        <f t="shared" si="833"/>
        <v>46234</v>
      </c>
      <c r="K630" s="124">
        <f t="shared" si="822"/>
        <v>46234</v>
      </c>
      <c r="L630" s="144">
        <v>46157</v>
      </c>
      <c r="M630" s="124">
        <f t="shared" si="834"/>
        <v>46269</v>
      </c>
      <c r="N630" s="124">
        <f t="shared" si="824"/>
        <v>46269</v>
      </c>
      <c r="O630" s="126">
        <v>46266</v>
      </c>
      <c r="P630" s="124">
        <f t="shared" si="835"/>
        <v>46307</v>
      </c>
      <c r="Q630" s="124">
        <f t="shared" si="826"/>
        <v>46307</v>
      </c>
      <c r="R630" s="124"/>
      <c r="S630" s="124">
        <f t="shared" si="828"/>
        <v>46321</v>
      </c>
      <c r="T630" s="124">
        <f t="shared" si="827"/>
        <v>46321</v>
      </c>
      <c r="U630" s="124"/>
      <c r="V630" s="229"/>
      <c r="X630" s="168" t="str">
        <f t="shared" ca="1" si="836"/>
        <v>Completed</v>
      </c>
      <c r="Y630" s="168" t="str">
        <f t="shared" ca="1" si="837"/>
        <v>Completed</v>
      </c>
      <c r="Z630" s="168" t="str">
        <f t="shared" ca="1" si="838"/>
        <v>Follow-Next Week</v>
      </c>
      <c r="AA630" s="169" t="str">
        <f t="shared" ca="1" si="839"/>
        <v/>
      </c>
    </row>
    <row r="631" spans="1:27" s="70" customFormat="1" ht="11.5" x14ac:dyDescent="0.25">
      <c r="A631" s="120" t="s">
        <v>65</v>
      </c>
      <c r="B631" s="120" t="s">
        <v>14</v>
      </c>
      <c r="C631" s="120" t="s">
        <v>682</v>
      </c>
      <c r="D631" s="120" t="s">
        <v>683</v>
      </c>
      <c r="E631" s="122">
        <f t="shared" si="840"/>
        <v>0.7</v>
      </c>
      <c r="F631" s="122">
        <f t="shared" si="841"/>
        <v>0.7</v>
      </c>
      <c r="G631" s="122">
        <f t="shared" si="832"/>
        <v>0.7</v>
      </c>
      <c r="H631" s="127">
        <f t="shared" si="842"/>
        <v>0</v>
      </c>
      <c r="I631" s="125">
        <v>4.7E-2</v>
      </c>
      <c r="J631" s="124">
        <f t="shared" si="833"/>
        <v>46234</v>
      </c>
      <c r="K631" s="124">
        <f t="shared" si="822"/>
        <v>46234</v>
      </c>
      <c r="L631" s="144">
        <v>46157</v>
      </c>
      <c r="M631" s="124">
        <f t="shared" si="834"/>
        <v>46269</v>
      </c>
      <c r="N631" s="124">
        <f t="shared" si="824"/>
        <v>46269</v>
      </c>
      <c r="O631" s="126">
        <v>46266</v>
      </c>
      <c r="P631" s="124">
        <f t="shared" si="835"/>
        <v>46307</v>
      </c>
      <c r="Q631" s="124">
        <f t="shared" si="826"/>
        <v>46307</v>
      </c>
      <c r="R631" s="124"/>
      <c r="S631" s="124">
        <f t="shared" si="828"/>
        <v>46321</v>
      </c>
      <c r="T631" s="124">
        <f t="shared" si="827"/>
        <v>46321</v>
      </c>
      <c r="U631" s="124"/>
      <c r="V631" s="229"/>
      <c r="X631" s="168" t="str">
        <f t="shared" ca="1" si="836"/>
        <v>Completed</v>
      </c>
      <c r="Y631" s="168" t="str">
        <f t="shared" ca="1" si="837"/>
        <v>Completed</v>
      </c>
      <c r="Z631" s="168" t="str">
        <f t="shared" ca="1" si="838"/>
        <v>Follow-Next Week</v>
      </c>
      <c r="AA631" s="169" t="str">
        <f t="shared" ca="1" si="839"/>
        <v/>
      </c>
    </row>
    <row r="632" spans="1:27" s="70" customFormat="1" ht="11.5" x14ac:dyDescent="0.25">
      <c r="A632" s="120" t="s">
        <v>65</v>
      </c>
      <c r="B632" s="120" t="s">
        <v>14</v>
      </c>
      <c r="C632" s="120" t="s">
        <v>684</v>
      </c>
      <c r="D632" s="120" t="s">
        <v>685</v>
      </c>
      <c r="E632" s="122">
        <f t="shared" si="840"/>
        <v>0.7</v>
      </c>
      <c r="F632" s="122">
        <f t="shared" si="841"/>
        <v>0.7</v>
      </c>
      <c r="G632" s="122">
        <f t="shared" si="832"/>
        <v>0.7</v>
      </c>
      <c r="H632" s="127">
        <f t="shared" si="842"/>
        <v>0</v>
      </c>
      <c r="I632" s="125">
        <v>4.7E-2</v>
      </c>
      <c r="J632" s="124">
        <f t="shared" si="833"/>
        <v>46234</v>
      </c>
      <c r="K632" s="124">
        <f t="shared" si="822"/>
        <v>46234</v>
      </c>
      <c r="L632" s="144">
        <v>46157</v>
      </c>
      <c r="M632" s="124">
        <f t="shared" si="834"/>
        <v>46269</v>
      </c>
      <c r="N632" s="124">
        <f t="shared" si="824"/>
        <v>46269</v>
      </c>
      <c r="O632" s="126">
        <v>46266</v>
      </c>
      <c r="P632" s="124">
        <f t="shared" si="835"/>
        <v>46307</v>
      </c>
      <c r="Q632" s="124">
        <f t="shared" si="826"/>
        <v>46307</v>
      </c>
      <c r="R632" s="124"/>
      <c r="S632" s="124">
        <f t="shared" si="828"/>
        <v>46321</v>
      </c>
      <c r="T632" s="124">
        <f t="shared" si="827"/>
        <v>46321</v>
      </c>
      <c r="U632" s="124"/>
      <c r="V632" s="229"/>
      <c r="X632" s="168" t="str">
        <f t="shared" ca="1" si="836"/>
        <v>Completed</v>
      </c>
      <c r="Y632" s="168" t="str">
        <f t="shared" ca="1" si="837"/>
        <v>Completed</v>
      </c>
      <c r="Z632" s="168" t="str">
        <f t="shared" ca="1" si="838"/>
        <v>Follow-Next Week</v>
      </c>
      <c r="AA632" s="169" t="str">
        <f t="shared" ca="1" si="839"/>
        <v/>
      </c>
    </row>
    <row r="633" spans="1:27" s="70" customFormat="1" ht="11.5" x14ac:dyDescent="0.25">
      <c r="A633" s="120" t="s">
        <v>65</v>
      </c>
      <c r="B633" s="120" t="s">
        <v>14</v>
      </c>
      <c r="C633" s="120" t="s">
        <v>686</v>
      </c>
      <c r="D633" s="120" t="s">
        <v>687</v>
      </c>
      <c r="E633" s="122">
        <f t="shared" si="840"/>
        <v>0.7</v>
      </c>
      <c r="F633" s="122">
        <f t="shared" si="841"/>
        <v>0.7</v>
      </c>
      <c r="G633" s="122">
        <f t="shared" ref="G633:G664" si="843">(COUNTIFS(L633,"&lt;="&amp;$C$1)*50%)+(COUNTIFS(O633,"&lt;="&amp;$C$1)*20%)+(COUNTIFS(R633,"&lt;="&amp;$C$1)*10%)+(COUNTIFS(U633,"&lt;="&amp;$C$1)*20%)</f>
        <v>0.7</v>
      </c>
      <c r="H633" s="127">
        <f t="shared" si="842"/>
        <v>0</v>
      </c>
      <c r="I633" s="125">
        <v>4.7E-2</v>
      </c>
      <c r="J633" s="124">
        <f t="shared" ref="J633:J664" si="844">J512+28</f>
        <v>46234</v>
      </c>
      <c r="K633" s="124">
        <f t="shared" si="822"/>
        <v>46234</v>
      </c>
      <c r="L633" s="144">
        <v>46157</v>
      </c>
      <c r="M633" s="124">
        <f t="shared" si="834"/>
        <v>46269</v>
      </c>
      <c r="N633" s="124">
        <f t="shared" si="824"/>
        <v>46269</v>
      </c>
      <c r="O633" s="124">
        <v>46205</v>
      </c>
      <c r="P633" s="124">
        <f t="shared" si="835"/>
        <v>46307</v>
      </c>
      <c r="Q633" s="124">
        <f t="shared" si="826"/>
        <v>46307</v>
      </c>
      <c r="R633" s="124"/>
      <c r="S633" s="124">
        <f t="shared" si="828"/>
        <v>46321</v>
      </c>
      <c r="T633" s="124">
        <f t="shared" si="827"/>
        <v>46321</v>
      </c>
      <c r="U633" s="124"/>
      <c r="V633" s="229"/>
      <c r="X633" s="168" t="str">
        <f t="shared" ca="1" si="836"/>
        <v>Completed</v>
      </c>
      <c r="Y633" s="168" t="str">
        <f t="shared" ca="1" si="837"/>
        <v>Completed</v>
      </c>
      <c r="Z633" s="168" t="str">
        <f t="shared" ca="1" si="838"/>
        <v>Follow-Next Week</v>
      </c>
      <c r="AA633" s="169" t="str">
        <f t="shared" ca="1" si="839"/>
        <v/>
      </c>
    </row>
    <row r="634" spans="1:27" s="70" customFormat="1" ht="11.5" x14ac:dyDescent="0.25">
      <c r="A634" s="120" t="s">
        <v>65</v>
      </c>
      <c r="B634" s="120" t="s">
        <v>14</v>
      </c>
      <c r="C634" s="120" t="s">
        <v>688</v>
      </c>
      <c r="D634" s="120" t="s">
        <v>689</v>
      </c>
      <c r="E634" s="122">
        <f t="shared" si="840"/>
        <v>0.7</v>
      </c>
      <c r="F634" s="122">
        <f t="shared" si="841"/>
        <v>0.7</v>
      </c>
      <c r="G634" s="122">
        <f t="shared" si="843"/>
        <v>0.79999999999999993</v>
      </c>
      <c r="H634" s="127">
        <f t="shared" si="842"/>
        <v>9.9999999999999978E-2</v>
      </c>
      <c r="I634" s="125">
        <v>4.7E-2</v>
      </c>
      <c r="J634" s="124">
        <f t="shared" si="844"/>
        <v>46255</v>
      </c>
      <c r="K634" s="124">
        <f t="shared" si="822"/>
        <v>46255</v>
      </c>
      <c r="L634" s="124">
        <v>46156</v>
      </c>
      <c r="M634" s="124">
        <f t="shared" si="823"/>
        <v>46297</v>
      </c>
      <c r="N634" s="124">
        <f t="shared" si="824"/>
        <v>46297</v>
      </c>
      <c r="O634" s="124">
        <v>46286</v>
      </c>
      <c r="P634" s="124">
        <f t="shared" si="825"/>
        <v>46339</v>
      </c>
      <c r="Q634" s="124">
        <f t="shared" si="826"/>
        <v>46339</v>
      </c>
      <c r="R634" s="124">
        <v>46295</v>
      </c>
      <c r="S634" s="124">
        <f t="shared" si="828"/>
        <v>46353</v>
      </c>
      <c r="T634" s="124">
        <f t="shared" si="827"/>
        <v>46353</v>
      </c>
      <c r="U634" s="124"/>
      <c r="V634" s="229" t="s">
        <v>1231</v>
      </c>
      <c r="X634" s="168" t="str">
        <f t="shared" ca="1" si="836"/>
        <v>Completed</v>
      </c>
      <c r="Y634" s="168" t="str">
        <f t="shared" ca="1" si="837"/>
        <v>Completed</v>
      </c>
      <c r="Z634" s="168" t="str">
        <f t="shared" ca="1" si="838"/>
        <v>Completed</v>
      </c>
      <c r="AA634" s="169" t="str">
        <f t="shared" ca="1" si="839"/>
        <v/>
      </c>
    </row>
    <row r="635" spans="1:27" s="70" customFormat="1" ht="11.5" x14ac:dyDescent="0.25">
      <c r="A635" s="120" t="s">
        <v>65</v>
      </c>
      <c r="B635" s="120" t="s">
        <v>14</v>
      </c>
      <c r="C635" s="120" t="s">
        <v>690</v>
      </c>
      <c r="D635" s="120" t="s">
        <v>691</v>
      </c>
      <c r="E635" s="122">
        <f t="shared" si="840"/>
        <v>0.7</v>
      </c>
      <c r="F635" s="122">
        <f t="shared" si="841"/>
        <v>0.7</v>
      </c>
      <c r="G635" s="122">
        <f t="shared" si="843"/>
        <v>1</v>
      </c>
      <c r="H635" s="127">
        <f t="shared" si="842"/>
        <v>0.30000000000000004</v>
      </c>
      <c r="I635" s="125">
        <v>4.7E-2</v>
      </c>
      <c r="J635" s="124">
        <f t="shared" si="844"/>
        <v>46255</v>
      </c>
      <c r="K635" s="124">
        <f t="shared" si="822"/>
        <v>46255</v>
      </c>
      <c r="L635" s="124">
        <v>46156</v>
      </c>
      <c r="M635" s="124">
        <f t="shared" si="823"/>
        <v>46297</v>
      </c>
      <c r="N635" s="124">
        <f t="shared" si="824"/>
        <v>46297</v>
      </c>
      <c r="O635" s="124">
        <v>46286</v>
      </c>
      <c r="P635" s="124">
        <f t="shared" si="825"/>
        <v>46339</v>
      </c>
      <c r="Q635" s="124">
        <f t="shared" si="826"/>
        <v>46339</v>
      </c>
      <c r="R635" s="124">
        <v>46295</v>
      </c>
      <c r="S635" s="124">
        <f t="shared" si="828"/>
        <v>46353</v>
      </c>
      <c r="T635" s="124">
        <f t="shared" si="827"/>
        <v>46353</v>
      </c>
      <c r="U635" s="160">
        <v>46300</v>
      </c>
      <c r="V635" s="229"/>
      <c r="X635" s="168" t="str">
        <f t="shared" ca="1" si="836"/>
        <v>Completed</v>
      </c>
      <c r="Y635" s="168" t="str">
        <f t="shared" ca="1" si="837"/>
        <v>Completed</v>
      </c>
      <c r="Z635" s="168" t="str">
        <f t="shared" ca="1" si="838"/>
        <v>Completed</v>
      </c>
      <c r="AA635" s="169" t="str">
        <f t="shared" ca="1" si="839"/>
        <v>Completed</v>
      </c>
    </row>
    <row r="636" spans="1:27" s="70" customFormat="1" ht="11.5" x14ac:dyDescent="0.25">
      <c r="A636" s="120" t="s">
        <v>65</v>
      </c>
      <c r="B636" s="120" t="s">
        <v>14</v>
      </c>
      <c r="C636" s="120" t="s">
        <v>692</v>
      </c>
      <c r="D636" s="120" t="s">
        <v>693</v>
      </c>
      <c r="E636" s="122">
        <f t="shared" si="840"/>
        <v>0.7</v>
      </c>
      <c r="F636" s="122">
        <f t="shared" si="841"/>
        <v>0.7</v>
      </c>
      <c r="G636" s="122">
        <f t="shared" si="843"/>
        <v>0.5</v>
      </c>
      <c r="H636" s="127">
        <f t="shared" si="842"/>
        <v>-0.19999999999999996</v>
      </c>
      <c r="I636" s="125">
        <v>4.7E-2</v>
      </c>
      <c r="J636" s="124">
        <f t="shared" si="844"/>
        <v>46255</v>
      </c>
      <c r="K636" s="124">
        <f t="shared" si="822"/>
        <v>46255</v>
      </c>
      <c r="L636" s="124">
        <v>46156</v>
      </c>
      <c r="M636" s="124">
        <f t="shared" si="823"/>
        <v>46297</v>
      </c>
      <c r="N636" s="124">
        <f t="shared" si="824"/>
        <v>46297</v>
      </c>
      <c r="O636" s="124"/>
      <c r="P636" s="124">
        <f t="shared" si="825"/>
        <v>46339</v>
      </c>
      <c r="Q636" s="124">
        <f t="shared" si="826"/>
        <v>46339</v>
      </c>
      <c r="R636" s="124"/>
      <c r="S636" s="124">
        <f t="shared" si="828"/>
        <v>46353</v>
      </c>
      <c r="T636" s="124">
        <f t="shared" si="827"/>
        <v>46353</v>
      </c>
      <c r="U636" s="124"/>
      <c r="V636" s="229"/>
      <c r="X636" s="168" t="str">
        <f t="shared" ca="1" si="836"/>
        <v>Completed</v>
      </c>
      <c r="Y636" s="168" t="str">
        <f t="shared" ca="1" si="837"/>
        <v>Overdue</v>
      </c>
      <c r="Z636" s="168" t="str">
        <f t="shared" ca="1" si="838"/>
        <v/>
      </c>
      <c r="AA636" s="169" t="str">
        <f t="shared" ca="1" si="839"/>
        <v/>
      </c>
    </row>
    <row r="637" spans="1:27" s="70" customFormat="1" ht="11.5" x14ac:dyDescent="0.25">
      <c r="A637" s="120" t="s">
        <v>65</v>
      </c>
      <c r="B637" s="120" t="s">
        <v>14</v>
      </c>
      <c r="C637" s="120" t="s">
        <v>694</v>
      </c>
      <c r="D637" s="120" t="s">
        <v>695</v>
      </c>
      <c r="E637" s="122">
        <f t="shared" si="840"/>
        <v>0.7</v>
      </c>
      <c r="F637" s="122">
        <f t="shared" si="841"/>
        <v>0.7</v>
      </c>
      <c r="G637" s="122">
        <f t="shared" si="843"/>
        <v>1</v>
      </c>
      <c r="H637" s="122">
        <f t="shared" si="842"/>
        <v>0.30000000000000004</v>
      </c>
      <c r="I637" s="123">
        <v>4.7E-2</v>
      </c>
      <c r="J637" s="124">
        <f t="shared" si="844"/>
        <v>46248</v>
      </c>
      <c r="K637" s="124">
        <f t="shared" si="822"/>
        <v>46248</v>
      </c>
      <c r="L637" s="124">
        <v>46178</v>
      </c>
      <c r="M637" s="124">
        <f t="shared" si="823"/>
        <v>46290</v>
      </c>
      <c r="N637" s="124">
        <f t="shared" si="824"/>
        <v>46290</v>
      </c>
      <c r="O637" s="126">
        <v>46266</v>
      </c>
      <c r="P637" s="124">
        <f t="shared" si="825"/>
        <v>46332</v>
      </c>
      <c r="Q637" s="124">
        <f t="shared" si="826"/>
        <v>46332</v>
      </c>
      <c r="R637" s="124">
        <v>46294</v>
      </c>
      <c r="S637" s="124">
        <f t="shared" si="828"/>
        <v>46346</v>
      </c>
      <c r="T637" s="124">
        <f t="shared" si="827"/>
        <v>46346</v>
      </c>
      <c r="U637" s="160">
        <v>46300</v>
      </c>
      <c r="V637" s="229"/>
      <c r="X637" s="168" t="str">
        <f t="shared" ca="1" si="836"/>
        <v>Completed</v>
      </c>
      <c r="Y637" s="168" t="str">
        <f t="shared" ca="1" si="837"/>
        <v>Completed</v>
      </c>
      <c r="Z637" s="168" t="str">
        <f t="shared" ca="1" si="838"/>
        <v>Completed</v>
      </c>
      <c r="AA637" s="169" t="str">
        <f t="shared" ca="1" si="839"/>
        <v>Completed</v>
      </c>
    </row>
    <row r="638" spans="1:27" s="70" customFormat="1" ht="11.5" x14ac:dyDescent="0.25">
      <c r="A638" s="120" t="s">
        <v>65</v>
      </c>
      <c r="B638" s="120" t="s">
        <v>14</v>
      </c>
      <c r="C638" s="120" t="s">
        <v>696</v>
      </c>
      <c r="D638" s="120" t="s">
        <v>697</v>
      </c>
      <c r="E638" s="122">
        <f t="shared" si="840"/>
        <v>0.7</v>
      </c>
      <c r="F638" s="122">
        <f t="shared" si="841"/>
        <v>0.7</v>
      </c>
      <c r="G638" s="122">
        <f t="shared" si="843"/>
        <v>0</v>
      </c>
      <c r="H638" s="122">
        <f t="shared" si="842"/>
        <v>-0.7</v>
      </c>
      <c r="I638" s="123">
        <v>4.7E-2</v>
      </c>
      <c r="J638" s="124">
        <f t="shared" si="844"/>
        <v>46255</v>
      </c>
      <c r="K638" s="124">
        <f t="shared" si="822"/>
        <v>46255</v>
      </c>
      <c r="L638" s="124"/>
      <c r="M638" s="124">
        <f t="shared" si="823"/>
        <v>46297</v>
      </c>
      <c r="N638" s="124">
        <f t="shared" si="824"/>
        <v>46297</v>
      </c>
      <c r="O638" s="124"/>
      <c r="P638" s="124">
        <f t="shared" si="825"/>
        <v>46339</v>
      </c>
      <c r="Q638" s="124">
        <f t="shared" si="826"/>
        <v>46339</v>
      </c>
      <c r="R638" s="124"/>
      <c r="S638" s="124">
        <f t="shared" si="828"/>
        <v>46353</v>
      </c>
      <c r="T638" s="124">
        <f t="shared" si="827"/>
        <v>46353</v>
      </c>
      <c r="U638" s="124"/>
      <c r="V638" s="229"/>
      <c r="X638" s="168" t="str">
        <f t="shared" ca="1" si="836"/>
        <v>Overdue</v>
      </c>
      <c r="Y638" s="168" t="str">
        <f t="shared" ca="1" si="837"/>
        <v>Overdue</v>
      </c>
      <c r="Z638" s="168" t="str">
        <f t="shared" ca="1" si="838"/>
        <v/>
      </c>
      <c r="AA638" s="169" t="str">
        <f t="shared" ca="1" si="839"/>
        <v/>
      </c>
    </row>
    <row r="639" spans="1:27" s="70" customFormat="1" ht="11.5" x14ac:dyDescent="0.25">
      <c r="A639" s="120" t="s">
        <v>65</v>
      </c>
      <c r="B639" s="120" t="s">
        <v>14</v>
      </c>
      <c r="C639" s="120" t="s">
        <v>698</v>
      </c>
      <c r="D639" s="120" t="s">
        <v>699</v>
      </c>
      <c r="E639" s="122">
        <f t="shared" si="840"/>
        <v>0.7</v>
      </c>
      <c r="F639" s="122">
        <f t="shared" si="841"/>
        <v>0.7</v>
      </c>
      <c r="G639" s="122">
        <f t="shared" si="843"/>
        <v>0.7</v>
      </c>
      <c r="H639" s="122">
        <f t="shared" si="842"/>
        <v>0</v>
      </c>
      <c r="I639" s="123">
        <v>4.7E-2</v>
      </c>
      <c r="J639" s="124">
        <f t="shared" si="844"/>
        <v>46248</v>
      </c>
      <c r="K639" s="124">
        <f t="shared" si="822"/>
        <v>46248</v>
      </c>
      <c r="L639" s="124">
        <v>46205</v>
      </c>
      <c r="M639" s="124">
        <f t="shared" si="823"/>
        <v>46290</v>
      </c>
      <c r="N639" s="124">
        <f t="shared" si="824"/>
        <v>46290</v>
      </c>
      <c r="O639" s="126">
        <v>46283</v>
      </c>
      <c r="P639" s="124">
        <f t="shared" si="825"/>
        <v>46332</v>
      </c>
      <c r="Q639" s="124">
        <f t="shared" si="826"/>
        <v>46332</v>
      </c>
      <c r="R639" s="124"/>
      <c r="S639" s="124">
        <f t="shared" si="828"/>
        <v>46346</v>
      </c>
      <c r="T639" s="124">
        <f t="shared" si="827"/>
        <v>46346</v>
      </c>
      <c r="U639" s="124"/>
      <c r="V639" s="229"/>
      <c r="X639" s="168" t="str">
        <f t="shared" ca="1" si="836"/>
        <v>Completed</v>
      </c>
      <c r="Y639" s="168" t="str">
        <f t="shared" ca="1" si="837"/>
        <v>Completed</v>
      </c>
      <c r="Z639" s="168" t="str">
        <f t="shared" ca="1" si="838"/>
        <v/>
      </c>
      <c r="AA639" s="169" t="str">
        <f t="shared" ca="1" si="839"/>
        <v/>
      </c>
    </row>
    <row r="640" spans="1:27" s="70" customFormat="1" ht="11.5" x14ac:dyDescent="0.25">
      <c r="A640" s="120" t="s">
        <v>65</v>
      </c>
      <c r="B640" s="120" t="s">
        <v>14</v>
      </c>
      <c r="C640" s="120" t="s">
        <v>700</v>
      </c>
      <c r="D640" s="120" t="s">
        <v>701</v>
      </c>
      <c r="E640" s="122">
        <f t="shared" si="840"/>
        <v>0.7</v>
      </c>
      <c r="F640" s="122">
        <f t="shared" si="841"/>
        <v>0.7</v>
      </c>
      <c r="G640" s="122">
        <f t="shared" si="843"/>
        <v>0.7</v>
      </c>
      <c r="H640" s="122">
        <f t="shared" si="842"/>
        <v>0</v>
      </c>
      <c r="I640" s="123">
        <v>4.7E-2</v>
      </c>
      <c r="J640" s="124">
        <f t="shared" si="844"/>
        <v>46248</v>
      </c>
      <c r="K640" s="124">
        <f t="shared" si="822"/>
        <v>46248</v>
      </c>
      <c r="L640" s="124">
        <v>46205</v>
      </c>
      <c r="M640" s="124">
        <f t="shared" si="823"/>
        <v>46290</v>
      </c>
      <c r="N640" s="124">
        <f t="shared" si="824"/>
        <v>46290</v>
      </c>
      <c r="O640" s="126">
        <v>46283</v>
      </c>
      <c r="P640" s="124">
        <f t="shared" si="825"/>
        <v>46332</v>
      </c>
      <c r="Q640" s="124">
        <f t="shared" si="826"/>
        <v>46332</v>
      </c>
      <c r="R640" s="124"/>
      <c r="S640" s="124">
        <f t="shared" si="828"/>
        <v>46346</v>
      </c>
      <c r="T640" s="124">
        <f t="shared" si="827"/>
        <v>46346</v>
      </c>
      <c r="U640" s="124"/>
      <c r="V640" s="229"/>
      <c r="X640" s="168" t="str">
        <f t="shared" ca="1" si="836"/>
        <v>Completed</v>
      </c>
      <c r="Y640" s="168" t="str">
        <f t="shared" ca="1" si="837"/>
        <v>Completed</v>
      </c>
      <c r="Z640" s="168" t="str">
        <f t="shared" ca="1" si="838"/>
        <v/>
      </c>
      <c r="AA640" s="169" t="str">
        <f t="shared" ca="1" si="839"/>
        <v/>
      </c>
    </row>
    <row r="641" spans="1:27" s="70" customFormat="1" ht="11.5" x14ac:dyDescent="0.25">
      <c r="A641" s="120" t="s">
        <v>65</v>
      </c>
      <c r="B641" s="120" t="s">
        <v>14</v>
      </c>
      <c r="C641" s="120" t="s">
        <v>828</v>
      </c>
      <c r="D641" s="120" t="s">
        <v>807</v>
      </c>
      <c r="E641" s="122">
        <f t="shared" si="840"/>
        <v>0.7</v>
      </c>
      <c r="F641" s="122">
        <f t="shared" si="841"/>
        <v>0.7</v>
      </c>
      <c r="G641" s="122">
        <f t="shared" si="843"/>
        <v>1</v>
      </c>
      <c r="H641" s="122">
        <f t="shared" si="842"/>
        <v>0.30000000000000004</v>
      </c>
      <c r="I641" s="123">
        <v>4.7E-2</v>
      </c>
      <c r="J641" s="124">
        <f t="shared" si="844"/>
        <v>46262</v>
      </c>
      <c r="K641" s="124">
        <f t="shared" si="822"/>
        <v>46262</v>
      </c>
      <c r="L641" s="124">
        <v>46182</v>
      </c>
      <c r="M641" s="124">
        <f t="shared" si="823"/>
        <v>46304</v>
      </c>
      <c r="N641" s="124">
        <f t="shared" si="824"/>
        <v>46304</v>
      </c>
      <c r="O641" s="124">
        <v>46191</v>
      </c>
      <c r="P641" s="124">
        <f t="shared" si="825"/>
        <v>46346</v>
      </c>
      <c r="Q641" s="124">
        <f t="shared" si="826"/>
        <v>46346</v>
      </c>
      <c r="R641" s="126">
        <v>46252</v>
      </c>
      <c r="S641" s="124">
        <f t="shared" si="828"/>
        <v>46360</v>
      </c>
      <c r="T641" s="124">
        <f t="shared" si="827"/>
        <v>46360</v>
      </c>
      <c r="U641" s="124">
        <v>46262</v>
      </c>
      <c r="V641" s="229"/>
      <c r="X641" s="168" t="str">
        <f t="shared" ca="1" si="836"/>
        <v>Completed</v>
      </c>
      <c r="Y641" s="168" t="str">
        <f t="shared" ca="1" si="837"/>
        <v>Completed</v>
      </c>
      <c r="Z641" s="168" t="str">
        <f t="shared" ca="1" si="838"/>
        <v>Completed</v>
      </c>
      <c r="AA641" s="169" t="str">
        <f t="shared" ca="1" si="839"/>
        <v>Completed</v>
      </c>
    </row>
    <row r="642" spans="1:27" s="70" customFormat="1" ht="11.5" x14ac:dyDescent="0.25">
      <c r="A642" s="120" t="s">
        <v>65</v>
      </c>
      <c r="B642" s="120" t="s">
        <v>14</v>
      </c>
      <c r="C642" s="120" t="s">
        <v>829</v>
      </c>
      <c r="D642" s="120" t="s">
        <v>808</v>
      </c>
      <c r="E642" s="122">
        <f t="shared" si="840"/>
        <v>0.7</v>
      </c>
      <c r="F642" s="122">
        <f t="shared" si="841"/>
        <v>0.7</v>
      </c>
      <c r="G642" s="122">
        <f t="shared" si="843"/>
        <v>1</v>
      </c>
      <c r="H642" s="122">
        <f t="shared" si="842"/>
        <v>0.30000000000000004</v>
      </c>
      <c r="I642" s="123">
        <v>4.7E-2</v>
      </c>
      <c r="J642" s="124">
        <f t="shared" si="844"/>
        <v>46262</v>
      </c>
      <c r="K642" s="124">
        <f t="shared" si="822"/>
        <v>46262</v>
      </c>
      <c r="L642" s="124">
        <v>46182</v>
      </c>
      <c r="M642" s="124">
        <f t="shared" si="823"/>
        <v>46304</v>
      </c>
      <c r="N642" s="124">
        <f t="shared" si="824"/>
        <v>46304</v>
      </c>
      <c r="O642" s="124">
        <v>46191</v>
      </c>
      <c r="P642" s="124">
        <f t="shared" si="825"/>
        <v>46346</v>
      </c>
      <c r="Q642" s="124">
        <f t="shared" si="826"/>
        <v>46346</v>
      </c>
      <c r="R642" s="126">
        <v>46252</v>
      </c>
      <c r="S642" s="124">
        <f t="shared" si="828"/>
        <v>46360</v>
      </c>
      <c r="T642" s="124">
        <f t="shared" si="827"/>
        <v>46360</v>
      </c>
      <c r="U642" s="124">
        <v>46262</v>
      </c>
      <c r="V642" s="229"/>
      <c r="X642" s="168" t="str">
        <f t="shared" ca="1" si="836"/>
        <v>Completed</v>
      </c>
      <c r="Y642" s="168" t="str">
        <f t="shared" ca="1" si="837"/>
        <v>Completed</v>
      </c>
      <c r="Z642" s="168" t="str">
        <f t="shared" ca="1" si="838"/>
        <v>Completed</v>
      </c>
      <c r="AA642" s="169" t="str">
        <f t="shared" ca="1" si="839"/>
        <v>Completed</v>
      </c>
    </row>
    <row r="643" spans="1:27" s="70" customFormat="1" ht="11.5" x14ac:dyDescent="0.25">
      <c r="A643" s="120" t="s">
        <v>65</v>
      </c>
      <c r="B643" s="120" t="s">
        <v>14</v>
      </c>
      <c r="C643" s="120" t="s">
        <v>830</v>
      </c>
      <c r="D643" s="120" t="s">
        <v>809</v>
      </c>
      <c r="E643" s="122">
        <f t="shared" si="840"/>
        <v>0.7</v>
      </c>
      <c r="F643" s="122">
        <f t="shared" si="841"/>
        <v>0.7</v>
      </c>
      <c r="G643" s="122">
        <f t="shared" si="843"/>
        <v>1</v>
      </c>
      <c r="H643" s="122">
        <f t="shared" si="842"/>
        <v>0.30000000000000004</v>
      </c>
      <c r="I643" s="123">
        <v>4.7E-2</v>
      </c>
      <c r="J643" s="124">
        <f t="shared" si="844"/>
        <v>46262</v>
      </c>
      <c r="K643" s="124">
        <f t="shared" si="822"/>
        <v>46262</v>
      </c>
      <c r="L643" s="124">
        <v>46182</v>
      </c>
      <c r="M643" s="124">
        <f t="shared" si="823"/>
        <v>46304</v>
      </c>
      <c r="N643" s="124">
        <f t="shared" si="824"/>
        <v>46304</v>
      </c>
      <c r="O643" s="124">
        <v>46191</v>
      </c>
      <c r="P643" s="124">
        <f t="shared" si="825"/>
        <v>46346</v>
      </c>
      <c r="Q643" s="124">
        <f t="shared" si="826"/>
        <v>46346</v>
      </c>
      <c r="R643" s="126">
        <v>46252</v>
      </c>
      <c r="S643" s="124">
        <f t="shared" si="828"/>
        <v>46360</v>
      </c>
      <c r="T643" s="124">
        <f t="shared" si="827"/>
        <v>46360</v>
      </c>
      <c r="U643" s="124">
        <v>46262</v>
      </c>
      <c r="V643" s="229"/>
      <c r="X643" s="168" t="str">
        <f t="shared" ca="1" si="836"/>
        <v>Completed</v>
      </c>
      <c r="Y643" s="168" t="str">
        <f t="shared" ca="1" si="837"/>
        <v>Completed</v>
      </c>
      <c r="Z643" s="168" t="str">
        <f t="shared" ca="1" si="838"/>
        <v>Completed</v>
      </c>
      <c r="AA643" s="169" t="str">
        <f t="shared" ca="1" si="839"/>
        <v>Completed</v>
      </c>
    </row>
    <row r="644" spans="1:27" s="70" customFormat="1" ht="11.5" x14ac:dyDescent="0.25">
      <c r="A644" s="120" t="s">
        <v>65</v>
      </c>
      <c r="B644" s="120" t="s">
        <v>14</v>
      </c>
      <c r="C644" s="120" t="s">
        <v>831</v>
      </c>
      <c r="D644" s="120" t="s">
        <v>810</v>
      </c>
      <c r="E644" s="122">
        <f t="shared" si="840"/>
        <v>0.7</v>
      </c>
      <c r="F644" s="122">
        <f t="shared" si="841"/>
        <v>0.7</v>
      </c>
      <c r="G644" s="122">
        <f t="shared" si="843"/>
        <v>1</v>
      </c>
      <c r="H644" s="122">
        <f t="shared" si="842"/>
        <v>0.30000000000000004</v>
      </c>
      <c r="I644" s="123">
        <v>4.7E-2</v>
      </c>
      <c r="J644" s="124">
        <f t="shared" si="844"/>
        <v>46262</v>
      </c>
      <c r="K644" s="124">
        <f t="shared" si="822"/>
        <v>46262</v>
      </c>
      <c r="L644" s="124">
        <v>46182</v>
      </c>
      <c r="M644" s="124">
        <f t="shared" si="823"/>
        <v>46304</v>
      </c>
      <c r="N644" s="124">
        <f t="shared" si="824"/>
        <v>46304</v>
      </c>
      <c r="O644" s="124">
        <v>46191</v>
      </c>
      <c r="P644" s="124">
        <f t="shared" si="825"/>
        <v>46346</v>
      </c>
      <c r="Q644" s="124">
        <f t="shared" si="826"/>
        <v>46346</v>
      </c>
      <c r="R644" s="126">
        <v>46252</v>
      </c>
      <c r="S644" s="124">
        <f t="shared" si="828"/>
        <v>46360</v>
      </c>
      <c r="T644" s="124">
        <f t="shared" si="827"/>
        <v>46360</v>
      </c>
      <c r="U644" s="124">
        <v>46262</v>
      </c>
      <c r="V644" s="229"/>
      <c r="X644" s="168" t="str">
        <f t="shared" ca="1" si="836"/>
        <v>Completed</v>
      </c>
      <c r="Y644" s="168" t="str">
        <f t="shared" ca="1" si="837"/>
        <v>Completed</v>
      </c>
      <c r="Z644" s="168" t="str">
        <f t="shared" ca="1" si="838"/>
        <v>Completed</v>
      </c>
      <c r="AA644" s="169" t="str">
        <f t="shared" ca="1" si="839"/>
        <v>Completed</v>
      </c>
    </row>
    <row r="645" spans="1:27" s="70" customFormat="1" ht="11.5" x14ac:dyDescent="0.25">
      <c r="A645" s="120" t="s">
        <v>65</v>
      </c>
      <c r="B645" s="120" t="s">
        <v>14</v>
      </c>
      <c r="C645" s="120" t="s">
        <v>832</v>
      </c>
      <c r="D645" s="120" t="s">
        <v>811</v>
      </c>
      <c r="E645" s="122">
        <f t="shared" si="840"/>
        <v>0.7</v>
      </c>
      <c r="F645" s="122">
        <f t="shared" si="841"/>
        <v>0.7</v>
      </c>
      <c r="G645" s="122">
        <f t="shared" si="843"/>
        <v>1</v>
      </c>
      <c r="H645" s="122">
        <f t="shared" si="842"/>
        <v>0.30000000000000004</v>
      </c>
      <c r="I645" s="123">
        <v>4.7E-2</v>
      </c>
      <c r="J645" s="124">
        <f t="shared" si="844"/>
        <v>46262</v>
      </c>
      <c r="K645" s="124">
        <f t="shared" si="822"/>
        <v>46262</v>
      </c>
      <c r="L645" s="124">
        <v>46182</v>
      </c>
      <c r="M645" s="124">
        <f t="shared" si="823"/>
        <v>46304</v>
      </c>
      <c r="N645" s="124">
        <f t="shared" si="824"/>
        <v>46304</v>
      </c>
      <c r="O645" s="124">
        <v>46191</v>
      </c>
      <c r="P645" s="124">
        <f t="shared" si="825"/>
        <v>46346</v>
      </c>
      <c r="Q645" s="124">
        <f t="shared" si="826"/>
        <v>46346</v>
      </c>
      <c r="R645" s="126">
        <v>46252</v>
      </c>
      <c r="S645" s="124">
        <f t="shared" si="828"/>
        <v>46360</v>
      </c>
      <c r="T645" s="124">
        <f t="shared" si="827"/>
        <v>46360</v>
      </c>
      <c r="U645" s="124">
        <v>46262</v>
      </c>
      <c r="V645" s="229"/>
      <c r="X645" s="168" t="str">
        <f t="shared" ca="1" si="836"/>
        <v>Completed</v>
      </c>
      <c r="Y645" s="168" t="str">
        <f t="shared" ca="1" si="837"/>
        <v>Completed</v>
      </c>
      <c r="Z645" s="168" t="str">
        <f t="shared" ca="1" si="838"/>
        <v>Completed</v>
      </c>
      <c r="AA645" s="169" t="str">
        <f t="shared" ca="1" si="839"/>
        <v>Completed</v>
      </c>
    </row>
    <row r="646" spans="1:27" s="70" customFormat="1" ht="11.5" x14ac:dyDescent="0.25">
      <c r="A646" s="120" t="s">
        <v>65</v>
      </c>
      <c r="B646" s="120" t="s">
        <v>14</v>
      </c>
      <c r="C646" s="120" t="s">
        <v>833</v>
      </c>
      <c r="D646" s="120" t="s">
        <v>812</v>
      </c>
      <c r="E646" s="122">
        <f t="shared" si="840"/>
        <v>0.7</v>
      </c>
      <c r="F646" s="122">
        <f t="shared" si="841"/>
        <v>0.7</v>
      </c>
      <c r="G646" s="122">
        <f t="shared" si="843"/>
        <v>1</v>
      </c>
      <c r="H646" s="122">
        <f t="shared" si="842"/>
        <v>0.30000000000000004</v>
      </c>
      <c r="I646" s="123">
        <v>4.7E-2</v>
      </c>
      <c r="J646" s="124">
        <f t="shared" si="844"/>
        <v>46262</v>
      </c>
      <c r="K646" s="124">
        <f t="shared" si="822"/>
        <v>46262</v>
      </c>
      <c r="L646" s="144">
        <v>46162</v>
      </c>
      <c r="M646" s="124">
        <f t="shared" si="823"/>
        <v>46304</v>
      </c>
      <c r="N646" s="124">
        <f t="shared" si="824"/>
        <v>46304</v>
      </c>
      <c r="O646" s="124">
        <v>46191</v>
      </c>
      <c r="P646" s="124">
        <f t="shared" si="825"/>
        <v>46346</v>
      </c>
      <c r="Q646" s="124">
        <f t="shared" si="826"/>
        <v>46346</v>
      </c>
      <c r="R646" s="126">
        <v>46252</v>
      </c>
      <c r="S646" s="124">
        <f t="shared" si="828"/>
        <v>46360</v>
      </c>
      <c r="T646" s="124">
        <f t="shared" si="827"/>
        <v>46360</v>
      </c>
      <c r="U646" s="124">
        <v>46262</v>
      </c>
      <c r="V646" s="229"/>
      <c r="X646" s="168" t="str">
        <f t="shared" ca="1" si="836"/>
        <v>Completed</v>
      </c>
      <c r="Y646" s="168" t="str">
        <f t="shared" ca="1" si="837"/>
        <v>Completed</v>
      </c>
      <c r="Z646" s="168" t="str">
        <f t="shared" ca="1" si="838"/>
        <v>Completed</v>
      </c>
      <c r="AA646" s="169" t="str">
        <f t="shared" ca="1" si="839"/>
        <v>Completed</v>
      </c>
    </row>
    <row r="647" spans="1:27" s="70" customFormat="1" ht="11.5" x14ac:dyDescent="0.25">
      <c r="A647" s="120" t="s">
        <v>65</v>
      </c>
      <c r="B647" s="120" t="s">
        <v>14</v>
      </c>
      <c r="C647" s="120" t="s">
        <v>834</v>
      </c>
      <c r="D647" s="120" t="s">
        <v>813</v>
      </c>
      <c r="E647" s="122">
        <f t="shared" si="840"/>
        <v>0.7</v>
      </c>
      <c r="F647" s="122">
        <f t="shared" si="841"/>
        <v>0.7</v>
      </c>
      <c r="G647" s="122">
        <f t="shared" si="843"/>
        <v>1</v>
      </c>
      <c r="H647" s="122">
        <f t="shared" si="842"/>
        <v>0.30000000000000004</v>
      </c>
      <c r="I647" s="123">
        <v>4.7E-2</v>
      </c>
      <c r="J647" s="124">
        <f t="shared" si="844"/>
        <v>46262</v>
      </c>
      <c r="K647" s="124">
        <f t="shared" si="822"/>
        <v>46262</v>
      </c>
      <c r="L647" s="144">
        <v>46162</v>
      </c>
      <c r="M647" s="124">
        <f t="shared" si="823"/>
        <v>46304</v>
      </c>
      <c r="N647" s="124">
        <f t="shared" si="824"/>
        <v>46304</v>
      </c>
      <c r="O647" s="124">
        <v>46191</v>
      </c>
      <c r="P647" s="124">
        <f t="shared" si="825"/>
        <v>46346</v>
      </c>
      <c r="Q647" s="124">
        <f t="shared" si="826"/>
        <v>46346</v>
      </c>
      <c r="R647" s="126">
        <v>46252</v>
      </c>
      <c r="S647" s="124">
        <f t="shared" si="828"/>
        <v>46360</v>
      </c>
      <c r="T647" s="124">
        <f t="shared" si="827"/>
        <v>46360</v>
      </c>
      <c r="U647" s="124">
        <v>46262</v>
      </c>
      <c r="V647" s="229"/>
      <c r="X647" s="168" t="str">
        <f t="shared" ca="1" si="836"/>
        <v>Completed</v>
      </c>
      <c r="Y647" s="168" t="str">
        <f t="shared" ca="1" si="837"/>
        <v>Completed</v>
      </c>
      <c r="Z647" s="168" t="str">
        <f t="shared" ca="1" si="838"/>
        <v>Completed</v>
      </c>
      <c r="AA647" s="169" t="str">
        <f t="shared" ca="1" si="839"/>
        <v>Completed</v>
      </c>
    </row>
    <row r="648" spans="1:27" s="70" customFormat="1" ht="11.5" x14ac:dyDescent="0.25">
      <c r="A648" s="120" t="s">
        <v>65</v>
      </c>
      <c r="B648" s="120" t="s">
        <v>14</v>
      </c>
      <c r="C648" s="120" t="s">
        <v>835</v>
      </c>
      <c r="D648" s="120" t="s">
        <v>814</v>
      </c>
      <c r="E648" s="122">
        <f t="shared" si="840"/>
        <v>0.7</v>
      </c>
      <c r="F648" s="122">
        <f t="shared" si="841"/>
        <v>0.7</v>
      </c>
      <c r="G648" s="122">
        <f t="shared" si="843"/>
        <v>1</v>
      </c>
      <c r="H648" s="122">
        <f t="shared" si="842"/>
        <v>0.30000000000000004</v>
      </c>
      <c r="I648" s="123">
        <v>4.7E-2</v>
      </c>
      <c r="J648" s="124">
        <f t="shared" si="844"/>
        <v>46262</v>
      </c>
      <c r="K648" s="124">
        <f t="shared" si="822"/>
        <v>46262</v>
      </c>
      <c r="L648" s="144">
        <v>46162</v>
      </c>
      <c r="M648" s="124">
        <f t="shared" si="823"/>
        <v>46304</v>
      </c>
      <c r="N648" s="124">
        <f t="shared" si="824"/>
        <v>46304</v>
      </c>
      <c r="O648" s="124">
        <v>46191</v>
      </c>
      <c r="P648" s="124">
        <f t="shared" si="825"/>
        <v>46346</v>
      </c>
      <c r="Q648" s="124">
        <f t="shared" si="826"/>
        <v>46346</v>
      </c>
      <c r="R648" s="126">
        <v>46252</v>
      </c>
      <c r="S648" s="124">
        <f t="shared" si="828"/>
        <v>46360</v>
      </c>
      <c r="T648" s="124">
        <f t="shared" si="827"/>
        <v>46360</v>
      </c>
      <c r="U648" s="124">
        <v>46262</v>
      </c>
      <c r="V648" s="229"/>
      <c r="X648" s="168" t="str">
        <f t="shared" ca="1" si="836"/>
        <v>Completed</v>
      </c>
      <c r="Y648" s="168" t="str">
        <f t="shared" ca="1" si="837"/>
        <v>Completed</v>
      </c>
      <c r="Z648" s="168" t="str">
        <f t="shared" ca="1" si="838"/>
        <v>Completed</v>
      </c>
      <c r="AA648" s="169" t="str">
        <f t="shared" ca="1" si="839"/>
        <v>Completed</v>
      </c>
    </row>
    <row r="649" spans="1:27" s="70" customFormat="1" ht="11.5" x14ac:dyDescent="0.25">
      <c r="A649" s="120" t="s">
        <v>65</v>
      </c>
      <c r="B649" s="120" t="s">
        <v>14</v>
      </c>
      <c r="C649" s="120" t="s">
        <v>836</v>
      </c>
      <c r="D649" s="120" t="s">
        <v>815</v>
      </c>
      <c r="E649" s="122">
        <f t="shared" si="840"/>
        <v>0.7</v>
      </c>
      <c r="F649" s="122">
        <f t="shared" si="841"/>
        <v>0.7</v>
      </c>
      <c r="G649" s="122">
        <f t="shared" si="843"/>
        <v>1</v>
      </c>
      <c r="H649" s="122">
        <f t="shared" si="842"/>
        <v>0.30000000000000004</v>
      </c>
      <c r="I649" s="123">
        <v>4.7E-2</v>
      </c>
      <c r="J649" s="124">
        <f t="shared" si="844"/>
        <v>46262</v>
      </c>
      <c r="K649" s="124">
        <f t="shared" si="822"/>
        <v>46262</v>
      </c>
      <c r="L649" s="144">
        <v>46162</v>
      </c>
      <c r="M649" s="124">
        <f t="shared" si="823"/>
        <v>46304</v>
      </c>
      <c r="N649" s="124">
        <f t="shared" si="824"/>
        <v>46304</v>
      </c>
      <c r="O649" s="124">
        <v>46191</v>
      </c>
      <c r="P649" s="124">
        <f t="shared" si="825"/>
        <v>46346</v>
      </c>
      <c r="Q649" s="124">
        <f t="shared" si="826"/>
        <v>46346</v>
      </c>
      <c r="R649" s="126">
        <v>46252</v>
      </c>
      <c r="S649" s="124">
        <f t="shared" si="828"/>
        <v>46360</v>
      </c>
      <c r="T649" s="124">
        <f t="shared" si="827"/>
        <v>46360</v>
      </c>
      <c r="U649" s="124">
        <v>46262</v>
      </c>
      <c r="V649" s="229"/>
      <c r="X649" s="168" t="str">
        <f t="shared" ca="1" si="836"/>
        <v>Completed</v>
      </c>
      <c r="Y649" s="168" t="str">
        <f t="shared" ca="1" si="837"/>
        <v>Completed</v>
      </c>
      <c r="Z649" s="168" t="str">
        <f t="shared" ca="1" si="838"/>
        <v>Completed</v>
      </c>
      <c r="AA649" s="169" t="str">
        <f t="shared" ca="1" si="839"/>
        <v>Completed</v>
      </c>
    </row>
    <row r="650" spans="1:27" s="70" customFormat="1" ht="11.5" x14ac:dyDescent="0.25">
      <c r="A650" s="120" t="s">
        <v>65</v>
      </c>
      <c r="B650" s="120" t="s">
        <v>14</v>
      </c>
      <c r="C650" s="120" t="s">
        <v>837</v>
      </c>
      <c r="D650" s="120" t="s">
        <v>816</v>
      </c>
      <c r="E650" s="122">
        <f t="shared" si="840"/>
        <v>0.7</v>
      </c>
      <c r="F650" s="122">
        <f t="shared" si="841"/>
        <v>0.7</v>
      </c>
      <c r="G650" s="122">
        <f t="shared" si="843"/>
        <v>1</v>
      </c>
      <c r="H650" s="122">
        <f t="shared" si="842"/>
        <v>0.30000000000000004</v>
      </c>
      <c r="I650" s="123">
        <v>4.7E-2</v>
      </c>
      <c r="J650" s="124">
        <f t="shared" si="844"/>
        <v>46262</v>
      </c>
      <c r="K650" s="124">
        <f t="shared" si="822"/>
        <v>46262</v>
      </c>
      <c r="L650" s="144">
        <v>46162</v>
      </c>
      <c r="M650" s="124">
        <f t="shared" si="823"/>
        <v>46304</v>
      </c>
      <c r="N650" s="124">
        <f t="shared" si="824"/>
        <v>46304</v>
      </c>
      <c r="O650" s="124">
        <v>46191</v>
      </c>
      <c r="P650" s="124">
        <f t="shared" si="825"/>
        <v>46346</v>
      </c>
      <c r="Q650" s="124">
        <f t="shared" si="826"/>
        <v>46346</v>
      </c>
      <c r="R650" s="126">
        <v>46252</v>
      </c>
      <c r="S650" s="124">
        <f t="shared" si="828"/>
        <v>46360</v>
      </c>
      <c r="T650" s="124">
        <f t="shared" si="827"/>
        <v>46360</v>
      </c>
      <c r="U650" s="124">
        <v>46262</v>
      </c>
      <c r="V650" s="229"/>
      <c r="X650" s="168" t="str">
        <f t="shared" ca="1" si="836"/>
        <v>Completed</v>
      </c>
      <c r="Y650" s="168" t="str">
        <f t="shared" ca="1" si="837"/>
        <v>Completed</v>
      </c>
      <c r="Z650" s="168" t="str">
        <f t="shared" ca="1" si="838"/>
        <v>Completed</v>
      </c>
      <c r="AA650" s="169" t="str">
        <f t="shared" ca="1" si="839"/>
        <v>Completed</v>
      </c>
    </row>
    <row r="651" spans="1:27" s="70" customFormat="1" ht="11.5" x14ac:dyDescent="0.25">
      <c r="A651" s="120" t="s">
        <v>65</v>
      </c>
      <c r="B651" s="120" t="s">
        <v>14</v>
      </c>
      <c r="C651" s="120" t="s">
        <v>838</v>
      </c>
      <c r="D651" s="120" t="s">
        <v>817</v>
      </c>
      <c r="E651" s="122">
        <f t="shared" si="840"/>
        <v>0.7</v>
      </c>
      <c r="F651" s="122">
        <f t="shared" si="841"/>
        <v>0.7</v>
      </c>
      <c r="G651" s="122">
        <f t="shared" si="843"/>
        <v>1</v>
      </c>
      <c r="H651" s="122">
        <f t="shared" si="842"/>
        <v>0.30000000000000004</v>
      </c>
      <c r="I651" s="123">
        <v>4.7E-2</v>
      </c>
      <c r="J651" s="124">
        <f t="shared" si="844"/>
        <v>46262</v>
      </c>
      <c r="K651" s="124">
        <f t="shared" si="822"/>
        <v>46262</v>
      </c>
      <c r="L651" s="144">
        <v>46162</v>
      </c>
      <c r="M651" s="124">
        <f t="shared" si="823"/>
        <v>46304</v>
      </c>
      <c r="N651" s="124">
        <f t="shared" si="824"/>
        <v>46304</v>
      </c>
      <c r="O651" s="124">
        <v>46191</v>
      </c>
      <c r="P651" s="124">
        <f t="shared" si="825"/>
        <v>46346</v>
      </c>
      <c r="Q651" s="124">
        <f t="shared" si="826"/>
        <v>46346</v>
      </c>
      <c r="R651" s="126">
        <v>46252</v>
      </c>
      <c r="S651" s="124">
        <f t="shared" si="828"/>
        <v>46360</v>
      </c>
      <c r="T651" s="124">
        <f t="shared" si="827"/>
        <v>46360</v>
      </c>
      <c r="U651" s="124">
        <v>46262</v>
      </c>
      <c r="V651" s="229"/>
      <c r="X651" s="168" t="str">
        <f t="shared" ca="1" si="836"/>
        <v>Completed</v>
      </c>
      <c r="Y651" s="168" t="str">
        <f t="shared" ca="1" si="837"/>
        <v>Completed</v>
      </c>
      <c r="Z651" s="168" t="str">
        <f t="shared" ca="1" si="838"/>
        <v>Completed</v>
      </c>
      <c r="AA651" s="169" t="str">
        <f t="shared" ca="1" si="839"/>
        <v>Completed</v>
      </c>
    </row>
    <row r="652" spans="1:27" s="70" customFormat="1" ht="11.5" x14ac:dyDescent="0.25">
      <c r="A652" s="121" t="s">
        <v>65</v>
      </c>
      <c r="B652" s="121" t="s">
        <v>14</v>
      </c>
      <c r="C652" s="121" t="s">
        <v>839</v>
      </c>
      <c r="D652" s="121" t="s">
        <v>818</v>
      </c>
      <c r="E652" s="127">
        <f t="shared" si="840"/>
        <v>0.7</v>
      </c>
      <c r="F652" s="122">
        <f t="shared" si="841"/>
        <v>0.7</v>
      </c>
      <c r="G652" s="122">
        <f t="shared" si="843"/>
        <v>1</v>
      </c>
      <c r="H652" s="122">
        <f t="shared" si="842"/>
        <v>0.30000000000000004</v>
      </c>
      <c r="I652" s="123">
        <v>4.7E-2</v>
      </c>
      <c r="J652" s="124">
        <f t="shared" si="844"/>
        <v>46262</v>
      </c>
      <c r="K652" s="124">
        <f t="shared" ref="K652:K715" si="845">J652</f>
        <v>46262</v>
      </c>
      <c r="L652" s="144">
        <v>46162</v>
      </c>
      <c r="M652" s="124">
        <f t="shared" ref="M652:M715" si="846">J652+42</f>
        <v>46304</v>
      </c>
      <c r="N652" s="124">
        <f t="shared" ref="N652:N715" si="847">M652</f>
        <v>46304</v>
      </c>
      <c r="O652" s="124">
        <v>46191</v>
      </c>
      <c r="P652" s="124">
        <f t="shared" ref="P652:P715" si="848">M652+42</f>
        <v>46346</v>
      </c>
      <c r="Q652" s="124">
        <f t="shared" ref="Q652:Q715" si="849">P652</f>
        <v>46346</v>
      </c>
      <c r="R652" s="126">
        <v>46252</v>
      </c>
      <c r="S652" s="124">
        <f t="shared" si="828"/>
        <v>46360</v>
      </c>
      <c r="T652" s="124">
        <f t="shared" ref="T652:T715" si="850">S652</f>
        <v>46360</v>
      </c>
      <c r="U652" s="124">
        <v>46262</v>
      </c>
      <c r="V652" s="229"/>
      <c r="X652" s="168" t="str">
        <f t="shared" ca="1" si="836"/>
        <v>Completed</v>
      </c>
      <c r="Y652" s="168" t="str">
        <f t="shared" ca="1" si="837"/>
        <v>Completed</v>
      </c>
      <c r="Z652" s="168" t="str">
        <f t="shared" ca="1" si="838"/>
        <v>Completed</v>
      </c>
      <c r="AA652" s="169" t="str">
        <f t="shared" ca="1" si="839"/>
        <v>Completed</v>
      </c>
    </row>
    <row r="653" spans="1:27" s="70" customFormat="1" ht="11.5" x14ac:dyDescent="0.25">
      <c r="A653" s="121" t="s">
        <v>65</v>
      </c>
      <c r="B653" s="121" t="s">
        <v>14</v>
      </c>
      <c r="C653" s="121" t="s">
        <v>840</v>
      </c>
      <c r="D653" s="121" t="s">
        <v>819</v>
      </c>
      <c r="E653" s="127">
        <f t="shared" si="840"/>
        <v>0.7</v>
      </c>
      <c r="F653" s="122">
        <f t="shared" si="841"/>
        <v>0.7</v>
      </c>
      <c r="G653" s="122">
        <f t="shared" si="843"/>
        <v>1</v>
      </c>
      <c r="H653" s="122">
        <f t="shared" si="842"/>
        <v>0.30000000000000004</v>
      </c>
      <c r="I653" s="123">
        <v>4.7E-2</v>
      </c>
      <c r="J653" s="124">
        <f t="shared" si="844"/>
        <v>46262</v>
      </c>
      <c r="K653" s="124">
        <f t="shared" si="845"/>
        <v>46262</v>
      </c>
      <c r="L653" s="144">
        <v>46162</v>
      </c>
      <c r="M653" s="124">
        <f t="shared" si="846"/>
        <v>46304</v>
      </c>
      <c r="N653" s="124">
        <f t="shared" si="847"/>
        <v>46304</v>
      </c>
      <c r="O653" s="124">
        <v>46191</v>
      </c>
      <c r="P653" s="124">
        <f t="shared" si="848"/>
        <v>46346</v>
      </c>
      <c r="Q653" s="124">
        <f t="shared" si="849"/>
        <v>46346</v>
      </c>
      <c r="R653" s="126">
        <v>46252</v>
      </c>
      <c r="S653" s="124">
        <f t="shared" ref="S653:S715" si="851">P653+14</f>
        <v>46360</v>
      </c>
      <c r="T653" s="124">
        <f t="shared" si="850"/>
        <v>46360</v>
      </c>
      <c r="U653" s="124">
        <v>46262</v>
      </c>
      <c r="V653" s="229"/>
      <c r="X653" s="168" t="str">
        <f t="shared" ca="1" si="836"/>
        <v>Completed</v>
      </c>
      <c r="Y653" s="168" t="str">
        <f t="shared" ca="1" si="837"/>
        <v>Completed</v>
      </c>
      <c r="Z653" s="168" t="str">
        <f t="shared" ca="1" si="838"/>
        <v>Completed</v>
      </c>
      <c r="AA653" s="169" t="str">
        <f t="shared" ca="1" si="839"/>
        <v>Completed</v>
      </c>
    </row>
    <row r="654" spans="1:27" s="70" customFormat="1" ht="11.5" x14ac:dyDescent="0.25">
      <c r="A654" s="121" t="s">
        <v>65</v>
      </c>
      <c r="B654" s="121" t="s">
        <v>14</v>
      </c>
      <c r="C654" s="121" t="s">
        <v>702</v>
      </c>
      <c r="D654" s="121" t="s">
        <v>703</v>
      </c>
      <c r="E654" s="127">
        <f t="shared" si="840"/>
        <v>0.7</v>
      </c>
      <c r="F654" s="122">
        <f t="shared" si="841"/>
        <v>0.7</v>
      </c>
      <c r="G654" s="122">
        <f t="shared" si="843"/>
        <v>0.7</v>
      </c>
      <c r="H654" s="122">
        <f t="shared" si="842"/>
        <v>0</v>
      </c>
      <c r="I654" s="123">
        <v>4.7E-2</v>
      </c>
      <c r="J654" s="128">
        <f t="shared" si="844"/>
        <v>46248</v>
      </c>
      <c r="K654" s="128">
        <f t="shared" si="845"/>
        <v>46248</v>
      </c>
      <c r="L654" s="126">
        <v>46184</v>
      </c>
      <c r="M654" s="124">
        <f t="shared" si="846"/>
        <v>46290</v>
      </c>
      <c r="N654" s="128">
        <f t="shared" si="847"/>
        <v>46290</v>
      </c>
      <c r="O654" s="124">
        <v>46192</v>
      </c>
      <c r="P654" s="124">
        <f t="shared" si="848"/>
        <v>46332</v>
      </c>
      <c r="Q654" s="128">
        <f t="shared" si="849"/>
        <v>46332</v>
      </c>
      <c r="R654" s="124"/>
      <c r="S654" s="124">
        <f t="shared" si="851"/>
        <v>46346</v>
      </c>
      <c r="T654" s="128">
        <f t="shared" si="850"/>
        <v>46346</v>
      </c>
      <c r="U654" s="124"/>
      <c r="V654" s="229"/>
      <c r="X654" s="168" t="str">
        <f t="shared" ca="1" si="836"/>
        <v>Completed</v>
      </c>
      <c r="Y654" s="168" t="str">
        <f t="shared" ca="1" si="837"/>
        <v>Completed</v>
      </c>
      <c r="Z654" s="168" t="str">
        <f t="shared" ca="1" si="838"/>
        <v/>
      </c>
      <c r="AA654" s="169" t="str">
        <f t="shared" ca="1" si="839"/>
        <v/>
      </c>
    </row>
    <row r="655" spans="1:27" s="70" customFormat="1" ht="11.5" x14ac:dyDescent="0.25">
      <c r="A655" s="200" t="s">
        <v>65</v>
      </c>
      <c r="B655" s="200" t="s">
        <v>14</v>
      </c>
      <c r="C655" s="200" t="s">
        <v>704</v>
      </c>
      <c r="D655" s="200" t="s">
        <v>1140</v>
      </c>
      <c r="E655" s="201">
        <f t="shared" si="840"/>
        <v>0.7</v>
      </c>
      <c r="F655" s="192">
        <f t="shared" si="841"/>
        <v>0.7</v>
      </c>
      <c r="G655" s="192">
        <f t="shared" si="843"/>
        <v>1</v>
      </c>
      <c r="H655" s="192">
        <f t="shared" si="842"/>
        <v>0.30000000000000004</v>
      </c>
      <c r="I655" s="193">
        <v>4.7E-2</v>
      </c>
      <c r="J655" s="202">
        <f t="shared" si="844"/>
        <v>46248</v>
      </c>
      <c r="K655" s="202">
        <f t="shared" si="845"/>
        <v>46248</v>
      </c>
      <c r="L655" s="194">
        <v>46184</v>
      </c>
      <c r="M655" s="194">
        <f t="shared" si="846"/>
        <v>46290</v>
      </c>
      <c r="N655" s="202">
        <f t="shared" si="847"/>
        <v>46290</v>
      </c>
      <c r="O655" s="194">
        <v>46192</v>
      </c>
      <c r="P655" s="194">
        <f t="shared" si="848"/>
        <v>46332</v>
      </c>
      <c r="Q655" s="202">
        <f t="shared" si="849"/>
        <v>46332</v>
      </c>
      <c r="R655" s="194">
        <v>46262</v>
      </c>
      <c r="S655" s="194">
        <f t="shared" si="851"/>
        <v>46346</v>
      </c>
      <c r="T655" s="202">
        <f t="shared" si="850"/>
        <v>46346</v>
      </c>
      <c r="U655" s="194">
        <v>46262</v>
      </c>
      <c r="V655" s="231"/>
      <c r="X655" s="168" t="str">
        <f t="shared" ca="1" si="836"/>
        <v>Completed</v>
      </c>
      <c r="Y655" s="168" t="str">
        <f t="shared" ca="1" si="837"/>
        <v>Completed</v>
      </c>
      <c r="Z655" s="168" t="str">
        <f t="shared" ca="1" si="838"/>
        <v>Completed</v>
      </c>
      <c r="AA655" s="169" t="str">
        <f t="shared" ca="1" si="839"/>
        <v>Completed</v>
      </c>
    </row>
    <row r="656" spans="1:27" s="70" customFormat="1" ht="11.5" x14ac:dyDescent="0.25">
      <c r="A656" s="121" t="s">
        <v>65</v>
      </c>
      <c r="B656" s="121" t="s">
        <v>14</v>
      </c>
      <c r="C656" s="121" t="s">
        <v>705</v>
      </c>
      <c r="D656" s="121" t="s">
        <v>706</v>
      </c>
      <c r="E656" s="127">
        <f t="shared" si="840"/>
        <v>0.7</v>
      </c>
      <c r="F656" s="122">
        <f t="shared" si="841"/>
        <v>0.7</v>
      </c>
      <c r="G656" s="122">
        <f t="shared" si="843"/>
        <v>1</v>
      </c>
      <c r="H656" s="122">
        <f t="shared" si="842"/>
        <v>0.30000000000000004</v>
      </c>
      <c r="I656" s="123">
        <v>4.7E-2</v>
      </c>
      <c r="J656" s="128">
        <f t="shared" si="844"/>
        <v>46248</v>
      </c>
      <c r="K656" s="128">
        <f t="shared" si="845"/>
        <v>46248</v>
      </c>
      <c r="L656" s="126">
        <v>46268</v>
      </c>
      <c r="M656" s="124">
        <f t="shared" si="846"/>
        <v>46290</v>
      </c>
      <c r="N656" s="128">
        <f t="shared" si="847"/>
        <v>46290</v>
      </c>
      <c r="O656" s="124">
        <v>46281</v>
      </c>
      <c r="P656" s="124">
        <f t="shared" si="848"/>
        <v>46332</v>
      </c>
      <c r="Q656" s="128">
        <f t="shared" si="849"/>
        <v>46332</v>
      </c>
      <c r="R656" s="124">
        <v>46288</v>
      </c>
      <c r="S656" s="124">
        <f t="shared" si="851"/>
        <v>46346</v>
      </c>
      <c r="T656" s="128">
        <f t="shared" si="850"/>
        <v>46346</v>
      </c>
      <c r="U656" s="124">
        <v>46293</v>
      </c>
      <c r="V656" s="229"/>
      <c r="X656" s="168" t="str">
        <f t="shared" ca="1" si="836"/>
        <v>Completed</v>
      </c>
      <c r="Y656" s="168" t="str">
        <f t="shared" ca="1" si="837"/>
        <v>Completed</v>
      </c>
      <c r="Z656" s="168" t="str">
        <f t="shared" ca="1" si="838"/>
        <v>Completed</v>
      </c>
      <c r="AA656" s="169" t="str">
        <f t="shared" ca="1" si="839"/>
        <v>Completed</v>
      </c>
    </row>
    <row r="657" spans="1:27" s="70" customFormat="1" ht="11.5" x14ac:dyDescent="0.25">
      <c r="A657" s="121" t="s">
        <v>65</v>
      </c>
      <c r="B657" s="121" t="s">
        <v>14</v>
      </c>
      <c r="C657" s="121" t="s">
        <v>707</v>
      </c>
      <c r="D657" s="121" t="s">
        <v>708</v>
      </c>
      <c r="E657" s="127">
        <f t="shared" si="840"/>
        <v>0.7</v>
      </c>
      <c r="F657" s="122">
        <f t="shared" si="841"/>
        <v>0.7</v>
      </c>
      <c r="G657" s="122">
        <f t="shared" si="843"/>
        <v>1</v>
      </c>
      <c r="H657" s="122">
        <f t="shared" si="842"/>
        <v>0.30000000000000004</v>
      </c>
      <c r="I657" s="123">
        <v>4.7E-2</v>
      </c>
      <c r="J657" s="128">
        <f t="shared" si="844"/>
        <v>46248</v>
      </c>
      <c r="K657" s="128">
        <f t="shared" si="845"/>
        <v>46248</v>
      </c>
      <c r="L657" s="126">
        <v>46268</v>
      </c>
      <c r="M657" s="124">
        <f t="shared" si="846"/>
        <v>46290</v>
      </c>
      <c r="N657" s="128">
        <f t="shared" si="847"/>
        <v>46290</v>
      </c>
      <c r="O657" s="124">
        <v>46281</v>
      </c>
      <c r="P657" s="124">
        <f t="shared" si="848"/>
        <v>46332</v>
      </c>
      <c r="Q657" s="128">
        <f t="shared" si="849"/>
        <v>46332</v>
      </c>
      <c r="R657" s="124">
        <v>46288</v>
      </c>
      <c r="S657" s="124">
        <f t="shared" si="851"/>
        <v>46346</v>
      </c>
      <c r="T657" s="128">
        <f t="shared" si="850"/>
        <v>46346</v>
      </c>
      <c r="U657" s="124">
        <v>46293</v>
      </c>
      <c r="V657" s="229"/>
      <c r="X657" s="168" t="str">
        <f t="shared" ca="1" si="836"/>
        <v>Completed</v>
      </c>
      <c r="Y657" s="168" t="str">
        <f t="shared" ca="1" si="837"/>
        <v>Completed</v>
      </c>
      <c r="Z657" s="168" t="str">
        <f t="shared" ca="1" si="838"/>
        <v>Completed</v>
      </c>
      <c r="AA657" s="169" t="str">
        <f t="shared" ca="1" si="839"/>
        <v>Completed</v>
      </c>
    </row>
    <row r="658" spans="1:27" s="70" customFormat="1" ht="11.5" x14ac:dyDescent="0.25">
      <c r="A658" s="121" t="s">
        <v>65</v>
      </c>
      <c r="B658" s="121" t="s">
        <v>14</v>
      </c>
      <c r="C658" s="121" t="s">
        <v>709</v>
      </c>
      <c r="D658" s="121" t="s">
        <v>710</v>
      </c>
      <c r="E658" s="127">
        <f t="shared" si="840"/>
        <v>0.5</v>
      </c>
      <c r="F658" s="122">
        <f t="shared" si="841"/>
        <v>0.5</v>
      </c>
      <c r="G658" s="122">
        <f t="shared" si="843"/>
        <v>0.7</v>
      </c>
      <c r="H658" s="122">
        <f t="shared" si="842"/>
        <v>0.19999999999999996</v>
      </c>
      <c r="I658" s="123">
        <v>4.7E-2</v>
      </c>
      <c r="J658" s="128">
        <f t="shared" si="844"/>
        <v>46269</v>
      </c>
      <c r="K658" s="128">
        <f t="shared" si="845"/>
        <v>46269</v>
      </c>
      <c r="L658" s="124">
        <v>46142</v>
      </c>
      <c r="M658" s="124">
        <f t="shared" si="846"/>
        <v>46311</v>
      </c>
      <c r="N658" s="128">
        <f t="shared" si="847"/>
        <v>46311</v>
      </c>
      <c r="O658" s="126">
        <v>46269</v>
      </c>
      <c r="P658" s="124">
        <f t="shared" si="848"/>
        <v>46353</v>
      </c>
      <c r="Q658" s="128">
        <f t="shared" si="849"/>
        <v>46353</v>
      </c>
      <c r="R658" s="124"/>
      <c r="S658" s="124">
        <f t="shared" si="851"/>
        <v>46367</v>
      </c>
      <c r="T658" s="128">
        <f t="shared" si="850"/>
        <v>46367</v>
      </c>
      <c r="U658" s="124"/>
      <c r="V658" s="229"/>
      <c r="X658" s="168" t="str">
        <f t="shared" ca="1" si="836"/>
        <v>Completed</v>
      </c>
      <c r="Y658" s="168" t="str">
        <f t="shared" ca="1" si="837"/>
        <v>Completed</v>
      </c>
      <c r="Z658" s="168" t="str">
        <f t="shared" ca="1" si="838"/>
        <v/>
      </c>
      <c r="AA658" s="169" t="str">
        <f t="shared" ca="1" si="839"/>
        <v/>
      </c>
    </row>
    <row r="659" spans="1:27" s="70" customFormat="1" ht="11.5" x14ac:dyDescent="0.25">
      <c r="A659" s="121" t="s">
        <v>65</v>
      </c>
      <c r="B659" s="121" t="s">
        <v>14</v>
      </c>
      <c r="C659" s="121" t="s">
        <v>1030</v>
      </c>
      <c r="D659" s="121" t="s">
        <v>711</v>
      </c>
      <c r="E659" s="127">
        <f t="shared" si="840"/>
        <v>0.5</v>
      </c>
      <c r="F659" s="122">
        <f t="shared" si="841"/>
        <v>0.5</v>
      </c>
      <c r="G659" s="122">
        <f t="shared" si="843"/>
        <v>0.7</v>
      </c>
      <c r="H659" s="122">
        <f t="shared" si="842"/>
        <v>0.19999999999999996</v>
      </c>
      <c r="I659" s="123">
        <v>4.7E-2</v>
      </c>
      <c r="J659" s="128">
        <f t="shared" si="844"/>
        <v>46269</v>
      </c>
      <c r="K659" s="128">
        <f t="shared" si="845"/>
        <v>46269</v>
      </c>
      <c r="L659" s="124">
        <v>46142</v>
      </c>
      <c r="M659" s="124">
        <f t="shared" si="846"/>
        <v>46311</v>
      </c>
      <c r="N659" s="128">
        <f t="shared" si="847"/>
        <v>46311</v>
      </c>
      <c r="O659" s="126">
        <v>46269</v>
      </c>
      <c r="P659" s="124">
        <f t="shared" si="848"/>
        <v>46353</v>
      </c>
      <c r="Q659" s="128">
        <f t="shared" si="849"/>
        <v>46353</v>
      </c>
      <c r="R659" s="124"/>
      <c r="S659" s="124">
        <f t="shared" si="851"/>
        <v>46367</v>
      </c>
      <c r="T659" s="128">
        <f t="shared" si="850"/>
        <v>46367</v>
      </c>
      <c r="U659" s="124"/>
      <c r="V659" s="229"/>
      <c r="X659" s="168" t="str">
        <f t="shared" ca="1" si="836"/>
        <v>Completed</v>
      </c>
      <c r="Y659" s="168" t="str">
        <f t="shared" ca="1" si="837"/>
        <v>Completed</v>
      </c>
      <c r="Z659" s="168" t="str">
        <f t="shared" ca="1" si="838"/>
        <v/>
      </c>
      <c r="AA659" s="169" t="str">
        <f t="shared" ca="1" si="839"/>
        <v/>
      </c>
    </row>
    <row r="660" spans="1:27" s="70" customFormat="1" ht="11.5" x14ac:dyDescent="0.25">
      <c r="A660" s="121" t="s">
        <v>65</v>
      </c>
      <c r="B660" s="121" t="s">
        <v>14</v>
      </c>
      <c r="C660" s="121" t="s">
        <v>1031</v>
      </c>
      <c r="D660" s="121" t="s">
        <v>712</v>
      </c>
      <c r="E660" s="127">
        <f t="shared" ref="E660" si="852">(COUNTIFS(J660,"&lt;="&amp;$C$1)*50%)+(COUNTIFS(M660,"&lt;="&amp;$C$1)*20%)+(COUNTIFS(P660,"&lt;="&amp;$C$1)*10%)+(COUNTIFS(S660,"&lt;="&amp;$C$1)*20%)</f>
        <v>0.5</v>
      </c>
      <c r="F660" s="122">
        <f t="shared" ref="F660" si="853">(COUNTIFS(K660,"&lt;="&amp;$C$1)*50%)+(COUNTIFS(N660,"&lt;="&amp;$C$1)*20%)+(COUNTIFS(Q660,"&lt;="&amp;$C$1)*10%)+(COUNTIFS(T660,"&lt;="&amp;$C$1)*20%)</f>
        <v>0.5</v>
      </c>
      <c r="G660" s="122">
        <f t="shared" si="843"/>
        <v>0.7</v>
      </c>
      <c r="H660" s="122">
        <f t="shared" ref="H660" si="854">G660-E660</f>
        <v>0.19999999999999996</v>
      </c>
      <c r="I660" s="123">
        <v>4.7E-2</v>
      </c>
      <c r="J660" s="128">
        <f t="shared" si="844"/>
        <v>46269</v>
      </c>
      <c r="K660" s="128">
        <f t="shared" si="845"/>
        <v>46269</v>
      </c>
      <c r="L660" s="124">
        <v>46142</v>
      </c>
      <c r="M660" s="124">
        <f t="shared" si="846"/>
        <v>46311</v>
      </c>
      <c r="N660" s="128">
        <f t="shared" si="847"/>
        <v>46311</v>
      </c>
      <c r="O660" s="126">
        <v>46269</v>
      </c>
      <c r="P660" s="124">
        <f t="shared" si="848"/>
        <v>46353</v>
      </c>
      <c r="Q660" s="128">
        <f t="shared" si="849"/>
        <v>46353</v>
      </c>
      <c r="R660" s="124"/>
      <c r="S660" s="124">
        <f t="shared" si="851"/>
        <v>46367</v>
      </c>
      <c r="T660" s="128">
        <f t="shared" si="850"/>
        <v>46367</v>
      </c>
      <c r="U660" s="124"/>
      <c r="V660" s="229"/>
      <c r="X660" s="168" t="str">
        <f t="shared" ca="1" si="836"/>
        <v>Completed</v>
      </c>
      <c r="Y660" s="168" t="str">
        <f t="shared" ca="1" si="837"/>
        <v>Completed</v>
      </c>
      <c r="Z660" s="168" t="str">
        <f t="shared" ca="1" si="838"/>
        <v/>
      </c>
      <c r="AA660" s="169" t="str">
        <f t="shared" ca="1" si="839"/>
        <v/>
      </c>
    </row>
    <row r="661" spans="1:27" s="70" customFormat="1" ht="11.5" x14ac:dyDescent="0.25">
      <c r="A661" s="121" t="s">
        <v>65</v>
      </c>
      <c r="B661" s="121" t="s">
        <v>14</v>
      </c>
      <c r="C661" s="121" t="s">
        <v>1032</v>
      </c>
      <c r="D661" s="121" t="s">
        <v>713</v>
      </c>
      <c r="E661" s="127">
        <f t="shared" si="840"/>
        <v>0.5</v>
      </c>
      <c r="F661" s="122">
        <f t="shared" si="841"/>
        <v>0.5</v>
      </c>
      <c r="G661" s="122">
        <f t="shared" si="843"/>
        <v>0.7</v>
      </c>
      <c r="H661" s="122">
        <f t="shared" si="842"/>
        <v>0.19999999999999996</v>
      </c>
      <c r="I661" s="123">
        <v>4.7E-2</v>
      </c>
      <c r="J661" s="128">
        <f t="shared" si="844"/>
        <v>46269</v>
      </c>
      <c r="K661" s="128">
        <f t="shared" si="845"/>
        <v>46269</v>
      </c>
      <c r="L661" s="124">
        <v>46142</v>
      </c>
      <c r="M661" s="124">
        <f t="shared" si="846"/>
        <v>46311</v>
      </c>
      <c r="N661" s="128">
        <f t="shared" si="847"/>
        <v>46311</v>
      </c>
      <c r="O661" s="126">
        <v>46269</v>
      </c>
      <c r="P661" s="124">
        <f t="shared" si="848"/>
        <v>46353</v>
      </c>
      <c r="Q661" s="128">
        <f t="shared" si="849"/>
        <v>46353</v>
      </c>
      <c r="R661" s="124"/>
      <c r="S661" s="124">
        <f t="shared" si="851"/>
        <v>46367</v>
      </c>
      <c r="T661" s="128">
        <f t="shared" si="850"/>
        <v>46367</v>
      </c>
      <c r="U661" s="124"/>
      <c r="V661" s="229"/>
      <c r="X661" s="168" t="str">
        <f t="shared" ca="1" si="836"/>
        <v>Completed</v>
      </c>
      <c r="Y661" s="168" t="str">
        <f t="shared" ca="1" si="837"/>
        <v>Completed</v>
      </c>
      <c r="Z661" s="168" t="str">
        <f t="shared" ca="1" si="838"/>
        <v/>
      </c>
      <c r="AA661" s="169" t="str">
        <f t="shared" ca="1" si="839"/>
        <v/>
      </c>
    </row>
    <row r="662" spans="1:27" s="70" customFormat="1" ht="11.5" x14ac:dyDescent="0.25">
      <c r="A662" s="121" t="s">
        <v>65</v>
      </c>
      <c r="B662" s="121" t="s">
        <v>14</v>
      </c>
      <c r="C662" s="121" t="s">
        <v>1033</v>
      </c>
      <c r="D662" s="121" t="s">
        <v>714</v>
      </c>
      <c r="E662" s="127">
        <f t="shared" si="840"/>
        <v>0.5</v>
      </c>
      <c r="F662" s="122">
        <f t="shared" si="841"/>
        <v>0.5</v>
      </c>
      <c r="G662" s="122">
        <f t="shared" si="843"/>
        <v>0.7</v>
      </c>
      <c r="H662" s="122">
        <f t="shared" si="842"/>
        <v>0.19999999999999996</v>
      </c>
      <c r="I662" s="123">
        <v>4.7E-2</v>
      </c>
      <c r="J662" s="128">
        <f t="shared" si="844"/>
        <v>46269</v>
      </c>
      <c r="K662" s="128">
        <f t="shared" si="845"/>
        <v>46269</v>
      </c>
      <c r="L662" s="124">
        <v>46142</v>
      </c>
      <c r="M662" s="124">
        <f t="shared" si="846"/>
        <v>46311</v>
      </c>
      <c r="N662" s="128">
        <f t="shared" si="847"/>
        <v>46311</v>
      </c>
      <c r="O662" s="126">
        <v>46269</v>
      </c>
      <c r="P662" s="124">
        <f t="shared" si="848"/>
        <v>46353</v>
      </c>
      <c r="Q662" s="128">
        <f t="shared" si="849"/>
        <v>46353</v>
      </c>
      <c r="R662" s="124"/>
      <c r="S662" s="124">
        <f t="shared" si="851"/>
        <v>46367</v>
      </c>
      <c r="T662" s="128">
        <f t="shared" si="850"/>
        <v>46367</v>
      </c>
      <c r="U662" s="124"/>
      <c r="V662" s="229"/>
      <c r="X662" s="168" t="str">
        <f t="shared" ca="1" si="836"/>
        <v>Completed</v>
      </c>
      <c r="Y662" s="168" t="str">
        <f t="shared" ca="1" si="837"/>
        <v>Completed</v>
      </c>
      <c r="Z662" s="168" t="str">
        <f t="shared" ca="1" si="838"/>
        <v/>
      </c>
      <c r="AA662" s="169" t="str">
        <f t="shared" ca="1" si="839"/>
        <v/>
      </c>
    </row>
    <row r="663" spans="1:27" s="70" customFormat="1" ht="11.5" x14ac:dyDescent="0.25">
      <c r="A663" s="121" t="s">
        <v>65</v>
      </c>
      <c r="B663" s="121" t="s">
        <v>14</v>
      </c>
      <c r="C663" s="121" t="s">
        <v>1034</v>
      </c>
      <c r="D663" s="121" t="s">
        <v>715</v>
      </c>
      <c r="E663" s="127">
        <f t="shared" si="840"/>
        <v>0.5</v>
      </c>
      <c r="F663" s="122">
        <f t="shared" si="841"/>
        <v>0.5</v>
      </c>
      <c r="G663" s="122">
        <f t="shared" si="843"/>
        <v>0.7</v>
      </c>
      <c r="H663" s="122">
        <f t="shared" si="842"/>
        <v>0.19999999999999996</v>
      </c>
      <c r="I663" s="123">
        <v>4.7E-2</v>
      </c>
      <c r="J663" s="128">
        <f t="shared" si="844"/>
        <v>46269</v>
      </c>
      <c r="K663" s="128">
        <f t="shared" si="845"/>
        <v>46269</v>
      </c>
      <c r="L663" s="124">
        <v>46142</v>
      </c>
      <c r="M663" s="124">
        <f t="shared" si="846"/>
        <v>46311</v>
      </c>
      <c r="N663" s="128">
        <f t="shared" si="847"/>
        <v>46311</v>
      </c>
      <c r="O663" s="126">
        <v>46269</v>
      </c>
      <c r="P663" s="124">
        <f t="shared" si="848"/>
        <v>46353</v>
      </c>
      <c r="Q663" s="128">
        <f t="shared" si="849"/>
        <v>46353</v>
      </c>
      <c r="R663" s="124"/>
      <c r="S663" s="124">
        <f t="shared" si="851"/>
        <v>46367</v>
      </c>
      <c r="T663" s="128">
        <f t="shared" si="850"/>
        <v>46367</v>
      </c>
      <c r="U663" s="124"/>
      <c r="V663" s="229"/>
      <c r="X663" s="168" t="str">
        <f t="shared" ca="1" si="836"/>
        <v>Completed</v>
      </c>
      <c r="Y663" s="168" t="str">
        <f t="shared" ca="1" si="837"/>
        <v>Completed</v>
      </c>
      <c r="Z663" s="168" t="str">
        <f t="shared" ca="1" si="838"/>
        <v/>
      </c>
      <c r="AA663" s="169" t="str">
        <f t="shared" ca="1" si="839"/>
        <v/>
      </c>
    </row>
    <row r="664" spans="1:27" s="70" customFormat="1" ht="11.5" x14ac:dyDescent="0.25">
      <c r="A664" s="121" t="s">
        <v>65</v>
      </c>
      <c r="B664" s="121" t="s">
        <v>14</v>
      </c>
      <c r="C664" s="121" t="s">
        <v>1035</v>
      </c>
      <c r="D664" s="121" t="s">
        <v>716</v>
      </c>
      <c r="E664" s="127">
        <f t="shared" si="840"/>
        <v>0.5</v>
      </c>
      <c r="F664" s="122">
        <f t="shared" si="841"/>
        <v>0.5</v>
      </c>
      <c r="G664" s="122">
        <f t="shared" si="843"/>
        <v>0.7</v>
      </c>
      <c r="H664" s="122">
        <f t="shared" si="842"/>
        <v>0.19999999999999996</v>
      </c>
      <c r="I664" s="123">
        <v>4.7E-2</v>
      </c>
      <c r="J664" s="128">
        <f t="shared" si="844"/>
        <v>46269</v>
      </c>
      <c r="K664" s="128">
        <f t="shared" si="845"/>
        <v>46269</v>
      </c>
      <c r="L664" s="124">
        <v>46142</v>
      </c>
      <c r="M664" s="124">
        <f t="shared" si="846"/>
        <v>46311</v>
      </c>
      <c r="N664" s="128">
        <f t="shared" si="847"/>
        <v>46311</v>
      </c>
      <c r="O664" s="126">
        <v>46269</v>
      </c>
      <c r="P664" s="124">
        <f t="shared" si="848"/>
        <v>46353</v>
      </c>
      <c r="Q664" s="128">
        <f t="shared" si="849"/>
        <v>46353</v>
      </c>
      <c r="R664" s="124"/>
      <c r="S664" s="124">
        <f t="shared" si="851"/>
        <v>46367</v>
      </c>
      <c r="T664" s="128">
        <f t="shared" si="850"/>
        <v>46367</v>
      </c>
      <c r="U664" s="124"/>
      <c r="V664" s="229"/>
      <c r="X664" s="168" t="str">
        <f t="shared" ca="1" si="836"/>
        <v>Completed</v>
      </c>
      <c r="Y664" s="168" t="str">
        <f t="shared" ca="1" si="837"/>
        <v>Completed</v>
      </c>
      <c r="Z664" s="168" t="str">
        <f t="shared" ca="1" si="838"/>
        <v/>
      </c>
      <c r="AA664" s="169" t="str">
        <f t="shared" ca="1" si="839"/>
        <v/>
      </c>
    </row>
    <row r="665" spans="1:27" s="70" customFormat="1" ht="11.5" x14ac:dyDescent="0.25">
      <c r="A665" s="121" t="s">
        <v>65</v>
      </c>
      <c r="B665" s="121" t="s">
        <v>14</v>
      </c>
      <c r="C665" s="121" t="s">
        <v>1036</v>
      </c>
      <c r="D665" s="121" t="s">
        <v>717</v>
      </c>
      <c r="E665" s="127">
        <f t="shared" si="840"/>
        <v>0.5</v>
      </c>
      <c r="F665" s="122">
        <f t="shared" si="841"/>
        <v>0.5</v>
      </c>
      <c r="G665" s="122">
        <f t="shared" ref="G665:G696" si="855">(COUNTIFS(L665,"&lt;="&amp;$C$1)*50%)+(COUNTIFS(O665,"&lt;="&amp;$C$1)*20%)+(COUNTIFS(R665,"&lt;="&amp;$C$1)*10%)+(COUNTIFS(U665,"&lt;="&amp;$C$1)*20%)</f>
        <v>0.7</v>
      </c>
      <c r="H665" s="122">
        <f t="shared" si="842"/>
        <v>0.19999999999999996</v>
      </c>
      <c r="I665" s="123">
        <v>4.7E-2</v>
      </c>
      <c r="J665" s="128">
        <f t="shared" ref="J665:J685" si="856">J544+28</f>
        <v>46269</v>
      </c>
      <c r="K665" s="128">
        <f t="shared" si="845"/>
        <v>46269</v>
      </c>
      <c r="L665" s="124">
        <v>46142</v>
      </c>
      <c r="M665" s="124">
        <f t="shared" si="846"/>
        <v>46311</v>
      </c>
      <c r="N665" s="128">
        <f t="shared" si="847"/>
        <v>46311</v>
      </c>
      <c r="O665" s="126">
        <v>46269</v>
      </c>
      <c r="P665" s="124">
        <f t="shared" si="848"/>
        <v>46353</v>
      </c>
      <c r="Q665" s="128">
        <f t="shared" si="849"/>
        <v>46353</v>
      </c>
      <c r="R665" s="124"/>
      <c r="S665" s="124">
        <f t="shared" si="851"/>
        <v>46367</v>
      </c>
      <c r="T665" s="128">
        <f t="shared" si="850"/>
        <v>46367</v>
      </c>
      <c r="U665" s="124"/>
      <c r="V665" s="229"/>
      <c r="X665" s="168" t="str">
        <f t="shared" ca="1" si="836"/>
        <v>Completed</v>
      </c>
      <c r="Y665" s="168" t="str">
        <f t="shared" ca="1" si="837"/>
        <v>Completed</v>
      </c>
      <c r="Z665" s="168" t="str">
        <f t="shared" ca="1" si="838"/>
        <v/>
      </c>
      <c r="AA665" s="169" t="str">
        <f t="shared" ca="1" si="839"/>
        <v/>
      </c>
    </row>
    <row r="666" spans="1:27" s="70" customFormat="1" ht="11.5" x14ac:dyDescent="0.25">
      <c r="A666" s="121" t="s">
        <v>65</v>
      </c>
      <c r="B666" s="121" t="s">
        <v>14</v>
      </c>
      <c r="C666" s="121" t="s">
        <v>1037</v>
      </c>
      <c r="D666" s="121" t="s">
        <v>718</v>
      </c>
      <c r="E666" s="127">
        <f t="shared" si="840"/>
        <v>0.5</v>
      </c>
      <c r="F666" s="122">
        <f t="shared" si="841"/>
        <v>0.5</v>
      </c>
      <c r="G666" s="122">
        <f t="shared" si="855"/>
        <v>0.7</v>
      </c>
      <c r="H666" s="122">
        <f t="shared" si="842"/>
        <v>0.19999999999999996</v>
      </c>
      <c r="I666" s="123">
        <v>4.7E-2</v>
      </c>
      <c r="J666" s="128">
        <f t="shared" si="856"/>
        <v>46269</v>
      </c>
      <c r="K666" s="128">
        <f t="shared" si="845"/>
        <v>46269</v>
      </c>
      <c r="L666" s="124">
        <v>46142</v>
      </c>
      <c r="M666" s="124">
        <f t="shared" si="846"/>
        <v>46311</v>
      </c>
      <c r="N666" s="128">
        <f t="shared" si="847"/>
        <v>46311</v>
      </c>
      <c r="O666" s="126">
        <v>46269</v>
      </c>
      <c r="P666" s="124">
        <f t="shared" si="848"/>
        <v>46353</v>
      </c>
      <c r="Q666" s="128">
        <f t="shared" si="849"/>
        <v>46353</v>
      </c>
      <c r="R666" s="124"/>
      <c r="S666" s="124">
        <f t="shared" si="851"/>
        <v>46367</v>
      </c>
      <c r="T666" s="128">
        <f t="shared" si="850"/>
        <v>46367</v>
      </c>
      <c r="U666" s="124"/>
      <c r="V666" s="229"/>
      <c r="X666" s="168" t="str">
        <f t="shared" ca="1" si="836"/>
        <v>Completed</v>
      </c>
      <c r="Y666" s="168" t="str">
        <f t="shared" ca="1" si="837"/>
        <v>Completed</v>
      </c>
      <c r="Z666" s="168" t="str">
        <f t="shared" ca="1" si="838"/>
        <v/>
      </c>
      <c r="AA666" s="169" t="str">
        <f t="shared" ca="1" si="839"/>
        <v/>
      </c>
    </row>
    <row r="667" spans="1:27" s="70" customFormat="1" ht="11.5" x14ac:dyDescent="0.25">
      <c r="A667" s="120" t="s">
        <v>65</v>
      </c>
      <c r="B667" s="120" t="s">
        <v>14</v>
      </c>
      <c r="C667" s="120" t="s">
        <v>1038</v>
      </c>
      <c r="D667" s="120" t="s">
        <v>719</v>
      </c>
      <c r="E667" s="122">
        <f t="shared" si="840"/>
        <v>0.5</v>
      </c>
      <c r="F667" s="122">
        <f t="shared" si="841"/>
        <v>0.5</v>
      </c>
      <c r="G667" s="122">
        <f t="shared" si="855"/>
        <v>0.7</v>
      </c>
      <c r="H667" s="122">
        <f t="shared" si="842"/>
        <v>0.19999999999999996</v>
      </c>
      <c r="I667" s="123">
        <v>4.7E-2</v>
      </c>
      <c r="J667" s="128">
        <f t="shared" si="856"/>
        <v>46269</v>
      </c>
      <c r="K667" s="128">
        <f t="shared" si="845"/>
        <v>46269</v>
      </c>
      <c r="L667" s="124">
        <v>46142</v>
      </c>
      <c r="M667" s="124">
        <f t="shared" si="846"/>
        <v>46311</v>
      </c>
      <c r="N667" s="128">
        <f t="shared" si="847"/>
        <v>46311</v>
      </c>
      <c r="O667" s="126">
        <v>46269</v>
      </c>
      <c r="P667" s="124">
        <f t="shared" si="848"/>
        <v>46353</v>
      </c>
      <c r="Q667" s="128">
        <f t="shared" si="849"/>
        <v>46353</v>
      </c>
      <c r="R667" s="124"/>
      <c r="S667" s="124">
        <f t="shared" si="851"/>
        <v>46367</v>
      </c>
      <c r="T667" s="128">
        <f t="shared" si="850"/>
        <v>46367</v>
      </c>
      <c r="U667" s="124"/>
      <c r="V667" s="229"/>
      <c r="X667" s="168" t="str">
        <f t="shared" ca="1" si="836"/>
        <v>Completed</v>
      </c>
      <c r="Y667" s="168" t="str">
        <f t="shared" ca="1" si="837"/>
        <v>Completed</v>
      </c>
      <c r="Z667" s="168" t="str">
        <f t="shared" ca="1" si="838"/>
        <v/>
      </c>
      <c r="AA667" s="169" t="str">
        <f t="shared" ca="1" si="839"/>
        <v/>
      </c>
    </row>
    <row r="668" spans="1:27" s="70" customFormat="1" ht="11.5" x14ac:dyDescent="0.25">
      <c r="A668" s="120" t="s">
        <v>65</v>
      </c>
      <c r="B668" s="120" t="s">
        <v>14</v>
      </c>
      <c r="C668" s="120" t="s">
        <v>1039</v>
      </c>
      <c r="D668" s="120" t="s">
        <v>720</v>
      </c>
      <c r="E668" s="122">
        <f t="shared" si="840"/>
        <v>0.5</v>
      </c>
      <c r="F668" s="122">
        <f t="shared" si="841"/>
        <v>0.5</v>
      </c>
      <c r="G668" s="122">
        <f t="shared" si="855"/>
        <v>0.7</v>
      </c>
      <c r="H668" s="122">
        <f t="shared" si="842"/>
        <v>0.19999999999999996</v>
      </c>
      <c r="I668" s="123">
        <v>4.7E-2</v>
      </c>
      <c r="J668" s="128">
        <f t="shared" si="856"/>
        <v>46269</v>
      </c>
      <c r="K668" s="128">
        <f t="shared" si="845"/>
        <v>46269</v>
      </c>
      <c r="L668" s="124">
        <v>46142</v>
      </c>
      <c r="M668" s="124">
        <f t="shared" si="846"/>
        <v>46311</v>
      </c>
      <c r="N668" s="128">
        <f t="shared" si="847"/>
        <v>46311</v>
      </c>
      <c r="O668" s="126">
        <v>46269</v>
      </c>
      <c r="P668" s="124">
        <f t="shared" si="848"/>
        <v>46353</v>
      </c>
      <c r="Q668" s="128">
        <f t="shared" si="849"/>
        <v>46353</v>
      </c>
      <c r="R668" s="124"/>
      <c r="S668" s="124">
        <f t="shared" si="851"/>
        <v>46367</v>
      </c>
      <c r="T668" s="128">
        <f t="shared" si="850"/>
        <v>46367</v>
      </c>
      <c r="U668" s="124"/>
      <c r="V668" s="229"/>
      <c r="X668" s="168" t="str">
        <f t="shared" ca="1" si="836"/>
        <v>Completed</v>
      </c>
      <c r="Y668" s="168" t="str">
        <f t="shared" ca="1" si="837"/>
        <v>Completed</v>
      </c>
      <c r="Z668" s="168" t="str">
        <f t="shared" ca="1" si="838"/>
        <v/>
      </c>
      <c r="AA668" s="169" t="str">
        <f t="shared" ca="1" si="839"/>
        <v/>
      </c>
    </row>
    <row r="669" spans="1:27" s="70" customFormat="1" ht="11.5" x14ac:dyDescent="0.25">
      <c r="A669" s="120" t="s">
        <v>65</v>
      </c>
      <c r="B669" s="120" t="s">
        <v>14</v>
      </c>
      <c r="C669" s="120" t="s">
        <v>1040</v>
      </c>
      <c r="D669" s="120" t="s">
        <v>721</v>
      </c>
      <c r="E669" s="122">
        <f t="shared" ref="E669:E676" si="857">(COUNTIFS(J669,"&lt;="&amp;$C$1)*50%)+(COUNTIFS(M669,"&lt;="&amp;$C$1)*20%)+(COUNTIFS(P669,"&lt;="&amp;$C$1)*10%)+(COUNTIFS(S669,"&lt;="&amp;$C$1)*20%)</f>
        <v>0.5</v>
      </c>
      <c r="F669" s="122">
        <f t="shared" ref="F669:F676" si="858">(COUNTIFS(K669,"&lt;="&amp;$C$1)*50%)+(COUNTIFS(N669,"&lt;="&amp;$C$1)*20%)+(COUNTIFS(Q669,"&lt;="&amp;$C$1)*10%)+(COUNTIFS(T669,"&lt;="&amp;$C$1)*20%)</f>
        <v>0.5</v>
      </c>
      <c r="G669" s="122">
        <f t="shared" si="855"/>
        <v>0.7</v>
      </c>
      <c r="H669" s="122">
        <f t="shared" ref="H669:H676" si="859">G669-E669</f>
        <v>0.19999999999999996</v>
      </c>
      <c r="I669" s="123">
        <v>4.7E-2</v>
      </c>
      <c r="J669" s="128">
        <f t="shared" si="856"/>
        <v>46269</v>
      </c>
      <c r="K669" s="128">
        <f t="shared" si="845"/>
        <v>46269</v>
      </c>
      <c r="L669" s="124">
        <v>46142</v>
      </c>
      <c r="M669" s="124">
        <f t="shared" si="846"/>
        <v>46311</v>
      </c>
      <c r="N669" s="128">
        <f t="shared" si="847"/>
        <v>46311</v>
      </c>
      <c r="O669" s="126">
        <v>46269</v>
      </c>
      <c r="P669" s="124">
        <f t="shared" si="848"/>
        <v>46353</v>
      </c>
      <c r="Q669" s="128">
        <f t="shared" si="849"/>
        <v>46353</v>
      </c>
      <c r="R669" s="124"/>
      <c r="S669" s="124">
        <f t="shared" si="851"/>
        <v>46367</v>
      </c>
      <c r="T669" s="128">
        <f t="shared" si="850"/>
        <v>46367</v>
      </c>
      <c r="U669" s="124"/>
      <c r="V669" s="229"/>
      <c r="X669" s="168" t="str">
        <f t="shared" ca="1" si="836"/>
        <v>Completed</v>
      </c>
      <c r="Y669" s="168" t="str">
        <f t="shared" ca="1" si="837"/>
        <v>Completed</v>
      </c>
      <c r="Z669" s="168" t="str">
        <f t="shared" ca="1" si="838"/>
        <v/>
      </c>
      <c r="AA669" s="169" t="str">
        <f t="shared" ca="1" si="839"/>
        <v/>
      </c>
    </row>
    <row r="670" spans="1:27" s="70" customFormat="1" ht="11.5" x14ac:dyDescent="0.25">
      <c r="A670" s="120" t="s">
        <v>65</v>
      </c>
      <c r="B670" s="120" t="s">
        <v>14</v>
      </c>
      <c r="C670" s="120" t="s">
        <v>1041</v>
      </c>
      <c r="D670" s="120" t="s">
        <v>722</v>
      </c>
      <c r="E670" s="122">
        <f t="shared" si="857"/>
        <v>0.5</v>
      </c>
      <c r="F670" s="122">
        <f t="shared" si="858"/>
        <v>0.5</v>
      </c>
      <c r="G670" s="122">
        <f t="shared" si="855"/>
        <v>0.7</v>
      </c>
      <c r="H670" s="122">
        <f t="shared" si="859"/>
        <v>0.19999999999999996</v>
      </c>
      <c r="I670" s="123">
        <v>4.7E-2</v>
      </c>
      <c r="J670" s="128">
        <f t="shared" si="856"/>
        <v>46269</v>
      </c>
      <c r="K670" s="128">
        <f t="shared" si="845"/>
        <v>46269</v>
      </c>
      <c r="L670" s="124">
        <v>46142</v>
      </c>
      <c r="M670" s="124">
        <f t="shared" si="846"/>
        <v>46311</v>
      </c>
      <c r="N670" s="128">
        <f t="shared" si="847"/>
        <v>46311</v>
      </c>
      <c r="O670" s="126">
        <v>46269</v>
      </c>
      <c r="P670" s="124">
        <f t="shared" si="848"/>
        <v>46353</v>
      </c>
      <c r="Q670" s="128">
        <f t="shared" si="849"/>
        <v>46353</v>
      </c>
      <c r="R670" s="124"/>
      <c r="S670" s="124">
        <f t="shared" si="851"/>
        <v>46367</v>
      </c>
      <c r="T670" s="128">
        <f t="shared" si="850"/>
        <v>46367</v>
      </c>
      <c r="U670" s="124"/>
      <c r="V670" s="229"/>
      <c r="X670" s="168" t="str">
        <f t="shared" ca="1" si="836"/>
        <v>Completed</v>
      </c>
      <c r="Y670" s="168" t="str">
        <f t="shared" ca="1" si="837"/>
        <v>Completed</v>
      </c>
      <c r="Z670" s="168" t="str">
        <f t="shared" ca="1" si="838"/>
        <v/>
      </c>
      <c r="AA670" s="169" t="str">
        <f t="shared" ca="1" si="839"/>
        <v/>
      </c>
    </row>
    <row r="671" spans="1:27" s="70" customFormat="1" ht="11.5" x14ac:dyDescent="0.25">
      <c r="A671" s="120" t="s">
        <v>65</v>
      </c>
      <c r="B671" s="120" t="s">
        <v>14</v>
      </c>
      <c r="C671" s="120" t="s">
        <v>1042</v>
      </c>
      <c r="D671" s="120" t="s">
        <v>723</v>
      </c>
      <c r="E671" s="122">
        <f t="shared" si="857"/>
        <v>0.5</v>
      </c>
      <c r="F671" s="122">
        <f t="shared" si="858"/>
        <v>0.5</v>
      </c>
      <c r="G671" s="122">
        <f t="shared" si="855"/>
        <v>0.7</v>
      </c>
      <c r="H671" s="122">
        <f t="shared" si="859"/>
        <v>0.19999999999999996</v>
      </c>
      <c r="I671" s="123">
        <v>4.7E-2</v>
      </c>
      <c r="J671" s="128">
        <f t="shared" si="856"/>
        <v>46269</v>
      </c>
      <c r="K671" s="128">
        <f t="shared" si="845"/>
        <v>46269</v>
      </c>
      <c r="L671" s="124">
        <v>46142</v>
      </c>
      <c r="M671" s="124">
        <f t="shared" si="846"/>
        <v>46311</v>
      </c>
      <c r="N671" s="128">
        <f t="shared" si="847"/>
        <v>46311</v>
      </c>
      <c r="O671" s="126">
        <v>46269</v>
      </c>
      <c r="P671" s="124">
        <f t="shared" si="848"/>
        <v>46353</v>
      </c>
      <c r="Q671" s="128">
        <f t="shared" si="849"/>
        <v>46353</v>
      </c>
      <c r="R671" s="124"/>
      <c r="S671" s="124">
        <f t="shared" si="851"/>
        <v>46367</v>
      </c>
      <c r="T671" s="128">
        <f t="shared" si="850"/>
        <v>46367</v>
      </c>
      <c r="U671" s="124"/>
      <c r="V671" s="229"/>
      <c r="X671" s="168" t="str">
        <f t="shared" ca="1" si="836"/>
        <v>Completed</v>
      </c>
      <c r="Y671" s="168" t="str">
        <f t="shared" ca="1" si="837"/>
        <v>Completed</v>
      </c>
      <c r="Z671" s="168" t="str">
        <f t="shared" ca="1" si="838"/>
        <v/>
      </c>
      <c r="AA671" s="169" t="str">
        <f t="shared" ca="1" si="839"/>
        <v/>
      </c>
    </row>
    <row r="672" spans="1:27" s="70" customFormat="1" ht="11.5" x14ac:dyDescent="0.25">
      <c r="A672" s="120" t="s">
        <v>65</v>
      </c>
      <c r="B672" s="120" t="s">
        <v>14</v>
      </c>
      <c r="C672" s="120" t="s">
        <v>1043</v>
      </c>
      <c r="D672" s="120" t="s">
        <v>724</v>
      </c>
      <c r="E672" s="122">
        <f t="shared" si="857"/>
        <v>0.5</v>
      </c>
      <c r="F672" s="122">
        <f t="shared" si="858"/>
        <v>0.5</v>
      </c>
      <c r="G672" s="122">
        <f t="shared" si="855"/>
        <v>0.7</v>
      </c>
      <c r="H672" s="122">
        <f t="shared" si="859"/>
        <v>0.19999999999999996</v>
      </c>
      <c r="I672" s="123">
        <v>4.7E-2</v>
      </c>
      <c r="J672" s="128">
        <f t="shared" si="856"/>
        <v>46269</v>
      </c>
      <c r="K672" s="128">
        <f t="shared" si="845"/>
        <v>46269</v>
      </c>
      <c r="L672" s="124">
        <v>46142</v>
      </c>
      <c r="M672" s="124">
        <f t="shared" si="846"/>
        <v>46311</v>
      </c>
      <c r="N672" s="128">
        <f t="shared" si="847"/>
        <v>46311</v>
      </c>
      <c r="O672" s="126">
        <v>46269</v>
      </c>
      <c r="P672" s="124">
        <f t="shared" si="848"/>
        <v>46353</v>
      </c>
      <c r="Q672" s="128">
        <f t="shared" si="849"/>
        <v>46353</v>
      </c>
      <c r="R672" s="124"/>
      <c r="S672" s="124">
        <f t="shared" si="851"/>
        <v>46367</v>
      </c>
      <c r="T672" s="128">
        <f t="shared" si="850"/>
        <v>46367</v>
      </c>
      <c r="U672" s="124"/>
      <c r="V672" s="229"/>
      <c r="X672" s="168" t="str">
        <f t="shared" ca="1" si="836"/>
        <v>Completed</v>
      </c>
      <c r="Y672" s="168" t="str">
        <f t="shared" ca="1" si="837"/>
        <v>Completed</v>
      </c>
      <c r="Z672" s="168" t="str">
        <f t="shared" ca="1" si="838"/>
        <v/>
      </c>
      <c r="AA672" s="169" t="str">
        <f t="shared" ca="1" si="839"/>
        <v/>
      </c>
    </row>
    <row r="673" spans="1:27" s="70" customFormat="1" ht="11.5" x14ac:dyDescent="0.25">
      <c r="A673" s="120" t="s">
        <v>65</v>
      </c>
      <c r="B673" s="120" t="s">
        <v>14</v>
      </c>
      <c r="C673" s="120" t="s">
        <v>1044</v>
      </c>
      <c r="D673" s="120" t="s">
        <v>725</v>
      </c>
      <c r="E673" s="122">
        <f t="shared" si="857"/>
        <v>0.5</v>
      </c>
      <c r="F673" s="122">
        <f t="shared" si="858"/>
        <v>0.5</v>
      </c>
      <c r="G673" s="122">
        <f t="shared" si="855"/>
        <v>0.7</v>
      </c>
      <c r="H673" s="122">
        <f t="shared" si="859"/>
        <v>0.19999999999999996</v>
      </c>
      <c r="I673" s="123">
        <v>4.7E-2</v>
      </c>
      <c r="J673" s="128">
        <f t="shared" si="856"/>
        <v>46269</v>
      </c>
      <c r="K673" s="128">
        <f t="shared" si="845"/>
        <v>46269</v>
      </c>
      <c r="L673" s="124">
        <v>46142</v>
      </c>
      <c r="M673" s="124">
        <f t="shared" si="846"/>
        <v>46311</v>
      </c>
      <c r="N673" s="128">
        <f t="shared" si="847"/>
        <v>46311</v>
      </c>
      <c r="O673" s="126">
        <v>46269</v>
      </c>
      <c r="P673" s="124">
        <f t="shared" si="848"/>
        <v>46353</v>
      </c>
      <c r="Q673" s="128">
        <f t="shared" si="849"/>
        <v>46353</v>
      </c>
      <c r="R673" s="124"/>
      <c r="S673" s="124">
        <f t="shared" si="851"/>
        <v>46367</v>
      </c>
      <c r="T673" s="128">
        <f t="shared" si="850"/>
        <v>46367</v>
      </c>
      <c r="U673" s="124"/>
      <c r="V673" s="229"/>
      <c r="X673" s="168" t="str">
        <f t="shared" ca="1" si="836"/>
        <v>Completed</v>
      </c>
      <c r="Y673" s="168" t="str">
        <f t="shared" ca="1" si="837"/>
        <v>Completed</v>
      </c>
      <c r="Z673" s="168" t="str">
        <f t="shared" ca="1" si="838"/>
        <v/>
      </c>
      <c r="AA673" s="169" t="str">
        <f t="shared" ca="1" si="839"/>
        <v/>
      </c>
    </row>
    <row r="674" spans="1:27" s="70" customFormat="1" ht="11.5" x14ac:dyDescent="0.25">
      <c r="A674" s="120" t="s">
        <v>65</v>
      </c>
      <c r="B674" s="120" t="s">
        <v>14</v>
      </c>
      <c r="C674" s="120" t="s">
        <v>1045</v>
      </c>
      <c r="D674" s="120" t="s">
        <v>726</v>
      </c>
      <c r="E674" s="122">
        <f t="shared" si="857"/>
        <v>0.5</v>
      </c>
      <c r="F674" s="122">
        <f t="shared" si="858"/>
        <v>0.5</v>
      </c>
      <c r="G674" s="122">
        <f t="shared" si="855"/>
        <v>0.7</v>
      </c>
      <c r="H674" s="122">
        <f t="shared" si="859"/>
        <v>0.19999999999999996</v>
      </c>
      <c r="I674" s="123">
        <v>4.7E-2</v>
      </c>
      <c r="J674" s="128">
        <f t="shared" si="856"/>
        <v>46269</v>
      </c>
      <c r="K674" s="128">
        <f t="shared" si="845"/>
        <v>46269</v>
      </c>
      <c r="L674" s="124">
        <v>46142</v>
      </c>
      <c r="M674" s="124">
        <f t="shared" si="846"/>
        <v>46311</v>
      </c>
      <c r="N674" s="128">
        <f t="shared" si="847"/>
        <v>46311</v>
      </c>
      <c r="O674" s="126">
        <v>46269</v>
      </c>
      <c r="P674" s="124">
        <f t="shared" si="848"/>
        <v>46353</v>
      </c>
      <c r="Q674" s="128">
        <f t="shared" si="849"/>
        <v>46353</v>
      </c>
      <c r="R674" s="124"/>
      <c r="S674" s="124">
        <f t="shared" si="851"/>
        <v>46367</v>
      </c>
      <c r="T674" s="128">
        <f t="shared" si="850"/>
        <v>46367</v>
      </c>
      <c r="U674" s="124"/>
      <c r="V674" s="229"/>
      <c r="X674" s="168" t="str">
        <f t="shared" ca="1" si="836"/>
        <v>Completed</v>
      </c>
      <c r="Y674" s="168" t="str">
        <f t="shared" ca="1" si="837"/>
        <v>Completed</v>
      </c>
      <c r="Z674" s="168" t="str">
        <f t="shared" ca="1" si="838"/>
        <v/>
      </c>
      <c r="AA674" s="169" t="str">
        <f t="shared" ca="1" si="839"/>
        <v/>
      </c>
    </row>
    <row r="675" spans="1:27" s="70" customFormat="1" ht="11.5" x14ac:dyDescent="0.25">
      <c r="A675" s="120" t="s">
        <v>65</v>
      </c>
      <c r="B675" s="120" t="s">
        <v>14</v>
      </c>
      <c r="C675" s="120" t="s">
        <v>1046</v>
      </c>
      <c r="D675" s="150" t="s">
        <v>1088</v>
      </c>
      <c r="E675" s="122">
        <f t="shared" si="857"/>
        <v>0.5</v>
      </c>
      <c r="F675" s="122">
        <f t="shared" si="858"/>
        <v>0.5</v>
      </c>
      <c r="G675" s="122">
        <f t="shared" si="855"/>
        <v>0.7</v>
      </c>
      <c r="H675" s="122">
        <f t="shared" si="859"/>
        <v>0.19999999999999996</v>
      </c>
      <c r="I675" s="123">
        <v>4.7E-2</v>
      </c>
      <c r="J675" s="128">
        <f t="shared" si="856"/>
        <v>46269</v>
      </c>
      <c r="K675" s="128">
        <f t="shared" si="845"/>
        <v>46269</v>
      </c>
      <c r="L675" s="124">
        <v>46142</v>
      </c>
      <c r="M675" s="124">
        <f t="shared" si="846"/>
        <v>46311</v>
      </c>
      <c r="N675" s="128">
        <f t="shared" si="847"/>
        <v>46311</v>
      </c>
      <c r="O675" s="126">
        <v>46269</v>
      </c>
      <c r="P675" s="124">
        <f t="shared" si="848"/>
        <v>46353</v>
      </c>
      <c r="Q675" s="128">
        <f t="shared" si="849"/>
        <v>46353</v>
      </c>
      <c r="R675" s="124"/>
      <c r="S675" s="124">
        <f t="shared" si="851"/>
        <v>46367</v>
      </c>
      <c r="T675" s="128">
        <f t="shared" si="850"/>
        <v>46367</v>
      </c>
      <c r="U675" s="124"/>
      <c r="V675" s="229"/>
      <c r="X675" s="168" t="str">
        <f t="shared" ca="1" si="836"/>
        <v>Completed</v>
      </c>
      <c r="Y675" s="168" t="str">
        <f t="shared" ca="1" si="837"/>
        <v>Completed</v>
      </c>
      <c r="Z675" s="168" t="str">
        <f t="shared" ca="1" si="838"/>
        <v/>
      </c>
      <c r="AA675" s="169" t="str">
        <f t="shared" ca="1" si="839"/>
        <v/>
      </c>
    </row>
    <row r="676" spans="1:27" s="70" customFormat="1" ht="11.5" x14ac:dyDescent="0.25">
      <c r="A676" s="120" t="s">
        <v>65</v>
      </c>
      <c r="B676" s="120" t="s">
        <v>14</v>
      </c>
      <c r="C676" s="120" t="s">
        <v>1047</v>
      </c>
      <c r="D676" s="120" t="s">
        <v>727</v>
      </c>
      <c r="E676" s="122">
        <f t="shared" si="857"/>
        <v>0.5</v>
      </c>
      <c r="F676" s="122">
        <f t="shared" si="858"/>
        <v>0.5</v>
      </c>
      <c r="G676" s="122">
        <f t="shared" si="855"/>
        <v>0.7</v>
      </c>
      <c r="H676" s="122">
        <f t="shared" si="859"/>
        <v>0.19999999999999996</v>
      </c>
      <c r="I676" s="123">
        <v>4.7E-2</v>
      </c>
      <c r="J676" s="128">
        <f t="shared" si="856"/>
        <v>46269</v>
      </c>
      <c r="K676" s="128">
        <f t="shared" si="845"/>
        <v>46269</v>
      </c>
      <c r="L676" s="124">
        <v>46142</v>
      </c>
      <c r="M676" s="124">
        <f t="shared" si="846"/>
        <v>46311</v>
      </c>
      <c r="N676" s="128">
        <f t="shared" si="847"/>
        <v>46311</v>
      </c>
      <c r="O676" s="126">
        <v>46269</v>
      </c>
      <c r="P676" s="124">
        <f t="shared" si="848"/>
        <v>46353</v>
      </c>
      <c r="Q676" s="128">
        <f t="shared" si="849"/>
        <v>46353</v>
      </c>
      <c r="R676" s="124"/>
      <c r="S676" s="124">
        <f t="shared" si="851"/>
        <v>46367</v>
      </c>
      <c r="T676" s="128">
        <f t="shared" si="850"/>
        <v>46367</v>
      </c>
      <c r="U676" s="124"/>
      <c r="V676" s="229"/>
      <c r="X676" s="168" t="str">
        <f t="shared" ca="1" si="836"/>
        <v>Completed</v>
      </c>
      <c r="Y676" s="168" t="str">
        <f t="shared" ca="1" si="837"/>
        <v>Completed</v>
      </c>
      <c r="Z676" s="168" t="str">
        <f t="shared" ca="1" si="838"/>
        <v/>
      </c>
      <c r="AA676" s="169" t="str">
        <f t="shared" ca="1" si="839"/>
        <v/>
      </c>
    </row>
    <row r="677" spans="1:27" s="70" customFormat="1" ht="11.5" x14ac:dyDescent="0.25">
      <c r="A677" s="191" t="s">
        <v>65</v>
      </c>
      <c r="B677" s="191" t="s">
        <v>14</v>
      </c>
      <c r="C677" s="191" t="s">
        <v>728</v>
      </c>
      <c r="D677" s="191" t="s">
        <v>1141</v>
      </c>
      <c r="E677" s="192"/>
      <c r="F677" s="192"/>
      <c r="G677" s="192">
        <f t="shared" si="855"/>
        <v>1</v>
      </c>
      <c r="H677" s="192"/>
      <c r="I677" s="193">
        <v>4.7E-2</v>
      </c>
      <c r="J677" s="202">
        <f t="shared" si="856"/>
        <v>46276</v>
      </c>
      <c r="K677" s="202">
        <f t="shared" si="845"/>
        <v>46276</v>
      </c>
      <c r="L677" s="194">
        <v>46262</v>
      </c>
      <c r="M677" s="194">
        <f t="shared" si="846"/>
        <v>46318</v>
      </c>
      <c r="N677" s="202">
        <f t="shared" si="847"/>
        <v>46318</v>
      </c>
      <c r="O677" s="194">
        <v>46262</v>
      </c>
      <c r="P677" s="194">
        <f t="shared" si="848"/>
        <v>46360</v>
      </c>
      <c r="Q677" s="202">
        <f t="shared" si="849"/>
        <v>46360</v>
      </c>
      <c r="R677" s="194">
        <v>46262</v>
      </c>
      <c r="S677" s="194">
        <f t="shared" si="851"/>
        <v>46374</v>
      </c>
      <c r="T677" s="202">
        <f t="shared" si="850"/>
        <v>46374</v>
      </c>
      <c r="U677" s="194">
        <v>46262</v>
      </c>
      <c r="V677" s="231"/>
      <c r="X677" s="168" t="str">
        <f t="shared" ca="1" si="836"/>
        <v>Completed</v>
      </c>
      <c r="Y677" s="168" t="str">
        <f t="shared" ca="1" si="837"/>
        <v>Completed</v>
      </c>
      <c r="Z677" s="168" t="str">
        <f t="shared" ca="1" si="838"/>
        <v>Completed</v>
      </c>
      <c r="AA677" s="169" t="str">
        <f t="shared" ca="1" si="839"/>
        <v>Completed</v>
      </c>
    </row>
    <row r="678" spans="1:27" s="70" customFormat="1" ht="11.5" x14ac:dyDescent="0.25">
      <c r="A678" s="191" t="s">
        <v>65</v>
      </c>
      <c r="B678" s="191" t="s">
        <v>14</v>
      </c>
      <c r="C678" s="191" t="s">
        <v>729</v>
      </c>
      <c r="D678" s="191" t="s">
        <v>1142</v>
      </c>
      <c r="E678" s="192"/>
      <c r="F678" s="192"/>
      <c r="G678" s="192">
        <f t="shared" si="855"/>
        <v>1</v>
      </c>
      <c r="H678" s="192"/>
      <c r="I678" s="193">
        <v>4.7E-2</v>
      </c>
      <c r="J678" s="202">
        <f t="shared" si="856"/>
        <v>46276</v>
      </c>
      <c r="K678" s="202">
        <f t="shared" si="845"/>
        <v>46276</v>
      </c>
      <c r="L678" s="194">
        <v>46262</v>
      </c>
      <c r="M678" s="194">
        <f t="shared" si="846"/>
        <v>46318</v>
      </c>
      <c r="N678" s="202">
        <f t="shared" si="847"/>
        <v>46318</v>
      </c>
      <c r="O678" s="194">
        <v>46262</v>
      </c>
      <c r="P678" s="194">
        <f t="shared" si="848"/>
        <v>46360</v>
      </c>
      <c r="Q678" s="202">
        <f t="shared" si="849"/>
        <v>46360</v>
      </c>
      <c r="R678" s="194">
        <v>46262</v>
      </c>
      <c r="S678" s="194">
        <f t="shared" si="851"/>
        <v>46374</v>
      </c>
      <c r="T678" s="202">
        <f t="shared" si="850"/>
        <v>46374</v>
      </c>
      <c r="U678" s="194">
        <v>46262</v>
      </c>
      <c r="V678" s="231"/>
      <c r="X678" s="168" t="str">
        <f t="shared" ref="X678:X716" ca="1" si="860">IF(OR(L678&lt;&gt;""),"Completed",
IF(K678="","",IF(K678&lt;TODAY(),"Overdue",
IF(AND(K678&gt;=TODAY()-WEEKDAY(TODAY(),2)+1,K678&lt;=TODAY()-WEEKDAY(TODAY(),2)+7),"Follow-This Week",
IF(AND(K678&gt;=TODAY()-WEEKDAY(TODAY(),2)+8,K678&lt;=TODAY()-WEEKDAY(TODAY(),2)+14),"Follow-Next Week","")))))</f>
        <v>Completed</v>
      </c>
      <c r="Y678" s="168" t="str">
        <f t="shared" ref="Y678:Y716" ca="1" si="861">IF(OR(O678&lt;&gt;""),"Completed",IF(N678="","",
IF(N678&lt;TODAY(),"Overdue",
IF(AND(N678&gt;=TODAY()-WEEKDAY(TODAY(),2)+1,N678&lt;=TODAY()-WEEKDAY(TODAY(),2)+7),"Follow-This Week",
IF(AND(N678&gt;=TODAY()-WEEKDAY(TODAY(),2)+8,N678&lt;=TODAY()-WEEKDAY(TODAY(),2)+14),"Follow-Next Week","")))))</f>
        <v>Completed</v>
      </c>
      <c r="Z678" s="168" t="str">
        <f t="shared" ref="Z678:Z716" ca="1" si="862">IF(OR(R678&lt;&gt;""),"Completed",IF(Q678="","",
IF(Q678&lt;TODAY(),"Overdue",
IF(AND(Q678&gt;=TODAY()-WEEKDAY(TODAY(),2)+1,Q678&lt;=TODAY()-WEEKDAY(TODAY(),2)+7),"Follow-This Week",
IF(AND(Q678&gt;=TODAY()-WEEKDAY(TODAY(),2)+8,Q678&lt;=TODAY()-WEEKDAY(TODAY(),2)+14),"Follow-Next Week","")))))</f>
        <v>Completed</v>
      </c>
      <c r="AA678" s="169" t="str">
        <f t="shared" ref="AA678:AA716" ca="1" si="863">IF(OR(U678&lt;&gt;""),"Completed",IF(T678="","",
IF(T678&lt;TODAY(),"Overdue",
IF(AND(T678&gt;=TODAY()-WEEKDAY(TODAY(),2)+1,T678&lt;=TODAY()-WEEKDAY(TODAY(),2)+7),"Follow-This Week",
IF(AND(T678&gt;=TODAY()-WEEKDAY(TODAY(),2)+8,T678&lt;=TODAY()-WEEKDAY(TODAY(),2)+14),"Follow-Next Week","")))))</f>
        <v>Completed</v>
      </c>
    </row>
    <row r="679" spans="1:27" s="70" customFormat="1" ht="11.5" x14ac:dyDescent="0.25">
      <c r="A679" s="120" t="s">
        <v>65</v>
      </c>
      <c r="B679" s="120" t="s">
        <v>14</v>
      </c>
      <c r="C679" s="120" t="s">
        <v>1145</v>
      </c>
      <c r="D679" s="120" t="s">
        <v>1143</v>
      </c>
      <c r="E679" s="122">
        <f t="shared" si="840"/>
        <v>0</v>
      </c>
      <c r="F679" s="122">
        <f t="shared" si="841"/>
        <v>0</v>
      </c>
      <c r="G679" s="122">
        <f t="shared" si="855"/>
        <v>0</v>
      </c>
      <c r="H679" s="122">
        <f t="shared" si="842"/>
        <v>0</v>
      </c>
      <c r="I679" s="123"/>
      <c r="J679" s="128">
        <f t="shared" si="856"/>
        <v>46388</v>
      </c>
      <c r="K679" s="128">
        <f t="shared" ref="K679:K680" si="864">J679</f>
        <v>46388</v>
      </c>
      <c r="L679" s="124"/>
      <c r="M679" s="124">
        <f t="shared" ref="M679:M680" si="865">J679+42</f>
        <v>46430</v>
      </c>
      <c r="N679" s="128">
        <f t="shared" ref="N679:N680" si="866">M679</f>
        <v>46430</v>
      </c>
      <c r="O679" s="124"/>
      <c r="P679" s="124">
        <f t="shared" ref="P679:P680" si="867">M679+42</f>
        <v>46472</v>
      </c>
      <c r="Q679" s="128">
        <f t="shared" ref="Q679:Q680" si="868">P679</f>
        <v>46472</v>
      </c>
      <c r="R679" s="124"/>
      <c r="S679" s="124">
        <f t="shared" ref="S679:S680" si="869">P679+14</f>
        <v>46486</v>
      </c>
      <c r="T679" s="128">
        <f t="shared" ref="T679:T680" si="870">S679</f>
        <v>46486</v>
      </c>
      <c r="U679" s="124"/>
      <c r="V679" s="229"/>
      <c r="X679" s="168" t="str">
        <f t="shared" ca="1" si="860"/>
        <v/>
      </c>
      <c r="Y679" s="168" t="str">
        <f t="shared" ca="1" si="861"/>
        <v/>
      </c>
      <c r="Z679" s="168" t="str">
        <f t="shared" ca="1" si="862"/>
        <v/>
      </c>
      <c r="AA679" s="169" t="str">
        <f t="shared" ca="1" si="863"/>
        <v/>
      </c>
    </row>
    <row r="680" spans="1:27" s="70" customFormat="1" ht="11.5" x14ac:dyDescent="0.25">
      <c r="A680" s="120" t="s">
        <v>65</v>
      </c>
      <c r="B680" s="120" t="s">
        <v>14</v>
      </c>
      <c r="C680" s="120" t="s">
        <v>1145</v>
      </c>
      <c r="D680" s="120" t="s">
        <v>1144</v>
      </c>
      <c r="E680" s="122">
        <f t="shared" ref="E680" si="871">(COUNTIFS(J680,"&lt;="&amp;$C$1)*50%)+(COUNTIFS(M680,"&lt;="&amp;$C$1)*20%)+(COUNTIFS(P680,"&lt;="&amp;$C$1)*10%)+(COUNTIFS(S680,"&lt;="&amp;$C$1)*20%)</f>
        <v>0</v>
      </c>
      <c r="F680" s="122">
        <f t="shared" ref="F680" si="872">(COUNTIFS(K680,"&lt;="&amp;$C$1)*50%)+(COUNTIFS(N680,"&lt;="&amp;$C$1)*20%)+(COUNTIFS(Q680,"&lt;="&amp;$C$1)*10%)+(COUNTIFS(T680,"&lt;="&amp;$C$1)*20%)</f>
        <v>0</v>
      </c>
      <c r="G680" s="122">
        <f t="shared" si="855"/>
        <v>0</v>
      </c>
      <c r="H680" s="122">
        <f t="shared" ref="H680" si="873">G680-E680</f>
        <v>0</v>
      </c>
      <c r="I680" s="123"/>
      <c r="J680" s="128">
        <f t="shared" si="856"/>
        <v>46388</v>
      </c>
      <c r="K680" s="128">
        <f t="shared" si="864"/>
        <v>46388</v>
      </c>
      <c r="L680" s="124"/>
      <c r="M680" s="124">
        <f t="shared" si="865"/>
        <v>46430</v>
      </c>
      <c r="N680" s="128">
        <f t="shared" si="866"/>
        <v>46430</v>
      </c>
      <c r="O680" s="124"/>
      <c r="P680" s="124">
        <f t="shared" si="867"/>
        <v>46472</v>
      </c>
      <c r="Q680" s="128">
        <f t="shared" si="868"/>
        <v>46472</v>
      </c>
      <c r="R680" s="124"/>
      <c r="S680" s="124">
        <f t="shared" si="869"/>
        <v>46486</v>
      </c>
      <c r="T680" s="128">
        <f t="shared" si="870"/>
        <v>46486</v>
      </c>
      <c r="U680" s="124"/>
      <c r="V680" s="229"/>
      <c r="X680" s="168" t="str">
        <f t="shared" ca="1" si="860"/>
        <v/>
      </c>
      <c r="Y680" s="168" t="str">
        <f t="shared" ca="1" si="861"/>
        <v/>
      </c>
      <c r="Z680" s="168" t="str">
        <f t="shared" ca="1" si="862"/>
        <v/>
      </c>
      <c r="AA680" s="169" t="str">
        <f t="shared" ca="1" si="863"/>
        <v/>
      </c>
    </row>
    <row r="681" spans="1:27" s="70" customFormat="1" ht="11.5" x14ac:dyDescent="0.25">
      <c r="A681" s="120" t="s">
        <v>65</v>
      </c>
      <c r="B681" s="120" t="s">
        <v>14</v>
      </c>
      <c r="C681" s="120" t="s">
        <v>887</v>
      </c>
      <c r="D681" s="120" t="s">
        <v>888</v>
      </c>
      <c r="E681" s="122">
        <f t="shared" si="840"/>
        <v>0.5</v>
      </c>
      <c r="F681" s="122">
        <f t="shared" si="841"/>
        <v>0.5</v>
      </c>
      <c r="G681" s="122">
        <f t="shared" si="855"/>
        <v>0.7</v>
      </c>
      <c r="H681" s="122">
        <f t="shared" si="842"/>
        <v>0.19999999999999996</v>
      </c>
      <c r="I681" s="123"/>
      <c r="J681" s="128">
        <f t="shared" si="856"/>
        <v>46283</v>
      </c>
      <c r="K681" s="128">
        <f t="shared" ref="K681:K685" si="874">J681</f>
        <v>46283</v>
      </c>
      <c r="L681" s="124">
        <v>46190</v>
      </c>
      <c r="M681" s="124">
        <f t="shared" ref="M681:M685" si="875">J681+42</f>
        <v>46325</v>
      </c>
      <c r="N681" s="128">
        <f t="shared" ref="N681:N685" si="876">M681</f>
        <v>46325</v>
      </c>
      <c r="O681" s="126">
        <v>46276</v>
      </c>
      <c r="P681" s="124">
        <f t="shared" ref="P681:P685" si="877">M681+42</f>
        <v>46367</v>
      </c>
      <c r="Q681" s="128">
        <f t="shared" ref="Q681:Q685" si="878">P681</f>
        <v>46367</v>
      </c>
      <c r="R681" s="124"/>
      <c r="S681" s="124">
        <f t="shared" ref="S681:S685" si="879">P681+14</f>
        <v>46381</v>
      </c>
      <c r="T681" s="128">
        <f t="shared" ref="T681:T685" si="880">S681</f>
        <v>46381</v>
      </c>
      <c r="U681" s="124"/>
      <c r="V681" s="229"/>
      <c r="X681" s="168" t="str">
        <f t="shared" ca="1" si="860"/>
        <v>Completed</v>
      </c>
      <c r="Y681" s="168" t="str">
        <f t="shared" ca="1" si="861"/>
        <v>Completed</v>
      </c>
      <c r="Z681" s="168" t="str">
        <f t="shared" ca="1" si="862"/>
        <v/>
      </c>
      <c r="AA681" s="169" t="str">
        <f t="shared" ca="1" si="863"/>
        <v/>
      </c>
    </row>
    <row r="682" spans="1:27" s="70" customFormat="1" ht="11.5" x14ac:dyDescent="0.25">
      <c r="A682" s="120" t="s">
        <v>65</v>
      </c>
      <c r="B682" s="120" t="s">
        <v>14</v>
      </c>
      <c r="C682" s="120" t="s">
        <v>889</v>
      </c>
      <c r="D682" s="120" t="s">
        <v>1124</v>
      </c>
      <c r="E682" s="122">
        <f t="shared" ref="E682:E685" si="881">(COUNTIFS(J682,"&lt;="&amp;$C$1)*50%)+(COUNTIFS(M682,"&lt;="&amp;$C$1)*20%)+(COUNTIFS(P682,"&lt;="&amp;$C$1)*10%)+(COUNTIFS(S682,"&lt;="&amp;$C$1)*20%)</f>
        <v>0</v>
      </c>
      <c r="F682" s="122">
        <f t="shared" ref="F682:F685" si="882">(COUNTIFS(K682,"&lt;="&amp;$C$1)*50%)+(COUNTIFS(N682,"&lt;="&amp;$C$1)*20%)+(COUNTIFS(Q682,"&lt;="&amp;$C$1)*10%)+(COUNTIFS(T682,"&lt;="&amp;$C$1)*20%)</f>
        <v>0</v>
      </c>
      <c r="G682" s="122">
        <f t="shared" si="855"/>
        <v>0.5</v>
      </c>
      <c r="H682" s="122">
        <f t="shared" ref="H682:H685" si="883">G682-E682</f>
        <v>0.5</v>
      </c>
      <c r="I682" s="123"/>
      <c r="J682" s="128">
        <f t="shared" si="856"/>
        <v>46349</v>
      </c>
      <c r="K682" s="128">
        <f t="shared" si="874"/>
        <v>46349</v>
      </c>
      <c r="L682" s="126">
        <v>46276</v>
      </c>
      <c r="M682" s="124">
        <f t="shared" si="875"/>
        <v>46391</v>
      </c>
      <c r="N682" s="128">
        <f t="shared" si="876"/>
        <v>46391</v>
      </c>
      <c r="O682" s="124"/>
      <c r="P682" s="124">
        <f t="shared" si="877"/>
        <v>46433</v>
      </c>
      <c r="Q682" s="128">
        <f t="shared" si="878"/>
        <v>46433</v>
      </c>
      <c r="R682" s="124"/>
      <c r="S682" s="124">
        <f t="shared" si="879"/>
        <v>46447</v>
      </c>
      <c r="T682" s="128">
        <f t="shared" si="880"/>
        <v>46447</v>
      </c>
      <c r="U682" s="124"/>
      <c r="V682" s="229"/>
      <c r="X682" s="168" t="str">
        <f t="shared" ca="1" si="860"/>
        <v>Completed</v>
      </c>
      <c r="Y682" s="168" t="str">
        <f t="shared" ca="1" si="861"/>
        <v/>
      </c>
      <c r="Z682" s="168" t="str">
        <f t="shared" ca="1" si="862"/>
        <v/>
      </c>
      <c r="AA682" s="169" t="str">
        <f t="shared" ca="1" si="863"/>
        <v/>
      </c>
    </row>
    <row r="683" spans="1:27" s="70" customFormat="1" ht="11.5" x14ac:dyDescent="0.25">
      <c r="A683" s="120" t="s">
        <v>65</v>
      </c>
      <c r="B683" s="120" t="s">
        <v>14</v>
      </c>
      <c r="C683" s="120" t="s">
        <v>890</v>
      </c>
      <c r="D683" s="120" t="s">
        <v>1125</v>
      </c>
      <c r="E683" s="122">
        <f t="shared" si="881"/>
        <v>0</v>
      </c>
      <c r="F683" s="122">
        <f t="shared" si="882"/>
        <v>0</v>
      </c>
      <c r="G683" s="122">
        <f t="shared" si="855"/>
        <v>0.5</v>
      </c>
      <c r="H683" s="122">
        <f t="shared" si="883"/>
        <v>0.5</v>
      </c>
      <c r="I683" s="123"/>
      <c r="J683" s="128">
        <f t="shared" si="856"/>
        <v>46349</v>
      </c>
      <c r="K683" s="128">
        <f t="shared" si="874"/>
        <v>46349</v>
      </c>
      <c r="L683" s="126">
        <v>46276</v>
      </c>
      <c r="M683" s="124">
        <f t="shared" si="875"/>
        <v>46391</v>
      </c>
      <c r="N683" s="128">
        <f t="shared" si="876"/>
        <v>46391</v>
      </c>
      <c r="O683" s="124"/>
      <c r="P683" s="124">
        <f t="shared" si="877"/>
        <v>46433</v>
      </c>
      <c r="Q683" s="128">
        <f t="shared" si="878"/>
        <v>46433</v>
      </c>
      <c r="R683" s="124"/>
      <c r="S683" s="124">
        <f t="shared" si="879"/>
        <v>46447</v>
      </c>
      <c r="T683" s="128">
        <f t="shared" si="880"/>
        <v>46447</v>
      </c>
      <c r="U683" s="124"/>
      <c r="V683" s="229"/>
      <c r="X683" s="168" t="str">
        <f t="shared" ca="1" si="860"/>
        <v>Completed</v>
      </c>
      <c r="Y683" s="168" t="str">
        <f t="shared" ca="1" si="861"/>
        <v/>
      </c>
      <c r="Z683" s="168" t="str">
        <f t="shared" ca="1" si="862"/>
        <v/>
      </c>
      <c r="AA683" s="169" t="str">
        <f t="shared" ca="1" si="863"/>
        <v/>
      </c>
    </row>
    <row r="684" spans="1:27" s="70" customFormat="1" ht="11.5" x14ac:dyDescent="0.25">
      <c r="A684" s="120" t="s">
        <v>65</v>
      </c>
      <c r="B684" s="120" t="s">
        <v>14</v>
      </c>
      <c r="C684" s="120" t="s">
        <v>891</v>
      </c>
      <c r="D684" s="120" t="s">
        <v>1126</v>
      </c>
      <c r="E684" s="122">
        <f t="shared" si="881"/>
        <v>0</v>
      </c>
      <c r="F684" s="122">
        <f t="shared" si="882"/>
        <v>0</v>
      </c>
      <c r="G684" s="122">
        <f t="shared" si="855"/>
        <v>0.5</v>
      </c>
      <c r="H684" s="122">
        <f t="shared" si="883"/>
        <v>0.5</v>
      </c>
      <c r="I684" s="123"/>
      <c r="J684" s="128">
        <f t="shared" si="856"/>
        <v>46349</v>
      </c>
      <c r="K684" s="128">
        <f t="shared" si="874"/>
        <v>46349</v>
      </c>
      <c r="L684" s="126">
        <v>46276</v>
      </c>
      <c r="M684" s="124">
        <f t="shared" si="875"/>
        <v>46391</v>
      </c>
      <c r="N684" s="128">
        <f t="shared" si="876"/>
        <v>46391</v>
      </c>
      <c r="O684" s="124"/>
      <c r="P684" s="124">
        <f t="shared" si="877"/>
        <v>46433</v>
      </c>
      <c r="Q684" s="128">
        <f t="shared" si="878"/>
        <v>46433</v>
      </c>
      <c r="R684" s="124"/>
      <c r="S684" s="124">
        <f t="shared" si="879"/>
        <v>46447</v>
      </c>
      <c r="T684" s="128">
        <f t="shared" si="880"/>
        <v>46447</v>
      </c>
      <c r="U684" s="124"/>
      <c r="V684" s="229"/>
      <c r="X684" s="168" t="str">
        <f t="shared" ca="1" si="860"/>
        <v>Completed</v>
      </c>
      <c r="Y684" s="168" t="str">
        <f t="shared" ca="1" si="861"/>
        <v/>
      </c>
      <c r="Z684" s="168" t="str">
        <f t="shared" ca="1" si="862"/>
        <v/>
      </c>
      <c r="AA684" s="169" t="str">
        <f t="shared" ca="1" si="863"/>
        <v/>
      </c>
    </row>
    <row r="685" spans="1:27" s="70" customFormat="1" ht="11.5" x14ac:dyDescent="0.25">
      <c r="A685" s="120" t="s">
        <v>65</v>
      </c>
      <c r="B685" s="120" t="s">
        <v>14</v>
      </c>
      <c r="C685" s="120" t="s">
        <v>892</v>
      </c>
      <c r="D685" s="120" t="s">
        <v>1127</v>
      </c>
      <c r="E685" s="122">
        <f t="shared" si="881"/>
        <v>0</v>
      </c>
      <c r="F685" s="122">
        <f t="shared" si="882"/>
        <v>0</v>
      </c>
      <c r="G685" s="122">
        <f t="shared" si="855"/>
        <v>0.5</v>
      </c>
      <c r="H685" s="122">
        <f t="shared" si="883"/>
        <v>0.5</v>
      </c>
      <c r="I685" s="123"/>
      <c r="J685" s="128">
        <f t="shared" si="856"/>
        <v>46349</v>
      </c>
      <c r="K685" s="128">
        <f t="shared" si="874"/>
        <v>46349</v>
      </c>
      <c r="L685" s="126">
        <v>46276</v>
      </c>
      <c r="M685" s="124">
        <f t="shared" si="875"/>
        <v>46391</v>
      </c>
      <c r="N685" s="128">
        <f t="shared" si="876"/>
        <v>46391</v>
      </c>
      <c r="O685" s="124"/>
      <c r="P685" s="124">
        <f t="shared" si="877"/>
        <v>46433</v>
      </c>
      <c r="Q685" s="128">
        <f t="shared" si="878"/>
        <v>46433</v>
      </c>
      <c r="R685" s="124"/>
      <c r="S685" s="124">
        <f t="shared" si="879"/>
        <v>46447</v>
      </c>
      <c r="T685" s="128">
        <f t="shared" si="880"/>
        <v>46447</v>
      </c>
      <c r="U685" s="124"/>
      <c r="V685" s="229"/>
      <c r="X685" s="168" t="str">
        <f t="shared" ca="1" si="860"/>
        <v>Completed</v>
      </c>
      <c r="Y685" s="168" t="str">
        <f t="shared" ca="1" si="861"/>
        <v/>
      </c>
      <c r="Z685" s="168" t="str">
        <f t="shared" ca="1" si="862"/>
        <v/>
      </c>
      <c r="AA685" s="169" t="str">
        <f t="shared" ca="1" si="863"/>
        <v/>
      </c>
    </row>
    <row r="686" spans="1:27" s="70" customFormat="1" ht="11.5" x14ac:dyDescent="0.25">
      <c r="A686" s="120" t="s">
        <v>65</v>
      </c>
      <c r="B686" s="120" t="s">
        <v>14</v>
      </c>
      <c r="C686" s="120" t="s">
        <v>730</v>
      </c>
      <c r="D686" s="121" t="s">
        <v>1146</v>
      </c>
      <c r="E686" s="122">
        <f t="shared" si="840"/>
        <v>0.5</v>
      </c>
      <c r="F686" s="122">
        <f t="shared" si="841"/>
        <v>0.5</v>
      </c>
      <c r="G686" s="122">
        <f t="shared" si="855"/>
        <v>0.79999999999999993</v>
      </c>
      <c r="H686" s="122">
        <f t="shared" si="842"/>
        <v>0.29999999999999993</v>
      </c>
      <c r="I686" s="123">
        <v>4.7E-2</v>
      </c>
      <c r="J686" s="124">
        <f t="shared" ref="J686:J715" si="884">J569+28</f>
        <v>46276</v>
      </c>
      <c r="K686" s="124">
        <f t="shared" si="845"/>
        <v>46276</v>
      </c>
      <c r="L686" s="126">
        <v>46184</v>
      </c>
      <c r="M686" s="124">
        <f t="shared" si="846"/>
        <v>46318</v>
      </c>
      <c r="N686" s="124">
        <f t="shared" si="847"/>
        <v>46318</v>
      </c>
      <c r="O686" s="133">
        <v>46269</v>
      </c>
      <c r="P686" s="124">
        <f t="shared" si="848"/>
        <v>46360</v>
      </c>
      <c r="Q686" s="124">
        <f t="shared" si="849"/>
        <v>46360</v>
      </c>
      <c r="R686" s="160">
        <v>46300</v>
      </c>
      <c r="S686" s="124">
        <f t="shared" si="851"/>
        <v>46374</v>
      </c>
      <c r="T686" s="124">
        <f t="shared" si="850"/>
        <v>46374</v>
      </c>
      <c r="U686" s="124"/>
      <c r="V686" s="229"/>
      <c r="X686" s="168" t="str">
        <f t="shared" ca="1" si="860"/>
        <v>Completed</v>
      </c>
      <c r="Y686" s="168" t="str">
        <f t="shared" ca="1" si="861"/>
        <v>Completed</v>
      </c>
      <c r="Z686" s="168" t="str">
        <f t="shared" ca="1" si="862"/>
        <v>Completed</v>
      </c>
      <c r="AA686" s="169" t="str">
        <f t="shared" ca="1" si="863"/>
        <v/>
      </c>
    </row>
    <row r="687" spans="1:27" s="70" customFormat="1" ht="11.5" x14ac:dyDescent="0.25">
      <c r="A687" s="121" t="s">
        <v>65</v>
      </c>
      <c r="B687" s="121" t="s">
        <v>14</v>
      </c>
      <c r="C687" s="121" t="s">
        <v>731</v>
      </c>
      <c r="D687" s="121" t="s">
        <v>732</v>
      </c>
      <c r="E687" s="127">
        <f t="shared" si="840"/>
        <v>0.5</v>
      </c>
      <c r="F687" s="127">
        <f t="shared" si="841"/>
        <v>0.5</v>
      </c>
      <c r="G687" s="127">
        <f t="shared" si="855"/>
        <v>0.79999999999999993</v>
      </c>
      <c r="H687" s="127">
        <f t="shared" si="842"/>
        <v>0.29999999999999993</v>
      </c>
      <c r="I687" s="123">
        <v>4.7E-2</v>
      </c>
      <c r="J687" s="124">
        <f t="shared" si="884"/>
        <v>46276</v>
      </c>
      <c r="K687" s="124">
        <f t="shared" si="845"/>
        <v>46276</v>
      </c>
      <c r="L687" s="126">
        <v>46184</v>
      </c>
      <c r="M687" s="124">
        <f t="shared" si="846"/>
        <v>46318</v>
      </c>
      <c r="N687" s="124">
        <f t="shared" si="847"/>
        <v>46318</v>
      </c>
      <c r="O687" s="133">
        <v>46269</v>
      </c>
      <c r="P687" s="124">
        <f t="shared" si="848"/>
        <v>46360</v>
      </c>
      <c r="Q687" s="124">
        <f t="shared" si="849"/>
        <v>46360</v>
      </c>
      <c r="R687" s="160">
        <v>46300</v>
      </c>
      <c r="S687" s="124">
        <f t="shared" si="851"/>
        <v>46374</v>
      </c>
      <c r="T687" s="124">
        <f t="shared" si="850"/>
        <v>46374</v>
      </c>
      <c r="U687" s="124"/>
      <c r="V687" s="229"/>
      <c r="X687" s="168" t="str">
        <f t="shared" ca="1" si="860"/>
        <v>Completed</v>
      </c>
      <c r="Y687" s="168" t="str">
        <f t="shared" ca="1" si="861"/>
        <v>Completed</v>
      </c>
      <c r="Z687" s="168" t="str">
        <f t="shared" ca="1" si="862"/>
        <v>Completed</v>
      </c>
      <c r="AA687" s="169" t="str">
        <f t="shared" ca="1" si="863"/>
        <v/>
      </c>
    </row>
    <row r="688" spans="1:27" s="70" customFormat="1" ht="11.5" x14ac:dyDescent="0.25">
      <c r="A688" s="121" t="s">
        <v>65</v>
      </c>
      <c r="B688" s="121" t="s">
        <v>14</v>
      </c>
      <c r="C688" s="121" t="s">
        <v>733</v>
      </c>
      <c r="D688" s="121" t="s">
        <v>734</v>
      </c>
      <c r="E688" s="127">
        <f t="shared" si="840"/>
        <v>0.5</v>
      </c>
      <c r="F688" s="127">
        <f t="shared" si="841"/>
        <v>0.5</v>
      </c>
      <c r="G688" s="127">
        <f t="shared" si="855"/>
        <v>0.79999999999999993</v>
      </c>
      <c r="H688" s="127">
        <f t="shared" si="842"/>
        <v>0.29999999999999993</v>
      </c>
      <c r="I688" s="123">
        <v>4.7E-2</v>
      </c>
      <c r="J688" s="126">
        <f t="shared" si="884"/>
        <v>46276</v>
      </c>
      <c r="K688" s="126">
        <f t="shared" si="845"/>
        <v>46276</v>
      </c>
      <c r="L688" s="126">
        <v>46184</v>
      </c>
      <c r="M688" s="126">
        <f t="shared" si="846"/>
        <v>46318</v>
      </c>
      <c r="N688" s="126">
        <f t="shared" si="847"/>
        <v>46318</v>
      </c>
      <c r="O688" s="124">
        <v>46266</v>
      </c>
      <c r="P688" s="126">
        <f t="shared" si="848"/>
        <v>46360</v>
      </c>
      <c r="Q688" s="126">
        <f t="shared" si="849"/>
        <v>46360</v>
      </c>
      <c r="R688" s="160">
        <v>46300</v>
      </c>
      <c r="S688" s="124">
        <f t="shared" si="851"/>
        <v>46374</v>
      </c>
      <c r="T688" s="126">
        <f t="shared" si="850"/>
        <v>46374</v>
      </c>
      <c r="U688" s="126"/>
      <c r="V688" s="230"/>
      <c r="X688" s="168" t="str">
        <f t="shared" ca="1" si="860"/>
        <v>Completed</v>
      </c>
      <c r="Y688" s="168" t="str">
        <f t="shared" ca="1" si="861"/>
        <v>Completed</v>
      </c>
      <c r="Z688" s="168" t="str">
        <f t="shared" ca="1" si="862"/>
        <v>Completed</v>
      </c>
      <c r="AA688" s="169" t="str">
        <f t="shared" ca="1" si="863"/>
        <v/>
      </c>
    </row>
    <row r="689" spans="1:27" s="70" customFormat="1" ht="11.5" x14ac:dyDescent="0.25">
      <c r="A689" s="121" t="s">
        <v>65</v>
      </c>
      <c r="B689" s="121" t="s">
        <v>14</v>
      </c>
      <c r="C689" s="121" t="s">
        <v>735</v>
      </c>
      <c r="D689" s="121" t="s">
        <v>736</v>
      </c>
      <c r="E689" s="127">
        <f t="shared" si="840"/>
        <v>0.5</v>
      </c>
      <c r="F689" s="127">
        <f t="shared" si="841"/>
        <v>0.5</v>
      </c>
      <c r="G689" s="127">
        <f t="shared" si="855"/>
        <v>0.5</v>
      </c>
      <c r="H689" s="127">
        <f t="shared" si="842"/>
        <v>0</v>
      </c>
      <c r="I689" s="123">
        <v>4.7E-2</v>
      </c>
      <c r="J689" s="126">
        <f t="shared" si="884"/>
        <v>46276</v>
      </c>
      <c r="K689" s="126">
        <f t="shared" si="845"/>
        <v>46276</v>
      </c>
      <c r="L689" s="124">
        <v>46293</v>
      </c>
      <c r="M689" s="126">
        <f t="shared" si="846"/>
        <v>46318</v>
      </c>
      <c r="N689" s="126">
        <f t="shared" si="847"/>
        <v>46318</v>
      </c>
      <c r="O689" s="126"/>
      <c r="P689" s="126">
        <f t="shared" si="848"/>
        <v>46360</v>
      </c>
      <c r="Q689" s="126">
        <f t="shared" si="849"/>
        <v>46360</v>
      </c>
      <c r="R689" s="126"/>
      <c r="S689" s="124">
        <f t="shared" si="851"/>
        <v>46374</v>
      </c>
      <c r="T689" s="126">
        <f t="shared" si="850"/>
        <v>46374</v>
      </c>
      <c r="U689" s="126"/>
      <c r="V689" s="230"/>
      <c r="X689" s="168" t="str">
        <f t="shared" ca="1" si="860"/>
        <v>Completed</v>
      </c>
      <c r="Y689" s="168" t="str">
        <f t="shared" ca="1" si="861"/>
        <v/>
      </c>
      <c r="Z689" s="168" t="str">
        <f t="shared" ca="1" si="862"/>
        <v/>
      </c>
      <c r="AA689" s="169" t="str">
        <f t="shared" ca="1" si="863"/>
        <v/>
      </c>
    </row>
    <row r="690" spans="1:27" s="70" customFormat="1" ht="11.5" x14ac:dyDescent="0.25">
      <c r="A690" s="121" t="s">
        <v>65</v>
      </c>
      <c r="B690" s="121" t="s">
        <v>14</v>
      </c>
      <c r="C690" s="121" t="s">
        <v>737</v>
      </c>
      <c r="D690" s="121" t="s">
        <v>738</v>
      </c>
      <c r="E690" s="127">
        <f t="shared" si="840"/>
        <v>0.5</v>
      </c>
      <c r="F690" s="127">
        <f t="shared" si="841"/>
        <v>0.5</v>
      </c>
      <c r="G690" s="127">
        <f t="shared" si="855"/>
        <v>0.7</v>
      </c>
      <c r="H690" s="127">
        <f t="shared" si="842"/>
        <v>0.19999999999999996</v>
      </c>
      <c r="I690" s="123">
        <v>4.7E-2</v>
      </c>
      <c r="J690" s="126">
        <f t="shared" si="884"/>
        <v>46283</v>
      </c>
      <c r="K690" s="126">
        <f t="shared" si="845"/>
        <v>46283</v>
      </c>
      <c r="L690" s="124">
        <v>46142</v>
      </c>
      <c r="M690" s="126">
        <f t="shared" si="846"/>
        <v>46325</v>
      </c>
      <c r="N690" s="126">
        <f t="shared" si="847"/>
        <v>46325</v>
      </c>
      <c r="O690" s="124">
        <v>46255</v>
      </c>
      <c r="P690" s="126">
        <f t="shared" si="848"/>
        <v>46367</v>
      </c>
      <c r="Q690" s="126">
        <f t="shared" si="849"/>
        <v>46367</v>
      </c>
      <c r="R690" s="126"/>
      <c r="S690" s="124">
        <f t="shared" si="851"/>
        <v>46381</v>
      </c>
      <c r="T690" s="126">
        <f t="shared" si="850"/>
        <v>46381</v>
      </c>
      <c r="U690" s="126"/>
      <c r="V690" s="230"/>
      <c r="X690" s="168" t="str">
        <f t="shared" ca="1" si="860"/>
        <v>Completed</v>
      </c>
      <c r="Y690" s="168" t="str">
        <f t="shared" ca="1" si="861"/>
        <v>Completed</v>
      </c>
      <c r="Z690" s="168" t="str">
        <f t="shared" ca="1" si="862"/>
        <v/>
      </c>
      <c r="AA690" s="169" t="str">
        <f t="shared" ca="1" si="863"/>
        <v/>
      </c>
    </row>
    <row r="691" spans="1:27" s="70" customFormat="1" ht="11.5" x14ac:dyDescent="0.25">
      <c r="A691" s="121" t="s">
        <v>65</v>
      </c>
      <c r="B691" s="121" t="s">
        <v>14</v>
      </c>
      <c r="C691" s="121" t="s">
        <v>739</v>
      </c>
      <c r="D691" s="121" t="s">
        <v>740</v>
      </c>
      <c r="E691" s="127">
        <f t="shared" si="840"/>
        <v>0.5</v>
      </c>
      <c r="F691" s="127">
        <f t="shared" si="841"/>
        <v>0.5</v>
      </c>
      <c r="G691" s="127">
        <f t="shared" si="855"/>
        <v>0.7</v>
      </c>
      <c r="H691" s="127">
        <f t="shared" si="842"/>
        <v>0.19999999999999996</v>
      </c>
      <c r="I691" s="123">
        <v>4.7E-2</v>
      </c>
      <c r="J691" s="126">
        <f t="shared" si="884"/>
        <v>46283</v>
      </c>
      <c r="K691" s="126">
        <f t="shared" si="845"/>
        <v>46283</v>
      </c>
      <c r="L691" s="124">
        <v>46142</v>
      </c>
      <c r="M691" s="126">
        <f t="shared" si="846"/>
        <v>46325</v>
      </c>
      <c r="N691" s="126">
        <f t="shared" si="847"/>
        <v>46325</v>
      </c>
      <c r="O691" s="124">
        <v>46255</v>
      </c>
      <c r="P691" s="126">
        <f t="shared" si="848"/>
        <v>46367</v>
      </c>
      <c r="Q691" s="126">
        <f t="shared" si="849"/>
        <v>46367</v>
      </c>
      <c r="R691" s="126"/>
      <c r="S691" s="124">
        <f t="shared" si="851"/>
        <v>46381</v>
      </c>
      <c r="T691" s="126">
        <f t="shared" si="850"/>
        <v>46381</v>
      </c>
      <c r="U691" s="126"/>
      <c r="V691" s="230"/>
      <c r="X691" s="168" t="str">
        <f t="shared" ca="1" si="860"/>
        <v>Completed</v>
      </c>
      <c r="Y691" s="168" t="str">
        <f t="shared" ca="1" si="861"/>
        <v>Completed</v>
      </c>
      <c r="Z691" s="168" t="str">
        <f t="shared" ca="1" si="862"/>
        <v/>
      </c>
      <c r="AA691" s="169" t="str">
        <f t="shared" ca="1" si="863"/>
        <v/>
      </c>
    </row>
    <row r="692" spans="1:27" s="70" customFormat="1" ht="11.5" x14ac:dyDescent="0.25">
      <c r="A692" s="121" t="s">
        <v>65</v>
      </c>
      <c r="B692" s="121" t="s">
        <v>14</v>
      </c>
      <c r="C692" s="121" t="s">
        <v>1048</v>
      </c>
      <c r="D692" s="121" t="s">
        <v>741</v>
      </c>
      <c r="E692" s="127">
        <f t="shared" si="840"/>
        <v>0.5</v>
      </c>
      <c r="F692" s="127">
        <f t="shared" si="841"/>
        <v>0.5</v>
      </c>
      <c r="G692" s="127">
        <f t="shared" si="855"/>
        <v>0.7</v>
      </c>
      <c r="H692" s="127">
        <f t="shared" si="842"/>
        <v>0.19999999999999996</v>
      </c>
      <c r="I692" s="123">
        <v>4.7E-2</v>
      </c>
      <c r="J692" s="126">
        <f t="shared" si="884"/>
        <v>46283</v>
      </c>
      <c r="K692" s="126">
        <f t="shared" si="845"/>
        <v>46283</v>
      </c>
      <c r="L692" s="124">
        <v>46266</v>
      </c>
      <c r="M692" s="126">
        <f t="shared" si="846"/>
        <v>46325</v>
      </c>
      <c r="N692" s="126">
        <f t="shared" si="847"/>
        <v>46325</v>
      </c>
      <c r="O692" s="133">
        <v>46269</v>
      </c>
      <c r="P692" s="126">
        <f t="shared" si="848"/>
        <v>46367</v>
      </c>
      <c r="Q692" s="126">
        <f t="shared" si="849"/>
        <v>46367</v>
      </c>
      <c r="R692" s="126"/>
      <c r="S692" s="124">
        <f t="shared" si="851"/>
        <v>46381</v>
      </c>
      <c r="T692" s="126">
        <f t="shared" si="850"/>
        <v>46381</v>
      </c>
      <c r="U692" s="126"/>
      <c r="V692" s="230"/>
      <c r="X692" s="168" t="str">
        <f t="shared" ca="1" si="860"/>
        <v>Completed</v>
      </c>
      <c r="Y692" s="168" t="str">
        <f t="shared" ca="1" si="861"/>
        <v>Completed</v>
      </c>
      <c r="Z692" s="168" t="str">
        <f t="shared" ca="1" si="862"/>
        <v/>
      </c>
      <c r="AA692" s="169" t="str">
        <f t="shared" ca="1" si="863"/>
        <v/>
      </c>
    </row>
    <row r="693" spans="1:27" s="70" customFormat="1" ht="11.5" x14ac:dyDescent="0.25">
      <c r="A693" s="121" t="s">
        <v>65</v>
      </c>
      <c r="B693" s="121" t="s">
        <v>14</v>
      </c>
      <c r="C693" s="121" t="s">
        <v>1049</v>
      </c>
      <c r="D693" s="121" t="s">
        <v>742</v>
      </c>
      <c r="E693" s="127">
        <f t="shared" si="840"/>
        <v>0.5</v>
      </c>
      <c r="F693" s="127">
        <f t="shared" si="841"/>
        <v>0.5</v>
      </c>
      <c r="G693" s="127">
        <f t="shared" si="855"/>
        <v>0.7</v>
      </c>
      <c r="H693" s="127">
        <f t="shared" si="842"/>
        <v>0.19999999999999996</v>
      </c>
      <c r="I693" s="123">
        <v>4.7E-2</v>
      </c>
      <c r="J693" s="124">
        <f t="shared" si="884"/>
        <v>46283</v>
      </c>
      <c r="K693" s="124">
        <f t="shared" si="845"/>
        <v>46283</v>
      </c>
      <c r="L693" s="124">
        <v>46266</v>
      </c>
      <c r="M693" s="124">
        <f t="shared" si="846"/>
        <v>46325</v>
      </c>
      <c r="N693" s="124">
        <f t="shared" si="847"/>
        <v>46325</v>
      </c>
      <c r="O693" s="133">
        <v>46269</v>
      </c>
      <c r="P693" s="124">
        <f t="shared" si="848"/>
        <v>46367</v>
      </c>
      <c r="Q693" s="124">
        <f t="shared" si="849"/>
        <v>46367</v>
      </c>
      <c r="R693" s="124"/>
      <c r="S693" s="124">
        <f t="shared" si="851"/>
        <v>46381</v>
      </c>
      <c r="T693" s="124">
        <f t="shared" si="850"/>
        <v>46381</v>
      </c>
      <c r="U693" s="124"/>
      <c r="V693" s="229"/>
      <c r="X693" s="168" t="str">
        <f t="shared" ca="1" si="860"/>
        <v>Completed</v>
      </c>
      <c r="Y693" s="168" t="str">
        <f t="shared" ca="1" si="861"/>
        <v>Completed</v>
      </c>
      <c r="Z693" s="168" t="str">
        <f t="shared" ca="1" si="862"/>
        <v/>
      </c>
      <c r="AA693" s="169" t="str">
        <f t="shared" ca="1" si="863"/>
        <v/>
      </c>
    </row>
    <row r="694" spans="1:27" s="70" customFormat="1" ht="11.5" x14ac:dyDescent="0.25">
      <c r="A694" s="121" t="s">
        <v>65</v>
      </c>
      <c r="B694" s="121" t="s">
        <v>14</v>
      </c>
      <c r="C694" s="121" t="s">
        <v>1050</v>
      </c>
      <c r="D694" s="121" t="s">
        <v>743</v>
      </c>
      <c r="E694" s="127">
        <f t="shared" si="840"/>
        <v>0.5</v>
      </c>
      <c r="F694" s="127">
        <f t="shared" si="841"/>
        <v>0.5</v>
      </c>
      <c r="G694" s="127">
        <f t="shared" si="855"/>
        <v>0.7</v>
      </c>
      <c r="H694" s="127">
        <f t="shared" si="842"/>
        <v>0.19999999999999996</v>
      </c>
      <c r="I694" s="123">
        <v>4.7E-2</v>
      </c>
      <c r="J694" s="124">
        <f t="shared" si="884"/>
        <v>46283</v>
      </c>
      <c r="K694" s="124">
        <f t="shared" si="845"/>
        <v>46283</v>
      </c>
      <c r="L694" s="126">
        <v>46276</v>
      </c>
      <c r="M694" s="124">
        <f t="shared" si="846"/>
        <v>46325</v>
      </c>
      <c r="N694" s="124">
        <f t="shared" si="847"/>
        <v>46325</v>
      </c>
      <c r="O694" s="124">
        <v>46288</v>
      </c>
      <c r="P694" s="124">
        <f t="shared" si="848"/>
        <v>46367</v>
      </c>
      <c r="Q694" s="124">
        <f t="shared" si="849"/>
        <v>46367</v>
      </c>
      <c r="R694" s="124"/>
      <c r="S694" s="124">
        <f t="shared" si="851"/>
        <v>46381</v>
      </c>
      <c r="T694" s="124">
        <f t="shared" si="850"/>
        <v>46381</v>
      </c>
      <c r="U694" s="124"/>
      <c r="V694" s="229"/>
      <c r="X694" s="168" t="str">
        <f t="shared" ca="1" si="860"/>
        <v>Completed</v>
      </c>
      <c r="Y694" s="168" t="str">
        <f t="shared" ca="1" si="861"/>
        <v>Completed</v>
      </c>
      <c r="Z694" s="168" t="str">
        <f t="shared" ca="1" si="862"/>
        <v/>
      </c>
      <c r="AA694" s="169" t="str">
        <f t="shared" ca="1" si="863"/>
        <v/>
      </c>
    </row>
    <row r="695" spans="1:27" s="70" customFormat="1" ht="11.5" x14ac:dyDescent="0.25">
      <c r="A695" s="121" t="s">
        <v>65</v>
      </c>
      <c r="B695" s="121" t="s">
        <v>14</v>
      </c>
      <c r="C695" s="121" t="s">
        <v>1051</v>
      </c>
      <c r="D695" s="121" t="s">
        <v>744</v>
      </c>
      <c r="E695" s="127">
        <f t="shared" si="840"/>
        <v>0.5</v>
      </c>
      <c r="F695" s="127">
        <f t="shared" si="841"/>
        <v>0.5</v>
      </c>
      <c r="G695" s="127">
        <f t="shared" si="855"/>
        <v>0.7</v>
      </c>
      <c r="H695" s="127">
        <f t="shared" si="842"/>
        <v>0.19999999999999996</v>
      </c>
      <c r="I695" s="123">
        <v>4.7E-2</v>
      </c>
      <c r="J695" s="124">
        <f t="shared" si="884"/>
        <v>46283</v>
      </c>
      <c r="K695" s="124">
        <f t="shared" si="845"/>
        <v>46283</v>
      </c>
      <c r="L695" s="126">
        <v>46276</v>
      </c>
      <c r="M695" s="124">
        <f t="shared" si="846"/>
        <v>46325</v>
      </c>
      <c r="N695" s="124">
        <f t="shared" si="847"/>
        <v>46325</v>
      </c>
      <c r="O695" s="124">
        <v>46288</v>
      </c>
      <c r="P695" s="124">
        <f t="shared" si="848"/>
        <v>46367</v>
      </c>
      <c r="Q695" s="124">
        <f t="shared" si="849"/>
        <v>46367</v>
      </c>
      <c r="R695" s="124"/>
      <c r="S695" s="124">
        <f t="shared" si="851"/>
        <v>46381</v>
      </c>
      <c r="T695" s="124">
        <f t="shared" si="850"/>
        <v>46381</v>
      </c>
      <c r="U695" s="124"/>
      <c r="V695" s="229"/>
      <c r="X695" s="168" t="str">
        <f t="shared" ca="1" si="860"/>
        <v>Completed</v>
      </c>
      <c r="Y695" s="168" t="str">
        <f t="shared" ca="1" si="861"/>
        <v>Completed</v>
      </c>
      <c r="Z695" s="168" t="str">
        <f t="shared" ca="1" si="862"/>
        <v/>
      </c>
      <c r="AA695" s="169" t="str">
        <f t="shared" ca="1" si="863"/>
        <v/>
      </c>
    </row>
    <row r="696" spans="1:27" s="70" customFormat="1" ht="11.5" x14ac:dyDescent="0.25">
      <c r="A696" s="121" t="s">
        <v>65</v>
      </c>
      <c r="B696" s="121" t="s">
        <v>14</v>
      </c>
      <c r="C696" s="121" t="s">
        <v>1052</v>
      </c>
      <c r="D696" s="121" t="s">
        <v>745</v>
      </c>
      <c r="E696" s="127">
        <f t="shared" ref="E696:E716" si="885">(COUNTIFS(J696,"&lt;="&amp;$C$1)*50%)+(COUNTIFS(M696,"&lt;="&amp;$C$1)*20%)+(COUNTIFS(P696,"&lt;="&amp;$C$1)*10%)+(COUNTIFS(S696,"&lt;="&amp;$C$1)*20%)</f>
        <v>0.5</v>
      </c>
      <c r="F696" s="127">
        <f t="shared" ref="F696:F716" si="886">(COUNTIFS(K696,"&lt;="&amp;$C$1)*50%)+(COUNTIFS(N696,"&lt;="&amp;$C$1)*20%)+(COUNTIFS(Q696,"&lt;="&amp;$C$1)*10%)+(COUNTIFS(T696,"&lt;="&amp;$C$1)*20%)</f>
        <v>0.5</v>
      </c>
      <c r="G696" s="127">
        <f t="shared" si="855"/>
        <v>0.7</v>
      </c>
      <c r="H696" s="127">
        <f t="shared" ref="H696:H716" si="887">G696-E696</f>
        <v>0.19999999999999996</v>
      </c>
      <c r="I696" s="123">
        <v>4.7E-2</v>
      </c>
      <c r="J696" s="124">
        <f t="shared" si="884"/>
        <v>46283</v>
      </c>
      <c r="K696" s="124">
        <f t="shared" si="845"/>
        <v>46283</v>
      </c>
      <c r="L696" s="126">
        <v>46276</v>
      </c>
      <c r="M696" s="124">
        <f t="shared" si="846"/>
        <v>46325</v>
      </c>
      <c r="N696" s="124">
        <f t="shared" si="847"/>
        <v>46325</v>
      </c>
      <c r="O696" s="124">
        <v>46288</v>
      </c>
      <c r="P696" s="124">
        <f t="shared" si="848"/>
        <v>46367</v>
      </c>
      <c r="Q696" s="124">
        <f t="shared" si="849"/>
        <v>46367</v>
      </c>
      <c r="R696" s="124"/>
      <c r="S696" s="124">
        <f t="shared" si="851"/>
        <v>46381</v>
      </c>
      <c r="T696" s="124">
        <f t="shared" si="850"/>
        <v>46381</v>
      </c>
      <c r="U696" s="124"/>
      <c r="V696" s="229"/>
      <c r="X696" s="168" t="str">
        <f t="shared" ca="1" si="860"/>
        <v>Completed</v>
      </c>
      <c r="Y696" s="168" t="str">
        <f t="shared" ca="1" si="861"/>
        <v>Completed</v>
      </c>
      <c r="Z696" s="168" t="str">
        <f t="shared" ca="1" si="862"/>
        <v/>
      </c>
      <c r="AA696" s="169" t="str">
        <f t="shared" ca="1" si="863"/>
        <v/>
      </c>
    </row>
    <row r="697" spans="1:27" s="70" customFormat="1" ht="11.5" x14ac:dyDescent="0.25">
      <c r="A697" s="121" t="s">
        <v>65</v>
      </c>
      <c r="B697" s="121" t="s">
        <v>14</v>
      </c>
      <c r="C697" s="121" t="s">
        <v>1053</v>
      </c>
      <c r="D697" s="121" t="s">
        <v>746</v>
      </c>
      <c r="E697" s="127">
        <f>(COUNTIFS(J697,"&lt;="&amp;$C$1)*50%)+(COUNTIFS(M697,"&lt;="&amp;$C$1)*20%)+(COUNTIFS(P697,"&lt;="&amp;$C$1)*10%)+(COUNTIFS(S697,"&lt;="&amp;$C$1)*20%)</f>
        <v>0.5</v>
      </c>
      <c r="F697" s="127">
        <f>(COUNTIFS(K697,"&lt;="&amp;$C$1)*50%)+(COUNTIFS(N697,"&lt;="&amp;$C$1)*20%)+(COUNTIFS(Q697,"&lt;="&amp;$C$1)*10%)+(COUNTIFS(T697,"&lt;="&amp;$C$1)*20%)</f>
        <v>0.5</v>
      </c>
      <c r="G697" s="127">
        <f t="shared" ref="G697:G716" si="888">(COUNTIFS(L697,"&lt;="&amp;$C$1)*50%)+(COUNTIFS(O697,"&lt;="&amp;$C$1)*20%)+(COUNTIFS(R697,"&lt;="&amp;$C$1)*10%)+(COUNTIFS(U697,"&lt;="&amp;$C$1)*20%)</f>
        <v>0.7</v>
      </c>
      <c r="H697" s="127">
        <f>G697-E697</f>
        <v>0.19999999999999996</v>
      </c>
      <c r="I697" s="123">
        <v>4.7E-2</v>
      </c>
      <c r="J697" s="124">
        <f t="shared" si="884"/>
        <v>46283</v>
      </c>
      <c r="K697" s="124">
        <f t="shared" si="845"/>
        <v>46283</v>
      </c>
      <c r="L697" s="126">
        <v>46276</v>
      </c>
      <c r="M697" s="124">
        <f t="shared" si="846"/>
        <v>46325</v>
      </c>
      <c r="N697" s="124">
        <f t="shared" si="847"/>
        <v>46325</v>
      </c>
      <c r="O697" s="124">
        <v>46288</v>
      </c>
      <c r="P697" s="124">
        <f t="shared" si="848"/>
        <v>46367</v>
      </c>
      <c r="Q697" s="124">
        <f t="shared" si="849"/>
        <v>46367</v>
      </c>
      <c r="R697" s="124"/>
      <c r="S697" s="124">
        <f t="shared" si="851"/>
        <v>46381</v>
      </c>
      <c r="T697" s="124">
        <f t="shared" si="850"/>
        <v>46381</v>
      </c>
      <c r="U697" s="124"/>
      <c r="V697" s="229"/>
      <c r="X697" s="168" t="str">
        <f t="shared" ca="1" si="860"/>
        <v>Completed</v>
      </c>
      <c r="Y697" s="168" t="str">
        <f t="shared" ca="1" si="861"/>
        <v>Completed</v>
      </c>
      <c r="Z697" s="168" t="str">
        <f t="shared" ca="1" si="862"/>
        <v/>
      </c>
      <c r="AA697" s="169" t="str">
        <f t="shared" ca="1" si="863"/>
        <v/>
      </c>
    </row>
    <row r="698" spans="1:27" s="70" customFormat="1" ht="11.5" x14ac:dyDescent="0.25">
      <c r="A698" s="121" t="s">
        <v>65</v>
      </c>
      <c r="B698" s="121" t="s">
        <v>14</v>
      </c>
      <c r="C698" s="121" t="s">
        <v>1054</v>
      </c>
      <c r="D698" s="121" t="s">
        <v>747</v>
      </c>
      <c r="E698" s="127">
        <f t="shared" si="885"/>
        <v>0.5</v>
      </c>
      <c r="F698" s="127">
        <f t="shared" si="886"/>
        <v>0.5</v>
      </c>
      <c r="G698" s="127">
        <f t="shared" si="888"/>
        <v>0.7</v>
      </c>
      <c r="H698" s="127">
        <f t="shared" si="887"/>
        <v>0.19999999999999996</v>
      </c>
      <c r="I698" s="123">
        <v>4.7E-2</v>
      </c>
      <c r="J698" s="124">
        <f t="shared" si="884"/>
        <v>46283</v>
      </c>
      <c r="K698" s="124">
        <f t="shared" si="845"/>
        <v>46283</v>
      </c>
      <c r="L698" s="126">
        <v>46276</v>
      </c>
      <c r="M698" s="124">
        <f t="shared" si="846"/>
        <v>46325</v>
      </c>
      <c r="N698" s="124">
        <f t="shared" si="847"/>
        <v>46325</v>
      </c>
      <c r="O698" s="124">
        <v>46288</v>
      </c>
      <c r="P698" s="124">
        <f t="shared" si="848"/>
        <v>46367</v>
      </c>
      <c r="Q698" s="124">
        <f t="shared" si="849"/>
        <v>46367</v>
      </c>
      <c r="R698" s="124"/>
      <c r="S698" s="124">
        <f t="shared" si="851"/>
        <v>46381</v>
      </c>
      <c r="T698" s="124">
        <f t="shared" si="850"/>
        <v>46381</v>
      </c>
      <c r="U698" s="124"/>
      <c r="V698" s="229"/>
      <c r="X698" s="168" t="str">
        <f t="shared" ca="1" si="860"/>
        <v>Completed</v>
      </c>
      <c r="Y698" s="168" t="str">
        <f t="shared" ca="1" si="861"/>
        <v>Completed</v>
      </c>
      <c r="Z698" s="168" t="str">
        <f t="shared" ca="1" si="862"/>
        <v/>
      </c>
      <c r="AA698" s="169" t="str">
        <f t="shared" ca="1" si="863"/>
        <v/>
      </c>
    </row>
    <row r="699" spans="1:27" s="70" customFormat="1" ht="11.5" x14ac:dyDescent="0.25">
      <c r="A699" s="121" t="s">
        <v>65</v>
      </c>
      <c r="B699" s="121" t="s">
        <v>14</v>
      </c>
      <c r="C699" s="121" t="s">
        <v>1055</v>
      </c>
      <c r="D699" s="121" t="s">
        <v>748</v>
      </c>
      <c r="E699" s="127">
        <f t="shared" si="885"/>
        <v>0.5</v>
      </c>
      <c r="F699" s="127">
        <f t="shared" si="886"/>
        <v>0.5</v>
      </c>
      <c r="G699" s="127">
        <f t="shared" si="888"/>
        <v>0.7</v>
      </c>
      <c r="H699" s="127">
        <f t="shared" si="887"/>
        <v>0.19999999999999996</v>
      </c>
      <c r="I699" s="123">
        <v>4.7E-2</v>
      </c>
      <c r="J699" s="124">
        <f t="shared" si="884"/>
        <v>46283</v>
      </c>
      <c r="K699" s="124">
        <f t="shared" si="845"/>
        <v>46283</v>
      </c>
      <c r="L699" s="126">
        <v>46276</v>
      </c>
      <c r="M699" s="124">
        <f t="shared" si="846"/>
        <v>46325</v>
      </c>
      <c r="N699" s="124">
        <f t="shared" si="847"/>
        <v>46325</v>
      </c>
      <c r="O699" s="124">
        <v>46288</v>
      </c>
      <c r="P699" s="124">
        <f t="shared" si="848"/>
        <v>46367</v>
      </c>
      <c r="Q699" s="124">
        <f t="shared" si="849"/>
        <v>46367</v>
      </c>
      <c r="R699" s="124"/>
      <c r="S699" s="124">
        <f t="shared" si="851"/>
        <v>46381</v>
      </c>
      <c r="T699" s="124">
        <f t="shared" si="850"/>
        <v>46381</v>
      </c>
      <c r="U699" s="124"/>
      <c r="V699" s="229"/>
      <c r="X699" s="168" t="str">
        <f t="shared" ca="1" si="860"/>
        <v>Completed</v>
      </c>
      <c r="Y699" s="168" t="str">
        <f t="shared" ca="1" si="861"/>
        <v>Completed</v>
      </c>
      <c r="Z699" s="168" t="str">
        <f t="shared" ca="1" si="862"/>
        <v/>
      </c>
      <c r="AA699" s="169" t="str">
        <f t="shared" ca="1" si="863"/>
        <v/>
      </c>
    </row>
    <row r="700" spans="1:27" s="70" customFormat="1" ht="11.5" x14ac:dyDescent="0.25">
      <c r="A700" s="121" t="s">
        <v>65</v>
      </c>
      <c r="B700" s="121" t="s">
        <v>14</v>
      </c>
      <c r="C700" s="121" t="s">
        <v>1056</v>
      </c>
      <c r="D700" s="121" t="s">
        <v>749</v>
      </c>
      <c r="E700" s="127">
        <f t="shared" si="885"/>
        <v>0.5</v>
      </c>
      <c r="F700" s="127">
        <f t="shared" si="886"/>
        <v>0.5</v>
      </c>
      <c r="G700" s="127">
        <f t="shared" si="888"/>
        <v>0.7</v>
      </c>
      <c r="H700" s="127">
        <f t="shared" si="887"/>
        <v>0.19999999999999996</v>
      </c>
      <c r="I700" s="123">
        <v>4.7E-2</v>
      </c>
      <c r="J700" s="124">
        <f t="shared" si="884"/>
        <v>46283</v>
      </c>
      <c r="K700" s="124">
        <f t="shared" si="845"/>
        <v>46283</v>
      </c>
      <c r="L700" s="126">
        <v>46276</v>
      </c>
      <c r="M700" s="124">
        <f t="shared" si="846"/>
        <v>46325</v>
      </c>
      <c r="N700" s="124">
        <f t="shared" si="847"/>
        <v>46325</v>
      </c>
      <c r="O700" s="124">
        <v>46288</v>
      </c>
      <c r="P700" s="124">
        <f t="shared" si="848"/>
        <v>46367</v>
      </c>
      <c r="Q700" s="124">
        <f t="shared" si="849"/>
        <v>46367</v>
      </c>
      <c r="R700" s="124"/>
      <c r="S700" s="124">
        <f t="shared" si="851"/>
        <v>46381</v>
      </c>
      <c r="T700" s="124">
        <f t="shared" si="850"/>
        <v>46381</v>
      </c>
      <c r="U700" s="124"/>
      <c r="V700" s="229"/>
      <c r="X700" s="168" t="str">
        <f t="shared" ca="1" si="860"/>
        <v>Completed</v>
      </c>
      <c r="Y700" s="168" t="str">
        <f t="shared" ca="1" si="861"/>
        <v>Completed</v>
      </c>
      <c r="Z700" s="168" t="str">
        <f t="shared" ca="1" si="862"/>
        <v/>
      </c>
      <c r="AA700" s="169" t="str">
        <f t="shared" ca="1" si="863"/>
        <v/>
      </c>
    </row>
    <row r="701" spans="1:27" s="70" customFormat="1" ht="11.5" x14ac:dyDescent="0.25">
      <c r="A701" s="121" t="s">
        <v>65</v>
      </c>
      <c r="B701" s="121" t="s">
        <v>14</v>
      </c>
      <c r="C701" s="121" t="s">
        <v>750</v>
      </c>
      <c r="D701" s="121" t="s">
        <v>751</v>
      </c>
      <c r="E701" s="127">
        <f t="shared" si="885"/>
        <v>0.5</v>
      </c>
      <c r="F701" s="127">
        <f t="shared" si="886"/>
        <v>0.5</v>
      </c>
      <c r="G701" s="127">
        <f t="shared" si="888"/>
        <v>0</v>
      </c>
      <c r="H701" s="127">
        <f t="shared" si="887"/>
        <v>-0.5</v>
      </c>
      <c r="I701" s="123">
        <v>4.7E-2</v>
      </c>
      <c r="J701" s="124">
        <f t="shared" si="884"/>
        <v>46290</v>
      </c>
      <c r="K701" s="124">
        <f t="shared" si="845"/>
        <v>46290</v>
      </c>
      <c r="L701" s="124"/>
      <c r="M701" s="124">
        <f t="shared" si="846"/>
        <v>46332</v>
      </c>
      <c r="N701" s="124">
        <f t="shared" si="847"/>
        <v>46332</v>
      </c>
      <c r="O701" s="124"/>
      <c r="P701" s="124">
        <f t="shared" si="848"/>
        <v>46374</v>
      </c>
      <c r="Q701" s="124">
        <f t="shared" si="849"/>
        <v>46374</v>
      </c>
      <c r="R701" s="124"/>
      <c r="S701" s="124">
        <f t="shared" si="851"/>
        <v>46388</v>
      </c>
      <c r="T701" s="124">
        <f t="shared" si="850"/>
        <v>46388</v>
      </c>
      <c r="U701" s="124"/>
      <c r="V701" s="229"/>
      <c r="X701" s="168" t="str">
        <f t="shared" ca="1" si="860"/>
        <v>Overdue</v>
      </c>
      <c r="Y701" s="168" t="str">
        <f t="shared" ca="1" si="861"/>
        <v/>
      </c>
      <c r="Z701" s="168" t="str">
        <f t="shared" ca="1" si="862"/>
        <v/>
      </c>
      <c r="AA701" s="169" t="str">
        <f t="shared" ca="1" si="863"/>
        <v/>
      </c>
    </row>
    <row r="702" spans="1:27" s="70" customFormat="1" ht="11.5" x14ac:dyDescent="0.25">
      <c r="A702" s="121" t="s">
        <v>65</v>
      </c>
      <c r="B702" s="121" t="s">
        <v>14</v>
      </c>
      <c r="C702" s="121" t="s">
        <v>752</v>
      </c>
      <c r="D702" s="121" t="s">
        <v>753</v>
      </c>
      <c r="E702" s="127">
        <f t="shared" si="885"/>
        <v>0.5</v>
      </c>
      <c r="F702" s="127">
        <f t="shared" si="886"/>
        <v>0.5</v>
      </c>
      <c r="G702" s="127">
        <f t="shared" si="888"/>
        <v>0</v>
      </c>
      <c r="H702" s="127">
        <f t="shared" si="887"/>
        <v>-0.5</v>
      </c>
      <c r="I702" s="123">
        <v>4.7E-2</v>
      </c>
      <c r="J702" s="124">
        <f t="shared" si="884"/>
        <v>46290</v>
      </c>
      <c r="K702" s="124">
        <f t="shared" si="845"/>
        <v>46290</v>
      </c>
      <c r="L702" s="124"/>
      <c r="M702" s="124">
        <f t="shared" si="846"/>
        <v>46332</v>
      </c>
      <c r="N702" s="124">
        <f t="shared" si="847"/>
        <v>46332</v>
      </c>
      <c r="O702" s="124"/>
      <c r="P702" s="124">
        <f t="shared" si="848"/>
        <v>46374</v>
      </c>
      <c r="Q702" s="124">
        <f t="shared" si="849"/>
        <v>46374</v>
      </c>
      <c r="R702" s="124"/>
      <c r="S702" s="124">
        <f t="shared" si="851"/>
        <v>46388</v>
      </c>
      <c r="T702" s="124">
        <f t="shared" si="850"/>
        <v>46388</v>
      </c>
      <c r="U702" s="124"/>
      <c r="V702" s="229"/>
      <c r="X702" s="168" t="str">
        <f t="shared" ca="1" si="860"/>
        <v>Overdue</v>
      </c>
      <c r="Y702" s="168" t="str">
        <f t="shared" ca="1" si="861"/>
        <v/>
      </c>
      <c r="Z702" s="168" t="str">
        <f t="shared" ca="1" si="862"/>
        <v/>
      </c>
      <c r="AA702" s="169" t="str">
        <f t="shared" ca="1" si="863"/>
        <v/>
      </c>
    </row>
    <row r="703" spans="1:27" s="70" customFormat="1" ht="11.5" x14ac:dyDescent="0.25">
      <c r="A703" s="120" t="s">
        <v>65</v>
      </c>
      <c r="B703" s="120" t="s">
        <v>14</v>
      </c>
      <c r="C703" s="121" t="s">
        <v>754</v>
      </c>
      <c r="D703" s="121" t="s">
        <v>755</v>
      </c>
      <c r="E703" s="122">
        <f t="shared" si="885"/>
        <v>0.5</v>
      </c>
      <c r="F703" s="122">
        <f t="shared" si="886"/>
        <v>0.5</v>
      </c>
      <c r="G703" s="122">
        <f t="shared" si="888"/>
        <v>0</v>
      </c>
      <c r="H703" s="122">
        <f t="shared" si="887"/>
        <v>-0.5</v>
      </c>
      <c r="I703" s="123">
        <v>4.7E-2</v>
      </c>
      <c r="J703" s="124">
        <f t="shared" si="884"/>
        <v>46290</v>
      </c>
      <c r="K703" s="124">
        <f t="shared" si="845"/>
        <v>46290</v>
      </c>
      <c r="L703" s="124"/>
      <c r="M703" s="124">
        <f t="shared" si="846"/>
        <v>46332</v>
      </c>
      <c r="N703" s="124">
        <f t="shared" si="847"/>
        <v>46332</v>
      </c>
      <c r="O703" s="124"/>
      <c r="P703" s="124">
        <f t="shared" si="848"/>
        <v>46374</v>
      </c>
      <c r="Q703" s="124">
        <f t="shared" si="849"/>
        <v>46374</v>
      </c>
      <c r="R703" s="124"/>
      <c r="S703" s="124">
        <f t="shared" si="851"/>
        <v>46388</v>
      </c>
      <c r="T703" s="124">
        <f t="shared" si="850"/>
        <v>46388</v>
      </c>
      <c r="U703" s="124"/>
      <c r="V703" s="229"/>
      <c r="X703" s="168" t="str">
        <f t="shared" ca="1" si="860"/>
        <v>Overdue</v>
      </c>
      <c r="Y703" s="168" t="str">
        <f t="shared" ca="1" si="861"/>
        <v/>
      </c>
      <c r="Z703" s="168" t="str">
        <f t="shared" ca="1" si="862"/>
        <v/>
      </c>
      <c r="AA703" s="169" t="str">
        <f t="shared" ca="1" si="863"/>
        <v/>
      </c>
    </row>
    <row r="704" spans="1:27" s="70" customFormat="1" ht="11.5" x14ac:dyDescent="0.25">
      <c r="A704" s="120" t="s">
        <v>65</v>
      </c>
      <c r="B704" s="120" t="s">
        <v>14</v>
      </c>
      <c r="C704" s="121" t="s">
        <v>1057</v>
      </c>
      <c r="D704" s="121" t="s">
        <v>756</v>
      </c>
      <c r="E704" s="122">
        <f t="shared" si="885"/>
        <v>0.5</v>
      </c>
      <c r="F704" s="122">
        <f t="shared" si="886"/>
        <v>0.5</v>
      </c>
      <c r="G704" s="122">
        <f t="shared" si="888"/>
        <v>0.7</v>
      </c>
      <c r="H704" s="122">
        <f t="shared" si="887"/>
        <v>0.19999999999999996</v>
      </c>
      <c r="I704" s="123">
        <v>4.7E-2</v>
      </c>
      <c r="J704" s="124">
        <f t="shared" si="884"/>
        <v>46290</v>
      </c>
      <c r="K704" s="124">
        <f t="shared" si="845"/>
        <v>46290</v>
      </c>
      <c r="L704" s="133">
        <v>46269</v>
      </c>
      <c r="M704" s="124">
        <f t="shared" si="846"/>
        <v>46332</v>
      </c>
      <c r="N704" s="124">
        <f t="shared" si="847"/>
        <v>46332</v>
      </c>
      <c r="O704" s="124">
        <v>46281</v>
      </c>
      <c r="P704" s="124">
        <f t="shared" si="848"/>
        <v>46374</v>
      </c>
      <c r="Q704" s="124">
        <f t="shared" si="849"/>
        <v>46374</v>
      </c>
      <c r="R704" s="124"/>
      <c r="S704" s="124">
        <f t="shared" si="851"/>
        <v>46388</v>
      </c>
      <c r="T704" s="124">
        <f t="shared" si="850"/>
        <v>46388</v>
      </c>
      <c r="U704" s="124"/>
      <c r="V704" s="229"/>
      <c r="X704" s="168" t="str">
        <f t="shared" ca="1" si="860"/>
        <v>Completed</v>
      </c>
      <c r="Y704" s="168" t="str">
        <f t="shared" ca="1" si="861"/>
        <v>Completed</v>
      </c>
      <c r="Z704" s="168" t="str">
        <f t="shared" ca="1" si="862"/>
        <v/>
      </c>
      <c r="AA704" s="169" t="str">
        <f t="shared" ca="1" si="863"/>
        <v/>
      </c>
    </row>
    <row r="705" spans="1:27" s="70" customFormat="1" ht="11.5" x14ac:dyDescent="0.25">
      <c r="A705" s="120" t="s">
        <v>65</v>
      </c>
      <c r="B705" s="120" t="s">
        <v>14</v>
      </c>
      <c r="C705" s="121" t="s">
        <v>1058</v>
      </c>
      <c r="D705" s="121" t="s">
        <v>757</v>
      </c>
      <c r="E705" s="122">
        <f t="shared" si="885"/>
        <v>0.5</v>
      </c>
      <c r="F705" s="122">
        <f t="shared" si="886"/>
        <v>0.5</v>
      </c>
      <c r="G705" s="122">
        <f t="shared" si="888"/>
        <v>0.7</v>
      </c>
      <c r="H705" s="122">
        <f t="shared" si="887"/>
        <v>0.19999999999999996</v>
      </c>
      <c r="I705" s="123">
        <v>4.7E-2</v>
      </c>
      <c r="J705" s="124">
        <f t="shared" si="884"/>
        <v>46290</v>
      </c>
      <c r="K705" s="124">
        <f t="shared" si="845"/>
        <v>46290</v>
      </c>
      <c r="L705" s="133">
        <v>46269</v>
      </c>
      <c r="M705" s="124">
        <f t="shared" si="846"/>
        <v>46332</v>
      </c>
      <c r="N705" s="124">
        <f t="shared" si="847"/>
        <v>46332</v>
      </c>
      <c r="O705" s="124">
        <v>46281</v>
      </c>
      <c r="P705" s="124">
        <f t="shared" si="848"/>
        <v>46374</v>
      </c>
      <c r="Q705" s="124">
        <f t="shared" si="849"/>
        <v>46374</v>
      </c>
      <c r="R705" s="124"/>
      <c r="S705" s="124">
        <f t="shared" si="851"/>
        <v>46388</v>
      </c>
      <c r="T705" s="124">
        <f t="shared" si="850"/>
        <v>46388</v>
      </c>
      <c r="U705" s="124"/>
      <c r="V705" s="229"/>
      <c r="X705" s="168" t="str">
        <f t="shared" ca="1" si="860"/>
        <v>Completed</v>
      </c>
      <c r="Y705" s="168" t="str">
        <f t="shared" ca="1" si="861"/>
        <v>Completed</v>
      </c>
      <c r="Z705" s="168" t="str">
        <f t="shared" ca="1" si="862"/>
        <v/>
      </c>
      <c r="AA705" s="169" t="str">
        <f t="shared" ca="1" si="863"/>
        <v/>
      </c>
    </row>
    <row r="706" spans="1:27" s="70" customFormat="1" ht="11.5" x14ac:dyDescent="0.25">
      <c r="A706" s="120" t="s">
        <v>65</v>
      </c>
      <c r="B706" s="120" t="s">
        <v>14</v>
      </c>
      <c r="C706" s="121" t="s">
        <v>1059</v>
      </c>
      <c r="D706" s="121" t="s">
        <v>758</v>
      </c>
      <c r="E706" s="122">
        <f t="shared" si="885"/>
        <v>0.5</v>
      </c>
      <c r="F706" s="122">
        <f t="shared" si="886"/>
        <v>0.5</v>
      </c>
      <c r="G706" s="122">
        <f t="shared" si="888"/>
        <v>0.7</v>
      </c>
      <c r="H706" s="122">
        <f t="shared" si="887"/>
        <v>0.19999999999999996</v>
      </c>
      <c r="I706" s="123">
        <v>4.7E-2</v>
      </c>
      <c r="J706" s="124">
        <f t="shared" si="884"/>
        <v>46290</v>
      </c>
      <c r="K706" s="124">
        <f t="shared" si="845"/>
        <v>46290</v>
      </c>
      <c r="L706" s="133">
        <v>46269</v>
      </c>
      <c r="M706" s="124">
        <f t="shared" si="846"/>
        <v>46332</v>
      </c>
      <c r="N706" s="124">
        <f t="shared" si="847"/>
        <v>46332</v>
      </c>
      <c r="O706" s="124">
        <v>46281</v>
      </c>
      <c r="P706" s="124">
        <f t="shared" si="848"/>
        <v>46374</v>
      </c>
      <c r="Q706" s="124">
        <f t="shared" si="849"/>
        <v>46374</v>
      </c>
      <c r="R706" s="124"/>
      <c r="S706" s="124">
        <f t="shared" si="851"/>
        <v>46388</v>
      </c>
      <c r="T706" s="124">
        <f t="shared" si="850"/>
        <v>46388</v>
      </c>
      <c r="U706" s="124"/>
      <c r="V706" s="229"/>
      <c r="X706" s="168" t="str">
        <f t="shared" ca="1" si="860"/>
        <v>Completed</v>
      </c>
      <c r="Y706" s="168" t="str">
        <f t="shared" ca="1" si="861"/>
        <v>Completed</v>
      </c>
      <c r="Z706" s="168" t="str">
        <f t="shared" ca="1" si="862"/>
        <v/>
      </c>
      <c r="AA706" s="169" t="str">
        <f t="shared" ca="1" si="863"/>
        <v/>
      </c>
    </row>
    <row r="707" spans="1:27" s="70" customFormat="1" ht="11.5" x14ac:dyDescent="0.25">
      <c r="A707" s="120" t="s">
        <v>65</v>
      </c>
      <c r="B707" s="120" t="s">
        <v>14</v>
      </c>
      <c r="C707" s="121" t="s">
        <v>1060</v>
      </c>
      <c r="D707" s="121" t="s">
        <v>759</v>
      </c>
      <c r="E707" s="122">
        <f t="shared" si="885"/>
        <v>0.5</v>
      </c>
      <c r="F707" s="122">
        <f t="shared" si="886"/>
        <v>0.5</v>
      </c>
      <c r="G707" s="122">
        <f t="shared" si="888"/>
        <v>0.7</v>
      </c>
      <c r="H707" s="122">
        <f t="shared" si="887"/>
        <v>0.19999999999999996</v>
      </c>
      <c r="I707" s="123">
        <v>4.7E-2</v>
      </c>
      <c r="J707" s="124">
        <f t="shared" si="884"/>
        <v>46290</v>
      </c>
      <c r="K707" s="124">
        <f t="shared" si="845"/>
        <v>46290</v>
      </c>
      <c r="L707" s="133">
        <v>46269</v>
      </c>
      <c r="M707" s="124">
        <f t="shared" si="846"/>
        <v>46332</v>
      </c>
      <c r="N707" s="124">
        <f t="shared" si="847"/>
        <v>46332</v>
      </c>
      <c r="O707" s="124">
        <v>46281</v>
      </c>
      <c r="P707" s="124">
        <f t="shared" si="848"/>
        <v>46374</v>
      </c>
      <c r="Q707" s="124">
        <f t="shared" si="849"/>
        <v>46374</v>
      </c>
      <c r="R707" s="124"/>
      <c r="S707" s="124">
        <f t="shared" si="851"/>
        <v>46388</v>
      </c>
      <c r="T707" s="124">
        <f t="shared" si="850"/>
        <v>46388</v>
      </c>
      <c r="U707" s="124"/>
      <c r="V707" s="229"/>
      <c r="X707" s="168" t="str">
        <f t="shared" ca="1" si="860"/>
        <v>Completed</v>
      </c>
      <c r="Y707" s="168" t="str">
        <f t="shared" ca="1" si="861"/>
        <v>Completed</v>
      </c>
      <c r="Z707" s="168" t="str">
        <f t="shared" ca="1" si="862"/>
        <v/>
      </c>
      <c r="AA707" s="169" t="str">
        <f t="shared" ca="1" si="863"/>
        <v/>
      </c>
    </row>
    <row r="708" spans="1:27" s="70" customFormat="1" ht="11.5" x14ac:dyDescent="0.25">
      <c r="A708" s="120" t="s">
        <v>65</v>
      </c>
      <c r="B708" s="120" t="s">
        <v>14</v>
      </c>
      <c r="C708" s="121" t="s">
        <v>1061</v>
      </c>
      <c r="D708" s="121" t="s">
        <v>760</v>
      </c>
      <c r="E708" s="122">
        <f t="shared" si="885"/>
        <v>0.5</v>
      </c>
      <c r="F708" s="122">
        <f t="shared" si="886"/>
        <v>0.5</v>
      </c>
      <c r="G708" s="122">
        <f t="shared" si="888"/>
        <v>0.7</v>
      </c>
      <c r="H708" s="122">
        <f t="shared" si="887"/>
        <v>0.19999999999999996</v>
      </c>
      <c r="I708" s="123">
        <v>4.7E-2</v>
      </c>
      <c r="J708" s="124">
        <f t="shared" si="884"/>
        <v>46290</v>
      </c>
      <c r="K708" s="124">
        <f t="shared" si="845"/>
        <v>46290</v>
      </c>
      <c r="L708" s="133">
        <v>46269</v>
      </c>
      <c r="M708" s="124">
        <f t="shared" si="846"/>
        <v>46332</v>
      </c>
      <c r="N708" s="124">
        <f t="shared" si="847"/>
        <v>46332</v>
      </c>
      <c r="O708" s="124">
        <v>46281</v>
      </c>
      <c r="P708" s="124">
        <f t="shared" si="848"/>
        <v>46374</v>
      </c>
      <c r="Q708" s="124">
        <f t="shared" si="849"/>
        <v>46374</v>
      </c>
      <c r="R708" s="124"/>
      <c r="S708" s="124">
        <f t="shared" si="851"/>
        <v>46388</v>
      </c>
      <c r="T708" s="124">
        <f t="shared" si="850"/>
        <v>46388</v>
      </c>
      <c r="U708" s="124"/>
      <c r="V708" s="229"/>
      <c r="X708" s="168" t="str">
        <f t="shared" ca="1" si="860"/>
        <v>Completed</v>
      </c>
      <c r="Y708" s="168" t="str">
        <f t="shared" ca="1" si="861"/>
        <v>Completed</v>
      </c>
      <c r="Z708" s="168" t="str">
        <f t="shared" ca="1" si="862"/>
        <v/>
      </c>
      <c r="AA708" s="169" t="str">
        <f t="shared" ca="1" si="863"/>
        <v/>
      </c>
    </row>
    <row r="709" spans="1:27" s="70" customFormat="1" ht="11.5" x14ac:dyDescent="0.25">
      <c r="A709" s="120" t="s">
        <v>65</v>
      </c>
      <c r="B709" s="120" t="s">
        <v>14</v>
      </c>
      <c r="C709" s="121" t="s">
        <v>1062</v>
      </c>
      <c r="D709" s="121" t="s">
        <v>761</v>
      </c>
      <c r="E709" s="122">
        <f t="shared" si="885"/>
        <v>0.5</v>
      </c>
      <c r="F709" s="122">
        <f t="shared" si="886"/>
        <v>0.5</v>
      </c>
      <c r="G709" s="122">
        <f t="shared" si="888"/>
        <v>0.7</v>
      </c>
      <c r="H709" s="122">
        <f t="shared" si="887"/>
        <v>0.19999999999999996</v>
      </c>
      <c r="I709" s="123">
        <v>4.7E-2</v>
      </c>
      <c r="J709" s="124">
        <f t="shared" si="884"/>
        <v>46290</v>
      </c>
      <c r="K709" s="124">
        <f t="shared" si="845"/>
        <v>46290</v>
      </c>
      <c r="L709" s="133">
        <v>46269</v>
      </c>
      <c r="M709" s="124">
        <f t="shared" si="846"/>
        <v>46332</v>
      </c>
      <c r="N709" s="124">
        <f t="shared" si="847"/>
        <v>46332</v>
      </c>
      <c r="O709" s="124">
        <v>46281</v>
      </c>
      <c r="P709" s="124">
        <f t="shared" si="848"/>
        <v>46374</v>
      </c>
      <c r="Q709" s="124">
        <f t="shared" si="849"/>
        <v>46374</v>
      </c>
      <c r="R709" s="124"/>
      <c r="S709" s="124">
        <f t="shared" si="851"/>
        <v>46388</v>
      </c>
      <c r="T709" s="124">
        <f t="shared" si="850"/>
        <v>46388</v>
      </c>
      <c r="U709" s="124"/>
      <c r="V709" s="229"/>
      <c r="X709" s="168" t="str">
        <f t="shared" ca="1" si="860"/>
        <v>Completed</v>
      </c>
      <c r="Y709" s="168" t="str">
        <f t="shared" ca="1" si="861"/>
        <v>Completed</v>
      </c>
      <c r="Z709" s="168" t="str">
        <f t="shared" ca="1" si="862"/>
        <v/>
      </c>
      <c r="AA709" s="169" t="str">
        <f t="shared" ca="1" si="863"/>
        <v/>
      </c>
    </row>
    <row r="710" spans="1:27" s="70" customFormat="1" ht="11.5" x14ac:dyDescent="0.25">
      <c r="A710" s="120" t="s">
        <v>65</v>
      </c>
      <c r="B710" s="120" t="s">
        <v>14</v>
      </c>
      <c r="C710" s="121" t="s">
        <v>762</v>
      </c>
      <c r="D710" s="121" t="s">
        <v>763</v>
      </c>
      <c r="E710" s="122">
        <f t="shared" si="885"/>
        <v>0.5</v>
      </c>
      <c r="F710" s="122">
        <f t="shared" si="886"/>
        <v>0.5</v>
      </c>
      <c r="G710" s="122">
        <f t="shared" si="888"/>
        <v>0</v>
      </c>
      <c r="H710" s="122">
        <f t="shared" si="887"/>
        <v>-0.5</v>
      </c>
      <c r="I710" s="123">
        <v>4.7E-2</v>
      </c>
      <c r="J710" s="124">
        <f t="shared" si="884"/>
        <v>46290</v>
      </c>
      <c r="K710" s="124">
        <f t="shared" si="845"/>
        <v>46290</v>
      </c>
      <c r="L710" s="124"/>
      <c r="M710" s="124">
        <f t="shared" si="846"/>
        <v>46332</v>
      </c>
      <c r="N710" s="124">
        <f t="shared" si="847"/>
        <v>46332</v>
      </c>
      <c r="O710" s="124"/>
      <c r="P710" s="124">
        <f t="shared" si="848"/>
        <v>46374</v>
      </c>
      <c r="Q710" s="124">
        <f t="shared" si="849"/>
        <v>46374</v>
      </c>
      <c r="R710" s="124"/>
      <c r="S710" s="124">
        <f t="shared" si="851"/>
        <v>46388</v>
      </c>
      <c r="T710" s="124">
        <f t="shared" si="850"/>
        <v>46388</v>
      </c>
      <c r="U710" s="124"/>
      <c r="V710" s="229"/>
      <c r="X710" s="168" t="str">
        <f t="shared" ca="1" si="860"/>
        <v>Overdue</v>
      </c>
      <c r="Y710" s="168" t="str">
        <f t="shared" ca="1" si="861"/>
        <v/>
      </c>
      <c r="Z710" s="168" t="str">
        <f t="shared" ca="1" si="862"/>
        <v/>
      </c>
      <c r="AA710" s="169" t="str">
        <f t="shared" ca="1" si="863"/>
        <v/>
      </c>
    </row>
    <row r="711" spans="1:27" s="70" customFormat="1" ht="11.5" x14ac:dyDescent="0.25">
      <c r="A711" s="120" t="s">
        <v>65</v>
      </c>
      <c r="B711" s="120" t="s">
        <v>14</v>
      </c>
      <c r="C711" s="121" t="s">
        <v>764</v>
      </c>
      <c r="D711" s="121" t="s">
        <v>765</v>
      </c>
      <c r="E711" s="122">
        <f t="shared" si="885"/>
        <v>0.5</v>
      </c>
      <c r="F711" s="122">
        <f t="shared" si="886"/>
        <v>0.5</v>
      </c>
      <c r="G711" s="122">
        <f t="shared" si="888"/>
        <v>0</v>
      </c>
      <c r="H711" s="122">
        <f t="shared" si="887"/>
        <v>-0.5</v>
      </c>
      <c r="I711" s="123">
        <v>4.7E-2</v>
      </c>
      <c r="J711" s="124">
        <f t="shared" si="884"/>
        <v>46290</v>
      </c>
      <c r="K711" s="124">
        <f t="shared" si="845"/>
        <v>46290</v>
      </c>
      <c r="L711" s="124"/>
      <c r="M711" s="124">
        <f t="shared" si="846"/>
        <v>46332</v>
      </c>
      <c r="N711" s="124">
        <f t="shared" si="847"/>
        <v>46332</v>
      </c>
      <c r="O711" s="124"/>
      <c r="P711" s="124">
        <f t="shared" si="848"/>
        <v>46374</v>
      </c>
      <c r="Q711" s="124">
        <f t="shared" si="849"/>
        <v>46374</v>
      </c>
      <c r="R711" s="124"/>
      <c r="S711" s="124">
        <f t="shared" si="851"/>
        <v>46388</v>
      </c>
      <c r="T711" s="124">
        <f t="shared" si="850"/>
        <v>46388</v>
      </c>
      <c r="U711" s="124"/>
      <c r="V711" s="229"/>
      <c r="X711" s="168" t="str">
        <f t="shared" ca="1" si="860"/>
        <v>Overdue</v>
      </c>
      <c r="Y711" s="168" t="str">
        <f t="shared" ca="1" si="861"/>
        <v/>
      </c>
      <c r="Z711" s="168" t="str">
        <f t="shared" ca="1" si="862"/>
        <v/>
      </c>
      <c r="AA711" s="169" t="str">
        <f t="shared" ca="1" si="863"/>
        <v/>
      </c>
    </row>
    <row r="712" spans="1:27" s="70" customFormat="1" ht="11.5" x14ac:dyDescent="0.25">
      <c r="A712" s="191" t="s">
        <v>65</v>
      </c>
      <c r="B712" s="191" t="s">
        <v>14</v>
      </c>
      <c r="C712" s="200" t="s">
        <v>766</v>
      </c>
      <c r="D712" s="200" t="s">
        <v>1228</v>
      </c>
      <c r="E712" s="192">
        <f t="shared" si="885"/>
        <v>0.5</v>
      </c>
      <c r="F712" s="192">
        <f t="shared" si="886"/>
        <v>0.5</v>
      </c>
      <c r="G712" s="192">
        <f t="shared" si="888"/>
        <v>1</v>
      </c>
      <c r="H712" s="192">
        <f t="shared" si="887"/>
        <v>0.5</v>
      </c>
      <c r="I712" s="193">
        <v>4.7E-2</v>
      </c>
      <c r="J712" s="194">
        <f t="shared" si="884"/>
        <v>46290</v>
      </c>
      <c r="K712" s="194">
        <f t="shared" si="845"/>
        <v>46290</v>
      </c>
      <c r="L712" s="194">
        <v>46290</v>
      </c>
      <c r="M712" s="194">
        <f t="shared" si="846"/>
        <v>46332</v>
      </c>
      <c r="N712" s="194">
        <f t="shared" si="847"/>
        <v>46332</v>
      </c>
      <c r="O712" s="194">
        <v>46290</v>
      </c>
      <c r="P712" s="194">
        <f t="shared" si="848"/>
        <v>46374</v>
      </c>
      <c r="Q712" s="194">
        <f t="shared" si="849"/>
        <v>46374</v>
      </c>
      <c r="R712" s="194">
        <v>46290</v>
      </c>
      <c r="S712" s="194">
        <f t="shared" si="851"/>
        <v>46388</v>
      </c>
      <c r="T712" s="194">
        <f t="shared" si="850"/>
        <v>46388</v>
      </c>
      <c r="U712" s="194">
        <v>46290</v>
      </c>
      <c r="V712" s="231"/>
      <c r="X712" s="168" t="str">
        <f t="shared" ca="1" si="860"/>
        <v>Completed</v>
      </c>
      <c r="Y712" s="168" t="str">
        <f t="shared" ca="1" si="861"/>
        <v>Completed</v>
      </c>
      <c r="Z712" s="168" t="str">
        <f t="shared" ca="1" si="862"/>
        <v>Completed</v>
      </c>
      <c r="AA712" s="169" t="str">
        <f t="shared" ca="1" si="863"/>
        <v>Completed</v>
      </c>
    </row>
    <row r="713" spans="1:27" s="70" customFormat="1" ht="11.5" x14ac:dyDescent="0.25">
      <c r="A713" s="120" t="s">
        <v>65</v>
      </c>
      <c r="B713" s="120" t="s">
        <v>14</v>
      </c>
      <c r="C713" s="120" t="s">
        <v>1063</v>
      </c>
      <c r="D713" s="120" t="s">
        <v>767</v>
      </c>
      <c r="E713" s="122">
        <f t="shared" si="885"/>
        <v>0.5</v>
      </c>
      <c r="F713" s="122">
        <f t="shared" si="886"/>
        <v>0.5</v>
      </c>
      <c r="G713" s="122">
        <f t="shared" si="888"/>
        <v>0.7</v>
      </c>
      <c r="H713" s="122">
        <f t="shared" si="887"/>
        <v>0.19999999999999996</v>
      </c>
      <c r="I713" s="123">
        <v>4.7E-2</v>
      </c>
      <c r="J713" s="124">
        <f t="shared" si="884"/>
        <v>46290</v>
      </c>
      <c r="K713" s="124">
        <f t="shared" si="845"/>
        <v>46290</v>
      </c>
      <c r="L713" s="126">
        <v>46276</v>
      </c>
      <c r="M713" s="124">
        <f t="shared" si="846"/>
        <v>46332</v>
      </c>
      <c r="N713" s="124">
        <f t="shared" si="847"/>
        <v>46332</v>
      </c>
      <c r="O713" s="124">
        <v>46288</v>
      </c>
      <c r="P713" s="124">
        <f t="shared" si="848"/>
        <v>46374</v>
      </c>
      <c r="Q713" s="124">
        <f t="shared" si="849"/>
        <v>46374</v>
      </c>
      <c r="R713" s="124"/>
      <c r="S713" s="124">
        <f t="shared" si="851"/>
        <v>46388</v>
      </c>
      <c r="T713" s="124">
        <f t="shared" si="850"/>
        <v>46388</v>
      </c>
      <c r="U713" s="124"/>
      <c r="V713" s="229"/>
      <c r="X713" s="168" t="str">
        <f t="shared" ca="1" si="860"/>
        <v>Completed</v>
      </c>
      <c r="Y713" s="168" t="str">
        <f t="shared" ca="1" si="861"/>
        <v>Completed</v>
      </c>
      <c r="Z713" s="168" t="str">
        <f t="shared" ca="1" si="862"/>
        <v/>
      </c>
      <c r="AA713" s="169" t="str">
        <f t="shared" ca="1" si="863"/>
        <v/>
      </c>
    </row>
    <row r="714" spans="1:27" s="70" customFormat="1" ht="11.5" x14ac:dyDescent="0.25">
      <c r="A714" s="120" t="s">
        <v>65</v>
      </c>
      <c r="B714" s="120" t="s">
        <v>14</v>
      </c>
      <c r="C714" s="120" t="s">
        <v>768</v>
      </c>
      <c r="D714" s="120" t="s">
        <v>769</v>
      </c>
      <c r="E714" s="122">
        <f t="shared" si="885"/>
        <v>0.5</v>
      </c>
      <c r="F714" s="122">
        <f t="shared" si="886"/>
        <v>0.5</v>
      </c>
      <c r="G714" s="122">
        <f t="shared" si="888"/>
        <v>0</v>
      </c>
      <c r="H714" s="122">
        <f t="shared" si="887"/>
        <v>-0.5</v>
      </c>
      <c r="I714" s="123">
        <v>4.7E-2</v>
      </c>
      <c r="J714" s="124">
        <f t="shared" si="884"/>
        <v>46290</v>
      </c>
      <c r="K714" s="124">
        <f t="shared" si="845"/>
        <v>46290</v>
      </c>
      <c r="L714" s="124"/>
      <c r="M714" s="124">
        <f t="shared" si="846"/>
        <v>46332</v>
      </c>
      <c r="N714" s="124">
        <f t="shared" si="847"/>
        <v>46332</v>
      </c>
      <c r="O714" s="124"/>
      <c r="P714" s="124">
        <f t="shared" si="848"/>
        <v>46374</v>
      </c>
      <c r="Q714" s="124">
        <f t="shared" si="849"/>
        <v>46374</v>
      </c>
      <c r="R714" s="124"/>
      <c r="S714" s="124">
        <f t="shared" si="851"/>
        <v>46388</v>
      </c>
      <c r="T714" s="124">
        <f t="shared" si="850"/>
        <v>46388</v>
      </c>
      <c r="U714" s="124"/>
      <c r="V714" s="229"/>
      <c r="X714" s="168" t="str">
        <f t="shared" ca="1" si="860"/>
        <v>Overdue</v>
      </c>
      <c r="Y714" s="168" t="str">
        <f t="shared" ca="1" si="861"/>
        <v/>
      </c>
      <c r="Z714" s="168" t="str">
        <f t="shared" ca="1" si="862"/>
        <v/>
      </c>
      <c r="AA714" s="169" t="str">
        <f t="shared" ca="1" si="863"/>
        <v/>
      </c>
    </row>
    <row r="715" spans="1:27" s="70" customFormat="1" ht="11.5" x14ac:dyDescent="0.25">
      <c r="A715" s="120" t="s">
        <v>65</v>
      </c>
      <c r="B715" s="120" t="s">
        <v>14</v>
      </c>
      <c r="C715" s="120" t="s">
        <v>770</v>
      </c>
      <c r="D715" s="120" t="s">
        <v>771</v>
      </c>
      <c r="E715" s="122">
        <f t="shared" si="885"/>
        <v>0.5</v>
      </c>
      <c r="F715" s="122">
        <f t="shared" si="886"/>
        <v>0.5</v>
      </c>
      <c r="G715" s="122">
        <f t="shared" si="888"/>
        <v>0</v>
      </c>
      <c r="H715" s="122">
        <f t="shared" si="887"/>
        <v>-0.5</v>
      </c>
      <c r="I715" s="123">
        <v>4.7E-2</v>
      </c>
      <c r="J715" s="124">
        <f t="shared" si="884"/>
        <v>46290</v>
      </c>
      <c r="K715" s="124">
        <f t="shared" si="845"/>
        <v>46290</v>
      </c>
      <c r="L715" s="124"/>
      <c r="M715" s="124">
        <f t="shared" si="846"/>
        <v>46332</v>
      </c>
      <c r="N715" s="124">
        <f t="shared" si="847"/>
        <v>46332</v>
      </c>
      <c r="O715" s="124"/>
      <c r="P715" s="124">
        <f t="shared" si="848"/>
        <v>46374</v>
      </c>
      <c r="Q715" s="124">
        <f t="shared" si="849"/>
        <v>46374</v>
      </c>
      <c r="R715" s="124"/>
      <c r="S715" s="124">
        <f t="shared" si="851"/>
        <v>46388</v>
      </c>
      <c r="T715" s="124">
        <f t="shared" si="850"/>
        <v>46388</v>
      </c>
      <c r="U715" s="124"/>
      <c r="V715" s="229"/>
      <c r="X715" s="168" t="str">
        <f t="shared" ca="1" si="860"/>
        <v>Overdue</v>
      </c>
      <c r="Y715" s="168" t="str">
        <f t="shared" ca="1" si="861"/>
        <v/>
      </c>
      <c r="Z715" s="168" t="str">
        <f t="shared" ca="1" si="862"/>
        <v/>
      </c>
      <c r="AA715" s="169" t="str">
        <f t="shared" ca="1" si="863"/>
        <v/>
      </c>
    </row>
    <row r="716" spans="1:27" s="70" customFormat="1" ht="12" thickBot="1" x14ac:dyDescent="0.3">
      <c r="A716" s="120" t="s">
        <v>65</v>
      </c>
      <c r="B716" s="120" t="s">
        <v>14</v>
      </c>
      <c r="C716" s="120" t="s">
        <v>42</v>
      </c>
      <c r="D716" s="120" t="s">
        <v>772</v>
      </c>
      <c r="E716" s="122">
        <f t="shared" si="885"/>
        <v>0</v>
      </c>
      <c r="F716" s="122">
        <f t="shared" si="886"/>
        <v>0</v>
      </c>
      <c r="G716" s="122">
        <f t="shared" si="888"/>
        <v>0</v>
      </c>
      <c r="H716" s="122">
        <f t="shared" si="887"/>
        <v>0</v>
      </c>
      <c r="I716" s="125">
        <v>1.5</v>
      </c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229"/>
      <c r="X716" s="170" t="str">
        <f t="shared" ca="1" si="860"/>
        <v/>
      </c>
      <c r="Y716" s="170" t="str">
        <f t="shared" ca="1" si="861"/>
        <v/>
      </c>
      <c r="Z716" s="170" t="str">
        <f t="shared" ca="1" si="862"/>
        <v/>
      </c>
      <c r="AA716" s="171" t="str">
        <f t="shared" ca="1" si="863"/>
        <v/>
      </c>
    </row>
    <row r="717" spans="1:27" x14ac:dyDescent="0.35">
      <c r="D717" s="88"/>
      <c r="F717" s="2" t="s">
        <v>41</v>
      </c>
      <c r="G717" s="2"/>
      <c r="H717" s="2"/>
      <c r="I717" s="72">
        <f>SUM(I4:I716)</f>
        <v>99.999999999998963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83"/>
      <c r="U717" s="2"/>
      <c r="V717" s="235"/>
    </row>
  </sheetData>
  <autoFilter ref="A3:V717" xr:uid="{5A1295D6-99E8-46B3-B573-A79B1DC59D48}"/>
  <mergeCells count="5">
    <mergeCell ref="J2:L2"/>
    <mergeCell ref="M2:O2"/>
    <mergeCell ref="P2:R2"/>
    <mergeCell ref="S2:U2"/>
    <mergeCell ref="X2:AA2"/>
  </mergeCells>
  <phoneticPr fontId="31" type="noConversion"/>
  <conditionalFormatting sqref="J624:J642">
    <cfRule type="cellIs" dxfId="133" priority="306" operator="equal">
      <formula>45443</formula>
    </cfRule>
  </conditionalFormatting>
  <conditionalFormatting sqref="J64:K64 Q141:Q146 T141:T146 J29:K40 N29:N40 Q29:Q40 J76:J120 N141:N146 J145:K146 J147:J173">
    <cfRule type="expression" dxfId="132" priority="165">
      <formula>"if $G$4&gt;$C$1 and $H$4 is ""null"""</formula>
    </cfRule>
  </conditionalFormatting>
  <conditionalFormatting sqref="J64:K67 Q139:Q173 T139:T173 J15:K43 N15:N43 Q15:Q43 J78:J94 J95:K120 Q95:Q120 T95:T123 N289:N323 Q289:Q323 T289:T323 J304:K320 N387:N570 Q387:Q570 T387:T570 J441:K570">
    <cfRule type="expression" dxfId="131" priority="164">
      <formula>"if $C$1&lt;"</formula>
    </cfRule>
  </conditionalFormatting>
  <conditionalFormatting sqref="J182:K182 T129:V129 Q145:Q181 T145:T181 M64:M95">
    <cfRule type="cellIs" dxfId="130" priority="331" operator="equal">
      <formula>45443</formula>
    </cfRule>
  </conditionalFormatting>
  <conditionalFormatting sqref="J224:K269 K270:K277 J270:J303">
    <cfRule type="expression" dxfId="129" priority="374">
      <formula>"if $C$1&lt;"</formula>
    </cfRule>
  </conditionalFormatting>
  <conditionalFormatting sqref="J605:K606">
    <cfRule type="expression" dxfId="128" priority="257">
      <formula>"if $C$1&lt;"</formula>
    </cfRule>
  </conditionalFormatting>
  <conditionalFormatting sqref="J654:K685">
    <cfRule type="expression" dxfId="127" priority="301">
      <formula>"if $C$1&lt;"</formula>
    </cfRule>
  </conditionalFormatting>
  <conditionalFormatting sqref="J686:K692">
    <cfRule type="expression" dxfId="126" priority="389">
      <formula>"if $C$1&lt;"</formula>
    </cfRule>
  </conditionalFormatting>
  <conditionalFormatting sqref="J129:L129">
    <cfRule type="expression" dxfId="125" priority="323">
      <formula>"if $C$1&lt;"</formula>
    </cfRule>
  </conditionalFormatting>
  <conditionalFormatting sqref="J182:L182">
    <cfRule type="expression" dxfId="124" priority="329">
      <formula>"if $C$1&lt;"</formula>
    </cfRule>
  </conditionalFormatting>
  <conditionalFormatting sqref="K69:K77">
    <cfRule type="cellIs" dxfId="123" priority="28" operator="equal">
      <formula>45443</formula>
    </cfRule>
  </conditionalFormatting>
  <conditionalFormatting sqref="K76:K77">
    <cfRule type="expression" dxfId="122" priority="30">
      <formula>"if $G$4&gt;$C$1 and $H$4 is ""null"""</formula>
    </cfRule>
  </conditionalFormatting>
  <conditionalFormatting sqref="K125">
    <cfRule type="expression" dxfId="121" priority="159">
      <formula>"if $C$1&lt;"</formula>
    </cfRule>
    <cfRule type="expression" dxfId="120" priority="160">
      <formula>"if $G$4&gt;$C$1 and $H$4 is ""null"""</formula>
    </cfRule>
  </conditionalFormatting>
  <conditionalFormatting sqref="K190:K201 N4:N10 M130:N136 N183:N188 N190:N201 K1:K10 K130:K136 M137:M140 K183:K188 M321:M349 M448:M477 M480:M531 M533:M554 M571:M588 M594:M598 M601:M687 J652:J653 J696 J710">
    <cfRule type="cellIs" dxfId="119" priority="349" operator="equal">
      <formula>45443</formula>
    </cfRule>
  </conditionalFormatting>
  <conditionalFormatting sqref="K194">
    <cfRule type="expression" dxfId="118" priority="305">
      <formula>"if $C$1&lt;"</formula>
    </cfRule>
  </conditionalFormatting>
  <conditionalFormatting sqref="K289:K303">
    <cfRule type="expression" dxfId="117" priority="347">
      <formula>"if $C$1&lt;"</formula>
    </cfRule>
  </conditionalFormatting>
  <conditionalFormatting sqref="K289:K323 J129:K129 N15 M16:N42 M96:N112 N289:N323 N387:N570 Q15:Q43 Q95:Q123 Q289:Q323 Q387:Q570 T15:T43 T95:T123 T289:T323 T387:T570 K15:K43 N43 K95:K120 J307:J320 K387:K570 N95 N113:N120 M4:M15 M43:M61 K45:K48 K92 M113 K696:K1048576 N717:O1048576">
    <cfRule type="cellIs" dxfId="116" priority="388" operator="equal">
      <formula>45443</formula>
    </cfRule>
  </conditionalFormatting>
  <conditionalFormatting sqref="K339:K342 J343:K347 K348:K349 K353:K359 J363:K363 K364:K366 J15:K26 K92 K97:K104 K106:K107 K289:K302 J321:K322 K323 K387:K433 K448:K451 K466:K472 K477 J480:K483 J486:K507 J524:K532 J535:K552 J4:K10 J130:K136 J183:K188 K191:K193 K195:K196 K200:K201 J589:K593 J598:K598 J601:K604 J607:K623 J643:K651 J141:K144 K148:K149 K153:K157 K161 K203 J204:K204 K207 J228:K269 K270:K277 J69:K75 K328:K331 J332:K333 K334 J11:J14 J137:J140 J189:J203 J205:J218 J270:J303 J323:J331 J334:J342 J348:J360 J364:J477">
    <cfRule type="expression" dxfId="115" priority="410">
      <formula>"if $G$4&gt;$C$1 and $H$4 is ""null"""</formula>
    </cfRule>
  </conditionalFormatting>
  <conditionalFormatting sqref="K339:K342 J343:K347 K348:K359 J362:K363 K364:K368 J45:K48 K92 J321:K322 K323 K387:K440 J696:K716 J4:K10 J130:K136 J183:K188 K190:K193 K195:K201 J607:K653 J68:L68 J574:K604 J139:K173 J179:K181 K203 J204:K218 J126:K128 J69:K77 K328:K331 J332:K333 K334 J11:J14 J44 J137:J138 J189:J203 J323:J331 J334:J342 J348:J361 J364:J440">
    <cfRule type="expression" dxfId="114" priority="409">
      <formula>"if $C$1&lt;"</formula>
    </cfRule>
  </conditionalFormatting>
  <conditionalFormatting sqref="K574:K692 N574:N692 N696:N716 J305 J68:L68">
    <cfRule type="cellIs" dxfId="113" priority="346" operator="equal">
      <formula>45443</formula>
    </cfRule>
  </conditionalFormatting>
  <conditionalFormatting sqref="L227">
    <cfRule type="cellIs" dxfId="112" priority="314" operator="equal">
      <formula>45443</formula>
    </cfRule>
    <cfRule type="expression" dxfId="111" priority="335">
      <formula>"if $C$1&lt;"</formula>
    </cfRule>
  </conditionalFormatting>
  <conditionalFormatting sqref="L129:N129 N45:N48 N51:N52 N55:N61 N92">
    <cfRule type="cellIs" dxfId="110" priority="227" operator="equal">
      <formula>45443</formula>
    </cfRule>
  </conditionalFormatting>
  <conditionalFormatting sqref="L182:N182">
    <cfRule type="cellIs" dxfId="109" priority="224" operator="equal">
      <formula>45443</formula>
    </cfRule>
  </conditionalFormatting>
  <conditionalFormatting sqref="M125">
    <cfRule type="cellIs" dxfId="108" priority="152" operator="equal">
      <formula>45443</formula>
    </cfRule>
  </conditionalFormatting>
  <conditionalFormatting sqref="M147 J227">
    <cfRule type="cellIs" dxfId="107" priority="373" operator="equal">
      <formula>45443</formula>
    </cfRule>
  </conditionalFormatting>
  <conditionalFormatting sqref="M150:M178">
    <cfRule type="cellIs" dxfId="106" priority="150" operator="equal">
      <formula>45443</formula>
    </cfRule>
  </conditionalFormatting>
  <conditionalFormatting sqref="M183:M226">
    <cfRule type="cellIs" dxfId="105" priority="143" operator="equal">
      <formula>45443</formula>
    </cfRule>
  </conditionalFormatting>
  <conditionalFormatting sqref="M228:M260 M264">
    <cfRule type="cellIs" dxfId="104" priority="351" operator="equal">
      <formula>45443</formula>
    </cfRule>
  </conditionalFormatting>
  <conditionalFormatting sqref="M121:N124">
    <cfRule type="cellIs" dxfId="103" priority="184" operator="equal">
      <formula>45443</formula>
    </cfRule>
  </conditionalFormatting>
  <conditionalFormatting sqref="N45:N48 N51:N52 N55:N61 N92 N4:N10 N339:N359 N362:N368 N696:N716">
    <cfRule type="expression" dxfId="102" priority="229">
      <formula>"if $C$1&lt;"</formula>
    </cfRule>
  </conditionalFormatting>
  <conditionalFormatting sqref="N64 K64:K67">
    <cfRule type="cellIs" dxfId="101" priority="163" operator="equal">
      <formula>45443</formula>
    </cfRule>
  </conditionalFormatting>
  <conditionalFormatting sqref="N64">
    <cfRule type="expression" dxfId="100" priority="161">
      <formula>"if $G$4&gt;$C$1 and $H$4 is ""null"""</formula>
    </cfRule>
  </conditionalFormatting>
  <conditionalFormatting sqref="N64:N76">
    <cfRule type="expression" dxfId="99" priority="166">
      <formula>"if $C$1&lt;"</formula>
    </cfRule>
  </conditionalFormatting>
  <conditionalFormatting sqref="N69:N77">
    <cfRule type="expression" dxfId="98" priority="25">
      <formula>"if $G$4&gt;$C$1 and $H$4 is ""null"""</formula>
    </cfRule>
  </conditionalFormatting>
  <conditionalFormatting sqref="N77">
    <cfRule type="expression" dxfId="97" priority="20">
      <formula>"if $C$1&lt;"</formula>
    </cfRule>
    <cfRule type="cellIs" dxfId="96" priority="26" operator="equal">
      <formula>45443</formula>
    </cfRule>
  </conditionalFormatting>
  <conditionalFormatting sqref="N92 N328:N334 N4:N10 N15:N26 N97:N104 N106:N107 N130:N136 N148:N149 N153:N157 N161 N183:N188 N191:N193 N195:N196 N200:N201 N203:N204 N207 N228:N277 N289:N302 N321:N323 N339:N349 N353:N359 N363:N366 N387:N433 N448:N451 N466:N472 N477 N480:N483 N486:N507 N524:N532 N535:N552 N589:N593 N598 N601:N604 N607:N623 N643:N651">
    <cfRule type="expression" dxfId="95" priority="230">
      <formula>"if $G$4&gt;$C$1 and $H$4 is ""null"""</formula>
    </cfRule>
  </conditionalFormatting>
  <conditionalFormatting sqref="N95:N136">
    <cfRule type="expression" dxfId="94" priority="153">
      <formula>"if $C$1&lt;"</formula>
    </cfRule>
  </conditionalFormatting>
  <conditionalFormatting sqref="N125 K125:K128">
    <cfRule type="cellIs" dxfId="93" priority="158" operator="equal">
      <formula>45443</formula>
    </cfRule>
  </conditionalFormatting>
  <conditionalFormatting sqref="N125">
    <cfRule type="expression" dxfId="92" priority="157">
      <formula>"if $G$4&gt;$C$1 and $H$4 is ""null"""</formula>
    </cfRule>
  </conditionalFormatting>
  <conditionalFormatting sqref="N139:N173 N203:N218 N224:N277 N65:N76 K139:K173 M126:N128 M179:N181 M62:N63 K179:K181 K203:K218 K224:K277 M693:M715">
    <cfRule type="cellIs" dxfId="91" priority="304" operator="equal">
      <formula>45443</formula>
    </cfRule>
  </conditionalFormatting>
  <conditionalFormatting sqref="N139:N188">
    <cfRule type="expression" dxfId="90" priority="147">
      <formula>"if $C$1&lt;"</formula>
    </cfRule>
  </conditionalFormatting>
  <conditionalFormatting sqref="N174:N178">
    <cfRule type="cellIs" dxfId="89" priority="146" operator="equal">
      <formula>45443</formula>
    </cfRule>
  </conditionalFormatting>
  <conditionalFormatting sqref="N190:N201">
    <cfRule type="expression" dxfId="88" priority="221">
      <formula>"if $C$1&lt;"</formula>
    </cfRule>
  </conditionalFormatting>
  <conditionalFormatting sqref="N203:N277">
    <cfRule type="expression" dxfId="87" priority="140">
      <formula>"if $C$1&lt;"</formula>
    </cfRule>
  </conditionalFormatting>
  <conditionalFormatting sqref="N219:N223">
    <cfRule type="cellIs" dxfId="86" priority="139" operator="equal">
      <formula>45443</formula>
    </cfRule>
  </conditionalFormatting>
  <conditionalFormatting sqref="N328:N331 N339:N359 N362:N368 K339:K359 K362:K368 M363:M435">
    <cfRule type="cellIs" dxfId="85" priority="408" operator="equal">
      <formula>45443</formula>
    </cfRule>
  </conditionalFormatting>
  <conditionalFormatting sqref="N328:N334 Q332:Q334 T332:T334">
    <cfRule type="expression" dxfId="84" priority="12">
      <formula>"if $C$1&lt;"</formula>
    </cfRule>
  </conditionalFormatting>
  <conditionalFormatting sqref="N574:N692">
    <cfRule type="expression" dxfId="83" priority="219">
      <formula>"if $C$1&lt;"</formula>
    </cfRule>
  </conditionalFormatting>
  <conditionalFormatting sqref="N1:O3">
    <cfRule type="cellIs" dxfId="82" priority="404" operator="equal">
      <formula>45443</formula>
    </cfRule>
  </conditionalFormatting>
  <conditionalFormatting sqref="O1:O3 O717:O1048576">
    <cfRule type="cellIs" dxfId="81" priority="369" operator="equal">
      <formula>45444</formula>
    </cfRule>
  </conditionalFormatting>
  <conditionalFormatting sqref="O51:O54">
    <cfRule type="cellIs" dxfId="80" priority="170" operator="equal">
      <formula>45443</formula>
    </cfRule>
  </conditionalFormatting>
  <conditionalFormatting sqref="O68">
    <cfRule type="cellIs" dxfId="79" priority="249" operator="equal">
      <formula>45443</formula>
    </cfRule>
    <cfRule type="expression" dxfId="78" priority="250">
      <formula>"if $C$1&lt;"</formula>
    </cfRule>
  </conditionalFormatting>
  <conditionalFormatting sqref="O115:O116">
    <cfRule type="cellIs" dxfId="77" priority="169" operator="equal">
      <formula>45443</formula>
    </cfRule>
  </conditionalFormatting>
  <conditionalFormatting sqref="O129">
    <cfRule type="expression" dxfId="76" priority="246">
      <formula>"if $C$1&lt;"</formula>
    </cfRule>
  </conditionalFormatting>
  <conditionalFormatting sqref="O168:O169">
    <cfRule type="cellIs" dxfId="75" priority="167" operator="equal">
      <formula>45443</formula>
    </cfRule>
  </conditionalFormatting>
  <conditionalFormatting sqref="O182 O129">
    <cfRule type="cellIs" dxfId="74" priority="308" operator="equal">
      <formula>45443</formula>
    </cfRule>
  </conditionalFormatting>
  <conditionalFormatting sqref="O182">
    <cfRule type="expression" dxfId="73" priority="247">
      <formula>"if $C$1&lt;"</formula>
    </cfRule>
  </conditionalFormatting>
  <conditionalFormatting sqref="O214">
    <cfRule type="cellIs" dxfId="72" priority="171" operator="equal">
      <formula>45443</formula>
    </cfRule>
  </conditionalFormatting>
  <conditionalFormatting sqref="O227">
    <cfRule type="cellIs" dxfId="71" priority="245" operator="equal">
      <formula>45443</formula>
    </cfRule>
    <cfRule type="expression" dxfId="70" priority="248">
      <formula>"if $C$1&lt;"</formula>
    </cfRule>
  </conditionalFormatting>
  <conditionalFormatting sqref="P125">
    <cfRule type="cellIs" dxfId="69" priority="151" operator="equal">
      <formula>45443</formula>
    </cfRule>
  </conditionalFormatting>
  <conditionalFormatting sqref="P124:Q124">
    <cfRule type="cellIs" dxfId="68" priority="172" operator="equal">
      <formula>45443</formula>
    </cfRule>
  </conditionalFormatting>
  <conditionalFormatting sqref="Q55:Q61">
    <cfRule type="cellIs" dxfId="67" priority="205" operator="equal">
      <formula>45443</formula>
    </cfRule>
  </conditionalFormatting>
  <conditionalFormatting sqref="Q65:Q77">
    <cfRule type="expression" dxfId="66" priority="23">
      <formula>"if $C$1&lt;"</formula>
    </cfRule>
    <cfRule type="cellIs" dxfId="65" priority="22" operator="equal">
      <formula>45443</formula>
    </cfRule>
  </conditionalFormatting>
  <conditionalFormatting sqref="Q69:Q77">
    <cfRule type="expression" dxfId="64" priority="24">
      <formula>"if $G$4&gt;$C$1 and $H$4 is ""null"""</formula>
    </cfRule>
  </conditionalFormatting>
  <conditionalFormatting sqref="Q121:Q124">
    <cfRule type="expression" dxfId="63" priority="173">
      <formula>"if $C$1&lt;"</formula>
    </cfRule>
  </conditionalFormatting>
  <conditionalFormatting sqref="Q125">
    <cfRule type="expression" dxfId="62" priority="156">
      <formula>"if $G$4&gt;$C$1 and $H$4 is ""null"""</formula>
    </cfRule>
  </conditionalFormatting>
  <conditionalFormatting sqref="Q125:Q128">
    <cfRule type="cellIs" dxfId="61" priority="154" operator="equal">
      <formula>45443</formula>
    </cfRule>
  </conditionalFormatting>
  <conditionalFormatting sqref="Q125:Q129">
    <cfRule type="expression" dxfId="60" priority="155">
      <formula>"if $C$1&lt;"</formula>
    </cfRule>
  </conditionalFormatting>
  <conditionalFormatting sqref="Q139:Q144">
    <cfRule type="cellIs" dxfId="59" priority="149" operator="equal">
      <formula>45443</formula>
    </cfRule>
  </conditionalFormatting>
  <conditionalFormatting sqref="Q174:Q182">
    <cfRule type="expression" dxfId="58" priority="145">
      <formula>"if $C$1&lt;"</formula>
    </cfRule>
  </conditionalFormatting>
  <conditionalFormatting sqref="Q182:Q188">
    <cfRule type="cellIs" dxfId="57" priority="209" operator="equal">
      <formula>45443</formula>
    </cfRule>
  </conditionalFormatting>
  <conditionalFormatting sqref="Q190:Q201 Q4:Q10 Q130:Q136">
    <cfRule type="cellIs" dxfId="56" priority="212" operator="equal">
      <formula>45443</formula>
    </cfRule>
  </conditionalFormatting>
  <conditionalFormatting sqref="Q194">
    <cfRule type="expression" dxfId="55" priority="206">
      <formula>"if $C$1&lt;"</formula>
    </cfRule>
  </conditionalFormatting>
  <conditionalFormatting sqref="Q203:Q218 Q224:Q277">
    <cfRule type="expression" dxfId="54" priority="213">
      <formula>"if $C$1&lt;"</formula>
    </cfRule>
  </conditionalFormatting>
  <conditionalFormatting sqref="Q203:Q277">
    <cfRule type="cellIs" dxfId="53" priority="142" operator="equal">
      <formula>45443</formula>
    </cfRule>
  </conditionalFormatting>
  <conditionalFormatting sqref="Q219:Q223">
    <cfRule type="expression" dxfId="52" priority="138">
      <formula>"if $C$1&lt;"</formula>
    </cfRule>
  </conditionalFormatting>
  <conditionalFormatting sqref="Q328:Q334 T328:T334 N332:N334 K328:K334">
    <cfRule type="cellIs" dxfId="51" priority="13" operator="equal">
      <formula>45443</formula>
    </cfRule>
  </conditionalFormatting>
  <conditionalFormatting sqref="Q339:Q349 Q353:Q359 Q363:Q366 Q92 Q4:Q10 Q130:Q136 Q191:Q193 Q195:Q196 Q200:Q201 Q589:Q593 Q598 Q601:Q604 Q607:Q623 Q643:Q651 Q183:Q188 Q203:Q204 Q207 Q228:Q277 Q328:Q334 Q15:Q26 Q97:Q104 Q106:Q107 Q148:Q149 Q153:Q157 Q161 Q289:Q302 Q321:Q323 Q387:Q433 Q448:Q451 Q466:Q472 Q477 Q480:Q483 Q486:Q507 Q524:Q532 Q535:Q552">
    <cfRule type="expression" dxfId="50" priority="218">
      <formula>"if $G$4&gt;$C$1 and $H$4 is ""null"""</formula>
    </cfRule>
  </conditionalFormatting>
  <conditionalFormatting sqref="Q339:Q359 Q362:Q368 Q45:Q48 Q51:Q52 Q92 Q4:Q10 Q130:Q136 Q190:Q193 Q195:Q201 Q574:Q604 Q607:Q653 Q696:Q716 Q183:Q188 Q55:Q61 Q328:Q331">
    <cfRule type="expression" dxfId="49" priority="217">
      <formula>"if $C$1&lt;"</formula>
    </cfRule>
  </conditionalFormatting>
  <conditionalFormatting sqref="Q339:Q359 Q362:Q368">
    <cfRule type="cellIs" dxfId="48" priority="216" operator="equal">
      <formula>45443</formula>
    </cfRule>
  </conditionalFormatting>
  <conditionalFormatting sqref="Q574:Q692 Q696:Q716">
    <cfRule type="cellIs" dxfId="47" priority="210" operator="equal">
      <formula>45443</formula>
    </cfRule>
  </conditionalFormatting>
  <conditionalFormatting sqref="Q605:Q606">
    <cfRule type="expression" dxfId="46" priority="203">
      <formula>"if $C$1&lt;"</formula>
    </cfRule>
  </conditionalFormatting>
  <conditionalFormatting sqref="Q654:Q685">
    <cfRule type="expression" dxfId="45" priority="204">
      <formula>"if $C$1&lt;"</formula>
    </cfRule>
  </conditionalFormatting>
  <conditionalFormatting sqref="Q686:Q692">
    <cfRule type="expression" dxfId="44" priority="215">
      <formula>"if $C$1&lt;"</formula>
    </cfRule>
  </conditionalFormatting>
  <conditionalFormatting sqref="Q129:R129 Q45:Q48 Q51:Q52 Q92">
    <cfRule type="cellIs" dxfId="43" priority="214" operator="equal">
      <formula>45443</formula>
    </cfRule>
  </conditionalFormatting>
  <conditionalFormatting sqref="R68">
    <cfRule type="cellIs" dxfId="42" priority="243" operator="equal">
      <formula>45443</formula>
    </cfRule>
    <cfRule type="expression" dxfId="41" priority="244">
      <formula>"if $C$1&lt;"</formula>
    </cfRule>
  </conditionalFormatting>
  <conditionalFormatting sqref="R129">
    <cfRule type="expression" dxfId="40" priority="240">
      <formula>"if $C$1&lt;"</formula>
    </cfRule>
  </conditionalFormatting>
  <conditionalFormatting sqref="R182">
    <cfRule type="cellIs" dxfId="39" priority="238" operator="equal">
      <formula>45443</formula>
    </cfRule>
    <cfRule type="expression" dxfId="38" priority="241">
      <formula>"if $C$1&lt;"</formula>
    </cfRule>
  </conditionalFormatting>
  <conditionalFormatting sqref="R227">
    <cfRule type="expression" dxfId="37" priority="242">
      <formula>"if $C$1&lt;"</formula>
    </cfRule>
    <cfRule type="cellIs" dxfId="36" priority="239" operator="equal">
      <formula>45443</formula>
    </cfRule>
  </conditionalFormatting>
  <conditionalFormatting sqref="T15:T43">
    <cfRule type="expression" dxfId="35" priority="10">
      <formula>"if $C$1&lt;"</formula>
    </cfRule>
  </conditionalFormatting>
  <conditionalFormatting sqref="T29:T40">
    <cfRule type="expression" dxfId="34" priority="11">
      <formula>"if $G$4&gt;$C$1 and $H$4 is ""null"""</formula>
    </cfRule>
  </conditionalFormatting>
  <conditionalFormatting sqref="T45:T48 T51:T52 T92">
    <cfRule type="cellIs" dxfId="33" priority="198" operator="equal">
      <formula>45443</formula>
    </cfRule>
  </conditionalFormatting>
  <conditionalFormatting sqref="T55:T63">
    <cfRule type="expression" dxfId="32" priority="2">
      <formula>"if $C$1&lt;"</formula>
    </cfRule>
    <cfRule type="cellIs" dxfId="31" priority="1" operator="equal">
      <formula>45443</formula>
    </cfRule>
  </conditionalFormatting>
  <conditionalFormatting sqref="T65:T77">
    <cfRule type="cellIs" dxfId="30" priority="27" operator="equal">
      <formula>45443</formula>
    </cfRule>
    <cfRule type="expression" dxfId="29" priority="29">
      <formula>"if $C$1&lt;"</formula>
    </cfRule>
  </conditionalFormatting>
  <conditionalFormatting sqref="T69:T77">
    <cfRule type="expression" dxfId="28" priority="21">
      <formula>"if $G$4&gt;$C$1 and $H$4 is ""null"""</formula>
    </cfRule>
  </conditionalFormatting>
  <conditionalFormatting sqref="T126:T128">
    <cfRule type="cellIs" dxfId="27" priority="189" operator="equal">
      <formula>45443</formula>
    </cfRule>
  </conditionalFormatting>
  <conditionalFormatting sqref="T126:T129">
    <cfRule type="expression" dxfId="26" priority="191">
      <formula>"if $C$1&lt;"</formula>
    </cfRule>
  </conditionalFormatting>
  <conditionalFormatting sqref="T139:T144">
    <cfRule type="cellIs" dxfId="25" priority="148" operator="equal">
      <formula>45443</formula>
    </cfRule>
  </conditionalFormatting>
  <conditionalFormatting sqref="T174:T182">
    <cfRule type="expression" dxfId="24" priority="144">
      <formula>"if $C$1&lt;"</formula>
    </cfRule>
  </conditionalFormatting>
  <conditionalFormatting sqref="T182:T188">
    <cfRule type="cellIs" dxfId="23" priority="193" operator="equal">
      <formula>45443</formula>
    </cfRule>
  </conditionalFormatting>
  <conditionalFormatting sqref="T190:T201 T4:T10 T130:T136">
    <cfRule type="cellIs" dxfId="22" priority="196" operator="equal">
      <formula>45443</formula>
    </cfRule>
  </conditionalFormatting>
  <conditionalFormatting sqref="T194">
    <cfRule type="expression" dxfId="21" priority="190">
      <formula>"if $C$1&lt;"</formula>
    </cfRule>
  </conditionalFormatting>
  <conditionalFormatting sqref="T203:T218 T224:T277">
    <cfRule type="expression" dxfId="20" priority="197">
      <formula>"if $C$1&lt;"</formula>
    </cfRule>
  </conditionalFormatting>
  <conditionalFormatting sqref="T203:T277">
    <cfRule type="cellIs" dxfId="19" priority="141" operator="equal">
      <formula>45443</formula>
    </cfRule>
  </conditionalFormatting>
  <conditionalFormatting sqref="T219:T223">
    <cfRule type="expression" dxfId="18" priority="137">
      <formula>"if $C$1&lt;"</formula>
    </cfRule>
  </conditionalFormatting>
  <conditionalFormatting sqref="T339:T349 T353:T359 T363:T366 T92 T4:T10 T130:T136 T191:T193 T195:T196 T200:T201 T589:T593 T598 T601:T604 T607:T623 T643:T651 T183:T188 T203:T204 T207 T228:T277 T328:T334 T15:T26 T97:T104 T106:T107 T148:T149 T153:T157 T161 T289:T302 T321:T323 T387:T433 T448:T451 T466:T472 T477 T480:T483 T486:T507 T524:T532 T535:T552">
    <cfRule type="expression" dxfId="17" priority="202">
      <formula>"if $G$4&gt;$C$1 and $H$4 is ""null"""</formula>
    </cfRule>
  </conditionalFormatting>
  <conditionalFormatting sqref="T339:T359 T362:T368 T45:T48 T51:T52 T92 T4:T10 T130:T136 T190:T193 T195:T201 T574:T604 T607:T653 T696:T716 T183:T188 T328:T331">
    <cfRule type="expression" dxfId="16" priority="201">
      <formula>"if $C$1&lt;"</formula>
    </cfRule>
  </conditionalFormatting>
  <conditionalFormatting sqref="T339:T359 T362:T368">
    <cfRule type="cellIs" dxfId="15" priority="200" operator="equal">
      <formula>45443</formula>
    </cfRule>
  </conditionalFormatting>
  <conditionalFormatting sqref="T574:T692 T696:T716">
    <cfRule type="cellIs" dxfId="14" priority="194" operator="equal">
      <formula>45443</formula>
    </cfRule>
  </conditionalFormatting>
  <conditionalFormatting sqref="T605:T606">
    <cfRule type="expression" dxfId="13" priority="187">
      <formula>"if $C$1&lt;"</formula>
    </cfRule>
  </conditionalFormatting>
  <conditionalFormatting sqref="T654:T685">
    <cfRule type="expression" dxfId="12" priority="188">
      <formula>"if $C$1&lt;"</formula>
    </cfRule>
  </conditionalFormatting>
  <conditionalFormatting sqref="T686:T692">
    <cfRule type="expression" dxfId="11" priority="199">
      <formula>"if $C$1&lt;"</formula>
    </cfRule>
  </conditionalFormatting>
  <conditionalFormatting sqref="U68:V68">
    <cfRule type="expression" dxfId="10" priority="237">
      <formula>"if $C$1&lt;"</formula>
    </cfRule>
    <cfRule type="cellIs" dxfId="9" priority="236" operator="equal">
      <formula>45443</formula>
    </cfRule>
  </conditionalFormatting>
  <conditionalFormatting sqref="U129:V129">
    <cfRule type="expression" dxfId="8" priority="233">
      <formula>"if $C$1&lt;"</formula>
    </cfRule>
  </conditionalFormatting>
  <conditionalFormatting sqref="U182:V182">
    <cfRule type="cellIs" dxfId="7" priority="231" operator="equal">
      <formula>45443</formula>
    </cfRule>
    <cfRule type="expression" dxfId="6" priority="234">
      <formula>"if $C$1&lt;"</formula>
    </cfRule>
  </conditionalFormatting>
  <conditionalFormatting sqref="U227:V227">
    <cfRule type="cellIs" dxfId="5" priority="232" operator="equal">
      <formula>45443</formula>
    </cfRule>
    <cfRule type="expression" dxfId="4" priority="235">
      <formula>"if $C$1&lt;"</formula>
    </cfRule>
  </conditionalFormatting>
  <conditionalFormatting sqref="X1:X15 Y3:AA15 X16:AA680 Y681:AA716 X681:X1048576">
    <cfRule type="containsText" dxfId="3" priority="47" operator="containsText" text="Follow-Next Week">
      <formula>NOT(ISERROR(SEARCH("Follow-Next Week",X1)))</formula>
    </cfRule>
    <cfRule type="containsText" dxfId="2" priority="48" operator="containsText" text="Follow-This week">
      <formula>NOT(ISERROR(SEARCH("Follow-This week",X1)))</formula>
    </cfRule>
    <cfRule type="containsText" dxfId="1" priority="46" operator="containsText" text="Overdue">
      <formula>NOT(ISERROR(SEARCH("Overdue",X1)))</formula>
    </cfRule>
    <cfRule type="containsText" dxfId="0" priority="49" operator="containsText" text="completed">
      <formula>NOT(ISERROR(SEARCH("completed",X1)))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2026-10-10T03:39:17Z</cp:lastPrinted>
  <dcterms:created xsi:type="dcterms:W3CDTF">2024-04-23T01:26:48Z</dcterms:created>
  <dcterms:modified xsi:type="dcterms:W3CDTF">2026-10-10T07:58:14Z</dcterms:modified>
</cp:coreProperties>
</file>