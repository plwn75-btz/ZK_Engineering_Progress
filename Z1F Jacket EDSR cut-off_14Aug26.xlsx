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1_cut-off_14Aug26\"/>
    </mc:Choice>
  </mc:AlternateContent>
  <xr:revisionPtr revIDLastSave="0" documentId="13_ncr:1_{46A29AE0-DA73-4702-BCA1-C186D7B0823A}" xr6:coauthVersionLast="47" xr6:coauthVersionMax="47" xr10:uidLastSave="{00000000-0000-0000-0000-000000000000}"/>
  <bookViews>
    <workbookView xWindow="-110" yWindow="-110" windowWidth="25820" windowHeight="15500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EDSR!$A$3:$U$663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X26" i="1" l="1"/>
  <c r="W26" i="1"/>
  <c r="M26" i="1"/>
  <c r="N26" i="1" s="1"/>
  <c r="K26" i="1"/>
  <c r="G26" i="1"/>
  <c r="X24" i="1"/>
  <c r="W24" i="1"/>
  <c r="M24" i="1"/>
  <c r="K24" i="1"/>
  <c r="G24" i="1"/>
  <c r="W21" i="1"/>
  <c r="K21" i="1"/>
  <c r="G21" i="1"/>
  <c r="E24" i="1" l="1"/>
  <c r="H24" i="1" s="1"/>
  <c r="S24" i="1"/>
  <c r="T24" i="1" s="1"/>
  <c r="Z24" i="1" s="1"/>
  <c r="Q24" i="1"/>
  <c r="Y24" i="1" s="1"/>
  <c r="N24" i="1"/>
  <c r="F24" i="1" s="1"/>
  <c r="Q21" i="1"/>
  <c r="Y21" i="1" s="1"/>
  <c r="S21" i="1"/>
  <c r="T21" i="1" s="1"/>
  <c r="Z21" i="1" s="1"/>
  <c r="E21" i="1"/>
  <c r="H21" i="1" s="1"/>
  <c r="N21" i="1"/>
  <c r="X21" i="1" s="1"/>
  <c r="M179" i="1"/>
  <c r="P179" i="1" s="1"/>
  <c r="K179" i="1"/>
  <c r="G179" i="1"/>
  <c r="M135" i="1"/>
  <c r="P135" i="1" s="1"/>
  <c r="K135" i="1"/>
  <c r="G135" i="1"/>
  <c r="M91" i="1"/>
  <c r="N91" i="1" s="1"/>
  <c r="X91" i="1" s="1"/>
  <c r="K91" i="1"/>
  <c r="G91" i="1"/>
  <c r="E26" i="1" l="1"/>
  <c r="H26" i="1" s="1"/>
  <c r="S26" i="1"/>
  <c r="T26" i="1" s="1"/>
  <c r="Z26" i="1" s="1"/>
  <c r="Q26" i="1"/>
  <c r="F21" i="1"/>
  <c r="S179" i="1"/>
  <c r="T179" i="1" s="1"/>
  <c r="Z179" i="1" s="1"/>
  <c r="Q179" i="1"/>
  <c r="Y179" i="1" s="1"/>
  <c r="N179" i="1"/>
  <c r="X179" i="1" s="1"/>
  <c r="W179" i="1"/>
  <c r="S135" i="1"/>
  <c r="T135" i="1" s="1"/>
  <c r="Z135" i="1" s="1"/>
  <c r="Q135" i="1"/>
  <c r="Y135" i="1" s="1"/>
  <c r="N135" i="1"/>
  <c r="X135" i="1" s="1"/>
  <c r="W135" i="1"/>
  <c r="P91" i="1"/>
  <c r="W91" i="1"/>
  <c r="Y26" i="1" l="1"/>
  <c r="F26" i="1"/>
  <c r="E179" i="1"/>
  <c r="H179" i="1" s="1"/>
  <c r="F179" i="1"/>
  <c r="E135" i="1"/>
  <c r="H135" i="1" s="1"/>
  <c r="F135" i="1"/>
  <c r="E91" i="1"/>
  <c r="H91" i="1" s="1"/>
  <c r="S91" i="1"/>
  <c r="T91" i="1" s="1"/>
  <c r="Z91" i="1" s="1"/>
  <c r="Q91" i="1"/>
  <c r="Y91" i="1" l="1"/>
  <c r="F91" i="1"/>
  <c r="X62" i="1" l="1"/>
  <c r="W62" i="1"/>
  <c r="J62" i="1"/>
  <c r="M62" i="1" s="1"/>
  <c r="G62" i="1"/>
  <c r="K62" i="1" l="1"/>
  <c r="N62" i="1"/>
  <c r="S62" i="1" l="1"/>
  <c r="Q62" i="1"/>
  <c r="Y62" i="1" s="1"/>
  <c r="T62" i="1" l="1"/>
  <c r="E62" i="1"/>
  <c r="H62" i="1" s="1"/>
  <c r="Z62" i="1" l="1"/>
  <c r="F62" i="1"/>
  <c r="W27" i="1" l="1"/>
  <c r="W28" i="1"/>
  <c r="M28" i="1"/>
  <c r="N28" i="1" s="1"/>
  <c r="X28" i="1" s="1"/>
  <c r="K28" i="1"/>
  <c r="G28" i="1"/>
  <c r="G9" i="1"/>
  <c r="J75" i="1"/>
  <c r="P28" i="1" l="1"/>
  <c r="S28" i="1" s="1"/>
  <c r="T28" i="1" s="1"/>
  <c r="Z28" i="1" s="1"/>
  <c r="F28" i="1"/>
  <c r="Q28" i="1"/>
  <c r="Y28" i="1" s="1"/>
  <c r="E28" i="1"/>
  <c r="H28" i="1" s="1"/>
  <c r="M27" i="1"/>
  <c r="P27" i="1" s="1"/>
  <c r="S27" i="1" s="1"/>
  <c r="K27" i="1"/>
  <c r="G27" i="1"/>
  <c r="W73" i="1"/>
  <c r="J73" i="1"/>
  <c r="G73" i="1"/>
  <c r="G84" i="1"/>
  <c r="M10" i="1"/>
  <c r="N10" i="1" s="1"/>
  <c r="M12" i="1"/>
  <c r="K38" i="1"/>
  <c r="M38" i="1"/>
  <c r="N38" i="1" s="1"/>
  <c r="K14" i="1"/>
  <c r="M14" i="1"/>
  <c r="N14" i="1"/>
  <c r="N27" i="1" l="1"/>
  <c r="T27" i="1"/>
  <c r="E27" i="1"/>
  <c r="H27" i="1" s="1"/>
  <c r="Q27" i="1"/>
  <c r="P73" i="1"/>
  <c r="N73" i="1"/>
  <c r="X73" i="1" s="1"/>
  <c r="K73" i="1"/>
  <c r="W38" i="1"/>
  <c r="G38" i="1"/>
  <c r="W14" i="1"/>
  <c r="X14" i="1"/>
  <c r="G14" i="1"/>
  <c r="N12" i="1"/>
  <c r="X12" i="1" s="1"/>
  <c r="K12" i="1"/>
  <c r="W12" i="1" s="1"/>
  <c r="G12" i="1"/>
  <c r="K10" i="1"/>
  <c r="W10" i="1" s="1"/>
  <c r="G10" i="1"/>
  <c r="F27" i="1" l="1"/>
  <c r="S73" i="1"/>
  <c r="Q73" i="1"/>
  <c r="Y73" i="1" s="1"/>
  <c r="X84" i="1"/>
  <c r="W84" i="1"/>
  <c r="Q38" i="1"/>
  <c r="Y38" i="1" s="1"/>
  <c r="S38" i="1"/>
  <c r="T38" i="1" s="1"/>
  <c r="Z38" i="1" s="1"/>
  <c r="Q12" i="1"/>
  <c r="Y12" i="1" s="1"/>
  <c r="Q10" i="1"/>
  <c r="Y10" i="1" s="1"/>
  <c r="S10" i="1"/>
  <c r="T10" i="1" s="1"/>
  <c r="Z10" i="1" s="1"/>
  <c r="X10" i="1"/>
  <c r="Z663" i="1"/>
  <c r="Y663" i="1"/>
  <c r="X663" i="1"/>
  <c r="W663" i="1"/>
  <c r="W638" i="1"/>
  <c r="W637" i="1"/>
  <c r="W635" i="1"/>
  <c r="W634" i="1"/>
  <c r="W633" i="1"/>
  <c r="W628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W589" i="1"/>
  <c r="W588" i="1"/>
  <c r="W586" i="1"/>
  <c r="W585" i="1"/>
  <c r="W584" i="1"/>
  <c r="W583" i="1"/>
  <c r="X582" i="1"/>
  <c r="W582" i="1"/>
  <c r="W581" i="1"/>
  <c r="W580" i="1"/>
  <c r="W579" i="1"/>
  <c r="X578" i="1"/>
  <c r="W578" i="1"/>
  <c r="X577" i="1"/>
  <c r="W577" i="1"/>
  <c r="X576" i="1"/>
  <c r="W576" i="1"/>
  <c r="W575" i="1"/>
  <c r="X574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X553" i="1"/>
  <c r="W553" i="1"/>
  <c r="X552" i="1"/>
  <c r="W552" i="1"/>
  <c r="X551" i="1"/>
  <c r="W551" i="1"/>
  <c r="X550" i="1"/>
  <c r="W550" i="1"/>
  <c r="Z549" i="1"/>
  <c r="Y549" i="1"/>
  <c r="X549" i="1"/>
  <c r="W549" i="1"/>
  <c r="Z548" i="1"/>
  <c r="Y548" i="1"/>
  <c r="X548" i="1"/>
  <c r="W548" i="1"/>
  <c r="W523" i="1"/>
  <c r="W522" i="1"/>
  <c r="W520" i="1"/>
  <c r="W519" i="1"/>
  <c r="W518" i="1"/>
  <c r="W507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W468" i="1"/>
  <c r="W467" i="1"/>
  <c r="W465" i="1"/>
  <c r="X464" i="1"/>
  <c r="W464" i="1"/>
  <c r="W463" i="1"/>
  <c r="W462" i="1"/>
  <c r="X461" i="1"/>
  <c r="W461" i="1"/>
  <c r="W460" i="1"/>
  <c r="W459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2" i="1"/>
  <c r="W432" i="1"/>
  <c r="X431" i="1"/>
  <c r="W431" i="1"/>
  <c r="X430" i="1"/>
  <c r="W430" i="1"/>
  <c r="X429" i="1"/>
  <c r="W429" i="1"/>
  <c r="Z428" i="1"/>
  <c r="Y428" i="1"/>
  <c r="X428" i="1"/>
  <c r="W428" i="1"/>
  <c r="Z427" i="1"/>
  <c r="Y427" i="1"/>
  <c r="X427" i="1"/>
  <c r="W427" i="1"/>
  <c r="W423" i="1"/>
  <c r="W411" i="1"/>
  <c r="W410" i="1"/>
  <c r="W409" i="1"/>
  <c r="W408" i="1"/>
  <c r="W407" i="1"/>
  <c r="W406" i="1"/>
  <c r="W405" i="1"/>
  <c r="W404" i="1"/>
  <c r="W403" i="1"/>
  <c r="W402" i="1"/>
  <c r="W401" i="1"/>
  <c r="W399" i="1"/>
  <c r="W398" i="1"/>
  <c r="W397" i="1"/>
  <c r="W392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W353" i="1"/>
  <c r="W352" i="1"/>
  <c r="W350" i="1"/>
  <c r="X349" i="1"/>
  <c r="W349" i="1"/>
  <c r="W348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7" i="1"/>
  <c r="W317" i="1"/>
  <c r="X316" i="1"/>
  <c r="W316" i="1"/>
  <c r="X315" i="1"/>
  <c r="W315" i="1"/>
  <c r="X314" i="1"/>
  <c r="W314" i="1"/>
  <c r="Z313" i="1"/>
  <c r="Y313" i="1"/>
  <c r="X313" i="1"/>
  <c r="W313" i="1"/>
  <c r="Z312" i="1"/>
  <c r="Y312" i="1"/>
  <c r="X312" i="1"/>
  <c r="W312" i="1"/>
  <c r="W309" i="1"/>
  <c r="W307" i="1"/>
  <c r="W306" i="1"/>
  <c r="W305" i="1"/>
  <c r="W304" i="1"/>
  <c r="W303" i="1"/>
  <c r="W302" i="1"/>
  <c r="W301" i="1"/>
  <c r="W300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71" i="1"/>
  <c r="Z268" i="1"/>
  <c r="Y268" i="1"/>
  <c r="X268" i="1"/>
  <c r="W268" i="1"/>
  <c r="Z267" i="1"/>
  <c r="Y267" i="1"/>
  <c r="X267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X247" i="1"/>
  <c r="W247" i="1"/>
  <c r="X246" i="1"/>
  <c r="W246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W227" i="1"/>
  <c r="X226" i="1"/>
  <c r="W226" i="1"/>
  <c r="W225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Z196" i="1"/>
  <c r="Y196" i="1"/>
  <c r="X196" i="1"/>
  <c r="W196" i="1"/>
  <c r="Z195" i="1"/>
  <c r="Y195" i="1"/>
  <c r="X195" i="1"/>
  <c r="W195" i="1"/>
  <c r="X194" i="1"/>
  <c r="W194" i="1"/>
  <c r="X193" i="1"/>
  <c r="W193" i="1"/>
  <c r="X192" i="1"/>
  <c r="W192" i="1"/>
  <c r="X191" i="1"/>
  <c r="W191" i="1"/>
  <c r="Z190" i="1"/>
  <c r="Y190" i="1"/>
  <c r="X190" i="1"/>
  <c r="W190" i="1"/>
  <c r="Z189" i="1"/>
  <c r="Y189" i="1"/>
  <c r="X189" i="1"/>
  <c r="W189" i="1"/>
  <c r="Z188" i="1"/>
  <c r="Y188" i="1"/>
  <c r="X188" i="1"/>
  <c r="W188" i="1"/>
  <c r="Z187" i="1"/>
  <c r="Y187" i="1"/>
  <c r="X187" i="1"/>
  <c r="W187" i="1"/>
  <c r="W185" i="1"/>
  <c r="Z184" i="1"/>
  <c r="Y184" i="1"/>
  <c r="X184" i="1"/>
  <c r="W184" i="1"/>
  <c r="Z183" i="1"/>
  <c r="Y183" i="1"/>
  <c r="X183" i="1"/>
  <c r="W183" i="1"/>
  <c r="Z182" i="1"/>
  <c r="Y182" i="1"/>
  <c r="X182" i="1"/>
  <c r="W182" i="1"/>
  <c r="Z181" i="1"/>
  <c r="Y181" i="1"/>
  <c r="X181" i="1"/>
  <c r="W181" i="1"/>
  <c r="Z180" i="1"/>
  <c r="Y180" i="1"/>
  <c r="X180" i="1"/>
  <c r="W180" i="1"/>
  <c r="X177" i="1"/>
  <c r="W177" i="1"/>
  <c r="W176" i="1"/>
  <c r="W173" i="1"/>
  <c r="W171" i="1"/>
  <c r="W169" i="1"/>
  <c r="W156" i="1"/>
  <c r="W155" i="1"/>
  <c r="W154" i="1"/>
  <c r="W152" i="1"/>
  <c r="Z151" i="1"/>
  <c r="Y151" i="1"/>
  <c r="X151" i="1"/>
  <c r="W151" i="1"/>
  <c r="X150" i="1"/>
  <c r="W150" i="1"/>
  <c r="Y149" i="1"/>
  <c r="X149" i="1"/>
  <c r="W149" i="1"/>
  <c r="Z148" i="1"/>
  <c r="Y148" i="1"/>
  <c r="X148" i="1"/>
  <c r="W148" i="1"/>
  <c r="Y147" i="1"/>
  <c r="X147" i="1"/>
  <c r="W147" i="1"/>
  <c r="Z146" i="1"/>
  <c r="Y146" i="1"/>
  <c r="X146" i="1"/>
  <c r="W146" i="1"/>
  <c r="Z145" i="1"/>
  <c r="Y145" i="1"/>
  <c r="X145" i="1"/>
  <c r="W145" i="1"/>
  <c r="Z144" i="1"/>
  <c r="Y144" i="1"/>
  <c r="X144" i="1"/>
  <c r="W144" i="1"/>
  <c r="Z143" i="1"/>
  <c r="Y143" i="1"/>
  <c r="X143" i="1"/>
  <c r="W143" i="1"/>
  <c r="W141" i="1"/>
  <c r="Z140" i="1"/>
  <c r="Y140" i="1"/>
  <c r="X140" i="1"/>
  <c r="W140" i="1"/>
  <c r="Z139" i="1"/>
  <c r="Y139" i="1"/>
  <c r="X139" i="1"/>
  <c r="W139" i="1"/>
  <c r="Z138" i="1"/>
  <c r="Y138" i="1"/>
  <c r="X138" i="1"/>
  <c r="W138" i="1"/>
  <c r="Z137" i="1"/>
  <c r="Y137" i="1"/>
  <c r="X137" i="1"/>
  <c r="W137" i="1"/>
  <c r="Z136" i="1"/>
  <c r="Y136" i="1"/>
  <c r="X136" i="1"/>
  <c r="W136" i="1"/>
  <c r="X133" i="1"/>
  <c r="W133" i="1"/>
  <c r="X132" i="1"/>
  <c r="W132" i="1"/>
  <c r="W129" i="1"/>
  <c r="W127" i="1"/>
  <c r="W125" i="1"/>
  <c r="W121" i="1"/>
  <c r="W116" i="1"/>
  <c r="W114" i="1"/>
  <c r="W112" i="1"/>
  <c r="W111" i="1"/>
  <c r="W110" i="1"/>
  <c r="W109" i="1"/>
  <c r="W108" i="1"/>
  <c r="Z107" i="1"/>
  <c r="Y107" i="1"/>
  <c r="X107" i="1"/>
  <c r="W107" i="1"/>
  <c r="X106" i="1"/>
  <c r="W106" i="1"/>
  <c r="Y105" i="1"/>
  <c r="X105" i="1"/>
  <c r="W105" i="1"/>
  <c r="Z104" i="1"/>
  <c r="Y104" i="1"/>
  <c r="X104" i="1"/>
  <c r="W104" i="1"/>
  <c r="Y103" i="1"/>
  <c r="X103" i="1"/>
  <c r="W103" i="1"/>
  <c r="Z102" i="1"/>
  <c r="Y102" i="1"/>
  <c r="X102" i="1"/>
  <c r="W102" i="1"/>
  <c r="Z101" i="1"/>
  <c r="Y101" i="1"/>
  <c r="X101" i="1"/>
  <c r="W101" i="1"/>
  <c r="Z100" i="1"/>
  <c r="Y100" i="1"/>
  <c r="X100" i="1"/>
  <c r="W100" i="1"/>
  <c r="Z99" i="1"/>
  <c r="Y99" i="1"/>
  <c r="X99" i="1"/>
  <c r="W99" i="1"/>
  <c r="W97" i="1"/>
  <c r="Z96" i="1"/>
  <c r="Y96" i="1"/>
  <c r="X96" i="1"/>
  <c r="W96" i="1"/>
  <c r="Z95" i="1"/>
  <c r="Y95" i="1"/>
  <c r="X95" i="1"/>
  <c r="W95" i="1"/>
  <c r="Z94" i="1"/>
  <c r="Y94" i="1"/>
  <c r="X94" i="1"/>
  <c r="W94" i="1"/>
  <c r="Z93" i="1"/>
  <c r="Y93" i="1"/>
  <c r="X93" i="1"/>
  <c r="W93" i="1"/>
  <c r="Z92" i="1"/>
  <c r="Y92" i="1"/>
  <c r="X92" i="1"/>
  <c r="W92" i="1"/>
  <c r="X89" i="1"/>
  <c r="W89" i="1"/>
  <c r="X88" i="1"/>
  <c r="W88" i="1"/>
  <c r="W87" i="1"/>
  <c r="W86" i="1"/>
  <c r="X85" i="1"/>
  <c r="W85" i="1"/>
  <c r="W82" i="1"/>
  <c r="X81" i="1"/>
  <c r="W81" i="1"/>
  <c r="X80" i="1"/>
  <c r="W80" i="1"/>
  <c r="W79" i="1"/>
  <c r="X76" i="1"/>
  <c r="W76" i="1"/>
  <c r="X74" i="1"/>
  <c r="W74" i="1"/>
  <c r="W72" i="1"/>
  <c r="W71" i="1"/>
  <c r="W70" i="1"/>
  <c r="X69" i="1"/>
  <c r="W69" i="1"/>
  <c r="W68" i="1"/>
  <c r="W67" i="1"/>
  <c r="W66" i="1"/>
  <c r="W65" i="1"/>
  <c r="X64" i="1"/>
  <c r="W64" i="1"/>
  <c r="W63" i="1"/>
  <c r="X61" i="1"/>
  <c r="W61" i="1"/>
  <c r="Z60" i="1"/>
  <c r="Y60" i="1"/>
  <c r="X60" i="1"/>
  <c r="W60" i="1"/>
  <c r="X59" i="1"/>
  <c r="W59" i="1"/>
  <c r="Y58" i="1"/>
  <c r="X58" i="1"/>
  <c r="W58" i="1"/>
  <c r="Z57" i="1"/>
  <c r="Y57" i="1"/>
  <c r="X57" i="1"/>
  <c r="W57" i="1"/>
  <c r="Y56" i="1"/>
  <c r="X56" i="1"/>
  <c r="W56" i="1"/>
  <c r="Z55" i="1"/>
  <c r="Y55" i="1"/>
  <c r="X55" i="1"/>
  <c r="W55" i="1"/>
  <c r="Z54" i="1"/>
  <c r="Y54" i="1"/>
  <c r="X54" i="1"/>
  <c r="W54" i="1"/>
  <c r="Z53" i="1"/>
  <c r="Y53" i="1"/>
  <c r="X53" i="1"/>
  <c r="W53" i="1"/>
  <c r="Z52" i="1"/>
  <c r="Y52" i="1"/>
  <c r="X52" i="1"/>
  <c r="W52" i="1"/>
  <c r="W50" i="1"/>
  <c r="Z49" i="1"/>
  <c r="Y49" i="1"/>
  <c r="X49" i="1"/>
  <c r="W49" i="1"/>
  <c r="X48" i="1"/>
  <c r="W48" i="1"/>
  <c r="Z47" i="1"/>
  <c r="Y47" i="1"/>
  <c r="X47" i="1"/>
  <c r="W47" i="1"/>
  <c r="Y46" i="1"/>
  <c r="X46" i="1"/>
  <c r="W46" i="1"/>
  <c r="Y45" i="1"/>
  <c r="X45" i="1"/>
  <c r="W45" i="1"/>
  <c r="Y44" i="1"/>
  <c r="X44" i="1"/>
  <c r="W44" i="1"/>
  <c r="Z43" i="1"/>
  <c r="Y43" i="1"/>
  <c r="X43" i="1"/>
  <c r="W43" i="1"/>
  <c r="X42" i="1"/>
  <c r="W42" i="1"/>
  <c r="X41" i="1"/>
  <c r="W41" i="1"/>
  <c r="X40" i="1"/>
  <c r="W40" i="1"/>
  <c r="X39" i="1"/>
  <c r="W39" i="1"/>
  <c r="X37" i="1"/>
  <c r="W37" i="1"/>
  <c r="X36" i="1"/>
  <c r="W36" i="1"/>
  <c r="X35" i="1"/>
  <c r="W35" i="1"/>
  <c r="X34" i="1"/>
  <c r="W34" i="1"/>
  <c r="X33" i="1"/>
  <c r="W33" i="1"/>
  <c r="X32" i="1"/>
  <c r="W32" i="1"/>
  <c r="X29" i="1"/>
  <c r="W29" i="1"/>
  <c r="X25" i="1"/>
  <c r="W25" i="1"/>
  <c r="X23" i="1"/>
  <c r="W23" i="1"/>
  <c r="X22" i="1"/>
  <c r="W22" i="1"/>
  <c r="W20" i="1"/>
  <c r="X19" i="1"/>
  <c r="W19" i="1"/>
  <c r="X18" i="1"/>
  <c r="W18" i="1"/>
  <c r="X17" i="1"/>
  <c r="W17" i="1"/>
  <c r="X16" i="1"/>
  <c r="W16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73" i="1" l="1"/>
  <c r="E73" i="1"/>
  <c r="H73" i="1" s="1"/>
  <c r="Y84" i="1"/>
  <c r="E84" i="1"/>
  <c r="H84" i="1" s="1"/>
  <c r="F38" i="1"/>
  <c r="X38" i="1"/>
  <c r="F10" i="1"/>
  <c r="E38" i="1"/>
  <c r="H38" i="1" s="1"/>
  <c r="S12" i="1"/>
  <c r="T12" i="1" s="1"/>
  <c r="S14" i="1"/>
  <c r="T14" i="1" s="1"/>
  <c r="Z14" i="1" s="1"/>
  <c r="Q14" i="1"/>
  <c r="E10" i="1"/>
  <c r="H10" i="1" s="1"/>
  <c r="M44" i="1"/>
  <c r="N44" i="1" s="1"/>
  <c r="K270" i="1"/>
  <c r="W270" i="1" s="1"/>
  <c r="G269" i="1"/>
  <c r="G270" i="1"/>
  <c r="G271" i="1"/>
  <c r="G272" i="1"/>
  <c r="G273" i="1"/>
  <c r="M270" i="1"/>
  <c r="N270" i="1" s="1"/>
  <c r="X270" i="1" s="1"/>
  <c r="M269" i="1"/>
  <c r="N269" i="1" s="1"/>
  <c r="X269" i="1" s="1"/>
  <c r="K269" i="1"/>
  <c r="W269" i="1" s="1"/>
  <c r="K271" i="1"/>
  <c r="M271" i="1"/>
  <c r="N271" i="1" s="1"/>
  <c r="X271" i="1" s="1"/>
  <c r="K272" i="1"/>
  <c r="W272" i="1" s="1"/>
  <c r="M272" i="1"/>
  <c r="P272" i="1" s="1"/>
  <c r="E12" i="1" l="1"/>
  <c r="H12" i="1" s="1"/>
  <c r="Z73" i="1"/>
  <c r="F73" i="1"/>
  <c r="Z84" i="1"/>
  <c r="F84" i="1"/>
  <c r="E14" i="1"/>
  <c r="H14" i="1" s="1"/>
  <c r="Y14" i="1"/>
  <c r="F14" i="1"/>
  <c r="Z12" i="1"/>
  <c r="F12" i="1"/>
  <c r="N272" i="1"/>
  <c r="X272" i="1" s="1"/>
  <c r="P44" i="1"/>
  <c r="Q44" i="1" s="1"/>
  <c r="S272" i="1"/>
  <c r="T272" i="1" s="1"/>
  <c r="Z272" i="1" s="1"/>
  <c r="P270" i="1"/>
  <c r="P271" i="1"/>
  <c r="P269" i="1"/>
  <c r="Q272" i="1"/>
  <c r="Y272" i="1" s="1"/>
  <c r="K44" i="1"/>
  <c r="G44" i="1"/>
  <c r="J98" i="1"/>
  <c r="M98" i="1" s="1"/>
  <c r="P98" i="1" s="1"/>
  <c r="S98" i="1" s="1"/>
  <c r="M51" i="1"/>
  <c r="P51" i="1" s="1"/>
  <c r="K51" i="1"/>
  <c r="G51" i="1"/>
  <c r="E272" i="1" l="1"/>
  <c r="H272" i="1" s="1"/>
  <c r="K98" i="1"/>
  <c r="W51" i="1"/>
  <c r="F272" i="1"/>
  <c r="S44" i="1"/>
  <c r="T44" i="1" s="1"/>
  <c r="Z44" i="1" s="1"/>
  <c r="S269" i="1"/>
  <c r="Q269" i="1"/>
  <c r="Y269" i="1" s="1"/>
  <c r="S271" i="1"/>
  <c r="E271" i="1" s="1"/>
  <c r="H271" i="1" s="1"/>
  <c r="Q271" i="1"/>
  <c r="Y271" i="1" s="1"/>
  <c r="S270" i="1"/>
  <c r="T270" i="1" s="1"/>
  <c r="Z270" i="1" s="1"/>
  <c r="Q270" i="1"/>
  <c r="J142" i="1"/>
  <c r="S51" i="1"/>
  <c r="E51" i="1" s="1"/>
  <c r="H51" i="1" s="1"/>
  <c r="N51" i="1"/>
  <c r="F270" i="1" l="1"/>
  <c r="Y270" i="1"/>
  <c r="N98" i="1"/>
  <c r="X98" i="1" s="1"/>
  <c r="X51" i="1"/>
  <c r="K142" i="1"/>
  <c r="W98" i="1"/>
  <c r="T269" i="1"/>
  <c r="E269" i="1"/>
  <c r="H269" i="1" s="1"/>
  <c r="E270" i="1"/>
  <c r="H270" i="1" s="1"/>
  <c r="T271" i="1"/>
  <c r="F44" i="1"/>
  <c r="E44" i="1"/>
  <c r="H44" i="1" s="1"/>
  <c r="M142" i="1"/>
  <c r="P142" i="1" s="1"/>
  <c r="S142" i="1" s="1"/>
  <c r="J186" i="1"/>
  <c r="M186" i="1" s="1"/>
  <c r="P186" i="1" s="1"/>
  <c r="S186" i="1" s="1"/>
  <c r="Q51" i="1"/>
  <c r="Y51" i="1" s="1"/>
  <c r="F271" i="1" l="1"/>
  <c r="Z271" i="1"/>
  <c r="F269" i="1"/>
  <c r="Z269" i="1"/>
  <c r="N142" i="1"/>
  <c r="W142" i="1"/>
  <c r="K186" i="1"/>
  <c r="T51" i="1"/>
  <c r="Q98" i="1"/>
  <c r="T98" i="1" l="1"/>
  <c r="Z98" i="1" s="1"/>
  <c r="Y98" i="1"/>
  <c r="F51" i="1"/>
  <c r="Z51" i="1"/>
  <c r="N186" i="1"/>
  <c r="W186" i="1"/>
  <c r="Q142" i="1"/>
  <c r="X142" i="1"/>
  <c r="G628" i="1"/>
  <c r="G629" i="1"/>
  <c r="G630" i="1"/>
  <c r="G631" i="1"/>
  <c r="G632" i="1"/>
  <c r="G507" i="1"/>
  <c r="G508" i="1"/>
  <c r="G509" i="1"/>
  <c r="G510" i="1"/>
  <c r="G511" i="1"/>
  <c r="G512" i="1"/>
  <c r="G513" i="1"/>
  <c r="G514" i="1"/>
  <c r="G515" i="1"/>
  <c r="G516" i="1"/>
  <c r="G517" i="1"/>
  <c r="J392" i="1"/>
  <c r="K392" i="1" s="1"/>
  <c r="J393" i="1"/>
  <c r="J508" i="1" s="1"/>
  <c r="J629" i="1" s="1"/>
  <c r="J394" i="1"/>
  <c r="J509" i="1" s="1"/>
  <c r="J630" i="1" s="1"/>
  <c r="J395" i="1"/>
  <c r="K395" i="1" s="1"/>
  <c r="W395" i="1" s="1"/>
  <c r="J396" i="1"/>
  <c r="M396" i="1" s="1"/>
  <c r="P396" i="1" s="1"/>
  <c r="G392" i="1"/>
  <c r="G393" i="1"/>
  <c r="G394" i="1"/>
  <c r="G395" i="1"/>
  <c r="G396" i="1"/>
  <c r="K274" i="1"/>
  <c r="W274" i="1" s="1"/>
  <c r="K275" i="1"/>
  <c r="W275" i="1" s="1"/>
  <c r="K276" i="1"/>
  <c r="W276" i="1" s="1"/>
  <c r="K277" i="1"/>
  <c r="W277" i="1" s="1"/>
  <c r="K278" i="1"/>
  <c r="W278" i="1" s="1"/>
  <c r="K279" i="1"/>
  <c r="W279" i="1" s="1"/>
  <c r="K280" i="1"/>
  <c r="W280" i="1" s="1"/>
  <c r="K281" i="1"/>
  <c r="W281" i="1" s="1"/>
  <c r="K273" i="1"/>
  <c r="W273" i="1" s="1"/>
  <c r="M273" i="1"/>
  <c r="M274" i="1"/>
  <c r="P274" i="1" s="1"/>
  <c r="M275" i="1"/>
  <c r="N275" i="1" s="1"/>
  <c r="X275" i="1" s="1"/>
  <c r="M276" i="1"/>
  <c r="N276" i="1" s="1"/>
  <c r="X276" i="1" s="1"/>
  <c r="M277" i="1"/>
  <c r="N277" i="1" s="1"/>
  <c r="X277" i="1" s="1"/>
  <c r="M278" i="1"/>
  <c r="P278" i="1" s="1"/>
  <c r="M279" i="1"/>
  <c r="N279" i="1" s="1"/>
  <c r="X279" i="1" s="1"/>
  <c r="M280" i="1"/>
  <c r="P280" i="1" s="1"/>
  <c r="S280" i="1" s="1"/>
  <c r="T280" i="1" s="1"/>
  <c r="Z280" i="1" s="1"/>
  <c r="M281" i="1"/>
  <c r="N281" i="1" s="1"/>
  <c r="X281" i="1" s="1"/>
  <c r="G274" i="1"/>
  <c r="G275" i="1"/>
  <c r="G276" i="1"/>
  <c r="G277" i="1"/>
  <c r="G278" i="1"/>
  <c r="G279" i="1"/>
  <c r="G280" i="1"/>
  <c r="G281" i="1"/>
  <c r="Q186" i="1" l="1"/>
  <c r="X186" i="1"/>
  <c r="T142" i="1"/>
  <c r="Z142" i="1" s="1"/>
  <c r="Y142" i="1"/>
  <c r="N273" i="1"/>
  <c r="X273" i="1" s="1"/>
  <c r="K394" i="1"/>
  <c r="W394" i="1" s="1"/>
  <c r="M392" i="1"/>
  <c r="N392" i="1" s="1"/>
  <c r="X392" i="1" s="1"/>
  <c r="P276" i="1"/>
  <c r="Q276" i="1" s="1"/>
  <c r="Y276" i="1" s="1"/>
  <c r="K630" i="1"/>
  <c r="W630" i="1" s="1"/>
  <c r="M630" i="1"/>
  <c r="N630" i="1" s="1"/>
  <c r="X630" i="1" s="1"/>
  <c r="M629" i="1"/>
  <c r="K629" i="1"/>
  <c r="W629" i="1" s="1"/>
  <c r="N274" i="1"/>
  <c r="X274" i="1" s="1"/>
  <c r="M394" i="1"/>
  <c r="N394" i="1" s="1"/>
  <c r="X394" i="1" s="1"/>
  <c r="S274" i="1"/>
  <c r="T274" i="1" s="1"/>
  <c r="Z274" i="1" s="1"/>
  <c r="Q274" i="1"/>
  <c r="Y274" i="1" s="1"/>
  <c r="K509" i="1"/>
  <c r="W509" i="1" s="1"/>
  <c r="M509" i="1"/>
  <c r="M508" i="1"/>
  <c r="K508" i="1"/>
  <c r="W508" i="1" s="1"/>
  <c r="M393" i="1"/>
  <c r="J511" i="1"/>
  <c r="J632" i="1" s="1"/>
  <c r="J510" i="1"/>
  <c r="J631" i="1" s="1"/>
  <c r="J507" i="1"/>
  <c r="J628" i="1" s="1"/>
  <c r="M395" i="1"/>
  <c r="N278" i="1"/>
  <c r="X278" i="1" s="1"/>
  <c r="P273" i="1"/>
  <c r="N396" i="1"/>
  <c r="X396" i="1" s="1"/>
  <c r="Q396" i="1"/>
  <c r="Y396" i="1" s="1"/>
  <c r="S396" i="1"/>
  <c r="T396" i="1" s="1"/>
  <c r="Z396" i="1" s="1"/>
  <c r="K396" i="1"/>
  <c r="W396" i="1" s="1"/>
  <c r="K393" i="1"/>
  <c r="W393" i="1" s="1"/>
  <c r="S278" i="1"/>
  <c r="T278" i="1" s="1"/>
  <c r="Z278" i="1" s="1"/>
  <c r="Q278" i="1"/>
  <c r="Y278" i="1" s="1"/>
  <c r="N280" i="1"/>
  <c r="X280" i="1" s="1"/>
  <c r="Q280" i="1"/>
  <c r="Y280" i="1" s="1"/>
  <c r="E280" i="1"/>
  <c r="H280" i="1" s="1"/>
  <c r="P281" i="1"/>
  <c r="P279" i="1"/>
  <c r="P277" i="1"/>
  <c r="P275" i="1"/>
  <c r="E396" i="1" l="1"/>
  <c r="H396" i="1" s="1"/>
  <c r="P630" i="1"/>
  <c r="E278" i="1"/>
  <c r="H278" i="1" s="1"/>
  <c r="P392" i="1"/>
  <c r="T186" i="1"/>
  <c r="Z186" i="1" s="1"/>
  <c r="Y186" i="1"/>
  <c r="F274" i="1"/>
  <c r="E274" i="1"/>
  <c r="H274" i="1" s="1"/>
  <c r="F278" i="1"/>
  <c r="P394" i="1"/>
  <c r="Q394" i="1" s="1"/>
  <c r="Y394" i="1" s="1"/>
  <c r="S276" i="1"/>
  <c r="T276" i="1" s="1"/>
  <c r="K631" i="1"/>
  <c r="W631" i="1" s="1"/>
  <c r="M631" i="1"/>
  <c r="K628" i="1"/>
  <c r="M628" i="1"/>
  <c r="P629" i="1"/>
  <c r="N629" i="1"/>
  <c r="X629" i="1" s="1"/>
  <c r="K632" i="1"/>
  <c r="W632" i="1" s="1"/>
  <c r="M632" i="1"/>
  <c r="S630" i="1"/>
  <c r="T630" i="1" s="1"/>
  <c r="Z630" i="1" s="1"/>
  <c r="Q630" i="1"/>
  <c r="Y630" i="1" s="1"/>
  <c r="Q392" i="1"/>
  <c r="Y392" i="1" s="1"/>
  <c r="S392" i="1"/>
  <c r="T392" i="1" s="1"/>
  <c r="Z392" i="1" s="1"/>
  <c r="K510" i="1"/>
  <c r="W510" i="1" s="1"/>
  <c r="M510" i="1"/>
  <c r="P393" i="1"/>
  <c r="N393" i="1"/>
  <c r="X393" i="1" s="1"/>
  <c r="P508" i="1"/>
  <c r="N508" i="1"/>
  <c r="X508" i="1" s="1"/>
  <c r="K507" i="1"/>
  <c r="M507" i="1"/>
  <c r="N509" i="1"/>
  <c r="X509" i="1" s="1"/>
  <c r="P509" i="1"/>
  <c r="J512" i="1"/>
  <c r="K511" i="1"/>
  <c r="W511" i="1" s="1"/>
  <c r="M511" i="1"/>
  <c r="S273" i="1"/>
  <c r="E273" i="1" s="1"/>
  <c r="H273" i="1" s="1"/>
  <c r="Q273" i="1"/>
  <c r="Y273" i="1" s="1"/>
  <c r="F396" i="1"/>
  <c r="N395" i="1"/>
  <c r="X395" i="1" s="1"/>
  <c r="P395" i="1"/>
  <c r="F280" i="1"/>
  <c r="Q277" i="1"/>
  <c r="Y277" i="1" s="1"/>
  <c r="S277" i="1"/>
  <c r="T277" i="1" s="1"/>
  <c r="Z277" i="1" s="1"/>
  <c r="Q281" i="1"/>
  <c r="Y281" i="1" s="1"/>
  <c r="S281" i="1"/>
  <c r="T281" i="1" s="1"/>
  <c r="Z281" i="1" s="1"/>
  <c r="Q275" i="1"/>
  <c r="Y275" i="1" s="1"/>
  <c r="S275" i="1"/>
  <c r="T275" i="1" s="1"/>
  <c r="Z275" i="1" s="1"/>
  <c r="Q279" i="1"/>
  <c r="Y279" i="1" s="1"/>
  <c r="S279" i="1"/>
  <c r="T279" i="1" s="1"/>
  <c r="Z279" i="1" s="1"/>
  <c r="E276" i="1" l="1"/>
  <c r="H276" i="1" s="1"/>
  <c r="F276" i="1"/>
  <c r="Z276" i="1"/>
  <c r="S394" i="1"/>
  <c r="T394" i="1" s="1"/>
  <c r="Z394" i="1" s="1"/>
  <c r="E281" i="1"/>
  <c r="H281" i="1" s="1"/>
  <c r="E279" i="1"/>
  <c r="H279" i="1" s="1"/>
  <c r="F275" i="1"/>
  <c r="F281" i="1"/>
  <c r="F394" i="1"/>
  <c r="F630" i="1"/>
  <c r="F392" i="1"/>
  <c r="E394" i="1"/>
  <c r="H394" i="1" s="1"/>
  <c r="E630" i="1"/>
  <c r="H630" i="1" s="1"/>
  <c r="P632" i="1"/>
  <c r="N632" i="1"/>
  <c r="X632" i="1" s="1"/>
  <c r="Q629" i="1"/>
  <c r="Y629" i="1" s="1"/>
  <c r="S629" i="1"/>
  <c r="T629" i="1" s="1"/>
  <c r="Z629" i="1" s="1"/>
  <c r="P628" i="1"/>
  <c r="N628" i="1"/>
  <c r="X628" i="1" s="1"/>
  <c r="N631" i="1"/>
  <c r="X631" i="1" s="1"/>
  <c r="P631" i="1"/>
  <c r="E392" i="1"/>
  <c r="H392" i="1" s="1"/>
  <c r="Q393" i="1"/>
  <c r="Y393" i="1" s="1"/>
  <c r="S393" i="1"/>
  <c r="P511" i="1"/>
  <c r="N511" i="1"/>
  <c r="X511" i="1" s="1"/>
  <c r="P510" i="1"/>
  <c r="N510" i="1"/>
  <c r="X510" i="1" s="1"/>
  <c r="J513" i="1"/>
  <c r="K512" i="1"/>
  <c r="W512" i="1" s="1"/>
  <c r="M512" i="1"/>
  <c r="Q508" i="1"/>
  <c r="Y508" i="1" s="1"/>
  <c r="S508" i="1"/>
  <c r="F277" i="1"/>
  <c r="Q509" i="1"/>
  <c r="Y509" i="1" s="1"/>
  <c r="S509" i="1"/>
  <c r="T509" i="1" s="1"/>
  <c r="Z509" i="1" s="1"/>
  <c r="P507" i="1"/>
  <c r="N507" i="1"/>
  <c r="X507" i="1" s="1"/>
  <c r="E277" i="1"/>
  <c r="H277" i="1" s="1"/>
  <c r="T273" i="1"/>
  <c r="S395" i="1"/>
  <c r="Q395" i="1"/>
  <c r="Y395" i="1" s="1"/>
  <c r="F279" i="1"/>
  <c r="E275" i="1"/>
  <c r="H275" i="1" s="1"/>
  <c r="F273" i="1" l="1"/>
  <c r="Z273" i="1"/>
  <c r="F629" i="1"/>
  <c r="F509" i="1"/>
  <c r="E509" i="1"/>
  <c r="H509" i="1" s="1"/>
  <c r="Q628" i="1"/>
  <c r="Y628" i="1" s="1"/>
  <c r="S628" i="1"/>
  <c r="E629" i="1"/>
  <c r="H629" i="1" s="1"/>
  <c r="S631" i="1"/>
  <c r="Q631" i="1"/>
  <c r="Y631" i="1" s="1"/>
  <c r="S632" i="1"/>
  <c r="Q632" i="1"/>
  <c r="Y632" i="1" s="1"/>
  <c r="P512" i="1"/>
  <c r="N512" i="1"/>
  <c r="X512" i="1" s="1"/>
  <c r="S507" i="1"/>
  <c r="T507" i="1" s="1"/>
  <c r="Z507" i="1" s="1"/>
  <c r="Q507" i="1"/>
  <c r="Y507" i="1" s="1"/>
  <c r="J514" i="1"/>
  <c r="K513" i="1"/>
  <c r="W513" i="1" s="1"/>
  <c r="M513" i="1"/>
  <c r="Q510" i="1"/>
  <c r="Y510" i="1" s="1"/>
  <c r="S510" i="1"/>
  <c r="T510" i="1" s="1"/>
  <c r="Z510" i="1" s="1"/>
  <c r="E510" i="1"/>
  <c r="H510" i="1" s="1"/>
  <c r="Q511" i="1"/>
  <c r="Y511" i="1" s="1"/>
  <c r="S511" i="1"/>
  <c r="T393" i="1"/>
  <c r="E393" i="1"/>
  <c r="H393" i="1" s="1"/>
  <c r="T508" i="1"/>
  <c r="E508" i="1"/>
  <c r="H508" i="1" s="1"/>
  <c r="T395" i="1"/>
  <c r="E395" i="1"/>
  <c r="H395" i="1" s="1"/>
  <c r="F395" i="1" l="1"/>
  <c r="Z395" i="1"/>
  <c r="F508" i="1"/>
  <c r="Z508" i="1"/>
  <c r="F393" i="1"/>
  <c r="Z393" i="1"/>
  <c r="F507" i="1"/>
  <c r="E628" i="1"/>
  <c r="H628" i="1" s="1"/>
  <c r="T628" i="1"/>
  <c r="T632" i="1"/>
  <c r="E632" i="1"/>
  <c r="H632" i="1" s="1"/>
  <c r="F510" i="1"/>
  <c r="E631" i="1"/>
  <c r="H631" i="1" s="1"/>
  <c r="T631" i="1"/>
  <c r="E507" i="1"/>
  <c r="H507" i="1" s="1"/>
  <c r="P513" i="1"/>
  <c r="N513" i="1"/>
  <c r="X513" i="1" s="1"/>
  <c r="K514" i="1"/>
  <c r="W514" i="1" s="1"/>
  <c r="J515" i="1"/>
  <c r="M514" i="1"/>
  <c r="Q512" i="1"/>
  <c r="Y512" i="1" s="1"/>
  <c r="S512" i="1"/>
  <c r="T511" i="1"/>
  <c r="E511" i="1"/>
  <c r="H511" i="1" s="1"/>
  <c r="F511" i="1" l="1"/>
  <c r="Z511" i="1"/>
  <c r="F632" i="1"/>
  <c r="Z632" i="1"/>
  <c r="F628" i="1"/>
  <c r="Z628" i="1"/>
  <c r="F631" i="1"/>
  <c r="Z631" i="1"/>
  <c r="E512" i="1"/>
  <c r="H512" i="1" s="1"/>
  <c r="T512" i="1"/>
  <c r="Z512" i="1" s="1"/>
  <c r="N514" i="1"/>
  <c r="X514" i="1" s="1"/>
  <c r="P514" i="1"/>
  <c r="J516" i="1"/>
  <c r="K515" i="1"/>
  <c r="W515" i="1" s="1"/>
  <c r="M515" i="1"/>
  <c r="S513" i="1"/>
  <c r="T513" i="1" s="1"/>
  <c r="Z513" i="1" s="1"/>
  <c r="Q513" i="1"/>
  <c r="E513" i="1"/>
  <c r="H513" i="1" s="1"/>
  <c r="F513" i="1" l="1"/>
  <c r="Y513" i="1"/>
  <c r="F512" i="1"/>
  <c r="N515" i="1"/>
  <c r="X515" i="1" s="1"/>
  <c r="P515" i="1"/>
  <c r="K516" i="1"/>
  <c r="W516" i="1" s="1"/>
  <c r="M516" i="1"/>
  <c r="J517" i="1"/>
  <c r="Q514" i="1"/>
  <c r="Y514" i="1" s="1"/>
  <c r="S514" i="1"/>
  <c r="T514" i="1" s="1"/>
  <c r="E514" i="1"/>
  <c r="H514" i="1" s="1"/>
  <c r="F514" i="1" l="1"/>
  <c r="Z514" i="1"/>
  <c r="S515" i="1"/>
  <c r="T515" i="1" s="1"/>
  <c r="Z515" i="1" s="1"/>
  <c r="Q515" i="1"/>
  <c r="Y515" i="1" s="1"/>
  <c r="K517" i="1"/>
  <c r="W517" i="1" s="1"/>
  <c r="M517" i="1"/>
  <c r="N516" i="1"/>
  <c r="X516" i="1" s="1"/>
  <c r="P516" i="1"/>
  <c r="F515" i="1"/>
  <c r="E515" i="1"/>
  <c r="H515" i="1" s="1"/>
  <c r="Q516" i="1" l="1"/>
  <c r="Y516" i="1" s="1"/>
  <c r="S516" i="1"/>
  <c r="T516" i="1" s="1"/>
  <c r="Z516" i="1" s="1"/>
  <c r="E516" i="1"/>
  <c r="H516" i="1" s="1"/>
  <c r="P517" i="1"/>
  <c r="N517" i="1"/>
  <c r="X517" i="1" s="1"/>
  <c r="F516" i="1" l="1"/>
  <c r="Q517" i="1"/>
  <c r="Y517" i="1" s="1"/>
  <c r="S517" i="1"/>
  <c r="T517" i="1" s="1"/>
  <c r="Z517" i="1" s="1"/>
  <c r="E517" i="1"/>
  <c r="H517" i="1" s="1"/>
  <c r="F517" i="1" l="1"/>
  <c r="I603" i="1"/>
  <c r="I482" i="1"/>
  <c r="I367" i="1"/>
  <c r="I244" i="1"/>
  <c r="J97" i="1" l="1"/>
  <c r="M97" i="1" s="1"/>
  <c r="P97" i="1" s="1"/>
  <c r="S97" i="1" s="1"/>
  <c r="M50" i="1"/>
  <c r="P50" i="1" s="1"/>
  <c r="K50" i="1"/>
  <c r="N50" i="1" s="1"/>
  <c r="X50" i="1" s="1"/>
  <c r="G50" i="1"/>
  <c r="M46" i="1"/>
  <c r="P46" i="1" s="1"/>
  <c r="K46" i="1"/>
  <c r="M45" i="1"/>
  <c r="P45" i="1" s="1"/>
  <c r="K45" i="1"/>
  <c r="G45" i="1"/>
  <c r="G46" i="1"/>
  <c r="K49" i="1"/>
  <c r="M49" i="1"/>
  <c r="P49" i="1" s="1"/>
  <c r="G49" i="1"/>
  <c r="M48" i="1"/>
  <c r="P48" i="1" s="1"/>
  <c r="K48" i="1"/>
  <c r="K47" i="1"/>
  <c r="M47" i="1"/>
  <c r="N47" i="1" s="1"/>
  <c r="G47" i="1"/>
  <c r="G48" i="1"/>
  <c r="J141" i="1" l="1"/>
  <c r="K97" i="1"/>
  <c r="Q50" i="1"/>
  <c r="Y50" i="1" s="1"/>
  <c r="S50" i="1"/>
  <c r="T50" i="1" s="1"/>
  <c r="Z50" i="1" s="1"/>
  <c r="E50" i="1"/>
  <c r="H50" i="1" s="1"/>
  <c r="N45" i="1"/>
  <c r="S45" i="1"/>
  <c r="T45" i="1" s="1"/>
  <c r="Z45" i="1" s="1"/>
  <c r="Q45" i="1"/>
  <c r="F45" i="1"/>
  <c r="N46" i="1"/>
  <c r="S46" i="1"/>
  <c r="T46" i="1" s="1"/>
  <c r="Z46" i="1" s="1"/>
  <c r="Q46" i="1"/>
  <c r="P47" i="1"/>
  <c r="Q47" i="1" s="1"/>
  <c r="N49" i="1"/>
  <c r="S49" i="1"/>
  <c r="T49" i="1" s="1"/>
  <c r="Q49" i="1"/>
  <c r="Q48" i="1"/>
  <c r="Y48" i="1" s="1"/>
  <c r="S48" i="1"/>
  <c r="T48" i="1" s="1"/>
  <c r="Z48" i="1" s="1"/>
  <c r="N48" i="1"/>
  <c r="F50" i="1" l="1"/>
  <c r="M141" i="1"/>
  <c r="P141" i="1" s="1"/>
  <c r="S141" i="1" s="1"/>
  <c r="J185" i="1"/>
  <c r="M185" i="1" s="1"/>
  <c r="P185" i="1" s="1"/>
  <c r="S185" i="1" s="1"/>
  <c r="N97" i="1"/>
  <c r="K141" i="1"/>
  <c r="F46" i="1"/>
  <c r="E46" i="1"/>
  <c r="H46" i="1" s="1"/>
  <c r="S47" i="1"/>
  <c r="T47" i="1" s="1"/>
  <c r="F47" i="1" s="1"/>
  <c r="F49" i="1"/>
  <c r="E49" i="1"/>
  <c r="H49" i="1" s="1"/>
  <c r="E45" i="1"/>
  <c r="H45" i="1" s="1"/>
  <c r="E48" i="1"/>
  <c r="H48" i="1" s="1"/>
  <c r="F48" i="1"/>
  <c r="Q97" i="1" l="1"/>
  <c r="X97" i="1"/>
  <c r="E47" i="1"/>
  <c r="H47" i="1" s="1"/>
  <c r="N141" i="1"/>
  <c r="K185" i="1"/>
  <c r="N185" i="1" s="1"/>
  <c r="K176" i="1"/>
  <c r="M176" i="1"/>
  <c r="N176" i="1" s="1"/>
  <c r="X176" i="1" s="1"/>
  <c r="K177" i="1"/>
  <c r="M177" i="1"/>
  <c r="N177" i="1" s="1"/>
  <c r="K178" i="1"/>
  <c r="W178" i="1" s="1"/>
  <c r="M178" i="1"/>
  <c r="N178" i="1" s="1"/>
  <c r="X178" i="1" s="1"/>
  <c r="K132" i="1"/>
  <c r="M132" i="1"/>
  <c r="N132" i="1" s="1"/>
  <c r="K133" i="1"/>
  <c r="M133" i="1"/>
  <c r="N133" i="1" s="1"/>
  <c r="K134" i="1"/>
  <c r="W134" i="1" s="1"/>
  <c r="M134" i="1"/>
  <c r="N134" i="1" s="1"/>
  <c r="X134" i="1" s="1"/>
  <c r="K88" i="1"/>
  <c r="M88" i="1"/>
  <c r="N88" i="1" s="1"/>
  <c r="K89" i="1"/>
  <c r="M89" i="1"/>
  <c r="N89" i="1" s="1"/>
  <c r="K90" i="1"/>
  <c r="M90" i="1"/>
  <c r="M41" i="1"/>
  <c r="N41" i="1" s="1"/>
  <c r="M42" i="1"/>
  <c r="N42" i="1" s="1"/>
  <c r="M43" i="1"/>
  <c r="N43" i="1" s="1"/>
  <c r="K41" i="1"/>
  <c r="K42" i="1"/>
  <c r="K43" i="1"/>
  <c r="G88" i="1"/>
  <c r="G89" i="1"/>
  <c r="G132" i="1"/>
  <c r="G133" i="1"/>
  <c r="G176" i="1"/>
  <c r="G177" i="1"/>
  <c r="G41" i="1"/>
  <c r="G42" i="1"/>
  <c r="N90" i="1" l="1"/>
  <c r="X90" i="1" s="1"/>
  <c r="W90" i="1"/>
  <c r="Q141" i="1"/>
  <c r="X141" i="1"/>
  <c r="Q185" i="1"/>
  <c r="X185" i="1"/>
  <c r="T97" i="1"/>
  <c r="Z97" i="1" s="1"/>
  <c r="Y97" i="1"/>
  <c r="P133" i="1"/>
  <c r="S133" i="1" s="1"/>
  <c r="T133" i="1" s="1"/>
  <c r="Z133" i="1" s="1"/>
  <c r="P90" i="1"/>
  <c r="Q90" i="1" s="1"/>
  <c r="Y90" i="1" s="1"/>
  <c r="P89" i="1"/>
  <c r="S89" i="1" s="1"/>
  <c r="T89" i="1" s="1"/>
  <c r="Z89" i="1" s="1"/>
  <c r="P176" i="1"/>
  <c r="Q176" i="1" s="1"/>
  <c r="Y176" i="1" s="1"/>
  <c r="P88" i="1"/>
  <c r="P177" i="1"/>
  <c r="S177" i="1" s="1"/>
  <c r="T177" i="1" s="1"/>
  <c r="Z177" i="1" s="1"/>
  <c r="P42" i="1"/>
  <c r="Q42" i="1" s="1"/>
  <c r="Y42" i="1" s="1"/>
  <c r="P43" i="1"/>
  <c r="Q43" i="1" s="1"/>
  <c r="P41" i="1"/>
  <c r="Q41" i="1" s="1"/>
  <c r="Y41" i="1" s="1"/>
  <c r="P178" i="1"/>
  <c r="P134" i="1"/>
  <c r="P132" i="1"/>
  <c r="E89" i="1" l="1"/>
  <c r="H89" i="1" s="1"/>
  <c r="Q177" i="1"/>
  <c r="Y177" i="1" s="1"/>
  <c r="S90" i="1"/>
  <c r="Q89" i="1"/>
  <c r="Y89" i="1" s="1"/>
  <c r="T185" i="1"/>
  <c r="Z185" i="1" s="1"/>
  <c r="Y185" i="1"/>
  <c r="T141" i="1"/>
  <c r="Z141" i="1" s="1"/>
  <c r="Y141" i="1"/>
  <c r="S42" i="1"/>
  <c r="T42" i="1" s="1"/>
  <c r="Z42" i="1" s="1"/>
  <c r="Q133" i="1"/>
  <c r="Y133" i="1" s="1"/>
  <c r="E133" i="1"/>
  <c r="H133" i="1" s="1"/>
  <c r="F177" i="1"/>
  <c r="S43" i="1"/>
  <c r="T43" i="1" s="1"/>
  <c r="S176" i="1"/>
  <c r="T176" i="1" s="1"/>
  <c r="E177" i="1"/>
  <c r="H177" i="1" s="1"/>
  <c r="Q88" i="1"/>
  <c r="Y88" i="1" s="1"/>
  <c r="S88" i="1"/>
  <c r="T90" i="1"/>
  <c r="S41" i="1"/>
  <c r="T41" i="1" s="1"/>
  <c r="S178" i="1"/>
  <c r="T178" i="1" s="1"/>
  <c r="Z178" i="1" s="1"/>
  <c r="Q178" i="1"/>
  <c r="Q132" i="1"/>
  <c r="Y132" i="1" s="1"/>
  <c r="S132" i="1"/>
  <c r="T132" i="1" s="1"/>
  <c r="Z132" i="1" s="1"/>
  <c r="Q134" i="1"/>
  <c r="Y134" i="1" s="1"/>
  <c r="S134" i="1"/>
  <c r="T134" i="1" s="1"/>
  <c r="Z134" i="1" s="1"/>
  <c r="F133" i="1" l="1"/>
  <c r="F89" i="1"/>
  <c r="F42" i="1"/>
  <c r="F41" i="1"/>
  <c r="Z41" i="1"/>
  <c r="F176" i="1"/>
  <c r="Z176" i="1"/>
  <c r="Y178" i="1"/>
  <c r="E42" i="1"/>
  <c r="H42" i="1" s="1"/>
  <c r="Z90" i="1"/>
  <c r="E176" i="1"/>
  <c r="H176" i="1" s="1"/>
  <c r="E41" i="1"/>
  <c r="H41" i="1" s="1"/>
  <c r="T88" i="1"/>
  <c r="E88" i="1"/>
  <c r="H88" i="1" s="1"/>
  <c r="E132" i="1"/>
  <c r="H132" i="1" s="1"/>
  <c r="F132" i="1"/>
  <c r="F88" i="1" l="1"/>
  <c r="Z88" i="1"/>
  <c r="J315" i="1"/>
  <c r="J430" i="1" s="1"/>
  <c r="J551" i="1" s="1"/>
  <c r="J316" i="1"/>
  <c r="J431" i="1" s="1"/>
  <c r="J552" i="1" s="1"/>
  <c r="J317" i="1"/>
  <c r="J432" i="1" s="1"/>
  <c r="J553" i="1" s="1"/>
  <c r="J318" i="1"/>
  <c r="J433" i="1" s="1"/>
  <c r="J554" i="1" s="1"/>
  <c r="J319" i="1"/>
  <c r="J434" i="1" s="1"/>
  <c r="J555" i="1" s="1"/>
  <c r="J320" i="1"/>
  <c r="J435" i="1" s="1"/>
  <c r="J556" i="1" s="1"/>
  <c r="M556" i="1" s="1"/>
  <c r="P556" i="1" s="1"/>
  <c r="J321" i="1"/>
  <c r="J436" i="1" s="1"/>
  <c r="J557" i="1" s="1"/>
  <c r="M557" i="1" s="1"/>
  <c r="P557" i="1" s="1"/>
  <c r="J322" i="1"/>
  <c r="J437" i="1" s="1"/>
  <c r="J558" i="1" s="1"/>
  <c r="M558" i="1" s="1"/>
  <c r="P558" i="1" s="1"/>
  <c r="J323" i="1"/>
  <c r="J438" i="1" s="1"/>
  <c r="J559" i="1" s="1"/>
  <c r="M559" i="1" s="1"/>
  <c r="P559" i="1" s="1"/>
  <c r="J324" i="1"/>
  <c r="J439" i="1" s="1"/>
  <c r="J560" i="1" s="1"/>
  <c r="M560" i="1" s="1"/>
  <c r="P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M569" i="1" s="1"/>
  <c r="P569" i="1" s="1"/>
  <c r="J334" i="1"/>
  <c r="J449" i="1" s="1"/>
  <c r="J570" i="1" s="1"/>
  <c r="M570" i="1" s="1"/>
  <c r="P570" i="1" s="1"/>
  <c r="J335" i="1"/>
  <c r="J450" i="1" s="1"/>
  <c r="J571" i="1" s="1"/>
  <c r="M571" i="1" s="1"/>
  <c r="P571" i="1" s="1"/>
  <c r="J336" i="1"/>
  <c r="J451" i="1" s="1"/>
  <c r="J572" i="1" s="1"/>
  <c r="M572" i="1" s="1"/>
  <c r="P572" i="1" s="1"/>
  <c r="J337" i="1"/>
  <c r="J452" i="1" s="1"/>
  <c r="J573" i="1" s="1"/>
  <c r="M573" i="1" s="1"/>
  <c r="P573" i="1" s="1"/>
  <c r="J338" i="1"/>
  <c r="J453" i="1" s="1"/>
  <c r="J574" i="1" s="1"/>
  <c r="M574" i="1" s="1"/>
  <c r="P574" i="1" s="1"/>
  <c r="J339" i="1"/>
  <c r="J454" i="1" s="1"/>
  <c r="J575" i="1" s="1"/>
  <c r="M575" i="1" s="1"/>
  <c r="P575" i="1" s="1"/>
  <c r="J340" i="1"/>
  <c r="J455" i="1" s="1"/>
  <c r="J576" i="1" s="1"/>
  <c r="M576" i="1" s="1"/>
  <c r="P576" i="1" s="1"/>
  <c r="J341" i="1"/>
  <c r="J456" i="1" s="1"/>
  <c r="J577" i="1" s="1"/>
  <c r="M577" i="1" s="1"/>
  <c r="P577" i="1" s="1"/>
  <c r="J342" i="1"/>
  <c r="J457" i="1" s="1"/>
  <c r="J578" i="1" s="1"/>
  <c r="M578" i="1" s="1"/>
  <c r="P578" i="1" s="1"/>
  <c r="J343" i="1"/>
  <c r="J458" i="1" s="1"/>
  <c r="J579" i="1" s="1"/>
  <c r="M579" i="1" s="1"/>
  <c r="P579" i="1" s="1"/>
  <c r="J344" i="1"/>
  <c r="J459" i="1" s="1"/>
  <c r="J580" i="1" s="1"/>
  <c r="M580" i="1" s="1"/>
  <c r="P580" i="1" s="1"/>
  <c r="J345" i="1"/>
  <c r="J460" i="1" s="1"/>
  <c r="J581" i="1" s="1"/>
  <c r="M581" i="1" s="1"/>
  <c r="P581" i="1" s="1"/>
  <c r="J346" i="1"/>
  <c r="J461" i="1" s="1"/>
  <c r="J582" i="1" s="1"/>
  <c r="M582" i="1" s="1"/>
  <c r="P582" i="1" s="1"/>
  <c r="J347" i="1"/>
  <c r="J462" i="1" s="1"/>
  <c r="J583" i="1" s="1"/>
  <c r="J348" i="1"/>
  <c r="J463" i="1" s="1"/>
  <c r="J584" i="1" s="1"/>
  <c r="J349" i="1"/>
  <c r="J464" i="1" s="1"/>
  <c r="J585" i="1" s="1"/>
  <c r="J350" i="1"/>
  <c r="J465" i="1" s="1"/>
  <c r="J586" i="1" s="1"/>
  <c r="J351" i="1"/>
  <c r="J466" i="1" s="1"/>
  <c r="J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78" i="1"/>
  <c r="J493" i="1" s="1"/>
  <c r="J614" i="1" s="1"/>
  <c r="J379" i="1"/>
  <c r="J494" i="1" s="1"/>
  <c r="J615" i="1" s="1"/>
  <c r="J380" i="1"/>
  <c r="J495" i="1" s="1"/>
  <c r="J616" i="1" s="1"/>
  <c r="J381" i="1"/>
  <c r="J496" i="1" s="1"/>
  <c r="J617" i="1" s="1"/>
  <c r="J382" i="1"/>
  <c r="J497" i="1" s="1"/>
  <c r="J618" i="1" s="1"/>
  <c r="J383" i="1"/>
  <c r="J498" i="1" s="1"/>
  <c r="J619" i="1" s="1"/>
  <c r="J384" i="1"/>
  <c r="J499" i="1" s="1"/>
  <c r="J620" i="1" s="1"/>
  <c r="J385" i="1"/>
  <c r="J500" i="1" s="1"/>
  <c r="J621" i="1" s="1"/>
  <c r="J386" i="1"/>
  <c r="J501" i="1" s="1"/>
  <c r="J622" i="1" s="1"/>
  <c r="J387" i="1"/>
  <c r="J502" i="1" s="1"/>
  <c r="J623" i="1" s="1"/>
  <c r="J388" i="1"/>
  <c r="J503" i="1" s="1"/>
  <c r="J624" i="1" s="1"/>
  <c r="J389" i="1"/>
  <c r="J504" i="1" s="1"/>
  <c r="J625" i="1" s="1"/>
  <c r="J390" i="1"/>
  <c r="J505" i="1" s="1"/>
  <c r="J626" i="1" s="1"/>
  <c r="J391" i="1"/>
  <c r="J506" i="1" s="1"/>
  <c r="J627" i="1" s="1"/>
  <c r="J397" i="1"/>
  <c r="J518" i="1" s="1"/>
  <c r="J633" i="1" s="1"/>
  <c r="J398" i="1"/>
  <c r="J519" i="1" s="1"/>
  <c r="J634" i="1" s="1"/>
  <c r="J399" i="1"/>
  <c r="J520" i="1" s="1"/>
  <c r="J635" i="1" s="1"/>
  <c r="J400" i="1"/>
  <c r="J521" i="1" s="1"/>
  <c r="J636" i="1" s="1"/>
  <c r="J401" i="1"/>
  <c r="J522" i="1" s="1"/>
  <c r="J637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413" i="1"/>
  <c r="J534" i="1" s="1"/>
  <c r="J649" i="1" s="1"/>
  <c r="J414" i="1"/>
  <c r="J535" i="1" s="1"/>
  <c r="J650" i="1" s="1"/>
  <c r="J415" i="1"/>
  <c r="J536" i="1" s="1"/>
  <c r="J651" i="1" s="1"/>
  <c r="J416" i="1"/>
  <c r="J537" i="1" s="1"/>
  <c r="J652" i="1" s="1"/>
  <c r="J417" i="1"/>
  <c r="J538" i="1" s="1"/>
  <c r="J653" i="1" s="1"/>
  <c r="J418" i="1"/>
  <c r="J539" i="1" s="1"/>
  <c r="J654" i="1" s="1"/>
  <c r="J419" i="1"/>
  <c r="J540" i="1" s="1"/>
  <c r="J655" i="1" s="1"/>
  <c r="J420" i="1"/>
  <c r="J541" i="1" s="1"/>
  <c r="J656" i="1" s="1"/>
  <c r="J421" i="1"/>
  <c r="J542" i="1" s="1"/>
  <c r="J657" i="1" s="1"/>
  <c r="J422" i="1"/>
  <c r="J543" i="1" s="1"/>
  <c r="J658" i="1" s="1"/>
  <c r="J423" i="1"/>
  <c r="J544" i="1" s="1"/>
  <c r="J659" i="1" s="1"/>
  <c r="J424" i="1"/>
  <c r="J545" i="1" s="1"/>
  <c r="J660" i="1" s="1"/>
  <c r="J425" i="1"/>
  <c r="J546" i="1" s="1"/>
  <c r="J661" i="1" s="1"/>
  <c r="J426" i="1"/>
  <c r="J547" i="1" s="1"/>
  <c r="J662" i="1" s="1"/>
  <c r="J314" i="1"/>
  <c r="J429" i="1" s="1"/>
  <c r="J550" i="1" s="1"/>
  <c r="J63" i="1"/>
  <c r="J109" i="1" s="1"/>
  <c r="J64" i="1"/>
  <c r="J110" i="1" s="1"/>
  <c r="J65" i="1"/>
  <c r="J111" i="1" s="1"/>
  <c r="J66" i="1"/>
  <c r="J112" i="1" s="1"/>
  <c r="J67" i="1"/>
  <c r="J113" i="1" s="1"/>
  <c r="J68" i="1"/>
  <c r="J114" i="1" s="1"/>
  <c r="J69" i="1"/>
  <c r="J115" i="1" s="1"/>
  <c r="J70" i="1"/>
  <c r="J71" i="1"/>
  <c r="J117" i="1" s="1"/>
  <c r="J72" i="1"/>
  <c r="J118" i="1" s="1"/>
  <c r="J74" i="1"/>
  <c r="J119" i="1" s="1"/>
  <c r="J120" i="1"/>
  <c r="J76" i="1"/>
  <c r="J121" i="1" s="1"/>
  <c r="J77" i="1"/>
  <c r="J122" i="1" s="1"/>
  <c r="J78" i="1"/>
  <c r="J123" i="1" s="1"/>
  <c r="J79" i="1"/>
  <c r="J124" i="1" s="1"/>
  <c r="J80" i="1"/>
  <c r="J125" i="1" s="1"/>
  <c r="J81" i="1"/>
  <c r="J126" i="1" s="1"/>
  <c r="J82" i="1"/>
  <c r="J127" i="1" s="1"/>
  <c r="J83" i="1"/>
  <c r="J128" i="1" s="1"/>
  <c r="J85" i="1"/>
  <c r="J129" i="1" s="1"/>
  <c r="J86" i="1"/>
  <c r="J130" i="1" s="1"/>
  <c r="J87" i="1"/>
  <c r="J131" i="1" s="1"/>
  <c r="J61" i="1"/>
  <c r="J108" i="1" s="1"/>
  <c r="J116" i="1" l="1"/>
  <c r="M70" i="1"/>
  <c r="P70" i="1" s="1"/>
  <c r="S70" i="1" s="1"/>
  <c r="M662" i="1"/>
  <c r="P662" i="1" s="1"/>
  <c r="S662" i="1" s="1"/>
  <c r="M661" i="1"/>
  <c r="P661" i="1" s="1"/>
  <c r="S661" i="1" s="1"/>
  <c r="M660" i="1"/>
  <c r="P660" i="1" s="1"/>
  <c r="S660" i="1" s="1"/>
  <c r="M659" i="1"/>
  <c r="P659" i="1" s="1"/>
  <c r="S659" i="1" s="1"/>
  <c r="M658" i="1"/>
  <c r="M657" i="1"/>
  <c r="P657" i="1" s="1"/>
  <c r="S657" i="1" s="1"/>
  <c r="M656" i="1"/>
  <c r="P656" i="1" s="1"/>
  <c r="S656" i="1" s="1"/>
  <c r="M655" i="1"/>
  <c r="P655" i="1" s="1"/>
  <c r="S655" i="1" s="1"/>
  <c r="M654" i="1"/>
  <c r="P654" i="1" s="1"/>
  <c r="S654" i="1" s="1"/>
  <c r="M653" i="1"/>
  <c r="P653" i="1" s="1"/>
  <c r="S653" i="1" s="1"/>
  <c r="M652" i="1"/>
  <c r="M651" i="1"/>
  <c r="P651" i="1" s="1"/>
  <c r="S651" i="1" s="1"/>
  <c r="M650" i="1"/>
  <c r="P650" i="1" s="1"/>
  <c r="S650" i="1" s="1"/>
  <c r="M649" i="1"/>
  <c r="P649" i="1" s="1"/>
  <c r="S649" i="1" s="1"/>
  <c r="M648" i="1"/>
  <c r="P648" i="1" s="1"/>
  <c r="S648" i="1" s="1"/>
  <c r="M647" i="1"/>
  <c r="P647" i="1" s="1"/>
  <c r="S647" i="1" s="1"/>
  <c r="M646" i="1"/>
  <c r="M645" i="1"/>
  <c r="P645" i="1" s="1"/>
  <c r="S645" i="1" s="1"/>
  <c r="M644" i="1"/>
  <c r="P644" i="1" s="1"/>
  <c r="S644" i="1" s="1"/>
  <c r="M643" i="1"/>
  <c r="P643" i="1" s="1"/>
  <c r="S643" i="1" s="1"/>
  <c r="M642" i="1"/>
  <c r="M641" i="1"/>
  <c r="P641" i="1" s="1"/>
  <c r="S641" i="1" s="1"/>
  <c r="M640" i="1"/>
  <c r="P640" i="1" s="1"/>
  <c r="S640" i="1" s="1"/>
  <c r="M639" i="1"/>
  <c r="P639" i="1" s="1"/>
  <c r="S639" i="1" s="1"/>
  <c r="M638" i="1"/>
  <c r="M637" i="1"/>
  <c r="M636" i="1"/>
  <c r="P636" i="1" s="1"/>
  <c r="S636" i="1" s="1"/>
  <c r="M635" i="1"/>
  <c r="M634" i="1"/>
  <c r="M633" i="1"/>
  <c r="M627" i="1"/>
  <c r="P627" i="1" s="1"/>
  <c r="S627" i="1" s="1"/>
  <c r="M626" i="1"/>
  <c r="M625" i="1"/>
  <c r="M624" i="1"/>
  <c r="M623" i="1"/>
  <c r="P623" i="1" s="1"/>
  <c r="S623" i="1" s="1"/>
  <c r="M622" i="1"/>
  <c r="M621" i="1"/>
  <c r="P621" i="1" s="1"/>
  <c r="S621" i="1" s="1"/>
  <c r="M620" i="1"/>
  <c r="M619" i="1"/>
  <c r="P619" i="1" s="1"/>
  <c r="S619" i="1" s="1"/>
  <c r="M618" i="1"/>
  <c r="M617" i="1"/>
  <c r="P617" i="1" s="1"/>
  <c r="M616" i="1"/>
  <c r="M615" i="1"/>
  <c r="P615" i="1" s="1"/>
  <c r="S615" i="1" s="1"/>
  <c r="M614" i="1"/>
  <c r="M613" i="1"/>
  <c r="P613" i="1" s="1"/>
  <c r="S613" i="1" s="1"/>
  <c r="M612" i="1"/>
  <c r="M611" i="1"/>
  <c r="P611" i="1" s="1"/>
  <c r="S611" i="1" s="1"/>
  <c r="M610" i="1"/>
  <c r="M609" i="1"/>
  <c r="P609" i="1" s="1"/>
  <c r="S609" i="1" s="1"/>
  <c r="M608" i="1"/>
  <c r="M607" i="1"/>
  <c r="N607" i="1" s="1"/>
  <c r="X607" i="1" s="1"/>
  <c r="M606" i="1"/>
  <c r="M605" i="1"/>
  <c r="N605" i="1" s="1"/>
  <c r="X605" i="1" s="1"/>
  <c r="M604" i="1"/>
  <c r="M603" i="1"/>
  <c r="P603" i="1" s="1"/>
  <c r="S603" i="1" s="1"/>
  <c r="M602" i="1"/>
  <c r="M601" i="1"/>
  <c r="M600" i="1"/>
  <c r="M599" i="1"/>
  <c r="P599" i="1" s="1"/>
  <c r="S599" i="1" s="1"/>
  <c r="M598" i="1"/>
  <c r="M597" i="1"/>
  <c r="N597" i="1" s="1"/>
  <c r="M596" i="1"/>
  <c r="M595" i="1"/>
  <c r="P595" i="1" s="1"/>
  <c r="S595" i="1" s="1"/>
  <c r="M594" i="1"/>
  <c r="M593" i="1"/>
  <c r="P593" i="1" s="1"/>
  <c r="M592" i="1"/>
  <c r="M591" i="1"/>
  <c r="P591" i="1" s="1"/>
  <c r="S591" i="1" s="1"/>
  <c r="M590" i="1"/>
  <c r="M589" i="1"/>
  <c r="P589" i="1" s="1"/>
  <c r="S589" i="1" s="1"/>
  <c r="M588" i="1"/>
  <c r="M587" i="1"/>
  <c r="M586" i="1"/>
  <c r="M585" i="1"/>
  <c r="P585" i="1" s="1"/>
  <c r="S585" i="1" s="1"/>
  <c r="M584" i="1"/>
  <c r="M583" i="1"/>
  <c r="N583" i="1" s="1"/>
  <c r="X583" i="1" s="1"/>
  <c r="N581" i="1"/>
  <c r="X581" i="1" s="1"/>
  <c r="S575" i="1"/>
  <c r="S573" i="1"/>
  <c r="S571" i="1"/>
  <c r="S567" i="1"/>
  <c r="S565" i="1"/>
  <c r="S563" i="1"/>
  <c r="S561" i="1"/>
  <c r="N559" i="1"/>
  <c r="X559" i="1" s="1"/>
  <c r="N557" i="1"/>
  <c r="X557" i="1" s="1"/>
  <c r="M555" i="1"/>
  <c r="P555" i="1" s="1"/>
  <c r="M554" i="1"/>
  <c r="M553" i="1"/>
  <c r="M552" i="1"/>
  <c r="M551" i="1"/>
  <c r="P551" i="1" s="1"/>
  <c r="S551" i="1" s="1"/>
  <c r="M550" i="1"/>
  <c r="M547" i="1"/>
  <c r="P547" i="1" s="1"/>
  <c r="S547" i="1" s="1"/>
  <c r="M546" i="1"/>
  <c r="M545" i="1"/>
  <c r="P545" i="1" s="1"/>
  <c r="M544" i="1"/>
  <c r="M543" i="1"/>
  <c r="P543" i="1" s="1"/>
  <c r="S543" i="1" s="1"/>
  <c r="M542" i="1"/>
  <c r="M541" i="1"/>
  <c r="P541" i="1" s="1"/>
  <c r="S541" i="1" s="1"/>
  <c r="M540" i="1"/>
  <c r="M539" i="1"/>
  <c r="P539" i="1" s="1"/>
  <c r="S539" i="1" s="1"/>
  <c r="M538" i="1"/>
  <c r="M537" i="1"/>
  <c r="P537" i="1" s="1"/>
  <c r="S537" i="1" s="1"/>
  <c r="M536" i="1"/>
  <c r="M535" i="1"/>
  <c r="N535" i="1" s="1"/>
  <c r="X535" i="1" s="1"/>
  <c r="M534" i="1"/>
  <c r="M533" i="1"/>
  <c r="N533" i="1" s="1"/>
  <c r="X533" i="1" s="1"/>
  <c r="M532" i="1"/>
  <c r="M531" i="1"/>
  <c r="P531" i="1" s="1"/>
  <c r="M530" i="1"/>
  <c r="M529" i="1"/>
  <c r="M528" i="1"/>
  <c r="M527" i="1"/>
  <c r="P527" i="1" s="1"/>
  <c r="S527" i="1" s="1"/>
  <c r="M526" i="1"/>
  <c r="M525" i="1"/>
  <c r="P525" i="1" s="1"/>
  <c r="S525" i="1" s="1"/>
  <c r="M524" i="1"/>
  <c r="M523" i="1"/>
  <c r="P523" i="1" s="1"/>
  <c r="S523" i="1" s="1"/>
  <c r="M522" i="1"/>
  <c r="M521" i="1"/>
  <c r="P521" i="1" s="1"/>
  <c r="M520" i="1"/>
  <c r="M519" i="1"/>
  <c r="P519" i="1" s="1"/>
  <c r="S519" i="1" s="1"/>
  <c r="M518" i="1"/>
  <c r="M506" i="1"/>
  <c r="P506" i="1" s="1"/>
  <c r="S506" i="1" s="1"/>
  <c r="M505" i="1"/>
  <c r="M504" i="1"/>
  <c r="P504" i="1" s="1"/>
  <c r="S504" i="1" s="1"/>
  <c r="M503" i="1"/>
  <c r="M502" i="1"/>
  <c r="P502" i="1" s="1"/>
  <c r="S502" i="1" s="1"/>
  <c r="M501" i="1"/>
  <c r="M500" i="1"/>
  <c r="N500" i="1" s="1"/>
  <c r="X500" i="1" s="1"/>
  <c r="M499" i="1"/>
  <c r="P499" i="1" s="1"/>
  <c r="S499" i="1" s="1"/>
  <c r="M498" i="1"/>
  <c r="P498" i="1" s="1"/>
  <c r="S498" i="1" s="1"/>
  <c r="M497" i="1"/>
  <c r="P497" i="1" s="1"/>
  <c r="S497" i="1" s="1"/>
  <c r="M496" i="1"/>
  <c r="P496" i="1" s="1"/>
  <c r="S496" i="1" s="1"/>
  <c r="M495" i="1"/>
  <c r="P495" i="1" s="1"/>
  <c r="S495" i="1" s="1"/>
  <c r="M494" i="1"/>
  <c r="N494" i="1" s="1"/>
  <c r="X494" i="1" s="1"/>
  <c r="M493" i="1"/>
  <c r="P493" i="1" s="1"/>
  <c r="S493" i="1" s="1"/>
  <c r="M492" i="1"/>
  <c r="P492" i="1" s="1"/>
  <c r="S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N488" i="1" s="1"/>
  <c r="X488" i="1" s="1"/>
  <c r="M487" i="1"/>
  <c r="P487" i="1" s="1"/>
  <c r="S487" i="1" s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N482" i="1" s="1"/>
  <c r="M481" i="1"/>
  <c r="P481" i="1" s="1"/>
  <c r="S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M476" i="1"/>
  <c r="P476" i="1" s="1"/>
  <c r="S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N471" i="1" s="1"/>
  <c r="M470" i="1"/>
  <c r="P470" i="1" s="1"/>
  <c r="S470" i="1" s="1"/>
  <c r="M469" i="1"/>
  <c r="P469" i="1" s="1"/>
  <c r="S469" i="1" s="1"/>
  <c r="M468" i="1"/>
  <c r="P468" i="1" s="1"/>
  <c r="S468" i="1" s="1"/>
  <c r="M467" i="1"/>
  <c r="P467" i="1" s="1"/>
  <c r="S467" i="1" s="1"/>
  <c r="M466" i="1"/>
  <c r="P466" i="1" s="1"/>
  <c r="S466" i="1" s="1"/>
  <c r="M465" i="1"/>
  <c r="P465" i="1" s="1"/>
  <c r="S465" i="1" s="1"/>
  <c r="M464" i="1"/>
  <c r="P464" i="1" s="1"/>
  <c r="S464" i="1" s="1"/>
  <c r="M463" i="1"/>
  <c r="P463" i="1" s="1"/>
  <c r="S463" i="1" s="1"/>
  <c r="M462" i="1"/>
  <c r="P462" i="1" s="1"/>
  <c r="S462" i="1" s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P440" i="1" s="1"/>
  <c r="S440" i="1" s="1"/>
  <c r="M439" i="1"/>
  <c r="M438" i="1"/>
  <c r="P438" i="1" s="1"/>
  <c r="S438" i="1" s="1"/>
  <c r="M437" i="1"/>
  <c r="P437" i="1" s="1"/>
  <c r="S437" i="1" s="1"/>
  <c r="M436" i="1"/>
  <c r="P436" i="1" s="1"/>
  <c r="S436" i="1" s="1"/>
  <c r="M435" i="1"/>
  <c r="P435" i="1" s="1"/>
  <c r="S435" i="1" s="1"/>
  <c r="M434" i="1"/>
  <c r="P434" i="1" s="1"/>
  <c r="S434" i="1" s="1"/>
  <c r="M433" i="1"/>
  <c r="N433" i="1" s="1"/>
  <c r="X433" i="1" s="1"/>
  <c r="M432" i="1"/>
  <c r="P432" i="1" s="1"/>
  <c r="S432" i="1" s="1"/>
  <c r="M431" i="1"/>
  <c r="P431" i="1" s="1"/>
  <c r="S431" i="1" s="1"/>
  <c r="M430" i="1"/>
  <c r="P430" i="1" s="1"/>
  <c r="S430" i="1" s="1"/>
  <c r="M429" i="1"/>
  <c r="P429" i="1" s="1"/>
  <c r="M426" i="1"/>
  <c r="P426" i="1" s="1"/>
  <c r="S426" i="1" s="1"/>
  <c r="M425" i="1"/>
  <c r="P425" i="1" s="1"/>
  <c r="S425" i="1" s="1"/>
  <c r="M424" i="1"/>
  <c r="P424" i="1" s="1"/>
  <c r="S424" i="1" s="1"/>
  <c r="M423" i="1"/>
  <c r="N423" i="1" s="1"/>
  <c r="X423" i="1" s="1"/>
  <c r="M422" i="1"/>
  <c r="P422" i="1" s="1"/>
  <c r="S422" i="1" s="1"/>
  <c r="M421" i="1"/>
  <c r="N421" i="1" s="1"/>
  <c r="X421" i="1" s="1"/>
  <c r="M420" i="1"/>
  <c r="P420" i="1" s="1"/>
  <c r="S420" i="1" s="1"/>
  <c r="M419" i="1"/>
  <c r="N419" i="1" s="1"/>
  <c r="X419" i="1" s="1"/>
  <c r="M418" i="1"/>
  <c r="M417" i="1"/>
  <c r="P417" i="1" s="1"/>
  <c r="S417" i="1" s="1"/>
  <c r="M416" i="1"/>
  <c r="M415" i="1"/>
  <c r="P415" i="1" s="1"/>
  <c r="M414" i="1"/>
  <c r="M413" i="1"/>
  <c r="P413" i="1" s="1"/>
  <c r="S413" i="1" s="1"/>
  <c r="M412" i="1"/>
  <c r="M411" i="1"/>
  <c r="P411" i="1" s="1"/>
  <c r="S411" i="1" s="1"/>
  <c r="M410" i="1"/>
  <c r="M409" i="1"/>
  <c r="N409" i="1" s="1"/>
  <c r="X409" i="1" s="1"/>
  <c r="M408" i="1"/>
  <c r="M407" i="1"/>
  <c r="P407" i="1" s="1"/>
  <c r="S407" i="1" s="1"/>
  <c r="M406" i="1"/>
  <c r="M405" i="1"/>
  <c r="P405" i="1" s="1"/>
  <c r="M404" i="1"/>
  <c r="M403" i="1"/>
  <c r="M402" i="1"/>
  <c r="M401" i="1"/>
  <c r="P401" i="1" s="1"/>
  <c r="S401" i="1" s="1"/>
  <c r="M400" i="1"/>
  <c r="M399" i="1"/>
  <c r="N399" i="1" s="1"/>
  <c r="X399" i="1" s="1"/>
  <c r="M398" i="1"/>
  <c r="M397" i="1"/>
  <c r="N397" i="1" s="1"/>
  <c r="X397" i="1" s="1"/>
  <c r="M391" i="1"/>
  <c r="M390" i="1"/>
  <c r="N390" i="1" s="1"/>
  <c r="X390" i="1" s="1"/>
  <c r="M389" i="1"/>
  <c r="M388" i="1"/>
  <c r="P388" i="1" s="1"/>
  <c r="S388" i="1" s="1"/>
  <c r="M387" i="1"/>
  <c r="M386" i="1"/>
  <c r="P386" i="1" s="1"/>
  <c r="M385" i="1"/>
  <c r="M384" i="1"/>
  <c r="P384" i="1" s="1"/>
  <c r="S384" i="1" s="1"/>
  <c r="M383" i="1"/>
  <c r="M382" i="1"/>
  <c r="P382" i="1" s="1"/>
  <c r="S382" i="1" s="1"/>
  <c r="M381" i="1"/>
  <c r="M380" i="1"/>
  <c r="P380" i="1" s="1"/>
  <c r="S380" i="1" s="1"/>
  <c r="M379" i="1"/>
  <c r="M378" i="1"/>
  <c r="P378" i="1" s="1"/>
  <c r="S378" i="1" s="1"/>
  <c r="M377" i="1"/>
  <c r="M376" i="1"/>
  <c r="P376" i="1" s="1"/>
  <c r="S376" i="1" s="1"/>
  <c r="M375" i="1"/>
  <c r="M374" i="1"/>
  <c r="M373" i="1"/>
  <c r="M372" i="1"/>
  <c r="P372" i="1" s="1"/>
  <c r="S372" i="1" s="1"/>
  <c r="M371" i="1"/>
  <c r="P371" i="1" s="1"/>
  <c r="S371" i="1" s="1"/>
  <c r="M370" i="1"/>
  <c r="N370" i="1" s="1"/>
  <c r="X370" i="1" s="1"/>
  <c r="M369" i="1"/>
  <c r="P369" i="1" s="1"/>
  <c r="S369" i="1" s="1"/>
  <c r="M368" i="1"/>
  <c r="M367" i="1"/>
  <c r="M366" i="1"/>
  <c r="P366" i="1" s="1"/>
  <c r="S366" i="1" s="1"/>
  <c r="M365" i="1"/>
  <c r="P365" i="1" s="1"/>
  <c r="S365" i="1" s="1"/>
  <c r="M364" i="1"/>
  <c r="N364" i="1" s="1"/>
  <c r="M363" i="1"/>
  <c r="P363" i="1" s="1"/>
  <c r="S363" i="1" s="1"/>
  <c r="M362" i="1"/>
  <c r="M361" i="1"/>
  <c r="M360" i="1"/>
  <c r="P360" i="1" s="1"/>
  <c r="S360" i="1" s="1"/>
  <c r="M359" i="1"/>
  <c r="P359" i="1" s="1"/>
  <c r="S359" i="1" s="1"/>
  <c r="M358" i="1"/>
  <c r="N358" i="1" s="1"/>
  <c r="M357" i="1"/>
  <c r="P357" i="1" s="1"/>
  <c r="S357" i="1" s="1"/>
  <c r="M356" i="1"/>
  <c r="M355" i="1"/>
  <c r="M354" i="1"/>
  <c r="P354" i="1" s="1"/>
  <c r="S354" i="1" s="1"/>
  <c r="M353" i="1"/>
  <c r="P353" i="1" s="1"/>
  <c r="S353" i="1" s="1"/>
  <c r="M352" i="1"/>
  <c r="N352" i="1" s="1"/>
  <c r="X352" i="1" s="1"/>
  <c r="M351" i="1"/>
  <c r="P351" i="1" s="1"/>
  <c r="S351" i="1" s="1"/>
  <c r="M350" i="1"/>
  <c r="M349" i="1"/>
  <c r="M348" i="1"/>
  <c r="P348" i="1" s="1"/>
  <c r="S348" i="1" s="1"/>
  <c r="M347" i="1"/>
  <c r="P347" i="1" s="1"/>
  <c r="S347" i="1" s="1"/>
  <c r="M346" i="1"/>
  <c r="M345" i="1"/>
  <c r="M344" i="1"/>
  <c r="P344" i="1" s="1"/>
  <c r="M343" i="1"/>
  <c r="M342" i="1"/>
  <c r="M341" i="1"/>
  <c r="M340" i="1"/>
  <c r="M339" i="1"/>
  <c r="M338" i="1"/>
  <c r="P338" i="1" s="1"/>
  <c r="M337" i="1"/>
  <c r="M336" i="1"/>
  <c r="M335" i="1"/>
  <c r="P335" i="1" s="1"/>
  <c r="M334" i="1"/>
  <c r="P334" i="1" s="1"/>
  <c r="M333" i="1"/>
  <c r="M332" i="1"/>
  <c r="M331" i="1"/>
  <c r="M330" i="1"/>
  <c r="P330" i="1" s="1"/>
  <c r="M329" i="1"/>
  <c r="M328" i="1"/>
  <c r="M327" i="1"/>
  <c r="M326" i="1"/>
  <c r="M325" i="1"/>
  <c r="P325" i="1" s="1"/>
  <c r="S325" i="1" s="1"/>
  <c r="M324" i="1"/>
  <c r="M323" i="1"/>
  <c r="P323" i="1" s="1"/>
  <c r="S323" i="1" s="1"/>
  <c r="M322" i="1"/>
  <c r="M321" i="1"/>
  <c r="P321" i="1" s="1"/>
  <c r="S321" i="1" s="1"/>
  <c r="M320" i="1"/>
  <c r="P320" i="1" s="1"/>
  <c r="S320" i="1" s="1"/>
  <c r="M319" i="1"/>
  <c r="P319" i="1" s="1"/>
  <c r="S319" i="1" s="1"/>
  <c r="M318" i="1"/>
  <c r="P318" i="1" s="1"/>
  <c r="M317" i="1"/>
  <c r="P317" i="1" s="1"/>
  <c r="S317" i="1" s="1"/>
  <c r="M316" i="1"/>
  <c r="P316" i="1" s="1"/>
  <c r="M315" i="1"/>
  <c r="P315" i="1" s="1"/>
  <c r="S315" i="1" s="1"/>
  <c r="M314" i="1"/>
  <c r="P314" i="1" s="1"/>
  <c r="M311" i="1"/>
  <c r="P311" i="1" s="1"/>
  <c r="S311" i="1" s="1"/>
  <c r="M310" i="1"/>
  <c r="P310" i="1" s="1"/>
  <c r="M309" i="1"/>
  <c r="P309" i="1" s="1"/>
  <c r="S309" i="1" s="1"/>
  <c r="M308" i="1"/>
  <c r="P308" i="1" s="1"/>
  <c r="Q308" i="1" s="1"/>
  <c r="M307" i="1"/>
  <c r="M306" i="1"/>
  <c r="P306" i="1" s="1"/>
  <c r="M305" i="1"/>
  <c r="M304" i="1"/>
  <c r="P304" i="1" s="1"/>
  <c r="M303" i="1"/>
  <c r="M302" i="1"/>
  <c r="P302" i="1" s="1"/>
  <c r="M301" i="1"/>
  <c r="M300" i="1"/>
  <c r="P300" i="1" s="1"/>
  <c r="M299" i="1"/>
  <c r="M298" i="1"/>
  <c r="P298" i="1" s="1"/>
  <c r="M297" i="1"/>
  <c r="M296" i="1"/>
  <c r="P296" i="1" s="1"/>
  <c r="S296" i="1" s="1"/>
  <c r="M295" i="1"/>
  <c r="M294" i="1"/>
  <c r="P294" i="1" s="1"/>
  <c r="S294" i="1" s="1"/>
  <c r="T294" i="1" s="1"/>
  <c r="Z294" i="1" s="1"/>
  <c r="M293" i="1"/>
  <c r="M292" i="1"/>
  <c r="P292" i="1" s="1"/>
  <c r="M291" i="1"/>
  <c r="M290" i="1"/>
  <c r="P290" i="1" s="1"/>
  <c r="M289" i="1"/>
  <c r="M288" i="1"/>
  <c r="P288" i="1" s="1"/>
  <c r="M287" i="1"/>
  <c r="M286" i="1"/>
  <c r="P286" i="1" s="1"/>
  <c r="M285" i="1"/>
  <c r="M284" i="1"/>
  <c r="P284" i="1" s="1"/>
  <c r="M283" i="1"/>
  <c r="M282" i="1"/>
  <c r="P282" i="1" s="1"/>
  <c r="M268" i="1"/>
  <c r="M267" i="1"/>
  <c r="P267" i="1" s="1"/>
  <c r="M266" i="1"/>
  <c r="P266" i="1" s="1"/>
  <c r="S266" i="1" s="1"/>
  <c r="M265" i="1"/>
  <c r="P265" i="1" s="1"/>
  <c r="M264" i="1"/>
  <c r="M263" i="1"/>
  <c r="P263" i="1" s="1"/>
  <c r="M262" i="1"/>
  <c r="P262" i="1" s="1"/>
  <c r="S262" i="1" s="1"/>
  <c r="M261" i="1"/>
  <c r="P261" i="1" s="1"/>
  <c r="M260" i="1"/>
  <c r="M259" i="1"/>
  <c r="P259" i="1" s="1"/>
  <c r="M258" i="1"/>
  <c r="P258" i="1" s="1"/>
  <c r="S258" i="1" s="1"/>
  <c r="M257" i="1"/>
  <c r="P257" i="1" s="1"/>
  <c r="M256" i="1"/>
  <c r="M255" i="1"/>
  <c r="P255" i="1" s="1"/>
  <c r="M254" i="1"/>
  <c r="P254" i="1" s="1"/>
  <c r="S254" i="1" s="1"/>
  <c r="M253" i="1"/>
  <c r="P253" i="1" s="1"/>
  <c r="M252" i="1"/>
  <c r="M251" i="1"/>
  <c r="P251" i="1" s="1"/>
  <c r="M250" i="1"/>
  <c r="P250" i="1" s="1"/>
  <c r="S250" i="1" s="1"/>
  <c r="M249" i="1"/>
  <c r="P249" i="1" s="1"/>
  <c r="M248" i="1"/>
  <c r="M247" i="1"/>
  <c r="P247" i="1" s="1"/>
  <c r="M246" i="1"/>
  <c r="P246" i="1" s="1"/>
  <c r="S246" i="1" s="1"/>
  <c r="M245" i="1"/>
  <c r="P245" i="1" s="1"/>
  <c r="M244" i="1"/>
  <c r="M243" i="1"/>
  <c r="P243" i="1" s="1"/>
  <c r="M242" i="1"/>
  <c r="P242" i="1" s="1"/>
  <c r="S242" i="1" s="1"/>
  <c r="M241" i="1"/>
  <c r="P241" i="1" s="1"/>
  <c r="M240" i="1"/>
  <c r="M239" i="1"/>
  <c r="P239" i="1" s="1"/>
  <c r="M238" i="1"/>
  <c r="P238" i="1" s="1"/>
  <c r="S238" i="1" s="1"/>
  <c r="M237" i="1"/>
  <c r="P237" i="1" s="1"/>
  <c r="M236" i="1"/>
  <c r="M235" i="1"/>
  <c r="P235" i="1" s="1"/>
  <c r="M234" i="1"/>
  <c r="P234" i="1" s="1"/>
  <c r="S234" i="1" s="1"/>
  <c r="M233" i="1"/>
  <c r="P233" i="1" s="1"/>
  <c r="M232" i="1"/>
  <c r="M231" i="1"/>
  <c r="P231" i="1" s="1"/>
  <c r="M230" i="1"/>
  <c r="P230" i="1" s="1"/>
  <c r="S230" i="1" s="1"/>
  <c r="M229" i="1"/>
  <c r="P229" i="1" s="1"/>
  <c r="M228" i="1"/>
  <c r="M227" i="1"/>
  <c r="P227" i="1" s="1"/>
  <c r="M226" i="1"/>
  <c r="P226" i="1" s="1"/>
  <c r="M225" i="1"/>
  <c r="P225" i="1" s="1"/>
  <c r="M224" i="1"/>
  <c r="P224" i="1" s="1"/>
  <c r="M223" i="1"/>
  <c r="P223" i="1" s="1"/>
  <c r="M222" i="1"/>
  <c r="M221" i="1"/>
  <c r="P221" i="1" s="1"/>
  <c r="M220" i="1"/>
  <c r="N220" i="1" s="1"/>
  <c r="M219" i="1"/>
  <c r="P219" i="1" s="1"/>
  <c r="M218" i="1"/>
  <c r="P218" i="1" s="1"/>
  <c r="M217" i="1"/>
  <c r="P217" i="1" s="1"/>
  <c r="M216" i="1"/>
  <c r="P216" i="1" s="1"/>
  <c r="M215" i="1"/>
  <c r="P215" i="1" s="1"/>
  <c r="M214" i="1"/>
  <c r="M213" i="1"/>
  <c r="P213" i="1" s="1"/>
  <c r="M212" i="1"/>
  <c r="N212" i="1" s="1"/>
  <c r="M211" i="1"/>
  <c r="P211" i="1" s="1"/>
  <c r="M210" i="1"/>
  <c r="P210" i="1" s="1"/>
  <c r="M209" i="1"/>
  <c r="P209" i="1" s="1"/>
  <c r="M208" i="1"/>
  <c r="P208" i="1" s="1"/>
  <c r="M207" i="1"/>
  <c r="P207" i="1" s="1"/>
  <c r="M206" i="1"/>
  <c r="M205" i="1"/>
  <c r="P205" i="1" s="1"/>
  <c r="M204" i="1"/>
  <c r="N204" i="1" s="1"/>
  <c r="M203" i="1"/>
  <c r="P203" i="1" s="1"/>
  <c r="M202" i="1"/>
  <c r="P202" i="1" s="1"/>
  <c r="M201" i="1"/>
  <c r="P201" i="1" s="1"/>
  <c r="M200" i="1"/>
  <c r="P200" i="1" s="1"/>
  <c r="M199" i="1"/>
  <c r="P199" i="1" s="1"/>
  <c r="M198" i="1"/>
  <c r="M197" i="1"/>
  <c r="P197" i="1" s="1"/>
  <c r="M196" i="1"/>
  <c r="N196" i="1" s="1"/>
  <c r="M195" i="1"/>
  <c r="P195" i="1" s="1"/>
  <c r="M194" i="1"/>
  <c r="P194" i="1" s="1"/>
  <c r="M193" i="1"/>
  <c r="P193" i="1" s="1"/>
  <c r="M192" i="1"/>
  <c r="P192" i="1" s="1"/>
  <c r="M191" i="1"/>
  <c r="P191" i="1" s="1"/>
  <c r="M151" i="1"/>
  <c r="P151" i="1" s="1"/>
  <c r="M150" i="1"/>
  <c r="M149" i="1"/>
  <c r="P149" i="1" s="1"/>
  <c r="S149" i="1" s="1"/>
  <c r="M148" i="1"/>
  <c r="M147" i="1"/>
  <c r="M131" i="1"/>
  <c r="M130" i="1"/>
  <c r="P130" i="1" s="1"/>
  <c r="M129" i="1"/>
  <c r="M128" i="1"/>
  <c r="M127" i="1"/>
  <c r="M126" i="1"/>
  <c r="N126" i="1" s="1"/>
  <c r="X126" i="1" s="1"/>
  <c r="M125" i="1"/>
  <c r="M124" i="1"/>
  <c r="P124" i="1" s="1"/>
  <c r="M123" i="1"/>
  <c r="M122" i="1"/>
  <c r="P122" i="1" s="1"/>
  <c r="M121" i="1"/>
  <c r="M120" i="1"/>
  <c r="M119" i="1"/>
  <c r="M118" i="1"/>
  <c r="N118" i="1" s="1"/>
  <c r="X118" i="1" s="1"/>
  <c r="M117" i="1"/>
  <c r="M116" i="1"/>
  <c r="P116" i="1" s="1"/>
  <c r="M115" i="1"/>
  <c r="M114" i="1"/>
  <c r="P114" i="1" s="1"/>
  <c r="S114" i="1" s="1"/>
  <c r="M113" i="1"/>
  <c r="M112" i="1"/>
  <c r="M111" i="1"/>
  <c r="M110" i="1"/>
  <c r="P110" i="1" s="1"/>
  <c r="S110" i="1" s="1"/>
  <c r="M109" i="1"/>
  <c r="M108" i="1"/>
  <c r="P108" i="1" s="1"/>
  <c r="S108" i="1" s="1"/>
  <c r="M107" i="1"/>
  <c r="M106" i="1"/>
  <c r="P106" i="1" s="1"/>
  <c r="M105" i="1"/>
  <c r="M104" i="1"/>
  <c r="N104" i="1" s="1"/>
  <c r="M103" i="1"/>
  <c r="M87" i="1"/>
  <c r="P87" i="1" s="1"/>
  <c r="S87" i="1" s="1"/>
  <c r="M86" i="1"/>
  <c r="M85" i="1"/>
  <c r="P85" i="1" s="1"/>
  <c r="S85" i="1" s="1"/>
  <c r="M83" i="1"/>
  <c r="M82" i="1"/>
  <c r="P82" i="1" s="1"/>
  <c r="M81" i="1"/>
  <c r="M80" i="1"/>
  <c r="N80" i="1" s="1"/>
  <c r="M79" i="1"/>
  <c r="M78" i="1"/>
  <c r="P78" i="1" s="1"/>
  <c r="S78" i="1" s="1"/>
  <c r="M77" i="1"/>
  <c r="P77" i="1" s="1"/>
  <c r="S77" i="1" s="1"/>
  <c r="M76" i="1"/>
  <c r="P76" i="1" s="1"/>
  <c r="S76" i="1" s="1"/>
  <c r="M75" i="1"/>
  <c r="P75" i="1" s="1"/>
  <c r="S75" i="1" s="1"/>
  <c r="M74" i="1"/>
  <c r="P74" i="1" s="1"/>
  <c r="S74" i="1" s="1"/>
  <c r="M72" i="1"/>
  <c r="P72" i="1" s="1"/>
  <c r="S72" i="1" s="1"/>
  <c r="M71" i="1"/>
  <c r="P71" i="1" s="1"/>
  <c r="S71" i="1" s="1"/>
  <c r="M69" i="1"/>
  <c r="P69" i="1" s="1"/>
  <c r="S69" i="1" s="1"/>
  <c r="M68" i="1"/>
  <c r="P68" i="1" s="1"/>
  <c r="S68" i="1" s="1"/>
  <c r="M67" i="1"/>
  <c r="P67" i="1" s="1"/>
  <c r="S67" i="1" s="1"/>
  <c r="M66" i="1"/>
  <c r="P66" i="1" s="1"/>
  <c r="S66" i="1" s="1"/>
  <c r="M65" i="1"/>
  <c r="P65" i="1" s="1"/>
  <c r="S65" i="1" s="1"/>
  <c r="M64" i="1"/>
  <c r="P64" i="1" s="1"/>
  <c r="S64" i="1" s="1"/>
  <c r="M63" i="1"/>
  <c r="N63" i="1" s="1"/>
  <c r="X63" i="1" s="1"/>
  <c r="M61" i="1"/>
  <c r="P61" i="1" s="1"/>
  <c r="S61" i="1" s="1"/>
  <c r="M60" i="1"/>
  <c r="P60" i="1" s="1"/>
  <c r="S60" i="1" s="1"/>
  <c r="M59" i="1"/>
  <c r="P59" i="1" s="1"/>
  <c r="S59" i="1" s="1"/>
  <c r="M58" i="1"/>
  <c r="N58" i="1" s="1"/>
  <c r="M57" i="1"/>
  <c r="P57" i="1" s="1"/>
  <c r="S57" i="1" s="1"/>
  <c r="M56" i="1"/>
  <c r="P56" i="1" s="1"/>
  <c r="S56" i="1" s="1"/>
  <c r="M40" i="1"/>
  <c r="P40" i="1" s="1"/>
  <c r="S40" i="1" s="1"/>
  <c r="M39" i="1"/>
  <c r="P39" i="1" s="1"/>
  <c r="S39" i="1" s="1"/>
  <c r="M37" i="1"/>
  <c r="P37" i="1" s="1"/>
  <c r="S37" i="1" s="1"/>
  <c r="M36" i="1"/>
  <c r="P36" i="1" s="1"/>
  <c r="S36" i="1" s="1"/>
  <c r="M35" i="1"/>
  <c r="P35" i="1" s="1"/>
  <c r="S35" i="1" s="1"/>
  <c r="M34" i="1"/>
  <c r="P34" i="1" s="1"/>
  <c r="S34" i="1" s="1"/>
  <c r="M33" i="1"/>
  <c r="P33" i="1" s="1"/>
  <c r="S33" i="1" s="1"/>
  <c r="M32" i="1"/>
  <c r="P32" i="1" s="1"/>
  <c r="S32" i="1" s="1"/>
  <c r="M31" i="1"/>
  <c r="P31" i="1" s="1"/>
  <c r="S31" i="1" s="1"/>
  <c r="M30" i="1"/>
  <c r="P30" i="1" s="1"/>
  <c r="S30" i="1" s="1"/>
  <c r="M29" i="1"/>
  <c r="P29" i="1" s="1"/>
  <c r="S29" i="1" s="1"/>
  <c r="M25" i="1"/>
  <c r="P25" i="1" s="1"/>
  <c r="S25" i="1" s="1"/>
  <c r="M23" i="1"/>
  <c r="P23" i="1" s="1"/>
  <c r="S23" i="1" s="1"/>
  <c r="M22" i="1"/>
  <c r="P22" i="1" s="1"/>
  <c r="S22" i="1" s="1"/>
  <c r="M20" i="1"/>
  <c r="M19" i="1"/>
  <c r="P19" i="1" s="1"/>
  <c r="S19" i="1" s="1"/>
  <c r="M18" i="1"/>
  <c r="P18" i="1" s="1"/>
  <c r="S18" i="1" s="1"/>
  <c r="M17" i="1"/>
  <c r="P17" i="1" s="1"/>
  <c r="S17" i="1" s="1"/>
  <c r="M16" i="1"/>
  <c r="P16" i="1" s="1"/>
  <c r="S16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62" i="1"/>
  <c r="W662" i="1" s="1"/>
  <c r="K661" i="1"/>
  <c r="W661" i="1" s="1"/>
  <c r="K660" i="1"/>
  <c r="W660" i="1" s="1"/>
  <c r="K659" i="1"/>
  <c r="W659" i="1" s="1"/>
  <c r="K658" i="1"/>
  <c r="W658" i="1" s="1"/>
  <c r="K657" i="1"/>
  <c r="W657" i="1" s="1"/>
  <c r="K656" i="1"/>
  <c r="W656" i="1" s="1"/>
  <c r="K655" i="1"/>
  <c r="W655" i="1" s="1"/>
  <c r="K654" i="1"/>
  <c r="W654" i="1" s="1"/>
  <c r="K653" i="1"/>
  <c r="W653" i="1" s="1"/>
  <c r="K652" i="1"/>
  <c r="W652" i="1" s="1"/>
  <c r="K651" i="1"/>
  <c r="W651" i="1" s="1"/>
  <c r="K650" i="1"/>
  <c r="W650" i="1" s="1"/>
  <c r="K649" i="1"/>
  <c r="W649" i="1" s="1"/>
  <c r="K648" i="1"/>
  <c r="W648" i="1" s="1"/>
  <c r="K647" i="1"/>
  <c r="W647" i="1" s="1"/>
  <c r="K646" i="1"/>
  <c r="W646" i="1" s="1"/>
  <c r="K645" i="1"/>
  <c r="W645" i="1" s="1"/>
  <c r="K644" i="1"/>
  <c r="W644" i="1" s="1"/>
  <c r="K643" i="1"/>
  <c r="W643" i="1" s="1"/>
  <c r="K642" i="1"/>
  <c r="W642" i="1" s="1"/>
  <c r="K641" i="1"/>
  <c r="W641" i="1" s="1"/>
  <c r="K640" i="1"/>
  <c r="W640" i="1" s="1"/>
  <c r="K639" i="1"/>
  <c r="W639" i="1" s="1"/>
  <c r="K638" i="1"/>
  <c r="K637" i="1"/>
  <c r="K636" i="1"/>
  <c r="W636" i="1" s="1"/>
  <c r="K635" i="1"/>
  <c r="K634" i="1"/>
  <c r="K633" i="1"/>
  <c r="K627" i="1"/>
  <c r="W627" i="1" s="1"/>
  <c r="K626" i="1"/>
  <c r="W626" i="1" s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W606" i="1" s="1"/>
  <c r="K605" i="1"/>
  <c r="W605" i="1" s="1"/>
  <c r="K604" i="1"/>
  <c r="W604" i="1" s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W587" i="1" s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W555" i="1" s="1"/>
  <c r="K554" i="1"/>
  <c r="W554" i="1" s="1"/>
  <c r="K553" i="1"/>
  <c r="K552" i="1"/>
  <c r="K551" i="1"/>
  <c r="K550" i="1"/>
  <c r="K547" i="1"/>
  <c r="W547" i="1" s="1"/>
  <c r="K546" i="1"/>
  <c r="W546" i="1" s="1"/>
  <c r="K545" i="1"/>
  <c r="W545" i="1" s="1"/>
  <c r="K544" i="1"/>
  <c r="W544" i="1" s="1"/>
  <c r="K543" i="1"/>
  <c r="W543" i="1" s="1"/>
  <c r="K542" i="1"/>
  <c r="W542" i="1" s="1"/>
  <c r="K541" i="1"/>
  <c r="W541" i="1" s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W535" i="1" s="1"/>
  <c r="K534" i="1"/>
  <c r="W534" i="1" s="1"/>
  <c r="K533" i="1"/>
  <c r="W533" i="1" s="1"/>
  <c r="K532" i="1"/>
  <c r="W532" i="1" s="1"/>
  <c r="K531" i="1"/>
  <c r="W531" i="1" s="1"/>
  <c r="K530" i="1"/>
  <c r="W530" i="1" s="1"/>
  <c r="K529" i="1"/>
  <c r="W529" i="1" s="1"/>
  <c r="K528" i="1"/>
  <c r="W528" i="1" s="1"/>
  <c r="K527" i="1"/>
  <c r="W527" i="1" s="1"/>
  <c r="K526" i="1"/>
  <c r="W526" i="1" s="1"/>
  <c r="K525" i="1"/>
  <c r="W525" i="1" s="1"/>
  <c r="K524" i="1"/>
  <c r="W524" i="1" s="1"/>
  <c r="K523" i="1"/>
  <c r="K522" i="1"/>
  <c r="K521" i="1"/>
  <c r="W521" i="1" s="1"/>
  <c r="K520" i="1"/>
  <c r="K519" i="1"/>
  <c r="K518" i="1"/>
  <c r="K506" i="1"/>
  <c r="W506" i="1" s="1"/>
  <c r="K505" i="1"/>
  <c r="W505" i="1" s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W485" i="1" s="1"/>
  <c r="K484" i="1"/>
  <c r="W484" i="1" s="1"/>
  <c r="K483" i="1"/>
  <c r="W483" i="1" s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W466" i="1" s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W434" i="1" s="1"/>
  <c r="K433" i="1"/>
  <c r="W433" i="1" s="1"/>
  <c r="K432" i="1"/>
  <c r="K431" i="1"/>
  <c r="K430" i="1"/>
  <c r="K429" i="1"/>
  <c r="K426" i="1"/>
  <c r="W426" i="1" s="1"/>
  <c r="K425" i="1"/>
  <c r="W425" i="1" s="1"/>
  <c r="K424" i="1"/>
  <c r="W424" i="1" s="1"/>
  <c r="K423" i="1"/>
  <c r="K422" i="1"/>
  <c r="W422" i="1" s="1"/>
  <c r="K421" i="1"/>
  <c r="W421" i="1" s="1"/>
  <c r="K420" i="1"/>
  <c r="W420" i="1" s="1"/>
  <c r="K419" i="1"/>
  <c r="W419" i="1" s="1"/>
  <c r="K418" i="1"/>
  <c r="W418" i="1" s="1"/>
  <c r="K417" i="1"/>
  <c r="W417" i="1" s="1"/>
  <c r="K416" i="1"/>
  <c r="W416" i="1" s="1"/>
  <c r="K415" i="1"/>
  <c r="W415" i="1" s="1"/>
  <c r="K414" i="1"/>
  <c r="W414" i="1" s="1"/>
  <c r="K413" i="1"/>
  <c r="W413" i="1" s="1"/>
  <c r="K412" i="1"/>
  <c r="W412" i="1" s="1"/>
  <c r="K411" i="1"/>
  <c r="K410" i="1"/>
  <c r="K409" i="1"/>
  <c r="K408" i="1"/>
  <c r="K407" i="1"/>
  <c r="K406" i="1"/>
  <c r="K405" i="1"/>
  <c r="K404" i="1"/>
  <c r="K403" i="1"/>
  <c r="K402" i="1"/>
  <c r="K401" i="1"/>
  <c r="K400" i="1"/>
  <c r="W400" i="1" s="1"/>
  <c r="K399" i="1"/>
  <c r="K398" i="1"/>
  <c r="K397" i="1"/>
  <c r="K391" i="1"/>
  <c r="W391" i="1" s="1"/>
  <c r="K390" i="1"/>
  <c r="W390" i="1" s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W370" i="1" s="1"/>
  <c r="K369" i="1"/>
  <c r="W369" i="1" s="1"/>
  <c r="K368" i="1"/>
  <c r="W368" i="1" s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W351" i="1" s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W319" i="1" s="1"/>
  <c r="K318" i="1"/>
  <c r="W318" i="1" s="1"/>
  <c r="K317" i="1"/>
  <c r="K316" i="1"/>
  <c r="K315" i="1"/>
  <c r="K314" i="1"/>
  <c r="K311" i="1"/>
  <c r="W311" i="1" s="1"/>
  <c r="K310" i="1"/>
  <c r="W310" i="1" s="1"/>
  <c r="K309" i="1"/>
  <c r="K308" i="1"/>
  <c r="K307" i="1"/>
  <c r="K306" i="1"/>
  <c r="K305" i="1"/>
  <c r="K304" i="1"/>
  <c r="K303" i="1"/>
  <c r="K302" i="1"/>
  <c r="K301" i="1"/>
  <c r="K300" i="1"/>
  <c r="K299" i="1"/>
  <c r="W299" i="1" s="1"/>
  <c r="K298" i="1"/>
  <c r="W298" i="1" s="1"/>
  <c r="K297" i="1"/>
  <c r="W297" i="1" s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W245" i="1" s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W228" i="1" s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51" i="1"/>
  <c r="K150" i="1"/>
  <c r="K149" i="1"/>
  <c r="K148" i="1"/>
  <c r="K147" i="1"/>
  <c r="K131" i="1"/>
  <c r="K130" i="1"/>
  <c r="K129" i="1"/>
  <c r="J173" i="1" s="1"/>
  <c r="K173" i="1" s="1"/>
  <c r="K128" i="1"/>
  <c r="K127" i="1"/>
  <c r="J171" i="1" s="1"/>
  <c r="K171" i="1" s="1"/>
  <c r="K126" i="1"/>
  <c r="K125" i="1"/>
  <c r="J169" i="1" s="1"/>
  <c r="K169" i="1" s="1"/>
  <c r="K124" i="1"/>
  <c r="K123" i="1"/>
  <c r="K122" i="1"/>
  <c r="K121" i="1"/>
  <c r="J165" i="1" s="1"/>
  <c r="K165" i="1" s="1"/>
  <c r="W165" i="1" s="1"/>
  <c r="K120" i="1"/>
  <c r="K119" i="1"/>
  <c r="K118" i="1"/>
  <c r="K117" i="1"/>
  <c r="K116" i="1"/>
  <c r="J160" i="1" s="1"/>
  <c r="M160" i="1" s="1"/>
  <c r="K115" i="1"/>
  <c r="K114" i="1"/>
  <c r="J158" i="1" s="1"/>
  <c r="M158" i="1" s="1"/>
  <c r="K113" i="1"/>
  <c r="K112" i="1"/>
  <c r="J156" i="1" s="1"/>
  <c r="K156" i="1" s="1"/>
  <c r="K111" i="1"/>
  <c r="J155" i="1" s="1"/>
  <c r="K155" i="1" s="1"/>
  <c r="K110" i="1"/>
  <c r="J154" i="1" s="1"/>
  <c r="K154" i="1" s="1"/>
  <c r="K109" i="1"/>
  <c r="J153" i="1" s="1"/>
  <c r="M153" i="1" s="1"/>
  <c r="N153" i="1" s="1"/>
  <c r="X153" i="1" s="1"/>
  <c r="K108" i="1"/>
  <c r="J152" i="1" s="1"/>
  <c r="K152" i="1" s="1"/>
  <c r="K107" i="1"/>
  <c r="K106" i="1"/>
  <c r="K105" i="1"/>
  <c r="K104" i="1"/>
  <c r="K103" i="1"/>
  <c r="K87" i="1"/>
  <c r="K86" i="1"/>
  <c r="K85" i="1"/>
  <c r="K83" i="1"/>
  <c r="W83" i="1" s="1"/>
  <c r="K82" i="1"/>
  <c r="K81" i="1"/>
  <c r="K80" i="1"/>
  <c r="K79" i="1"/>
  <c r="K78" i="1"/>
  <c r="W78" i="1" s="1"/>
  <c r="K77" i="1"/>
  <c r="W77" i="1" s="1"/>
  <c r="K76" i="1"/>
  <c r="K75" i="1"/>
  <c r="W75" i="1" s="1"/>
  <c r="K74" i="1"/>
  <c r="K72" i="1"/>
  <c r="K71" i="1"/>
  <c r="K70" i="1"/>
  <c r="K69" i="1"/>
  <c r="K68" i="1"/>
  <c r="K67" i="1"/>
  <c r="K66" i="1"/>
  <c r="K65" i="1"/>
  <c r="K64" i="1"/>
  <c r="K63" i="1"/>
  <c r="K61" i="1"/>
  <c r="K60" i="1"/>
  <c r="K59" i="1"/>
  <c r="K58" i="1"/>
  <c r="K57" i="1"/>
  <c r="K56" i="1"/>
  <c r="K40" i="1"/>
  <c r="K39" i="1"/>
  <c r="K37" i="1"/>
  <c r="K36" i="1"/>
  <c r="K35" i="1"/>
  <c r="K34" i="1"/>
  <c r="K33" i="1"/>
  <c r="K32" i="1"/>
  <c r="K31" i="1"/>
  <c r="W31" i="1" s="1"/>
  <c r="K30" i="1"/>
  <c r="W30" i="1" s="1"/>
  <c r="K29" i="1"/>
  <c r="K25" i="1"/>
  <c r="K23" i="1"/>
  <c r="K22" i="1"/>
  <c r="K20" i="1"/>
  <c r="K19" i="1"/>
  <c r="K18" i="1"/>
  <c r="K17" i="1"/>
  <c r="K16" i="1"/>
  <c r="K15" i="1"/>
  <c r="K13" i="1"/>
  <c r="K11" i="1"/>
  <c r="K9" i="1"/>
  <c r="K8" i="1"/>
  <c r="K7" i="1"/>
  <c r="K6" i="1"/>
  <c r="K5" i="1"/>
  <c r="K4" i="1"/>
  <c r="P9" i="1" l="1"/>
  <c r="S9" i="1" s="1"/>
  <c r="J163" i="1"/>
  <c r="K163" i="1" s="1"/>
  <c r="W163" i="1" s="1"/>
  <c r="W119" i="1"/>
  <c r="J175" i="1"/>
  <c r="M175" i="1" s="1"/>
  <c r="P175" i="1" s="1"/>
  <c r="W131" i="1"/>
  <c r="J162" i="1"/>
  <c r="K162" i="1" s="1"/>
  <c r="W162" i="1" s="1"/>
  <c r="W118" i="1"/>
  <c r="J164" i="1"/>
  <c r="K164" i="1" s="1"/>
  <c r="W164" i="1" s="1"/>
  <c r="W120" i="1"/>
  <c r="J174" i="1"/>
  <c r="M174" i="1" s="1"/>
  <c r="P174" i="1" s="1"/>
  <c r="S174" i="1" s="1"/>
  <c r="T174" i="1" s="1"/>
  <c r="Z174" i="1" s="1"/>
  <c r="W130" i="1"/>
  <c r="J168" i="1"/>
  <c r="K168" i="1" s="1"/>
  <c r="W168" i="1" s="1"/>
  <c r="W124" i="1"/>
  <c r="J166" i="1"/>
  <c r="K166" i="1" s="1"/>
  <c r="W166" i="1" s="1"/>
  <c r="W122" i="1"/>
  <c r="J157" i="1"/>
  <c r="K157" i="1" s="1"/>
  <c r="W157" i="1" s="1"/>
  <c r="W113" i="1"/>
  <c r="J161" i="1"/>
  <c r="K161" i="1" s="1"/>
  <c r="W161" i="1" s="1"/>
  <c r="W117" i="1"/>
  <c r="J167" i="1"/>
  <c r="K167" i="1" s="1"/>
  <c r="W167" i="1" s="1"/>
  <c r="W123" i="1"/>
  <c r="J170" i="1"/>
  <c r="K170" i="1" s="1"/>
  <c r="W170" i="1" s="1"/>
  <c r="W126" i="1"/>
  <c r="J159" i="1"/>
  <c r="K159" i="1" s="1"/>
  <c r="W159" i="1" s="1"/>
  <c r="W115" i="1"/>
  <c r="J172" i="1"/>
  <c r="K172" i="1" s="1"/>
  <c r="W172" i="1" s="1"/>
  <c r="W128" i="1"/>
  <c r="K158" i="1"/>
  <c r="W158" i="1" s="1"/>
  <c r="N192" i="1"/>
  <c r="P597" i="1"/>
  <c r="S597" i="1" s="1"/>
  <c r="N250" i="1"/>
  <c r="X250" i="1" s="1"/>
  <c r="N242" i="1"/>
  <c r="N382" i="1"/>
  <c r="X382" i="1" s="1"/>
  <c r="N4" i="1"/>
  <c r="N64" i="1"/>
  <c r="N37" i="1"/>
  <c r="M173" i="1"/>
  <c r="P173" i="1" s="1"/>
  <c r="S173" i="1" s="1"/>
  <c r="N357" i="1"/>
  <c r="P397" i="1"/>
  <c r="S397" i="1" s="1"/>
  <c r="T397" i="1" s="1"/>
  <c r="Z397" i="1" s="1"/>
  <c r="N372" i="1"/>
  <c r="X372" i="1" s="1"/>
  <c r="S4" i="1"/>
  <c r="T4" i="1" s="1"/>
  <c r="Z4" i="1" s="1"/>
  <c r="Q4" i="1"/>
  <c r="Q175" i="1"/>
  <c r="Y175" i="1" s="1"/>
  <c r="S175" i="1"/>
  <c r="T175" i="1" s="1"/>
  <c r="Z175" i="1" s="1"/>
  <c r="S284" i="1"/>
  <c r="T284" i="1" s="1"/>
  <c r="Z284" i="1" s="1"/>
  <c r="P341" i="1"/>
  <c r="S341" i="1" s="1"/>
  <c r="T341" i="1" s="1"/>
  <c r="Z341" i="1" s="1"/>
  <c r="S122" i="1"/>
  <c r="T122" i="1" s="1"/>
  <c r="Z122" i="1" s="1"/>
  <c r="N443" i="1"/>
  <c r="P443" i="1"/>
  <c r="S200" i="1"/>
  <c r="T200" i="1" s="1"/>
  <c r="Z200" i="1" s="1"/>
  <c r="S233" i="1"/>
  <c r="T233" i="1" s="1"/>
  <c r="Z233" i="1" s="1"/>
  <c r="N262" i="1"/>
  <c r="X262" i="1" s="1"/>
  <c r="S286" i="1"/>
  <c r="T286" i="1" s="1"/>
  <c r="Z286" i="1" s="1"/>
  <c r="N332" i="1"/>
  <c r="P332" i="1"/>
  <c r="S332" i="1" s="1"/>
  <c r="T332" i="1" s="1"/>
  <c r="Z332" i="1" s="1"/>
  <c r="P343" i="1"/>
  <c r="S343" i="1" s="1"/>
  <c r="T343" i="1" s="1"/>
  <c r="Z343" i="1" s="1"/>
  <c r="N354" i="1"/>
  <c r="N384" i="1"/>
  <c r="X384" i="1" s="1"/>
  <c r="P409" i="1"/>
  <c r="P444" i="1"/>
  <c r="S444" i="1" s="1"/>
  <c r="T444" i="1" s="1"/>
  <c r="Z444" i="1" s="1"/>
  <c r="P456" i="1"/>
  <c r="S456" i="1" s="1"/>
  <c r="T456" i="1" s="1"/>
  <c r="Z456" i="1" s="1"/>
  <c r="K175" i="1"/>
  <c r="W175" i="1" s="1"/>
  <c r="N8" i="1"/>
  <c r="Q124" i="1"/>
  <c r="Y124" i="1" s="1"/>
  <c r="S124" i="1"/>
  <c r="T124" i="1" s="1"/>
  <c r="Z124" i="1" s="1"/>
  <c r="M163" i="1"/>
  <c r="P163" i="1" s="1"/>
  <c r="S163" i="1" s="1"/>
  <c r="S201" i="1"/>
  <c r="T201" i="1" s="1"/>
  <c r="Z201" i="1" s="1"/>
  <c r="N254" i="1"/>
  <c r="X254" i="1" s="1"/>
  <c r="Q263" i="1"/>
  <c r="Y263" i="1" s="1"/>
  <c r="S263" i="1"/>
  <c r="T263" i="1" s="1"/>
  <c r="Z263" i="1" s="1"/>
  <c r="S298" i="1"/>
  <c r="T298" i="1" s="1"/>
  <c r="Z298" i="1" s="1"/>
  <c r="P322" i="1"/>
  <c r="S322" i="1" s="1"/>
  <c r="T322" i="1" s="1"/>
  <c r="Z322" i="1" s="1"/>
  <c r="N333" i="1"/>
  <c r="P333" i="1"/>
  <c r="S333" i="1" s="1"/>
  <c r="T333" i="1" s="1"/>
  <c r="Z333" i="1" s="1"/>
  <c r="N445" i="1"/>
  <c r="P445" i="1"/>
  <c r="P457" i="1"/>
  <c r="S457" i="1" s="1"/>
  <c r="T457" i="1" s="1"/>
  <c r="Z457" i="1" s="1"/>
  <c r="Q617" i="1"/>
  <c r="Y617" i="1" s="1"/>
  <c r="S617" i="1"/>
  <c r="T617" i="1" s="1"/>
  <c r="Z617" i="1" s="1"/>
  <c r="P454" i="1"/>
  <c r="Q454" i="1" s="1"/>
  <c r="Y454" i="1" s="1"/>
  <c r="N36" i="1"/>
  <c r="Q151" i="1"/>
  <c r="S151" i="1"/>
  <c r="T151" i="1" s="1"/>
  <c r="S191" i="1"/>
  <c r="T191" i="1" s="1"/>
  <c r="Z191" i="1" s="1"/>
  <c r="Q202" i="1"/>
  <c r="Y202" i="1" s="1"/>
  <c r="S202" i="1"/>
  <c r="T202" i="1" s="1"/>
  <c r="Z202" i="1" s="1"/>
  <c r="S310" i="1"/>
  <c r="T310" i="1" s="1"/>
  <c r="Z310" i="1" s="1"/>
  <c r="P345" i="1"/>
  <c r="S345" i="1" s="1"/>
  <c r="T345" i="1" s="1"/>
  <c r="Z345" i="1" s="1"/>
  <c r="Q386" i="1"/>
  <c r="Y386" i="1" s="1"/>
  <c r="S386" i="1"/>
  <c r="T386" i="1" s="1"/>
  <c r="Z386" i="1" s="1"/>
  <c r="P446" i="1"/>
  <c r="S446" i="1" s="1"/>
  <c r="T446" i="1" s="1"/>
  <c r="Z446" i="1" s="1"/>
  <c r="P458" i="1"/>
  <c r="S458" i="1" s="1"/>
  <c r="T458" i="1" s="1"/>
  <c r="Z458" i="1" s="1"/>
  <c r="Q555" i="1"/>
  <c r="Y555" i="1" s="1"/>
  <c r="S555" i="1"/>
  <c r="T555" i="1" s="1"/>
  <c r="Z555" i="1" s="1"/>
  <c r="M152" i="1"/>
  <c r="N152" i="1" s="1"/>
  <c r="X152" i="1" s="1"/>
  <c r="M165" i="1"/>
  <c r="P165" i="1" s="1"/>
  <c r="Q165" i="1" s="1"/>
  <c r="Y165" i="1" s="1"/>
  <c r="S192" i="1"/>
  <c r="T192" i="1" s="1"/>
  <c r="Z192" i="1" s="1"/>
  <c r="S224" i="1"/>
  <c r="T224" i="1" s="1"/>
  <c r="Z224" i="1" s="1"/>
  <c r="S265" i="1"/>
  <c r="T265" i="1" s="1"/>
  <c r="Z265" i="1" s="1"/>
  <c r="S300" i="1"/>
  <c r="T300" i="1" s="1"/>
  <c r="Z300" i="1" s="1"/>
  <c r="P324" i="1"/>
  <c r="S324" i="1" s="1"/>
  <c r="T324" i="1" s="1"/>
  <c r="Z324" i="1" s="1"/>
  <c r="N334" i="1"/>
  <c r="N346" i="1"/>
  <c r="P346" i="1"/>
  <c r="S346" i="1" s="1"/>
  <c r="N386" i="1"/>
  <c r="X386" i="1" s="1"/>
  <c r="N447" i="1"/>
  <c r="P447" i="1"/>
  <c r="S447" i="1" s="1"/>
  <c r="P459" i="1"/>
  <c r="S459" i="1" s="1"/>
  <c r="T459" i="1" s="1"/>
  <c r="Z459" i="1" s="1"/>
  <c r="P607" i="1"/>
  <c r="Q607" i="1" s="1"/>
  <c r="Y607" i="1" s="1"/>
  <c r="S261" i="1"/>
  <c r="T261" i="1" s="1"/>
  <c r="Z261" i="1" s="1"/>
  <c r="P7" i="1"/>
  <c r="Q7" i="1" s="1"/>
  <c r="Y7" i="1" s="1"/>
  <c r="Q243" i="1"/>
  <c r="Y243" i="1" s="1"/>
  <c r="S243" i="1"/>
  <c r="T243" i="1" s="1"/>
  <c r="Z243" i="1" s="1"/>
  <c r="P331" i="1"/>
  <c r="S331" i="1" s="1"/>
  <c r="T331" i="1" s="1"/>
  <c r="Z331" i="1" s="1"/>
  <c r="P455" i="1"/>
  <c r="S455" i="1" s="1"/>
  <c r="T455" i="1" s="1"/>
  <c r="Z455" i="1" s="1"/>
  <c r="S593" i="1"/>
  <c r="T593" i="1" s="1"/>
  <c r="Z593" i="1" s="1"/>
  <c r="Q255" i="1"/>
  <c r="Y255" i="1" s="1"/>
  <c r="S255" i="1"/>
  <c r="T255" i="1" s="1"/>
  <c r="Z255" i="1" s="1"/>
  <c r="S225" i="1"/>
  <c r="T225" i="1" s="1"/>
  <c r="Z225" i="1" s="1"/>
  <c r="K153" i="1"/>
  <c r="W153" i="1" s="1"/>
  <c r="N30" i="1"/>
  <c r="X30" i="1" s="1"/>
  <c r="N40" i="1"/>
  <c r="N77" i="1"/>
  <c r="X77" i="1" s="1"/>
  <c r="M154" i="1"/>
  <c r="N154" i="1" s="1"/>
  <c r="X154" i="1" s="1"/>
  <c r="S193" i="1"/>
  <c r="T193" i="1" s="1"/>
  <c r="Z193" i="1" s="1"/>
  <c r="N216" i="1"/>
  <c r="Q226" i="1"/>
  <c r="Y226" i="1" s="1"/>
  <c r="S226" i="1"/>
  <c r="T226" i="1" s="1"/>
  <c r="Z226" i="1" s="1"/>
  <c r="S257" i="1"/>
  <c r="T257" i="1" s="1"/>
  <c r="Z257" i="1" s="1"/>
  <c r="N266" i="1"/>
  <c r="X266" i="1" s="1"/>
  <c r="S302" i="1"/>
  <c r="T302" i="1" s="1"/>
  <c r="Z302" i="1" s="1"/>
  <c r="P326" i="1"/>
  <c r="Q326" i="1" s="1"/>
  <c r="Y326" i="1" s="1"/>
  <c r="N336" i="1"/>
  <c r="P336" i="1"/>
  <c r="Q336" i="1" s="1"/>
  <c r="Y336" i="1" s="1"/>
  <c r="P449" i="1"/>
  <c r="S449" i="1" s="1"/>
  <c r="T449" i="1" s="1"/>
  <c r="Z449" i="1" s="1"/>
  <c r="P461" i="1"/>
  <c r="S461" i="1" s="1"/>
  <c r="T461" i="1" s="1"/>
  <c r="Z461" i="1" s="1"/>
  <c r="Q231" i="1"/>
  <c r="Y231" i="1" s="1"/>
  <c r="S231" i="1"/>
  <c r="T231" i="1" s="1"/>
  <c r="Z231" i="1" s="1"/>
  <c r="S253" i="1"/>
  <c r="T253" i="1" s="1"/>
  <c r="Z253" i="1" s="1"/>
  <c r="P342" i="1"/>
  <c r="S342" i="1" s="1"/>
  <c r="T342" i="1" s="1"/>
  <c r="Z342" i="1" s="1"/>
  <c r="Q247" i="1"/>
  <c r="Y247" i="1" s="1"/>
  <c r="S247" i="1"/>
  <c r="T247" i="1" s="1"/>
  <c r="Z247" i="1" s="1"/>
  <c r="P460" i="1"/>
  <c r="S460" i="1" s="1"/>
  <c r="T460" i="1" s="1"/>
  <c r="Z460" i="1" s="1"/>
  <c r="Q531" i="1"/>
  <c r="Y531" i="1" s="1"/>
  <c r="S531" i="1"/>
  <c r="T531" i="1" s="1"/>
  <c r="Z531" i="1" s="1"/>
  <c r="N67" i="1"/>
  <c r="X67" i="1" s="1"/>
  <c r="Q106" i="1"/>
  <c r="Y106" i="1" s="1"/>
  <c r="S106" i="1"/>
  <c r="T106" i="1" s="1"/>
  <c r="Z106" i="1" s="1"/>
  <c r="M155" i="1"/>
  <c r="P155" i="1" s="1"/>
  <c r="S155" i="1" s="1"/>
  <c r="Q194" i="1"/>
  <c r="Y194" i="1" s="1"/>
  <c r="S194" i="1"/>
  <c r="T194" i="1" s="1"/>
  <c r="Z194" i="1" s="1"/>
  <c r="Q227" i="1"/>
  <c r="Y227" i="1" s="1"/>
  <c r="S227" i="1"/>
  <c r="T227" i="1" s="1"/>
  <c r="Z227" i="1" s="1"/>
  <c r="Q239" i="1"/>
  <c r="Y239" i="1" s="1"/>
  <c r="S239" i="1"/>
  <c r="T239" i="1" s="1"/>
  <c r="Z239" i="1" s="1"/>
  <c r="S249" i="1"/>
  <c r="T249" i="1" s="1"/>
  <c r="Z249" i="1" s="1"/>
  <c r="Q267" i="1"/>
  <c r="S267" i="1"/>
  <c r="T267" i="1" s="1"/>
  <c r="S292" i="1"/>
  <c r="T292" i="1" s="1"/>
  <c r="Z292" i="1" s="1"/>
  <c r="N326" i="1"/>
  <c r="P337" i="1"/>
  <c r="S337" i="1" s="1"/>
  <c r="T337" i="1" s="1"/>
  <c r="Z337" i="1" s="1"/>
  <c r="P358" i="1"/>
  <c r="S405" i="1"/>
  <c r="T405" i="1" s="1"/>
  <c r="Z405" i="1" s="1"/>
  <c r="N413" i="1"/>
  <c r="X413" i="1" s="1"/>
  <c r="P439" i="1"/>
  <c r="S439" i="1" s="1"/>
  <c r="T439" i="1" s="1"/>
  <c r="Z439" i="1" s="1"/>
  <c r="P450" i="1"/>
  <c r="S450" i="1" s="1"/>
  <c r="T450" i="1" s="1"/>
  <c r="Z450" i="1" s="1"/>
  <c r="S521" i="1"/>
  <c r="T521" i="1" s="1"/>
  <c r="Z521" i="1" s="1"/>
  <c r="S545" i="1"/>
  <c r="T545" i="1" s="1"/>
  <c r="Z545" i="1" s="1"/>
  <c r="Q235" i="1"/>
  <c r="Y235" i="1" s="1"/>
  <c r="S235" i="1"/>
  <c r="T235" i="1" s="1"/>
  <c r="Z235" i="1" s="1"/>
  <c r="S290" i="1"/>
  <c r="T290" i="1" s="1"/>
  <c r="Z290" i="1" s="1"/>
  <c r="S130" i="1"/>
  <c r="T130" i="1" s="1"/>
  <c r="Z130" i="1" s="1"/>
  <c r="M156" i="1"/>
  <c r="P156" i="1" s="1"/>
  <c r="S156" i="1" s="1"/>
  <c r="M169" i="1"/>
  <c r="N169" i="1" s="1"/>
  <c r="X169" i="1" s="1"/>
  <c r="S195" i="1"/>
  <c r="T195" i="1" s="1"/>
  <c r="Q259" i="1"/>
  <c r="Y259" i="1" s="1"/>
  <c r="S259" i="1"/>
  <c r="T259" i="1" s="1"/>
  <c r="Z259" i="1" s="1"/>
  <c r="Q304" i="1"/>
  <c r="Y304" i="1" s="1"/>
  <c r="S304" i="1"/>
  <c r="T304" i="1" s="1"/>
  <c r="Z304" i="1" s="1"/>
  <c r="S316" i="1"/>
  <c r="T316" i="1" s="1"/>
  <c r="Z316" i="1" s="1"/>
  <c r="P327" i="1"/>
  <c r="Q327" i="1" s="1"/>
  <c r="Y327" i="1" s="1"/>
  <c r="N439" i="1"/>
  <c r="P451" i="1"/>
  <c r="S451" i="1" s="1"/>
  <c r="T451" i="1" s="1"/>
  <c r="Z451" i="1" s="1"/>
  <c r="N662" i="1"/>
  <c r="X662" i="1" s="1"/>
  <c r="S199" i="1"/>
  <c r="T199" i="1" s="1"/>
  <c r="Z199" i="1" s="1"/>
  <c r="S288" i="1"/>
  <c r="T288" i="1" s="1"/>
  <c r="Z288" i="1" s="1"/>
  <c r="S237" i="1"/>
  <c r="T237" i="1" s="1"/>
  <c r="Z237" i="1" s="1"/>
  <c r="Q314" i="1"/>
  <c r="Y314" i="1" s="1"/>
  <c r="S314" i="1"/>
  <c r="T314" i="1" s="1"/>
  <c r="Z314" i="1" s="1"/>
  <c r="N68" i="1"/>
  <c r="X68" i="1" s="1"/>
  <c r="N130" i="1"/>
  <c r="X130" i="1" s="1"/>
  <c r="M157" i="1"/>
  <c r="P157" i="1" s="1"/>
  <c r="Q157" i="1" s="1"/>
  <c r="Y157" i="1" s="1"/>
  <c r="N218" i="1"/>
  <c r="S229" i="1"/>
  <c r="T229" i="1" s="1"/>
  <c r="Z229" i="1" s="1"/>
  <c r="S241" i="1"/>
  <c r="T241" i="1" s="1"/>
  <c r="Z241" i="1" s="1"/>
  <c r="S282" i="1"/>
  <c r="T282" i="1" s="1"/>
  <c r="Z282" i="1" s="1"/>
  <c r="P328" i="1"/>
  <c r="Q328" i="1" s="1"/>
  <c r="Y328" i="1" s="1"/>
  <c r="P339" i="1"/>
  <c r="S339" i="1" s="1"/>
  <c r="T339" i="1" s="1"/>
  <c r="Z339" i="1" s="1"/>
  <c r="Q415" i="1"/>
  <c r="Y415" i="1" s="1"/>
  <c r="S415" i="1"/>
  <c r="T415" i="1" s="1"/>
  <c r="Z415" i="1" s="1"/>
  <c r="S429" i="1"/>
  <c r="T429" i="1" s="1"/>
  <c r="Z429" i="1" s="1"/>
  <c r="P452" i="1"/>
  <c r="S452" i="1" s="1"/>
  <c r="T452" i="1" s="1"/>
  <c r="Z452" i="1" s="1"/>
  <c r="Q82" i="1"/>
  <c r="Y82" i="1" s="1"/>
  <c r="S82" i="1"/>
  <c r="T82" i="1" s="1"/>
  <c r="Z82" i="1" s="1"/>
  <c r="P442" i="1"/>
  <c r="S442" i="1" s="1"/>
  <c r="T442" i="1" s="1"/>
  <c r="Z442" i="1" s="1"/>
  <c r="P220" i="1"/>
  <c r="S220" i="1" s="1"/>
  <c r="T220" i="1" s="1"/>
  <c r="Z220" i="1" s="1"/>
  <c r="S308" i="1"/>
  <c r="T308" i="1" s="1"/>
  <c r="S245" i="1"/>
  <c r="T245" i="1" s="1"/>
  <c r="Z245" i="1" s="1"/>
  <c r="P448" i="1"/>
  <c r="Q448" i="1" s="1"/>
  <c r="Y448" i="1" s="1"/>
  <c r="N6" i="1"/>
  <c r="N108" i="1"/>
  <c r="X108" i="1" s="1"/>
  <c r="M171" i="1"/>
  <c r="P171" i="1" s="1"/>
  <c r="S171" i="1" s="1"/>
  <c r="Q197" i="1"/>
  <c r="Y197" i="1" s="1"/>
  <c r="S197" i="1"/>
  <c r="T197" i="1" s="1"/>
  <c r="Z197" i="1" s="1"/>
  <c r="Q251" i="1"/>
  <c r="Y251" i="1" s="1"/>
  <c r="S251" i="1"/>
  <c r="T251" i="1" s="1"/>
  <c r="Z251" i="1" s="1"/>
  <c r="S306" i="1"/>
  <c r="T306" i="1" s="1"/>
  <c r="Z306" i="1" s="1"/>
  <c r="S318" i="1"/>
  <c r="T318" i="1" s="1"/>
  <c r="Z318" i="1" s="1"/>
  <c r="N329" i="1"/>
  <c r="P329" i="1"/>
  <c r="Q329" i="1" s="1"/>
  <c r="Y329" i="1" s="1"/>
  <c r="N340" i="1"/>
  <c r="P340" i="1"/>
  <c r="N360" i="1"/>
  <c r="P441" i="1"/>
  <c r="S441" i="1" s="1"/>
  <c r="T441" i="1" s="1"/>
  <c r="Z441" i="1" s="1"/>
  <c r="P453" i="1"/>
  <c r="S453" i="1" s="1"/>
  <c r="T453" i="1" s="1"/>
  <c r="Z453" i="1" s="1"/>
  <c r="Q218" i="1"/>
  <c r="Y218" i="1" s="1"/>
  <c r="S218" i="1"/>
  <c r="T218" i="1" s="1"/>
  <c r="Z218" i="1" s="1"/>
  <c r="S217" i="1"/>
  <c r="T217" i="1" s="1"/>
  <c r="Z217" i="1" s="1"/>
  <c r="S219" i="1"/>
  <c r="T219" i="1" s="1"/>
  <c r="Z219" i="1" s="1"/>
  <c r="Q221" i="1"/>
  <c r="Y221" i="1" s="1"/>
  <c r="S221" i="1"/>
  <c r="T221" i="1" s="1"/>
  <c r="Z221" i="1" s="1"/>
  <c r="Q579" i="1"/>
  <c r="Y579" i="1" s="1"/>
  <c r="S579" i="1"/>
  <c r="T579" i="1" s="1"/>
  <c r="Z579" i="1" s="1"/>
  <c r="S223" i="1"/>
  <c r="T223" i="1" s="1"/>
  <c r="Z223" i="1" s="1"/>
  <c r="S216" i="1"/>
  <c r="T216" i="1" s="1"/>
  <c r="Z216" i="1" s="1"/>
  <c r="N339" i="1"/>
  <c r="S208" i="1"/>
  <c r="T208" i="1" s="1"/>
  <c r="Z208" i="1" s="1"/>
  <c r="Q213" i="1"/>
  <c r="Y213" i="1" s="1"/>
  <c r="S213" i="1"/>
  <c r="T213" i="1" s="1"/>
  <c r="Z213" i="1" s="1"/>
  <c r="Q205" i="1"/>
  <c r="Y205" i="1" s="1"/>
  <c r="S205" i="1"/>
  <c r="T205" i="1" s="1"/>
  <c r="Z205" i="1" s="1"/>
  <c r="N573" i="1"/>
  <c r="X573" i="1" s="1"/>
  <c r="N208" i="1"/>
  <c r="S215" i="1"/>
  <c r="T215" i="1" s="1"/>
  <c r="Z215" i="1" s="1"/>
  <c r="Q334" i="1"/>
  <c r="Y334" i="1" s="1"/>
  <c r="S334" i="1"/>
  <c r="T334" i="1" s="1"/>
  <c r="Z334" i="1" s="1"/>
  <c r="S203" i="1"/>
  <c r="T203" i="1" s="1"/>
  <c r="Z203" i="1" s="1"/>
  <c r="S209" i="1"/>
  <c r="T209" i="1" s="1"/>
  <c r="Z209" i="1" s="1"/>
  <c r="Q210" i="1"/>
  <c r="Y210" i="1" s="1"/>
  <c r="S210" i="1"/>
  <c r="T210" i="1" s="1"/>
  <c r="Z210" i="1" s="1"/>
  <c r="S569" i="1"/>
  <c r="T569" i="1" s="1"/>
  <c r="Z569" i="1" s="1"/>
  <c r="S211" i="1"/>
  <c r="T211" i="1" s="1"/>
  <c r="Z211" i="1" s="1"/>
  <c r="P212" i="1"/>
  <c r="Q212" i="1" s="1"/>
  <c r="Y212" i="1" s="1"/>
  <c r="S207" i="1"/>
  <c r="T207" i="1" s="1"/>
  <c r="Z207" i="1" s="1"/>
  <c r="Q211" i="1"/>
  <c r="Y211" i="1" s="1"/>
  <c r="Q116" i="1"/>
  <c r="Y116" i="1" s="1"/>
  <c r="S116" i="1"/>
  <c r="T116" i="1" s="1"/>
  <c r="Z116" i="1" s="1"/>
  <c r="P20" i="1"/>
  <c r="Q20" i="1" s="1"/>
  <c r="Y20" i="1" s="1"/>
  <c r="K160" i="1"/>
  <c r="W160" i="1" s="1"/>
  <c r="N563" i="1"/>
  <c r="X563" i="1" s="1"/>
  <c r="Q557" i="1"/>
  <c r="Y557" i="1" s="1"/>
  <c r="P583" i="1"/>
  <c r="Q583" i="1" s="1"/>
  <c r="Y583" i="1" s="1"/>
  <c r="N611" i="1"/>
  <c r="X611" i="1" s="1"/>
  <c r="N595" i="1"/>
  <c r="N621" i="1"/>
  <c r="X621" i="1" s="1"/>
  <c r="N593" i="1"/>
  <c r="S559" i="1"/>
  <c r="P605" i="1"/>
  <c r="N656" i="1"/>
  <c r="X656" i="1" s="1"/>
  <c r="N569" i="1"/>
  <c r="X569" i="1" s="1"/>
  <c r="N650" i="1"/>
  <c r="X650" i="1" s="1"/>
  <c r="N619" i="1"/>
  <c r="X619" i="1" s="1"/>
  <c r="N571" i="1"/>
  <c r="X571" i="1" s="1"/>
  <c r="N617" i="1"/>
  <c r="X617" i="1" s="1"/>
  <c r="N523" i="1"/>
  <c r="X523" i="1" s="1"/>
  <c r="P433" i="1"/>
  <c r="Q433" i="1" s="1"/>
  <c r="Y433" i="1" s="1"/>
  <c r="N545" i="1"/>
  <c r="X545" i="1" s="1"/>
  <c r="N525" i="1"/>
  <c r="X525" i="1" s="1"/>
  <c r="N547" i="1"/>
  <c r="X547" i="1" s="1"/>
  <c r="N459" i="1"/>
  <c r="X459" i="1" s="1"/>
  <c r="N521" i="1"/>
  <c r="X521" i="1" s="1"/>
  <c r="N489" i="1"/>
  <c r="X489" i="1" s="1"/>
  <c r="P535" i="1"/>
  <c r="N463" i="1"/>
  <c r="X463" i="1" s="1"/>
  <c r="P471" i="1"/>
  <c r="P482" i="1"/>
  <c r="N497" i="1"/>
  <c r="X497" i="1" s="1"/>
  <c r="N435" i="1"/>
  <c r="N437" i="1"/>
  <c r="N455" i="1"/>
  <c r="N483" i="1"/>
  <c r="X483" i="1" s="1"/>
  <c r="N491" i="1"/>
  <c r="X491" i="1" s="1"/>
  <c r="P500" i="1"/>
  <c r="Q500" i="1" s="1"/>
  <c r="Y500" i="1" s="1"/>
  <c r="Q521" i="1"/>
  <c r="Y521" i="1" s="1"/>
  <c r="N467" i="1"/>
  <c r="X467" i="1" s="1"/>
  <c r="P494" i="1"/>
  <c r="S494" i="1" s="1"/>
  <c r="N469" i="1"/>
  <c r="P488" i="1"/>
  <c r="S488" i="1" s="1"/>
  <c r="P533" i="1"/>
  <c r="N451" i="1"/>
  <c r="N495" i="1"/>
  <c r="X495" i="1" s="1"/>
  <c r="T380" i="1"/>
  <c r="Z380" i="1" s="1"/>
  <c r="Q380" i="1"/>
  <c r="Y380" i="1" s="1"/>
  <c r="N369" i="1"/>
  <c r="X369" i="1" s="1"/>
  <c r="P399" i="1"/>
  <c r="S399" i="1" s="1"/>
  <c r="T399" i="1" s="1"/>
  <c r="Z399" i="1" s="1"/>
  <c r="N363" i="1"/>
  <c r="P370" i="1"/>
  <c r="N380" i="1"/>
  <c r="X380" i="1" s="1"/>
  <c r="P419" i="1"/>
  <c r="N348" i="1"/>
  <c r="X348" i="1" s="1"/>
  <c r="P364" i="1"/>
  <c r="S364" i="1" s="1"/>
  <c r="N411" i="1"/>
  <c r="X411" i="1" s="1"/>
  <c r="N342" i="1"/>
  <c r="P390" i="1"/>
  <c r="S390" i="1" s="1"/>
  <c r="T390" i="1" s="1"/>
  <c r="Z390" i="1" s="1"/>
  <c r="P421" i="1"/>
  <c r="N331" i="1"/>
  <c r="N351" i="1"/>
  <c r="X351" i="1" s="1"/>
  <c r="N366" i="1"/>
  <c r="N337" i="1"/>
  <c r="N324" i="1"/>
  <c r="N345" i="1"/>
  <c r="P352" i="1"/>
  <c r="N415" i="1"/>
  <c r="X415" i="1" s="1"/>
  <c r="Q290" i="1"/>
  <c r="Y290" i="1" s="1"/>
  <c r="Q286" i="1"/>
  <c r="Y286" i="1" s="1"/>
  <c r="Q284" i="1"/>
  <c r="Y284" i="1" s="1"/>
  <c r="N258" i="1"/>
  <c r="X258" i="1" s="1"/>
  <c r="N246" i="1"/>
  <c r="N234" i="1"/>
  <c r="N238" i="1"/>
  <c r="N230" i="1"/>
  <c r="N224" i="1"/>
  <c r="X224" i="1" s="1"/>
  <c r="Q224" i="1"/>
  <c r="Y224" i="1" s="1"/>
  <c r="Q208" i="1"/>
  <c r="Y208" i="1" s="1"/>
  <c r="N210" i="1"/>
  <c r="P204" i="1"/>
  <c r="Q204" i="1" s="1"/>
  <c r="Y204" i="1" s="1"/>
  <c r="N200" i="1"/>
  <c r="Q195" i="1"/>
  <c r="P196" i="1"/>
  <c r="Q196" i="1" s="1"/>
  <c r="T173" i="1"/>
  <c r="Z173" i="1" s="1"/>
  <c r="P153" i="1"/>
  <c r="T114" i="1"/>
  <c r="Z114" i="1" s="1"/>
  <c r="Q114" i="1"/>
  <c r="Y114" i="1" s="1"/>
  <c r="P126" i="1"/>
  <c r="P118" i="1"/>
  <c r="Q118" i="1" s="1"/>
  <c r="Y118" i="1" s="1"/>
  <c r="N114" i="1"/>
  <c r="X114" i="1" s="1"/>
  <c r="N122" i="1"/>
  <c r="X122" i="1" s="1"/>
  <c r="N75" i="1"/>
  <c r="X75" i="1" s="1"/>
  <c r="N85" i="1"/>
  <c r="P63" i="1"/>
  <c r="N70" i="1"/>
  <c r="X70" i="1" s="1"/>
  <c r="N72" i="1"/>
  <c r="X72" i="1" s="1"/>
  <c r="P80" i="1"/>
  <c r="N66" i="1"/>
  <c r="X66" i="1" s="1"/>
  <c r="N74" i="1"/>
  <c r="N61" i="1"/>
  <c r="N33" i="1"/>
  <c r="N31" i="1"/>
  <c r="X31" i="1" s="1"/>
  <c r="N29" i="1"/>
  <c r="N35" i="1"/>
  <c r="N25" i="1"/>
  <c r="N22" i="1"/>
  <c r="T149" i="1"/>
  <c r="Z149" i="1" s="1"/>
  <c r="Q149" i="1"/>
  <c r="N149" i="1"/>
  <c r="P104" i="1"/>
  <c r="Q104" i="1" s="1"/>
  <c r="N57" i="1"/>
  <c r="N59" i="1"/>
  <c r="N60" i="1"/>
  <c r="N20" i="1"/>
  <c r="X20" i="1" s="1"/>
  <c r="N19" i="1"/>
  <c r="N17" i="1"/>
  <c r="N15" i="1"/>
  <c r="N11" i="1"/>
  <c r="T78" i="1"/>
  <c r="Z78" i="1" s="1"/>
  <c r="Q78" i="1"/>
  <c r="Y78" i="1" s="1"/>
  <c r="T9" i="1"/>
  <c r="Z9" i="1" s="1"/>
  <c r="Q9" i="1"/>
  <c r="Y9" i="1" s="1"/>
  <c r="T65" i="1"/>
  <c r="Z65" i="1" s="1"/>
  <c r="Q65" i="1"/>
  <c r="Y65" i="1" s="1"/>
  <c r="T39" i="1"/>
  <c r="Z39" i="1" s="1"/>
  <c r="Q39" i="1"/>
  <c r="Y39" i="1" s="1"/>
  <c r="T71" i="1"/>
  <c r="Z71" i="1" s="1"/>
  <c r="Q71" i="1"/>
  <c r="Y71" i="1" s="1"/>
  <c r="T30" i="1"/>
  <c r="Z30" i="1" s="1"/>
  <c r="Q30" i="1"/>
  <c r="Y30" i="1" s="1"/>
  <c r="Q13" i="1"/>
  <c r="Y13" i="1" s="1"/>
  <c r="T13" i="1"/>
  <c r="Z13" i="1" s="1"/>
  <c r="T67" i="1"/>
  <c r="Z67" i="1" s="1"/>
  <c r="Q67" i="1"/>
  <c r="Y67" i="1" s="1"/>
  <c r="T32" i="1"/>
  <c r="Z32" i="1" s="1"/>
  <c r="Q32" i="1"/>
  <c r="Y32" i="1" s="1"/>
  <c r="T56" i="1"/>
  <c r="Z56" i="1" s="1"/>
  <c r="Q56" i="1"/>
  <c r="T5" i="1"/>
  <c r="Q5" i="1"/>
  <c r="Q23" i="1"/>
  <c r="Y23" i="1" s="1"/>
  <c r="T23" i="1"/>
  <c r="Z23" i="1" s="1"/>
  <c r="T60" i="1"/>
  <c r="Q60" i="1"/>
  <c r="Q16" i="1"/>
  <c r="Y16" i="1" s="1"/>
  <c r="T16" i="1"/>
  <c r="Z16" i="1" s="1"/>
  <c r="T34" i="1"/>
  <c r="Z34" i="1" s="1"/>
  <c r="Q34" i="1"/>
  <c r="Y34" i="1" s="1"/>
  <c r="T18" i="1"/>
  <c r="Z18" i="1" s="1"/>
  <c r="Q18" i="1"/>
  <c r="Y18" i="1" s="1"/>
  <c r="T76" i="1"/>
  <c r="Z76" i="1" s="1"/>
  <c r="Q76" i="1"/>
  <c r="Y76" i="1" s="1"/>
  <c r="T69" i="1"/>
  <c r="Z69" i="1" s="1"/>
  <c r="Q69" i="1"/>
  <c r="Y69" i="1" s="1"/>
  <c r="P305" i="1"/>
  <c r="S305" i="1" s="1"/>
  <c r="N305" i="1"/>
  <c r="X305" i="1" s="1"/>
  <c r="P240" i="1"/>
  <c r="S240" i="1" s="1"/>
  <c r="N240" i="1"/>
  <c r="N13" i="1"/>
  <c r="N32" i="1"/>
  <c r="T37" i="1"/>
  <c r="Z37" i="1" s="1"/>
  <c r="Q37" i="1"/>
  <c r="Y37" i="1" s="1"/>
  <c r="P58" i="1"/>
  <c r="S58" i="1" s="1"/>
  <c r="N69" i="1"/>
  <c r="T75" i="1"/>
  <c r="Z75" i="1" s="1"/>
  <c r="Q75" i="1"/>
  <c r="Y75" i="1" s="1"/>
  <c r="P268" i="1"/>
  <c r="S268" i="1" s="1"/>
  <c r="N268" i="1"/>
  <c r="P403" i="1"/>
  <c r="S403" i="1" s="1"/>
  <c r="N403" i="1"/>
  <c r="X403" i="1" s="1"/>
  <c r="T619" i="1"/>
  <c r="Z619" i="1" s="1"/>
  <c r="Q619" i="1"/>
  <c r="Y619" i="1" s="1"/>
  <c r="P633" i="1"/>
  <c r="S633" i="1" s="1"/>
  <c r="N633" i="1"/>
  <c r="X633" i="1" s="1"/>
  <c r="T645" i="1"/>
  <c r="Z645" i="1" s="1"/>
  <c r="Q645" i="1"/>
  <c r="Y645" i="1" s="1"/>
  <c r="T656" i="1"/>
  <c r="Z656" i="1" s="1"/>
  <c r="Q656" i="1"/>
  <c r="Y656" i="1" s="1"/>
  <c r="P86" i="1"/>
  <c r="S86" i="1" s="1"/>
  <c r="N86" i="1"/>
  <c r="X86" i="1" s="1"/>
  <c r="P214" i="1"/>
  <c r="S214" i="1" s="1"/>
  <c r="N214" i="1"/>
  <c r="N5" i="1"/>
  <c r="T87" i="1"/>
  <c r="Z87" i="1" s="1"/>
  <c r="Q87" i="1"/>
  <c r="Y87" i="1" s="1"/>
  <c r="T110" i="1"/>
  <c r="Z110" i="1" s="1"/>
  <c r="Q110" i="1"/>
  <c r="Y110" i="1" s="1"/>
  <c r="P128" i="1"/>
  <c r="S128" i="1" s="1"/>
  <c r="N128" i="1"/>
  <c r="X128" i="1" s="1"/>
  <c r="P198" i="1"/>
  <c r="S198" i="1" s="1"/>
  <c r="N198" i="1"/>
  <c r="P248" i="1"/>
  <c r="S248" i="1" s="1"/>
  <c r="N248" i="1"/>
  <c r="X248" i="1" s="1"/>
  <c r="T382" i="1"/>
  <c r="Z382" i="1" s="1"/>
  <c r="Q382" i="1"/>
  <c r="Y382" i="1" s="1"/>
  <c r="T473" i="1"/>
  <c r="Z473" i="1" s="1"/>
  <c r="Q473" i="1"/>
  <c r="Y473" i="1" s="1"/>
  <c r="T565" i="1"/>
  <c r="Z565" i="1" s="1"/>
  <c r="Q565" i="1"/>
  <c r="Y565" i="1" s="1"/>
  <c r="T64" i="1"/>
  <c r="Z64" i="1" s="1"/>
  <c r="Q64" i="1"/>
  <c r="Y64" i="1" s="1"/>
  <c r="T8" i="1"/>
  <c r="Q8" i="1"/>
  <c r="P117" i="1"/>
  <c r="S117" i="1" s="1"/>
  <c r="N117" i="1"/>
  <c r="X117" i="1" s="1"/>
  <c r="Q122" i="1"/>
  <c r="Y122" i="1" s="1"/>
  <c r="Q192" i="1"/>
  <c r="Y192" i="1" s="1"/>
  <c r="P228" i="1"/>
  <c r="S228" i="1" s="1"/>
  <c r="N228" i="1"/>
  <c r="X228" i="1" s="1"/>
  <c r="Q300" i="1"/>
  <c r="Y300" i="1" s="1"/>
  <c r="P374" i="1"/>
  <c r="S374" i="1" s="1"/>
  <c r="N374" i="1"/>
  <c r="X374" i="1" s="1"/>
  <c r="T466" i="1"/>
  <c r="Z466" i="1" s="1"/>
  <c r="Q466" i="1"/>
  <c r="Y466" i="1" s="1"/>
  <c r="T484" i="1"/>
  <c r="Z484" i="1" s="1"/>
  <c r="Q484" i="1"/>
  <c r="Y484" i="1" s="1"/>
  <c r="N65" i="1"/>
  <c r="X65" i="1" s="1"/>
  <c r="N18" i="1"/>
  <c r="N39" i="1"/>
  <c r="N76" i="1"/>
  <c r="Q216" i="1"/>
  <c r="Y216" i="1" s="1"/>
  <c r="P222" i="1"/>
  <c r="S222" i="1" s="1"/>
  <c r="N222" i="1"/>
  <c r="P256" i="1"/>
  <c r="S256" i="1" s="1"/>
  <c r="N256" i="1"/>
  <c r="X256" i="1" s="1"/>
  <c r="T309" i="1"/>
  <c r="Z309" i="1" s="1"/>
  <c r="Q309" i="1"/>
  <c r="Y309" i="1" s="1"/>
  <c r="T467" i="1"/>
  <c r="Z467" i="1" s="1"/>
  <c r="Q467" i="1"/>
  <c r="Y467" i="1" s="1"/>
  <c r="T475" i="1"/>
  <c r="Z475" i="1" s="1"/>
  <c r="Q475" i="1"/>
  <c r="Y475" i="1" s="1"/>
  <c r="P260" i="1"/>
  <c r="S260" i="1" s="1"/>
  <c r="N260" i="1"/>
  <c r="X260" i="1" s="1"/>
  <c r="T654" i="1"/>
  <c r="Z654" i="1" s="1"/>
  <c r="Q654" i="1"/>
  <c r="Y654" i="1" s="1"/>
  <c r="T66" i="1"/>
  <c r="Z66" i="1" s="1"/>
  <c r="Q66" i="1"/>
  <c r="Y66" i="1" s="1"/>
  <c r="P236" i="1"/>
  <c r="S236" i="1" s="1"/>
  <c r="N236" i="1"/>
  <c r="T360" i="1"/>
  <c r="Z360" i="1" s="1"/>
  <c r="Q360" i="1"/>
  <c r="Y360" i="1" s="1"/>
  <c r="P367" i="1"/>
  <c r="S367" i="1" s="1"/>
  <c r="N367" i="1"/>
  <c r="T376" i="1"/>
  <c r="Z376" i="1" s="1"/>
  <c r="Q376" i="1"/>
  <c r="Y376" i="1" s="1"/>
  <c r="T70" i="1"/>
  <c r="Z70" i="1" s="1"/>
  <c r="Q70" i="1"/>
  <c r="Y70" i="1" s="1"/>
  <c r="N34" i="1"/>
  <c r="P264" i="1"/>
  <c r="S264" i="1" s="1"/>
  <c r="N264" i="1"/>
  <c r="X264" i="1" s="1"/>
  <c r="P285" i="1"/>
  <c r="S285" i="1" s="1"/>
  <c r="N285" i="1"/>
  <c r="X285" i="1" s="1"/>
  <c r="Q310" i="1"/>
  <c r="Y310" i="1" s="1"/>
  <c r="P368" i="1"/>
  <c r="S368" i="1" s="1"/>
  <c r="N368" i="1"/>
  <c r="X368" i="1" s="1"/>
  <c r="T440" i="1"/>
  <c r="Z440" i="1" s="1"/>
  <c r="Q440" i="1"/>
  <c r="Y440" i="1" s="1"/>
  <c r="P109" i="1"/>
  <c r="S109" i="1" s="1"/>
  <c r="N109" i="1"/>
  <c r="X109" i="1" s="1"/>
  <c r="Q203" i="1"/>
  <c r="Y203" i="1" s="1"/>
  <c r="T17" i="1"/>
  <c r="Z17" i="1" s="1"/>
  <c r="Q17" i="1"/>
  <c r="Y17" i="1" s="1"/>
  <c r="N9" i="1"/>
  <c r="N23" i="1"/>
  <c r="T40" i="1"/>
  <c r="Z40" i="1" s="1"/>
  <c r="Q40" i="1"/>
  <c r="Y40" i="1" s="1"/>
  <c r="N71" i="1"/>
  <c r="X71" i="1" s="1"/>
  <c r="T77" i="1"/>
  <c r="Z77" i="1" s="1"/>
  <c r="Q77" i="1"/>
  <c r="Y77" i="1" s="1"/>
  <c r="P206" i="1"/>
  <c r="S206" i="1" s="1"/>
  <c r="N206" i="1"/>
  <c r="T6" i="1"/>
  <c r="Z6" i="1" s="1"/>
  <c r="Q6" i="1"/>
  <c r="N56" i="1"/>
  <c r="T61" i="1"/>
  <c r="Z61" i="1" s="1"/>
  <c r="Q61" i="1"/>
  <c r="Y61" i="1" s="1"/>
  <c r="P125" i="1"/>
  <c r="S125" i="1" s="1"/>
  <c r="N125" i="1"/>
  <c r="X125" i="1" s="1"/>
  <c r="Q130" i="1"/>
  <c r="Y130" i="1" s="1"/>
  <c r="P160" i="1"/>
  <c r="S160" i="1" s="1"/>
  <c r="N160" i="1"/>
  <c r="X160" i="1" s="1"/>
  <c r="Q200" i="1"/>
  <c r="Y200" i="1" s="1"/>
  <c r="P244" i="1"/>
  <c r="S244" i="1" s="1"/>
  <c r="N244" i="1"/>
  <c r="T319" i="1"/>
  <c r="Z319" i="1" s="1"/>
  <c r="Q319" i="1"/>
  <c r="Y319" i="1" s="1"/>
  <c r="T425" i="1"/>
  <c r="Z425" i="1" s="1"/>
  <c r="Q425" i="1"/>
  <c r="Y425" i="1" s="1"/>
  <c r="S330" i="1"/>
  <c r="N330" i="1"/>
  <c r="T59" i="1"/>
  <c r="Z59" i="1" s="1"/>
  <c r="Q59" i="1"/>
  <c r="Y59" i="1" s="1"/>
  <c r="T29" i="1"/>
  <c r="Z29" i="1" s="1"/>
  <c r="Q29" i="1"/>
  <c r="Y29" i="1" s="1"/>
  <c r="T15" i="1"/>
  <c r="Z15" i="1" s="1"/>
  <c r="Q15" i="1"/>
  <c r="Y15" i="1" s="1"/>
  <c r="P112" i="1"/>
  <c r="S112" i="1" s="1"/>
  <c r="N112" i="1"/>
  <c r="X112" i="1" s="1"/>
  <c r="T35" i="1"/>
  <c r="Z35" i="1" s="1"/>
  <c r="Q35" i="1"/>
  <c r="Y35" i="1" s="1"/>
  <c r="T72" i="1"/>
  <c r="Z72" i="1" s="1"/>
  <c r="Q72" i="1"/>
  <c r="Y72" i="1" s="1"/>
  <c r="P83" i="1"/>
  <c r="S83" i="1" s="1"/>
  <c r="N83" i="1"/>
  <c r="X83" i="1" s="1"/>
  <c r="P107" i="1"/>
  <c r="S107" i="1" s="1"/>
  <c r="N107" i="1"/>
  <c r="T320" i="1"/>
  <c r="Z320" i="1" s="1"/>
  <c r="Q320" i="1"/>
  <c r="Y320" i="1" s="1"/>
  <c r="P416" i="1"/>
  <c r="S416" i="1" s="1"/>
  <c r="N416" i="1"/>
  <c r="X416" i="1" s="1"/>
  <c r="T22" i="1"/>
  <c r="Z22" i="1" s="1"/>
  <c r="Q22" i="1"/>
  <c r="Y22" i="1" s="1"/>
  <c r="T19" i="1"/>
  <c r="Z19" i="1" s="1"/>
  <c r="Q19" i="1"/>
  <c r="Y19" i="1" s="1"/>
  <c r="N16" i="1"/>
  <c r="T57" i="1"/>
  <c r="Q57" i="1"/>
  <c r="N78" i="1"/>
  <c r="X78" i="1" s="1"/>
  <c r="T85" i="1"/>
  <c r="Z85" i="1" s="1"/>
  <c r="Q85" i="1"/>
  <c r="Y85" i="1" s="1"/>
  <c r="T108" i="1"/>
  <c r="Z108" i="1" s="1"/>
  <c r="Q108" i="1"/>
  <c r="Y108" i="1" s="1"/>
  <c r="P252" i="1"/>
  <c r="S252" i="1" s="1"/>
  <c r="N252" i="1"/>
  <c r="X252" i="1" s="1"/>
  <c r="P295" i="1"/>
  <c r="S295" i="1" s="1"/>
  <c r="N295" i="1"/>
  <c r="X295" i="1" s="1"/>
  <c r="T417" i="1"/>
  <c r="Z417" i="1" s="1"/>
  <c r="Q417" i="1"/>
  <c r="Y417" i="1" s="1"/>
  <c r="T36" i="1"/>
  <c r="Z36" i="1" s="1"/>
  <c r="Q36" i="1"/>
  <c r="Y36" i="1" s="1"/>
  <c r="T74" i="1"/>
  <c r="Z74" i="1" s="1"/>
  <c r="Q74" i="1"/>
  <c r="Y74" i="1" s="1"/>
  <c r="T33" i="1"/>
  <c r="Z33" i="1" s="1"/>
  <c r="Q33" i="1"/>
  <c r="Y33" i="1" s="1"/>
  <c r="P147" i="1"/>
  <c r="S147" i="1" s="1"/>
  <c r="N147" i="1"/>
  <c r="T11" i="1"/>
  <c r="Z11" i="1" s="1"/>
  <c r="Q11" i="1"/>
  <c r="Y11" i="1" s="1"/>
  <c r="T25" i="1"/>
  <c r="Z25" i="1" s="1"/>
  <c r="Q25" i="1"/>
  <c r="Y25" i="1" s="1"/>
  <c r="T31" i="1"/>
  <c r="Z31" i="1" s="1"/>
  <c r="Q31" i="1"/>
  <c r="Y31" i="1" s="1"/>
  <c r="T68" i="1"/>
  <c r="Z68" i="1" s="1"/>
  <c r="Q68" i="1"/>
  <c r="Y68" i="1" s="1"/>
  <c r="P120" i="1"/>
  <c r="S120" i="1" s="1"/>
  <c r="N120" i="1"/>
  <c r="X120" i="1" s="1"/>
  <c r="Q219" i="1"/>
  <c r="Y219" i="1" s="1"/>
  <c r="P232" i="1"/>
  <c r="S232" i="1" s="1"/>
  <c r="N232" i="1"/>
  <c r="T296" i="1"/>
  <c r="Z296" i="1" s="1"/>
  <c r="Q296" i="1"/>
  <c r="Y296" i="1" s="1"/>
  <c r="P291" i="1"/>
  <c r="S291" i="1" s="1"/>
  <c r="N291" i="1"/>
  <c r="X291" i="1" s="1"/>
  <c r="T315" i="1"/>
  <c r="Z315" i="1" s="1"/>
  <c r="Q315" i="1"/>
  <c r="Y315" i="1" s="1"/>
  <c r="S335" i="1"/>
  <c r="N335" i="1"/>
  <c r="T354" i="1"/>
  <c r="Z354" i="1" s="1"/>
  <c r="Q354" i="1"/>
  <c r="Y354" i="1" s="1"/>
  <c r="P361" i="1"/>
  <c r="S361" i="1" s="1"/>
  <c r="N361" i="1"/>
  <c r="P383" i="1"/>
  <c r="S383" i="1" s="1"/>
  <c r="N383" i="1"/>
  <c r="X383" i="1" s="1"/>
  <c r="T411" i="1"/>
  <c r="Z411" i="1" s="1"/>
  <c r="Q411" i="1"/>
  <c r="Y411" i="1" s="1"/>
  <c r="Q603" i="1"/>
  <c r="Y603" i="1" s="1"/>
  <c r="T603" i="1"/>
  <c r="Z603" i="1" s="1"/>
  <c r="P81" i="1"/>
  <c r="S81" i="1" s="1"/>
  <c r="N81" i="1"/>
  <c r="P105" i="1"/>
  <c r="S105" i="1" s="1"/>
  <c r="N105" i="1"/>
  <c r="P115" i="1"/>
  <c r="S115" i="1" s="1"/>
  <c r="N115" i="1"/>
  <c r="X115" i="1" s="1"/>
  <c r="P123" i="1"/>
  <c r="S123" i="1" s="1"/>
  <c r="N123" i="1"/>
  <c r="X123" i="1" s="1"/>
  <c r="P131" i="1"/>
  <c r="S131" i="1" s="1"/>
  <c r="N131" i="1"/>
  <c r="X131" i="1" s="1"/>
  <c r="P150" i="1"/>
  <c r="S150" i="1" s="1"/>
  <c r="N150" i="1"/>
  <c r="P158" i="1"/>
  <c r="S158" i="1" s="1"/>
  <c r="N158" i="1"/>
  <c r="X158" i="1" s="1"/>
  <c r="Q225" i="1"/>
  <c r="Y225" i="1" s="1"/>
  <c r="Q282" i="1"/>
  <c r="Y282" i="1" s="1"/>
  <c r="P301" i="1"/>
  <c r="S301" i="1" s="1"/>
  <c r="N301" i="1"/>
  <c r="X301" i="1" s="1"/>
  <c r="Q306" i="1"/>
  <c r="Y306" i="1" s="1"/>
  <c r="N325" i="1"/>
  <c r="P362" i="1"/>
  <c r="S362" i="1" s="1"/>
  <c r="N362" i="1"/>
  <c r="T384" i="1"/>
  <c r="Z384" i="1" s="1"/>
  <c r="Q384" i="1"/>
  <c r="Y384" i="1" s="1"/>
  <c r="T469" i="1"/>
  <c r="Z469" i="1" s="1"/>
  <c r="Q469" i="1"/>
  <c r="Y469" i="1" s="1"/>
  <c r="N87" i="1"/>
  <c r="X87" i="1" s="1"/>
  <c r="N110" i="1"/>
  <c r="X110" i="1" s="1"/>
  <c r="Q193" i="1"/>
  <c r="Y193" i="1" s="1"/>
  <c r="Q201" i="1"/>
  <c r="Y201" i="1" s="1"/>
  <c r="Q209" i="1"/>
  <c r="Y209" i="1" s="1"/>
  <c r="Q217" i="1"/>
  <c r="Y217" i="1" s="1"/>
  <c r="Q229" i="1"/>
  <c r="Y229" i="1" s="1"/>
  <c r="Q233" i="1"/>
  <c r="Y233" i="1" s="1"/>
  <c r="Q237" i="1"/>
  <c r="Y237" i="1" s="1"/>
  <c r="Q241" i="1"/>
  <c r="Y241" i="1" s="1"/>
  <c r="Q245" i="1"/>
  <c r="Y245" i="1" s="1"/>
  <c r="Q249" i="1"/>
  <c r="Y249" i="1" s="1"/>
  <c r="Q253" i="1"/>
  <c r="Y253" i="1" s="1"/>
  <c r="Q257" i="1"/>
  <c r="Y257" i="1" s="1"/>
  <c r="Q261" i="1"/>
  <c r="Y261" i="1" s="1"/>
  <c r="Q265" i="1"/>
  <c r="Y265" i="1" s="1"/>
  <c r="P287" i="1"/>
  <c r="S287" i="1" s="1"/>
  <c r="N287" i="1"/>
  <c r="X287" i="1" s="1"/>
  <c r="Q292" i="1"/>
  <c r="Y292" i="1" s="1"/>
  <c r="T311" i="1"/>
  <c r="Z311" i="1" s="1"/>
  <c r="Q311" i="1"/>
  <c r="Y311" i="1" s="1"/>
  <c r="Q316" i="1"/>
  <c r="Y316" i="1" s="1"/>
  <c r="T348" i="1"/>
  <c r="Z348" i="1" s="1"/>
  <c r="Q348" i="1"/>
  <c r="Y348" i="1" s="1"/>
  <c r="P355" i="1"/>
  <c r="S355" i="1" s="1"/>
  <c r="N355" i="1"/>
  <c r="Q405" i="1"/>
  <c r="Y405" i="1" s="1"/>
  <c r="P412" i="1"/>
  <c r="S412" i="1" s="1"/>
  <c r="N412" i="1"/>
  <c r="X412" i="1" s="1"/>
  <c r="T435" i="1"/>
  <c r="Z435" i="1" s="1"/>
  <c r="Q435" i="1"/>
  <c r="Y435" i="1" s="1"/>
  <c r="P477" i="1"/>
  <c r="S477" i="1" s="1"/>
  <c r="N477" i="1"/>
  <c r="P79" i="1"/>
  <c r="S79" i="1" s="1"/>
  <c r="N79" i="1"/>
  <c r="X79" i="1" s="1"/>
  <c r="P103" i="1"/>
  <c r="S103" i="1" s="1"/>
  <c r="N103" i="1"/>
  <c r="P297" i="1"/>
  <c r="S297" i="1" s="1"/>
  <c r="N297" i="1"/>
  <c r="X297" i="1" s="1"/>
  <c r="Q302" i="1"/>
  <c r="Y302" i="1" s="1"/>
  <c r="T321" i="1"/>
  <c r="Z321" i="1" s="1"/>
  <c r="Q321" i="1"/>
  <c r="Y321" i="1" s="1"/>
  <c r="P356" i="1"/>
  <c r="S356" i="1" s="1"/>
  <c r="N356" i="1"/>
  <c r="T378" i="1"/>
  <c r="Z378" i="1" s="1"/>
  <c r="Q378" i="1"/>
  <c r="Y378" i="1" s="1"/>
  <c r="T413" i="1"/>
  <c r="Z413" i="1" s="1"/>
  <c r="Q413" i="1"/>
  <c r="Y413" i="1" s="1"/>
  <c r="P113" i="1"/>
  <c r="S113" i="1" s="1"/>
  <c r="N113" i="1"/>
  <c r="X113" i="1" s="1"/>
  <c r="P121" i="1"/>
  <c r="S121" i="1" s="1"/>
  <c r="N121" i="1"/>
  <c r="X121" i="1" s="1"/>
  <c r="P129" i="1"/>
  <c r="S129" i="1" s="1"/>
  <c r="N129" i="1"/>
  <c r="X129" i="1" s="1"/>
  <c r="P148" i="1"/>
  <c r="S148" i="1" s="1"/>
  <c r="N148" i="1"/>
  <c r="P283" i="1"/>
  <c r="S283" i="1" s="1"/>
  <c r="N283" i="1"/>
  <c r="X283" i="1" s="1"/>
  <c r="Q288" i="1"/>
  <c r="Y288" i="1" s="1"/>
  <c r="P307" i="1"/>
  <c r="S307" i="1" s="1"/>
  <c r="N307" i="1"/>
  <c r="X307" i="1" s="1"/>
  <c r="P349" i="1"/>
  <c r="S349" i="1" s="1"/>
  <c r="N349" i="1"/>
  <c r="Q429" i="1"/>
  <c r="Y429" i="1" s="1"/>
  <c r="T436" i="1"/>
  <c r="Z436" i="1" s="1"/>
  <c r="Q436" i="1"/>
  <c r="Y436" i="1" s="1"/>
  <c r="T462" i="1"/>
  <c r="Z462" i="1" s="1"/>
  <c r="Q462" i="1"/>
  <c r="Y462" i="1" s="1"/>
  <c r="P587" i="1"/>
  <c r="S587" i="1" s="1"/>
  <c r="N587" i="1"/>
  <c r="X587" i="1" s="1"/>
  <c r="Q191" i="1"/>
  <c r="Y191" i="1" s="1"/>
  <c r="Q199" i="1"/>
  <c r="Y199" i="1" s="1"/>
  <c r="Q207" i="1"/>
  <c r="Y207" i="1" s="1"/>
  <c r="Q215" i="1"/>
  <c r="Y215" i="1" s="1"/>
  <c r="Q223" i="1"/>
  <c r="Y223" i="1" s="1"/>
  <c r="N226" i="1"/>
  <c r="T230" i="1"/>
  <c r="Z230" i="1" s="1"/>
  <c r="Q230" i="1"/>
  <c r="Y230" i="1" s="1"/>
  <c r="T234" i="1"/>
  <c r="Z234" i="1" s="1"/>
  <c r="Q234" i="1"/>
  <c r="Y234" i="1" s="1"/>
  <c r="T238" i="1"/>
  <c r="Z238" i="1" s="1"/>
  <c r="Q238" i="1"/>
  <c r="Y238" i="1" s="1"/>
  <c r="T242" i="1"/>
  <c r="Z242" i="1" s="1"/>
  <c r="Q242" i="1"/>
  <c r="Y242" i="1" s="1"/>
  <c r="T246" i="1"/>
  <c r="Z246" i="1" s="1"/>
  <c r="Q246" i="1"/>
  <c r="Y246" i="1" s="1"/>
  <c r="T250" i="1"/>
  <c r="Z250" i="1" s="1"/>
  <c r="Q250" i="1"/>
  <c r="Y250" i="1" s="1"/>
  <c r="T254" i="1"/>
  <c r="Z254" i="1" s="1"/>
  <c r="Q254" i="1"/>
  <c r="Y254" i="1" s="1"/>
  <c r="T258" i="1"/>
  <c r="Z258" i="1" s="1"/>
  <c r="Q258" i="1"/>
  <c r="Y258" i="1" s="1"/>
  <c r="T262" i="1"/>
  <c r="Z262" i="1" s="1"/>
  <c r="Q262" i="1"/>
  <c r="Y262" i="1" s="1"/>
  <c r="T266" i="1"/>
  <c r="Z266" i="1" s="1"/>
  <c r="Q266" i="1"/>
  <c r="Y266" i="1" s="1"/>
  <c r="P293" i="1"/>
  <c r="S293" i="1" s="1"/>
  <c r="N293" i="1"/>
  <c r="X293" i="1" s="1"/>
  <c r="Q298" i="1"/>
  <c r="Y298" i="1" s="1"/>
  <c r="T317" i="1"/>
  <c r="Z317" i="1" s="1"/>
  <c r="Q317" i="1"/>
  <c r="Y317" i="1" s="1"/>
  <c r="N327" i="1"/>
  <c r="N343" i="1"/>
  <c r="P350" i="1"/>
  <c r="S350" i="1" s="1"/>
  <c r="N350" i="1"/>
  <c r="X350" i="1" s="1"/>
  <c r="T407" i="1"/>
  <c r="Z407" i="1" s="1"/>
  <c r="Q407" i="1"/>
  <c r="Y407" i="1" s="1"/>
  <c r="T437" i="1"/>
  <c r="Z437" i="1" s="1"/>
  <c r="Q437" i="1"/>
  <c r="Y437" i="1" s="1"/>
  <c r="T463" i="1"/>
  <c r="Z463" i="1" s="1"/>
  <c r="Q463" i="1"/>
  <c r="Y463" i="1" s="1"/>
  <c r="N82" i="1"/>
  <c r="X82" i="1" s="1"/>
  <c r="N106" i="1"/>
  <c r="N116" i="1"/>
  <c r="X116" i="1" s="1"/>
  <c r="N124" i="1"/>
  <c r="X124" i="1" s="1"/>
  <c r="N151" i="1"/>
  <c r="N175" i="1"/>
  <c r="X175" i="1" s="1"/>
  <c r="N194" i="1"/>
  <c r="N202" i="1"/>
  <c r="P303" i="1"/>
  <c r="S303" i="1" s="1"/>
  <c r="N303" i="1"/>
  <c r="X303" i="1" s="1"/>
  <c r="S338" i="1"/>
  <c r="N338" i="1"/>
  <c r="S344" i="1"/>
  <c r="N344" i="1"/>
  <c r="T372" i="1"/>
  <c r="Z372" i="1" s="1"/>
  <c r="Q372" i="1"/>
  <c r="Y372" i="1" s="1"/>
  <c r="T506" i="1"/>
  <c r="Z506" i="1" s="1"/>
  <c r="Q506" i="1"/>
  <c r="Y506" i="1" s="1"/>
  <c r="T571" i="1"/>
  <c r="Z571" i="1" s="1"/>
  <c r="Q571" i="1"/>
  <c r="Y571" i="1" s="1"/>
  <c r="P111" i="1"/>
  <c r="S111" i="1" s="1"/>
  <c r="N111" i="1"/>
  <c r="X111" i="1" s="1"/>
  <c r="P119" i="1"/>
  <c r="S119" i="1" s="1"/>
  <c r="N119" i="1"/>
  <c r="X119" i="1" s="1"/>
  <c r="P127" i="1"/>
  <c r="S127" i="1" s="1"/>
  <c r="N127" i="1"/>
  <c r="X127" i="1" s="1"/>
  <c r="P289" i="1"/>
  <c r="S289" i="1" s="1"/>
  <c r="N289" i="1"/>
  <c r="X289" i="1" s="1"/>
  <c r="Q294" i="1"/>
  <c r="Y294" i="1" s="1"/>
  <c r="Q318" i="1"/>
  <c r="Y318" i="1" s="1"/>
  <c r="P387" i="1"/>
  <c r="S387" i="1" s="1"/>
  <c r="N387" i="1"/>
  <c r="X387" i="1" s="1"/>
  <c r="T431" i="1"/>
  <c r="Z431" i="1" s="1"/>
  <c r="Q431" i="1"/>
  <c r="Y431" i="1" s="1"/>
  <c r="P518" i="1"/>
  <c r="S518" i="1" s="1"/>
  <c r="N518" i="1"/>
  <c r="X518" i="1" s="1"/>
  <c r="P299" i="1"/>
  <c r="S299" i="1" s="1"/>
  <c r="N299" i="1"/>
  <c r="X299" i="1" s="1"/>
  <c r="Q323" i="1"/>
  <c r="Y323" i="1" s="1"/>
  <c r="T323" i="1"/>
  <c r="Z323" i="1" s="1"/>
  <c r="T366" i="1"/>
  <c r="Z366" i="1" s="1"/>
  <c r="Q366" i="1"/>
  <c r="Y366" i="1" s="1"/>
  <c r="P373" i="1"/>
  <c r="S373" i="1" s="1"/>
  <c r="N373" i="1"/>
  <c r="X373" i="1" s="1"/>
  <c r="T388" i="1"/>
  <c r="Z388" i="1" s="1"/>
  <c r="Q388" i="1"/>
  <c r="Y388" i="1" s="1"/>
  <c r="T401" i="1"/>
  <c r="Z401" i="1" s="1"/>
  <c r="Q401" i="1"/>
  <c r="Y401" i="1" s="1"/>
  <c r="P423" i="1"/>
  <c r="S423" i="1" s="1"/>
  <c r="T465" i="1"/>
  <c r="Z465" i="1" s="1"/>
  <c r="Q465" i="1"/>
  <c r="Y465" i="1" s="1"/>
  <c r="T490" i="1"/>
  <c r="Z490" i="1" s="1"/>
  <c r="Q490" i="1"/>
  <c r="Y490" i="1" s="1"/>
  <c r="P402" i="1"/>
  <c r="S402" i="1" s="1"/>
  <c r="N402" i="1"/>
  <c r="X402" i="1" s="1"/>
  <c r="T426" i="1"/>
  <c r="Z426" i="1" s="1"/>
  <c r="Q426" i="1"/>
  <c r="Y426" i="1" s="1"/>
  <c r="T476" i="1"/>
  <c r="Z476" i="1" s="1"/>
  <c r="Q476" i="1"/>
  <c r="Y476" i="1" s="1"/>
  <c r="T491" i="1"/>
  <c r="Z491" i="1" s="1"/>
  <c r="Q491" i="1"/>
  <c r="Y491" i="1" s="1"/>
  <c r="T498" i="1"/>
  <c r="Z498" i="1" s="1"/>
  <c r="Q498" i="1"/>
  <c r="Y498" i="1" s="1"/>
  <c r="T541" i="1"/>
  <c r="Z541" i="1" s="1"/>
  <c r="Q541" i="1"/>
  <c r="Y541" i="1" s="1"/>
  <c r="T595" i="1"/>
  <c r="Z595" i="1" s="1"/>
  <c r="Q595" i="1"/>
  <c r="Y595" i="1" s="1"/>
  <c r="T611" i="1"/>
  <c r="Z611" i="1" s="1"/>
  <c r="Q611" i="1"/>
  <c r="Y611" i="1" s="1"/>
  <c r="T627" i="1"/>
  <c r="Z627" i="1" s="1"/>
  <c r="Q627" i="1"/>
  <c r="Y627" i="1" s="1"/>
  <c r="T644" i="1"/>
  <c r="Z644" i="1" s="1"/>
  <c r="Q644" i="1"/>
  <c r="Y644" i="1" s="1"/>
  <c r="P377" i="1"/>
  <c r="S377" i="1" s="1"/>
  <c r="N377" i="1"/>
  <c r="X377" i="1" s="1"/>
  <c r="P406" i="1"/>
  <c r="S406" i="1" s="1"/>
  <c r="N406" i="1"/>
  <c r="X406" i="1" s="1"/>
  <c r="T430" i="1"/>
  <c r="Z430" i="1" s="1"/>
  <c r="Q430" i="1"/>
  <c r="Y430" i="1" s="1"/>
  <c r="T472" i="1"/>
  <c r="Z472" i="1" s="1"/>
  <c r="Q472" i="1"/>
  <c r="Y472" i="1" s="1"/>
  <c r="T485" i="1"/>
  <c r="Z485" i="1" s="1"/>
  <c r="Q485" i="1"/>
  <c r="Y485" i="1" s="1"/>
  <c r="T492" i="1"/>
  <c r="Z492" i="1" s="1"/>
  <c r="Q492" i="1"/>
  <c r="Y492" i="1" s="1"/>
  <c r="T519" i="1"/>
  <c r="Z519" i="1" s="1"/>
  <c r="Q519" i="1"/>
  <c r="Y519" i="1" s="1"/>
  <c r="T525" i="1"/>
  <c r="Z525" i="1" s="1"/>
  <c r="Q525" i="1"/>
  <c r="Y525" i="1" s="1"/>
  <c r="P542" i="1"/>
  <c r="S542" i="1" s="1"/>
  <c r="N542" i="1"/>
  <c r="X542" i="1" s="1"/>
  <c r="T589" i="1"/>
  <c r="Z589" i="1" s="1"/>
  <c r="Q589" i="1"/>
  <c r="Y589" i="1" s="1"/>
  <c r="P634" i="1"/>
  <c r="S634" i="1" s="1"/>
  <c r="N634" i="1"/>
  <c r="X634" i="1" s="1"/>
  <c r="P646" i="1"/>
  <c r="S646" i="1" s="1"/>
  <c r="N646" i="1"/>
  <c r="X646" i="1" s="1"/>
  <c r="N309" i="1"/>
  <c r="X309" i="1" s="1"/>
  <c r="N311" i="1"/>
  <c r="X311" i="1" s="1"/>
  <c r="N315" i="1"/>
  <c r="N317" i="1"/>
  <c r="N319" i="1"/>
  <c r="X319" i="1" s="1"/>
  <c r="N321" i="1"/>
  <c r="N323" i="1"/>
  <c r="T347" i="1"/>
  <c r="Z347" i="1" s="1"/>
  <c r="Q347" i="1"/>
  <c r="Y347" i="1" s="1"/>
  <c r="T353" i="1"/>
  <c r="Z353" i="1" s="1"/>
  <c r="Q353" i="1"/>
  <c r="Y353" i="1" s="1"/>
  <c r="T359" i="1"/>
  <c r="Z359" i="1" s="1"/>
  <c r="Q359" i="1"/>
  <c r="Y359" i="1" s="1"/>
  <c r="T365" i="1"/>
  <c r="Z365" i="1" s="1"/>
  <c r="Q365" i="1"/>
  <c r="Y365" i="1" s="1"/>
  <c r="T371" i="1"/>
  <c r="Z371" i="1" s="1"/>
  <c r="Q371" i="1"/>
  <c r="Y371" i="1" s="1"/>
  <c r="N388" i="1"/>
  <c r="X388" i="1" s="1"/>
  <c r="P391" i="1"/>
  <c r="S391" i="1" s="1"/>
  <c r="N391" i="1"/>
  <c r="X391" i="1" s="1"/>
  <c r="N417" i="1"/>
  <c r="X417" i="1" s="1"/>
  <c r="T420" i="1"/>
  <c r="Z420" i="1" s="1"/>
  <c r="Q420" i="1"/>
  <c r="Y420" i="1" s="1"/>
  <c r="N441" i="1"/>
  <c r="T478" i="1"/>
  <c r="Z478" i="1" s="1"/>
  <c r="Q478" i="1"/>
  <c r="Y478" i="1" s="1"/>
  <c r="N485" i="1"/>
  <c r="X485" i="1" s="1"/>
  <c r="T543" i="1"/>
  <c r="Z543" i="1" s="1"/>
  <c r="Q543" i="1"/>
  <c r="Y543" i="1" s="1"/>
  <c r="S566" i="1"/>
  <c r="N566" i="1"/>
  <c r="X566" i="1" s="1"/>
  <c r="T613" i="1"/>
  <c r="Z613" i="1" s="1"/>
  <c r="Q613" i="1"/>
  <c r="Y613" i="1" s="1"/>
  <c r="T657" i="1"/>
  <c r="Z657" i="1" s="1"/>
  <c r="Q657" i="1"/>
  <c r="Y657" i="1" s="1"/>
  <c r="N328" i="1"/>
  <c r="N341" i="1"/>
  <c r="N347" i="1"/>
  <c r="X347" i="1" s="1"/>
  <c r="N353" i="1"/>
  <c r="X353" i="1" s="1"/>
  <c r="N359" i="1"/>
  <c r="N365" i="1"/>
  <c r="N371" i="1"/>
  <c r="X371" i="1" s="1"/>
  <c r="N378" i="1"/>
  <c r="X378" i="1" s="1"/>
  <c r="P381" i="1"/>
  <c r="S381" i="1" s="1"/>
  <c r="N381" i="1"/>
  <c r="X381" i="1" s="1"/>
  <c r="N407" i="1"/>
  <c r="X407" i="1" s="1"/>
  <c r="P410" i="1"/>
  <c r="S410" i="1" s="1"/>
  <c r="N410" i="1"/>
  <c r="X410" i="1" s="1"/>
  <c r="N431" i="1"/>
  <c r="T434" i="1"/>
  <c r="Z434" i="1" s="1"/>
  <c r="Q434" i="1"/>
  <c r="Y434" i="1" s="1"/>
  <c r="T468" i="1"/>
  <c r="Z468" i="1" s="1"/>
  <c r="Q468" i="1"/>
  <c r="Y468" i="1" s="1"/>
  <c r="N473" i="1"/>
  <c r="T479" i="1"/>
  <c r="Z479" i="1" s="1"/>
  <c r="Q479" i="1"/>
  <c r="Y479" i="1" s="1"/>
  <c r="T486" i="1"/>
  <c r="Z486" i="1" s="1"/>
  <c r="Q486" i="1"/>
  <c r="Y486" i="1" s="1"/>
  <c r="T527" i="1"/>
  <c r="Z527" i="1" s="1"/>
  <c r="Q527" i="1"/>
  <c r="Y527" i="1" s="1"/>
  <c r="T567" i="1"/>
  <c r="Z567" i="1" s="1"/>
  <c r="Q567" i="1"/>
  <c r="Y567" i="1" s="1"/>
  <c r="T573" i="1"/>
  <c r="Z573" i="1" s="1"/>
  <c r="Q573" i="1"/>
  <c r="Y573" i="1" s="1"/>
  <c r="P590" i="1"/>
  <c r="S590" i="1" s="1"/>
  <c r="N590" i="1"/>
  <c r="T636" i="1"/>
  <c r="Z636" i="1" s="1"/>
  <c r="Q636" i="1"/>
  <c r="Y636" i="1" s="1"/>
  <c r="T648" i="1"/>
  <c r="Z648" i="1" s="1"/>
  <c r="Q648" i="1"/>
  <c r="Y648" i="1" s="1"/>
  <c r="P658" i="1"/>
  <c r="S658" i="1" s="1"/>
  <c r="N658" i="1"/>
  <c r="X658" i="1" s="1"/>
  <c r="P400" i="1"/>
  <c r="S400" i="1" s="1"/>
  <c r="N400" i="1"/>
  <c r="X400" i="1" s="1"/>
  <c r="T424" i="1"/>
  <c r="Z424" i="1" s="1"/>
  <c r="Q424" i="1"/>
  <c r="Y424" i="1" s="1"/>
  <c r="T464" i="1"/>
  <c r="Z464" i="1" s="1"/>
  <c r="Q464" i="1"/>
  <c r="Y464" i="1" s="1"/>
  <c r="N479" i="1"/>
  <c r="P528" i="1"/>
  <c r="S528" i="1" s="1"/>
  <c r="N528" i="1"/>
  <c r="X528" i="1" s="1"/>
  <c r="T551" i="1"/>
  <c r="Z551" i="1" s="1"/>
  <c r="Q551" i="1"/>
  <c r="Y551" i="1" s="1"/>
  <c r="T591" i="1"/>
  <c r="Z591" i="1" s="1"/>
  <c r="Q591" i="1"/>
  <c r="Y591" i="1" s="1"/>
  <c r="T597" i="1"/>
  <c r="Z597" i="1" s="1"/>
  <c r="P614" i="1"/>
  <c r="S614" i="1" s="1"/>
  <c r="N614" i="1"/>
  <c r="X614" i="1" s="1"/>
  <c r="P637" i="1"/>
  <c r="S637" i="1" s="1"/>
  <c r="N637" i="1"/>
  <c r="X637" i="1" s="1"/>
  <c r="P385" i="1"/>
  <c r="S385" i="1" s="1"/>
  <c r="N385" i="1"/>
  <c r="X385" i="1" s="1"/>
  <c r="P414" i="1"/>
  <c r="S414" i="1" s="1"/>
  <c r="N414" i="1"/>
  <c r="X414" i="1" s="1"/>
  <c r="T438" i="1"/>
  <c r="Z438" i="1" s="1"/>
  <c r="Q438" i="1"/>
  <c r="Y438" i="1" s="1"/>
  <c r="T480" i="1"/>
  <c r="Z480" i="1" s="1"/>
  <c r="Q480" i="1"/>
  <c r="Y480" i="1" s="1"/>
  <c r="T502" i="1"/>
  <c r="Z502" i="1" s="1"/>
  <c r="Q502" i="1"/>
  <c r="Y502" i="1" s="1"/>
  <c r="P529" i="1"/>
  <c r="S529" i="1" s="1"/>
  <c r="N529" i="1"/>
  <c r="X529" i="1" s="1"/>
  <c r="P552" i="1"/>
  <c r="S552" i="1" s="1"/>
  <c r="N552" i="1"/>
  <c r="T575" i="1"/>
  <c r="Z575" i="1" s="1"/>
  <c r="Q575" i="1"/>
  <c r="Y575" i="1" s="1"/>
  <c r="T615" i="1"/>
  <c r="Z615" i="1" s="1"/>
  <c r="Q615" i="1"/>
  <c r="Y615" i="1" s="1"/>
  <c r="T621" i="1"/>
  <c r="Z621" i="1" s="1"/>
  <c r="Q621" i="1"/>
  <c r="Y621" i="1" s="1"/>
  <c r="P638" i="1"/>
  <c r="S638" i="1" s="1"/>
  <c r="N638" i="1"/>
  <c r="X638" i="1" s="1"/>
  <c r="T650" i="1"/>
  <c r="Z650" i="1" s="1"/>
  <c r="Q650" i="1"/>
  <c r="Y650" i="1" s="1"/>
  <c r="T660" i="1"/>
  <c r="Z660" i="1" s="1"/>
  <c r="Q660" i="1"/>
  <c r="Y660" i="1" s="1"/>
  <c r="T351" i="1"/>
  <c r="Z351" i="1" s="1"/>
  <c r="Q351" i="1"/>
  <c r="Y351" i="1" s="1"/>
  <c r="T357" i="1"/>
  <c r="Z357" i="1" s="1"/>
  <c r="Q357" i="1"/>
  <c r="Y357" i="1" s="1"/>
  <c r="T363" i="1"/>
  <c r="Z363" i="1" s="1"/>
  <c r="Q363" i="1"/>
  <c r="Y363" i="1" s="1"/>
  <c r="T369" i="1"/>
  <c r="Z369" i="1" s="1"/>
  <c r="Q369" i="1"/>
  <c r="Y369" i="1" s="1"/>
  <c r="P375" i="1"/>
  <c r="S375" i="1" s="1"/>
  <c r="N375" i="1"/>
  <c r="X375" i="1" s="1"/>
  <c r="N401" i="1"/>
  <c r="X401" i="1" s="1"/>
  <c r="P404" i="1"/>
  <c r="S404" i="1" s="1"/>
  <c r="N404" i="1"/>
  <c r="X404" i="1" s="1"/>
  <c r="N425" i="1"/>
  <c r="X425" i="1" s="1"/>
  <c r="N449" i="1"/>
  <c r="N453" i="1"/>
  <c r="N457" i="1"/>
  <c r="N461" i="1"/>
  <c r="N465" i="1"/>
  <c r="X465" i="1" s="1"/>
  <c r="T474" i="1"/>
  <c r="Z474" i="1" s="1"/>
  <c r="Q474" i="1"/>
  <c r="Y474" i="1" s="1"/>
  <c r="T537" i="1"/>
  <c r="Z537" i="1" s="1"/>
  <c r="Q537" i="1"/>
  <c r="Y537" i="1" s="1"/>
  <c r="Q545" i="1"/>
  <c r="Y545" i="1" s="1"/>
  <c r="P553" i="1"/>
  <c r="S553" i="1" s="1"/>
  <c r="N553" i="1"/>
  <c r="S576" i="1"/>
  <c r="N576" i="1"/>
  <c r="T599" i="1"/>
  <c r="Z599" i="1" s="1"/>
  <c r="Q599" i="1"/>
  <c r="Y599" i="1" s="1"/>
  <c r="P389" i="1"/>
  <c r="S389" i="1" s="1"/>
  <c r="N389" i="1"/>
  <c r="X389" i="1" s="1"/>
  <c r="P418" i="1"/>
  <c r="S418" i="1" s="1"/>
  <c r="N418" i="1"/>
  <c r="X418" i="1" s="1"/>
  <c r="T504" i="1"/>
  <c r="Z504" i="1" s="1"/>
  <c r="Q504" i="1"/>
  <c r="Y504" i="1" s="1"/>
  <c r="T561" i="1"/>
  <c r="Z561" i="1" s="1"/>
  <c r="Q561" i="1"/>
  <c r="Y561" i="1" s="1"/>
  <c r="Q569" i="1"/>
  <c r="Y569" i="1" s="1"/>
  <c r="S577" i="1"/>
  <c r="N577" i="1"/>
  <c r="P600" i="1"/>
  <c r="S600" i="1" s="1"/>
  <c r="N600" i="1"/>
  <c r="T623" i="1"/>
  <c r="Z623" i="1" s="1"/>
  <c r="Q623" i="1"/>
  <c r="Y623" i="1" s="1"/>
  <c r="T640" i="1"/>
  <c r="Z640" i="1" s="1"/>
  <c r="Q640" i="1"/>
  <c r="Y640" i="1" s="1"/>
  <c r="T651" i="1"/>
  <c r="Z651" i="1" s="1"/>
  <c r="Q651" i="1"/>
  <c r="Y651" i="1" s="1"/>
  <c r="N191" i="1"/>
  <c r="N193" i="1"/>
  <c r="N195" i="1"/>
  <c r="N197" i="1"/>
  <c r="N199" i="1"/>
  <c r="N201" i="1"/>
  <c r="N203" i="1"/>
  <c r="N205" i="1"/>
  <c r="N207" i="1"/>
  <c r="N209" i="1"/>
  <c r="N211" i="1"/>
  <c r="N213" i="1"/>
  <c r="N215" i="1"/>
  <c r="N217" i="1"/>
  <c r="N219" i="1"/>
  <c r="N221" i="1"/>
  <c r="N223" i="1"/>
  <c r="N225" i="1"/>
  <c r="X225" i="1" s="1"/>
  <c r="N227" i="1"/>
  <c r="X227" i="1" s="1"/>
  <c r="N229" i="1"/>
  <c r="N231" i="1"/>
  <c r="N233" i="1"/>
  <c r="N235" i="1"/>
  <c r="N237" i="1"/>
  <c r="N239" i="1"/>
  <c r="N241" i="1"/>
  <c r="N243" i="1"/>
  <c r="N245" i="1"/>
  <c r="X245" i="1" s="1"/>
  <c r="N247" i="1"/>
  <c r="N249" i="1"/>
  <c r="X249" i="1" s="1"/>
  <c r="N251" i="1"/>
  <c r="X251" i="1" s="1"/>
  <c r="N253" i="1"/>
  <c r="X253" i="1" s="1"/>
  <c r="N255" i="1"/>
  <c r="X255" i="1" s="1"/>
  <c r="N257" i="1"/>
  <c r="X257" i="1" s="1"/>
  <c r="N259" i="1"/>
  <c r="X259" i="1" s="1"/>
  <c r="N261" i="1"/>
  <c r="X261" i="1" s="1"/>
  <c r="N263" i="1"/>
  <c r="X263" i="1" s="1"/>
  <c r="N265" i="1"/>
  <c r="X265" i="1" s="1"/>
  <c r="N267" i="1"/>
  <c r="N282" i="1"/>
  <c r="X282" i="1" s="1"/>
  <c r="N284" i="1"/>
  <c r="X284" i="1" s="1"/>
  <c r="N286" i="1"/>
  <c r="X286" i="1" s="1"/>
  <c r="N288" i="1"/>
  <c r="X288" i="1" s="1"/>
  <c r="N290" i="1"/>
  <c r="X290" i="1" s="1"/>
  <c r="N292" i="1"/>
  <c r="X292" i="1" s="1"/>
  <c r="N294" i="1"/>
  <c r="X294" i="1" s="1"/>
  <c r="N296" i="1"/>
  <c r="X296" i="1" s="1"/>
  <c r="N298" i="1"/>
  <c r="X298" i="1" s="1"/>
  <c r="N300" i="1"/>
  <c r="X300" i="1" s="1"/>
  <c r="N302" i="1"/>
  <c r="X302" i="1" s="1"/>
  <c r="N304" i="1"/>
  <c r="X304" i="1" s="1"/>
  <c r="N306" i="1"/>
  <c r="X306" i="1" s="1"/>
  <c r="N308" i="1"/>
  <c r="N310" i="1"/>
  <c r="X310" i="1" s="1"/>
  <c r="N314" i="1"/>
  <c r="N316" i="1"/>
  <c r="N318" i="1"/>
  <c r="X318" i="1" s="1"/>
  <c r="N320" i="1"/>
  <c r="N322" i="1"/>
  <c r="N376" i="1"/>
  <c r="X376" i="1" s="1"/>
  <c r="P379" i="1"/>
  <c r="S379" i="1" s="1"/>
  <c r="N379" i="1"/>
  <c r="X379" i="1" s="1"/>
  <c r="N405" i="1"/>
  <c r="X405" i="1" s="1"/>
  <c r="P408" i="1"/>
  <c r="S408" i="1" s="1"/>
  <c r="N408" i="1"/>
  <c r="X408" i="1" s="1"/>
  <c r="N429" i="1"/>
  <c r="T432" i="1"/>
  <c r="Z432" i="1" s="1"/>
  <c r="Q432" i="1"/>
  <c r="Y432" i="1" s="1"/>
  <c r="T470" i="1"/>
  <c r="Z470" i="1" s="1"/>
  <c r="Q470" i="1"/>
  <c r="Y470" i="1" s="1"/>
  <c r="N475" i="1"/>
  <c r="T496" i="1"/>
  <c r="Z496" i="1" s="1"/>
  <c r="Q496" i="1"/>
  <c r="Y496" i="1" s="1"/>
  <c r="N504" i="1"/>
  <c r="X504" i="1" s="1"/>
  <c r="T523" i="1"/>
  <c r="Z523" i="1" s="1"/>
  <c r="Q523" i="1"/>
  <c r="Y523" i="1" s="1"/>
  <c r="T539" i="1"/>
  <c r="Z539" i="1" s="1"/>
  <c r="Q539" i="1"/>
  <c r="Y539" i="1" s="1"/>
  <c r="T585" i="1"/>
  <c r="Z585" i="1" s="1"/>
  <c r="Q585" i="1"/>
  <c r="Y585" i="1" s="1"/>
  <c r="Q593" i="1"/>
  <c r="Y593" i="1" s="1"/>
  <c r="P601" i="1"/>
  <c r="S601" i="1" s="1"/>
  <c r="N601" i="1"/>
  <c r="P624" i="1"/>
  <c r="S624" i="1" s="1"/>
  <c r="N624" i="1"/>
  <c r="X624" i="1" s="1"/>
  <c r="T641" i="1"/>
  <c r="Z641" i="1" s="1"/>
  <c r="Q641" i="1"/>
  <c r="Y641" i="1" s="1"/>
  <c r="P652" i="1"/>
  <c r="S652" i="1" s="1"/>
  <c r="N652" i="1"/>
  <c r="X652" i="1" s="1"/>
  <c r="P398" i="1"/>
  <c r="S398" i="1" s="1"/>
  <c r="N398" i="1"/>
  <c r="X398" i="1" s="1"/>
  <c r="T422" i="1"/>
  <c r="Z422" i="1" s="1"/>
  <c r="Q422" i="1"/>
  <c r="Y422" i="1" s="1"/>
  <c r="T497" i="1"/>
  <c r="Z497" i="1" s="1"/>
  <c r="Q497" i="1"/>
  <c r="Y497" i="1" s="1"/>
  <c r="N539" i="1"/>
  <c r="X539" i="1" s="1"/>
  <c r="T547" i="1"/>
  <c r="Z547" i="1" s="1"/>
  <c r="Q547" i="1"/>
  <c r="Y547" i="1" s="1"/>
  <c r="T563" i="1"/>
  <c r="Z563" i="1" s="1"/>
  <c r="Q563" i="1"/>
  <c r="Y563" i="1" s="1"/>
  <c r="T609" i="1"/>
  <c r="Z609" i="1" s="1"/>
  <c r="Q609" i="1"/>
  <c r="Y609" i="1" s="1"/>
  <c r="P625" i="1"/>
  <c r="S625" i="1" s="1"/>
  <c r="N625" i="1"/>
  <c r="X625" i="1" s="1"/>
  <c r="P642" i="1"/>
  <c r="S642" i="1" s="1"/>
  <c r="N642" i="1"/>
  <c r="X642" i="1" s="1"/>
  <c r="P532" i="1"/>
  <c r="S532" i="1" s="1"/>
  <c r="N532" i="1"/>
  <c r="X532" i="1" s="1"/>
  <c r="S556" i="1"/>
  <c r="N556" i="1"/>
  <c r="X556" i="1" s="1"/>
  <c r="S580" i="1"/>
  <c r="N580" i="1"/>
  <c r="X580" i="1" s="1"/>
  <c r="P604" i="1"/>
  <c r="S604" i="1" s="1"/>
  <c r="N604" i="1"/>
  <c r="X604" i="1" s="1"/>
  <c r="N480" i="1"/>
  <c r="N486" i="1"/>
  <c r="X486" i="1" s="1"/>
  <c r="N492" i="1"/>
  <c r="X492" i="1" s="1"/>
  <c r="N498" i="1"/>
  <c r="X498" i="1" s="1"/>
  <c r="N519" i="1"/>
  <c r="X519" i="1" s="1"/>
  <c r="P522" i="1"/>
  <c r="S522" i="1" s="1"/>
  <c r="N522" i="1"/>
  <c r="X522" i="1" s="1"/>
  <c r="N543" i="1"/>
  <c r="X543" i="1" s="1"/>
  <c r="P546" i="1"/>
  <c r="S546" i="1" s="1"/>
  <c r="N546" i="1"/>
  <c r="X546" i="1" s="1"/>
  <c r="N567" i="1"/>
  <c r="X567" i="1" s="1"/>
  <c r="S570" i="1"/>
  <c r="N570" i="1"/>
  <c r="X570" i="1" s="1"/>
  <c r="N591" i="1"/>
  <c r="P594" i="1"/>
  <c r="S594" i="1" s="1"/>
  <c r="N594" i="1"/>
  <c r="N615" i="1"/>
  <c r="X615" i="1" s="1"/>
  <c r="P618" i="1"/>
  <c r="S618" i="1" s="1"/>
  <c r="N618" i="1"/>
  <c r="X618" i="1" s="1"/>
  <c r="T483" i="1"/>
  <c r="Z483" i="1" s="1"/>
  <c r="Q483" i="1"/>
  <c r="Y483" i="1" s="1"/>
  <c r="T489" i="1"/>
  <c r="Z489" i="1" s="1"/>
  <c r="Q489" i="1"/>
  <c r="Y489" i="1" s="1"/>
  <c r="T495" i="1"/>
  <c r="Z495" i="1" s="1"/>
  <c r="Q495" i="1"/>
  <c r="Y495" i="1" s="1"/>
  <c r="P501" i="1"/>
  <c r="S501" i="1" s="1"/>
  <c r="N501" i="1"/>
  <c r="X501" i="1" s="1"/>
  <c r="P536" i="1"/>
  <c r="S536" i="1" s="1"/>
  <c r="N536" i="1"/>
  <c r="X536" i="1" s="1"/>
  <c r="S560" i="1"/>
  <c r="N560" i="1"/>
  <c r="X560" i="1" s="1"/>
  <c r="P584" i="1"/>
  <c r="S584" i="1" s="1"/>
  <c r="N584" i="1"/>
  <c r="X584" i="1" s="1"/>
  <c r="P608" i="1"/>
  <c r="S608" i="1" s="1"/>
  <c r="N608" i="1"/>
  <c r="X608" i="1" s="1"/>
  <c r="T647" i="1"/>
  <c r="Z647" i="1" s="1"/>
  <c r="Q647" i="1"/>
  <c r="Y647" i="1" s="1"/>
  <c r="T653" i="1"/>
  <c r="Z653" i="1" s="1"/>
  <c r="Q653" i="1"/>
  <c r="Y653" i="1" s="1"/>
  <c r="T659" i="1"/>
  <c r="Z659" i="1" s="1"/>
  <c r="Q659" i="1"/>
  <c r="Y659" i="1" s="1"/>
  <c r="P526" i="1"/>
  <c r="S526" i="1" s="1"/>
  <c r="N526" i="1"/>
  <c r="X526" i="1" s="1"/>
  <c r="P550" i="1"/>
  <c r="S550" i="1" s="1"/>
  <c r="N550" i="1"/>
  <c r="S574" i="1"/>
  <c r="N574" i="1"/>
  <c r="P598" i="1"/>
  <c r="S598" i="1" s="1"/>
  <c r="N598" i="1"/>
  <c r="P622" i="1"/>
  <c r="S622" i="1" s="1"/>
  <c r="N622" i="1"/>
  <c r="X622" i="1" s="1"/>
  <c r="N502" i="1"/>
  <c r="X502" i="1" s="1"/>
  <c r="P505" i="1"/>
  <c r="S505" i="1" s="1"/>
  <c r="N505" i="1"/>
  <c r="X505" i="1" s="1"/>
  <c r="N537" i="1"/>
  <c r="X537" i="1" s="1"/>
  <c r="P540" i="1"/>
  <c r="S540" i="1" s="1"/>
  <c r="N540" i="1"/>
  <c r="X540" i="1" s="1"/>
  <c r="N561" i="1"/>
  <c r="X561" i="1" s="1"/>
  <c r="S564" i="1"/>
  <c r="N564" i="1"/>
  <c r="X564" i="1" s="1"/>
  <c r="Q581" i="1"/>
  <c r="Y581" i="1" s="1"/>
  <c r="N585" i="1"/>
  <c r="X585" i="1" s="1"/>
  <c r="P588" i="1"/>
  <c r="S588" i="1" s="1"/>
  <c r="N588" i="1"/>
  <c r="X588" i="1" s="1"/>
  <c r="N609" i="1"/>
  <c r="X609" i="1" s="1"/>
  <c r="P612" i="1"/>
  <c r="S612" i="1" s="1"/>
  <c r="N612" i="1"/>
  <c r="X612" i="1" s="1"/>
  <c r="P626" i="1"/>
  <c r="S626" i="1" s="1"/>
  <c r="N626" i="1"/>
  <c r="X626" i="1" s="1"/>
  <c r="P635" i="1"/>
  <c r="S635" i="1" s="1"/>
  <c r="N635" i="1"/>
  <c r="X635" i="1" s="1"/>
  <c r="T639" i="1"/>
  <c r="Z639" i="1" s="1"/>
  <c r="Q639" i="1"/>
  <c r="Y639" i="1" s="1"/>
  <c r="T643" i="1"/>
  <c r="Z643" i="1" s="1"/>
  <c r="Q643" i="1"/>
  <c r="Y643" i="1" s="1"/>
  <c r="N648" i="1"/>
  <c r="X648" i="1" s="1"/>
  <c r="N654" i="1"/>
  <c r="X654" i="1" s="1"/>
  <c r="N660" i="1"/>
  <c r="X660" i="1" s="1"/>
  <c r="N420" i="1"/>
  <c r="X420" i="1" s="1"/>
  <c r="N422" i="1"/>
  <c r="X422" i="1" s="1"/>
  <c r="N424" i="1"/>
  <c r="X424" i="1" s="1"/>
  <c r="N426" i="1"/>
  <c r="X426" i="1" s="1"/>
  <c r="N430" i="1"/>
  <c r="N432" i="1"/>
  <c r="N434" i="1"/>
  <c r="X434" i="1" s="1"/>
  <c r="N436" i="1"/>
  <c r="N438" i="1"/>
  <c r="N440" i="1"/>
  <c r="N442" i="1"/>
  <c r="N444" i="1"/>
  <c r="N446" i="1"/>
  <c r="N448" i="1"/>
  <c r="N450" i="1"/>
  <c r="N452" i="1"/>
  <c r="N454" i="1"/>
  <c r="N456" i="1"/>
  <c r="N458" i="1"/>
  <c r="X458" i="1" s="1"/>
  <c r="N460" i="1"/>
  <c r="X460" i="1" s="1"/>
  <c r="N462" i="1"/>
  <c r="X462" i="1" s="1"/>
  <c r="N464" i="1"/>
  <c r="N466" i="1"/>
  <c r="X466" i="1" s="1"/>
  <c r="N468" i="1"/>
  <c r="X468" i="1" s="1"/>
  <c r="N470" i="1"/>
  <c r="N472" i="1"/>
  <c r="N474" i="1"/>
  <c r="N476" i="1"/>
  <c r="N478" i="1"/>
  <c r="N484" i="1"/>
  <c r="X484" i="1" s="1"/>
  <c r="N490" i="1"/>
  <c r="X490" i="1" s="1"/>
  <c r="N496" i="1"/>
  <c r="X496" i="1" s="1"/>
  <c r="N527" i="1"/>
  <c r="X527" i="1" s="1"/>
  <c r="P530" i="1"/>
  <c r="S530" i="1" s="1"/>
  <c r="N530" i="1"/>
  <c r="X530" i="1" s="1"/>
  <c r="N551" i="1"/>
  <c r="P554" i="1"/>
  <c r="S554" i="1" s="1"/>
  <c r="N554" i="1"/>
  <c r="X554" i="1" s="1"/>
  <c r="N575" i="1"/>
  <c r="X575" i="1" s="1"/>
  <c r="S578" i="1"/>
  <c r="N578" i="1"/>
  <c r="N599" i="1"/>
  <c r="P602" i="1"/>
  <c r="S602" i="1" s="1"/>
  <c r="N602" i="1"/>
  <c r="N623" i="1"/>
  <c r="X623" i="1" s="1"/>
  <c r="T481" i="1"/>
  <c r="Z481" i="1" s="1"/>
  <c r="Q481" i="1"/>
  <c r="Y481" i="1" s="1"/>
  <c r="T487" i="1"/>
  <c r="Z487" i="1" s="1"/>
  <c r="Q487" i="1"/>
  <c r="Y487" i="1" s="1"/>
  <c r="T493" i="1"/>
  <c r="Z493" i="1" s="1"/>
  <c r="Q493" i="1"/>
  <c r="Y493" i="1" s="1"/>
  <c r="T499" i="1"/>
  <c r="Z499" i="1" s="1"/>
  <c r="Q499" i="1"/>
  <c r="Y499" i="1" s="1"/>
  <c r="N506" i="1"/>
  <c r="X506" i="1" s="1"/>
  <c r="P520" i="1"/>
  <c r="S520" i="1" s="1"/>
  <c r="N520" i="1"/>
  <c r="X520" i="1" s="1"/>
  <c r="N541" i="1"/>
  <c r="X541" i="1" s="1"/>
  <c r="P544" i="1"/>
  <c r="S544" i="1" s="1"/>
  <c r="N544" i="1"/>
  <c r="X544" i="1" s="1"/>
  <c r="N565" i="1"/>
  <c r="X565" i="1" s="1"/>
  <c r="S568" i="1"/>
  <c r="N568" i="1"/>
  <c r="X568" i="1" s="1"/>
  <c r="N589" i="1"/>
  <c r="X589" i="1" s="1"/>
  <c r="P592" i="1"/>
  <c r="S592" i="1" s="1"/>
  <c r="N592" i="1"/>
  <c r="N613" i="1"/>
  <c r="X613" i="1" s="1"/>
  <c r="P616" i="1"/>
  <c r="S616" i="1" s="1"/>
  <c r="N616" i="1"/>
  <c r="X616" i="1" s="1"/>
  <c r="N627" i="1"/>
  <c r="X627" i="1" s="1"/>
  <c r="N636" i="1"/>
  <c r="X636" i="1" s="1"/>
  <c r="N640" i="1"/>
  <c r="X640" i="1" s="1"/>
  <c r="N644" i="1"/>
  <c r="X644" i="1" s="1"/>
  <c r="T649" i="1"/>
  <c r="Z649" i="1" s="1"/>
  <c r="Q649" i="1"/>
  <c r="Y649" i="1" s="1"/>
  <c r="T655" i="1"/>
  <c r="Z655" i="1" s="1"/>
  <c r="Q655" i="1"/>
  <c r="Y655" i="1" s="1"/>
  <c r="T661" i="1"/>
  <c r="Z661" i="1" s="1"/>
  <c r="Q661" i="1"/>
  <c r="Y661" i="1" s="1"/>
  <c r="N481" i="1"/>
  <c r="N487" i="1"/>
  <c r="X487" i="1" s="1"/>
  <c r="N493" i="1"/>
  <c r="X493" i="1" s="1"/>
  <c r="N499" i="1"/>
  <c r="X499" i="1" s="1"/>
  <c r="N531" i="1"/>
  <c r="X531" i="1" s="1"/>
  <c r="P534" i="1"/>
  <c r="S534" i="1" s="1"/>
  <c r="N534" i="1"/>
  <c r="X534" i="1" s="1"/>
  <c r="N555" i="1"/>
  <c r="X555" i="1" s="1"/>
  <c r="S558" i="1"/>
  <c r="N558" i="1"/>
  <c r="X558" i="1" s="1"/>
  <c r="N579" i="1"/>
  <c r="X579" i="1" s="1"/>
  <c r="S582" i="1"/>
  <c r="N582" i="1"/>
  <c r="N603" i="1"/>
  <c r="P606" i="1"/>
  <c r="S606" i="1" s="1"/>
  <c r="N606" i="1"/>
  <c r="X606" i="1" s="1"/>
  <c r="T662" i="1"/>
  <c r="Z662" i="1" s="1"/>
  <c r="Q662" i="1"/>
  <c r="Y662" i="1" s="1"/>
  <c r="P524" i="1"/>
  <c r="S524" i="1" s="1"/>
  <c r="N524" i="1"/>
  <c r="X524" i="1" s="1"/>
  <c r="S572" i="1"/>
  <c r="N572" i="1"/>
  <c r="X572" i="1" s="1"/>
  <c r="P596" i="1"/>
  <c r="S596" i="1" s="1"/>
  <c r="N596" i="1"/>
  <c r="P620" i="1"/>
  <c r="S620" i="1" s="1"/>
  <c r="N620" i="1"/>
  <c r="X620" i="1" s="1"/>
  <c r="P503" i="1"/>
  <c r="S503" i="1" s="1"/>
  <c r="N503" i="1"/>
  <c r="X503" i="1" s="1"/>
  <c r="P538" i="1"/>
  <c r="S538" i="1" s="1"/>
  <c r="N538" i="1"/>
  <c r="X538" i="1" s="1"/>
  <c r="S562" i="1"/>
  <c r="N562" i="1"/>
  <c r="X562" i="1" s="1"/>
  <c r="P586" i="1"/>
  <c r="S586" i="1" s="1"/>
  <c r="N586" i="1"/>
  <c r="X586" i="1" s="1"/>
  <c r="P610" i="1"/>
  <c r="S610" i="1" s="1"/>
  <c r="N610" i="1"/>
  <c r="X610" i="1" s="1"/>
  <c r="N639" i="1"/>
  <c r="X639" i="1" s="1"/>
  <c r="N641" i="1"/>
  <c r="X641" i="1" s="1"/>
  <c r="N643" i="1"/>
  <c r="X643" i="1" s="1"/>
  <c r="N645" i="1"/>
  <c r="X645" i="1" s="1"/>
  <c r="N647" i="1"/>
  <c r="X647" i="1" s="1"/>
  <c r="N649" i="1"/>
  <c r="X649" i="1" s="1"/>
  <c r="N651" i="1"/>
  <c r="X651" i="1" s="1"/>
  <c r="N653" i="1"/>
  <c r="X653" i="1" s="1"/>
  <c r="N655" i="1"/>
  <c r="X655" i="1" s="1"/>
  <c r="N657" i="1"/>
  <c r="X657" i="1" s="1"/>
  <c r="N659" i="1"/>
  <c r="X659" i="1" s="1"/>
  <c r="N661" i="1"/>
  <c r="X661" i="1" s="1"/>
  <c r="E9" i="1" l="1"/>
  <c r="H9" i="1" s="1"/>
  <c r="F9" i="1"/>
  <c r="M172" i="1"/>
  <c r="P172" i="1" s="1"/>
  <c r="Q172" i="1" s="1"/>
  <c r="Y172" i="1" s="1"/>
  <c r="M166" i="1"/>
  <c r="P166" i="1" s="1"/>
  <c r="S166" i="1" s="1"/>
  <c r="M164" i="1"/>
  <c r="P164" i="1" s="1"/>
  <c r="S164" i="1" s="1"/>
  <c r="N172" i="1"/>
  <c r="X172" i="1" s="1"/>
  <c r="S172" i="1"/>
  <c r="T172" i="1" s="1"/>
  <c r="Z172" i="1" s="1"/>
  <c r="Q342" i="1"/>
  <c r="Y342" i="1" s="1"/>
  <c r="M162" i="1"/>
  <c r="P162" i="1" s="1"/>
  <c r="S162" i="1" s="1"/>
  <c r="T162" i="1" s="1"/>
  <c r="Z162" i="1" s="1"/>
  <c r="M167" i="1"/>
  <c r="P167" i="1" s="1"/>
  <c r="Q167" i="1" s="1"/>
  <c r="Y167" i="1" s="1"/>
  <c r="Q337" i="1"/>
  <c r="Y337" i="1" s="1"/>
  <c r="N156" i="1"/>
  <c r="X156" i="1" s="1"/>
  <c r="S329" i="1"/>
  <c r="T329" i="1" s="1"/>
  <c r="Z329" i="1" s="1"/>
  <c r="M170" i="1"/>
  <c r="P170" i="1" s="1"/>
  <c r="Q170" i="1" s="1"/>
  <c r="Y170" i="1" s="1"/>
  <c r="Q341" i="1"/>
  <c r="Y341" i="1" s="1"/>
  <c r="Q458" i="1"/>
  <c r="Y458" i="1" s="1"/>
  <c r="K174" i="1"/>
  <c r="W174" i="1" s="1"/>
  <c r="Q174" i="1"/>
  <c r="Y174" i="1" s="1"/>
  <c r="M159" i="1"/>
  <c r="P159" i="1" s="1"/>
  <c r="S159" i="1" s="1"/>
  <c r="T159" i="1" s="1"/>
  <c r="Z159" i="1" s="1"/>
  <c r="M168" i="1"/>
  <c r="P168" i="1" s="1"/>
  <c r="S168" i="1" s="1"/>
  <c r="T168" i="1" s="1"/>
  <c r="Z168" i="1" s="1"/>
  <c r="N174" i="1"/>
  <c r="X174" i="1" s="1"/>
  <c r="M161" i="1"/>
  <c r="N161" i="1" s="1"/>
  <c r="X161" i="1" s="1"/>
  <c r="Q339" i="1"/>
  <c r="Y339" i="1" s="1"/>
  <c r="Q597" i="1"/>
  <c r="Y597" i="1" s="1"/>
  <c r="Q446" i="1"/>
  <c r="Y446" i="1" s="1"/>
  <c r="Q343" i="1"/>
  <c r="Y343" i="1" s="1"/>
  <c r="P152" i="1"/>
  <c r="S152" i="1" s="1"/>
  <c r="T152" i="1" s="1"/>
  <c r="Z152" i="1" s="1"/>
  <c r="Q460" i="1"/>
  <c r="Y460" i="1" s="1"/>
  <c r="N164" i="1"/>
  <c r="X164" i="1" s="1"/>
  <c r="Q397" i="1"/>
  <c r="Y397" i="1" s="1"/>
  <c r="Q461" i="1"/>
  <c r="Y461" i="1" s="1"/>
  <c r="Q442" i="1"/>
  <c r="Y442" i="1" s="1"/>
  <c r="Q449" i="1"/>
  <c r="Y449" i="1" s="1"/>
  <c r="Q457" i="1"/>
  <c r="Y457" i="1" s="1"/>
  <c r="Q399" i="1"/>
  <c r="Y399" i="1" s="1"/>
  <c r="Q451" i="1"/>
  <c r="Y451" i="1" s="1"/>
  <c r="N163" i="1"/>
  <c r="X163" i="1" s="1"/>
  <c r="Q332" i="1"/>
  <c r="Y332" i="1" s="1"/>
  <c r="Q220" i="1"/>
  <c r="Y220" i="1" s="1"/>
  <c r="Q441" i="1"/>
  <c r="Y441" i="1" s="1"/>
  <c r="Q453" i="1"/>
  <c r="Y453" i="1" s="1"/>
  <c r="P169" i="1"/>
  <c r="Q169" i="1" s="1"/>
  <c r="Y169" i="1" s="1"/>
  <c r="N157" i="1"/>
  <c r="X157" i="1" s="1"/>
  <c r="N166" i="1"/>
  <c r="X166" i="1" s="1"/>
  <c r="N173" i="1"/>
  <c r="X173" i="1" s="1"/>
  <c r="Q173" i="1"/>
  <c r="Y173" i="1" s="1"/>
  <c r="S328" i="1"/>
  <c r="T328" i="1" s="1"/>
  <c r="Z328" i="1" s="1"/>
  <c r="Q459" i="1"/>
  <c r="Y459" i="1" s="1"/>
  <c r="S126" i="1"/>
  <c r="T126" i="1" s="1"/>
  <c r="Z126" i="1" s="1"/>
  <c r="S421" i="1"/>
  <c r="T421" i="1" s="1"/>
  <c r="Z421" i="1" s="1"/>
  <c r="Q455" i="1"/>
  <c r="Y455" i="1" s="1"/>
  <c r="S153" i="1"/>
  <c r="T153" i="1" s="1"/>
  <c r="Z153" i="1" s="1"/>
  <c r="Q444" i="1"/>
  <c r="Y444" i="1" s="1"/>
  <c r="P154" i="1"/>
  <c r="S154" i="1" s="1"/>
  <c r="T154" i="1" s="1"/>
  <c r="Z154" i="1" s="1"/>
  <c r="Q450" i="1"/>
  <c r="Y450" i="1" s="1"/>
  <c r="N155" i="1"/>
  <c r="X155" i="1" s="1"/>
  <c r="Q352" i="1"/>
  <c r="Y352" i="1" s="1"/>
  <c r="S352" i="1"/>
  <c r="T352" i="1" s="1"/>
  <c r="Z352" i="1" s="1"/>
  <c r="S448" i="1"/>
  <c r="T448" i="1" s="1"/>
  <c r="Z448" i="1" s="1"/>
  <c r="S165" i="1"/>
  <c r="T165" i="1" s="1"/>
  <c r="Z165" i="1" s="1"/>
  <c r="Q456" i="1"/>
  <c r="Y456" i="1" s="1"/>
  <c r="S63" i="1"/>
  <c r="T63" i="1" s="1"/>
  <c r="Z63" i="1" s="1"/>
  <c r="S533" i="1"/>
  <c r="T533" i="1" s="1"/>
  <c r="Z533" i="1" s="1"/>
  <c r="S7" i="1"/>
  <c r="T7" i="1" s="1"/>
  <c r="Z7" i="1" s="1"/>
  <c r="S409" i="1"/>
  <c r="T409" i="1" s="1"/>
  <c r="Z409" i="1" s="1"/>
  <c r="Q409" i="1"/>
  <c r="Y409" i="1" s="1"/>
  <c r="S535" i="1"/>
  <c r="T535" i="1" s="1"/>
  <c r="Z535" i="1" s="1"/>
  <c r="S327" i="1"/>
  <c r="T327" i="1" s="1"/>
  <c r="Z327" i="1" s="1"/>
  <c r="S326" i="1"/>
  <c r="T326" i="1" s="1"/>
  <c r="Z326" i="1" s="1"/>
  <c r="Q345" i="1"/>
  <c r="Y345" i="1" s="1"/>
  <c r="Q322" i="1"/>
  <c r="Y322" i="1" s="1"/>
  <c r="N171" i="1"/>
  <c r="X171" i="1" s="1"/>
  <c r="Q419" i="1"/>
  <c r="Y419" i="1" s="1"/>
  <c r="S419" i="1"/>
  <c r="T419" i="1" s="1"/>
  <c r="Z419" i="1" s="1"/>
  <c r="S433" i="1"/>
  <c r="T433" i="1" s="1"/>
  <c r="Z433" i="1" s="1"/>
  <c r="Q358" i="1"/>
  <c r="Y358" i="1" s="1"/>
  <c r="S358" i="1"/>
  <c r="T358" i="1" s="1"/>
  <c r="Z358" i="1" s="1"/>
  <c r="Q324" i="1"/>
  <c r="Y324" i="1" s="1"/>
  <c r="Q390" i="1"/>
  <c r="Y390" i="1" s="1"/>
  <c r="S104" i="1"/>
  <c r="T104" i="1" s="1"/>
  <c r="Q331" i="1"/>
  <c r="Y331" i="1" s="1"/>
  <c r="Q452" i="1"/>
  <c r="Y452" i="1" s="1"/>
  <c r="S196" i="1"/>
  <c r="T196" i="1" s="1"/>
  <c r="S167" i="1"/>
  <c r="T167" i="1" s="1"/>
  <c r="Z167" i="1" s="1"/>
  <c r="S605" i="1"/>
  <c r="T605" i="1" s="1"/>
  <c r="Z605" i="1" s="1"/>
  <c r="N165" i="1"/>
  <c r="X165" i="1" s="1"/>
  <c r="Q370" i="1"/>
  <c r="Y370" i="1" s="1"/>
  <c r="S370" i="1"/>
  <c r="T370" i="1" s="1"/>
  <c r="Z370" i="1" s="1"/>
  <c r="S482" i="1"/>
  <c r="T482" i="1" s="1"/>
  <c r="Z482" i="1" s="1"/>
  <c r="S157" i="1"/>
  <c r="T157" i="1" s="1"/>
  <c r="Z157" i="1" s="1"/>
  <c r="S607" i="1"/>
  <c r="T607" i="1" s="1"/>
  <c r="Z607" i="1" s="1"/>
  <c r="Q421" i="1"/>
  <c r="Y421" i="1" s="1"/>
  <c r="S80" i="1"/>
  <c r="T80" i="1" s="1"/>
  <c r="Z80" i="1" s="1"/>
  <c r="Q439" i="1"/>
  <c r="Y439" i="1" s="1"/>
  <c r="S454" i="1"/>
  <c r="T454" i="1" s="1"/>
  <c r="Z454" i="1" s="1"/>
  <c r="Q153" i="1"/>
  <c r="Y153" i="1" s="1"/>
  <c r="Q471" i="1"/>
  <c r="Y471" i="1" s="1"/>
  <c r="S471" i="1"/>
  <c r="T471" i="1" s="1"/>
  <c r="Z471" i="1" s="1"/>
  <c r="S583" i="1"/>
  <c r="T583" i="1" s="1"/>
  <c r="Z583" i="1" s="1"/>
  <c r="S500" i="1"/>
  <c r="T500" i="1" s="1"/>
  <c r="Z500" i="1" s="1"/>
  <c r="Q126" i="1"/>
  <c r="Y126" i="1" s="1"/>
  <c r="S118" i="1"/>
  <c r="T118" i="1" s="1"/>
  <c r="Z118" i="1" s="1"/>
  <c r="S557" i="1"/>
  <c r="T557" i="1" s="1"/>
  <c r="Z557" i="1" s="1"/>
  <c r="S340" i="1"/>
  <c r="T340" i="1" s="1"/>
  <c r="Z340" i="1" s="1"/>
  <c r="Q340" i="1"/>
  <c r="Y340" i="1" s="1"/>
  <c r="S581" i="1"/>
  <c r="T581" i="1" s="1"/>
  <c r="Z581" i="1" s="1"/>
  <c r="S336" i="1"/>
  <c r="T336" i="1" s="1"/>
  <c r="Z336" i="1" s="1"/>
  <c r="Q333" i="1"/>
  <c r="Y333" i="1" s="1"/>
  <c r="S212" i="1"/>
  <c r="T212" i="1" s="1"/>
  <c r="Z212" i="1" s="1"/>
  <c r="S445" i="1"/>
  <c r="T445" i="1" s="1"/>
  <c r="Z445" i="1" s="1"/>
  <c r="S204" i="1"/>
  <c r="T204" i="1" s="1"/>
  <c r="Z204" i="1" s="1"/>
  <c r="Q443" i="1"/>
  <c r="Y443" i="1" s="1"/>
  <c r="S443" i="1"/>
  <c r="T443" i="1" s="1"/>
  <c r="Z443" i="1" s="1"/>
  <c r="S20" i="1"/>
  <c r="Q605" i="1"/>
  <c r="Y605" i="1" s="1"/>
  <c r="T559" i="1"/>
  <c r="Z559" i="1" s="1"/>
  <c r="Q559" i="1"/>
  <c r="Y559" i="1" s="1"/>
  <c r="Q535" i="1"/>
  <c r="Y535" i="1" s="1"/>
  <c r="Q482" i="1"/>
  <c r="Y482" i="1" s="1"/>
  <c r="T488" i="1"/>
  <c r="Z488" i="1" s="1"/>
  <c r="Q488" i="1"/>
  <c r="Y488" i="1" s="1"/>
  <c r="T494" i="1"/>
  <c r="Z494" i="1" s="1"/>
  <c r="Q494" i="1"/>
  <c r="Y494" i="1" s="1"/>
  <c r="Q533" i="1"/>
  <c r="Y533" i="1" s="1"/>
  <c r="Q445" i="1"/>
  <c r="Y445" i="1" s="1"/>
  <c r="Q364" i="1"/>
  <c r="Y364" i="1" s="1"/>
  <c r="T364" i="1"/>
  <c r="Z364" i="1" s="1"/>
  <c r="T346" i="1"/>
  <c r="Z346" i="1" s="1"/>
  <c r="Q346" i="1"/>
  <c r="Y346" i="1" s="1"/>
  <c r="Q80" i="1"/>
  <c r="Y80" i="1" s="1"/>
  <c r="Q63" i="1"/>
  <c r="Y63" i="1" s="1"/>
  <c r="T264" i="1"/>
  <c r="Z264" i="1" s="1"/>
  <c r="Q264" i="1"/>
  <c r="Y264" i="1" s="1"/>
  <c r="T260" i="1"/>
  <c r="Z260" i="1" s="1"/>
  <c r="Q260" i="1"/>
  <c r="Y260" i="1" s="1"/>
  <c r="T620" i="1"/>
  <c r="Z620" i="1" s="1"/>
  <c r="Q620" i="1"/>
  <c r="Y620" i="1" s="1"/>
  <c r="T606" i="1"/>
  <c r="Z606" i="1" s="1"/>
  <c r="Q606" i="1"/>
  <c r="Y606" i="1" s="1"/>
  <c r="T556" i="1"/>
  <c r="Z556" i="1" s="1"/>
  <c r="Q556" i="1"/>
  <c r="Y556" i="1" s="1"/>
  <c r="T375" i="1"/>
  <c r="Z375" i="1" s="1"/>
  <c r="Q375" i="1"/>
  <c r="Y375" i="1" s="1"/>
  <c r="T410" i="1"/>
  <c r="Z410" i="1" s="1"/>
  <c r="Q410" i="1"/>
  <c r="Y410" i="1" s="1"/>
  <c r="T518" i="1"/>
  <c r="Z518" i="1" s="1"/>
  <c r="Q518" i="1"/>
  <c r="Y518" i="1" s="1"/>
  <c r="Q119" i="1"/>
  <c r="Y119" i="1" s="1"/>
  <c r="T119" i="1"/>
  <c r="Z119" i="1" s="1"/>
  <c r="T587" i="1"/>
  <c r="Z587" i="1" s="1"/>
  <c r="Q587" i="1"/>
  <c r="Y587" i="1" s="1"/>
  <c r="T477" i="1"/>
  <c r="Z477" i="1" s="1"/>
  <c r="Q477" i="1"/>
  <c r="Y477" i="1" s="1"/>
  <c r="T158" i="1"/>
  <c r="Z158" i="1" s="1"/>
  <c r="Q158" i="1"/>
  <c r="Y158" i="1" s="1"/>
  <c r="T81" i="1"/>
  <c r="Z81" i="1" s="1"/>
  <c r="Q81" i="1"/>
  <c r="Y81" i="1" s="1"/>
  <c r="T383" i="1"/>
  <c r="Z383" i="1" s="1"/>
  <c r="Q383" i="1"/>
  <c r="Y383" i="1" s="1"/>
  <c r="T291" i="1"/>
  <c r="Z291" i="1" s="1"/>
  <c r="Q291" i="1"/>
  <c r="Y291" i="1" s="1"/>
  <c r="T244" i="1"/>
  <c r="Z244" i="1" s="1"/>
  <c r="Q244" i="1"/>
  <c r="Y244" i="1" s="1"/>
  <c r="T367" i="1"/>
  <c r="Z367" i="1" s="1"/>
  <c r="Q367" i="1"/>
  <c r="Y367" i="1" s="1"/>
  <c r="T256" i="1"/>
  <c r="Z256" i="1" s="1"/>
  <c r="Q256" i="1"/>
  <c r="Y256" i="1" s="1"/>
  <c r="T163" i="1"/>
  <c r="Z163" i="1" s="1"/>
  <c r="Q163" i="1"/>
  <c r="Y163" i="1" s="1"/>
  <c r="T560" i="1"/>
  <c r="Z560" i="1" s="1"/>
  <c r="Q560" i="1"/>
  <c r="Y560" i="1" s="1"/>
  <c r="T616" i="1"/>
  <c r="Z616" i="1" s="1"/>
  <c r="Q616" i="1"/>
  <c r="Y616" i="1" s="1"/>
  <c r="T520" i="1"/>
  <c r="Z520" i="1" s="1"/>
  <c r="Q520" i="1"/>
  <c r="Y520" i="1" s="1"/>
  <c r="T602" i="1"/>
  <c r="Z602" i="1" s="1"/>
  <c r="Q602" i="1"/>
  <c r="Y602" i="1" s="1"/>
  <c r="T588" i="1"/>
  <c r="Z588" i="1" s="1"/>
  <c r="Q588" i="1"/>
  <c r="Y588" i="1" s="1"/>
  <c r="T505" i="1"/>
  <c r="Z505" i="1" s="1"/>
  <c r="Q505" i="1"/>
  <c r="Y505" i="1" s="1"/>
  <c r="T532" i="1"/>
  <c r="Z532" i="1" s="1"/>
  <c r="Q532" i="1"/>
  <c r="Y532" i="1" s="1"/>
  <c r="T408" i="1"/>
  <c r="Z408" i="1" s="1"/>
  <c r="Q408" i="1"/>
  <c r="Y408" i="1" s="1"/>
  <c r="T289" i="1"/>
  <c r="Z289" i="1" s="1"/>
  <c r="Q289" i="1"/>
  <c r="Y289" i="1" s="1"/>
  <c r="Q111" i="1"/>
  <c r="Y111" i="1" s="1"/>
  <c r="T111" i="1"/>
  <c r="Z111" i="1" s="1"/>
  <c r="T307" i="1"/>
  <c r="Z307" i="1" s="1"/>
  <c r="Q307" i="1"/>
  <c r="Y307" i="1" s="1"/>
  <c r="T150" i="1"/>
  <c r="Z150" i="1" s="1"/>
  <c r="Q150" i="1"/>
  <c r="Y150" i="1" s="1"/>
  <c r="T361" i="1"/>
  <c r="Z361" i="1" s="1"/>
  <c r="Q361" i="1"/>
  <c r="Y361" i="1" s="1"/>
  <c r="T147" i="1"/>
  <c r="Z147" i="1" s="1"/>
  <c r="Q147" i="1"/>
  <c r="T295" i="1"/>
  <c r="Z295" i="1" s="1"/>
  <c r="Q295" i="1"/>
  <c r="Y295" i="1" s="1"/>
  <c r="T107" i="1"/>
  <c r="Q107" i="1"/>
  <c r="T206" i="1"/>
  <c r="Z206" i="1" s="1"/>
  <c r="Q206" i="1"/>
  <c r="Y206" i="1" s="1"/>
  <c r="T222" i="1"/>
  <c r="Z222" i="1" s="1"/>
  <c r="Q222" i="1"/>
  <c r="Y222" i="1" s="1"/>
  <c r="T240" i="1"/>
  <c r="Z240" i="1" s="1"/>
  <c r="Q240" i="1"/>
  <c r="Y240" i="1" s="1"/>
  <c r="T526" i="1"/>
  <c r="Z526" i="1" s="1"/>
  <c r="Q526" i="1"/>
  <c r="Y526" i="1" s="1"/>
  <c r="T576" i="1"/>
  <c r="Z576" i="1" s="1"/>
  <c r="Q576" i="1"/>
  <c r="Y576" i="1" s="1"/>
  <c r="T610" i="1"/>
  <c r="Z610" i="1" s="1"/>
  <c r="Q610" i="1"/>
  <c r="Y610" i="1" s="1"/>
  <c r="T582" i="1"/>
  <c r="Z582" i="1" s="1"/>
  <c r="Q582" i="1"/>
  <c r="Y582" i="1" s="1"/>
  <c r="T536" i="1"/>
  <c r="Z536" i="1" s="1"/>
  <c r="Q536" i="1"/>
  <c r="Y536" i="1" s="1"/>
  <c r="T553" i="1"/>
  <c r="Z553" i="1" s="1"/>
  <c r="Q553" i="1"/>
  <c r="Y553" i="1" s="1"/>
  <c r="T552" i="1"/>
  <c r="Z552" i="1" s="1"/>
  <c r="Q552" i="1"/>
  <c r="Y552" i="1" s="1"/>
  <c r="T385" i="1"/>
  <c r="Z385" i="1" s="1"/>
  <c r="Q385" i="1"/>
  <c r="Y385" i="1" s="1"/>
  <c r="T381" i="1"/>
  <c r="Z381" i="1" s="1"/>
  <c r="Q381" i="1"/>
  <c r="Y381" i="1" s="1"/>
  <c r="T406" i="1"/>
  <c r="Z406" i="1" s="1"/>
  <c r="Q406" i="1"/>
  <c r="Y406" i="1" s="1"/>
  <c r="T402" i="1"/>
  <c r="Z402" i="1" s="1"/>
  <c r="Q402" i="1"/>
  <c r="Y402" i="1" s="1"/>
  <c r="T373" i="1"/>
  <c r="Z373" i="1" s="1"/>
  <c r="Q373" i="1"/>
  <c r="Y373" i="1" s="1"/>
  <c r="T121" i="1"/>
  <c r="Z121" i="1" s="1"/>
  <c r="Q121" i="1"/>
  <c r="Y121" i="1" s="1"/>
  <c r="Q325" i="1"/>
  <c r="Y325" i="1" s="1"/>
  <c r="T325" i="1"/>
  <c r="Z325" i="1" s="1"/>
  <c r="T368" i="1"/>
  <c r="Z368" i="1" s="1"/>
  <c r="Q368" i="1"/>
  <c r="Y368" i="1" s="1"/>
  <c r="T117" i="1"/>
  <c r="Z117" i="1" s="1"/>
  <c r="Q117" i="1"/>
  <c r="Y117" i="1" s="1"/>
  <c r="T128" i="1"/>
  <c r="Z128" i="1" s="1"/>
  <c r="Q128" i="1"/>
  <c r="Y128" i="1" s="1"/>
  <c r="Q86" i="1"/>
  <c r="Y86" i="1" s="1"/>
  <c r="T86" i="1"/>
  <c r="Z86" i="1" s="1"/>
  <c r="T268" i="1"/>
  <c r="Q268" i="1"/>
  <c r="T131" i="1"/>
  <c r="Z131" i="1" s="1"/>
  <c r="Q131" i="1"/>
  <c r="Y131" i="1" s="1"/>
  <c r="T120" i="1"/>
  <c r="Z120" i="1" s="1"/>
  <c r="Q120" i="1"/>
  <c r="Y120" i="1" s="1"/>
  <c r="T252" i="1"/>
  <c r="Z252" i="1" s="1"/>
  <c r="Q252" i="1"/>
  <c r="Y252" i="1" s="1"/>
  <c r="T83" i="1"/>
  <c r="Z83" i="1" s="1"/>
  <c r="Q83" i="1"/>
  <c r="Y83" i="1" s="1"/>
  <c r="T160" i="1"/>
  <c r="Z160" i="1" s="1"/>
  <c r="Q160" i="1"/>
  <c r="Y160" i="1" s="1"/>
  <c r="T236" i="1"/>
  <c r="Z236" i="1" s="1"/>
  <c r="Q236" i="1"/>
  <c r="Y236" i="1" s="1"/>
  <c r="T374" i="1"/>
  <c r="Z374" i="1" s="1"/>
  <c r="Q374" i="1"/>
  <c r="Y374" i="1" s="1"/>
  <c r="T305" i="1"/>
  <c r="Z305" i="1" s="1"/>
  <c r="Q305" i="1"/>
  <c r="Y305" i="1" s="1"/>
  <c r="T544" i="1"/>
  <c r="Z544" i="1" s="1"/>
  <c r="Q544" i="1"/>
  <c r="Y544" i="1" s="1"/>
  <c r="T414" i="1"/>
  <c r="Z414" i="1" s="1"/>
  <c r="Q414" i="1"/>
  <c r="Y414" i="1" s="1"/>
  <c r="T356" i="1"/>
  <c r="Z356" i="1" s="1"/>
  <c r="Q356" i="1"/>
  <c r="Y356" i="1" s="1"/>
  <c r="T155" i="1"/>
  <c r="Z155" i="1" s="1"/>
  <c r="Q155" i="1"/>
  <c r="Y155" i="1" s="1"/>
  <c r="T171" i="1"/>
  <c r="Z171" i="1" s="1"/>
  <c r="Q171" i="1"/>
  <c r="Y171" i="1" s="1"/>
  <c r="T403" i="1"/>
  <c r="Z403" i="1" s="1"/>
  <c r="Q403" i="1"/>
  <c r="Y403" i="1" s="1"/>
  <c r="T624" i="1"/>
  <c r="Z624" i="1" s="1"/>
  <c r="Q624" i="1"/>
  <c r="Y624" i="1" s="1"/>
  <c r="T379" i="1"/>
  <c r="Z379" i="1" s="1"/>
  <c r="Q379" i="1"/>
  <c r="Y379" i="1" s="1"/>
  <c r="T529" i="1"/>
  <c r="Z529" i="1" s="1"/>
  <c r="Q529" i="1"/>
  <c r="Y529" i="1" s="1"/>
  <c r="T590" i="1"/>
  <c r="Z590" i="1" s="1"/>
  <c r="Q590" i="1"/>
  <c r="Y590" i="1" s="1"/>
  <c r="T566" i="1"/>
  <c r="Z566" i="1" s="1"/>
  <c r="Q566" i="1"/>
  <c r="Y566" i="1" s="1"/>
  <c r="T377" i="1"/>
  <c r="Z377" i="1" s="1"/>
  <c r="Q377" i="1"/>
  <c r="Y377" i="1" s="1"/>
  <c r="T344" i="1"/>
  <c r="Z344" i="1" s="1"/>
  <c r="Q344" i="1"/>
  <c r="Y344" i="1" s="1"/>
  <c r="T283" i="1"/>
  <c r="Z283" i="1" s="1"/>
  <c r="Q283" i="1"/>
  <c r="Y283" i="1" s="1"/>
  <c r="T113" i="1"/>
  <c r="Z113" i="1" s="1"/>
  <c r="Q113" i="1"/>
  <c r="Y113" i="1" s="1"/>
  <c r="T148" i="1"/>
  <c r="Q148" i="1"/>
  <c r="T618" i="1"/>
  <c r="Z618" i="1" s="1"/>
  <c r="Q618" i="1"/>
  <c r="Y618" i="1" s="1"/>
  <c r="T596" i="1"/>
  <c r="Z596" i="1" s="1"/>
  <c r="Q596" i="1"/>
  <c r="Y596" i="1" s="1"/>
  <c r="T572" i="1"/>
  <c r="Z572" i="1" s="1"/>
  <c r="Q572" i="1"/>
  <c r="Y572" i="1" s="1"/>
  <c r="T592" i="1"/>
  <c r="Z592" i="1" s="1"/>
  <c r="Q592" i="1"/>
  <c r="Y592" i="1" s="1"/>
  <c r="T578" i="1"/>
  <c r="Z578" i="1" s="1"/>
  <c r="Q578" i="1"/>
  <c r="Y578" i="1" s="1"/>
  <c r="T622" i="1"/>
  <c r="Z622" i="1" s="1"/>
  <c r="Q622" i="1"/>
  <c r="Y622" i="1" s="1"/>
  <c r="T501" i="1"/>
  <c r="Z501" i="1" s="1"/>
  <c r="Q501" i="1"/>
  <c r="Y501" i="1" s="1"/>
  <c r="T562" i="1"/>
  <c r="Z562" i="1" s="1"/>
  <c r="Q562" i="1"/>
  <c r="Y562" i="1" s="1"/>
  <c r="T558" i="1"/>
  <c r="Z558" i="1" s="1"/>
  <c r="Q558" i="1"/>
  <c r="Y558" i="1" s="1"/>
  <c r="T635" i="1"/>
  <c r="Z635" i="1" s="1"/>
  <c r="Q635" i="1"/>
  <c r="Y635" i="1" s="1"/>
  <c r="T564" i="1"/>
  <c r="Z564" i="1" s="1"/>
  <c r="Q564" i="1"/>
  <c r="Y564" i="1" s="1"/>
  <c r="T625" i="1"/>
  <c r="Z625" i="1" s="1"/>
  <c r="Q625" i="1"/>
  <c r="Y625" i="1" s="1"/>
  <c r="T418" i="1"/>
  <c r="Z418" i="1" s="1"/>
  <c r="Q418" i="1"/>
  <c r="Y418" i="1" s="1"/>
  <c r="T528" i="1"/>
  <c r="Z528" i="1" s="1"/>
  <c r="Q528" i="1"/>
  <c r="Y528" i="1" s="1"/>
  <c r="T387" i="1"/>
  <c r="Z387" i="1" s="1"/>
  <c r="Q387" i="1"/>
  <c r="Y387" i="1" s="1"/>
  <c r="T293" i="1"/>
  <c r="Z293" i="1" s="1"/>
  <c r="Q293" i="1"/>
  <c r="Y293" i="1" s="1"/>
  <c r="T297" i="1"/>
  <c r="Z297" i="1" s="1"/>
  <c r="Q297" i="1"/>
  <c r="Y297" i="1" s="1"/>
  <c r="T301" i="1"/>
  <c r="Z301" i="1" s="1"/>
  <c r="Q301" i="1"/>
  <c r="Y301" i="1" s="1"/>
  <c r="T123" i="1"/>
  <c r="Z123" i="1" s="1"/>
  <c r="Q123" i="1"/>
  <c r="Y123" i="1" s="1"/>
  <c r="T335" i="1"/>
  <c r="Z335" i="1" s="1"/>
  <c r="Q335" i="1"/>
  <c r="Y335" i="1" s="1"/>
  <c r="T232" i="1"/>
  <c r="Z232" i="1" s="1"/>
  <c r="Q232" i="1"/>
  <c r="Y232" i="1" s="1"/>
  <c r="T330" i="1"/>
  <c r="Z330" i="1" s="1"/>
  <c r="Q330" i="1"/>
  <c r="Y330" i="1" s="1"/>
  <c r="T594" i="1"/>
  <c r="Z594" i="1" s="1"/>
  <c r="Q594" i="1"/>
  <c r="Y594" i="1" s="1"/>
  <c r="T570" i="1"/>
  <c r="Z570" i="1" s="1"/>
  <c r="Q570" i="1"/>
  <c r="Y570" i="1" s="1"/>
  <c r="T601" i="1"/>
  <c r="Z601" i="1" s="1"/>
  <c r="Q601" i="1"/>
  <c r="Y601" i="1" s="1"/>
  <c r="T600" i="1"/>
  <c r="Z600" i="1" s="1"/>
  <c r="Q600" i="1"/>
  <c r="Y600" i="1" s="1"/>
  <c r="T638" i="1"/>
  <c r="Z638" i="1" s="1"/>
  <c r="Q638" i="1"/>
  <c r="Y638" i="1" s="1"/>
  <c r="T637" i="1"/>
  <c r="Z637" i="1" s="1"/>
  <c r="Q637" i="1"/>
  <c r="Y637" i="1" s="1"/>
  <c r="T646" i="1"/>
  <c r="Z646" i="1" s="1"/>
  <c r="Q646" i="1"/>
  <c r="Y646" i="1" s="1"/>
  <c r="T338" i="1"/>
  <c r="Z338" i="1" s="1"/>
  <c r="Q338" i="1"/>
  <c r="Y338" i="1" s="1"/>
  <c r="T350" i="1"/>
  <c r="Z350" i="1" s="1"/>
  <c r="Q350" i="1"/>
  <c r="Y350" i="1" s="1"/>
  <c r="T164" i="1"/>
  <c r="Z164" i="1" s="1"/>
  <c r="Q164" i="1"/>
  <c r="Y164" i="1" s="1"/>
  <c r="T412" i="1"/>
  <c r="Z412" i="1" s="1"/>
  <c r="Q412" i="1"/>
  <c r="Y412" i="1" s="1"/>
  <c r="T125" i="1"/>
  <c r="Z125" i="1" s="1"/>
  <c r="Q125" i="1"/>
  <c r="Y125" i="1" s="1"/>
  <c r="T228" i="1"/>
  <c r="Z228" i="1" s="1"/>
  <c r="Q228" i="1"/>
  <c r="Y228" i="1" s="1"/>
  <c r="T248" i="1"/>
  <c r="Z248" i="1" s="1"/>
  <c r="Q248" i="1"/>
  <c r="Y248" i="1" s="1"/>
  <c r="T58" i="1"/>
  <c r="Z58" i="1" s="1"/>
  <c r="Q58" i="1"/>
  <c r="T584" i="1"/>
  <c r="Z584" i="1" s="1"/>
  <c r="Q584" i="1"/>
  <c r="Y584" i="1" s="1"/>
  <c r="T658" i="1"/>
  <c r="Z658" i="1" s="1"/>
  <c r="Q658" i="1"/>
  <c r="Y658" i="1" s="1"/>
  <c r="T652" i="1"/>
  <c r="Z652" i="1" s="1"/>
  <c r="Q652" i="1"/>
  <c r="Y652" i="1" s="1"/>
  <c r="T542" i="1"/>
  <c r="Z542" i="1" s="1"/>
  <c r="Q542" i="1"/>
  <c r="Y542" i="1" s="1"/>
  <c r="T129" i="1"/>
  <c r="Z129" i="1" s="1"/>
  <c r="Q129" i="1"/>
  <c r="Y129" i="1" s="1"/>
  <c r="T538" i="1"/>
  <c r="Z538" i="1" s="1"/>
  <c r="Q538" i="1"/>
  <c r="Y538" i="1" s="1"/>
  <c r="T524" i="1"/>
  <c r="Z524" i="1" s="1"/>
  <c r="Q524" i="1"/>
  <c r="Y524" i="1" s="1"/>
  <c r="T568" i="1"/>
  <c r="Z568" i="1" s="1"/>
  <c r="Q568" i="1"/>
  <c r="Y568" i="1" s="1"/>
  <c r="T554" i="1"/>
  <c r="Z554" i="1" s="1"/>
  <c r="Q554" i="1"/>
  <c r="Y554" i="1" s="1"/>
  <c r="T626" i="1"/>
  <c r="Z626" i="1" s="1"/>
  <c r="Q626" i="1"/>
  <c r="Y626" i="1" s="1"/>
  <c r="T604" i="1"/>
  <c r="Z604" i="1" s="1"/>
  <c r="Q604" i="1"/>
  <c r="Y604" i="1" s="1"/>
  <c r="T389" i="1"/>
  <c r="Z389" i="1" s="1"/>
  <c r="Q389" i="1"/>
  <c r="Y389" i="1" s="1"/>
  <c r="T404" i="1"/>
  <c r="Z404" i="1" s="1"/>
  <c r="Q404" i="1"/>
  <c r="Y404" i="1" s="1"/>
  <c r="T391" i="1"/>
  <c r="Z391" i="1" s="1"/>
  <c r="Q391" i="1"/>
  <c r="Y391" i="1" s="1"/>
  <c r="T423" i="1"/>
  <c r="Z423" i="1" s="1"/>
  <c r="Q423" i="1"/>
  <c r="Y423" i="1" s="1"/>
  <c r="T103" i="1"/>
  <c r="Z103" i="1" s="1"/>
  <c r="Q103" i="1"/>
  <c r="T115" i="1"/>
  <c r="Z115" i="1" s="1"/>
  <c r="Q115" i="1"/>
  <c r="Y115" i="1" s="1"/>
  <c r="T447" i="1"/>
  <c r="Z447" i="1" s="1"/>
  <c r="Q447" i="1"/>
  <c r="Y447" i="1" s="1"/>
  <c r="T530" i="1"/>
  <c r="Z530" i="1" s="1"/>
  <c r="Q530" i="1"/>
  <c r="Y530" i="1" s="1"/>
  <c r="T398" i="1"/>
  <c r="Z398" i="1" s="1"/>
  <c r="Q398" i="1"/>
  <c r="Y398" i="1" s="1"/>
  <c r="T586" i="1"/>
  <c r="Z586" i="1" s="1"/>
  <c r="Q586" i="1"/>
  <c r="Y586" i="1" s="1"/>
  <c r="T598" i="1"/>
  <c r="Z598" i="1" s="1"/>
  <c r="Q598" i="1"/>
  <c r="Y598" i="1" s="1"/>
  <c r="T534" i="1"/>
  <c r="Z534" i="1" s="1"/>
  <c r="Q534" i="1"/>
  <c r="Y534" i="1" s="1"/>
  <c r="T574" i="1"/>
  <c r="Z574" i="1" s="1"/>
  <c r="Q574" i="1"/>
  <c r="Y574" i="1" s="1"/>
  <c r="T608" i="1"/>
  <c r="Z608" i="1" s="1"/>
  <c r="Q608" i="1"/>
  <c r="Y608" i="1" s="1"/>
  <c r="T577" i="1"/>
  <c r="Z577" i="1" s="1"/>
  <c r="Q577" i="1"/>
  <c r="Y577" i="1" s="1"/>
  <c r="T614" i="1"/>
  <c r="Z614" i="1" s="1"/>
  <c r="Q614" i="1"/>
  <c r="Y614" i="1" s="1"/>
  <c r="T400" i="1"/>
  <c r="Z400" i="1" s="1"/>
  <c r="Q400" i="1"/>
  <c r="Y400" i="1" s="1"/>
  <c r="T634" i="1"/>
  <c r="Z634" i="1" s="1"/>
  <c r="Q634" i="1"/>
  <c r="Y634" i="1" s="1"/>
  <c r="T303" i="1"/>
  <c r="Z303" i="1" s="1"/>
  <c r="Q303" i="1"/>
  <c r="Y303" i="1" s="1"/>
  <c r="T349" i="1"/>
  <c r="Z349" i="1" s="1"/>
  <c r="Q349" i="1"/>
  <c r="Y349" i="1" s="1"/>
  <c r="T156" i="1"/>
  <c r="Z156" i="1" s="1"/>
  <c r="Q156" i="1"/>
  <c r="Y156" i="1" s="1"/>
  <c r="T416" i="1"/>
  <c r="Z416" i="1" s="1"/>
  <c r="Q416" i="1"/>
  <c r="Y416" i="1" s="1"/>
  <c r="Q109" i="1"/>
  <c r="Y109" i="1" s="1"/>
  <c r="T109" i="1"/>
  <c r="Z109" i="1" s="1"/>
  <c r="T285" i="1"/>
  <c r="Z285" i="1" s="1"/>
  <c r="Q285" i="1"/>
  <c r="Y285" i="1" s="1"/>
  <c r="T198" i="1"/>
  <c r="Z198" i="1" s="1"/>
  <c r="Q198" i="1"/>
  <c r="Y198" i="1" s="1"/>
  <c r="T633" i="1"/>
  <c r="Z633" i="1" s="1"/>
  <c r="Q633" i="1"/>
  <c r="Y633" i="1" s="1"/>
  <c r="T550" i="1"/>
  <c r="Z550" i="1" s="1"/>
  <c r="Q550" i="1"/>
  <c r="Y550" i="1" s="1"/>
  <c r="T522" i="1"/>
  <c r="Z522" i="1" s="1"/>
  <c r="Q522" i="1"/>
  <c r="Y522" i="1" s="1"/>
  <c r="T362" i="1"/>
  <c r="Z362" i="1" s="1"/>
  <c r="Q362" i="1"/>
  <c r="Y362" i="1" s="1"/>
  <c r="T214" i="1"/>
  <c r="Z214" i="1" s="1"/>
  <c r="Q214" i="1"/>
  <c r="Y214" i="1" s="1"/>
  <c r="T642" i="1"/>
  <c r="Z642" i="1" s="1"/>
  <c r="Q642" i="1"/>
  <c r="Y642" i="1" s="1"/>
  <c r="T503" i="1"/>
  <c r="Z503" i="1" s="1"/>
  <c r="Q503" i="1"/>
  <c r="Y503" i="1" s="1"/>
  <c r="T612" i="1"/>
  <c r="Z612" i="1" s="1"/>
  <c r="Q612" i="1"/>
  <c r="Y612" i="1" s="1"/>
  <c r="T540" i="1"/>
  <c r="Z540" i="1" s="1"/>
  <c r="Q540" i="1"/>
  <c r="Y540" i="1" s="1"/>
  <c r="T546" i="1"/>
  <c r="Z546" i="1" s="1"/>
  <c r="Q546" i="1"/>
  <c r="Y546" i="1" s="1"/>
  <c r="T580" i="1"/>
  <c r="Z580" i="1" s="1"/>
  <c r="Q580" i="1"/>
  <c r="Y580" i="1" s="1"/>
  <c r="T299" i="1"/>
  <c r="Z299" i="1" s="1"/>
  <c r="Q299" i="1"/>
  <c r="Y299" i="1" s="1"/>
  <c r="Q127" i="1"/>
  <c r="Y127" i="1" s="1"/>
  <c r="T127" i="1"/>
  <c r="Z127" i="1" s="1"/>
  <c r="T79" i="1"/>
  <c r="Z79" i="1" s="1"/>
  <c r="Q79" i="1"/>
  <c r="Y79" i="1" s="1"/>
  <c r="T355" i="1"/>
  <c r="Z355" i="1" s="1"/>
  <c r="Q355" i="1"/>
  <c r="Y355" i="1" s="1"/>
  <c r="T287" i="1"/>
  <c r="Z287" i="1" s="1"/>
  <c r="Q287" i="1"/>
  <c r="Y287" i="1" s="1"/>
  <c r="T166" i="1"/>
  <c r="Z166" i="1" s="1"/>
  <c r="Q166" i="1"/>
  <c r="Y166" i="1" s="1"/>
  <c r="T105" i="1"/>
  <c r="Z105" i="1" s="1"/>
  <c r="Q105" i="1"/>
  <c r="T112" i="1"/>
  <c r="Z112" i="1" s="1"/>
  <c r="Q112" i="1"/>
  <c r="Y112" i="1" s="1"/>
  <c r="N167" i="1" l="1"/>
  <c r="X167" i="1" s="1"/>
  <c r="Q162" i="1"/>
  <c r="Y162" i="1" s="1"/>
  <c r="N162" i="1"/>
  <c r="X162" i="1" s="1"/>
  <c r="S170" i="1"/>
  <c r="T170" i="1" s="1"/>
  <c r="Z170" i="1" s="1"/>
  <c r="N170" i="1"/>
  <c r="X170" i="1" s="1"/>
  <c r="Q168" i="1"/>
  <c r="Y168" i="1" s="1"/>
  <c r="N159" i="1"/>
  <c r="X159" i="1" s="1"/>
  <c r="N168" i="1"/>
  <c r="X168" i="1" s="1"/>
  <c r="P161" i="1"/>
  <c r="Q161" i="1" s="1"/>
  <c r="Y161" i="1" s="1"/>
  <c r="F7" i="3"/>
  <c r="Q159" i="1"/>
  <c r="Y159" i="1" s="1"/>
  <c r="Q152" i="1"/>
  <c r="Y152" i="1" s="1"/>
  <c r="S169" i="1"/>
  <c r="T169" i="1" s="1"/>
  <c r="Z169" i="1" s="1"/>
  <c r="Q154" i="1"/>
  <c r="Y154" i="1" s="1"/>
  <c r="T20" i="1"/>
  <c r="Z20" i="1" s="1"/>
  <c r="E37" i="1"/>
  <c r="F37" i="1"/>
  <c r="G37" i="1"/>
  <c r="E189" i="1"/>
  <c r="G189" i="1"/>
  <c r="F189" i="1"/>
  <c r="G188" i="1"/>
  <c r="F188" i="1"/>
  <c r="E188" i="1"/>
  <c r="F187" i="1"/>
  <c r="G187" i="1"/>
  <c r="E145" i="1"/>
  <c r="G145" i="1"/>
  <c r="F145" i="1"/>
  <c r="G144" i="1"/>
  <c r="F144" i="1"/>
  <c r="E144" i="1"/>
  <c r="F143" i="1"/>
  <c r="G143" i="1"/>
  <c r="F101" i="1"/>
  <c r="E101" i="1"/>
  <c r="G101" i="1"/>
  <c r="F100" i="1"/>
  <c r="G100" i="1"/>
  <c r="E100" i="1"/>
  <c r="F99" i="1"/>
  <c r="G99" i="1"/>
  <c r="G52" i="1"/>
  <c r="G53" i="1"/>
  <c r="E53" i="1"/>
  <c r="F53" i="1"/>
  <c r="G54" i="1"/>
  <c r="E54" i="1"/>
  <c r="F54" i="1"/>
  <c r="S161" i="1" l="1"/>
  <c r="T161" i="1" s="1"/>
  <c r="Z161" i="1" s="1"/>
  <c r="H37" i="1"/>
  <c r="H100" i="1"/>
  <c r="H144" i="1"/>
  <c r="H188" i="1"/>
  <c r="E187" i="1"/>
  <c r="H187" i="1" s="1"/>
  <c r="H189" i="1"/>
  <c r="H145" i="1"/>
  <c r="E143" i="1"/>
  <c r="H143" i="1" s="1"/>
  <c r="H101" i="1"/>
  <c r="E99" i="1"/>
  <c r="H99" i="1" s="1"/>
  <c r="F52" i="1"/>
  <c r="E52" i="1"/>
  <c r="H52" i="1" s="1"/>
  <c r="H53" i="1"/>
  <c r="H54" i="1"/>
  <c r="G618" i="1" l="1"/>
  <c r="G619" i="1"/>
  <c r="G620" i="1"/>
  <c r="G621" i="1"/>
  <c r="G622" i="1"/>
  <c r="G623" i="1"/>
  <c r="G624" i="1"/>
  <c r="G625" i="1"/>
  <c r="G626" i="1"/>
  <c r="E619" i="1" l="1"/>
  <c r="H619" i="1" s="1"/>
  <c r="E12" i="2"/>
  <c r="F3" i="5" l="1"/>
  <c r="A12" i="7"/>
  <c r="F619" i="1" l="1"/>
  <c r="G609" i="1" l="1"/>
  <c r="G374" i="1"/>
  <c r="G490" i="1"/>
  <c r="E374" i="1" l="1"/>
  <c r="H374" i="1" s="1"/>
  <c r="F374" i="1"/>
  <c r="G524" i="1" l="1"/>
  <c r="E401" i="1"/>
  <c r="G401" i="1"/>
  <c r="F290" i="1"/>
  <c r="E290" i="1"/>
  <c r="G290" i="1"/>
  <c r="I665" i="1"/>
  <c r="G639" i="1"/>
  <c r="G638" i="1"/>
  <c r="G637" i="1"/>
  <c r="G636" i="1"/>
  <c r="G635" i="1"/>
  <c r="G519" i="1"/>
  <c r="G518" i="1"/>
  <c r="G506" i="1"/>
  <c r="G505" i="1"/>
  <c r="G504" i="1"/>
  <c r="E620" i="1" l="1"/>
  <c r="H620" i="1" s="1"/>
  <c r="E621" i="1"/>
  <c r="H621" i="1" s="1"/>
  <c r="F620" i="1"/>
  <c r="E524" i="1"/>
  <c r="H524" i="1" s="1"/>
  <c r="F401" i="1"/>
  <c r="F524" i="1"/>
  <c r="H401" i="1"/>
  <c r="H290" i="1"/>
  <c r="E504" i="1"/>
  <c r="H504" i="1" s="1"/>
  <c r="E518" i="1"/>
  <c r="H518" i="1" s="1"/>
  <c r="E637" i="1"/>
  <c r="H637" i="1" s="1"/>
  <c r="E519" i="1"/>
  <c r="H519" i="1" s="1"/>
  <c r="E506" i="1"/>
  <c r="H506" i="1" s="1"/>
  <c r="E505" i="1"/>
  <c r="H505" i="1" s="1"/>
  <c r="F505" i="1"/>
  <c r="F504" i="1"/>
  <c r="F518" i="1"/>
  <c r="F519" i="1"/>
  <c r="F618" i="1" l="1"/>
  <c r="E622" i="1"/>
  <c r="H622" i="1" s="1"/>
  <c r="F624" i="1"/>
  <c r="E625" i="1"/>
  <c r="H625" i="1" s="1"/>
  <c r="F626" i="1"/>
  <c r="E626" i="1"/>
  <c r="H626" i="1" s="1"/>
  <c r="E623" i="1"/>
  <c r="H623" i="1" s="1"/>
  <c r="F636" i="1"/>
  <c r="E490" i="1"/>
  <c r="H490" i="1" s="1"/>
  <c r="E609" i="1"/>
  <c r="H609" i="1" s="1"/>
  <c r="F490" i="1"/>
  <c r="F609" i="1"/>
  <c r="F637" i="1"/>
  <c r="E635" i="1"/>
  <c r="H635" i="1" s="1"/>
  <c r="E636" i="1"/>
  <c r="H636" i="1" s="1"/>
  <c r="E639" i="1"/>
  <c r="H639" i="1" s="1"/>
  <c r="F635" i="1"/>
  <c r="F639" i="1"/>
  <c r="E638" i="1"/>
  <c r="H638" i="1" s="1"/>
  <c r="F638" i="1"/>
  <c r="F506" i="1"/>
  <c r="G391" i="1"/>
  <c r="E391" i="1"/>
  <c r="E390" i="1"/>
  <c r="G390" i="1"/>
  <c r="G389" i="1"/>
  <c r="E389" i="1"/>
  <c r="G388" i="1"/>
  <c r="E388" i="1"/>
  <c r="E387" i="1"/>
  <c r="G387" i="1"/>
  <c r="G285" i="1"/>
  <c r="E285" i="1"/>
  <c r="E284" i="1"/>
  <c r="G284" i="1"/>
  <c r="G283" i="1"/>
  <c r="E283" i="1"/>
  <c r="G282" i="1"/>
  <c r="E282" i="1"/>
  <c r="G542" i="1"/>
  <c r="G419" i="1"/>
  <c r="G420" i="1"/>
  <c r="G421" i="1"/>
  <c r="E624" i="1" l="1"/>
  <c r="H624" i="1" s="1"/>
  <c r="F625" i="1"/>
  <c r="E618" i="1"/>
  <c r="H618" i="1" s="1"/>
  <c r="F623" i="1"/>
  <c r="H391" i="1"/>
  <c r="H285" i="1"/>
  <c r="H389" i="1"/>
  <c r="H387" i="1"/>
  <c r="H282" i="1"/>
  <c r="H388" i="1"/>
  <c r="F389" i="1"/>
  <c r="H390" i="1"/>
  <c r="F391" i="1"/>
  <c r="F388" i="1"/>
  <c r="H283" i="1"/>
  <c r="H284" i="1"/>
  <c r="F283" i="1"/>
  <c r="F282" i="1"/>
  <c r="F285" i="1"/>
  <c r="F390" i="1" l="1"/>
  <c r="F387" i="1"/>
  <c r="F284" i="1"/>
  <c r="F621" i="1" l="1"/>
  <c r="F622" i="1"/>
  <c r="G151" i="1" l="1"/>
  <c r="G150" i="1"/>
  <c r="G149" i="1"/>
  <c r="G148" i="1"/>
  <c r="G147" i="1"/>
  <c r="G107" i="1"/>
  <c r="G106" i="1"/>
  <c r="G105" i="1"/>
  <c r="G104" i="1"/>
  <c r="G103" i="1"/>
  <c r="G60" i="1"/>
  <c r="G59" i="1"/>
  <c r="G58" i="1"/>
  <c r="G57" i="1"/>
  <c r="G56" i="1"/>
  <c r="G4" i="1"/>
  <c r="G5" i="1"/>
  <c r="G6" i="1"/>
  <c r="G7" i="1"/>
  <c r="E105" i="1" l="1"/>
  <c r="H105" i="1" s="1"/>
  <c r="E151" i="1"/>
  <c r="H151" i="1" s="1"/>
  <c r="F149" i="1"/>
  <c r="E149" i="1"/>
  <c r="H149" i="1" s="1"/>
  <c r="E148" i="1"/>
  <c r="H148" i="1" s="1"/>
  <c r="E150" i="1"/>
  <c r="H150" i="1" s="1"/>
  <c r="F151" i="1"/>
  <c r="F150" i="1"/>
  <c r="F106" i="1"/>
  <c r="E106" i="1"/>
  <c r="H106" i="1" s="1"/>
  <c r="E107" i="1"/>
  <c r="H107" i="1" s="1"/>
  <c r="F107" i="1"/>
  <c r="F105" i="1"/>
  <c r="E104" i="1"/>
  <c r="H104" i="1" s="1"/>
  <c r="F104" i="1"/>
  <c r="E4" i="1"/>
  <c r="H4" i="1" s="1"/>
  <c r="F7" i="1"/>
  <c r="F6" i="1"/>
  <c r="F59" i="1"/>
  <c r="E59" i="1"/>
  <c r="H59" i="1" s="1"/>
  <c r="E60" i="1"/>
  <c r="H60" i="1" s="1"/>
  <c r="F60" i="1"/>
  <c r="E58" i="1"/>
  <c r="H58" i="1" s="1"/>
  <c r="F58" i="1"/>
  <c r="F5" i="1" l="1"/>
  <c r="E6" i="1"/>
  <c r="H6" i="1" s="1"/>
  <c r="E7" i="1"/>
  <c r="H7" i="1" s="1"/>
  <c r="E5" i="1"/>
  <c r="H5" i="1" s="1"/>
  <c r="F103" i="1"/>
  <c r="F148" i="1"/>
  <c r="E147" i="1"/>
  <c r="H147" i="1" s="1"/>
  <c r="F147" i="1"/>
  <c r="E103" i="1"/>
  <c r="H103" i="1" s="1"/>
  <c r="F4" i="1"/>
  <c r="E57" i="1"/>
  <c r="H57" i="1" s="1"/>
  <c r="E56" i="1"/>
  <c r="H56" i="1" s="1"/>
  <c r="F56" i="1"/>
  <c r="F57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F309" i="1"/>
  <c r="E253" i="1"/>
  <c r="F6" i="5"/>
  <c r="F5" i="5"/>
  <c r="F4" i="5"/>
  <c r="F2" i="5"/>
  <c r="A10" i="2"/>
  <c r="A8" i="2"/>
  <c r="A11" i="2"/>
  <c r="A9" i="2"/>
  <c r="G22" i="1" l="1"/>
  <c r="G23" i="1"/>
  <c r="G25" i="1"/>
  <c r="G29" i="1"/>
  <c r="G30" i="1"/>
  <c r="G31" i="1"/>
  <c r="G32" i="1"/>
  <c r="G33" i="1"/>
  <c r="G34" i="1"/>
  <c r="G35" i="1"/>
  <c r="G36" i="1"/>
  <c r="G39" i="1"/>
  <c r="G40" i="1"/>
  <c r="G64" i="1"/>
  <c r="G65" i="1"/>
  <c r="G66" i="1"/>
  <c r="G67" i="1"/>
  <c r="G68" i="1"/>
  <c r="G70" i="1"/>
  <c r="G71" i="1"/>
  <c r="G72" i="1"/>
  <c r="G74" i="1"/>
  <c r="G76" i="1"/>
  <c r="G77" i="1"/>
  <c r="G79" i="1"/>
  <c r="G80" i="1"/>
  <c r="G82" i="1"/>
  <c r="G83" i="1"/>
  <c r="G85" i="1"/>
  <c r="G86" i="1"/>
  <c r="G8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2" i="1"/>
  <c r="G123" i="1"/>
  <c r="G124" i="1"/>
  <c r="G125" i="1"/>
  <c r="G127" i="1"/>
  <c r="G128" i="1"/>
  <c r="G129" i="1"/>
  <c r="G130" i="1"/>
  <c r="G13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8" i="1"/>
  <c r="G169" i="1"/>
  <c r="G171" i="1"/>
  <c r="G172" i="1"/>
  <c r="G173" i="1"/>
  <c r="G174" i="1"/>
  <c r="G175" i="1"/>
  <c r="G244" i="1"/>
  <c r="G266" i="1"/>
  <c r="G286" i="1"/>
  <c r="G287" i="1"/>
  <c r="G288" i="1"/>
  <c r="G289" i="1"/>
  <c r="G291" i="1"/>
  <c r="G301" i="1"/>
  <c r="G302" i="1"/>
  <c r="G303" i="1"/>
  <c r="G312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99" i="1"/>
  <c r="G400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22" i="1"/>
  <c r="G423" i="1"/>
  <c r="G424" i="1"/>
  <c r="G425" i="1"/>
  <c r="G426" i="1"/>
  <c r="G427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22" i="1"/>
  <c r="G523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3" i="1"/>
  <c r="G544" i="1"/>
  <c r="G545" i="1"/>
  <c r="G546" i="1"/>
  <c r="G547" i="1"/>
  <c r="G548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10" i="1"/>
  <c r="G611" i="1"/>
  <c r="G612" i="1"/>
  <c r="G613" i="1"/>
  <c r="G614" i="1"/>
  <c r="G615" i="1"/>
  <c r="G616" i="1"/>
  <c r="G617" i="1"/>
  <c r="G627" i="1"/>
  <c r="G633" i="1"/>
  <c r="G634" i="1"/>
  <c r="G642" i="1"/>
  <c r="G643" i="1"/>
  <c r="G645" i="1"/>
  <c r="G644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8" i="1"/>
  <c r="G11" i="1"/>
  <c r="G13" i="1"/>
  <c r="G15" i="1"/>
  <c r="G16" i="1"/>
  <c r="G17" i="1"/>
  <c r="G18" i="1"/>
  <c r="G19" i="1"/>
  <c r="G20" i="1"/>
  <c r="F108" i="1"/>
  <c r="F152" i="1"/>
  <c r="E61" i="1"/>
  <c r="E108" i="1"/>
  <c r="E152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4" i="1"/>
  <c r="F645" i="1"/>
  <c r="F643" i="1"/>
  <c r="F642" i="1"/>
  <c r="F634" i="1"/>
  <c r="F633" i="1"/>
  <c r="F627" i="1"/>
  <c r="F617" i="1"/>
  <c r="F616" i="1"/>
  <c r="F615" i="1"/>
  <c r="F614" i="1"/>
  <c r="F613" i="1"/>
  <c r="F612" i="1"/>
  <c r="F611" i="1"/>
  <c r="F610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8" i="1"/>
  <c r="F547" i="1"/>
  <c r="F546" i="1"/>
  <c r="F545" i="1"/>
  <c r="F544" i="1"/>
  <c r="F543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3" i="1"/>
  <c r="F522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27" i="1"/>
  <c r="F426" i="1"/>
  <c r="F425" i="1"/>
  <c r="F424" i="1"/>
  <c r="F423" i="1"/>
  <c r="F422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0" i="1"/>
  <c r="F399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2" i="1"/>
  <c r="F311" i="1"/>
  <c r="F310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89" i="1"/>
  <c r="F287" i="1"/>
  <c r="F286" i="1"/>
  <c r="F266" i="1"/>
  <c r="F244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175" i="1"/>
  <c r="F174" i="1"/>
  <c r="F173" i="1"/>
  <c r="F172" i="1"/>
  <c r="F171" i="1"/>
  <c r="F169" i="1"/>
  <c r="F168" i="1"/>
  <c r="F166" i="1"/>
  <c r="F163" i="1"/>
  <c r="F162" i="1"/>
  <c r="F161" i="1"/>
  <c r="F160" i="1"/>
  <c r="F159" i="1"/>
  <c r="F158" i="1"/>
  <c r="F157" i="1"/>
  <c r="F156" i="1"/>
  <c r="F155" i="1"/>
  <c r="F154" i="1"/>
  <c r="F153" i="1"/>
  <c r="F131" i="1"/>
  <c r="F130" i="1"/>
  <c r="F129" i="1"/>
  <c r="F128" i="1"/>
  <c r="F127" i="1"/>
  <c r="F125" i="1"/>
  <c r="F124" i="1"/>
  <c r="F123" i="1"/>
  <c r="F122" i="1"/>
  <c r="F119" i="1"/>
  <c r="F118" i="1"/>
  <c r="F117" i="1"/>
  <c r="F116" i="1"/>
  <c r="F115" i="1"/>
  <c r="F114" i="1"/>
  <c r="F113" i="1"/>
  <c r="F112" i="1"/>
  <c r="F111" i="1"/>
  <c r="F110" i="1"/>
  <c r="F109" i="1"/>
  <c r="F87" i="1"/>
  <c r="F86" i="1"/>
  <c r="F85" i="1"/>
  <c r="F83" i="1"/>
  <c r="F82" i="1"/>
  <c r="F80" i="1"/>
  <c r="F79" i="1"/>
  <c r="F77" i="1"/>
  <c r="F76" i="1"/>
  <c r="F74" i="1"/>
  <c r="F72" i="1"/>
  <c r="F71" i="1"/>
  <c r="F70" i="1"/>
  <c r="F68" i="1"/>
  <c r="F67" i="1"/>
  <c r="F66" i="1"/>
  <c r="F65" i="1"/>
  <c r="F64" i="1"/>
  <c r="F40" i="1"/>
  <c r="F39" i="1"/>
  <c r="F36" i="1"/>
  <c r="F35" i="1"/>
  <c r="F34" i="1"/>
  <c r="F33" i="1"/>
  <c r="F32" i="1"/>
  <c r="F31" i="1"/>
  <c r="F23" i="1"/>
  <c r="F22" i="1"/>
  <c r="F17" i="1"/>
  <c r="F13" i="1"/>
  <c r="F11" i="1"/>
  <c r="F164" i="1" l="1"/>
  <c r="H152" i="1"/>
  <c r="H108" i="1"/>
  <c r="F30" i="1"/>
  <c r="F16" i="1"/>
  <c r="F25" i="1"/>
  <c r="F15" i="1"/>
  <c r="F18" i="1" l="1"/>
  <c r="F20" i="1"/>
  <c r="F19" i="1"/>
  <c r="F29" i="1"/>
  <c r="F8" i="1"/>
  <c r="E663" i="1" l="1"/>
  <c r="H663" i="1" s="1"/>
  <c r="E548" i="1"/>
  <c r="H548" i="1" s="1"/>
  <c r="E427" i="1"/>
  <c r="H427" i="1" s="1"/>
  <c r="E312" i="1"/>
  <c r="H312" i="1" s="1"/>
  <c r="E172" i="1"/>
  <c r="H172" i="1" s="1"/>
  <c r="E171" i="1"/>
  <c r="H171" i="1" s="1"/>
  <c r="E128" i="1"/>
  <c r="H128" i="1" s="1"/>
  <c r="E127" i="1"/>
  <c r="H127" i="1" s="1"/>
  <c r="E83" i="1"/>
  <c r="H83" i="1" s="1"/>
  <c r="E82" i="1"/>
  <c r="H82" i="1" s="1"/>
  <c r="E35" i="1"/>
  <c r="H35" i="1" s="1"/>
  <c r="E34" i="1"/>
  <c r="H34" i="1" s="1"/>
  <c r="E33" i="1"/>
  <c r="H33" i="1" s="1"/>
  <c r="E8" i="1" l="1"/>
  <c r="H8" i="1" s="1"/>
  <c r="E11" i="1"/>
  <c r="H11" i="1" s="1"/>
  <c r="E13" i="1"/>
  <c r="H13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2" i="1"/>
  <c r="H22" i="1" s="1"/>
  <c r="E23" i="1"/>
  <c r="H23" i="1" s="1"/>
  <c r="E25" i="1"/>
  <c r="H25" i="1" s="1"/>
  <c r="E29" i="1"/>
  <c r="H29" i="1" s="1"/>
  <c r="E30" i="1"/>
  <c r="H30" i="1" s="1"/>
  <c r="E31" i="1"/>
  <c r="H31" i="1" s="1"/>
  <c r="E32" i="1"/>
  <c r="H32" i="1" s="1"/>
  <c r="E36" i="1"/>
  <c r="H36" i="1" s="1"/>
  <c r="E39" i="1"/>
  <c r="H39" i="1" s="1"/>
  <c r="E40" i="1"/>
  <c r="H40" i="1" s="1"/>
  <c r="E63" i="1"/>
  <c r="E64" i="1"/>
  <c r="H64" i="1" s="1"/>
  <c r="E65" i="1"/>
  <c r="H65" i="1" s="1"/>
  <c r="E66" i="1"/>
  <c r="H66" i="1" s="1"/>
  <c r="E67" i="1"/>
  <c r="H67" i="1" s="1"/>
  <c r="E68" i="1"/>
  <c r="H68" i="1" s="1"/>
  <c r="E69" i="1"/>
  <c r="E70" i="1"/>
  <c r="H70" i="1" s="1"/>
  <c r="E71" i="1"/>
  <c r="H71" i="1" s="1"/>
  <c r="E72" i="1"/>
  <c r="H72" i="1" s="1"/>
  <c r="E74" i="1"/>
  <c r="H74" i="1" s="1"/>
  <c r="E75" i="1"/>
  <c r="E76" i="1"/>
  <c r="H76" i="1" s="1"/>
  <c r="E77" i="1"/>
  <c r="H77" i="1" s="1"/>
  <c r="E78" i="1"/>
  <c r="E79" i="1"/>
  <c r="H79" i="1" s="1"/>
  <c r="E80" i="1"/>
  <c r="H80" i="1" s="1"/>
  <c r="E85" i="1"/>
  <c r="H85" i="1" s="1"/>
  <c r="E86" i="1"/>
  <c r="H86" i="1" s="1"/>
  <c r="E87" i="1"/>
  <c r="H87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E122" i="1"/>
  <c r="H122" i="1" s="1"/>
  <c r="E123" i="1"/>
  <c r="H123" i="1" s="1"/>
  <c r="E124" i="1"/>
  <c r="H124" i="1" s="1"/>
  <c r="E125" i="1"/>
  <c r="H125" i="1" s="1"/>
  <c r="E129" i="1"/>
  <c r="H129" i="1" s="1"/>
  <c r="E130" i="1"/>
  <c r="H130" i="1" s="1"/>
  <c r="E131" i="1"/>
  <c r="H131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6" i="1"/>
  <c r="H166" i="1" s="1"/>
  <c r="E168" i="1"/>
  <c r="H168" i="1" s="1"/>
  <c r="E169" i="1"/>
  <c r="H169" i="1" s="1"/>
  <c r="E173" i="1"/>
  <c r="H173" i="1" s="1"/>
  <c r="E174" i="1"/>
  <c r="H174" i="1" s="1"/>
  <c r="E175" i="1"/>
  <c r="H175" i="1" s="1"/>
  <c r="E191" i="1"/>
  <c r="E192" i="1"/>
  <c r="E193" i="1"/>
  <c r="E194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E237" i="1"/>
  <c r="E238" i="1"/>
  <c r="E239" i="1"/>
  <c r="E240" i="1"/>
  <c r="E241" i="1"/>
  <c r="E242" i="1"/>
  <c r="E243" i="1"/>
  <c r="E244" i="1"/>
  <c r="H244" i="1" s="1"/>
  <c r="E245" i="1"/>
  <c r="E246" i="1"/>
  <c r="E247" i="1"/>
  <c r="E248" i="1"/>
  <c r="E249" i="1"/>
  <c r="E250" i="1"/>
  <c r="E251" i="1"/>
  <c r="E252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H266" i="1" s="1"/>
  <c r="E286" i="1"/>
  <c r="H286" i="1" s="1"/>
  <c r="E287" i="1"/>
  <c r="H287" i="1" s="1"/>
  <c r="E288" i="1"/>
  <c r="H288" i="1" s="1"/>
  <c r="E289" i="1"/>
  <c r="H289" i="1" s="1"/>
  <c r="E291" i="1"/>
  <c r="H291" i="1" s="1"/>
  <c r="E301" i="1"/>
  <c r="H301" i="1" s="1"/>
  <c r="E302" i="1"/>
  <c r="H302" i="1" s="1"/>
  <c r="E303" i="1"/>
  <c r="H30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99" i="1"/>
  <c r="H399" i="1" s="1"/>
  <c r="E400" i="1"/>
  <c r="H400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22" i="1"/>
  <c r="H422" i="1" s="1"/>
  <c r="E423" i="1"/>
  <c r="H423" i="1" s="1"/>
  <c r="E424" i="1"/>
  <c r="H424" i="1" s="1"/>
  <c r="E425" i="1"/>
  <c r="H425" i="1" s="1"/>
  <c r="E426" i="1"/>
  <c r="H426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20" i="1"/>
  <c r="E521" i="1"/>
  <c r="E522" i="1"/>
  <c r="H522" i="1" s="1"/>
  <c r="E523" i="1"/>
  <c r="H523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3" i="1"/>
  <c r="H543" i="1" s="1"/>
  <c r="E544" i="1"/>
  <c r="H544" i="1" s="1"/>
  <c r="E545" i="1"/>
  <c r="H545" i="1" s="1"/>
  <c r="E546" i="1"/>
  <c r="H546" i="1" s="1"/>
  <c r="E547" i="1"/>
  <c r="H547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27" i="1"/>
  <c r="H627" i="1" s="1"/>
  <c r="E633" i="1"/>
  <c r="H633" i="1" s="1"/>
  <c r="E634" i="1"/>
  <c r="H634" i="1" s="1"/>
  <c r="E640" i="1"/>
  <c r="E641" i="1"/>
  <c r="E642" i="1"/>
  <c r="H642" i="1" s="1"/>
  <c r="E643" i="1"/>
  <c r="H643" i="1" s="1"/>
  <c r="E645" i="1"/>
  <c r="H645" i="1" s="1"/>
  <c r="E644" i="1"/>
  <c r="H644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88" i="1" l="1"/>
  <c r="F419" i="1" l="1"/>
  <c r="E420" i="1" l="1"/>
  <c r="H420" i="1" s="1"/>
  <c r="F420" i="1"/>
  <c r="E542" i="1"/>
  <c r="H542" i="1" s="1"/>
  <c r="E419" i="1"/>
  <c r="H419" i="1" s="1"/>
  <c r="F542" i="1" l="1"/>
  <c r="F421" i="1" l="1"/>
  <c r="E421" i="1" l="1"/>
  <c r="H421" i="1" s="1"/>
  <c r="F251" i="1" l="1"/>
  <c r="F263" i="1"/>
  <c r="F260" i="1"/>
  <c r="F264" i="1"/>
  <c r="F249" i="1"/>
  <c r="F257" i="1"/>
  <c r="F261" i="1"/>
  <c r="F265" i="1"/>
  <c r="F250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67" i="1"/>
  <c r="G121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29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65" i="1"/>
  <c r="BE9" i="3"/>
  <c r="AS9" i="3"/>
  <c r="BM9" i="3"/>
  <c r="BQ9" i="3"/>
  <c r="G304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397" i="1"/>
  <c r="CG9" i="3"/>
  <c r="AJ9" i="3"/>
  <c r="BW9" i="3"/>
  <c r="AU9" i="3"/>
  <c r="AR9" i="3"/>
  <c r="AY9" i="3"/>
  <c r="BR9" i="3"/>
  <c r="AD9" i="3"/>
  <c r="BK9" i="3"/>
  <c r="BZ9" i="3"/>
  <c r="G294" i="1"/>
  <c r="F196" i="1"/>
  <c r="G307" i="1"/>
  <c r="G299" i="1"/>
  <c r="G292" i="1"/>
  <c r="G306" i="1"/>
  <c r="G311" i="1"/>
  <c r="G295" i="1"/>
  <c r="G296" i="1"/>
  <c r="G305" i="1"/>
  <c r="G297" i="1"/>
  <c r="G293" i="1"/>
  <c r="G300" i="1"/>
  <c r="G521" i="1"/>
  <c r="H521" i="1" s="1"/>
  <c r="G239" i="1"/>
  <c r="H239" i="1" s="1"/>
  <c r="G204" i="1"/>
  <c r="H204" i="1" s="1"/>
  <c r="G198" i="1"/>
  <c r="H198" i="1" s="1"/>
  <c r="G209" i="1"/>
  <c r="H209" i="1" s="1"/>
  <c r="G261" i="1"/>
  <c r="H261" i="1" s="1"/>
  <c r="G219" i="1"/>
  <c r="H219" i="1" s="1"/>
  <c r="G192" i="1"/>
  <c r="H192" i="1" s="1"/>
  <c r="G194" i="1"/>
  <c r="H194" i="1" s="1"/>
  <c r="G245" i="1"/>
  <c r="H245" i="1" s="1"/>
  <c r="G200" i="1"/>
  <c r="H200" i="1" s="1"/>
  <c r="G215" i="1"/>
  <c r="H215" i="1" s="1"/>
  <c r="G255" i="1"/>
  <c r="H255" i="1" s="1"/>
  <c r="G75" i="1"/>
  <c r="H75" i="1" s="1"/>
  <c r="G641" i="1"/>
  <c r="H641" i="1" s="1"/>
  <c r="F195" i="1"/>
  <c r="G195" i="1"/>
  <c r="G216" i="1"/>
  <c r="H216" i="1" s="1"/>
  <c r="G207" i="1"/>
  <c r="H207" i="1" s="1"/>
  <c r="G263" i="1"/>
  <c r="H263" i="1" s="1"/>
  <c r="G265" i="1"/>
  <c r="H265" i="1" s="1"/>
  <c r="G193" i="1"/>
  <c r="H193" i="1" s="1"/>
  <c r="G208" i="1"/>
  <c r="H208" i="1" s="1"/>
  <c r="G203" i="1"/>
  <c r="H203" i="1" s="1"/>
  <c r="G259" i="1"/>
  <c r="H259" i="1" s="1"/>
  <c r="G248" i="1"/>
  <c r="H248" i="1" s="1"/>
  <c r="G240" i="1"/>
  <c r="H240" i="1" s="1"/>
  <c r="G212" i="1"/>
  <c r="H212" i="1" s="1"/>
  <c r="G197" i="1"/>
  <c r="H197" i="1" s="1"/>
  <c r="G264" i="1"/>
  <c r="H264" i="1" s="1"/>
  <c r="G236" i="1"/>
  <c r="H236" i="1" s="1"/>
  <c r="G238" i="1"/>
  <c r="H238" i="1" s="1"/>
  <c r="G217" i="1"/>
  <c r="H217" i="1" s="1"/>
  <c r="G211" i="1"/>
  <c r="H211" i="1" s="1"/>
  <c r="G262" i="1"/>
  <c r="H262" i="1" s="1"/>
  <c r="G253" i="1"/>
  <c r="H253" i="1" s="1"/>
  <c r="G196" i="1"/>
  <c r="G63" i="1"/>
  <c r="H63" i="1" s="1"/>
  <c r="G246" i="1"/>
  <c r="H246" i="1" s="1"/>
  <c r="G258" i="1"/>
  <c r="H258" i="1" s="1"/>
  <c r="G205" i="1"/>
  <c r="H205" i="1" s="1"/>
  <c r="G520" i="1"/>
  <c r="H520" i="1" s="1"/>
  <c r="G242" i="1"/>
  <c r="H242" i="1" s="1"/>
  <c r="G254" i="1"/>
  <c r="H254" i="1" s="1"/>
  <c r="G260" i="1"/>
  <c r="H260" i="1" s="1"/>
  <c r="G250" i="1"/>
  <c r="H250" i="1" s="1"/>
  <c r="G252" i="1"/>
  <c r="H252" i="1" s="1"/>
  <c r="G199" i="1"/>
  <c r="H199" i="1" s="1"/>
  <c r="G640" i="1"/>
  <c r="H640" i="1" s="1"/>
  <c r="G218" i="1"/>
  <c r="H218" i="1" s="1"/>
  <c r="G213" i="1"/>
  <c r="H213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61" i="1"/>
  <c r="H61" i="1" s="1"/>
  <c r="G256" i="1"/>
  <c r="H256" i="1" s="1"/>
  <c r="G214" i="1"/>
  <c r="H214" i="1" s="1"/>
  <c r="G241" i="1"/>
  <c r="H241" i="1" s="1"/>
  <c r="G201" i="1"/>
  <c r="H201" i="1" s="1"/>
  <c r="G251" i="1"/>
  <c r="H251" i="1" s="1"/>
  <c r="G257" i="1"/>
  <c r="H257" i="1" s="1"/>
  <c r="G210" i="1"/>
  <c r="H210" i="1" s="1"/>
  <c r="G237" i="1"/>
  <c r="H237" i="1" s="1"/>
  <c r="G243" i="1"/>
  <c r="H243" i="1" s="1"/>
  <c r="G202" i="1"/>
  <c r="H202" i="1" s="1"/>
  <c r="G247" i="1"/>
  <c r="H247" i="1" s="1"/>
  <c r="G78" i="1"/>
  <c r="H78" i="1" s="1"/>
  <c r="G206" i="1"/>
  <c r="H206" i="1" s="1"/>
  <c r="G249" i="1"/>
  <c r="H249" i="1" s="1"/>
  <c r="G69" i="1"/>
  <c r="H69" i="1" s="1"/>
  <c r="G120" i="1"/>
  <c r="H120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91" i="1"/>
  <c r="H191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81" i="1"/>
  <c r="F81" i="1"/>
  <c r="E81" i="1"/>
  <c r="E121" i="1"/>
  <c r="F121" i="1"/>
  <c r="F207" i="1"/>
  <c r="F215" i="1"/>
  <c r="F243" i="1"/>
  <c r="E292" i="1"/>
  <c r="E304" i="1"/>
  <c r="G432" i="1"/>
  <c r="F192" i="1"/>
  <c r="F204" i="1"/>
  <c r="F212" i="1"/>
  <c r="F240" i="1"/>
  <c r="F248" i="1"/>
  <c r="E293" i="1"/>
  <c r="G309" i="1"/>
  <c r="E309" i="1"/>
  <c r="G170" i="1"/>
  <c r="F170" i="1"/>
  <c r="F197" i="1"/>
  <c r="F205" i="1"/>
  <c r="F209" i="1"/>
  <c r="F213" i="1"/>
  <c r="F217" i="1"/>
  <c r="F237" i="1"/>
  <c r="F241" i="1"/>
  <c r="F245" i="1"/>
  <c r="F253" i="1"/>
  <c r="E294" i="1"/>
  <c r="G298" i="1"/>
  <c r="E298" i="1"/>
  <c r="E306" i="1"/>
  <c r="G310" i="1"/>
  <c r="E310" i="1"/>
  <c r="G430" i="1"/>
  <c r="F430" i="1"/>
  <c r="F63" i="1"/>
  <c r="F199" i="1"/>
  <c r="F203" i="1"/>
  <c r="F211" i="1"/>
  <c r="F219" i="1"/>
  <c r="F239" i="1"/>
  <c r="F247" i="1"/>
  <c r="F255" i="1"/>
  <c r="F259" i="1"/>
  <c r="E296" i="1"/>
  <c r="E300" i="1"/>
  <c r="G398" i="1"/>
  <c r="E398" i="1"/>
  <c r="F167" i="1"/>
  <c r="E196" i="1"/>
  <c r="F200" i="1"/>
  <c r="F208" i="1"/>
  <c r="F216" i="1"/>
  <c r="F236" i="1"/>
  <c r="F252" i="1"/>
  <c r="F256" i="1"/>
  <c r="E297" i="1"/>
  <c r="E305" i="1"/>
  <c r="F429" i="1"/>
  <c r="F193" i="1"/>
  <c r="F201" i="1"/>
  <c r="F61" i="1"/>
  <c r="F69" i="1"/>
  <c r="F78" i="1"/>
  <c r="F75" i="1"/>
  <c r="F120" i="1"/>
  <c r="G126" i="1"/>
  <c r="F126" i="1"/>
  <c r="E126" i="1"/>
  <c r="I28" i="3"/>
  <c r="AU28" i="3"/>
  <c r="CP28" i="3"/>
  <c r="BN28" i="3"/>
  <c r="Y28" i="3"/>
  <c r="Y30" i="3"/>
  <c r="F194" i="1"/>
  <c r="F198" i="1"/>
  <c r="F202" i="1"/>
  <c r="F206" i="1"/>
  <c r="F210" i="1"/>
  <c r="F214" i="1"/>
  <c r="F218" i="1"/>
  <c r="F238" i="1"/>
  <c r="F242" i="1"/>
  <c r="F246" i="1"/>
  <c r="F254" i="1"/>
  <c r="F258" i="1"/>
  <c r="F262" i="1"/>
  <c r="E295" i="1"/>
  <c r="E299" i="1"/>
  <c r="E307" i="1"/>
  <c r="E311" i="1"/>
  <c r="G431" i="1"/>
  <c r="H311" i="1" l="1"/>
  <c r="H296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00" i="1"/>
  <c r="H196" i="1"/>
  <c r="H295" i="1"/>
  <c r="H306" i="1"/>
  <c r="H121" i="1"/>
  <c r="H304" i="1"/>
  <c r="H81" i="1"/>
  <c r="H298" i="1"/>
  <c r="O28" i="3"/>
  <c r="BY28" i="3"/>
  <c r="AP28" i="3"/>
  <c r="BS28" i="3"/>
  <c r="G28" i="3"/>
  <c r="AF28" i="3"/>
  <c r="H398" i="1"/>
  <c r="BM28" i="3"/>
  <c r="CN28" i="3"/>
  <c r="BA28" i="3"/>
  <c r="H126" i="1"/>
  <c r="AM28" i="3"/>
  <c r="CE28" i="3"/>
  <c r="V28" i="3"/>
  <c r="R28" i="3"/>
  <c r="E167" i="1"/>
  <c r="H167" i="1" s="1"/>
  <c r="L28" i="3"/>
  <c r="AX28" i="3"/>
  <c r="BI28" i="3"/>
  <c r="BH28" i="3"/>
  <c r="BO28" i="3"/>
  <c r="BZ28" i="3"/>
  <c r="BU28" i="3"/>
  <c r="CJ28" i="3"/>
  <c r="F28" i="3"/>
  <c r="M28" i="3"/>
  <c r="X28" i="3"/>
  <c r="E165" i="1"/>
  <c r="H165" i="1" s="1"/>
  <c r="CM28" i="3"/>
  <c r="BB28" i="3"/>
  <c r="BP8" i="3"/>
  <c r="BZ8" i="3"/>
  <c r="E397" i="1"/>
  <c r="H397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195" i="1"/>
  <c r="H195" i="1" s="1"/>
  <c r="CP7" i="3"/>
  <c r="CS7" i="3"/>
  <c r="E431" i="1"/>
  <c r="H431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65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10" i="1"/>
  <c r="E429" i="1"/>
  <c r="H429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09" i="1"/>
  <c r="F432" i="1"/>
  <c r="E432" i="1"/>
  <c r="H432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91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05" i="1"/>
  <c r="H292" i="1"/>
  <c r="H294" i="1"/>
  <c r="E430" i="1"/>
  <c r="H430" i="1" s="1"/>
  <c r="E170" i="1"/>
  <c r="H170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93" i="1"/>
  <c r="H299" i="1"/>
  <c r="AW21" i="3"/>
  <c r="L21" i="3"/>
  <c r="BK21" i="3"/>
  <c r="BS21" i="3"/>
  <c r="H297" i="1"/>
  <c r="H307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397" i="1"/>
  <c r="O8" i="2" a="1"/>
  <c r="O8" i="2" s="1"/>
  <c r="F398" i="1"/>
  <c r="CP22" i="3"/>
  <c r="G8" i="2" a="1"/>
  <c r="G8" i="2" s="1"/>
  <c r="F431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20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41" i="1"/>
  <c r="F521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40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V17" i="7" l="1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<sst xmlns="http://schemas.openxmlformats.org/spreadsheetml/2006/main" count="2748" uniqueCount="1200">
  <si>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</si>
  <si>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</si>
  <si>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</si>
  <si>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</si>
  <si>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</si>
  <si>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</si>
  <si>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</si>
  <si>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</si>
  <si>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</si>
  <si>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</si>
  <si>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</si>
  <si>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</si>
  <si>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</si>
  <si>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</si>
  <si>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</si>
  <si>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</si>
  <si>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</si>
  <si>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</si>
  <si>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</si>
  <si>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</si>
  <si>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</si>
  <si>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</si>
  <si>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</si>
  <si>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</si>
  <si>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</si>
  <si>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</si>
  <si>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</si>
  <si>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</si>
  <si>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</si>
  <si>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</si>
  <si>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</si>
  <si>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</si>
  <si>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</si>
  <si>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</si>
  <si>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</si>
  <si>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</si>
  <si>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</si>
  <si>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</si>
  <si>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</si>
  <si>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</si>
  <si>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</si>
  <si>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</si>
  <si>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</si>
  <si>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</si>
  <si>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</si>
  <si>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</si>
  <si>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</si>
  <si>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</si>
  <si>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</si>
  <si>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</si>
  <si>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</si>
  <si>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</si>
  <si>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</si>
  <si>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</si>
  <si>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</si>
  <si>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</si>
  <si>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</si>
  <si>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</si>
  <si>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</si>
  <si>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OFR GROUTING AND INSTALLATION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</si>
  <si>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</si>
  <si>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</si>
  <si>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</si>
  <si>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</si>
  <si>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</si>
  <si>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</si>
  <si>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</si>
  <si>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</si>
  <si>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</si>
  <si>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</si>
  <si>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</si>
  <si>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</si>
  <si>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</si>
  <si>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</si>
  <si>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</si>
  <si>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</si>
  <si>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</si>
  <si>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</si>
  <si>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</si>
  <si>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ZWP21 JACKET LOADOUT ANALYSIS</t>
  </si>
  <si>
    <t>MM-ZTK-1F-ZWP21-STR-CAL-2015</t>
  </si>
  <si>
    <t>ZWP21 JACKET TRANSPORTATION ANALYSIS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</si>
  <si>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</si>
  <si>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</si>
  <si>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</si>
  <si>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</si>
  <si>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</si>
  <si>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ZWP21 JACKET ON-BOTTOM STABILITY ANALYSIS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</si>
  <si>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</si>
  <si>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</si>
  <si>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</si>
  <si>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</si>
  <si>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</si>
  <si>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</si>
  <si>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</si>
  <si>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</si>
  <si>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</si>
  <si>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</si>
  <si>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</si>
  <si>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</si>
  <si>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</si>
  <si>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ZWP21 JACKET PUSHOVER ANALYSIS</t>
  </si>
  <si>
    <t>MM-ZTK-1F-ZWP21-STR-CAL-2050</t>
  </si>
  <si>
    <t>ZWP21 JACKET CONSTRUCTION MODEL REPORT</t>
  </si>
  <si>
    <t>ZWP21 JACKET BARGE MOTION ANALYSIS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</si>
  <si>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</si>
  <si>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</si>
  <si>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</si>
  <si>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</si>
  <si>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</si>
  <si>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</si>
  <si>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</si>
  <si>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</si>
  <si>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</si>
  <si>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</si>
  <si>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</si>
  <si>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</si>
  <si>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</si>
  <si>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</si>
  <si>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</si>
  <si>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</si>
  <si>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</si>
  <si>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</si>
  <si>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</si>
  <si>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</si>
  <si>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</si>
  <si>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</si>
  <si>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</si>
  <si>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</si>
  <si>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</si>
  <si>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</si>
  <si>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</si>
  <si>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</si>
  <si>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</si>
  <si>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</si>
  <si>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</si>
  <si>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</si>
  <si>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</si>
  <si>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</si>
  <si>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</si>
  <si>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</si>
  <si>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</si>
  <si>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</si>
  <si>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</si>
  <si>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</si>
  <si>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</si>
  <si>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</si>
  <si>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</si>
  <si>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ZWP23 JACKER FREE FLOATATION AND UPENDING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</si>
  <si>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</si>
  <si>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</si>
  <si>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</si>
  <si>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</si>
  <si>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</si>
  <si>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</si>
  <si>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</si>
  <si>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</si>
  <si>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</si>
  <si>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</si>
  <si>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</si>
  <si>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</si>
  <si>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</si>
  <si>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</si>
  <si>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</si>
  <si>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</si>
  <si>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</si>
  <si>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</si>
  <si>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</si>
  <si>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</si>
  <si>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</si>
  <si>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</si>
  <si>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</si>
  <si>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</si>
  <si>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</si>
  <si>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</si>
  <si>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</si>
  <si>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</si>
  <si>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</si>
  <si>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</si>
  <si>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</si>
  <si>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</si>
  <si>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</si>
  <si>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</si>
  <si>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</si>
  <si>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</si>
  <si>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</si>
  <si>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</si>
  <si>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</si>
  <si>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</si>
  <si>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</si>
  <si>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</si>
  <si>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</si>
  <si>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</si>
  <si>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</si>
  <si>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</si>
  <si>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</si>
  <si>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</si>
  <si>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</si>
  <si>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</si>
  <si>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</si>
  <si>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</si>
  <si>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</si>
  <si>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</si>
  <si>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</si>
  <si>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</si>
  <si>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</si>
  <si>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</si>
  <si>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</si>
  <si>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</si>
  <si>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</si>
  <si>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</si>
  <si>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</si>
  <si>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</si>
  <si>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</si>
  <si>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</si>
  <si>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</si>
  <si>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</si>
  <si>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</si>
  <si>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</si>
  <si>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</si>
  <si>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</si>
  <si>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</si>
  <si>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</si>
  <si>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</si>
  <si>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</si>
  <si>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</si>
  <si>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</si>
  <si>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</si>
  <si>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</si>
  <si>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</si>
  <si>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</si>
  <si>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</si>
  <si>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</si>
  <si>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</si>
  <si>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</si>
  <si>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</si>
  <si>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</si>
  <si>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</si>
  <si>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</si>
  <si>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</si>
  <si>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</si>
  <si>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</si>
  <si>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</si>
  <si>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</si>
  <si>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</si>
  <si>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</si>
  <si>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</si>
  <si>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</si>
  <si>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</si>
  <si>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</si>
  <si>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</si>
  <si>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</si>
  <si>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</si>
  <si>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</si>
  <si>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</si>
  <si>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</si>
  <si>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</si>
  <si>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</si>
  <si>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</si>
  <si>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</si>
  <si>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</si>
  <si>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</si>
  <si>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</si>
  <si>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</si>
  <si>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</si>
  <si>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</si>
  <si>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</si>
  <si>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</si>
  <si>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</si>
  <si>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</si>
  <si>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</si>
  <si>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</si>
  <si>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</si>
  <si>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</si>
  <si>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</si>
  <si>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</si>
  <si>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</si>
  <si>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</si>
  <si>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</si>
  <si>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</si>
  <si>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</si>
  <si>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</si>
  <si>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</si>
  <si>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</si>
  <si>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</si>
  <si>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</si>
  <si>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</si>
  <si>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</si>
  <si>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</si>
  <si>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</si>
  <si>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</si>
  <si>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</si>
  <si>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</si>
  <si>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</si>
  <si>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</si>
  <si>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</si>
  <si>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</si>
  <si>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</si>
  <si>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</si>
  <si>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</si>
  <si>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</si>
  <si>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</si>
  <si>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</si>
  <si>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</si>
  <si>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</si>
  <si>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</si>
  <si>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</si>
  <si>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</si>
  <si>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</si>
  <si>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</si>
  <si>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</si>
  <si>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</si>
  <si>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</si>
  <si>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</si>
  <si>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</si>
  <si>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</si>
  <si>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</si>
  <si>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</si>
  <si>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ZWP21 JACKET - RISER PROTECTOR (OPTION)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</si>
  <si>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</si>
  <si>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</si>
  <si>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</si>
  <si>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</si>
  <si>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</si>
  <si>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</si>
  <si>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</si>
  <si>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</si>
  <si>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</si>
  <si>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</si>
  <si>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</si>
  <si>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</si>
  <si>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</si>
  <si>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</si>
  <si>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</si>
  <si>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</si>
  <si>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</si>
  <si>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</si>
  <si>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</si>
  <si>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</si>
  <si>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</si>
  <si>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</si>
  <si>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 xml:space="preserve">ZWP21 JACKET - ANODE DISTRIBUTION OF HORIZONTAL FRAMING PLAN AT EL(-) 149000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</si>
  <si>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</si>
  <si>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</si>
  <si>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</si>
  <si>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</si>
  <si>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</si>
  <si>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</si>
  <si>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</si>
  <si>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</si>
  <si>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</si>
  <si>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</si>
  <si>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</si>
  <si>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</si>
  <si>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</si>
  <si>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</si>
  <si>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</si>
  <si>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</si>
  <si>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</si>
  <si>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</si>
  <si>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</si>
  <si>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</si>
  <si>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</si>
  <si>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</si>
  <si>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</si>
  <si>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</si>
  <si>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</si>
  <si>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</si>
  <si>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</si>
  <si>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</si>
  <si>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</si>
  <si>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</si>
  <si>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</si>
  <si>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</si>
  <si>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</si>
  <si>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</si>
  <si>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</si>
  <si>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</si>
  <si>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</si>
  <si>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</si>
  <si>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</si>
  <si>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</si>
  <si>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</si>
  <si>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</si>
  <si>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</si>
  <si>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</si>
  <si>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</si>
  <si>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</si>
  <si>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</si>
  <si>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</si>
  <si>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</si>
  <si>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</si>
  <si>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</si>
  <si>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</si>
  <si>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</si>
  <si>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</si>
  <si>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</si>
  <si>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</si>
  <si>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</si>
  <si>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</si>
  <si>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</si>
  <si>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</si>
  <si>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</si>
  <si>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</si>
  <si>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</si>
  <si>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</si>
  <si>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</si>
  <si>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</si>
  <si>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</si>
  <si>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</si>
  <si>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</si>
  <si>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</si>
  <si>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</si>
  <si>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</si>
  <si>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</si>
  <si>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</si>
  <si>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</si>
  <si>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</si>
  <si>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</si>
  <si>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</si>
  <si>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</si>
  <si>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</si>
  <si>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</si>
  <si>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</si>
  <si>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</si>
  <si>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</si>
  <si>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</si>
  <si>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</si>
  <si>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</si>
  <si>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</si>
  <si>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</si>
  <si>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</si>
  <si>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</si>
  <si>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</si>
  <si>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</si>
  <si>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</si>
  <si>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</si>
  <si>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</si>
  <si>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</si>
  <si>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</si>
  <si>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</si>
  <si>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</si>
  <si>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</si>
  <si>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</si>
  <si>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</si>
  <si>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</si>
  <si>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</si>
  <si>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</si>
  <si>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</si>
  <si>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</si>
  <si>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</si>
  <si>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</si>
  <si>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</si>
  <si>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</si>
  <si>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</si>
  <si>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</si>
  <si>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</si>
  <si>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</si>
  <si>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</si>
  <si>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</si>
  <si>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</si>
  <si>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</si>
  <si>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</si>
  <si>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</si>
  <si>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</si>
  <si>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</si>
  <si>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</si>
  <si>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</si>
  <si>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</si>
  <si>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</si>
  <si>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</si>
  <si>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</si>
  <si>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</si>
  <si>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</si>
  <si>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</si>
  <si>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</si>
  <si>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</si>
  <si>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</si>
  <si>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</si>
  <si>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</si>
  <si>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</si>
  <si>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</si>
  <si>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</si>
  <si>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</si>
  <si>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</si>
  <si>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</si>
  <si>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</si>
  <si>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</si>
  <si>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 xml:space="preserve">ZWP23 JACKET - ANODE DISTRIBUTION OF HORIZONTAL FRAMING PLAN AT EL(-) 145000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</si>
  <si>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</si>
  <si>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</si>
  <si>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</si>
  <si>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</si>
  <si>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</si>
  <si>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</si>
  <si>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</si>
  <si>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</si>
  <si>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</si>
  <si>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</si>
  <si>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</si>
  <si>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</si>
  <si>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</si>
  <si>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</si>
  <si>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</si>
  <si>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</si>
  <si>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</si>
  <si>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</si>
  <si>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</si>
  <si>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</si>
  <si>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</si>
  <si>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</si>
  <si>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</si>
  <si>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</si>
  <si>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</si>
  <si>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</si>
  <si>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</si>
  <si>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</si>
  <si>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</si>
  <si>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</si>
  <si>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</si>
  <si>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</si>
  <si>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</si>
  <si>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</si>
  <si>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</si>
  <si>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</si>
  <si>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</si>
  <si>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</si>
  <si>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</si>
  <si>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</si>
  <si>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</si>
  <si>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</si>
  <si>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</si>
  <si>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</si>
  <si>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</si>
  <si>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</si>
  <si>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</si>
  <si>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</si>
  <si>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</si>
  <si>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</si>
  <si>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</si>
  <si>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</si>
  <si>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</si>
  <si>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</si>
  <si>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</si>
  <si>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</si>
  <si>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</si>
  <si>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</si>
  <si>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</si>
  <si>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</si>
  <si>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</si>
  <si>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</si>
  <si>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</si>
  <si>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</si>
  <si>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</si>
  <si>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</si>
  <si>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</si>
  <si>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</si>
  <si>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</si>
  <si>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</si>
  <si>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</si>
  <si>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</si>
  <si>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</si>
  <si>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</si>
  <si>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</si>
  <si>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</si>
  <si>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</si>
  <si>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</si>
  <si>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</si>
  <si>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</si>
  <si>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</si>
  <si>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</si>
  <si>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</si>
  <si>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</si>
  <si>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</si>
  <si>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</si>
  <si>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</si>
  <si>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</si>
  <si>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</si>
  <si>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</si>
  <si>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</si>
  <si>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</si>
  <si>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</si>
  <si>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</si>
  <si>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</si>
  <si>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</si>
  <si>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</si>
  <si>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</si>
  <si>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</si>
  <si>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</si>
  <si>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</si>
  <si>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</si>
  <si>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</si>
  <si>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</si>
  <si>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</si>
  <si>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</si>
  <si>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</si>
  <si>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</si>
  <si>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</si>
  <si>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</si>
  <si>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</si>
  <si>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</si>
  <si>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</si>
  <si>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</si>
  <si>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</si>
  <si>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</si>
  <si>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</si>
  <si>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</si>
  <si>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</si>
  <si>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</si>
  <si>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</si>
  <si>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</si>
  <si>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</si>
  <si>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</si>
  <si>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</si>
  <si>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</si>
  <si>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</si>
  <si>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</si>
  <si>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</si>
  <si>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</si>
  <si>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</si>
  <si>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</si>
  <si>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</si>
  <si>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</si>
  <si>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</si>
  <si>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</si>
  <si>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</si>
  <si>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</si>
  <si>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</si>
  <si>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</si>
  <si>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</si>
  <si>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</si>
  <si>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</si>
  <si>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</si>
  <si>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</si>
  <si>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</si>
  <si>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</si>
  <si>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 xml:space="preserve">ZWP22 JACKET - ANODE DISTRIBUTION OF HORIZONTAL FRAMING PLAN AT EL(-) 140000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</si>
  <si>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</si>
  <si>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</si>
  <si>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</si>
  <si>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</si>
  <si>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</si>
  <si>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</si>
  <si>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</si>
  <si>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</si>
  <si>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</si>
  <si>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</si>
  <si>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</si>
  <si>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</si>
  <si>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</si>
  <si>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</si>
  <si>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</si>
  <si>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</si>
  <si>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</si>
  <si>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</si>
  <si>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</si>
  <si>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</si>
  <si>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</si>
  <si>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</si>
  <si>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</si>
  <si>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</si>
  <si>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</si>
  <si>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</si>
  <si>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</si>
  <si>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</si>
  <si>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</si>
  <si>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</si>
  <si>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</si>
  <si>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</si>
  <si>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</si>
  <si>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</si>
  <si>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</si>
  <si>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</si>
  <si>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</si>
  <si>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</si>
  <si>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</si>
  <si>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</si>
  <si>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</si>
  <si>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</si>
  <si>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</si>
  <si>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</si>
  <si>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</si>
  <si>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</si>
  <si>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</si>
  <si>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</si>
  <si>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</si>
  <si>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</si>
  <si>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</si>
  <si>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</si>
  <si>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</si>
  <si>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</si>
  <si>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</si>
  <si>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</si>
  <si>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</si>
  <si>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</si>
  <si>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</si>
  <si>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</si>
  <si>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</si>
  <si>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</si>
  <si>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</si>
  <si>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</si>
  <si>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</si>
  <si>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</si>
  <si>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</si>
  <si>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</si>
  <si>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</si>
  <si>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</si>
  <si>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</si>
  <si>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</si>
  <si>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</si>
  <si>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</si>
  <si>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</si>
  <si>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</si>
  <si>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</si>
  <si>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</si>
  <si>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</si>
  <si>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</si>
  <si>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</si>
  <si>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</si>
  <si>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</si>
  <si>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</si>
  <si>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</si>
  <si>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</si>
  <si>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</si>
  <si>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</si>
  <si>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</si>
  <si>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</si>
  <si>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</si>
  <si>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</si>
  <si>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</si>
  <si>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</si>
  <si>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</si>
  <si>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</si>
  <si>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</si>
  <si>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</si>
  <si>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</si>
  <si>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</si>
  <si>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</si>
  <si>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</si>
  <si>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</si>
  <si>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</si>
  <si>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</si>
  <si>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</si>
  <si>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</si>
  <si>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</si>
  <si>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</si>
  <si>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</si>
  <si>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</si>
  <si>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</si>
  <si>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</si>
  <si>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</si>
  <si>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</si>
  <si>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</si>
  <si>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</si>
  <si>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</si>
  <si>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</si>
  <si>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</si>
  <si>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</si>
  <si>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</si>
  <si>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</si>
  <si>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</si>
  <si>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</si>
  <si>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</si>
  <si>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</si>
  <si>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</si>
  <si>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</si>
  <si>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</si>
  <si>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</si>
  <si>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</si>
  <si>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</si>
  <si>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</si>
  <si>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</si>
  <si>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</si>
  <si>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</si>
  <si>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</si>
  <si>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</si>
  <si>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</si>
  <si>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</si>
  <si>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</si>
  <si>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</si>
  <si>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</si>
  <si>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</si>
  <si>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</si>
  <si>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</si>
  <si>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 xml:space="preserve">ZWP20 JACKET - ANODE DISTRIBUTION OF HORIZONTAL FRAMING PLAN AT EL(-) 135000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</si>
  <si>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</si>
  <si>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</si>
  <si>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</si>
  <si>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</si>
  <si>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</si>
  <si>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</si>
  <si>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</si>
  <si>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</si>
  <si>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</si>
  <si>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</si>
  <si>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</si>
  <si>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</si>
  <si>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</si>
  <si>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</si>
  <si>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</si>
  <si>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</si>
  <si>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</si>
  <si>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</si>
  <si>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</si>
  <si>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</si>
  <si>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</si>
  <si>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</si>
  <si>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</si>
  <si>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</si>
  <si>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</si>
  <si>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</si>
  <si>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</si>
  <si>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</si>
  <si>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</si>
  <si>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</si>
  <si>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</si>
  <si>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</si>
  <si>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</si>
  <si>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</si>
  <si>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</si>
  <si>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</si>
  <si>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</si>
  <si>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</si>
  <si>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</si>
  <si>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</si>
  <si>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</si>
  <si>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</si>
  <si>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</si>
  <si>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</si>
  <si>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</si>
  <si>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</si>
  <si>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</si>
  <si>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</si>
  <si>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</si>
  <si>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</si>
  <si>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</si>
  <si>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</si>
  <si>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</si>
  <si>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</si>
  <si>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</si>
  <si>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</si>
  <si>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</si>
  <si>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</si>
  <si>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</si>
  <si>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</si>
  <si>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</si>
  <si>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</si>
  <si>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</si>
  <si>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</si>
  <si>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</si>
  <si>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</si>
  <si>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</si>
  <si>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</si>
  <si>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</si>
  <si>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</si>
  <si>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</si>
  <si>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</si>
  <si>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</si>
  <si>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</si>
  <si>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</si>
  <si>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</si>
  <si>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</si>
  <si>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</si>
  <si>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</si>
  <si>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</si>
  <si>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</si>
  <si>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</si>
  <si>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</si>
  <si>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</si>
  <si>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</si>
  <si>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</si>
  <si>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</si>
  <si>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</si>
  <si>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</si>
  <si>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</si>
  <si>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</si>
  <si>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</si>
  <si>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</si>
  <si>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</si>
  <si>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</si>
  <si>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</si>
  <si>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</si>
  <si>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</si>
  <si>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</si>
  <si>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</si>
  <si>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</si>
  <si>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</si>
  <si>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</si>
  <si>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</si>
  <si>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</si>
  <si>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</si>
  <si>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</si>
  <si>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</si>
  <si>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</si>
  <si>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</si>
  <si>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</si>
  <si>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</si>
  <si>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</si>
  <si>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</si>
  <si>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</si>
  <si>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</si>
  <si>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</si>
  <si>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</si>
  <si>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</si>
  <si>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</si>
  <si>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</si>
  <si>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</si>
  <si>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</si>
  <si>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</si>
  <si>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</si>
  <si>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</si>
  <si>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</si>
  <si>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</si>
  <si>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</si>
  <si>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</si>
  <si>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</si>
  <si>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</si>
  <si>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</si>
  <si>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</si>
  <si>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</si>
  <si>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</si>
  <si>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</si>
  <si>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</si>
  <si>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</si>
  <si>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</si>
  <si>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</si>
  <si>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</si>
  <si>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</si>
  <si>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</si>
  <si>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</si>
  <si>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</si>
  <si>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</si>
  <si>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</si>
  <si>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</si>
  <si>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</si>
  <si>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</si>
  <si>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</si>
  <si>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</si>
  <si>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</si>
  <si>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</si>
  <si>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</si>
  <si>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</si>
  <si>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</si>
  <si>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</si>
  <si>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</si>
  <si>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</si>
  <si>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</si>
  <si>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</si>
  <si>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ZWP21 JACKET - RISER CCLAMP DETAILS SHEET 1</t>
  </si>
  <si>
    <t>ZWP21 JACKET - RISER CCLAMP DETAILS SHEET 2</t>
  </si>
  <si>
    <t>ZWP21 JACKET - RISER CCLAMP DETAILS SHEET 3</t>
  </si>
  <si>
    <t>ZWP21 JACKET - RISER CCLAMP DETAILS SHEET 4</t>
  </si>
  <si>
    <t>ZWP21 JACKET - RISER CCLAMP DETAILS SHEET 5</t>
  </si>
  <si>
    <t>ZWP21 JACKET - RISER CCLAMP DETAILS SHEET 6</t>
  </si>
  <si>
    <t>ZWP21 JACKET - RISER CCLAMP DETAILS SHEET 7</t>
  </si>
  <si>
    <t>ZWP21 JACKET - RISER CCLAMP DETAILS SHEET 8</t>
  </si>
  <si>
    <t>ZWP21 JACKET - RISER CCLAMP DETAILS SHEET 9</t>
  </si>
  <si>
    <t>ZWP21 JACKET - RISER CCLAMP DETAILS SHEET 10</t>
  </si>
  <si>
    <t>MM-ZTK-1F-ZWP23-STR-DWG-2801</t>
  </si>
  <si>
    <t>ZWP23 JACKET - RISER SUPPORT LOCATION</t>
  </si>
  <si>
    <t>MM-ZTK-1F-ZWP23-STR-DWG-2802</t>
  </si>
  <si>
    <t>ZWP23 JACKET - RISER CCLAMP DETAILS SHEET 1</t>
  </si>
  <si>
    <t>MM-ZTK-1F-ZWP23-STR-DWG-2803</t>
  </si>
  <si>
    <t>ZWP23 JACKET - RISER CCLAMP DETAILS SHEET 2</t>
  </si>
  <si>
    <t>MM-ZTK-1F-ZWP23-STR-DWG-2804</t>
  </si>
  <si>
    <t>ZWP23 JACKET - RISER CCLAMP DETAILS SHEET 3</t>
  </si>
  <si>
    <t>MM-ZTK-1F-ZWP23-STR-DWG-2805</t>
  </si>
  <si>
    <t>ZWP23 JACKET - RISER CCLAMP DETAILS SHEET 4</t>
  </si>
  <si>
    <t>MM-ZTK-1F-ZWP22-STR-DWG-2801</t>
  </si>
  <si>
    <t>ZWP22 JACKET - RISER SUPPORT LOCATION</t>
  </si>
  <si>
    <t>MM-ZTK-1F-ZWP22-STR-DWG-2802</t>
  </si>
  <si>
    <t>ZWP22 JACKET - RISER CCLAMP DETAILS SHEET 1</t>
  </si>
  <si>
    <t>MM-ZTK-1F-ZWP22-STR-DWG-2803</t>
  </si>
  <si>
    <t>ZWP22 JACKET - RISER CCLAMP DETAILS SHEET 2</t>
  </si>
  <si>
    <t>MM-ZTK-1F-ZWP22-STR-DWG-2804</t>
  </si>
  <si>
    <t>ZWP22 JACKET - RISER CCLAMP DETAILS SHEET 3</t>
  </si>
  <si>
    <t>MM-ZTK-1F-ZWP22-STR-DWG-2805</t>
  </si>
  <si>
    <t>ZWP22 JACKET - RISER CCLAMP DETAILS SHEET 4</t>
  </si>
  <si>
    <t>MM-ZTK-1F-ZWP22-STR-DWG-2806</t>
  </si>
  <si>
    <t>ZWP22 JACKET - RISER CCLAMP DETAILS SHEET 5</t>
  </si>
  <si>
    <t>MM-ZTK-1F-ZWP22-STR-DWG-2807</t>
  </si>
  <si>
    <t>ZWP22 JACKET - RISER CCLAMP DETAILS SHEET 6</t>
  </si>
  <si>
    <t>MM-ZTK-1F-ZWP22-STR-DWG-2808</t>
  </si>
  <si>
    <t>ZWP22 JACKET - RISER CCLAMP DETAILS SHEET 7</t>
  </si>
  <si>
    <t>MM-ZTK-1F-ZWP22-STR-DWG-2809</t>
  </si>
  <si>
    <t>ZWP22 JACKET - RISER CCLAMP DETAILS SHEET 8</t>
  </si>
  <si>
    <t>MM-ZTK-1F-ZWP22-STR-DWG-2810</t>
  </si>
  <si>
    <t>ZWP22 JACKET - RISER CCLAMP DETAILS SHEET 9</t>
  </si>
  <si>
    <t>MM-ZTK-1F-ZWP22-STR-DWG-2811</t>
  </si>
  <si>
    <t>ZWP22 JACKET - RISER CCLAMP DETAILS SHEET 10</t>
  </si>
  <si>
    <t>MM-ZTK-1F-ZWP20-STR-DWG-2801</t>
  </si>
  <si>
    <t>ZWP20 JACKET - RISER SUPPORT LOCATION</t>
  </si>
  <si>
    <t>MM-ZTK-1F-ZWP20-STR-DWG-2802</t>
  </si>
  <si>
    <t>ZWP20 JACKET - RISER CCLAMP DETAILS SHEET 1</t>
  </si>
  <si>
    <t>MM-ZTK-1F-ZWP20-STR-DWG-2803</t>
  </si>
  <si>
    <t>ZWP20 JACKET - RISER CCLAMP DETAILS SHEET 2</t>
  </si>
  <si>
    <t>MM-ZTK-1F-ZWP20-STR-DWG-2804</t>
  </si>
  <si>
    <t>ZWP20 JACKET - RISER CCLAMP DETAILS SHEET 3</t>
  </si>
  <si>
    <t>MM-ZTK-1F-ZWP20-STR-DWG-2805</t>
  </si>
  <si>
    <t>ZWP20 JACKET - RISER CCLAMP DETAILS SHEET 4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</si>
  <si>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</si>
  <si>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</si>
  <si>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</si>
  <si>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</si>
  <si>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</si>
  <si>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</si>
  <si>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</si>
  <si>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</si>
  <si>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</si>
  <si>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</si>
  <si>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</si>
  <si>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</si>
  <si>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</si>
  <si>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</si>
  <si>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</si>
  <si>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</si>
  <si>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</si>
  <si>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</si>
  <si>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</si>
  <si>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</si>
  <si>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</si>
  <si>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</si>
  <si>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</si>
  <si>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</si>
  <si>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</si>
  <si>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</si>
  <si>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</si>
  <si>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</si>
  <si>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</si>
  <si>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</si>
  <si>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</si>
  <si>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</si>
  <si>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</si>
  <si>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</si>
  <si>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</si>
  <si>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</si>
  <si>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</si>
  <si>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</si>
  <si>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</si>
  <si>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</si>
  <si>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</si>
  <si>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</si>
  <si>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</si>
  <si>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</si>
  <si>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</si>
  <si>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</si>
  <si>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</si>
  <si>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</si>
  <si>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</si>
  <si>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</si>
  <si>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</si>
  <si>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</si>
  <si>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</si>
  <si>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</si>
  <si>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</si>
  <si>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</si>
  <si>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</si>
  <si>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</si>
  <si>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</si>
  <si>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</si>
  <si>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</si>
  <si>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</si>
  <si>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</si>
  <si>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</si>
  <si>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</si>
  <si>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</si>
  <si>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</si>
  <si>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</si>
  <si>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</si>
  <si>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</si>
  <si>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</si>
  <si>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</si>
  <si>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</si>
  <si>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</si>
  <si>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</si>
  <si>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</si>
  <si>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</si>
  <si>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</si>
  <si>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</si>
  <si>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</si>
  <si>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</si>
  <si>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</si>
  <si>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</si>
  <si>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</si>
  <si>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</si>
  <si>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</si>
  <si>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</si>
  <si>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</si>
  <si>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</si>
  <si>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</si>
  <si>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</si>
  <si>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</si>
  <si>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</si>
  <si>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</si>
  <si>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</si>
  <si>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</si>
  <si>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</si>
  <si>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</si>
  <si>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</si>
  <si>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</si>
  <si>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</si>
  <si>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</si>
  <si>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</si>
  <si>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</si>
  <si>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</si>
  <si>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</si>
  <si>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</si>
  <si>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</si>
  <si>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</si>
  <si>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</si>
  <si>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</si>
  <si>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</si>
  <si>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</si>
  <si>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</si>
  <si>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</si>
  <si>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</si>
  <si>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</si>
  <si>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</si>
  <si>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</si>
  <si>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</si>
  <si>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</si>
  <si>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</si>
  <si>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</si>
  <si>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</si>
  <si>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</si>
  <si>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</si>
  <si>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</si>
  <si>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</si>
  <si>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</si>
  <si>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</si>
  <si>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</si>
  <si>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</si>
  <si>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</si>
  <si>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</si>
  <si>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</si>
  <si>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</si>
  <si>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</si>
  <si>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</si>
  <si>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</si>
  <si>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</si>
  <si>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</si>
  <si>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</si>
  <si>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</si>
  <si>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</si>
  <si>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</si>
  <si>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</si>
  <si>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</si>
  <si>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</si>
  <si>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</si>
  <si>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</si>
  <si>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</si>
  <si>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</si>
  <si>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</si>
  <si>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</si>
  <si>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</si>
  <si>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</si>
  <si>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</si>
  <si>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</si>
  <si>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</si>
  <si>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</si>
  <si>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</si>
  <si>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</si>
  <si>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</si>
  <si>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</si>
  <si>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</si>
  <si>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</si>
  <si>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</si>
  <si>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</si>
  <si>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</si>
  <si>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</si>
  <si>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</si>
  <si>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</si>
  <si>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</si>
  <si>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</si>
  <si>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</si>
  <si>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</si>
  <si>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</si>
  <si>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</si>
  <si>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</si>
  <si>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</si>
  <si>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</si>
  <si>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</si>
  <si>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</si>
  <si>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</si>
  <si>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ZWP23 JACKET FREE FLOATATION AND UPENDING ANALYSIS REPORT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</si>
  <si>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</si>
  <si>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</si>
  <si>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</si>
  <si>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</si>
  <si>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</si>
  <si>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</si>
  <si>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MATERIAL REQUISITION FOR ZWP23 JACKET MISCELLANEOUS STEEL</t>
  </si>
  <si>
    <t>MATERIAL REQUISITION FOR ZWP22 JACKET MISCELLANEOUS STEEL</t>
  </si>
  <si>
    <t>MATERIAL REQUISITION FOR ZWP20 JACKETMISCELLANEOUS STEEL</t>
  </si>
  <si>
    <t>ZWP21 JACKET MISCELLANEOUS DESIGN (SUPERSEDED)</t>
  </si>
  <si>
    <t>ZWP21 JACKET MISCELLANEOUS DESIGN NEW WATER DEPTH)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</si>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</sst>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8" tint="0.79998168889431442"/>
      <name val="Aptos Narrow"/>
      <family val="2"/>
      <scheme val="minor"/>
    </font>
    <font>
      <strike/>
      <sz val="7"/>
      <color theme="8" tint="0.79998168889431442"/>
      <name val="Aptos Narrow"/>
      <family val="2"/>
      <scheme val="minor"/>
    </font>
    <font>
      <strike/>
      <sz val="7"/>
      <color theme="7" tint="0.79998168889431442"/>
      <name val="Aptos Narrow"/>
      <family val="2"/>
      <scheme val="minor"/>
    </font>
    <font>
      <strike/>
      <sz val="7"/>
      <color theme="5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8" fillId="8" borderId="1" xfId="0" applyNumberFormat="1" applyFont="1" applyFill="1" applyBorder="1" applyAlignment="1">
      <alignment vertical="center"/>
    </xf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164" fontId="39" fillId="11" borderId="1" xfId="0" applyNumberFormat="1" applyFont="1" applyFill="1" applyBorder="1"/>
    <xf numFmtId="164" fontId="38" fillId="11" borderId="1" xfId="0" applyNumberFormat="1" applyFont="1" applyFill="1" applyBorder="1"/>
    <xf numFmtId="165" fontId="34" fillId="4" borderId="1" xfId="0" applyNumberFormat="1" applyFont="1" applyFill="1" applyBorder="1"/>
    <xf numFmtId="0" fontId="37" fillId="12" borderId="1" xfId="0" applyFont="1" applyFill="1" applyBorder="1"/>
    <xf numFmtId="9" fontId="37" fillId="12" borderId="1" xfId="2" applyFont="1" applyFill="1" applyBorder="1"/>
    <xf numFmtId="164" fontId="44" fillId="12" borderId="1" xfId="0" applyNumberFormat="1" applyFont="1" applyFill="1" applyBorder="1"/>
    <xf numFmtId="164" fontId="45" fillId="12" borderId="1" xfId="0" applyNumberFormat="1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164" fontId="46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4" fontId="47" fillId="14" borderId="1" xfId="0" applyNumberFormat="1" applyFont="1" applyFill="1" applyBorder="1"/>
    <xf numFmtId="165" fontId="37" fillId="11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4"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0.40320400000000078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0.60995900000000158</c:v>
                </c:pt>
                <c:pt idx="26">
                  <c:v>0.64097100000000173</c:v>
                </c:pt>
                <c:pt idx="27">
                  <c:v>0.66768100000000186</c:v>
                </c:pt>
                <c:pt idx="28">
                  <c:v>0.69091900000000206</c:v>
                </c:pt>
                <c:pt idx="29">
                  <c:v>0.71404400000000201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0.40320400000000078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0.60995900000000158</c:v>
                </c:pt>
                <c:pt idx="26">
                  <c:v>0.64097100000000173</c:v>
                </c:pt>
                <c:pt idx="27">
                  <c:v>0.66768100000000186</c:v>
                </c:pt>
                <c:pt idx="28">
                  <c:v>0.69091900000000206</c:v>
                </c:pt>
                <c:pt idx="29">
                  <c:v>0.71404400000000201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0.36959600000000087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  <c:pt idx="21">
                  <c:v>0.49812900000000115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63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abSelected="1" topLeftCell="D2" zoomScaleNormal="100" workbookViewId="0">
      <selection activeCell="H29" sqref="H29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26</v>
      </c>
      <c r="G1" s="23">
        <f>O1-1</f>
        <v>26</v>
      </c>
      <c r="H1" s="23">
        <f t="shared" ref="H1:I1" si="0">P1-1</f>
        <v>26</v>
      </c>
      <c r="I1" s="23">
        <f t="shared" si="0"/>
        <v>26</v>
      </c>
      <c r="J1" s="23"/>
      <c r="K1" s="23"/>
      <c r="L1" s="23"/>
      <c r="M1" s="23"/>
      <c r="N1" s="23">
        <f>_xlfn.XLOOKUP(D3,'Progress%'!6:6,'Progress%'!1:1,0)</f>
        <v>27</v>
      </c>
      <c r="O1" s="23">
        <f>_xlfn.XLOOKUP(D3,'Progress%'!6:6,'Progress%'!1:1,0)</f>
        <v>27</v>
      </c>
      <c r="P1" s="23">
        <f>N1</f>
        <v>27</v>
      </c>
      <c r="Q1" s="23">
        <f>P1</f>
        <v>27</v>
      </c>
    </row>
    <row r="2" spans="1:17" collapsed="1" x14ac:dyDescent="0.35">
      <c r="D2" s="16" t="s">
        <v>32</v>
      </c>
    </row>
    <row r="3" spans="1:17" x14ac:dyDescent="0.35">
      <c r="D3" s="25">
        <v>46248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13" t="s">
        <v>24</v>
      </c>
      <c r="E6" s="213" t="s">
        <v>25</v>
      </c>
      <c r="F6" s="215" t="s">
        <v>31</v>
      </c>
      <c r="G6" s="216"/>
      <c r="H6" s="216"/>
      <c r="I6" s="217"/>
      <c r="J6" s="215" t="s">
        <v>26</v>
      </c>
      <c r="K6" s="216"/>
      <c r="L6" s="216"/>
      <c r="M6" s="217"/>
      <c r="N6" s="215" t="s">
        <v>27</v>
      </c>
      <c r="O6" s="216"/>
      <c r="P6" s="216"/>
      <c r="Q6" s="217"/>
    </row>
    <row r="7" spans="1:17" ht="24.5" customHeight="1" thickBot="1" x14ac:dyDescent="0.4">
      <c r="D7" s="214"/>
      <c r="E7" s="214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67</v>
      </c>
      <c r="E8" s="19">
        <v>0.25</v>
      </c>
      <c r="F8" s="19" cm="1">
        <f t="array" ref="F8">INDEX('Progress%'!$A$1:$CT$37,'Progress Summary'!$A8,'Progress Summary'!F$1)</f>
        <v>0.6252600000000017</v>
      </c>
      <c r="G8" s="19" cm="1">
        <f t="array" ref="G8">INDEX('Progress%'!$A$1:$CT$37,'Progress Summary'!$B8,'Progress Summary'!G$1)</f>
        <v>0.6252600000000017</v>
      </c>
      <c r="H8" s="19" cm="1">
        <f t="array" ref="H8">INDEX('Progress%'!$A$1:$CT$37,'Progress Summary'!$C8,'Progress Summary'!H$1)</f>
        <v>0.62779200000000157</v>
      </c>
      <c r="I8" s="19">
        <f>H8-F8</f>
        <v>2.5319999999998677E-3</v>
      </c>
      <c r="J8" s="19">
        <f t="shared" ref="J8:M10" si="2">N8-F8</f>
        <v>3.2955999999999985E-2</v>
      </c>
      <c r="K8" s="19">
        <f t="shared" si="2"/>
        <v>3.2955999999999985E-2</v>
      </c>
      <c r="L8" s="19">
        <f t="shared" si="2"/>
        <v>3.4572000000000047E-2</v>
      </c>
      <c r="M8" s="19">
        <f t="shared" si="2"/>
        <v>1.6160000000000618E-3</v>
      </c>
      <c r="N8" s="19" cm="1">
        <f t="array" ref="N8">INDEX('Progress%'!$A$1:$CT$37,'Progress Summary'!$A8,'Progress Summary'!N$1)</f>
        <v>0.65821600000000169</v>
      </c>
      <c r="O8" s="19" cm="1">
        <f t="array" ref="O8">INDEX('Progress%'!$A$1:$CT$37,'Progress Summary'!$B8,'Progress Summary'!O$1)</f>
        <v>0.65821600000000169</v>
      </c>
      <c r="P8" s="19" cm="1">
        <f t="array" ref="P8">INDEX('Progress%'!$A$1:$CT$37,'Progress Summary'!$C8,'Progress Summary'!P$1)</f>
        <v>0.66236400000000162</v>
      </c>
      <c r="Q8" s="19">
        <f>P8-N8</f>
        <v>4.1479999999999295E-3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65</v>
      </c>
      <c r="E9" s="19">
        <v>0.25</v>
      </c>
      <c r="F9" s="19" cm="1">
        <f t="array" ref="F9">INDEX('Progress%'!$A$1:$CT$37,'Progress Summary'!$A9,'Progress Summary'!F$1)</f>
        <v>0.5189360000000014</v>
      </c>
      <c r="G9" s="19" cm="1">
        <f t="array" ref="G9">INDEX('Progress%'!$A$1:$CT$37,'Progress Summary'!$B9,'Progress Summary'!G$1)</f>
        <v>0.5189360000000014</v>
      </c>
      <c r="H9" s="19" cm="1">
        <f t="array" ref="H9">INDEX('Progress%'!$A$1:$CT$37,'Progress Summary'!$C9,'Progress Summary'!H$1)</f>
        <v>0.51581200000000127</v>
      </c>
      <c r="I9" s="19">
        <f>H9-F9</f>
        <v>-3.1240000000001267E-3</v>
      </c>
      <c r="J9" s="19">
        <f t="shared" si="2"/>
        <v>1.6888000000000125E-2</v>
      </c>
      <c r="K9" s="19">
        <f t="shared" si="2"/>
        <v>1.6888000000000125E-2</v>
      </c>
      <c r="L9" s="19">
        <f t="shared" si="2"/>
        <v>6.4675999999999956E-2</v>
      </c>
      <c r="M9" s="19">
        <f t="shared" si="2"/>
        <v>4.7787999999999831E-2</v>
      </c>
      <c r="N9" s="19" cm="1">
        <f t="array" ref="N9">INDEX('Progress%'!$A$1:$CT$37,'Progress Summary'!$A9,'Progress Summary'!N$1)</f>
        <v>0.53582400000000152</v>
      </c>
      <c r="O9" s="19" cm="1">
        <f t="array" ref="O9">INDEX('Progress%'!$A$1:$CT$37,'Progress Summary'!$B9,'Progress Summary'!O$1)</f>
        <v>0.53582400000000152</v>
      </c>
      <c r="P9" s="19" cm="1">
        <f t="array" ref="P9">INDEX('Progress%'!$A$1:$CT$37,'Progress Summary'!$C9,'Progress Summary'!P$1)</f>
        <v>0.58048800000000123</v>
      </c>
      <c r="Q9" s="19">
        <f>P9-N9</f>
        <v>4.4663999999999704E-2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68</v>
      </c>
      <c r="E10" s="19">
        <v>0.25</v>
      </c>
      <c r="F10" s="19" cm="1">
        <f t="array" ref="F10">INDEX('Progress%'!$A$1:$CT$37,'Progress Summary'!$A10,'Progress Summary'!F$1)</f>
        <v>0.37712000000000079</v>
      </c>
      <c r="G10" s="19" cm="1">
        <f t="array" ref="G10">INDEX('Progress%'!$A$1:$CT$37,'Progress Summary'!$B10,'Progress Summary'!G$1)</f>
        <v>0.37712000000000079</v>
      </c>
      <c r="H10" s="19" cm="1">
        <f t="array" ref="H10">INDEX('Progress%'!$A$1:$CT$37,'Progress Summary'!$C10,'Progress Summary'!H$1)</f>
        <v>0.37985600000000069</v>
      </c>
      <c r="I10" s="19">
        <f>H10-F10</f>
        <v>2.7359999999999052E-3</v>
      </c>
      <c r="J10" s="19">
        <f t="shared" si="2"/>
        <v>6.5440000000000054E-2</v>
      </c>
      <c r="K10" s="19">
        <f t="shared" si="2"/>
        <v>6.5440000000000054E-2</v>
      </c>
      <c r="L10" s="19">
        <f t="shared" si="2"/>
        <v>6.0036000000000367E-2</v>
      </c>
      <c r="M10" s="19">
        <f t="shared" si="2"/>
        <v>-5.4039999999996868E-3</v>
      </c>
      <c r="N10" s="19" cm="1">
        <f t="array" ref="N10">INDEX('Progress%'!$A$1:$CT$37,'Progress Summary'!$A10,'Progress Summary'!N$1)</f>
        <v>0.44256000000000084</v>
      </c>
      <c r="O10" s="19" cm="1">
        <f t="array" ref="O10">INDEX('Progress%'!$A$1:$CT$37,'Progress Summary'!$B10,'Progress Summary'!O$1)</f>
        <v>0.44256000000000084</v>
      </c>
      <c r="P10" s="19" cm="1">
        <f t="array" ref="P10">INDEX('Progress%'!$A$1:$CT$37,'Progress Summary'!$C10,'Progress Summary'!P$1)</f>
        <v>0.43989200000000106</v>
      </c>
      <c r="Q10" s="19">
        <f>P10-N10</f>
        <v>-2.6679999999997817E-3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66</v>
      </c>
      <c r="E11" s="19">
        <v>0.25</v>
      </c>
      <c r="F11" s="19" cm="1">
        <f t="array" ref="F11">INDEX('Progress%'!$A$1:$CT$37,'Progress Summary'!$A11,'Progress Summary'!F$1)</f>
        <v>0.24270000000000025</v>
      </c>
      <c r="G11" s="19" cm="1">
        <f t="array" ref="G11">INDEX('Progress%'!$A$1:$CT$37,'Progress Summary'!$B11,'Progress Summary'!G$1)</f>
        <v>0.24270000000000025</v>
      </c>
      <c r="H11" s="19" cm="1">
        <f t="array" ref="H11">INDEX('Progress%'!$A$1:$CT$37,'Progress Summary'!$C11,'Progress Summary'!H$1)</f>
        <v>0.29713600000000084</v>
      </c>
      <c r="I11" s="19">
        <f t="shared" ref="I11" si="5">H11-F11</f>
        <v>5.4436000000000595E-2</v>
      </c>
      <c r="J11" s="19">
        <f>N11-F11</f>
        <v>3.1580000000000163E-2</v>
      </c>
      <c r="K11" s="19">
        <f t="shared" ref="K11" si="6">O11-G11</f>
        <v>3.1580000000000163E-2</v>
      </c>
      <c r="L11" s="19">
        <f t="shared" ref="L11:M11" si="7">P11-H11</f>
        <v>1.2635999999999981E-2</v>
      </c>
      <c r="M11" s="19">
        <f t="shared" si="7"/>
        <v>-1.8944000000000183E-2</v>
      </c>
      <c r="N11" s="19" cm="1">
        <f t="array" ref="N11">INDEX('Progress%'!$A$1:$CT$37,'Progress Summary'!$A11,'Progress Summary'!N$1)</f>
        <v>0.27428000000000041</v>
      </c>
      <c r="O11" s="19" cm="1">
        <f t="array" ref="O11">INDEX('Progress%'!$A$1:$CT$37,'Progress Summary'!$B11,'Progress Summary'!O$1)</f>
        <v>0.27428000000000041</v>
      </c>
      <c r="P11" s="19" cm="1">
        <f t="array" ref="P11">INDEX('Progress%'!$A$1:$CT$37,'Progress Summary'!$C11,'Progress Summary'!P$1)</f>
        <v>0.30977200000000082</v>
      </c>
      <c r="Q11" s="19">
        <f t="shared" ref="Q11" si="8">P11-N11</f>
        <v>3.5492000000000412E-2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0.44100400000000106</v>
      </c>
      <c r="G12" s="20">
        <f t="shared" si="9"/>
        <v>0.44100400000000106</v>
      </c>
      <c r="H12" s="20">
        <f t="shared" si="9"/>
        <v>0.45514900000000114</v>
      </c>
      <c r="I12" s="20">
        <f t="shared" si="9"/>
        <v>1.414500000000006E-2</v>
      </c>
      <c r="J12" s="20">
        <f t="shared" si="9"/>
        <v>3.6716000000000082E-2</v>
      </c>
      <c r="K12" s="20">
        <f t="shared" si="9"/>
        <v>3.6716000000000082E-2</v>
      </c>
      <c r="L12" s="20">
        <f t="shared" si="9"/>
        <v>4.2980000000000088E-2</v>
      </c>
      <c r="M12" s="20">
        <f t="shared" si="9"/>
        <v>6.2640000000000057E-3</v>
      </c>
      <c r="N12" s="20">
        <f t="shared" si="9"/>
        <v>0.47772000000000114</v>
      </c>
      <c r="O12" s="20">
        <f t="shared" si="9"/>
        <v>0.47772000000000114</v>
      </c>
      <c r="P12" s="20">
        <f t="shared" si="9"/>
        <v>0.49812900000000115</v>
      </c>
      <c r="Q12" s="20">
        <f t="shared" si="9"/>
        <v>2.0409000000000066E-2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62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63</v>
      </c>
      <c r="F4">
        <f>'Progress%'!A28</f>
        <v>28</v>
      </c>
    </row>
    <row r="5" spans="2:6" x14ac:dyDescent="0.35">
      <c r="B5" s="21">
        <f t="shared" si="0"/>
        <v>46122</v>
      </c>
      <c r="E5" t="s">
        <v>61</v>
      </c>
      <c r="F5">
        <f>'Progress%'!A7</f>
        <v>7</v>
      </c>
    </row>
    <row r="6" spans="2:6" x14ac:dyDescent="0.35">
      <c r="B6" s="21">
        <f t="shared" si="0"/>
        <v>46129</v>
      </c>
      <c r="E6" t="s">
        <v>64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46248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67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0.43570000000000114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0.6252600000000017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0.65821600000000169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0.71244400000000196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0.7503200000000021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0.77283600000000219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0.80044800000000238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0.82052400000000236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0.83256000000000252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0.85220000000000251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67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0.43570000000000114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0.6252600000000017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0.65821600000000169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0.71244400000000196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0.7503200000000021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0.77283600000000219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0.80044800000000238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0.82052400000000236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0.83256000000000252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0.85220000000000251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67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0.37796000000000107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0.66236400000000162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0.66236400000000162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0.66236400000000162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0.66236400000000162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0.66274000000000155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0.66274000000000155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0.66349200000000164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0.66349200000000164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0.66349200000000164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0.66349200000000164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0.66349200000000164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0.66349200000000164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0.66349200000000164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0.66349200000000164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0.66349200000000164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0.66349200000000164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0.66349200000000164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0.66349200000000164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0.66349200000000164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0.66349200000000164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0.66349200000000164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0.66349200000000164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0.66349200000000164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0.66349200000000164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0.66349200000000164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0.66349200000000164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0.66349200000000164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0.66349200000000164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0.66349200000000164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0.66349200000000164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0.66349200000000164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0.66349200000000164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0.66349200000000164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0.66349200000000164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0.66349200000000164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0.66349200000000164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0.66349200000000164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0.66349200000000164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0.66349200000000164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0.66349200000000164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0.66349200000000164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0.66349200000000164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0.66349200000000164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0.66349200000000164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0.66349200000000164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0.66349200000000164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0.66349200000000164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0.66349200000000164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0.66349200000000164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0.66349200000000164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0.66349200000000164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0.66349200000000164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0.66349200000000164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0.66349200000000164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0.66349200000000164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0.66349200000000164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0.66349200000000164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0.66349200000000164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0.66349200000000164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0.66349200000000164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0.66349200000000164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0.66349200000000164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0.66349200000000164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0.66349200000000164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0.66349200000000164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0.66349200000000164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0.66349200000000164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0.66349200000000164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0.66349200000000164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0.66349200000000164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0.66349200000000164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0.66349200000000164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65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0.58976800000000151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0.64306000000000163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0.70696800000000193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65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0.58976800000000151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0.64306000000000163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0.70696800000000193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65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0.58048800000000123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0.58048800000000123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0.58048800000000123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0.58048800000000123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0.58048800000000123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0.58048800000000123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0.58048800000000123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0.58048800000000123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0.58048800000000123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0.58048800000000123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0.58048800000000123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0.58048800000000123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0.58048800000000123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0.58048800000000123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0.58048800000000123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0.58048800000000123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0.58048800000000123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0.58048800000000123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0.58048800000000123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0.58048800000000123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0.58048800000000123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0.58048800000000123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0.58048800000000123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0.58048800000000123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0.58048800000000123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0.58048800000000123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0.58048800000000123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0.58048800000000123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0.58048800000000123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0.58048800000000123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0.58048800000000123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0.58048800000000123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0.58048800000000123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0.58048800000000123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0.58048800000000123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0.58048800000000123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0.58048800000000123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0.58048800000000123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0.58048800000000123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0.58048800000000123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0.58048800000000123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0.58048800000000123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0.58048800000000123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0.58048800000000123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0.58048800000000123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0.58048800000000123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0.58048800000000123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0.58048800000000123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0.58048800000000123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0.58048800000000123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0.58048800000000123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0.58048800000000123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0.58048800000000123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0.58048800000000123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0.58048800000000123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0.58048800000000123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0.58048800000000123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0.58048800000000123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0.58048800000000123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0.58048800000000123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0.58048800000000123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0.58048800000000123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0.58048800000000123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0.58048800000000123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0.58048800000000123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0.58048800000000123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0.58048800000000123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0.58048800000000123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0.58048800000000123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0.58048800000000123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0.58048800000000123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68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68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68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0.26573600000000086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0.43989200000000106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0.43989200000000106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0.43989200000000106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0.43989200000000106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0.43989200000000106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0.43989200000000106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0.43989200000000106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0.43989200000000106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0.43989200000000106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0.43989200000000106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0.43989200000000106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0.43989200000000106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0.43989200000000106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0.43989200000000106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0.43989200000000106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0.43989200000000106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0.43989200000000106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0.43989200000000106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0.43989200000000106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0.43989200000000106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0.43989200000000106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0.43989200000000106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0.43989200000000106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0.43989200000000106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0.43989200000000106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0.43989200000000106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0.43989200000000106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0.43989200000000106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0.43989200000000106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0.43989200000000106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0.43989200000000106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0.43989200000000106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0.43989200000000106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0.43989200000000106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0.43989200000000106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0.43989200000000106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0.43989200000000106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0.43989200000000106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0.43989200000000106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0.43989200000000106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0.43989200000000106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0.43989200000000106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0.43989200000000106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0.43989200000000106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0.43989200000000106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0.43989200000000106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0.43989200000000106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0.43989200000000106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0.43989200000000106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0.43989200000000106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0.43989200000000106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0.43989200000000106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0.43989200000000106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0.43989200000000106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0.43989200000000106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0.43989200000000106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0.43989200000000106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0.43989200000000106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0.43989200000000106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0.43989200000000106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0.43989200000000106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0.43989200000000106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0.43989200000000106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0.43989200000000106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0.43989200000000106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0.43989200000000106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0.43989200000000106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0.43989200000000106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0.43989200000000106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0.43989200000000106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0.43989200000000106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66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66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66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0.25253600000000065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0.25413600000000064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0.25893600000000067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0.29713600000000084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0.30977200000000082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0.30977200000000082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0.30977200000000082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0.30977200000000082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0.30977200000000082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0.30977200000000082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0.30977200000000082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0.30977200000000082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0.30977200000000082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0.30977200000000082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0.30977200000000082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0.30977200000000082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0.30977200000000082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0.30977200000000082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0.30977200000000082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0.30977200000000082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0.30977200000000082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0.30977200000000082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0.30977200000000082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0.30977200000000082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0.30977200000000082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0.30977200000000082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0.30977200000000082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0.30977200000000082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0.30977200000000082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0.30977200000000082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0.30977200000000082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0.30977200000000082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0.30977200000000082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0.30977200000000082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0.30977200000000082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0.30977200000000082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0.30977200000000082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0.30977200000000082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0.30977200000000082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0.30977200000000082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0.30977200000000082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0.30977200000000082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0.30977200000000082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0.30977200000000082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0.30977200000000082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0.30977200000000082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0.30977200000000082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0.30977200000000082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0.30977200000000082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0.30977200000000082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0.30977200000000082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0.30977200000000082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0.30977200000000082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0.30977200000000082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0.30977200000000082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0.30977200000000082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0.30977200000000082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0.30977200000000082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0.30977200000000082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0.30977200000000082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0.30977200000000082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0.30977200000000082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0.30977200000000082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0.30977200000000082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0.30977200000000082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0.30977200000000082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0.30977200000000082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0.30977200000000082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0.30977200000000082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0.30977200000000082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0.30977200000000082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0.30977200000000082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0.30977200000000082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0.30977200000000082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0.30977200000000082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0.30977200000000082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0.2383850000000004</v>
      </c>
      <c r="U35" s="15">
        <f t="shared" si="366"/>
        <v>0.27294800000000041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0.40320400000000078</v>
      </c>
      <c r="Z35" s="15">
        <f t="shared" si="366"/>
        <v>0.44100400000000106</v>
      </c>
      <c r="AA35" s="15">
        <f t="shared" si="366"/>
        <v>0.47772000000000114</v>
      </c>
      <c r="AB35" s="15">
        <f t="shared" si="366"/>
        <v>0.51431900000000119</v>
      </c>
      <c r="AC35" s="15">
        <f t="shared" si="366"/>
        <v>0.54356500000000141</v>
      </c>
      <c r="AD35" s="15">
        <f t="shared" si="366"/>
        <v>0.57754700000000148</v>
      </c>
      <c r="AE35" s="15">
        <f t="shared" si="366"/>
        <v>0.60995900000000158</v>
      </c>
      <c r="AF35" s="15">
        <f t="shared" si="366"/>
        <v>0.64097100000000173</v>
      </c>
      <c r="AG35" s="15">
        <f t="shared" si="366"/>
        <v>0.66768100000000186</v>
      </c>
      <c r="AH35" s="15">
        <f t="shared" si="366"/>
        <v>0.69091900000000206</v>
      </c>
      <c r="AI35" s="15">
        <f t="shared" si="366"/>
        <v>0.71404400000000201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0.2383850000000004</v>
      </c>
      <c r="U36" s="15">
        <f t="shared" si="366"/>
        <v>0.27294800000000041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0.40320400000000078</v>
      </c>
      <c r="Z36" s="15">
        <f t="shared" si="366"/>
        <v>0.44100400000000106</v>
      </c>
      <c r="AA36" s="15">
        <f t="shared" si="366"/>
        <v>0.47772000000000114</v>
      </c>
      <c r="AB36" s="15">
        <f t="shared" si="366"/>
        <v>0.51431900000000119</v>
      </c>
      <c r="AC36" s="15">
        <f t="shared" si="366"/>
        <v>0.54356500000000141</v>
      </c>
      <c r="AD36" s="15">
        <f t="shared" si="366"/>
        <v>0.57754700000000148</v>
      </c>
      <c r="AE36" s="15">
        <f t="shared" si="366"/>
        <v>0.60995900000000158</v>
      </c>
      <c r="AF36" s="15">
        <f t="shared" si="366"/>
        <v>0.64097100000000173</v>
      </c>
      <c r="AG36" s="15">
        <f t="shared" si="366"/>
        <v>0.66768100000000186</v>
      </c>
      <c r="AH36" s="15">
        <f t="shared" si="366"/>
        <v>0.69091900000000206</v>
      </c>
      <c r="AI36" s="15">
        <f t="shared" si="366"/>
        <v>0.71404400000000201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0.36959600000000087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0.49812900000000115</v>
      </c>
      <c r="AB37" s="15">
        <f t="shared" si="369"/>
        <v>0.49812900000000115</v>
      </c>
      <c r="AC37" s="15">
        <f t="shared" si="369"/>
        <v>0.49812900000000115</v>
      </c>
      <c r="AD37" s="15">
        <f t="shared" si="369"/>
        <v>0.49812900000000115</v>
      </c>
      <c r="AE37" s="15">
        <f t="shared" si="369"/>
        <v>0.49822300000000119</v>
      </c>
      <c r="AF37" s="15">
        <f t="shared" si="369"/>
        <v>0.49822300000000119</v>
      </c>
      <c r="AG37" s="15">
        <f t="shared" si="369"/>
        <v>0.49841100000000116</v>
      </c>
      <c r="AH37" s="15">
        <f t="shared" si="369"/>
        <v>0.49841100000000116</v>
      </c>
      <c r="AI37" s="15">
        <f t="shared" si="369"/>
        <v>0.49841100000000116</v>
      </c>
      <c r="AJ37" s="15">
        <f t="shared" si="369"/>
        <v>0.49841100000000116</v>
      </c>
      <c r="AK37" s="15">
        <f t="shared" si="369"/>
        <v>0.49841100000000116</v>
      </c>
      <c r="AL37" s="15">
        <f t="shared" si="369"/>
        <v>0.49841100000000116</v>
      </c>
      <c r="AM37" s="15">
        <f t="shared" si="369"/>
        <v>0.49841100000000116</v>
      </c>
      <c r="AN37" s="15">
        <f t="shared" si="369"/>
        <v>0.49841100000000116</v>
      </c>
      <c r="AO37" s="15">
        <f t="shared" si="369"/>
        <v>0.49841100000000116</v>
      </c>
      <c r="AP37" s="15">
        <f t="shared" si="369"/>
        <v>0.49841100000000116</v>
      </c>
      <c r="AQ37" s="15">
        <f t="shared" si="369"/>
        <v>0.49841100000000116</v>
      </c>
      <c r="AR37" s="15">
        <f t="shared" si="369"/>
        <v>0.49841100000000116</v>
      </c>
      <c r="AS37" s="15">
        <f t="shared" si="369"/>
        <v>0.49841100000000116</v>
      </c>
      <c r="AT37" s="15">
        <f t="shared" si="369"/>
        <v>0.49841100000000116</v>
      </c>
      <c r="AU37" s="15">
        <f t="shared" si="369"/>
        <v>0.49841100000000116</v>
      </c>
      <c r="AV37" s="15">
        <f t="shared" si="369"/>
        <v>0.49841100000000116</v>
      </c>
      <c r="AW37" s="15">
        <f t="shared" si="369"/>
        <v>0.49841100000000116</v>
      </c>
      <c r="AX37" s="15">
        <f t="shared" si="369"/>
        <v>0.49841100000000116</v>
      </c>
      <c r="AY37" s="15">
        <f t="shared" si="369"/>
        <v>0.49841100000000116</v>
      </c>
      <c r="AZ37" s="15">
        <f t="shared" si="369"/>
        <v>0.49841100000000116</v>
      </c>
      <c r="BA37" s="15">
        <f t="shared" si="369"/>
        <v>0.49841100000000116</v>
      </c>
      <c r="BB37" s="15">
        <f t="shared" si="369"/>
        <v>0.49841100000000116</v>
      </c>
      <c r="BC37" s="15">
        <f t="shared" si="369"/>
        <v>0.49841100000000116</v>
      </c>
      <c r="BD37" s="15">
        <f t="shared" si="369"/>
        <v>0.49841100000000116</v>
      </c>
      <c r="BE37" s="15">
        <f t="shared" si="369"/>
        <v>0.49841100000000116</v>
      </c>
      <c r="BF37" s="15">
        <f t="shared" si="369"/>
        <v>0.49841100000000116</v>
      </c>
      <c r="BG37" s="15">
        <f t="shared" si="369"/>
        <v>0.49841100000000116</v>
      </c>
      <c r="BH37" s="15">
        <f t="shared" si="369"/>
        <v>0.49841100000000116</v>
      </c>
      <c r="BI37" s="15">
        <f t="shared" si="369"/>
        <v>0.49841100000000116</v>
      </c>
      <c r="BJ37" s="15">
        <f t="shared" si="369"/>
        <v>0.49841100000000116</v>
      </c>
      <c r="BK37" s="15">
        <f t="shared" si="369"/>
        <v>0.49841100000000116</v>
      </c>
      <c r="BL37" s="15">
        <f t="shared" si="369"/>
        <v>0.49841100000000116</v>
      </c>
      <c r="BM37" s="15">
        <f t="shared" si="369"/>
        <v>0.49841100000000116</v>
      </c>
      <c r="BN37" s="15">
        <f t="shared" si="369"/>
        <v>0.49841100000000116</v>
      </c>
      <c r="BO37" s="15">
        <f t="shared" si="369"/>
        <v>0.49841100000000116</v>
      </c>
      <c r="BP37" s="15">
        <f t="shared" si="369"/>
        <v>0.49841100000000116</v>
      </c>
      <c r="BQ37" s="15">
        <f t="shared" si="369"/>
        <v>0.49841100000000116</v>
      </c>
      <c r="BR37" s="15">
        <f t="shared" si="369"/>
        <v>0.49841100000000116</v>
      </c>
      <c r="BS37" s="15">
        <f t="shared" ref="BS37:CT37" si="370">SUMPRODUCT($D9,BS9)+SUMPRODUCT($D16,BS16)+SUMPRODUCT($D23,BS23)+SUMPRODUCT($D30,BS30)/$D37</f>
        <v>0.49841100000000116</v>
      </c>
      <c r="BT37" s="15">
        <f t="shared" si="370"/>
        <v>0.49841100000000116</v>
      </c>
      <c r="BU37" s="15">
        <f t="shared" si="370"/>
        <v>0.49841100000000116</v>
      </c>
      <c r="BV37" s="15">
        <f t="shared" si="370"/>
        <v>0.49841100000000116</v>
      </c>
      <c r="BW37" s="15">
        <f t="shared" si="370"/>
        <v>0.49841100000000116</v>
      </c>
      <c r="BX37" s="15">
        <f t="shared" si="370"/>
        <v>0.49841100000000116</v>
      </c>
      <c r="BY37" s="15">
        <f t="shared" si="370"/>
        <v>0.49841100000000116</v>
      </c>
      <c r="BZ37" s="15">
        <f t="shared" si="370"/>
        <v>0.49841100000000116</v>
      </c>
      <c r="CA37" s="15">
        <f t="shared" si="370"/>
        <v>0.49841100000000116</v>
      </c>
      <c r="CB37" s="15">
        <f t="shared" si="370"/>
        <v>0.49841100000000116</v>
      </c>
      <c r="CC37" s="15">
        <f t="shared" si="370"/>
        <v>0.49841100000000116</v>
      </c>
      <c r="CD37" s="15">
        <f t="shared" si="370"/>
        <v>0.49841100000000116</v>
      </c>
      <c r="CE37" s="15">
        <f t="shared" si="370"/>
        <v>0.49841100000000116</v>
      </c>
      <c r="CF37" s="15">
        <f t="shared" si="370"/>
        <v>0.49841100000000116</v>
      </c>
      <c r="CG37" s="15">
        <f t="shared" si="370"/>
        <v>0.49841100000000116</v>
      </c>
      <c r="CH37" s="15">
        <f t="shared" si="370"/>
        <v>0.49841100000000116</v>
      </c>
      <c r="CI37" s="15">
        <f t="shared" si="370"/>
        <v>0.49841100000000116</v>
      </c>
      <c r="CJ37" s="15">
        <f t="shared" si="370"/>
        <v>0.49841100000000116</v>
      </c>
      <c r="CK37" s="15">
        <f t="shared" si="370"/>
        <v>0.49841100000000116</v>
      </c>
      <c r="CL37" s="15">
        <f t="shared" si="370"/>
        <v>0.49841100000000116</v>
      </c>
      <c r="CM37" s="15">
        <f t="shared" si="370"/>
        <v>0.49841100000000116</v>
      </c>
      <c r="CN37" s="15">
        <f t="shared" si="370"/>
        <v>0.49841100000000116</v>
      </c>
      <c r="CO37" s="15">
        <f t="shared" si="370"/>
        <v>0.49841100000000116</v>
      </c>
      <c r="CP37" s="15">
        <f t="shared" si="370"/>
        <v>0.49841100000000116</v>
      </c>
      <c r="CQ37" s="15">
        <f t="shared" si="370"/>
        <v>0.49841100000000116</v>
      </c>
      <c r="CR37" s="15">
        <f t="shared" si="370"/>
        <v>0.49841100000000116</v>
      </c>
      <c r="CS37" s="15">
        <f t="shared" si="370"/>
        <v>0.49841100000000116</v>
      </c>
      <c r="CT37" s="15">
        <f t="shared" si="370"/>
        <v>0.49841100000000116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N13" sqref="AN13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18" t="s">
        <v>69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  <c r="BX4" s="218"/>
      <c r="BY4" s="218"/>
      <c r="BZ4" s="218"/>
      <c r="CA4" s="218"/>
      <c r="CB4" s="218"/>
      <c r="CC4" s="218"/>
      <c r="CD4" s="218"/>
      <c r="CE4" s="218"/>
      <c r="CF4" s="218"/>
      <c r="CG4" s="218"/>
      <c r="CH4" s="218"/>
      <c r="CI4" s="218"/>
      <c r="CJ4" s="218"/>
      <c r="CK4" s="218"/>
      <c r="CL4" s="218"/>
      <c r="CM4" s="218"/>
      <c r="CN4" s="218"/>
      <c r="CO4" s="218"/>
      <c r="CP4" s="218"/>
      <c r="CQ4" s="218"/>
      <c r="CR4" s="218"/>
      <c r="CS4" s="32"/>
    </row>
    <row r="5" spans="1:97" ht="45" x14ac:dyDescent="0.35">
      <c r="B5" s="31"/>
      <c r="C5" s="219" t="s">
        <v>40</v>
      </c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847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0.2383850000000004</v>
      </c>
      <c r="S12" s="43" cm="1">
        <f t="array" ref="S12">INDEX('Progress%'!$A$1:$CT$37,'S-Curves'!$A12,'S-Curves'!S$10)</f>
        <v>0.27294800000000041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0.40320400000000078</v>
      </c>
      <c r="X12" s="43" cm="1">
        <f t="array" ref="X12">INDEX('Progress%'!$A$1:$CT$37,'S-Curves'!$A12,'S-Curves'!X$10)</f>
        <v>0.44100400000000106</v>
      </c>
      <c r="Y12" s="43" cm="1">
        <f t="array" ref="Y12">INDEX('Progress%'!$A$1:$CT$37,'S-Curves'!$A12,'S-Curves'!Y$10)</f>
        <v>0.47772000000000114</v>
      </c>
      <c r="Z12" s="43" cm="1">
        <f t="array" ref="Z12">INDEX('Progress%'!$A$1:$CT$37,'S-Curves'!$A12,'S-Curves'!Z$10)</f>
        <v>0.51431900000000119</v>
      </c>
      <c r="AA12" s="43" cm="1">
        <f t="array" ref="AA12">INDEX('Progress%'!$A$1:$CT$37,'S-Curves'!$A12,'S-Curves'!AA$10)</f>
        <v>0.54356500000000141</v>
      </c>
      <c r="AB12" s="43" cm="1">
        <f t="array" ref="AB12">INDEX('Progress%'!$A$1:$CT$37,'S-Curves'!$A12,'S-Curves'!AB$10)</f>
        <v>0.57754700000000148</v>
      </c>
      <c r="AC12" s="43" cm="1">
        <f t="array" ref="AC12">INDEX('Progress%'!$A$1:$CT$37,'S-Curves'!$A12,'S-Curves'!AC$10)</f>
        <v>0.60995900000000158</v>
      </c>
      <c r="AD12" s="43" cm="1">
        <f t="array" ref="AD12">INDEX('Progress%'!$A$1:$CT$37,'S-Curves'!$A12,'S-Curves'!AD$10)</f>
        <v>0.64097100000000173</v>
      </c>
      <c r="AE12" s="43" cm="1">
        <f t="array" ref="AE12">INDEX('Progress%'!$A$1:$CT$37,'S-Curves'!$A12,'S-Curves'!AE$10)</f>
        <v>0.66768100000000186</v>
      </c>
      <c r="AF12" s="43" cm="1">
        <f t="array" ref="AF12">INDEX('Progress%'!$A$1:$CT$37,'S-Curves'!$A12,'S-Curves'!AF$10)</f>
        <v>0.69091900000000206</v>
      </c>
      <c r="AG12" s="43" cm="1">
        <f t="array" ref="AG12">INDEX('Progress%'!$A$1:$CT$37,'S-Curves'!$A12,'S-Curves'!AG$10)</f>
        <v>0.71404400000000201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0.2383850000000004</v>
      </c>
      <c r="S13" s="43" cm="1">
        <f t="array" ref="S13">INDEX('Progress%'!$A$1:$CT$37,'S-Curves'!$A13,'S-Curves'!S$10)</f>
        <v>0.27294800000000041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0.40320400000000078</v>
      </c>
      <c r="X13" s="43" cm="1">
        <f t="array" ref="X13">INDEX('Progress%'!$A$1:$CT$37,'S-Curves'!$A13,'S-Curves'!X$10)</f>
        <v>0.44100400000000106</v>
      </c>
      <c r="Y13" s="43" cm="1">
        <f t="array" ref="Y13">INDEX('Progress%'!$A$1:$CT$37,'S-Curves'!$A13,'S-Curves'!Y$10)</f>
        <v>0.47772000000000114</v>
      </c>
      <c r="Z13" s="43" cm="1">
        <f t="array" ref="Z13">INDEX('Progress%'!$A$1:$CT$37,'S-Curves'!$A13,'S-Curves'!Z$10)</f>
        <v>0.51431900000000119</v>
      </c>
      <c r="AA13" s="43" cm="1">
        <f t="array" ref="AA13">INDEX('Progress%'!$A$1:$CT$37,'S-Curves'!$A13,'S-Curves'!AA$10)</f>
        <v>0.54356500000000141</v>
      </c>
      <c r="AB13" s="43" cm="1">
        <f t="array" ref="AB13">INDEX('Progress%'!$A$1:$CT$37,'S-Curves'!$A13,'S-Curves'!AB$10)</f>
        <v>0.57754700000000148</v>
      </c>
      <c r="AC13" s="43" cm="1">
        <f t="array" ref="AC13">INDEX('Progress%'!$A$1:$CT$37,'S-Curves'!$A13,'S-Curves'!AC$10)</f>
        <v>0.60995900000000158</v>
      </c>
      <c r="AD13" s="43" cm="1">
        <f t="array" ref="AD13">INDEX('Progress%'!$A$1:$CT$37,'S-Curves'!$A13,'S-Curves'!AD$10)</f>
        <v>0.64097100000000173</v>
      </c>
      <c r="AE13" s="43" cm="1">
        <f t="array" ref="AE13">INDEX('Progress%'!$A$1:$CT$37,'S-Curves'!$A13,'S-Curves'!AE$10)</f>
        <v>0.66768100000000186</v>
      </c>
      <c r="AF13" s="43" cm="1">
        <f t="array" ref="AF13">INDEX('Progress%'!$A$1:$CT$37,'S-Curves'!$A13,'S-Curves'!AF$10)</f>
        <v>0.69091900000000206</v>
      </c>
      <c r="AG13" s="43" cm="1">
        <f t="array" ref="AG13">INDEX('Progress%'!$A$1:$CT$37,'S-Curves'!$A13,'S-Curves'!AG$10)</f>
        <v>0.71404400000000201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0.36959600000000087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 cm="1">
        <f t="array" ref="Y14">INDEX('Progress%'!$A$1:$CT$37,'S-Curves'!$A14,'S-Curves'!Y$10)</f>
        <v>0.49812900000000115</v>
      </c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2.7575000000000099E-2</v>
      </c>
      <c r="S15" s="49">
        <f t="shared" si="0"/>
        <v>3.456300000000001E-2</v>
      </c>
      <c r="T15" s="49">
        <f t="shared" si="0"/>
        <v>3.0541000000000207E-2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3.7752000000000008E-2</v>
      </c>
      <c r="X15" s="49">
        <f t="shared" si="0"/>
        <v>3.7800000000000278E-2</v>
      </c>
      <c r="Y15" s="49">
        <f t="shared" si="0"/>
        <v>3.6716000000000082E-2</v>
      </c>
      <c r="Z15" s="49">
        <f t="shared" si="0"/>
        <v>3.6599000000000048E-2</v>
      </c>
      <c r="AA15" s="49">
        <f t="shared" si="0"/>
        <v>2.9246000000000216E-2</v>
      </c>
      <c r="AB15" s="49">
        <f t="shared" si="0"/>
        <v>3.3982000000000068E-2</v>
      </c>
      <c r="AC15" s="49">
        <f t="shared" si="0"/>
        <v>3.2412000000000107E-2</v>
      </c>
      <c r="AD15" s="49">
        <f t="shared" si="0"/>
        <v>3.1012000000000151E-2</v>
      </c>
      <c r="AE15" s="49">
        <f t="shared" si="0"/>
        <v>2.6710000000000123E-2</v>
      </c>
      <c r="AF15" s="49">
        <f t="shared" si="0"/>
        <v>2.3238000000000203E-2</v>
      </c>
      <c r="AG15" s="49">
        <f t="shared" si="0"/>
        <v>2.3124999999999951E-2</v>
      </c>
      <c r="AH15" s="49">
        <f t="shared" si="0"/>
        <v>3.0246000000000106E-2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Y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2.7575000000000099E-2</v>
      </c>
      <c r="S16" s="49">
        <f t="shared" si="12"/>
        <v>3.456300000000001E-2</v>
      </c>
      <c r="T16" s="49">
        <f t="shared" si="12"/>
        <v>3.0541000000000207E-2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3.7752000000000008E-2</v>
      </c>
      <c r="X16" s="49">
        <f t="shared" si="12"/>
        <v>3.7800000000000278E-2</v>
      </c>
      <c r="Y16" s="49">
        <f t="shared" si="12"/>
        <v>3.6716000000000082E-2</v>
      </c>
      <c r="Z16" s="49">
        <f t="shared" si="0"/>
        <v>3.6599000000000048E-2</v>
      </c>
      <c r="AA16" s="49">
        <f t="shared" si="0"/>
        <v>2.9246000000000216E-2</v>
      </c>
      <c r="AB16" s="49">
        <f t="shared" si="0"/>
        <v>3.3982000000000068E-2</v>
      </c>
      <c r="AC16" s="49">
        <f t="shared" si="0"/>
        <v>3.2412000000000107E-2</v>
      </c>
      <c r="AD16" s="49">
        <f t="shared" si="0"/>
        <v>3.1012000000000151E-2</v>
      </c>
      <c r="AE16" s="49">
        <f t="shared" si="0"/>
        <v>2.6710000000000123E-2</v>
      </c>
      <c r="AF16" s="49">
        <f t="shared" si="0"/>
        <v>2.3238000000000203E-2</v>
      </c>
      <c r="AG16" s="49">
        <f t="shared" si="0"/>
        <v>2.3124999999999951E-2</v>
      </c>
      <c r="AH16" s="49">
        <f t="shared" si="0"/>
        <v>3.0246000000000106E-2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4.3395000000000128E-2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2.3338999999999999E-2</v>
      </c>
      <c r="X17" s="48">
        <f t="shared" si="12"/>
        <v>3.0761000000000094E-2</v>
      </c>
      <c r="Y17" s="48">
        <f t="shared" si="12"/>
        <v>4.2980000000000018E-2</v>
      </c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3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66"/>
  <sheetViews>
    <sheetView zoomScaleNormal="100" workbookViewId="0">
      <selection activeCell="O25" sqref="O25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7" customWidth="1"/>
    <col min="24" max="26" width="14.08984375" customWidth="1"/>
  </cols>
  <sheetData>
    <row r="1" spans="1:26" ht="15" thickBot="1" x14ac:dyDescent="0.4">
      <c r="A1" t="s">
        <v>43</v>
      </c>
      <c r="C1" s="21">
        <v>46248</v>
      </c>
    </row>
    <row r="2" spans="1:26" ht="19" thickBot="1" x14ac:dyDescent="0.5">
      <c r="A2" s="26" t="s">
        <v>33</v>
      </c>
      <c r="J2" s="209" t="s">
        <v>7</v>
      </c>
      <c r="K2" s="209"/>
      <c r="L2" s="209"/>
      <c r="M2" s="209" t="s">
        <v>9</v>
      </c>
      <c r="N2" s="209"/>
      <c r="O2" s="209"/>
      <c r="P2" s="209" t="s">
        <v>8</v>
      </c>
      <c r="Q2" s="209"/>
      <c r="R2" s="209"/>
      <c r="S2" s="209" t="s">
        <v>10</v>
      </c>
      <c r="T2" s="209"/>
      <c r="U2" s="209"/>
      <c r="W2" s="210" t="s">
        <v>1174</v>
      </c>
      <c r="X2" s="211"/>
      <c r="Y2" s="211"/>
      <c r="Z2" s="212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8" t="s">
        <v>7</v>
      </c>
      <c r="X3" s="169" t="s">
        <v>9</v>
      </c>
      <c r="Y3" s="170" t="s">
        <v>8</v>
      </c>
      <c r="Z3" s="171" t="s">
        <v>10</v>
      </c>
    </row>
    <row r="4" spans="1:26" s="70" customFormat="1" ht="11.5" x14ac:dyDescent="0.25">
      <c r="A4" s="71" t="s">
        <v>67</v>
      </c>
      <c r="B4" s="87" t="s">
        <v>34</v>
      </c>
      <c r="C4" s="87" t="s">
        <v>1016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0.79999999999999993</v>
      </c>
      <c r="H4" s="81">
        <f t="shared" ref="H4:H7" si="3">G4-E4</f>
        <v>-0.20000000000000007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/>
      <c r="W4" s="172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2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2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3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Overdue</v>
      </c>
    </row>
    <row r="5" spans="1:26" s="70" customFormat="1" ht="11.5" x14ac:dyDescent="0.25">
      <c r="A5" s="71" t="s">
        <v>67</v>
      </c>
      <c r="B5" s="87" t="s">
        <v>34</v>
      </c>
      <c r="C5" s="87" t="s">
        <v>1017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87" si="4">J5</f>
        <v>46115</v>
      </c>
      <c r="L5" s="85">
        <v>46115</v>
      </c>
      <c r="M5" s="85">
        <f t="shared" ref="M5:M87" si="5">J5+42</f>
        <v>46157</v>
      </c>
      <c r="N5" s="85">
        <f t="shared" ref="N5:N87" si="6">M5</f>
        <v>46157</v>
      </c>
      <c r="O5" s="146">
        <v>46171</v>
      </c>
      <c r="P5" s="85">
        <f t="shared" ref="P5:P87" si="7">M5+42</f>
        <v>46199</v>
      </c>
      <c r="Q5" s="85">
        <f t="shared" ref="Q5:Q87" si="8">P5</f>
        <v>46199</v>
      </c>
      <c r="R5" s="85">
        <v>46199</v>
      </c>
      <c r="S5" s="85">
        <f>P5+14</f>
        <v>46213</v>
      </c>
      <c r="T5" s="85">
        <f t="shared" ref="T5:T87" si="9">S5</f>
        <v>46213</v>
      </c>
      <c r="U5" s="85">
        <v>46204</v>
      </c>
      <c r="W5" s="174" t="str">
        <f t="shared" ref="W5:W78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4" t="str">
        <f t="shared" ref="X5:X78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4" t="str">
        <f t="shared" ref="Y5:Y78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5" t="str">
        <f t="shared" ref="Z5:Z78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67</v>
      </c>
      <c r="B6" s="87" t="s">
        <v>34</v>
      </c>
      <c r="C6" s="87" t="s">
        <v>1018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87" si="14">P6+14</f>
        <v>46213</v>
      </c>
      <c r="T6" s="85">
        <f t="shared" si="9"/>
        <v>46213</v>
      </c>
      <c r="U6" s="85">
        <v>46233</v>
      </c>
      <c r="W6" s="174" t="str">
        <f t="shared" ca="1" si="10"/>
        <v>Completed</v>
      </c>
      <c r="X6" s="174" t="str">
        <f t="shared" ca="1" si="11"/>
        <v>Completed</v>
      </c>
      <c r="Y6" s="174" t="str">
        <f t="shared" ca="1" si="12"/>
        <v>Completed</v>
      </c>
      <c r="Z6" s="175" t="str">
        <f t="shared" ca="1" si="13"/>
        <v>Completed</v>
      </c>
    </row>
    <row r="7" spans="1:26" s="70" customFormat="1" ht="11.5" x14ac:dyDescent="0.25">
      <c r="A7" s="71" t="s">
        <v>67</v>
      </c>
      <c r="B7" s="87" t="s">
        <v>34</v>
      </c>
      <c r="C7" s="87" t="s">
        <v>1019</v>
      </c>
      <c r="D7" s="87" t="s">
        <v>59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4" t="str">
        <f t="shared" ca="1" si="10"/>
        <v>Completed</v>
      </c>
      <c r="X7" s="174" t="str">
        <f t="shared" ca="1" si="11"/>
        <v>Completed</v>
      </c>
      <c r="Y7" s="174" t="str">
        <f t="shared" ca="1" si="12"/>
        <v>Overdue</v>
      </c>
      <c r="Z7" s="175" t="str">
        <f t="shared" ca="1" si="13"/>
        <v>Overdue</v>
      </c>
    </row>
    <row r="8" spans="1:26" s="70" customFormat="1" ht="11.5" x14ac:dyDescent="0.25">
      <c r="A8" s="71" t="s">
        <v>67</v>
      </c>
      <c r="B8" s="87" t="s">
        <v>34</v>
      </c>
      <c r="C8" s="87" t="s">
        <v>1020</v>
      </c>
      <c r="D8" s="87" t="s">
        <v>60</v>
      </c>
      <c r="E8" s="86">
        <f t="shared" ref="E8:E87" si="15">(COUNTIFS(J8,"&lt;="&amp;$C$1)*50%)+(COUNTIFS(M8,"&lt;="&amp;$C$1)*20%)+(COUNTIFS(P8,"&lt;="&amp;$C$1)*10%)+(COUNTIFS(S8,"&lt;="&amp;$C$1)*20%)</f>
        <v>1</v>
      </c>
      <c r="F8" s="86">
        <f t="shared" ref="F8:F87" si="16">(COUNTIFS(K8,"&lt;="&amp;$C$1)*50%)+(COUNTIFS(N8,"&lt;="&amp;$C$1)*20%)+(COUNTIFS(Q8,"&lt;="&amp;$C$1)*10%)+(COUNTIFS(T8,"&lt;="&amp;$C$1)*20%)</f>
        <v>1</v>
      </c>
      <c r="G8" s="86">
        <f t="shared" ref="G8:G85" si="17">(COUNTIFS(L8,"&lt;="&amp;$C$1)*50%)+(COUNTIFS(O8,"&lt;="&amp;$C$1)*20%)+(COUNTIFS(R8,"&lt;="&amp;$C$1)*10%)+(COUNTIFS(U8,"&lt;="&amp;$C$1)*20%)</f>
        <v>1</v>
      </c>
      <c r="H8" s="81">
        <f t="shared" ref="H8:H87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4" t="str">
        <f t="shared" ca="1" si="10"/>
        <v>Completed</v>
      </c>
      <c r="X8" s="174" t="str">
        <f t="shared" ca="1" si="11"/>
        <v>Completed</v>
      </c>
      <c r="Y8" s="174" t="str">
        <f t="shared" ca="1" si="12"/>
        <v>Completed</v>
      </c>
      <c r="Z8" s="175" t="str">
        <f t="shared" ca="1" si="13"/>
        <v>Completed</v>
      </c>
    </row>
    <row r="9" spans="1:26" s="70" customFormat="1" ht="11.5" x14ac:dyDescent="0.25">
      <c r="A9" s="179" t="s">
        <v>67</v>
      </c>
      <c r="B9" s="163" t="s">
        <v>34</v>
      </c>
      <c r="C9" s="163" t="s">
        <v>75</v>
      </c>
      <c r="D9" s="163" t="s">
        <v>1176</v>
      </c>
      <c r="E9" s="164">
        <f t="shared" si="15"/>
        <v>1</v>
      </c>
      <c r="F9" s="164">
        <f t="shared" si="16"/>
        <v>1</v>
      </c>
      <c r="G9" s="164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4" t="str">
        <f t="shared" ca="1" si="10"/>
        <v>Completed</v>
      </c>
      <c r="X9" s="174" t="str">
        <f t="shared" ca="1" si="11"/>
        <v>Completed</v>
      </c>
      <c r="Y9" s="174" t="str">
        <f t="shared" ca="1" si="12"/>
        <v>Completed</v>
      </c>
      <c r="Z9" s="175" t="str">
        <f t="shared" ca="1" si="13"/>
        <v>Completed</v>
      </c>
    </row>
    <row r="10" spans="1:26" s="70" customFormat="1" ht="11.5" x14ac:dyDescent="0.25">
      <c r="A10" s="93" t="s">
        <v>67</v>
      </c>
      <c r="B10" s="92" t="s">
        <v>34</v>
      </c>
      <c r="C10" s="92" t="s">
        <v>75</v>
      </c>
      <c r="D10" s="92" t="s">
        <v>1177</v>
      </c>
      <c r="E10" s="94">
        <f t="shared" ref="E10" si="19">(COUNTIFS(J10,"&lt;="&amp;$C$1)*50%)+(COUNTIFS(M10,"&lt;="&amp;$C$1)*20%)+(COUNTIFS(P10,"&lt;="&amp;$C$1)*10%)+(COUNTIFS(S10,"&lt;="&amp;$C$1)*20%)</f>
        <v>0.7</v>
      </c>
      <c r="F10" s="94">
        <f t="shared" ref="F10" si="20">(COUNTIFS(K10,"&lt;="&amp;$C$1)*50%)+(COUNTIFS(N10,"&lt;="&amp;$C$1)*20%)+(COUNTIFS(Q10,"&lt;="&amp;$C$1)*10%)+(COUNTIFS(T10,"&lt;="&amp;$C$1)*20%)</f>
        <v>0.7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0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4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4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4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Follow-This Week</v>
      </c>
      <c r="Z10" s="175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/>
      </c>
    </row>
    <row r="11" spans="1:26" s="70" customFormat="1" ht="10.5" customHeight="1" x14ac:dyDescent="0.25">
      <c r="A11" s="179" t="s">
        <v>67</v>
      </c>
      <c r="B11" s="163" t="s">
        <v>34</v>
      </c>
      <c r="C11" s="163" t="s">
        <v>76</v>
      </c>
      <c r="D11" s="163" t="s">
        <v>1178</v>
      </c>
      <c r="E11" s="164">
        <f t="shared" si="15"/>
        <v>1</v>
      </c>
      <c r="F11" s="164">
        <f t="shared" si="16"/>
        <v>1</v>
      </c>
      <c r="G11" s="164">
        <f t="shared" si="17"/>
        <v>1</v>
      </c>
      <c r="H11" s="156">
        <f t="shared" si="18"/>
        <v>0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4" t="str">
        <f t="shared" ca="1" si="10"/>
        <v>Completed</v>
      </c>
      <c r="X11" s="174" t="str">
        <f t="shared" ca="1" si="11"/>
        <v>Completed</v>
      </c>
      <c r="Y11" s="174" t="str">
        <f t="shared" ca="1" si="12"/>
        <v>Completed</v>
      </c>
      <c r="Z11" s="175" t="str">
        <f t="shared" ca="1" si="13"/>
        <v>Completed</v>
      </c>
    </row>
    <row r="12" spans="1:26" s="70" customFormat="1" ht="10.5" customHeight="1" x14ac:dyDescent="0.25">
      <c r="A12" s="93" t="s">
        <v>67</v>
      </c>
      <c r="B12" s="92" t="s">
        <v>34</v>
      </c>
      <c r="C12" s="92" t="s">
        <v>76</v>
      </c>
      <c r="D12" s="92" t="s">
        <v>1179</v>
      </c>
      <c r="E12" s="94">
        <f t="shared" ref="E12" si="33">(COUNTIFS(J12,"&lt;="&amp;$C$1)*50%)+(COUNTIFS(M12,"&lt;="&amp;$C$1)*20%)+(COUNTIFS(P12,"&lt;="&amp;$C$1)*10%)+(COUNTIFS(S12,"&lt;="&amp;$C$1)*20%)</f>
        <v>0.7</v>
      </c>
      <c r="F12" s="94">
        <f t="shared" ref="F12" si="34">(COUNTIFS(K12,"&lt;="&amp;$C$1)*50%)+(COUNTIFS(N12,"&lt;="&amp;$C$1)*20%)+(COUNTIFS(Q12,"&lt;="&amp;$C$1)*10%)+(COUNTIFS(T12,"&lt;="&amp;$C$1)*20%)</f>
        <v>0.7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0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4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4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4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Follow-Next Week</v>
      </c>
      <c r="Z12" s="175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/>
      </c>
    </row>
    <row r="13" spans="1:26" s="70" customFormat="1" ht="11.5" x14ac:dyDescent="0.25">
      <c r="A13" s="179" t="s">
        <v>67</v>
      </c>
      <c r="B13" s="179" t="s">
        <v>34</v>
      </c>
      <c r="C13" s="179" t="s">
        <v>77</v>
      </c>
      <c r="D13" s="179" t="s">
        <v>1180</v>
      </c>
      <c r="E13" s="156">
        <f t="shared" si="15"/>
        <v>1</v>
      </c>
      <c r="F13" s="156">
        <f t="shared" si="16"/>
        <v>1</v>
      </c>
      <c r="G13" s="156">
        <f t="shared" si="17"/>
        <v>1</v>
      </c>
      <c r="H13" s="156">
        <f t="shared" si="18"/>
        <v>0</v>
      </c>
      <c r="I13" s="157">
        <v>0.25</v>
      </c>
      <c r="J13" s="159">
        <v>46143</v>
      </c>
      <c r="K13" s="159">
        <f t="shared" si="4"/>
        <v>46143</v>
      </c>
      <c r="L13" s="180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80">
        <v>46227</v>
      </c>
      <c r="S13" s="159">
        <f t="shared" si="14"/>
        <v>46241</v>
      </c>
      <c r="T13" s="159">
        <f t="shared" si="9"/>
        <v>46241</v>
      </c>
      <c r="U13" s="180">
        <v>46227</v>
      </c>
      <c r="W13" s="174" t="str">
        <f t="shared" ca="1" si="10"/>
        <v>Completed</v>
      </c>
      <c r="X13" s="174" t="str">
        <f t="shared" ca="1" si="11"/>
        <v>Completed</v>
      </c>
      <c r="Y13" s="174" t="str">
        <f t="shared" ca="1" si="12"/>
        <v>Completed</v>
      </c>
      <c r="Z13" s="175" t="str">
        <f t="shared" ca="1" si="13"/>
        <v>Completed</v>
      </c>
    </row>
    <row r="14" spans="1:26" s="70" customFormat="1" ht="11.5" x14ac:dyDescent="0.25">
      <c r="A14" s="93" t="s">
        <v>67</v>
      </c>
      <c r="B14" s="93" t="s">
        <v>34</v>
      </c>
      <c r="C14" s="93" t="s">
        <v>77</v>
      </c>
      <c r="D14" s="93" t="s">
        <v>1181</v>
      </c>
      <c r="E14" s="95">
        <f t="shared" ref="E14" si="47">(COUNTIFS(J14,"&lt;="&amp;$C$1)*50%)+(COUNTIFS(M14,"&lt;="&amp;$C$1)*20%)+(COUNTIFS(P14,"&lt;="&amp;$C$1)*10%)+(COUNTIFS(S14,"&lt;="&amp;$C$1)*20%)</f>
        <v>0.7</v>
      </c>
      <c r="F14" s="95">
        <f t="shared" ref="F14" si="48">(COUNTIFS(K14,"&lt;="&amp;$C$1)*50%)+(COUNTIFS(N14,"&lt;="&amp;$C$1)*20%)+(COUNTIFS(Q14,"&lt;="&amp;$C$1)*10%)+(COUNTIFS(T14,"&lt;="&amp;$C$1)*20%)</f>
        <v>0.7</v>
      </c>
      <c r="G14" s="95">
        <f t="shared" ref="G14" si="49">(COUNTIFS(L14,"&lt;="&amp;$C$1)*50%)+(COUNTIFS(O14,"&lt;="&amp;$C$1)*20%)+(COUNTIFS(R14,"&lt;="&amp;$C$1)*10%)+(COUNTIFS(U14,"&lt;="&amp;$C$1)*20%)</f>
        <v>0.7</v>
      </c>
      <c r="H14" s="95">
        <f t="shared" ref="H14" si="50">G14-E14</f>
        <v>0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98"/>
      <c r="S14" s="90">
        <f t="shared" ref="S14" si="55">P14+14</f>
        <v>46263</v>
      </c>
      <c r="T14" s="90">
        <f t="shared" ref="T14" si="56">S14</f>
        <v>46263</v>
      </c>
      <c r="U14" s="98"/>
      <c r="W14" s="174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4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4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Follow-This Week</v>
      </c>
      <c r="Z14" s="175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/>
      </c>
    </row>
    <row r="15" spans="1:26" s="70" customFormat="1" ht="11.5" x14ac:dyDescent="0.25">
      <c r="A15" s="93" t="s">
        <v>67</v>
      </c>
      <c r="B15" s="93" t="s">
        <v>34</v>
      </c>
      <c r="C15" s="93" t="s">
        <v>78</v>
      </c>
      <c r="D15" s="93" t="s">
        <v>79</v>
      </c>
      <c r="E15" s="95">
        <f t="shared" si="15"/>
        <v>1</v>
      </c>
      <c r="F15" s="95">
        <f t="shared" si="16"/>
        <v>1</v>
      </c>
      <c r="G15" s="95">
        <f t="shared" si="17"/>
        <v>0.7</v>
      </c>
      <c r="H15" s="94">
        <f t="shared" si="18"/>
        <v>-0.30000000000000004</v>
      </c>
      <c r="I15" s="130">
        <v>0.5</v>
      </c>
      <c r="J15" s="90">
        <v>46150</v>
      </c>
      <c r="K15" s="90">
        <f t="shared" si="4"/>
        <v>46150</v>
      </c>
      <c r="L15" s="90">
        <v>46142</v>
      </c>
      <c r="M15" s="90">
        <f t="shared" si="5"/>
        <v>46192</v>
      </c>
      <c r="N15" s="90">
        <f t="shared" si="6"/>
        <v>46192</v>
      </c>
      <c r="O15" s="90">
        <v>46214</v>
      </c>
      <c r="P15" s="90">
        <f t="shared" si="7"/>
        <v>46234</v>
      </c>
      <c r="Q15" s="90">
        <f t="shared" si="8"/>
        <v>46234</v>
      </c>
      <c r="R15" s="90"/>
      <c r="S15" s="90">
        <f t="shared" si="14"/>
        <v>46248</v>
      </c>
      <c r="T15" s="90">
        <f t="shared" si="9"/>
        <v>46248</v>
      </c>
      <c r="U15" s="90"/>
      <c r="W15" s="174" t="str">
        <f t="shared" ca="1" si="10"/>
        <v>Completed</v>
      </c>
      <c r="X15" s="174" t="str">
        <f t="shared" ca="1" si="11"/>
        <v>Completed</v>
      </c>
      <c r="Y15" s="174" t="str">
        <f t="shared" ca="1" si="12"/>
        <v>Overdue</v>
      </c>
      <c r="Z15" s="175" t="str">
        <f t="shared" ca="1" si="13"/>
        <v>Overdue</v>
      </c>
    </row>
    <row r="16" spans="1:26" s="70" customFormat="1" ht="11.5" x14ac:dyDescent="0.25">
      <c r="A16" s="93" t="s">
        <v>67</v>
      </c>
      <c r="B16" s="93" t="s">
        <v>34</v>
      </c>
      <c r="C16" s="93" t="s">
        <v>80</v>
      </c>
      <c r="D16" s="93" t="s">
        <v>81</v>
      </c>
      <c r="E16" s="95">
        <f t="shared" si="15"/>
        <v>0.79999999999999993</v>
      </c>
      <c r="F16" s="95">
        <f t="shared" si="16"/>
        <v>0.79999999999999993</v>
      </c>
      <c r="G16" s="95">
        <f t="shared" si="17"/>
        <v>0.7</v>
      </c>
      <c r="H16" s="94">
        <f t="shared" si="18"/>
        <v>-9.9999999999999978E-2</v>
      </c>
      <c r="I16" s="130">
        <v>0.5</v>
      </c>
      <c r="J16" s="90">
        <v>46164</v>
      </c>
      <c r="K16" s="90">
        <f t="shared" si="4"/>
        <v>46164</v>
      </c>
      <c r="L16" s="90">
        <v>46155</v>
      </c>
      <c r="M16" s="90">
        <f t="shared" si="5"/>
        <v>46206</v>
      </c>
      <c r="N16" s="90">
        <f t="shared" si="6"/>
        <v>46206</v>
      </c>
      <c r="O16" s="147">
        <v>46217</v>
      </c>
      <c r="P16" s="90">
        <f t="shared" si="7"/>
        <v>46248</v>
      </c>
      <c r="Q16" s="90">
        <f t="shared" si="8"/>
        <v>46248</v>
      </c>
      <c r="R16" s="90"/>
      <c r="S16" s="90">
        <f t="shared" si="14"/>
        <v>46262</v>
      </c>
      <c r="T16" s="90">
        <f t="shared" si="9"/>
        <v>46262</v>
      </c>
      <c r="U16" s="90"/>
      <c r="W16" s="174" t="str">
        <f t="shared" ca="1" si="10"/>
        <v>Completed</v>
      </c>
      <c r="X16" s="174" t="str">
        <f t="shared" ca="1" si="11"/>
        <v>Completed</v>
      </c>
      <c r="Y16" s="174" t="str">
        <f t="shared" ca="1" si="12"/>
        <v>Overdue</v>
      </c>
      <c r="Z16" s="175" t="str">
        <f t="shared" ca="1" si="13"/>
        <v/>
      </c>
    </row>
    <row r="17" spans="1:26" s="70" customFormat="1" ht="11.5" x14ac:dyDescent="0.25">
      <c r="A17" s="93" t="s">
        <v>67</v>
      </c>
      <c r="B17" s="93" t="s">
        <v>34</v>
      </c>
      <c r="C17" s="93" t="s">
        <v>82</v>
      </c>
      <c r="D17" s="93" t="s">
        <v>83</v>
      </c>
      <c r="E17" s="95">
        <f t="shared" si="15"/>
        <v>0.7</v>
      </c>
      <c r="F17" s="95">
        <f t="shared" si="16"/>
        <v>0.7</v>
      </c>
      <c r="G17" s="95">
        <f t="shared" si="17"/>
        <v>0.7</v>
      </c>
      <c r="H17" s="94">
        <f t="shared" si="18"/>
        <v>0</v>
      </c>
      <c r="I17" s="130">
        <v>0.5</v>
      </c>
      <c r="J17" s="90">
        <v>46178</v>
      </c>
      <c r="K17" s="90">
        <f t="shared" si="4"/>
        <v>46178</v>
      </c>
      <c r="L17" s="90">
        <v>46178</v>
      </c>
      <c r="M17" s="90">
        <f t="shared" si="5"/>
        <v>46220</v>
      </c>
      <c r="N17" s="90">
        <f t="shared" si="6"/>
        <v>46220</v>
      </c>
      <c r="O17" s="90">
        <v>46226</v>
      </c>
      <c r="P17" s="90">
        <f t="shared" si="7"/>
        <v>46262</v>
      </c>
      <c r="Q17" s="90">
        <f t="shared" si="8"/>
        <v>46262</v>
      </c>
      <c r="R17" s="90"/>
      <c r="S17" s="90">
        <f t="shared" si="14"/>
        <v>46276</v>
      </c>
      <c r="T17" s="90">
        <f t="shared" si="9"/>
        <v>46276</v>
      </c>
      <c r="U17" s="90"/>
      <c r="W17" s="174" t="str">
        <f t="shared" ca="1" si="10"/>
        <v>Completed</v>
      </c>
      <c r="X17" s="174" t="str">
        <f t="shared" ca="1" si="11"/>
        <v>Completed</v>
      </c>
      <c r="Y17" s="174" t="str">
        <f t="shared" ca="1" si="12"/>
        <v/>
      </c>
      <c r="Z17" s="175" t="str">
        <f t="shared" ca="1" si="13"/>
        <v/>
      </c>
    </row>
    <row r="18" spans="1:26" s="70" customFormat="1" ht="11.5" x14ac:dyDescent="0.25">
      <c r="A18" s="93" t="s">
        <v>67</v>
      </c>
      <c r="B18" s="93" t="s">
        <v>34</v>
      </c>
      <c r="C18" s="93" t="s">
        <v>84</v>
      </c>
      <c r="D18" s="93" t="s">
        <v>85</v>
      </c>
      <c r="E18" s="95">
        <f t="shared" si="15"/>
        <v>0.7</v>
      </c>
      <c r="F18" s="95">
        <f t="shared" si="16"/>
        <v>0.7</v>
      </c>
      <c r="G18" s="95">
        <f t="shared" si="17"/>
        <v>0.7</v>
      </c>
      <c r="H18" s="94">
        <f t="shared" si="18"/>
        <v>0</v>
      </c>
      <c r="I18" s="130">
        <v>0.5</v>
      </c>
      <c r="J18" s="90">
        <v>46192</v>
      </c>
      <c r="K18" s="90">
        <f t="shared" si="4"/>
        <v>46192</v>
      </c>
      <c r="L18" s="90">
        <v>46206</v>
      </c>
      <c r="M18" s="90">
        <f t="shared" si="5"/>
        <v>46234</v>
      </c>
      <c r="N18" s="90">
        <f t="shared" si="6"/>
        <v>46234</v>
      </c>
      <c r="O18" s="90">
        <v>46212</v>
      </c>
      <c r="P18" s="90">
        <f t="shared" si="7"/>
        <v>46276</v>
      </c>
      <c r="Q18" s="90">
        <f t="shared" si="8"/>
        <v>46276</v>
      </c>
      <c r="R18" s="90"/>
      <c r="S18" s="90">
        <f t="shared" si="14"/>
        <v>46290</v>
      </c>
      <c r="T18" s="90">
        <f t="shared" si="9"/>
        <v>46290</v>
      </c>
      <c r="U18" s="90"/>
      <c r="W18" s="174" t="str">
        <f t="shared" ca="1" si="10"/>
        <v>Completed</v>
      </c>
      <c r="X18" s="174" t="str">
        <f t="shared" ca="1" si="11"/>
        <v>Completed</v>
      </c>
      <c r="Y18" s="174" t="str">
        <f t="shared" ca="1" si="12"/>
        <v/>
      </c>
      <c r="Z18" s="175" t="str">
        <f t="shared" ca="1" si="13"/>
        <v/>
      </c>
    </row>
    <row r="19" spans="1:26" s="70" customFormat="1" ht="11.5" x14ac:dyDescent="0.25">
      <c r="A19" s="93" t="s">
        <v>67</v>
      </c>
      <c r="B19" s="93" t="s">
        <v>34</v>
      </c>
      <c r="C19" s="93" t="s">
        <v>86</v>
      </c>
      <c r="D19" s="93" t="s">
        <v>87</v>
      </c>
      <c r="E19" s="95">
        <f t="shared" si="15"/>
        <v>0.79999999999999993</v>
      </c>
      <c r="F19" s="95">
        <f t="shared" si="16"/>
        <v>0.79999999999999993</v>
      </c>
      <c r="G19" s="95">
        <f t="shared" si="17"/>
        <v>0.7</v>
      </c>
      <c r="H19" s="94">
        <f t="shared" si="18"/>
        <v>-9.9999999999999978E-2</v>
      </c>
      <c r="I19" s="130">
        <v>0.5</v>
      </c>
      <c r="J19" s="90">
        <v>46157</v>
      </c>
      <c r="K19" s="90">
        <f t="shared" si="4"/>
        <v>46157</v>
      </c>
      <c r="L19" s="90">
        <v>46175</v>
      </c>
      <c r="M19" s="90">
        <f t="shared" si="5"/>
        <v>46199</v>
      </c>
      <c r="N19" s="90">
        <f t="shared" si="6"/>
        <v>46199</v>
      </c>
      <c r="O19" s="147">
        <v>46217</v>
      </c>
      <c r="P19" s="90">
        <f t="shared" si="7"/>
        <v>46241</v>
      </c>
      <c r="Q19" s="90">
        <f t="shared" si="8"/>
        <v>46241</v>
      </c>
      <c r="R19" s="90"/>
      <c r="S19" s="90">
        <f t="shared" si="14"/>
        <v>46255</v>
      </c>
      <c r="T19" s="90">
        <f t="shared" si="9"/>
        <v>46255</v>
      </c>
      <c r="U19" s="90"/>
      <c r="W19" s="174" t="str">
        <f t="shared" ca="1" si="10"/>
        <v>Completed</v>
      </c>
      <c r="X19" s="174" t="str">
        <f t="shared" ca="1" si="11"/>
        <v>Completed</v>
      </c>
      <c r="Y19" s="174" t="str">
        <f t="shared" ca="1" si="12"/>
        <v>Overdue</v>
      </c>
      <c r="Z19" s="175" t="str">
        <f t="shared" ca="1" si="13"/>
        <v>Follow-Next Week</v>
      </c>
    </row>
    <row r="20" spans="1:26" s="70" customFormat="1" ht="11.5" x14ac:dyDescent="0.25">
      <c r="A20" s="179" t="s">
        <v>67</v>
      </c>
      <c r="B20" s="179" t="s">
        <v>34</v>
      </c>
      <c r="C20" s="179" t="s">
        <v>88</v>
      </c>
      <c r="D20" s="179" t="s">
        <v>1194</v>
      </c>
      <c r="E20" s="156">
        <f t="shared" si="15"/>
        <v>0.7</v>
      </c>
      <c r="F20" s="156">
        <f t="shared" si="16"/>
        <v>0.7</v>
      </c>
      <c r="G20" s="156">
        <f t="shared" si="17"/>
        <v>1</v>
      </c>
      <c r="H20" s="164">
        <f t="shared" si="18"/>
        <v>0.30000000000000004</v>
      </c>
      <c r="I20" s="165">
        <v>0.375</v>
      </c>
      <c r="J20" s="159">
        <v>46188</v>
      </c>
      <c r="K20" s="159">
        <f t="shared" si="4"/>
        <v>46188</v>
      </c>
      <c r="L20" s="159">
        <v>46192</v>
      </c>
      <c r="M20" s="159">
        <f t="shared" si="5"/>
        <v>46230</v>
      </c>
      <c r="N20" s="159">
        <f t="shared" si="6"/>
        <v>46230</v>
      </c>
      <c r="O20" s="159">
        <v>46248</v>
      </c>
      <c r="P20" s="159">
        <f t="shared" si="7"/>
        <v>46272</v>
      </c>
      <c r="Q20" s="159">
        <f t="shared" si="8"/>
        <v>46272</v>
      </c>
      <c r="R20" s="159">
        <v>46248</v>
      </c>
      <c r="S20" s="159">
        <f t="shared" si="14"/>
        <v>46286</v>
      </c>
      <c r="T20" s="159">
        <f t="shared" si="9"/>
        <v>46286</v>
      </c>
      <c r="U20" s="159">
        <v>46248</v>
      </c>
      <c r="W20" s="174" t="str">
        <f t="shared" ca="1" si="10"/>
        <v>Completed</v>
      </c>
      <c r="X20" s="174" t="str">
        <f t="shared" ca="1" si="11"/>
        <v>Completed</v>
      </c>
      <c r="Y20" s="174" t="str">
        <f t="shared" ca="1" si="12"/>
        <v>Completed</v>
      </c>
      <c r="Z20" s="175" t="str">
        <f t="shared" ca="1" si="13"/>
        <v>Completed</v>
      </c>
    </row>
    <row r="21" spans="1:26" s="70" customFormat="1" ht="11.5" x14ac:dyDescent="0.25">
      <c r="A21" s="92" t="s">
        <v>67</v>
      </c>
      <c r="B21" s="92" t="s">
        <v>34</v>
      </c>
      <c r="C21" s="92" t="s">
        <v>88</v>
      </c>
      <c r="D21" s="92" t="s">
        <v>1195</v>
      </c>
      <c r="E21" s="94">
        <f t="shared" ref="E21" si="61">(COUNTIFS(J21,"&lt;="&amp;$C$1)*50%)+(COUNTIFS(M21,"&lt;="&amp;$C$1)*20%)+(COUNTIFS(P21,"&lt;="&amp;$C$1)*10%)+(COUNTIFS(S21,"&lt;="&amp;$C$1)*20%)</f>
        <v>0.7</v>
      </c>
      <c r="F21" s="94">
        <f t="shared" ref="F21" si="62">(COUNTIFS(K21,"&lt;="&amp;$C$1)*50%)+(COUNTIFS(N21,"&lt;="&amp;$C$1)*20%)+(COUNTIFS(Q21,"&lt;="&amp;$C$1)*10%)+(COUNTIFS(T21,"&lt;="&amp;$C$1)*20%)</f>
        <v>0.7</v>
      </c>
      <c r="G21" s="94">
        <f t="shared" ref="G21" si="63">(COUNTIFS(L21,"&lt;="&amp;$C$1)*50%)+(COUNTIFS(O21,"&lt;="&amp;$C$1)*20%)+(COUNTIFS(R21,"&lt;="&amp;$C$1)*10%)+(COUNTIFS(U21,"&lt;="&amp;$C$1)*20%)</f>
        <v>0.5</v>
      </c>
      <c r="H21" s="94">
        <f t="shared" ref="H21" si="64">G21-E21</f>
        <v>-0.19999999999999996</v>
      </c>
      <c r="I21" s="130">
        <v>0.375</v>
      </c>
      <c r="J21" s="90">
        <v>46188</v>
      </c>
      <c r="K21" s="90">
        <f t="shared" ref="K21" si="65">J21</f>
        <v>46188</v>
      </c>
      <c r="L21" s="90">
        <v>46192</v>
      </c>
      <c r="M21" s="90">
        <v>46230</v>
      </c>
      <c r="N21" s="90">
        <f t="shared" ref="N21" si="66">M21</f>
        <v>46230</v>
      </c>
      <c r="O21" s="90"/>
      <c r="P21" s="90">
        <f>M21+63</f>
        <v>46293</v>
      </c>
      <c r="Q21" s="90">
        <f t="shared" ref="Q21" si="67">P21</f>
        <v>46293</v>
      </c>
      <c r="R21" s="90"/>
      <c r="S21" s="90">
        <f t="shared" ref="S21" si="68">P21+14</f>
        <v>46307</v>
      </c>
      <c r="T21" s="90">
        <f t="shared" ref="T21" si="69">S21</f>
        <v>46307</v>
      </c>
      <c r="U21" s="90"/>
      <c r="W21" s="174" t="str">
        <f t="shared" ref="W21" ca="1" si="70">IF(OR(L21&lt;&gt;""),"Completed",
IF(K21="","",IF(K21&lt;TODAY(),"Overdue",
IF(AND(K21&gt;=TODAY()-WEEKDAY(TODAY(),2)+1,K21&lt;=TODAY()-WEEKDAY(TODAY(),2)+7),"Follow-This Week",
IF(AND(K21&gt;=TODAY()-WEEKDAY(TODAY(),2)+8,K21&lt;=TODAY()-WEEKDAY(TODAY(),2)+14),"Follow-Next Week","")))))</f>
        <v>Completed</v>
      </c>
      <c r="X21" s="174" t="str">
        <f t="shared" ref="X21" ca="1" si="71">IF(OR(O21&lt;&gt;""),"Completed",IF(N21="","",
IF(N21&lt;TODAY(),"Overdue",
IF(AND(N21&gt;=TODAY()-WEEKDAY(TODAY(),2)+1,N21&lt;=TODAY()-WEEKDAY(TODAY(),2)+7),"Follow-This Week",
IF(AND(N21&gt;=TODAY()-WEEKDAY(TODAY(),2)+8,N21&lt;=TODAY()-WEEKDAY(TODAY(),2)+14),"Follow-Next Week","")))))</f>
        <v>Overdue</v>
      </c>
      <c r="Y21" s="174" t="str">
        <f t="shared" ref="Y21" ca="1" si="72">IF(OR(R21&lt;&gt;""),"Completed",IF(Q21="","",
IF(Q21&lt;TODAY(),"Overdue",
IF(AND(Q21&gt;=TODAY()-WEEKDAY(TODAY(),2)+1,Q21&lt;=TODAY()-WEEKDAY(TODAY(),2)+7),"Follow-This Week",
IF(AND(Q21&gt;=TODAY()-WEEKDAY(TODAY(),2)+8,Q21&lt;=TODAY()-WEEKDAY(TODAY(),2)+14),"Follow-Next Week","")))))</f>
        <v/>
      </c>
      <c r="Z21" s="175" t="str">
        <f t="shared" ref="Z21" ca="1" si="73">IF(OR(U21&lt;&gt;""),"Completed",IF(T21="","",
IF(T21&lt;TODAY(),"Overdue",
IF(AND(T21&gt;=TODAY()-WEEKDAY(TODAY(),2)+1,T21&lt;=TODAY()-WEEKDAY(TODAY(),2)+7),"Follow-This Week",
IF(AND(T21&gt;=TODAY()-WEEKDAY(TODAY(),2)+8,T21&lt;=TODAY()-WEEKDAY(TODAY(),2)+14),"Follow-Next Week","")))))</f>
        <v/>
      </c>
    </row>
    <row r="22" spans="1:26" s="70" customFormat="1" ht="11.5" x14ac:dyDescent="0.25">
      <c r="A22" s="93" t="s">
        <v>67</v>
      </c>
      <c r="B22" s="93" t="s">
        <v>34</v>
      </c>
      <c r="C22" s="93" t="s">
        <v>89</v>
      </c>
      <c r="D22" s="93" t="s">
        <v>90</v>
      </c>
      <c r="E22" s="95">
        <f t="shared" si="15"/>
        <v>0.7</v>
      </c>
      <c r="F22" s="95">
        <f t="shared" si="16"/>
        <v>0.7</v>
      </c>
      <c r="G22" s="95">
        <f t="shared" si="17"/>
        <v>0.7</v>
      </c>
      <c r="H22" s="94">
        <f t="shared" si="18"/>
        <v>0</v>
      </c>
      <c r="I22" s="130">
        <v>0.5</v>
      </c>
      <c r="J22" s="90">
        <v>46206</v>
      </c>
      <c r="K22" s="90">
        <f t="shared" si="4"/>
        <v>46206</v>
      </c>
      <c r="L22" s="90">
        <v>46211</v>
      </c>
      <c r="M22" s="90">
        <f t="shared" si="5"/>
        <v>46248</v>
      </c>
      <c r="N22" s="90">
        <f t="shared" si="6"/>
        <v>46248</v>
      </c>
      <c r="O22" s="91">
        <v>46223</v>
      </c>
      <c r="P22" s="90">
        <f t="shared" si="7"/>
        <v>46290</v>
      </c>
      <c r="Q22" s="90">
        <f t="shared" si="8"/>
        <v>46290</v>
      </c>
      <c r="R22" s="90"/>
      <c r="S22" s="90">
        <f t="shared" si="14"/>
        <v>46304</v>
      </c>
      <c r="T22" s="90">
        <f t="shared" si="9"/>
        <v>46304</v>
      </c>
      <c r="U22" s="90"/>
      <c r="W22" s="174" t="str">
        <f t="shared" ca="1" si="10"/>
        <v>Completed</v>
      </c>
      <c r="X22" s="174" t="str">
        <f t="shared" ca="1" si="11"/>
        <v>Completed</v>
      </c>
      <c r="Y22" s="174" t="str">
        <f t="shared" ca="1" si="12"/>
        <v/>
      </c>
      <c r="Z22" s="175" t="str">
        <f t="shared" ca="1" si="13"/>
        <v/>
      </c>
    </row>
    <row r="23" spans="1:26" s="70" customFormat="1" ht="11.5" x14ac:dyDescent="0.25">
      <c r="A23" s="179" t="s">
        <v>67</v>
      </c>
      <c r="B23" s="179" t="s">
        <v>34</v>
      </c>
      <c r="C23" s="179" t="s">
        <v>91</v>
      </c>
      <c r="D23" s="179" t="s">
        <v>1196</v>
      </c>
      <c r="E23" s="156">
        <f t="shared" si="15"/>
        <v>1</v>
      </c>
      <c r="F23" s="156">
        <f t="shared" si="16"/>
        <v>1</v>
      </c>
      <c r="G23" s="156">
        <f t="shared" si="17"/>
        <v>1</v>
      </c>
      <c r="H23" s="156">
        <f t="shared" si="18"/>
        <v>0</v>
      </c>
      <c r="I23" s="157">
        <v>0.25</v>
      </c>
      <c r="J23" s="159">
        <v>46150</v>
      </c>
      <c r="K23" s="159">
        <f t="shared" si="4"/>
        <v>46150</v>
      </c>
      <c r="L23" s="159">
        <v>46206</v>
      </c>
      <c r="M23" s="159">
        <f t="shared" si="5"/>
        <v>46192</v>
      </c>
      <c r="N23" s="159">
        <f t="shared" si="6"/>
        <v>46192</v>
      </c>
      <c r="O23" s="159">
        <v>46212</v>
      </c>
      <c r="P23" s="159">
        <f t="shared" si="7"/>
        <v>46234</v>
      </c>
      <c r="Q23" s="159">
        <f t="shared" si="8"/>
        <v>46234</v>
      </c>
      <c r="R23" s="159">
        <v>46248</v>
      </c>
      <c r="S23" s="159">
        <f t="shared" si="14"/>
        <v>46248</v>
      </c>
      <c r="T23" s="159">
        <f t="shared" si="9"/>
        <v>46248</v>
      </c>
      <c r="U23" s="159">
        <v>46248</v>
      </c>
      <c r="W23" s="174" t="str">
        <f t="shared" ca="1" si="10"/>
        <v>Completed</v>
      </c>
      <c r="X23" s="174" t="str">
        <f t="shared" ca="1" si="11"/>
        <v>Completed</v>
      </c>
      <c r="Y23" s="174" t="str">
        <f t="shared" ca="1" si="12"/>
        <v>Completed</v>
      </c>
      <c r="Z23" s="175" t="str">
        <f t="shared" ca="1" si="13"/>
        <v>Completed</v>
      </c>
    </row>
    <row r="24" spans="1:26" s="70" customFormat="1" ht="11.5" x14ac:dyDescent="0.25">
      <c r="A24" s="93" t="s">
        <v>67</v>
      </c>
      <c r="B24" s="93" t="s">
        <v>34</v>
      </c>
      <c r="C24" s="93" t="s">
        <v>91</v>
      </c>
      <c r="D24" s="93" t="s">
        <v>1197</v>
      </c>
      <c r="E24" s="95">
        <f t="shared" ref="E24" si="74">(COUNTIFS(J24,"&lt;="&amp;$C$1)*50%)+(COUNTIFS(M24,"&lt;="&amp;$C$1)*20%)+(COUNTIFS(P24,"&lt;="&amp;$C$1)*10%)+(COUNTIFS(S24,"&lt;="&amp;$C$1)*20%)</f>
        <v>0.7</v>
      </c>
      <c r="F24" s="95">
        <f t="shared" ref="F24" si="75">(COUNTIFS(K24,"&lt;="&amp;$C$1)*50%)+(COUNTIFS(N24,"&lt;="&amp;$C$1)*20%)+(COUNTIFS(Q24,"&lt;="&amp;$C$1)*10%)+(COUNTIFS(T24,"&lt;="&amp;$C$1)*20%)</f>
        <v>0.7</v>
      </c>
      <c r="G24" s="95">
        <f t="shared" ref="G24" si="76">(COUNTIFS(L24,"&lt;="&amp;$C$1)*50%)+(COUNTIFS(O24,"&lt;="&amp;$C$1)*20%)+(COUNTIFS(R24,"&lt;="&amp;$C$1)*10%)+(COUNTIFS(U24,"&lt;="&amp;$C$1)*20%)</f>
        <v>0.7</v>
      </c>
      <c r="H24" s="95">
        <f t="shared" ref="H24" si="77">G24-E24</f>
        <v>0</v>
      </c>
      <c r="I24" s="96">
        <v>0.25</v>
      </c>
      <c r="J24" s="90">
        <v>46150</v>
      </c>
      <c r="K24" s="90">
        <f t="shared" ref="K24" si="78">J24</f>
        <v>46150</v>
      </c>
      <c r="L24" s="90">
        <v>46206</v>
      </c>
      <c r="M24" s="90">
        <f t="shared" ref="M24" si="79">J24+42</f>
        <v>46192</v>
      </c>
      <c r="N24" s="90">
        <f t="shared" ref="N24" si="80">M24</f>
        <v>46192</v>
      </c>
      <c r="O24" s="90">
        <v>46212</v>
      </c>
      <c r="P24" s="90">
        <v>46265</v>
      </c>
      <c r="Q24" s="90">
        <f t="shared" ref="Q24" si="81">P24</f>
        <v>46265</v>
      </c>
      <c r="R24" s="90"/>
      <c r="S24" s="90">
        <f t="shared" ref="S24" si="82">P24+14</f>
        <v>46279</v>
      </c>
      <c r="T24" s="90">
        <f t="shared" ref="T24" si="83">S24</f>
        <v>46279</v>
      </c>
      <c r="U24" s="90"/>
      <c r="W24" s="174" t="str">
        <f t="shared" ref="W24" ca="1" si="84">IF(OR(L24&lt;&gt;""),"Completed",
IF(K24="","",IF(K24&lt;TODAY(),"Overdue",
IF(AND(K24&gt;=TODAY()-WEEKDAY(TODAY(),2)+1,K24&lt;=TODAY()-WEEKDAY(TODAY(),2)+7),"Follow-This Week",
IF(AND(K24&gt;=TODAY()-WEEKDAY(TODAY(),2)+8,K24&lt;=TODAY()-WEEKDAY(TODAY(),2)+14),"Follow-Next Week","")))))</f>
        <v>Completed</v>
      </c>
      <c r="X24" s="174" t="str">
        <f t="shared" ref="X24" ca="1" si="85">IF(OR(O24&lt;&gt;""),"Completed",IF(N24="","",
IF(N24&lt;TODAY(),"Overdue",
IF(AND(N24&gt;=TODAY()-WEEKDAY(TODAY(),2)+1,N24&lt;=TODAY()-WEEKDAY(TODAY(),2)+7),"Follow-This Week",
IF(AND(N24&gt;=TODAY()-WEEKDAY(TODAY(),2)+8,N24&lt;=TODAY()-WEEKDAY(TODAY(),2)+14),"Follow-Next Week","")))))</f>
        <v>Completed</v>
      </c>
      <c r="Y24" s="174" t="str">
        <f t="shared" ref="Y24" ca="1" si="86">IF(OR(R24&lt;&gt;""),"Completed",IF(Q24="","",
IF(Q24&lt;TODAY(),"Overdue",
IF(AND(Q24&gt;=TODAY()-WEEKDAY(TODAY(),2)+1,Q24&lt;=TODAY()-WEEKDAY(TODAY(),2)+7),"Follow-This Week",
IF(AND(Q24&gt;=TODAY()-WEEKDAY(TODAY(),2)+8,Q24&lt;=TODAY()-WEEKDAY(TODAY(),2)+14),"Follow-Next Week","")))))</f>
        <v/>
      </c>
      <c r="Z24" s="175" t="str">
        <f t="shared" ref="Z24" ca="1" si="87">IF(OR(U24&lt;&gt;""),"Completed",IF(T24="","",
IF(T24&lt;TODAY(),"Overdue",
IF(AND(T24&gt;=TODAY()-WEEKDAY(TODAY(),2)+1,T24&lt;=TODAY()-WEEKDAY(TODAY(),2)+7),"Follow-This Week",
IF(AND(T24&gt;=TODAY()-WEEKDAY(TODAY(),2)+8,T24&lt;=TODAY()-WEEKDAY(TODAY(),2)+14),"Follow-Next Week","")))))</f>
        <v/>
      </c>
    </row>
    <row r="25" spans="1:26" s="70" customFormat="1" ht="11.5" x14ac:dyDescent="0.25">
      <c r="A25" s="179" t="s">
        <v>67</v>
      </c>
      <c r="B25" s="179" t="s">
        <v>34</v>
      </c>
      <c r="C25" s="179" t="s">
        <v>92</v>
      </c>
      <c r="D25" s="179" t="s">
        <v>1198</v>
      </c>
      <c r="E25" s="156">
        <f t="shared" si="15"/>
        <v>0.79999999999999993</v>
      </c>
      <c r="F25" s="156">
        <f t="shared" si="16"/>
        <v>0.79999999999999993</v>
      </c>
      <c r="G25" s="156">
        <f t="shared" si="17"/>
        <v>1</v>
      </c>
      <c r="H25" s="156">
        <f t="shared" si="18"/>
        <v>0.20000000000000007</v>
      </c>
      <c r="I25" s="157">
        <v>0.25</v>
      </c>
      <c r="J25" s="159">
        <v>46157</v>
      </c>
      <c r="K25" s="159">
        <f t="shared" si="4"/>
        <v>46157</v>
      </c>
      <c r="L25" s="180">
        <v>46161</v>
      </c>
      <c r="M25" s="159">
        <f t="shared" si="5"/>
        <v>46199</v>
      </c>
      <c r="N25" s="159">
        <f t="shared" si="6"/>
        <v>46199</v>
      </c>
      <c r="O25" s="208">
        <v>46218</v>
      </c>
      <c r="P25" s="159">
        <f t="shared" si="7"/>
        <v>46241</v>
      </c>
      <c r="Q25" s="159">
        <f t="shared" si="8"/>
        <v>46241</v>
      </c>
      <c r="R25" s="159">
        <v>46248</v>
      </c>
      <c r="S25" s="159">
        <f t="shared" si="14"/>
        <v>46255</v>
      </c>
      <c r="T25" s="159">
        <f t="shared" si="9"/>
        <v>46255</v>
      </c>
      <c r="U25" s="159">
        <v>46248</v>
      </c>
      <c r="W25" s="174" t="str">
        <f t="shared" ca="1" si="10"/>
        <v>Completed</v>
      </c>
      <c r="X25" s="174" t="str">
        <f t="shared" ca="1" si="11"/>
        <v>Completed</v>
      </c>
      <c r="Y25" s="174" t="str">
        <f t="shared" ca="1" si="12"/>
        <v>Completed</v>
      </c>
      <c r="Z25" s="175" t="str">
        <f t="shared" ca="1" si="13"/>
        <v>Completed</v>
      </c>
    </row>
    <row r="26" spans="1:26" s="70" customFormat="1" ht="11.5" x14ac:dyDescent="0.25">
      <c r="A26" s="93" t="s">
        <v>67</v>
      </c>
      <c r="B26" s="93" t="s">
        <v>34</v>
      </c>
      <c r="C26" s="93" t="s">
        <v>92</v>
      </c>
      <c r="D26" s="93" t="s">
        <v>1199</v>
      </c>
      <c r="E26" s="95">
        <f t="shared" ref="E26" si="88">(COUNTIFS(J26,"&lt;="&amp;$C$1)*50%)+(COUNTIFS(M26,"&lt;="&amp;$C$1)*20%)+(COUNTIFS(P26,"&lt;="&amp;$C$1)*10%)+(COUNTIFS(S26,"&lt;="&amp;$C$1)*20%)</f>
        <v>0.7</v>
      </c>
      <c r="F26" s="95">
        <f t="shared" ref="F26" si="89">(COUNTIFS(K26,"&lt;="&amp;$C$1)*50%)+(COUNTIFS(N26,"&lt;="&amp;$C$1)*20%)+(COUNTIFS(Q26,"&lt;="&amp;$C$1)*10%)+(COUNTIFS(T26,"&lt;="&amp;$C$1)*20%)</f>
        <v>0.7</v>
      </c>
      <c r="G26" s="95">
        <f t="shared" ref="G26" si="90">(COUNTIFS(L26,"&lt;="&amp;$C$1)*50%)+(COUNTIFS(O26,"&lt;="&amp;$C$1)*20%)+(COUNTIFS(R26,"&lt;="&amp;$C$1)*10%)+(COUNTIFS(U26,"&lt;="&amp;$C$1)*20%)</f>
        <v>0.7</v>
      </c>
      <c r="H26" s="95">
        <f t="shared" ref="H26" si="91">G26-E26</f>
        <v>0</v>
      </c>
      <c r="I26" s="96">
        <v>0.25</v>
      </c>
      <c r="J26" s="90">
        <v>46157</v>
      </c>
      <c r="K26" s="90">
        <f t="shared" ref="K26" si="92">J26</f>
        <v>46157</v>
      </c>
      <c r="L26" s="98">
        <v>46161</v>
      </c>
      <c r="M26" s="90">
        <f t="shared" ref="M26" si="93">J26+42</f>
        <v>46199</v>
      </c>
      <c r="N26" s="90">
        <f t="shared" ref="N26" si="94">M26</f>
        <v>46199</v>
      </c>
      <c r="O26" s="147">
        <v>46218</v>
      </c>
      <c r="P26" s="90">
        <v>46265</v>
      </c>
      <c r="Q26" s="90">
        <f t="shared" ref="Q26" si="95">P26</f>
        <v>46265</v>
      </c>
      <c r="R26" s="90"/>
      <c r="S26" s="90">
        <f t="shared" ref="S26" si="96">P26+14</f>
        <v>46279</v>
      </c>
      <c r="T26" s="90">
        <f t="shared" ref="T26" si="97">S26</f>
        <v>46279</v>
      </c>
      <c r="U26" s="90"/>
      <c r="W26" s="174" t="str">
        <f t="shared" ref="W26" ca="1" si="98">IF(OR(L26&lt;&gt;""),"Completed",
IF(K26="","",IF(K26&lt;TODAY(),"Overdue",
IF(AND(K26&gt;=TODAY()-WEEKDAY(TODAY(),2)+1,K26&lt;=TODAY()-WEEKDAY(TODAY(),2)+7),"Follow-This Week",
IF(AND(K26&gt;=TODAY()-WEEKDAY(TODAY(),2)+8,K26&lt;=TODAY()-WEEKDAY(TODAY(),2)+14),"Follow-Next Week","")))))</f>
        <v>Completed</v>
      </c>
      <c r="X26" s="174" t="str">
        <f t="shared" ref="X26" ca="1" si="99">IF(OR(O26&lt;&gt;""),"Completed",IF(N26="","",
IF(N26&lt;TODAY(),"Overdue",
IF(AND(N26&gt;=TODAY()-WEEKDAY(TODAY(),2)+1,N26&lt;=TODAY()-WEEKDAY(TODAY(),2)+7),"Follow-This Week",
IF(AND(N26&gt;=TODAY()-WEEKDAY(TODAY(),2)+8,N26&lt;=TODAY()-WEEKDAY(TODAY(),2)+14),"Follow-Next Week","")))))</f>
        <v>Completed</v>
      </c>
      <c r="Y26" s="174" t="str">
        <f t="shared" ref="Y26" ca="1" si="100">IF(OR(R26&lt;&gt;""),"Completed",IF(Q26="","",
IF(Q26&lt;TODAY(),"Overdue",
IF(AND(Q26&gt;=TODAY()-WEEKDAY(TODAY(),2)+1,Q26&lt;=TODAY()-WEEKDAY(TODAY(),2)+7),"Follow-This Week",
IF(AND(Q26&gt;=TODAY()-WEEKDAY(TODAY(),2)+8,Q26&lt;=TODAY()-WEEKDAY(TODAY(),2)+14),"Follow-Next Week","")))))</f>
        <v/>
      </c>
      <c r="Z26" s="175" t="str">
        <f t="shared" ref="Z26" ca="1" si="101">IF(OR(U26&lt;&gt;""),"Completed",IF(T26="","",
IF(T26&lt;TODAY(),"Overdue",
IF(AND(T26&gt;=TODAY()-WEEKDAY(TODAY(),2)+1,T26&lt;=TODAY()-WEEKDAY(TODAY(),2)+7),"Follow-This Week",
IF(AND(T26&gt;=TODAY()-WEEKDAY(TODAY(),2)+8,T26&lt;=TODAY()-WEEKDAY(TODAY(),2)+14),"Follow-Next Week","")))))</f>
        <v/>
      </c>
    </row>
    <row r="27" spans="1:26" s="70" customFormat="1" ht="11.5" x14ac:dyDescent="0.25">
      <c r="A27" s="179" t="s">
        <v>67</v>
      </c>
      <c r="B27" s="179" t="s">
        <v>34</v>
      </c>
      <c r="C27" s="179" t="s">
        <v>93</v>
      </c>
      <c r="D27" s="179" t="s">
        <v>1185</v>
      </c>
      <c r="E27" s="190">
        <f t="shared" ref="E27" si="102">(COUNTIFS(J27,"&lt;="&amp;$C$1)*50%)+(COUNTIFS(M27,"&lt;="&amp;$C$1)*20%)+(COUNTIFS(P27,"&lt;="&amp;$C$1)*10%)+(COUNTIFS(S27,"&lt;="&amp;$C$1)*20%)</f>
        <v>0.5</v>
      </c>
      <c r="F27" s="190">
        <f t="shared" ref="F27" si="103">(COUNTIFS(K27,"&lt;="&amp;$C$1)*50%)+(COUNTIFS(N27,"&lt;="&amp;$C$1)*20%)+(COUNTIFS(Q27,"&lt;="&amp;$C$1)*10%)+(COUNTIFS(T27,"&lt;="&amp;$C$1)*20%)</f>
        <v>0.5</v>
      </c>
      <c r="G27" s="190">
        <f t="shared" ref="G27" si="104">(COUNTIFS(L27,"&lt;="&amp;$C$1)*50%)+(COUNTIFS(O27,"&lt;="&amp;$C$1)*20%)+(COUNTIFS(R27,"&lt;="&amp;$C$1)*10%)+(COUNTIFS(U27,"&lt;="&amp;$C$1)*20%)</f>
        <v>1</v>
      </c>
      <c r="H27" s="190">
        <f t="shared" ref="H27" si="105">G27-E27</f>
        <v>0.5</v>
      </c>
      <c r="I27" s="157">
        <v>0.4</v>
      </c>
      <c r="J27" s="159">
        <v>46227</v>
      </c>
      <c r="K27" s="159">
        <f t="shared" ref="K27" si="106">J27</f>
        <v>46227</v>
      </c>
      <c r="L27" s="159">
        <v>46234</v>
      </c>
      <c r="M27" s="159">
        <f t="shared" ref="M27" si="107">J27+42</f>
        <v>46269</v>
      </c>
      <c r="N27" s="159">
        <f t="shared" ref="N27" si="108">M27</f>
        <v>46269</v>
      </c>
      <c r="O27" s="159">
        <v>46234</v>
      </c>
      <c r="P27" s="159">
        <f t="shared" ref="P27" si="109">M27+42</f>
        <v>46311</v>
      </c>
      <c r="Q27" s="159">
        <f t="shared" ref="Q27" si="110">P27</f>
        <v>46311</v>
      </c>
      <c r="R27" s="159">
        <v>46234</v>
      </c>
      <c r="S27" s="159">
        <f t="shared" ref="S27" si="111">P27+14</f>
        <v>46325</v>
      </c>
      <c r="T27" s="159">
        <f t="shared" ref="T27" si="112">S27</f>
        <v>46325</v>
      </c>
      <c r="U27" s="159">
        <v>46234</v>
      </c>
      <c r="W27" s="188" t="str">
        <f t="shared" ca="1" si="10"/>
        <v>Completed</v>
      </c>
      <c r="X27" s="188"/>
      <c r="Y27" s="188"/>
      <c r="Z27" s="189"/>
    </row>
    <row r="28" spans="1:26" s="70" customFormat="1" ht="11.5" x14ac:dyDescent="0.25">
      <c r="A28" s="93" t="s">
        <v>67</v>
      </c>
      <c r="B28" s="93" t="s">
        <v>34</v>
      </c>
      <c r="C28" s="93" t="s">
        <v>93</v>
      </c>
      <c r="D28" s="93" t="s">
        <v>1186</v>
      </c>
      <c r="E28" s="95">
        <f t="shared" ref="E28" si="113">(COUNTIFS(J28,"&lt;="&amp;$C$1)*50%)+(COUNTIFS(M28,"&lt;="&amp;$C$1)*20%)+(COUNTIFS(P28,"&lt;="&amp;$C$1)*10%)+(COUNTIFS(S28,"&lt;="&amp;$C$1)*20%)</f>
        <v>0.5</v>
      </c>
      <c r="F28" s="95">
        <f t="shared" ref="F28" si="114">(COUNTIFS(K28,"&lt;="&amp;$C$1)*50%)+(COUNTIFS(N28,"&lt;="&amp;$C$1)*20%)+(COUNTIFS(Q28,"&lt;="&amp;$C$1)*10%)+(COUNTIFS(T28,"&lt;="&amp;$C$1)*20%)</f>
        <v>0.5</v>
      </c>
      <c r="G28" s="95">
        <f t="shared" ref="G28" si="115">(COUNTIFS(L28,"&lt;="&amp;$C$1)*50%)+(COUNTIFS(O28,"&lt;="&amp;$C$1)*20%)+(COUNTIFS(R28,"&lt;="&amp;$C$1)*10%)+(COUNTIFS(U28,"&lt;="&amp;$C$1)*20%)</f>
        <v>0.7</v>
      </c>
      <c r="H28" s="95">
        <f t="shared" ref="H28" si="116">G28-E28</f>
        <v>0.19999999999999996</v>
      </c>
      <c r="I28" s="96">
        <v>0.4</v>
      </c>
      <c r="J28" s="90">
        <v>46227</v>
      </c>
      <c r="K28" s="90">
        <f t="shared" ref="K28" si="117">J28</f>
        <v>46227</v>
      </c>
      <c r="L28" s="90">
        <v>46234</v>
      </c>
      <c r="M28" s="90">
        <f t="shared" ref="M28" si="118">J28+42</f>
        <v>46269</v>
      </c>
      <c r="N28" s="90">
        <f t="shared" ref="N28" si="119">M28</f>
        <v>46269</v>
      </c>
      <c r="O28" s="166">
        <v>46248</v>
      </c>
      <c r="P28" s="90">
        <f t="shared" ref="P28" si="120">M28+42</f>
        <v>46311</v>
      </c>
      <c r="Q28" s="90">
        <f t="shared" ref="Q28" si="121">P28</f>
        <v>46311</v>
      </c>
      <c r="R28" s="90"/>
      <c r="S28" s="90">
        <f t="shared" ref="S28" si="122">P28+14</f>
        <v>46325</v>
      </c>
      <c r="T28" s="90">
        <f t="shared" ref="T28" si="123">S28</f>
        <v>46325</v>
      </c>
      <c r="U28" s="90"/>
      <c r="W28" s="188" t="str">
        <f t="shared" ref="W28" ca="1" si="124">IF(OR(L28&lt;&gt;""),"Completed",
IF(K28="","",IF(K28&lt;TODAY(),"Overdue",
IF(AND(K28&gt;=TODAY()-WEEKDAY(TODAY(),2)+1,K28&lt;=TODAY()-WEEKDAY(TODAY(),2)+7),"Follow-This Week",
IF(AND(K28&gt;=TODAY()-WEEKDAY(TODAY(),2)+8,K28&lt;=TODAY()-WEEKDAY(TODAY(),2)+14),"Follow-Next Week","")))))</f>
        <v>Completed</v>
      </c>
      <c r="X28" s="188" t="str">
        <f t="shared" ref="X28" ca="1" si="125">IF(OR(O28&lt;&gt;""),"Completed",IF(N28="","",
IF(N28&lt;TODAY(),"Overdue",
IF(AND(N28&gt;=TODAY()-WEEKDAY(TODAY(),2)+1,N28&lt;=TODAY()-WEEKDAY(TODAY(),2)+7),"Follow-This Week",
IF(AND(N28&gt;=TODAY()-WEEKDAY(TODAY(),2)+8,N28&lt;=TODAY()-WEEKDAY(TODAY(),2)+14),"Follow-Next Week","")))))</f>
        <v>Completed</v>
      </c>
      <c r="Y28" s="188" t="str">
        <f t="shared" ref="Y28" ca="1" si="126">IF(OR(R28&lt;&gt;""),"Completed",IF(Q28="","",
IF(Q28&lt;TODAY(),"Overdue",
IF(AND(Q28&gt;=TODAY()-WEEKDAY(TODAY(),2)+1,Q28&lt;=TODAY()-WEEKDAY(TODAY(),2)+7),"Follow-This Week",
IF(AND(Q28&gt;=TODAY()-WEEKDAY(TODAY(),2)+8,Q28&lt;=TODAY()-WEEKDAY(TODAY(),2)+14),"Follow-Next Week","")))))</f>
        <v/>
      </c>
      <c r="Z28" s="189" t="str">
        <f t="shared" ref="Z28" ca="1" si="127">IF(OR(U28&lt;&gt;""),"Completed",IF(T28="","",
IF(T28&lt;TODAY(),"Overdue",
IF(AND(T28&gt;=TODAY()-WEEKDAY(TODAY(),2)+1,T28&lt;=TODAY()-WEEKDAY(TODAY(),2)+7),"Follow-This Week",
IF(AND(T28&gt;=TODAY()-WEEKDAY(TODAY(),2)+8,T28&lt;=TODAY()-WEEKDAY(TODAY(),2)+14),"Follow-Next Week","")))))</f>
        <v/>
      </c>
    </row>
    <row r="29" spans="1:26" s="70" customFormat="1" ht="11.5" x14ac:dyDescent="0.25">
      <c r="A29" s="93" t="s">
        <v>67</v>
      </c>
      <c r="B29" s="93" t="s">
        <v>34</v>
      </c>
      <c r="C29" s="93" t="s">
        <v>94</v>
      </c>
      <c r="D29" s="93" t="s">
        <v>95</v>
      </c>
      <c r="E29" s="95">
        <f t="shared" si="15"/>
        <v>0.5</v>
      </c>
      <c r="F29" s="95">
        <f t="shared" si="16"/>
        <v>0.5</v>
      </c>
      <c r="G29" s="95">
        <f t="shared" si="17"/>
        <v>0.7</v>
      </c>
      <c r="H29" s="95">
        <f t="shared" si="18"/>
        <v>0.19999999999999996</v>
      </c>
      <c r="I29" s="96">
        <v>0.8</v>
      </c>
      <c r="J29" s="90">
        <v>46241</v>
      </c>
      <c r="K29" s="90">
        <f t="shared" si="4"/>
        <v>46241</v>
      </c>
      <c r="L29" s="90">
        <v>46178</v>
      </c>
      <c r="M29" s="90">
        <f t="shared" si="5"/>
        <v>46283</v>
      </c>
      <c r="N29" s="90">
        <f t="shared" si="6"/>
        <v>46283</v>
      </c>
      <c r="O29" s="90">
        <v>46192</v>
      </c>
      <c r="P29" s="90">
        <f t="shared" si="7"/>
        <v>46325</v>
      </c>
      <c r="Q29" s="90">
        <f t="shared" si="8"/>
        <v>46325</v>
      </c>
      <c r="R29" s="90"/>
      <c r="S29" s="90">
        <f t="shared" si="14"/>
        <v>46339</v>
      </c>
      <c r="T29" s="90">
        <f t="shared" si="9"/>
        <v>46339</v>
      </c>
      <c r="U29" s="90"/>
      <c r="W29" s="174" t="str">
        <f t="shared" ca="1" si="10"/>
        <v>Completed</v>
      </c>
      <c r="X29" s="174" t="str">
        <f t="shared" ca="1" si="11"/>
        <v>Completed</v>
      </c>
      <c r="Y29" s="174" t="str">
        <f t="shared" ca="1" si="12"/>
        <v/>
      </c>
      <c r="Z29" s="175" t="str">
        <f t="shared" ca="1" si="13"/>
        <v/>
      </c>
    </row>
    <row r="30" spans="1:26" s="70" customFormat="1" ht="11.5" x14ac:dyDescent="0.25">
      <c r="A30" s="93" t="s">
        <v>67</v>
      </c>
      <c r="B30" s="93" t="s">
        <v>34</v>
      </c>
      <c r="C30" s="93" t="s">
        <v>96</v>
      </c>
      <c r="D30" s="93" t="s">
        <v>97</v>
      </c>
      <c r="E30" s="95">
        <f t="shared" si="15"/>
        <v>0</v>
      </c>
      <c r="F30" s="95">
        <f t="shared" si="16"/>
        <v>0</v>
      </c>
      <c r="G30" s="95">
        <f t="shared" si="17"/>
        <v>0.7</v>
      </c>
      <c r="H30" s="95">
        <f t="shared" si="18"/>
        <v>0.7</v>
      </c>
      <c r="I30" s="96">
        <v>0.8</v>
      </c>
      <c r="J30" s="90">
        <v>46249</v>
      </c>
      <c r="K30" s="90">
        <f t="shared" si="4"/>
        <v>46249</v>
      </c>
      <c r="L30" s="90">
        <v>46241</v>
      </c>
      <c r="M30" s="90">
        <f t="shared" si="5"/>
        <v>46291</v>
      </c>
      <c r="N30" s="90">
        <f t="shared" si="6"/>
        <v>46291</v>
      </c>
      <c r="O30" s="166">
        <v>46248</v>
      </c>
      <c r="P30" s="90">
        <f t="shared" si="7"/>
        <v>46333</v>
      </c>
      <c r="Q30" s="90">
        <f t="shared" si="8"/>
        <v>46333</v>
      </c>
      <c r="R30" s="90"/>
      <c r="S30" s="90">
        <f t="shared" si="14"/>
        <v>46347</v>
      </c>
      <c r="T30" s="90">
        <f t="shared" si="9"/>
        <v>46347</v>
      </c>
      <c r="U30" s="90"/>
      <c r="W30" s="174" t="str">
        <f t="shared" ca="1" si="10"/>
        <v>Completed</v>
      </c>
      <c r="X30" s="174" t="str">
        <f t="shared" ca="1" si="11"/>
        <v>Completed</v>
      </c>
      <c r="Y30" s="174" t="str">
        <f t="shared" ca="1" si="12"/>
        <v/>
      </c>
      <c r="Z30" s="175" t="str">
        <f t="shared" ca="1" si="13"/>
        <v/>
      </c>
    </row>
    <row r="31" spans="1:26" s="70" customFormat="1" ht="11.5" x14ac:dyDescent="0.25">
      <c r="A31" s="93" t="s">
        <v>67</v>
      </c>
      <c r="B31" s="93" t="s">
        <v>34</v>
      </c>
      <c r="C31" s="93" t="s">
        <v>98</v>
      </c>
      <c r="D31" s="93" t="s">
        <v>99</v>
      </c>
      <c r="E31" s="95">
        <f t="shared" si="15"/>
        <v>0</v>
      </c>
      <c r="F31" s="95">
        <f t="shared" si="16"/>
        <v>0</v>
      </c>
      <c r="G31" s="95">
        <f t="shared" si="17"/>
        <v>0</v>
      </c>
      <c r="H31" s="95">
        <f t="shared" si="18"/>
        <v>0</v>
      </c>
      <c r="I31" s="96">
        <v>0.5</v>
      </c>
      <c r="J31" s="90">
        <v>46302</v>
      </c>
      <c r="K31" s="90">
        <f t="shared" si="4"/>
        <v>46302</v>
      </c>
      <c r="L31" s="90"/>
      <c r="M31" s="90">
        <f t="shared" si="5"/>
        <v>46344</v>
      </c>
      <c r="N31" s="90">
        <f t="shared" si="6"/>
        <v>46344</v>
      </c>
      <c r="O31" s="90"/>
      <c r="P31" s="90">
        <f t="shared" si="7"/>
        <v>46386</v>
      </c>
      <c r="Q31" s="90">
        <f t="shared" si="8"/>
        <v>46386</v>
      </c>
      <c r="R31" s="90"/>
      <c r="S31" s="90">
        <f t="shared" si="14"/>
        <v>46400</v>
      </c>
      <c r="T31" s="90">
        <f t="shared" si="9"/>
        <v>46400</v>
      </c>
      <c r="U31" s="90"/>
      <c r="W31" s="174" t="str">
        <f t="shared" ca="1" si="10"/>
        <v/>
      </c>
      <c r="X31" s="174" t="str">
        <f t="shared" ca="1" si="11"/>
        <v/>
      </c>
      <c r="Y31" s="174" t="str">
        <f t="shared" ca="1" si="12"/>
        <v/>
      </c>
      <c r="Z31" s="175" t="str">
        <f t="shared" ca="1" si="13"/>
        <v/>
      </c>
    </row>
    <row r="32" spans="1:26" s="70" customFormat="1" ht="11.5" x14ac:dyDescent="0.25">
      <c r="A32" s="93" t="s">
        <v>67</v>
      </c>
      <c r="B32" s="93" t="s">
        <v>34</v>
      </c>
      <c r="C32" s="93" t="s">
        <v>100</v>
      </c>
      <c r="D32" s="93" t="s">
        <v>101</v>
      </c>
      <c r="E32" s="95">
        <f t="shared" si="15"/>
        <v>0.7</v>
      </c>
      <c r="F32" s="95">
        <f t="shared" si="16"/>
        <v>0.7</v>
      </c>
      <c r="G32" s="95">
        <f t="shared" si="17"/>
        <v>0.7</v>
      </c>
      <c r="H32" s="95">
        <f t="shared" si="18"/>
        <v>0</v>
      </c>
      <c r="I32" s="96">
        <v>0.5</v>
      </c>
      <c r="J32" s="90">
        <v>46171</v>
      </c>
      <c r="K32" s="90">
        <f t="shared" si="4"/>
        <v>46171</v>
      </c>
      <c r="L32" s="90">
        <v>46178</v>
      </c>
      <c r="M32" s="90">
        <f t="shared" si="5"/>
        <v>46213</v>
      </c>
      <c r="N32" s="90">
        <f t="shared" si="6"/>
        <v>46213</v>
      </c>
      <c r="O32" s="90">
        <v>46220</v>
      </c>
      <c r="P32" s="90">
        <f t="shared" si="7"/>
        <v>46255</v>
      </c>
      <c r="Q32" s="90">
        <f t="shared" si="8"/>
        <v>46255</v>
      </c>
      <c r="R32" s="90"/>
      <c r="S32" s="90">
        <f t="shared" si="14"/>
        <v>46269</v>
      </c>
      <c r="T32" s="90">
        <f t="shared" si="9"/>
        <v>46269</v>
      </c>
      <c r="U32" s="90"/>
      <c r="W32" s="174" t="str">
        <f t="shared" ca="1" si="10"/>
        <v>Completed</v>
      </c>
      <c r="X32" s="174" t="str">
        <f t="shared" ca="1" si="11"/>
        <v>Completed</v>
      </c>
      <c r="Y32" s="174" t="str">
        <f t="shared" ca="1" si="12"/>
        <v>Follow-Next Week</v>
      </c>
      <c r="Z32" s="175" t="str">
        <f t="shared" ca="1" si="13"/>
        <v/>
      </c>
    </row>
    <row r="33" spans="1:26" s="70" customFormat="1" ht="11.5" x14ac:dyDescent="0.25">
      <c r="A33" s="93" t="s">
        <v>67</v>
      </c>
      <c r="B33" s="93" t="s">
        <v>34</v>
      </c>
      <c r="C33" s="93" t="s">
        <v>102</v>
      </c>
      <c r="D33" s="93" t="s">
        <v>103</v>
      </c>
      <c r="E33" s="95">
        <f t="shared" si="15"/>
        <v>0.5</v>
      </c>
      <c r="F33" s="95">
        <f t="shared" si="16"/>
        <v>0.5</v>
      </c>
      <c r="G33" s="95">
        <f t="shared" si="17"/>
        <v>0.7</v>
      </c>
      <c r="H33" s="95">
        <f t="shared" si="18"/>
        <v>0.19999999999999996</v>
      </c>
      <c r="I33" s="96">
        <v>0.5</v>
      </c>
      <c r="J33" s="90">
        <v>46227</v>
      </c>
      <c r="K33" s="90">
        <f t="shared" si="4"/>
        <v>46227</v>
      </c>
      <c r="L33" s="90">
        <v>46142</v>
      </c>
      <c r="M33" s="90">
        <f t="shared" si="5"/>
        <v>46269</v>
      </c>
      <c r="N33" s="90">
        <f t="shared" si="6"/>
        <v>46269</v>
      </c>
      <c r="O33" s="147">
        <v>46218</v>
      </c>
      <c r="P33" s="90">
        <f t="shared" si="7"/>
        <v>46311</v>
      </c>
      <c r="Q33" s="90">
        <f t="shared" si="8"/>
        <v>46311</v>
      </c>
      <c r="R33" s="90"/>
      <c r="S33" s="90">
        <f t="shared" si="14"/>
        <v>46325</v>
      </c>
      <c r="T33" s="90">
        <f t="shared" si="9"/>
        <v>46325</v>
      </c>
      <c r="U33" s="90"/>
      <c r="W33" s="174" t="str">
        <f t="shared" ca="1" si="10"/>
        <v>Completed</v>
      </c>
      <c r="X33" s="174" t="str">
        <f t="shared" ca="1" si="11"/>
        <v>Completed</v>
      </c>
      <c r="Y33" s="174" t="str">
        <f t="shared" ca="1" si="12"/>
        <v/>
      </c>
      <c r="Z33" s="175" t="str">
        <f t="shared" ca="1" si="13"/>
        <v/>
      </c>
    </row>
    <row r="34" spans="1:26" s="70" customFormat="1" ht="11.5" x14ac:dyDescent="0.25">
      <c r="A34" s="93" t="s">
        <v>67</v>
      </c>
      <c r="B34" s="93" t="s">
        <v>34</v>
      </c>
      <c r="C34" s="93" t="s">
        <v>866</v>
      </c>
      <c r="D34" s="93" t="s">
        <v>104</v>
      </c>
      <c r="E34" s="95">
        <f t="shared" si="15"/>
        <v>0.79999999999999993</v>
      </c>
      <c r="F34" s="95">
        <f t="shared" si="16"/>
        <v>0.79999999999999993</v>
      </c>
      <c r="G34" s="95">
        <f t="shared" si="17"/>
        <v>0.7</v>
      </c>
      <c r="H34" s="95">
        <f t="shared" si="18"/>
        <v>-9.9999999999999978E-2</v>
      </c>
      <c r="I34" s="96">
        <v>0.55000000000000004</v>
      </c>
      <c r="J34" s="90">
        <v>46164</v>
      </c>
      <c r="K34" s="90">
        <f t="shared" si="4"/>
        <v>46164</v>
      </c>
      <c r="L34" s="98">
        <v>46161</v>
      </c>
      <c r="M34" s="90">
        <f t="shared" si="5"/>
        <v>46206</v>
      </c>
      <c r="N34" s="90">
        <f t="shared" si="6"/>
        <v>46206</v>
      </c>
      <c r="O34" s="147">
        <v>46217</v>
      </c>
      <c r="P34" s="90">
        <f t="shared" si="7"/>
        <v>46248</v>
      </c>
      <c r="Q34" s="90">
        <f t="shared" si="8"/>
        <v>46248</v>
      </c>
      <c r="R34" s="90"/>
      <c r="S34" s="90">
        <f t="shared" si="14"/>
        <v>46262</v>
      </c>
      <c r="T34" s="90">
        <f t="shared" si="9"/>
        <v>46262</v>
      </c>
      <c r="U34" s="90"/>
      <c r="W34" s="174" t="str">
        <f t="shared" ca="1" si="10"/>
        <v>Completed</v>
      </c>
      <c r="X34" s="174" t="str">
        <f t="shared" ca="1" si="11"/>
        <v>Completed</v>
      </c>
      <c r="Y34" s="174" t="str">
        <f t="shared" ca="1" si="12"/>
        <v>Overdue</v>
      </c>
      <c r="Z34" s="175" t="str">
        <f t="shared" ca="1" si="13"/>
        <v/>
      </c>
    </row>
    <row r="35" spans="1:26" s="70" customFormat="1" ht="11.5" x14ac:dyDescent="0.25">
      <c r="A35" s="93" t="s">
        <v>67</v>
      </c>
      <c r="B35" s="93" t="s">
        <v>34</v>
      </c>
      <c r="C35" s="93" t="s">
        <v>867</v>
      </c>
      <c r="D35" s="93" t="s">
        <v>105</v>
      </c>
      <c r="E35" s="95">
        <f t="shared" si="15"/>
        <v>0.7</v>
      </c>
      <c r="F35" s="95">
        <f t="shared" si="16"/>
        <v>0.7</v>
      </c>
      <c r="G35" s="95">
        <f t="shared" si="17"/>
        <v>0.7</v>
      </c>
      <c r="H35" s="95">
        <f t="shared" si="18"/>
        <v>0</v>
      </c>
      <c r="I35" s="96">
        <v>0.55000000000000004</v>
      </c>
      <c r="J35" s="90">
        <v>46171</v>
      </c>
      <c r="K35" s="90">
        <f t="shared" si="4"/>
        <v>46171</v>
      </c>
      <c r="L35" s="91">
        <v>46171</v>
      </c>
      <c r="M35" s="90">
        <f t="shared" si="5"/>
        <v>46213</v>
      </c>
      <c r="N35" s="90">
        <f t="shared" si="6"/>
        <v>46213</v>
      </c>
      <c r="O35" s="90">
        <v>46214</v>
      </c>
      <c r="P35" s="90">
        <f t="shared" si="7"/>
        <v>46255</v>
      </c>
      <c r="Q35" s="90">
        <f t="shared" si="8"/>
        <v>46255</v>
      </c>
      <c r="R35" s="90"/>
      <c r="S35" s="90">
        <f t="shared" si="14"/>
        <v>46269</v>
      </c>
      <c r="T35" s="90">
        <f t="shared" si="9"/>
        <v>46269</v>
      </c>
      <c r="U35" s="90"/>
      <c r="W35" s="174" t="str">
        <f t="shared" ca="1" si="10"/>
        <v>Completed</v>
      </c>
      <c r="X35" s="174" t="str">
        <f t="shared" ca="1" si="11"/>
        <v>Completed</v>
      </c>
      <c r="Y35" s="174" t="str">
        <f t="shared" ca="1" si="12"/>
        <v>Follow-Next Week</v>
      </c>
      <c r="Z35" s="175" t="str">
        <f t="shared" ca="1" si="13"/>
        <v/>
      </c>
    </row>
    <row r="36" spans="1:26" s="70" customFormat="1" ht="11.5" x14ac:dyDescent="0.25">
      <c r="A36" s="93" t="s">
        <v>67</v>
      </c>
      <c r="B36" s="93" t="s">
        <v>34</v>
      </c>
      <c r="C36" s="93" t="s">
        <v>868</v>
      </c>
      <c r="D36" s="93" t="s">
        <v>106</v>
      </c>
      <c r="E36" s="95">
        <f t="shared" si="15"/>
        <v>0.7</v>
      </c>
      <c r="F36" s="95">
        <f t="shared" si="16"/>
        <v>0.7</v>
      </c>
      <c r="G36" s="95">
        <f t="shared" si="17"/>
        <v>0.7</v>
      </c>
      <c r="H36" s="95">
        <f t="shared" si="18"/>
        <v>0</v>
      </c>
      <c r="I36" s="96">
        <v>0.75</v>
      </c>
      <c r="J36" s="90">
        <v>46192</v>
      </c>
      <c r="K36" s="97">
        <f t="shared" si="4"/>
        <v>46192</v>
      </c>
      <c r="L36" s="90">
        <v>46192</v>
      </c>
      <c r="M36" s="90">
        <f t="shared" si="5"/>
        <v>46234</v>
      </c>
      <c r="N36" s="97">
        <f t="shared" si="6"/>
        <v>46234</v>
      </c>
      <c r="O36" s="90">
        <v>46220</v>
      </c>
      <c r="P36" s="90">
        <f t="shared" si="7"/>
        <v>46276</v>
      </c>
      <c r="Q36" s="97">
        <f t="shared" si="8"/>
        <v>46276</v>
      </c>
      <c r="R36" s="90"/>
      <c r="S36" s="90">
        <f t="shared" si="14"/>
        <v>46290</v>
      </c>
      <c r="T36" s="97">
        <f t="shared" si="9"/>
        <v>46290</v>
      </c>
      <c r="U36" s="90"/>
      <c r="W36" s="174" t="str">
        <f t="shared" ca="1" si="10"/>
        <v>Completed</v>
      </c>
      <c r="X36" s="174" t="str">
        <f t="shared" ca="1" si="11"/>
        <v>Completed</v>
      </c>
      <c r="Y36" s="174" t="str">
        <f t="shared" ca="1" si="12"/>
        <v/>
      </c>
      <c r="Z36" s="175" t="str">
        <f t="shared" ca="1" si="13"/>
        <v/>
      </c>
    </row>
    <row r="37" spans="1:26" s="70" customFormat="1" ht="11.5" x14ac:dyDescent="0.25">
      <c r="A37" s="179" t="s">
        <v>67</v>
      </c>
      <c r="B37" s="179" t="s">
        <v>34</v>
      </c>
      <c r="C37" s="179" t="s">
        <v>107</v>
      </c>
      <c r="D37" s="179" t="s">
        <v>1182</v>
      </c>
      <c r="E37" s="156">
        <f t="shared" si="15"/>
        <v>1</v>
      </c>
      <c r="F37" s="156">
        <f t="shared" si="16"/>
        <v>1</v>
      </c>
      <c r="G37" s="156">
        <f t="shared" si="17"/>
        <v>1</v>
      </c>
      <c r="H37" s="156">
        <f t="shared" si="18"/>
        <v>0</v>
      </c>
      <c r="I37" s="157">
        <v>0.5</v>
      </c>
      <c r="J37" s="159">
        <v>46115</v>
      </c>
      <c r="K37" s="159">
        <f t="shared" si="4"/>
        <v>46115</v>
      </c>
      <c r="L37" s="159">
        <v>46122</v>
      </c>
      <c r="M37" s="159">
        <f t="shared" si="5"/>
        <v>46157</v>
      </c>
      <c r="N37" s="159">
        <f t="shared" si="6"/>
        <v>46157</v>
      </c>
      <c r="O37" s="159">
        <v>46199</v>
      </c>
      <c r="P37" s="159">
        <f t="shared" si="7"/>
        <v>46199</v>
      </c>
      <c r="Q37" s="159">
        <f t="shared" si="8"/>
        <v>46199</v>
      </c>
      <c r="R37" s="159">
        <v>46227</v>
      </c>
      <c r="S37" s="159">
        <f t="shared" si="14"/>
        <v>46213</v>
      </c>
      <c r="T37" s="159">
        <f t="shared" si="9"/>
        <v>46213</v>
      </c>
      <c r="U37" s="159">
        <v>46227</v>
      </c>
      <c r="W37" s="174" t="str">
        <f t="shared" ca="1" si="10"/>
        <v>Completed</v>
      </c>
      <c r="X37" s="174" t="str">
        <f t="shared" ca="1" si="11"/>
        <v>Completed</v>
      </c>
      <c r="Y37" s="174" t="str">
        <f t="shared" ca="1" si="12"/>
        <v>Completed</v>
      </c>
      <c r="Z37" s="175" t="str">
        <f t="shared" ca="1" si="13"/>
        <v>Completed</v>
      </c>
    </row>
    <row r="38" spans="1:26" s="70" customFormat="1" ht="11.5" x14ac:dyDescent="0.25">
      <c r="A38" s="93" t="s">
        <v>67</v>
      </c>
      <c r="B38" s="93" t="s">
        <v>34</v>
      </c>
      <c r="C38" s="93" t="s">
        <v>107</v>
      </c>
      <c r="D38" s="93" t="s">
        <v>1183</v>
      </c>
      <c r="E38" s="95">
        <f t="shared" ref="E38" si="128">(COUNTIFS(J38,"&lt;="&amp;$C$1)*50%)+(COUNTIFS(M38,"&lt;="&amp;$C$1)*20%)+(COUNTIFS(P38,"&lt;="&amp;$C$1)*10%)+(COUNTIFS(S38,"&lt;="&amp;$C$1)*20%)</f>
        <v>0.7</v>
      </c>
      <c r="F38" s="95">
        <f t="shared" ref="F38" si="129">(COUNTIFS(K38,"&lt;="&amp;$C$1)*50%)+(COUNTIFS(N38,"&lt;="&amp;$C$1)*20%)+(COUNTIFS(Q38,"&lt;="&amp;$C$1)*10%)+(COUNTIFS(T38,"&lt;="&amp;$C$1)*20%)</f>
        <v>0.7</v>
      </c>
      <c r="G38" s="95">
        <f t="shared" ref="G38" si="130">(COUNTIFS(L38,"&lt;="&amp;$C$1)*50%)+(COUNTIFS(O38,"&lt;="&amp;$C$1)*20%)+(COUNTIFS(R38,"&lt;="&amp;$C$1)*10%)+(COUNTIFS(U38,"&lt;="&amp;$C$1)*20%)</f>
        <v>0.79999999999999993</v>
      </c>
      <c r="H38" s="95">
        <f t="shared" ref="H38" si="131">G38-E38</f>
        <v>9.9999999999999978E-2</v>
      </c>
      <c r="I38" s="96">
        <v>0.5</v>
      </c>
      <c r="J38" s="90">
        <v>46115</v>
      </c>
      <c r="K38" s="90">
        <f t="shared" ref="K38" si="132">J38</f>
        <v>46115</v>
      </c>
      <c r="L38" s="90">
        <v>46122</v>
      </c>
      <c r="M38" s="90">
        <f t="shared" ref="M38" si="133">J38+42</f>
        <v>46157</v>
      </c>
      <c r="N38" s="90">
        <f t="shared" ref="N38" si="134">M38</f>
        <v>46157</v>
      </c>
      <c r="O38" s="90">
        <v>46199</v>
      </c>
      <c r="P38" s="90">
        <v>46249</v>
      </c>
      <c r="Q38" s="90">
        <f t="shared" ref="Q38" si="135">P38</f>
        <v>46249</v>
      </c>
      <c r="R38" s="166">
        <v>46248</v>
      </c>
      <c r="S38" s="90">
        <f t="shared" ref="S38" si="136">P38+14</f>
        <v>46263</v>
      </c>
      <c r="T38" s="90">
        <f t="shared" ref="T38" si="137">S38</f>
        <v>46263</v>
      </c>
      <c r="U38" s="90"/>
      <c r="W38" s="174" t="str">
        <f t="shared" ref="W38" ca="1" si="138">IF(OR(L38&lt;&gt;""),"Completed",
IF(K38="","",IF(K38&lt;TODAY(),"Overdue",
IF(AND(K38&gt;=TODAY()-WEEKDAY(TODAY(),2)+1,K38&lt;=TODAY()-WEEKDAY(TODAY(),2)+7),"Follow-This Week",
IF(AND(K38&gt;=TODAY()-WEEKDAY(TODAY(),2)+8,K38&lt;=TODAY()-WEEKDAY(TODAY(),2)+14),"Follow-Next Week","")))))</f>
        <v>Completed</v>
      </c>
      <c r="X38" s="174" t="str">
        <f t="shared" ref="X38" ca="1" si="139">IF(OR(O38&lt;&gt;""),"Completed",IF(N38="","",
IF(N38&lt;TODAY(),"Overdue",
IF(AND(N38&gt;=TODAY()-WEEKDAY(TODAY(),2)+1,N38&lt;=TODAY()-WEEKDAY(TODAY(),2)+7),"Follow-This Week",
IF(AND(N38&gt;=TODAY()-WEEKDAY(TODAY(),2)+8,N38&lt;=TODAY()-WEEKDAY(TODAY(),2)+14),"Follow-Next Week","")))))</f>
        <v>Completed</v>
      </c>
      <c r="Y38" s="174" t="str">
        <f t="shared" ref="Y38" ca="1" si="140">IF(OR(R38&lt;&gt;""),"Completed",IF(Q38="","",
IF(Q38&lt;TODAY(),"Overdue",
IF(AND(Q38&gt;=TODAY()-WEEKDAY(TODAY(),2)+1,Q38&lt;=TODAY()-WEEKDAY(TODAY(),2)+7),"Follow-This Week",
IF(AND(Q38&gt;=TODAY()-WEEKDAY(TODAY(),2)+8,Q38&lt;=TODAY()-WEEKDAY(TODAY(),2)+14),"Follow-Next Week","")))))</f>
        <v>Completed</v>
      </c>
      <c r="Z38" s="175" t="str">
        <f t="shared" ref="Z38" ca="1" si="141">IF(OR(U38&lt;&gt;""),"Completed",IF(T38="","",
IF(T38&lt;TODAY(),"Overdue",
IF(AND(T38&gt;=TODAY()-WEEKDAY(TODAY(),2)+1,T38&lt;=TODAY()-WEEKDAY(TODAY(),2)+7),"Follow-This Week",
IF(AND(T38&gt;=TODAY()-WEEKDAY(TODAY(),2)+8,T38&lt;=TODAY()-WEEKDAY(TODAY(),2)+14),"Follow-Next Week","")))))</f>
        <v/>
      </c>
    </row>
    <row r="39" spans="1:26" s="70" customFormat="1" ht="11.5" x14ac:dyDescent="0.25">
      <c r="A39" s="93" t="s">
        <v>67</v>
      </c>
      <c r="B39" s="93" t="s">
        <v>34</v>
      </c>
      <c r="C39" s="93" t="s">
        <v>108</v>
      </c>
      <c r="D39" s="93" t="s">
        <v>109</v>
      </c>
      <c r="E39" s="95">
        <f t="shared" si="15"/>
        <v>0.7</v>
      </c>
      <c r="F39" s="95">
        <f t="shared" si="16"/>
        <v>0.7</v>
      </c>
      <c r="G39" s="95">
        <f t="shared" si="17"/>
        <v>0.7</v>
      </c>
      <c r="H39" s="95">
        <f t="shared" si="18"/>
        <v>0</v>
      </c>
      <c r="I39" s="96">
        <v>0.5</v>
      </c>
      <c r="J39" s="90">
        <v>46178</v>
      </c>
      <c r="K39" s="90">
        <f t="shared" si="4"/>
        <v>46178</v>
      </c>
      <c r="L39" s="90">
        <v>46206</v>
      </c>
      <c r="M39" s="90">
        <f t="shared" si="5"/>
        <v>46220</v>
      </c>
      <c r="N39" s="90">
        <f t="shared" si="6"/>
        <v>46220</v>
      </c>
      <c r="O39" s="90">
        <v>46212</v>
      </c>
      <c r="P39" s="90">
        <f t="shared" si="7"/>
        <v>46262</v>
      </c>
      <c r="Q39" s="90">
        <f t="shared" si="8"/>
        <v>46262</v>
      </c>
      <c r="R39" s="90"/>
      <c r="S39" s="90">
        <f t="shared" si="14"/>
        <v>46276</v>
      </c>
      <c r="T39" s="90">
        <f t="shared" si="9"/>
        <v>46276</v>
      </c>
      <c r="U39" s="90"/>
      <c r="W39" s="174" t="str">
        <f t="shared" ca="1" si="10"/>
        <v>Completed</v>
      </c>
      <c r="X39" s="174" t="str">
        <f t="shared" ca="1" si="11"/>
        <v>Completed</v>
      </c>
      <c r="Y39" s="174" t="str">
        <f t="shared" ca="1" si="12"/>
        <v/>
      </c>
      <c r="Z39" s="175" t="str">
        <f t="shared" ca="1" si="13"/>
        <v/>
      </c>
    </row>
    <row r="40" spans="1:26" s="70" customFormat="1" ht="11.5" x14ac:dyDescent="0.25">
      <c r="A40" s="99" t="s">
        <v>67</v>
      </c>
      <c r="B40" s="99" t="s">
        <v>34</v>
      </c>
      <c r="C40" s="99" t="s">
        <v>110</v>
      </c>
      <c r="D40" s="100" t="s">
        <v>111</v>
      </c>
      <c r="E40" s="101">
        <f t="shared" si="15"/>
        <v>0.7</v>
      </c>
      <c r="F40" s="101">
        <f t="shared" si="16"/>
        <v>0.7</v>
      </c>
      <c r="G40" s="101">
        <f t="shared" si="17"/>
        <v>0.7</v>
      </c>
      <c r="H40" s="101">
        <f t="shared" si="18"/>
        <v>0</v>
      </c>
      <c r="I40" s="96">
        <v>0.5</v>
      </c>
      <c r="J40" s="91">
        <v>46185</v>
      </c>
      <c r="K40" s="91">
        <f t="shared" si="4"/>
        <v>46185</v>
      </c>
      <c r="L40" s="90">
        <v>46206</v>
      </c>
      <c r="M40" s="91">
        <f t="shared" si="5"/>
        <v>46227</v>
      </c>
      <c r="N40" s="91">
        <f t="shared" si="6"/>
        <v>46227</v>
      </c>
      <c r="O40" s="90">
        <v>46212</v>
      </c>
      <c r="P40" s="91">
        <f t="shared" si="7"/>
        <v>46269</v>
      </c>
      <c r="Q40" s="91">
        <f t="shared" si="8"/>
        <v>46269</v>
      </c>
      <c r="R40" s="91"/>
      <c r="S40" s="90">
        <f t="shared" si="14"/>
        <v>46283</v>
      </c>
      <c r="T40" s="91">
        <f t="shared" si="9"/>
        <v>46283</v>
      </c>
      <c r="U40" s="91"/>
      <c r="W40" s="174" t="str">
        <f t="shared" ca="1" si="10"/>
        <v>Completed</v>
      </c>
      <c r="X40" s="174" t="str">
        <f t="shared" ca="1" si="11"/>
        <v>Completed</v>
      </c>
      <c r="Y40" s="174" t="str">
        <f t="shared" ca="1" si="12"/>
        <v/>
      </c>
      <c r="Z40" s="175" t="str">
        <f t="shared" ca="1" si="13"/>
        <v/>
      </c>
    </row>
    <row r="41" spans="1:26" s="70" customFormat="1" ht="11.5" x14ac:dyDescent="0.25">
      <c r="A41" s="93" t="s">
        <v>67</v>
      </c>
      <c r="B41" s="93" t="s">
        <v>34</v>
      </c>
      <c r="C41" s="99" t="s">
        <v>922</v>
      </c>
      <c r="D41" s="100" t="s">
        <v>925</v>
      </c>
      <c r="E41" s="95">
        <f t="shared" ref="E41:E46" si="142">(COUNTIFS(J41,"&lt;="&amp;$C$1)*50%)+(COUNTIFS(M41,"&lt;="&amp;$C$1)*20%)+(COUNTIFS(P41,"&lt;="&amp;$C$1)*10%)+(COUNTIFS(S41,"&lt;="&amp;$C$1)*20%)</f>
        <v>1</v>
      </c>
      <c r="F41" s="95">
        <f t="shared" ref="F41:F46" si="143">(COUNTIFS(K41,"&lt;="&amp;$C$1)*50%)+(COUNTIFS(N41,"&lt;="&amp;$C$1)*20%)+(COUNTIFS(Q41,"&lt;="&amp;$C$1)*10%)+(COUNTIFS(T41,"&lt;="&amp;$C$1)*20%)</f>
        <v>1</v>
      </c>
      <c r="G41" s="95">
        <f t="shared" ref="G41:G46" si="144">(COUNTIFS(L41,"&lt;="&amp;$C$1)*50%)+(COUNTIFS(O41,"&lt;="&amp;$C$1)*20%)+(COUNTIFS(R41,"&lt;="&amp;$C$1)*10%)+(COUNTIFS(U41,"&lt;="&amp;$C$1)*20%)</f>
        <v>0.7</v>
      </c>
      <c r="H41" s="95">
        <f t="shared" ref="H41:H46" si="145">G41-E41</f>
        <v>-0.30000000000000004</v>
      </c>
      <c r="I41" s="96">
        <v>0.4</v>
      </c>
      <c r="J41" s="91">
        <v>46122</v>
      </c>
      <c r="K41" s="91">
        <f t="shared" si="4"/>
        <v>46122</v>
      </c>
      <c r="L41" s="90">
        <v>46115</v>
      </c>
      <c r="M41" s="90">
        <f t="shared" ref="M41:M46" si="146">J41+42</f>
        <v>46164</v>
      </c>
      <c r="N41" s="90">
        <f t="shared" ref="N41:N46" si="147">M41</f>
        <v>46164</v>
      </c>
      <c r="O41" s="148">
        <v>46191</v>
      </c>
      <c r="P41" s="90">
        <f t="shared" ref="P41:P46" si="148">M41+42</f>
        <v>46206</v>
      </c>
      <c r="Q41" s="90">
        <f t="shared" ref="Q41:Q46" si="149">P41</f>
        <v>46206</v>
      </c>
      <c r="R41" s="90"/>
      <c r="S41" s="90">
        <f t="shared" ref="S41:S46" si="150">P41+14</f>
        <v>46220</v>
      </c>
      <c r="T41" s="90">
        <f t="shared" ref="T41:T46" si="151">S41</f>
        <v>46220</v>
      </c>
      <c r="U41" s="91"/>
      <c r="W41" s="174" t="str">
        <f t="shared" ca="1" si="10"/>
        <v>Completed</v>
      </c>
      <c r="X41" s="174" t="str">
        <f t="shared" ca="1" si="11"/>
        <v>Completed</v>
      </c>
      <c r="Y41" s="174" t="str">
        <f t="shared" ca="1" si="12"/>
        <v>Overdue</v>
      </c>
      <c r="Z41" s="175" t="str">
        <f t="shared" ca="1" si="13"/>
        <v>Overdue</v>
      </c>
    </row>
    <row r="42" spans="1:26" s="70" customFormat="1" ht="11.5" x14ac:dyDescent="0.25">
      <c r="A42" s="93" t="s">
        <v>67</v>
      </c>
      <c r="B42" s="93" t="s">
        <v>34</v>
      </c>
      <c r="C42" s="99" t="s">
        <v>923</v>
      </c>
      <c r="D42" s="100" t="s">
        <v>926</v>
      </c>
      <c r="E42" s="101">
        <f t="shared" si="142"/>
        <v>1</v>
      </c>
      <c r="F42" s="101">
        <f t="shared" si="143"/>
        <v>1</v>
      </c>
      <c r="G42" s="101">
        <f t="shared" si="144"/>
        <v>0.7</v>
      </c>
      <c r="H42" s="101">
        <f t="shared" si="145"/>
        <v>-0.30000000000000004</v>
      </c>
      <c r="I42" s="96">
        <v>0.4</v>
      </c>
      <c r="J42" s="91">
        <v>46129</v>
      </c>
      <c r="K42" s="91">
        <f t="shared" si="4"/>
        <v>46129</v>
      </c>
      <c r="L42" s="90">
        <v>46142</v>
      </c>
      <c r="M42" s="91">
        <f t="shared" si="146"/>
        <v>46171</v>
      </c>
      <c r="N42" s="91">
        <f t="shared" si="147"/>
        <v>46171</v>
      </c>
      <c r="O42" s="148">
        <v>46191</v>
      </c>
      <c r="P42" s="91">
        <f t="shared" si="148"/>
        <v>46213</v>
      </c>
      <c r="Q42" s="91">
        <f t="shared" si="149"/>
        <v>46213</v>
      </c>
      <c r="R42" s="91"/>
      <c r="S42" s="90">
        <f t="shared" si="150"/>
        <v>46227</v>
      </c>
      <c r="T42" s="91">
        <f t="shared" si="151"/>
        <v>46227</v>
      </c>
      <c r="U42" s="91"/>
      <c r="W42" s="174" t="str">
        <f t="shared" ca="1" si="10"/>
        <v>Completed</v>
      </c>
      <c r="X42" s="174" t="str">
        <f t="shared" ca="1" si="11"/>
        <v>Completed</v>
      </c>
      <c r="Y42" s="174" t="str">
        <f t="shared" ca="1" si="12"/>
        <v>Overdue</v>
      </c>
      <c r="Z42" s="175" t="str">
        <f t="shared" ca="1" si="13"/>
        <v>Overdue</v>
      </c>
    </row>
    <row r="43" spans="1:26" s="70" customFormat="1" ht="11.5" x14ac:dyDescent="0.25">
      <c r="A43" s="154" t="s">
        <v>67</v>
      </c>
      <c r="B43" s="154" t="s">
        <v>34</v>
      </c>
      <c r="C43" s="154" t="s">
        <v>924</v>
      </c>
      <c r="D43" s="155" t="s">
        <v>927</v>
      </c>
      <c r="E43" s="156"/>
      <c r="F43" s="156"/>
      <c r="G43" s="156"/>
      <c r="H43" s="156"/>
      <c r="I43" s="157">
        <v>0.2</v>
      </c>
      <c r="J43" s="158">
        <v>46142</v>
      </c>
      <c r="K43" s="158">
        <f t="shared" si="4"/>
        <v>46142</v>
      </c>
      <c r="L43" s="160">
        <v>46199</v>
      </c>
      <c r="M43" s="159">
        <f t="shared" si="146"/>
        <v>46184</v>
      </c>
      <c r="N43" s="159">
        <f t="shared" si="147"/>
        <v>46184</v>
      </c>
      <c r="O43" s="160">
        <v>46199</v>
      </c>
      <c r="P43" s="159">
        <f t="shared" si="148"/>
        <v>46226</v>
      </c>
      <c r="Q43" s="159">
        <f t="shared" si="149"/>
        <v>46226</v>
      </c>
      <c r="R43" s="160">
        <v>46213</v>
      </c>
      <c r="S43" s="159">
        <f t="shared" si="150"/>
        <v>46240</v>
      </c>
      <c r="T43" s="159">
        <f t="shared" si="151"/>
        <v>46240</v>
      </c>
      <c r="U43" s="161">
        <v>46240</v>
      </c>
      <c r="W43" s="174" t="str">
        <f t="shared" ca="1" si="10"/>
        <v>Completed</v>
      </c>
      <c r="X43" s="174" t="str">
        <f t="shared" ca="1" si="11"/>
        <v>Completed</v>
      </c>
      <c r="Y43" s="174" t="str">
        <f t="shared" ca="1" si="12"/>
        <v>Completed</v>
      </c>
      <c r="Z43" s="175" t="str">
        <f t="shared" ca="1" si="13"/>
        <v>Completed</v>
      </c>
    </row>
    <row r="44" spans="1:26" s="70" customFormat="1" ht="11.5" x14ac:dyDescent="0.25">
      <c r="A44" s="93" t="s">
        <v>67</v>
      </c>
      <c r="B44" s="93" t="s">
        <v>34</v>
      </c>
      <c r="C44" s="99" t="s">
        <v>924</v>
      </c>
      <c r="D44" s="100" t="s">
        <v>1015</v>
      </c>
      <c r="E44" s="101">
        <f t="shared" ref="E44" si="152">(COUNTIFS(J44,"&lt;="&amp;$C$1)*50%)+(COUNTIFS(M44,"&lt;="&amp;$C$1)*20%)+(COUNTIFS(P44,"&lt;="&amp;$C$1)*10%)+(COUNTIFS(S44,"&lt;="&amp;$C$1)*20%)</f>
        <v>0.7</v>
      </c>
      <c r="F44" s="101">
        <f t="shared" ref="F44" si="153">(COUNTIFS(K44,"&lt;="&amp;$C$1)*50%)+(COUNTIFS(N44,"&lt;="&amp;$C$1)*20%)+(COUNTIFS(Q44,"&lt;="&amp;$C$1)*10%)+(COUNTIFS(T44,"&lt;="&amp;$C$1)*20%)</f>
        <v>0.7</v>
      </c>
      <c r="G44" s="101">
        <f t="shared" ref="G44" si="154">(COUNTIFS(L44,"&lt;="&amp;$C$1)*50%)+(COUNTIFS(O44,"&lt;="&amp;$C$1)*20%)+(COUNTIFS(R44,"&lt;="&amp;$C$1)*10%)+(COUNTIFS(U44,"&lt;="&amp;$C$1)*20%)</f>
        <v>0.79999999999999993</v>
      </c>
      <c r="H44" s="101">
        <f t="shared" ref="H44" si="155">G44-E44</f>
        <v>9.9999999999999978E-2</v>
      </c>
      <c r="I44" s="96"/>
      <c r="J44" s="91">
        <v>46195</v>
      </c>
      <c r="K44" s="91">
        <f t="shared" si="4"/>
        <v>46195</v>
      </c>
      <c r="L44" s="90">
        <v>46213</v>
      </c>
      <c r="M44" s="90">
        <f t="shared" ref="M44" si="156">J44+42</f>
        <v>46237</v>
      </c>
      <c r="N44" s="90">
        <f t="shared" ref="N44" si="157">M44</f>
        <v>46237</v>
      </c>
      <c r="O44" s="90">
        <v>46213</v>
      </c>
      <c r="P44" s="90">
        <f t="shared" ref="P44" si="158">M44+42</f>
        <v>46279</v>
      </c>
      <c r="Q44" s="90">
        <f t="shared" ref="Q44" si="159">P44</f>
        <v>46279</v>
      </c>
      <c r="R44" s="90">
        <v>46213</v>
      </c>
      <c r="S44" s="90">
        <f t="shared" ref="S44" si="160">P44+14</f>
        <v>46293</v>
      </c>
      <c r="T44" s="90">
        <f t="shared" ref="T44" si="161">S44</f>
        <v>46293</v>
      </c>
      <c r="U44" s="91"/>
      <c r="W44" s="174" t="str">
        <f t="shared" ca="1" si="10"/>
        <v>Completed</v>
      </c>
      <c r="X44" s="174" t="str">
        <f t="shared" ca="1" si="11"/>
        <v>Completed</v>
      </c>
      <c r="Y44" s="174" t="str">
        <f t="shared" ca="1" si="12"/>
        <v>Completed</v>
      </c>
      <c r="Z44" s="175" t="str">
        <f t="shared" ca="1" si="13"/>
        <v/>
      </c>
    </row>
    <row r="45" spans="1:26" s="70" customFormat="1" ht="11.5" x14ac:dyDescent="0.25">
      <c r="A45" s="93" t="s">
        <v>67</v>
      </c>
      <c r="B45" s="93" t="s">
        <v>34</v>
      </c>
      <c r="C45" s="99" t="s">
        <v>918</v>
      </c>
      <c r="D45" s="100" t="s">
        <v>920</v>
      </c>
      <c r="E45" s="101">
        <f t="shared" si="142"/>
        <v>0.79999999999999993</v>
      </c>
      <c r="F45" s="101">
        <f t="shared" si="143"/>
        <v>0.79999999999999993</v>
      </c>
      <c r="G45" s="101">
        <f t="shared" si="144"/>
        <v>1</v>
      </c>
      <c r="H45" s="101">
        <f t="shared" si="145"/>
        <v>0.20000000000000007</v>
      </c>
      <c r="I45" s="96">
        <v>0.2</v>
      </c>
      <c r="J45" s="91">
        <v>46157</v>
      </c>
      <c r="K45" s="91">
        <f t="shared" si="4"/>
        <v>46157</v>
      </c>
      <c r="L45" s="90">
        <v>46150</v>
      </c>
      <c r="M45" s="90">
        <f t="shared" si="146"/>
        <v>46199</v>
      </c>
      <c r="N45" s="90">
        <f t="shared" si="147"/>
        <v>46199</v>
      </c>
      <c r="O45" s="90">
        <v>46191</v>
      </c>
      <c r="P45" s="90">
        <f t="shared" si="148"/>
        <v>46241</v>
      </c>
      <c r="Q45" s="90">
        <f t="shared" si="149"/>
        <v>46241</v>
      </c>
      <c r="R45" s="90">
        <v>46227</v>
      </c>
      <c r="S45" s="90">
        <f t="shared" si="150"/>
        <v>46255</v>
      </c>
      <c r="T45" s="90">
        <f t="shared" si="151"/>
        <v>46255</v>
      </c>
      <c r="U45" s="91">
        <v>46239</v>
      </c>
      <c r="W45" s="174" t="str">
        <f t="shared" ca="1" si="10"/>
        <v>Completed</v>
      </c>
      <c r="X45" s="174" t="str">
        <f t="shared" ca="1" si="11"/>
        <v>Completed</v>
      </c>
      <c r="Y45" s="174" t="str">
        <f t="shared" ca="1" si="12"/>
        <v>Completed</v>
      </c>
      <c r="Z45" s="175" t="str">
        <f t="shared" ca="1" si="13"/>
        <v>Completed</v>
      </c>
    </row>
    <row r="46" spans="1:26" s="70" customFormat="1" ht="11.5" x14ac:dyDescent="0.25">
      <c r="A46" s="99" t="s">
        <v>67</v>
      </c>
      <c r="B46" s="99" t="s">
        <v>34</v>
      </c>
      <c r="C46" s="99" t="s">
        <v>919</v>
      </c>
      <c r="D46" s="100" t="s">
        <v>921</v>
      </c>
      <c r="E46" s="95">
        <f t="shared" si="142"/>
        <v>0.79999999999999993</v>
      </c>
      <c r="F46" s="95">
        <f t="shared" si="143"/>
        <v>0.79999999999999993</v>
      </c>
      <c r="G46" s="95">
        <f t="shared" si="144"/>
        <v>1</v>
      </c>
      <c r="H46" s="95">
        <f t="shared" si="145"/>
        <v>0.20000000000000007</v>
      </c>
      <c r="I46" s="96">
        <v>0.2</v>
      </c>
      <c r="J46" s="91">
        <v>46157</v>
      </c>
      <c r="K46" s="91">
        <f t="shared" si="4"/>
        <v>46157</v>
      </c>
      <c r="L46" s="90">
        <v>46150</v>
      </c>
      <c r="M46" s="90">
        <f t="shared" si="146"/>
        <v>46199</v>
      </c>
      <c r="N46" s="90">
        <f t="shared" si="147"/>
        <v>46199</v>
      </c>
      <c r="O46" s="90">
        <v>46191</v>
      </c>
      <c r="P46" s="90">
        <f t="shared" si="148"/>
        <v>46241</v>
      </c>
      <c r="Q46" s="90">
        <f t="shared" si="149"/>
        <v>46241</v>
      </c>
      <c r="R46" s="90">
        <v>46227</v>
      </c>
      <c r="S46" s="90">
        <f t="shared" si="150"/>
        <v>46255</v>
      </c>
      <c r="T46" s="90">
        <f t="shared" si="151"/>
        <v>46255</v>
      </c>
      <c r="U46" s="91">
        <v>46239</v>
      </c>
      <c r="W46" s="174" t="str">
        <f t="shared" ca="1" si="10"/>
        <v>Completed</v>
      </c>
      <c r="X46" s="174" t="str">
        <f t="shared" ca="1" si="11"/>
        <v>Completed</v>
      </c>
      <c r="Y46" s="174" t="str">
        <f t="shared" ca="1" si="12"/>
        <v>Completed</v>
      </c>
      <c r="Z46" s="175" t="str">
        <f t="shared" ca="1" si="13"/>
        <v>Completed</v>
      </c>
    </row>
    <row r="47" spans="1:26" s="70" customFormat="1" ht="11.5" x14ac:dyDescent="0.25">
      <c r="A47" s="93" t="s">
        <v>67</v>
      </c>
      <c r="B47" s="93" t="s">
        <v>34</v>
      </c>
      <c r="C47" s="99" t="s">
        <v>912</v>
      </c>
      <c r="D47" s="100" t="s">
        <v>914</v>
      </c>
      <c r="E47" s="101">
        <f t="shared" ref="E47:E48" si="162">(COUNTIFS(J47,"&lt;="&amp;$C$1)*50%)+(COUNTIFS(M47,"&lt;="&amp;$C$1)*20%)+(COUNTIFS(P47,"&lt;="&amp;$C$1)*10%)+(COUNTIFS(S47,"&lt;="&amp;$C$1)*20%)</f>
        <v>1</v>
      </c>
      <c r="F47" s="101">
        <f t="shared" ref="F47:F48" si="163">(COUNTIFS(K47,"&lt;="&amp;$C$1)*50%)+(COUNTIFS(N47,"&lt;="&amp;$C$1)*20%)+(COUNTIFS(Q47,"&lt;="&amp;$C$1)*10%)+(COUNTIFS(T47,"&lt;="&amp;$C$1)*20%)</f>
        <v>1</v>
      </c>
      <c r="G47" s="101">
        <f t="shared" ref="G47:G48" si="164">(COUNTIFS(L47,"&lt;="&amp;$C$1)*50%)+(COUNTIFS(O47,"&lt;="&amp;$C$1)*20%)+(COUNTIFS(R47,"&lt;="&amp;$C$1)*10%)+(COUNTIFS(U47,"&lt;="&amp;$C$1)*20%)</f>
        <v>1</v>
      </c>
      <c r="H47" s="101">
        <f t="shared" ref="H47:H48" si="165">G47-E47</f>
        <v>0</v>
      </c>
      <c r="I47" s="96">
        <v>0.2</v>
      </c>
      <c r="J47" s="91">
        <v>46143</v>
      </c>
      <c r="K47" s="91">
        <f t="shared" ref="K47" si="166">J47</f>
        <v>46143</v>
      </c>
      <c r="L47" s="90">
        <v>46142</v>
      </c>
      <c r="M47" s="90">
        <f t="shared" ref="M47" si="167">J47+42</f>
        <v>46185</v>
      </c>
      <c r="N47" s="90">
        <f t="shared" ref="N47" si="168">M47</f>
        <v>46185</v>
      </c>
      <c r="O47" s="90">
        <v>46191</v>
      </c>
      <c r="P47" s="90">
        <f t="shared" ref="P47" si="169">M47+42</f>
        <v>46227</v>
      </c>
      <c r="Q47" s="90">
        <f t="shared" ref="Q47" si="170">P47</f>
        <v>46227</v>
      </c>
      <c r="R47" s="147">
        <v>46202</v>
      </c>
      <c r="S47" s="90">
        <f t="shared" ref="S47" si="171">P47+14</f>
        <v>46241</v>
      </c>
      <c r="T47" s="90">
        <f t="shared" ref="T47" si="172">S47</f>
        <v>46241</v>
      </c>
      <c r="U47" s="91">
        <v>46209</v>
      </c>
      <c r="W47" s="174" t="str">
        <f t="shared" ca="1" si="10"/>
        <v>Completed</v>
      </c>
      <c r="X47" s="174" t="str">
        <f t="shared" ca="1" si="11"/>
        <v>Completed</v>
      </c>
      <c r="Y47" s="174" t="str">
        <f t="shared" ca="1" si="12"/>
        <v>Completed</v>
      </c>
      <c r="Z47" s="175" t="str">
        <f t="shared" ca="1" si="13"/>
        <v>Completed</v>
      </c>
    </row>
    <row r="48" spans="1:26" s="70" customFormat="1" ht="11.5" x14ac:dyDescent="0.25">
      <c r="A48" s="99" t="s">
        <v>67</v>
      </c>
      <c r="B48" s="99" t="s">
        <v>34</v>
      </c>
      <c r="C48" s="99" t="s">
        <v>913</v>
      </c>
      <c r="D48" s="100" t="s">
        <v>915</v>
      </c>
      <c r="E48" s="95">
        <f t="shared" si="162"/>
        <v>1</v>
      </c>
      <c r="F48" s="95">
        <f t="shared" si="163"/>
        <v>1</v>
      </c>
      <c r="G48" s="95">
        <f t="shared" si="164"/>
        <v>0.7</v>
      </c>
      <c r="H48" s="95">
        <f t="shared" si="165"/>
        <v>-0.30000000000000004</v>
      </c>
      <c r="I48" s="96">
        <v>0.2</v>
      </c>
      <c r="J48" s="91">
        <v>46143</v>
      </c>
      <c r="K48" s="91">
        <f t="shared" ref="K48:K51" si="173">J48</f>
        <v>46143</v>
      </c>
      <c r="L48" s="90">
        <v>46142</v>
      </c>
      <c r="M48" s="90">
        <f t="shared" ref="M48:M51" si="174">J48+42</f>
        <v>46185</v>
      </c>
      <c r="N48" s="90">
        <f t="shared" ref="N48:N49" si="175">M48</f>
        <v>46185</v>
      </c>
      <c r="O48" s="90">
        <v>46191</v>
      </c>
      <c r="P48" s="90">
        <f t="shared" ref="P48:P51" si="176">M48+42</f>
        <v>46227</v>
      </c>
      <c r="Q48" s="90">
        <f t="shared" ref="Q48:Q49" si="177">P48</f>
        <v>46227</v>
      </c>
      <c r="R48" s="90"/>
      <c r="S48" s="90">
        <f t="shared" ref="S48:T51" si="178">P48+14</f>
        <v>46241</v>
      </c>
      <c r="T48" s="90">
        <f t="shared" ref="T48:T50" si="179">S48</f>
        <v>46241</v>
      </c>
      <c r="U48" s="91"/>
      <c r="W48" s="174" t="str">
        <f t="shared" ca="1" si="10"/>
        <v>Completed</v>
      </c>
      <c r="X48" s="174" t="str">
        <f t="shared" ca="1" si="11"/>
        <v>Completed</v>
      </c>
      <c r="Y48" s="174" t="str">
        <f t="shared" ca="1" si="12"/>
        <v>Overdue</v>
      </c>
      <c r="Z48" s="175" t="str">
        <f t="shared" ca="1" si="13"/>
        <v>Overdue</v>
      </c>
    </row>
    <row r="49" spans="1:26" s="70" customFormat="1" ht="11.5" x14ac:dyDescent="0.25">
      <c r="A49" s="93" t="s">
        <v>67</v>
      </c>
      <c r="B49" s="93" t="s">
        <v>34</v>
      </c>
      <c r="C49" s="99" t="s">
        <v>916</v>
      </c>
      <c r="D49" s="100" t="s">
        <v>917</v>
      </c>
      <c r="E49" s="95">
        <f t="shared" ref="E49:E51" si="180">(COUNTIFS(J49,"&lt;="&amp;$C$1)*50%)+(COUNTIFS(M49,"&lt;="&amp;$C$1)*20%)+(COUNTIFS(P49,"&lt;="&amp;$C$1)*10%)+(COUNTIFS(S49,"&lt;="&amp;$C$1)*20%)</f>
        <v>0.79999999999999993</v>
      </c>
      <c r="F49" s="95">
        <f t="shared" ref="F49:F51" si="181">(COUNTIFS(K49,"&lt;="&amp;$C$1)*50%)+(COUNTIFS(N49,"&lt;="&amp;$C$1)*20%)+(COUNTIFS(Q49,"&lt;="&amp;$C$1)*10%)+(COUNTIFS(T49,"&lt;="&amp;$C$1)*20%)</f>
        <v>0.79999999999999993</v>
      </c>
      <c r="G49" s="95">
        <f t="shared" ref="G49:G51" si="182">(COUNTIFS(L49,"&lt;="&amp;$C$1)*50%)+(COUNTIFS(O49,"&lt;="&amp;$C$1)*20%)+(COUNTIFS(R49,"&lt;="&amp;$C$1)*10%)+(COUNTIFS(U49,"&lt;="&amp;$C$1)*20%)</f>
        <v>1</v>
      </c>
      <c r="H49" s="95">
        <f t="shared" ref="H49:H51" si="183">G49-E49</f>
        <v>0.20000000000000007</v>
      </c>
      <c r="I49" s="96">
        <v>0.2</v>
      </c>
      <c r="J49" s="91">
        <v>46157</v>
      </c>
      <c r="K49" s="91">
        <f t="shared" si="173"/>
        <v>46157</v>
      </c>
      <c r="L49" s="90">
        <v>46150</v>
      </c>
      <c r="M49" s="90">
        <f t="shared" si="174"/>
        <v>46199</v>
      </c>
      <c r="N49" s="90">
        <f t="shared" si="175"/>
        <v>46199</v>
      </c>
      <c r="O49" s="90">
        <v>46191</v>
      </c>
      <c r="P49" s="90">
        <f t="shared" si="176"/>
        <v>46241</v>
      </c>
      <c r="Q49" s="90">
        <f t="shared" si="177"/>
        <v>46241</v>
      </c>
      <c r="R49" s="147">
        <v>46204</v>
      </c>
      <c r="S49" s="90">
        <f t="shared" si="178"/>
        <v>46255</v>
      </c>
      <c r="T49" s="90">
        <f t="shared" si="179"/>
        <v>46255</v>
      </c>
      <c r="U49" s="91">
        <v>46223</v>
      </c>
      <c r="W49" s="174" t="str">
        <f t="shared" ca="1" si="10"/>
        <v>Completed</v>
      </c>
      <c r="X49" s="174" t="str">
        <f t="shared" ca="1" si="11"/>
        <v>Completed</v>
      </c>
      <c r="Y49" s="174" t="str">
        <f t="shared" ca="1" si="12"/>
        <v>Completed</v>
      </c>
      <c r="Z49" s="175" t="str">
        <f t="shared" ca="1" si="13"/>
        <v>Completed</v>
      </c>
    </row>
    <row r="50" spans="1:26" s="70" customFormat="1" ht="11.5" x14ac:dyDescent="0.25">
      <c r="A50" s="93" t="s">
        <v>67</v>
      </c>
      <c r="B50" s="99" t="s">
        <v>34</v>
      </c>
      <c r="C50" s="99" t="s">
        <v>928</v>
      </c>
      <c r="D50" s="100" t="s">
        <v>929</v>
      </c>
      <c r="E50" s="95">
        <f t="shared" si="180"/>
        <v>0.7</v>
      </c>
      <c r="F50" s="95">
        <f t="shared" si="181"/>
        <v>0.7</v>
      </c>
      <c r="G50" s="95">
        <f t="shared" si="182"/>
        <v>0.7</v>
      </c>
      <c r="H50" s="95">
        <f t="shared" si="183"/>
        <v>0</v>
      </c>
      <c r="I50" s="96">
        <v>0.5</v>
      </c>
      <c r="J50" s="91">
        <v>46185</v>
      </c>
      <c r="K50" s="91">
        <f t="shared" si="173"/>
        <v>46185</v>
      </c>
      <c r="L50" s="91">
        <v>46171</v>
      </c>
      <c r="M50" s="90">
        <f t="shared" si="174"/>
        <v>46227</v>
      </c>
      <c r="N50" s="90">
        <f t="shared" ref="N50" si="184">K50+42</f>
        <v>46227</v>
      </c>
      <c r="O50" s="90">
        <v>46240</v>
      </c>
      <c r="P50" s="90">
        <f t="shared" si="176"/>
        <v>46269</v>
      </c>
      <c r="Q50" s="90">
        <f t="shared" ref="Q50:Q51" si="185">N50+42</f>
        <v>46269</v>
      </c>
      <c r="R50" s="90"/>
      <c r="S50" s="90">
        <f t="shared" si="178"/>
        <v>46283</v>
      </c>
      <c r="T50" s="90">
        <f t="shared" si="179"/>
        <v>46283</v>
      </c>
      <c r="U50" s="91"/>
      <c r="W50" s="174" t="str">
        <f t="shared" ca="1" si="10"/>
        <v>Completed</v>
      </c>
      <c r="X50" s="174" t="str">
        <f t="shared" ca="1" si="11"/>
        <v>Completed</v>
      </c>
      <c r="Y50" s="174" t="str">
        <f t="shared" ca="1" si="12"/>
        <v/>
      </c>
      <c r="Z50" s="175" t="str">
        <f t="shared" ca="1" si="13"/>
        <v/>
      </c>
    </row>
    <row r="51" spans="1:26" s="70" customFormat="1" ht="11.5" x14ac:dyDescent="0.25">
      <c r="A51" s="93" t="s">
        <v>67</v>
      </c>
      <c r="B51" s="93" t="s">
        <v>34</v>
      </c>
      <c r="C51" s="93" t="s">
        <v>1000</v>
      </c>
      <c r="D51" s="93" t="s">
        <v>1001</v>
      </c>
      <c r="E51" s="95">
        <f t="shared" si="180"/>
        <v>0</v>
      </c>
      <c r="F51" s="95">
        <f t="shared" si="181"/>
        <v>0</v>
      </c>
      <c r="G51" s="95">
        <f t="shared" si="182"/>
        <v>0</v>
      </c>
      <c r="H51" s="95">
        <f t="shared" si="183"/>
        <v>0</v>
      </c>
      <c r="I51" s="96"/>
      <c r="J51" s="90">
        <v>46302</v>
      </c>
      <c r="K51" s="90">
        <f t="shared" si="173"/>
        <v>46302</v>
      </c>
      <c r="L51" s="90"/>
      <c r="M51" s="90">
        <f t="shared" si="174"/>
        <v>46344</v>
      </c>
      <c r="N51" s="90">
        <f t="shared" ref="N51" si="186">M51</f>
        <v>46344</v>
      </c>
      <c r="O51" s="90"/>
      <c r="P51" s="90">
        <f t="shared" si="176"/>
        <v>46386</v>
      </c>
      <c r="Q51" s="90">
        <f t="shared" si="185"/>
        <v>46386</v>
      </c>
      <c r="R51" s="90"/>
      <c r="S51" s="90">
        <f t="shared" si="178"/>
        <v>46400</v>
      </c>
      <c r="T51" s="90">
        <f t="shared" si="178"/>
        <v>46400</v>
      </c>
      <c r="U51" s="91"/>
      <c r="W51" s="174" t="str">
        <f t="shared" ca="1" si="10"/>
        <v/>
      </c>
      <c r="X51" s="174" t="str">
        <f t="shared" ca="1" si="11"/>
        <v/>
      </c>
      <c r="Y51" s="174" t="str">
        <f t="shared" ca="1" si="12"/>
        <v/>
      </c>
      <c r="Z51" s="175" t="str">
        <f t="shared" ca="1" si="13"/>
        <v/>
      </c>
    </row>
    <row r="52" spans="1:26" s="70" customFormat="1" ht="11.5" x14ac:dyDescent="0.25">
      <c r="A52" s="71" t="s">
        <v>67</v>
      </c>
      <c r="B52" s="71" t="s">
        <v>34</v>
      </c>
      <c r="C52" s="71" t="s">
        <v>1021</v>
      </c>
      <c r="D52" s="71" t="s">
        <v>835</v>
      </c>
      <c r="E52" s="81">
        <f t="shared" ref="E52:E54" si="187">(COUNTIFS(J52,"&lt;="&amp;$C$1)*50%)+(COUNTIFS(M52,"&lt;="&amp;$C$1)*20%)+(COUNTIFS(P52,"&lt;="&amp;$C$1)*10%)+(COUNTIFS(S52,"&lt;="&amp;$C$1)*20%)</f>
        <v>0</v>
      </c>
      <c r="F52" s="81">
        <f t="shared" ref="F52:F54" si="188">(COUNTIFS(K52,"&lt;="&amp;$C$1)*50%)+(COUNTIFS(N52,"&lt;="&amp;$C$1)*20%)+(COUNTIFS(Q52,"&lt;="&amp;$C$1)*10%)+(COUNTIFS(T52,"&lt;="&amp;$C$1)*20%)</f>
        <v>0</v>
      </c>
      <c r="G52" s="81">
        <f t="shared" ref="G52:G54" si="189">(COUNTIFS(L52,"&lt;="&amp;$C$1)*50%)+(COUNTIFS(O52,"&lt;="&amp;$C$1)*20%)+(COUNTIFS(R52,"&lt;="&amp;$C$1)*10%)+(COUNTIFS(U52,"&lt;="&amp;$C$1)*20%)</f>
        <v>0</v>
      </c>
      <c r="H52" s="81">
        <f t="shared" ref="H52:H54" si="190">G52-E52</f>
        <v>0</v>
      </c>
      <c r="I52" s="82">
        <v>0.2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W52" s="174" t="str">
        <f t="shared" ca="1" si="10"/>
        <v/>
      </c>
      <c r="X52" s="174" t="str">
        <f t="shared" ca="1" si="11"/>
        <v/>
      </c>
      <c r="Y52" s="174" t="str">
        <f t="shared" ca="1" si="12"/>
        <v/>
      </c>
      <c r="Z52" s="175" t="str">
        <f t="shared" ca="1" si="13"/>
        <v/>
      </c>
    </row>
    <row r="53" spans="1:26" s="70" customFormat="1" ht="11.5" x14ac:dyDescent="0.25">
      <c r="A53" s="71" t="s">
        <v>67</v>
      </c>
      <c r="B53" s="71" t="s">
        <v>34</v>
      </c>
      <c r="C53" s="71" t="s">
        <v>1022</v>
      </c>
      <c r="D53" s="71" t="s">
        <v>836</v>
      </c>
      <c r="E53" s="81">
        <f t="shared" si="187"/>
        <v>0</v>
      </c>
      <c r="F53" s="81">
        <f t="shared" si="188"/>
        <v>0</v>
      </c>
      <c r="G53" s="81">
        <f t="shared" si="189"/>
        <v>0</v>
      </c>
      <c r="H53" s="81">
        <f t="shared" si="190"/>
        <v>0</v>
      </c>
      <c r="I53" s="82">
        <v>0.4</v>
      </c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W53" s="174" t="str">
        <f t="shared" ca="1" si="10"/>
        <v/>
      </c>
      <c r="X53" s="174" t="str">
        <f t="shared" ca="1" si="11"/>
        <v/>
      </c>
      <c r="Y53" s="174" t="str">
        <f t="shared" ca="1" si="12"/>
        <v/>
      </c>
      <c r="Z53" s="175" t="str">
        <f t="shared" ca="1" si="13"/>
        <v/>
      </c>
    </row>
    <row r="54" spans="1:26" s="70" customFormat="1" ht="11.5" x14ac:dyDescent="0.25">
      <c r="A54" s="71" t="s">
        <v>67</v>
      </c>
      <c r="B54" s="71" t="s">
        <v>34</v>
      </c>
      <c r="C54" s="71" t="s">
        <v>1023</v>
      </c>
      <c r="D54" s="71" t="s">
        <v>837</v>
      </c>
      <c r="E54" s="81">
        <f t="shared" si="187"/>
        <v>0</v>
      </c>
      <c r="F54" s="81">
        <f t="shared" si="188"/>
        <v>0</v>
      </c>
      <c r="G54" s="81">
        <f t="shared" si="189"/>
        <v>0</v>
      </c>
      <c r="H54" s="81">
        <f t="shared" si="190"/>
        <v>0</v>
      </c>
      <c r="I54" s="82">
        <v>0.4</v>
      </c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W54" s="174" t="str">
        <f t="shared" ca="1" si="10"/>
        <v/>
      </c>
      <c r="X54" s="174" t="str">
        <f t="shared" ca="1" si="11"/>
        <v/>
      </c>
      <c r="Y54" s="174" t="str">
        <f t="shared" ca="1" si="12"/>
        <v/>
      </c>
      <c r="Z54" s="175" t="str">
        <f t="shared" ca="1" si="13"/>
        <v/>
      </c>
    </row>
    <row r="55" spans="1:26" s="70" customFormat="1" ht="11.5" x14ac:dyDescent="0.25">
      <c r="A55" s="73"/>
      <c r="B55" s="73"/>
      <c r="C55" s="77"/>
      <c r="D55" s="78"/>
      <c r="E55" s="79"/>
      <c r="F55" s="79"/>
      <c r="G55" s="79"/>
      <c r="H55" s="79"/>
      <c r="I55" s="75"/>
      <c r="J55" s="76"/>
      <c r="K55" s="76"/>
      <c r="L55" s="76"/>
      <c r="M55" s="80"/>
      <c r="N55" s="76"/>
      <c r="O55" s="76"/>
      <c r="P55" s="80"/>
      <c r="Q55" s="76"/>
      <c r="R55" s="76"/>
      <c r="S55" s="80"/>
      <c r="T55" s="76"/>
      <c r="U55" s="76"/>
      <c r="W55" s="174" t="str">
        <f t="shared" ca="1" si="10"/>
        <v/>
      </c>
      <c r="X55" s="174" t="str">
        <f t="shared" ca="1" si="11"/>
        <v/>
      </c>
      <c r="Y55" s="174" t="str">
        <f t="shared" ca="1" si="12"/>
        <v/>
      </c>
      <c r="Z55" s="175" t="str">
        <f t="shared" ca="1" si="13"/>
        <v/>
      </c>
    </row>
    <row r="56" spans="1:26" s="70" customFormat="1" ht="11.5" x14ac:dyDescent="0.25">
      <c r="A56" s="71" t="s">
        <v>65</v>
      </c>
      <c r="B56" s="87" t="s">
        <v>34</v>
      </c>
      <c r="C56" s="87" t="s">
        <v>1024</v>
      </c>
      <c r="D56" s="87" t="s">
        <v>56</v>
      </c>
      <c r="E56" s="86">
        <f t="shared" si="15"/>
        <v>1</v>
      </c>
      <c r="F56" s="86">
        <f t="shared" si="16"/>
        <v>1</v>
      </c>
      <c r="G56" s="81">
        <f t="shared" si="17"/>
        <v>0.79999999999999993</v>
      </c>
      <c r="H56" s="81">
        <f t="shared" si="18"/>
        <v>-0.20000000000000007</v>
      </c>
      <c r="I56" s="82">
        <v>0.2</v>
      </c>
      <c r="J56" s="85">
        <v>46115</v>
      </c>
      <c r="K56" s="85">
        <f t="shared" si="4"/>
        <v>46115</v>
      </c>
      <c r="L56" s="85">
        <v>46115</v>
      </c>
      <c r="M56" s="85">
        <f t="shared" si="5"/>
        <v>46157</v>
      </c>
      <c r="N56" s="85">
        <f t="shared" si="6"/>
        <v>46157</v>
      </c>
      <c r="O56" s="85">
        <v>46191</v>
      </c>
      <c r="P56" s="85">
        <f t="shared" si="7"/>
        <v>46199</v>
      </c>
      <c r="Q56" s="85">
        <f t="shared" si="8"/>
        <v>46199</v>
      </c>
      <c r="R56" s="85">
        <v>46219</v>
      </c>
      <c r="S56" s="85">
        <f t="shared" si="14"/>
        <v>46213</v>
      </c>
      <c r="T56" s="85">
        <f t="shared" si="9"/>
        <v>46213</v>
      </c>
      <c r="U56" s="85"/>
      <c r="W56" s="174" t="str">
        <f t="shared" ca="1" si="10"/>
        <v>Completed</v>
      </c>
      <c r="X56" s="174" t="str">
        <f t="shared" ca="1" si="11"/>
        <v>Completed</v>
      </c>
      <c r="Y56" s="174" t="str">
        <f t="shared" ca="1" si="12"/>
        <v>Completed</v>
      </c>
      <c r="Z56" s="175" t="str">
        <f t="shared" ca="1" si="13"/>
        <v>Overdue</v>
      </c>
    </row>
    <row r="57" spans="1:26" s="70" customFormat="1" ht="11.5" x14ac:dyDescent="0.25">
      <c r="A57" s="71" t="s">
        <v>65</v>
      </c>
      <c r="B57" s="87" t="s">
        <v>34</v>
      </c>
      <c r="C57" s="87" t="s">
        <v>1025</v>
      </c>
      <c r="D57" s="87" t="s">
        <v>57</v>
      </c>
      <c r="E57" s="86">
        <f t="shared" si="15"/>
        <v>1</v>
      </c>
      <c r="F57" s="86">
        <f t="shared" si="16"/>
        <v>1</v>
      </c>
      <c r="G57" s="81">
        <f t="shared" si="17"/>
        <v>1</v>
      </c>
      <c r="H57" s="81">
        <f t="shared" si="18"/>
        <v>0</v>
      </c>
      <c r="I57" s="82">
        <v>0.2</v>
      </c>
      <c r="J57" s="85">
        <v>46115</v>
      </c>
      <c r="K57" s="85">
        <f t="shared" si="4"/>
        <v>46115</v>
      </c>
      <c r="L57" s="85">
        <v>46115</v>
      </c>
      <c r="M57" s="85">
        <f t="shared" si="5"/>
        <v>46157</v>
      </c>
      <c r="N57" s="85">
        <f t="shared" si="6"/>
        <v>46157</v>
      </c>
      <c r="O57" s="146">
        <v>46171</v>
      </c>
      <c r="P57" s="85">
        <f t="shared" si="7"/>
        <v>46199</v>
      </c>
      <c r="Q57" s="85">
        <f t="shared" si="8"/>
        <v>46199</v>
      </c>
      <c r="R57" s="85">
        <v>46199</v>
      </c>
      <c r="S57" s="85">
        <f t="shared" si="14"/>
        <v>46213</v>
      </c>
      <c r="T57" s="85">
        <f t="shared" si="9"/>
        <v>46213</v>
      </c>
      <c r="U57" s="85">
        <v>46204</v>
      </c>
      <c r="W57" s="174" t="str">
        <f t="shared" ca="1" si="10"/>
        <v>Completed</v>
      </c>
      <c r="X57" s="174" t="str">
        <f t="shared" ca="1" si="11"/>
        <v>Completed</v>
      </c>
      <c r="Y57" s="174" t="str">
        <f t="shared" ca="1" si="12"/>
        <v>Completed</v>
      </c>
      <c r="Z57" s="175" t="str">
        <f t="shared" ca="1" si="13"/>
        <v>Completed</v>
      </c>
    </row>
    <row r="58" spans="1:26" s="70" customFormat="1" ht="11.5" x14ac:dyDescent="0.25">
      <c r="A58" s="71" t="s">
        <v>65</v>
      </c>
      <c r="B58" s="87" t="s">
        <v>34</v>
      </c>
      <c r="C58" s="87" t="s">
        <v>1026</v>
      </c>
      <c r="D58" s="87" t="s">
        <v>58</v>
      </c>
      <c r="E58" s="86">
        <f t="shared" si="15"/>
        <v>1</v>
      </c>
      <c r="F58" s="86">
        <f t="shared" si="16"/>
        <v>1</v>
      </c>
      <c r="G58" s="81">
        <f t="shared" si="17"/>
        <v>1</v>
      </c>
      <c r="H58" s="81">
        <f t="shared" si="18"/>
        <v>0</v>
      </c>
      <c r="I58" s="82">
        <v>0.2</v>
      </c>
      <c r="J58" s="85">
        <v>46115</v>
      </c>
      <c r="K58" s="85">
        <f t="shared" si="4"/>
        <v>46115</v>
      </c>
      <c r="L58" s="85">
        <v>46115</v>
      </c>
      <c r="M58" s="85">
        <f t="shared" si="5"/>
        <v>46157</v>
      </c>
      <c r="N58" s="85">
        <f t="shared" si="6"/>
        <v>46157</v>
      </c>
      <c r="O58" s="146">
        <v>46171</v>
      </c>
      <c r="P58" s="85">
        <f t="shared" si="7"/>
        <v>46199</v>
      </c>
      <c r="Q58" s="85">
        <f t="shared" si="8"/>
        <v>46199</v>
      </c>
      <c r="R58" s="85">
        <v>46219</v>
      </c>
      <c r="S58" s="85">
        <f t="shared" si="14"/>
        <v>46213</v>
      </c>
      <c r="T58" s="85">
        <f t="shared" si="9"/>
        <v>46213</v>
      </c>
      <c r="U58" s="85">
        <v>46233</v>
      </c>
      <c r="W58" s="174" t="str">
        <f t="shared" ca="1" si="10"/>
        <v>Completed</v>
      </c>
      <c r="X58" s="174" t="str">
        <f t="shared" ca="1" si="11"/>
        <v>Completed</v>
      </c>
      <c r="Y58" s="174" t="str">
        <f t="shared" ca="1" si="12"/>
        <v>Completed</v>
      </c>
      <c r="Z58" s="175" t="str">
        <f t="shared" ca="1" si="13"/>
        <v>Completed</v>
      </c>
    </row>
    <row r="59" spans="1:26" s="70" customFormat="1" ht="11.5" x14ac:dyDescent="0.25">
      <c r="A59" s="71" t="s">
        <v>65</v>
      </c>
      <c r="B59" s="87" t="s">
        <v>34</v>
      </c>
      <c r="C59" s="87" t="s">
        <v>1027</v>
      </c>
      <c r="D59" s="87" t="s">
        <v>59</v>
      </c>
      <c r="E59" s="86">
        <f t="shared" si="15"/>
        <v>1</v>
      </c>
      <c r="F59" s="86">
        <f t="shared" si="16"/>
        <v>1</v>
      </c>
      <c r="G59" s="81">
        <f t="shared" si="17"/>
        <v>0.7</v>
      </c>
      <c r="H59" s="81">
        <f t="shared" si="18"/>
        <v>-0.30000000000000004</v>
      </c>
      <c r="I59" s="82">
        <v>0.2</v>
      </c>
      <c r="J59" s="85">
        <v>46115</v>
      </c>
      <c r="K59" s="85">
        <f t="shared" si="4"/>
        <v>46115</v>
      </c>
      <c r="L59" s="85">
        <v>46115</v>
      </c>
      <c r="M59" s="85">
        <f t="shared" si="5"/>
        <v>46157</v>
      </c>
      <c r="N59" s="85">
        <f t="shared" si="6"/>
        <v>46157</v>
      </c>
      <c r="O59" s="146">
        <v>46171</v>
      </c>
      <c r="P59" s="85">
        <f t="shared" si="7"/>
        <v>46199</v>
      </c>
      <c r="Q59" s="85">
        <f t="shared" si="8"/>
        <v>46199</v>
      </c>
      <c r="R59" s="85"/>
      <c r="S59" s="85">
        <f t="shared" si="14"/>
        <v>46213</v>
      </c>
      <c r="T59" s="85">
        <f t="shared" si="9"/>
        <v>46213</v>
      </c>
      <c r="U59" s="85"/>
      <c r="W59" s="174" t="str">
        <f t="shared" ca="1" si="10"/>
        <v>Completed</v>
      </c>
      <c r="X59" s="174" t="str">
        <f t="shared" ca="1" si="11"/>
        <v>Completed</v>
      </c>
      <c r="Y59" s="174" t="str">
        <f t="shared" ca="1" si="12"/>
        <v>Overdue</v>
      </c>
      <c r="Z59" s="175" t="str">
        <f t="shared" ca="1" si="13"/>
        <v>Overdue</v>
      </c>
    </row>
    <row r="60" spans="1:26" s="70" customFormat="1" ht="11.5" x14ac:dyDescent="0.25">
      <c r="A60" s="71" t="s">
        <v>65</v>
      </c>
      <c r="B60" s="87" t="s">
        <v>34</v>
      </c>
      <c r="C60" s="87" t="s">
        <v>1028</v>
      </c>
      <c r="D60" s="87" t="s">
        <v>60</v>
      </c>
      <c r="E60" s="86">
        <f t="shared" ref="E60" si="191">(COUNTIFS(J60,"&lt;="&amp;$C$1)*50%)+(COUNTIFS(M60,"&lt;="&amp;$C$1)*20%)+(COUNTIFS(P60,"&lt;="&amp;$C$1)*10%)+(COUNTIFS(S60,"&lt;="&amp;$C$1)*20%)</f>
        <v>1</v>
      </c>
      <c r="F60" s="86">
        <f t="shared" ref="F60" si="192">(COUNTIFS(K60,"&lt;="&amp;$C$1)*50%)+(COUNTIFS(N60,"&lt;="&amp;$C$1)*20%)+(COUNTIFS(Q60,"&lt;="&amp;$C$1)*10%)+(COUNTIFS(T60,"&lt;="&amp;$C$1)*20%)</f>
        <v>1</v>
      </c>
      <c r="G60" s="81">
        <f t="shared" ref="G60" si="193">(COUNTIFS(L60,"&lt;="&amp;$C$1)*50%)+(COUNTIFS(O60,"&lt;="&amp;$C$1)*20%)+(COUNTIFS(R60,"&lt;="&amp;$C$1)*10%)+(COUNTIFS(U60,"&lt;="&amp;$C$1)*20%)</f>
        <v>1</v>
      </c>
      <c r="H60" s="81">
        <f t="shared" ref="H60" si="194">G60-E60</f>
        <v>0</v>
      </c>
      <c r="I60" s="82">
        <v>0.2</v>
      </c>
      <c r="J60" s="85">
        <v>46115</v>
      </c>
      <c r="K60" s="85">
        <f t="shared" si="4"/>
        <v>46115</v>
      </c>
      <c r="L60" s="85">
        <v>46115</v>
      </c>
      <c r="M60" s="85">
        <f t="shared" si="5"/>
        <v>46157</v>
      </c>
      <c r="N60" s="85">
        <f t="shared" si="6"/>
        <v>46157</v>
      </c>
      <c r="O60" s="85">
        <v>46199</v>
      </c>
      <c r="P60" s="85">
        <f t="shared" si="7"/>
        <v>46199</v>
      </c>
      <c r="Q60" s="85">
        <f t="shared" si="8"/>
        <v>46199</v>
      </c>
      <c r="R60" s="85">
        <v>46204</v>
      </c>
      <c r="S60" s="85">
        <f t="shared" si="14"/>
        <v>46213</v>
      </c>
      <c r="T60" s="85">
        <f t="shared" si="9"/>
        <v>46213</v>
      </c>
      <c r="U60" s="85">
        <v>46213</v>
      </c>
      <c r="W60" s="174" t="str">
        <f t="shared" ca="1" si="10"/>
        <v>Completed</v>
      </c>
      <c r="X60" s="174" t="str">
        <f t="shared" ca="1" si="11"/>
        <v>Completed</v>
      </c>
      <c r="Y60" s="174" t="str">
        <f t="shared" ca="1" si="12"/>
        <v>Completed</v>
      </c>
      <c r="Z60" s="175" t="str">
        <f t="shared" ca="1" si="13"/>
        <v>Completed</v>
      </c>
    </row>
    <row r="61" spans="1:26" s="70" customFormat="1" ht="11.5" x14ac:dyDescent="0.25">
      <c r="A61" s="181" t="s">
        <v>65</v>
      </c>
      <c r="B61" s="194" t="s">
        <v>34</v>
      </c>
      <c r="C61" s="194" t="s">
        <v>112</v>
      </c>
      <c r="D61" s="194" t="s">
        <v>1187</v>
      </c>
      <c r="E61" s="195">
        <f t="shared" si="15"/>
        <v>1</v>
      </c>
      <c r="F61" s="195">
        <f t="shared" si="16"/>
        <v>1</v>
      </c>
      <c r="G61" s="182">
        <f t="shared" si="17"/>
        <v>1</v>
      </c>
      <c r="H61" s="182">
        <f t="shared" si="18"/>
        <v>0</v>
      </c>
      <c r="I61" s="183">
        <v>0.25</v>
      </c>
      <c r="J61" s="184">
        <f>J9+28</f>
        <v>46150</v>
      </c>
      <c r="K61" s="184">
        <f t="shared" si="4"/>
        <v>46150</v>
      </c>
      <c r="L61" s="184">
        <v>46150</v>
      </c>
      <c r="M61" s="184">
        <f t="shared" si="5"/>
        <v>46192</v>
      </c>
      <c r="N61" s="184">
        <f t="shared" si="6"/>
        <v>46192</v>
      </c>
      <c r="O61" s="184">
        <v>46220</v>
      </c>
      <c r="P61" s="184">
        <f t="shared" si="7"/>
        <v>46234</v>
      </c>
      <c r="Q61" s="184">
        <f t="shared" si="8"/>
        <v>46234</v>
      </c>
      <c r="R61" s="184">
        <v>46241</v>
      </c>
      <c r="S61" s="184">
        <f t="shared" si="14"/>
        <v>46248</v>
      </c>
      <c r="T61" s="184">
        <f t="shared" si="9"/>
        <v>46248</v>
      </c>
      <c r="U61" s="184">
        <v>46241</v>
      </c>
      <c r="W61" s="174" t="str">
        <f t="shared" ca="1" si="10"/>
        <v>Completed</v>
      </c>
      <c r="X61" s="174" t="str">
        <f t="shared" ca="1" si="11"/>
        <v>Completed</v>
      </c>
      <c r="Y61" s="174" t="str">
        <f t="shared" ca="1" si="12"/>
        <v>Completed</v>
      </c>
      <c r="Z61" s="175" t="str">
        <f t="shared" ca="1" si="13"/>
        <v>Completed</v>
      </c>
    </row>
    <row r="62" spans="1:26" s="70" customFormat="1" ht="11.5" x14ac:dyDescent="0.25">
      <c r="A62" s="102" t="s">
        <v>65</v>
      </c>
      <c r="B62" s="103" t="s">
        <v>34</v>
      </c>
      <c r="C62" s="103" t="s">
        <v>112</v>
      </c>
      <c r="D62" s="103" t="s">
        <v>1188</v>
      </c>
      <c r="E62" s="104">
        <f t="shared" ref="E62" si="195">(COUNTIFS(J62,"&lt;="&amp;$C$1)*50%)+(COUNTIFS(M62,"&lt;="&amp;$C$1)*20%)+(COUNTIFS(P62,"&lt;="&amp;$C$1)*10%)+(COUNTIFS(S62,"&lt;="&amp;$C$1)*20%)</f>
        <v>0.7</v>
      </c>
      <c r="F62" s="104">
        <f t="shared" ref="F62" si="196">(COUNTIFS(K62,"&lt;="&amp;$C$1)*50%)+(COUNTIFS(N62,"&lt;="&amp;$C$1)*20%)+(COUNTIFS(Q62,"&lt;="&amp;$C$1)*10%)+(COUNTIFS(T62,"&lt;="&amp;$C$1)*20%)</f>
        <v>0.7</v>
      </c>
      <c r="G62" s="105">
        <f t="shared" ref="G62" si="197">(COUNTIFS(L62,"&lt;="&amp;$C$1)*50%)+(COUNTIFS(O62,"&lt;="&amp;$C$1)*20%)+(COUNTIFS(R62,"&lt;="&amp;$C$1)*10%)+(COUNTIFS(U62,"&lt;="&amp;$C$1)*20%)</f>
        <v>0.7</v>
      </c>
      <c r="H62" s="105">
        <f t="shared" ref="H62" si="198">G62-E62</f>
        <v>0</v>
      </c>
      <c r="I62" s="106">
        <v>0.25</v>
      </c>
      <c r="J62" s="107">
        <f>J10+28</f>
        <v>46150</v>
      </c>
      <c r="K62" s="107">
        <f t="shared" ref="K62" si="199">J62</f>
        <v>46150</v>
      </c>
      <c r="L62" s="107">
        <v>46150</v>
      </c>
      <c r="M62" s="107">
        <f t="shared" ref="M62" si="200">J62+42</f>
        <v>46192</v>
      </c>
      <c r="N62" s="107">
        <f t="shared" ref="N62" si="201">M62</f>
        <v>46192</v>
      </c>
      <c r="O62" s="107">
        <v>46220</v>
      </c>
      <c r="P62" s="107">
        <v>46277</v>
      </c>
      <c r="Q62" s="107">
        <f t="shared" ref="Q62" si="202">P62</f>
        <v>46277</v>
      </c>
      <c r="R62" s="107"/>
      <c r="S62" s="107">
        <f t="shared" ref="S62" si="203">P62+14</f>
        <v>46291</v>
      </c>
      <c r="T62" s="107">
        <f t="shared" ref="T62" si="204">S62</f>
        <v>46291</v>
      </c>
      <c r="U62" s="107"/>
      <c r="W62" s="174" t="str">
        <f t="shared" ref="W62" ca="1" si="205">IF(OR(L62&lt;&gt;""),"Completed",
IF(K62="","",IF(K62&lt;TODAY(),"Overdue",
IF(AND(K62&gt;=TODAY()-WEEKDAY(TODAY(),2)+1,K62&lt;=TODAY()-WEEKDAY(TODAY(),2)+7),"Follow-This Week",
IF(AND(K62&gt;=TODAY()-WEEKDAY(TODAY(),2)+8,K62&lt;=TODAY()-WEEKDAY(TODAY(),2)+14),"Follow-Next Week","")))))</f>
        <v>Completed</v>
      </c>
      <c r="X62" s="174" t="str">
        <f t="shared" ref="X62" ca="1" si="206">IF(OR(O62&lt;&gt;""),"Completed",IF(N62="","",
IF(N62&lt;TODAY(),"Overdue",
IF(AND(N62&gt;=TODAY()-WEEKDAY(TODAY(),2)+1,N62&lt;=TODAY()-WEEKDAY(TODAY(),2)+7),"Follow-This Week",
IF(AND(N62&gt;=TODAY()-WEEKDAY(TODAY(),2)+8,N62&lt;=TODAY()-WEEKDAY(TODAY(),2)+14),"Follow-Next Week","")))))</f>
        <v>Completed</v>
      </c>
      <c r="Y62" s="174" t="str">
        <f t="shared" ref="Y62" ca="1" si="207">IF(OR(R62&lt;&gt;""),"Completed",IF(Q62="","",
IF(Q62&lt;TODAY(),"Overdue",
IF(AND(Q62&gt;=TODAY()-WEEKDAY(TODAY(),2)+1,Q62&lt;=TODAY()-WEEKDAY(TODAY(),2)+7),"Follow-This Week",
IF(AND(Q62&gt;=TODAY()-WEEKDAY(TODAY(),2)+8,Q62&lt;=TODAY()-WEEKDAY(TODAY(),2)+14),"Follow-Next Week","")))))</f>
        <v/>
      </c>
      <c r="Z62" s="175" t="str">
        <f t="shared" ref="Z62" ca="1" si="208">IF(OR(U62&lt;&gt;""),"Completed",IF(T62="","",
IF(T62&lt;TODAY(),"Overdue",
IF(AND(T62&gt;=TODAY()-WEEKDAY(TODAY(),2)+1,T62&lt;=TODAY()-WEEKDAY(TODAY(),2)+7),"Follow-This Week",
IF(AND(T62&gt;=TODAY()-WEEKDAY(TODAY(),2)+8,T62&lt;=TODAY()-WEEKDAY(TODAY(),2)+14),"Follow-Next Week","")))))</f>
        <v/>
      </c>
    </row>
    <row r="63" spans="1:26" s="70" customFormat="1" ht="11.5" x14ac:dyDescent="0.25">
      <c r="A63" s="102" t="s">
        <v>65</v>
      </c>
      <c r="B63" s="103" t="s">
        <v>34</v>
      </c>
      <c r="C63" s="103" t="s">
        <v>113</v>
      </c>
      <c r="D63" s="103" t="s">
        <v>114</v>
      </c>
      <c r="E63" s="104">
        <f t="shared" si="15"/>
        <v>0.79999999999999993</v>
      </c>
      <c r="F63" s="104">
        <f t="shared" si="16"/>
        <v>0.79999999999999993</v>
      </c>
      <c r="G63" s="105">
        <f t="shared" si="17"/>
        <v>0.7</v>
      </c>
      <c r="H63" s="105">
        <f t="shared" si="18"/>
        <v>-9.9999999999999978E-2</v>
      </c>
      <c r="I63" s="106">
        <v>0.5</v>
      </c>
      <c r="J63" s="107">
        <f>J11+28</f>
        <v>46164</v>
      </c>
      <c r="K63" s="107">
        <f t="shared" si="4"/>
        <v>46164</v>
      </c>
      <c r="L63" s="107">
        <v>46178</v>
      </c>
      <c r="M63" s="107">
        <f t="shared" si="5"/>
        <v>46206</v>
      </c>
      <c r="N63" s="107">
        <f t="shared" si="6"/>
        <v>46206</v>
      </c>
      <c r="O63" s="107">
        <v>46227</v>
      </c>
      <c r="P63" s="107">
        <f t="shared" si="7"/>
        <v>46248</v>
      </c>
      <c r="Q63" s="107">
        <f t="shared" si="8"/>
        <v>46248</v>
      </c>
      <c r="R63" s="108"/>
      <c r="S63" s="107">
        <f t="shared" si="14"/>
        <v>46262</v>
      </c>
      <c r="T63" s="107">
        <f t="shared" si="9"/>
        <v>46262</v>
      </c>
      <c r="U63" s="108"/>
      <c r="W63" s="174" t="str">
        <f t="shared" ca="1" si="10"/>
        <v>Completed</v>
      </c>
      <c r="X63" s="174" t="str">
        <f t="shared" ca="1" si="11"/>
        <v>Completed</v>
      </c>
      <c r="Y63" s="174" t="str">
        <f t="shared" ca="1" si="12"/>
        <v>Overdue</v>
      </c>
      <c r="Z63" s="175" t="str">
        <f t="shared" ca="1" si="13"/>
        <v/>
      </c>
    </row>
    <row r="64" spans="1:26" s="70" customFormat="1" ht="11.5" x14ac:dyDescent="0.25">
      <c r="A64" s="102" t="s">
        <v>65</v>
      </c>
      <c r="B64" s="102" t="s">
        <v>34</v>
      </c>
      <c r="C64" s="102" t="s">
        <v>115</v>
      </c>
      <c r="D64" s="102" t="s">
        <v>116</v>
      </c>
      <c r="E64" s="105">
        <f t="shared" si="15"/>
        <v>0.7</v>
      </c>
      <c r="F64" s="105">
        <f t="shared" si="16"/>
        <v>0.7</v>
      </c>
      <c r="G64" s="105">
        <f t="shared" si="17"/>
        <v>0.7</v>
      </c>
      <c r="H64" s="105">
        <f t="shared" si="18"/>
        <v>0</v>
      </c>
      <c r="I64" s="106">
        <v>0.5</v>
      </c>
      <c r="J64" s="107">
        <f>J13+28</f>
        <v>46171</v>
      </c>
      <c r="K64" s="109">
        <f t="shared" si="4"/>
        <v>46171</v>
      </c>
      <c r="L64" s="143">
        <v>46161</v>
      </c>
      <c r="M64" s="107">
        <f t="shared" si="5"/>
        <v>46213</v>
      </c>
      <c r="N64" s="109">
        <f t="shared" si="6"/>
        <v>46213</v>
      </c>
      <c r="O64" s="138">
        <v>46223</v>
      </c>
      <c r="P64" s="107">
        <f t="shared" si="7"/>
        <v>46255</v>
      </c>
      <c r="Q64" s="109">
        <f t="shared" si="8"/>
        <v>46255</v>
      </c>
      <c r="R64" s="107"/>
      <c r="S64" s="107">
        <f t="shared" si="14"/>
        <v>46269</v>
      </c>
      <c r="T64" s="109">
        <f t="shared" si="9"/>
        <v>46269</v>
      </c>
      <c r="U64" s="107"/>
      <c r="W64" s="174" t="str">
        <f t="shared" ca="1" si="10"/>
        <v>Completed</v>
      </c>
      <c r="X64" s="174" t="str">
        <f t="shared" ca="1" si="11"/>
        <v>Completed</v>
      </c>
      <c r="Y64" s="174" t="str">
        <f t="shared" ca="1" si="12"/>
        <v>Follow-Next Week</v>
      </c>
      <c r="Z64" s="175" t="str">
        <f t="shared" ca="1" si="13"/>
        <v/>
      </c>
    </row>
    <row r="65" spans="1:26" s="70" customFormat="1" ht="11.5" x14ac:dyDescent="0.25">
      <c r="A65" s="102" t="s">
        <v>65</v>
      </c>
      <c r="B65" s="102" t="s">
        <v>34</v>
      </c>
      <c r="C65" s="102" t="s">
        <v>117</v>
      </c>
      <c r="D65" s="102" t="s">
        <v>118</v>
      </c>
      <c r="E65" s="105">
        <f t="shared" si="15"/>
        <v>0.7</v>
      </c>
      <c r="F65" s="105">
        <f t="shared" si="16"/>
        <v>0.7</v>
      </c>
      <c r="G65" s="105">
        <f t="shared" si="17"/>
        <v>0.7</v>
      </c>
      <c r="H65" s="105">
        <f t="shared" si="18"/>
        <v>0</v>
      </c>
      <c r="I65" s="106">
        <v>0.5</v>
      </c>
      <c r="J65" s="107">
        <f t="shared" ref="J65:J70" si="209">J15+28</f>
        <v>46178</v>
      </c>
      <c r="K65" s="107">
        <f t="shared" si="4"/>
        <v>46178</v>
      </c>
      <c r="L65" s="107">
        <v>46150</v>
      </c>
      <c r="M65" s="107">
        <f t="shared" si="5"/>
        <v>46220</v>
      </c>
      <c r="N65" s="107">
        <f t="shared" si="6"/>
        <v>46220</v>
      </c>
      <c r="O65" s="107">
        <v>46230</v>
      </c>
      <c r="P65" s="107">
        <f t="shared" si="7"/>
        <v>46262</v>
      </c>
      <c r="Q65" s="107">
        <f t="shared" si="8"/>
        <v>46262</v>
      </c>
      <c r="R65" s="107"/>
      <c r="S65" s="107">
        <f t="shared" si="14"/>
        <v>46276</v>
      </c>
      <c r="T65" s="107">
        <f t="shared" si="9"/>
        <v>46276</v>
      </c>
      <c r="U65" s="107"/>
      <c r="W65" s="174" t="str">
        <f t="shared" ca="1" si="10"/>
        <v>Completed</v>
      </c>
      <c r="X65" s="174" t="str">
        <f t="shared" ca="1" si="11"/>
        <v>Completed</v>
      </c>
      <c r="Y65" s="174" t="str">
        <f t="shared" ca="1" si="12"/>
        <v/>
      </c>
      <c r="Z65" s="175" t="str">
        <f t="shared" ca="1" si="13"/>
        <v/>
      </c>
    </row>
    <row r="66" spans="1:26" s="70" customFormat="1" ht="11.5" x14ac:dyDescent="0.25">
      <c r="A66" s="102" t="s">
        <v>65</v>
      </c>
      <c r="B66" s="102" t="s">
        <v>34</v>
      </c>
      <c r="C66" s="102" t="s">
        <v>119</v>
      </c>
      <c r="D66" s="102" t="s">
        <v>120</v>
      </c>
      <c r="E66" s="105">
        <f t="shared" si="15"/>
        <v>0.7</v>
      </c>
      <c r="F66" s="105">
        <f t="shared" si="16"/>
        <v>0.7</v>
      </c>
      <c r="G66" s="105">
        <f t="shared" si="17"/>
        <v>0.7</v>
      </c>
      <c r="H66" s="105">
        <f t="shared" si="18"/>
        <v>0</v>
      </c>
      <c r="I66" s="106">
        <v>0.5</v>
      </c>
      <c r="J66" s="107">
        <f t="shared" si="209"/>
        <v>46192</v>
      </c>
      <c r="K66" s="107">
        <f t="shared" si="4"/>
        <v>46192</v>
      </c>
      <c r="L66" s="107">
        <v>46155</v>
      </c>
      <c r="M66" s="107">
        <f t="shared" si="5"/>
        <v>46234</v>
      </c>
      <c r="N66" s="107">
        <f t="shared" si="6"/>
        <v>46234</v>
      </c>
      <c r="O66" s="107">
        <v>46230</v>
      </c>
      <c r="P66" s="107">
        <f t="shared" si="7"/>
        <v>46276</v>
      </c>
      <c r="Q66" s="107">
        <f t="shared" si="8"/>
        <v>46276</v>
      </c>
      <c r="R66" s="107"/>
      <c r="S66" s="107">
        <f t="shared" si="14"/>
        <v>46290</v>
      </c>
      <c r="T66" s="107">
        <f t="shared" si="9"/>
        <v>46290</v>
      </c>
      <c r="U66" s="107"/>
      <c r="W66" s="174" t="str">
        <f t="shared" ca="1" si="10"/>
        <v>Completed</v>
      </c>
      <c r="X66" s="174" t="str">
        <f t="shared" ca="1" si="11"/>
        <v>Completed</v>
      </c>
      <c r="Y66" s="174" t="str">
        <f t="shared" ca="1" si="12"/>
        <v/>
      </c>
      <c r="Z66" s="175" t="str">
        <f t="shared" ca="1" si="13"/>
        <v/>
      </c>
    </row>
    <row r="67" spans="1:26" s="70" customFormat="1" ht="11.5" x14ac:dyDescent="0.25">
      <c r="A67" s="102" t="s">
        <v>65</v>
      </c>
      <c r="B67" s="102" t="s">
        <v>34</v>
      </c>
      <c r="C67" s="102" t="s">
        <v>121</v>
      </c>
      <c r="D67" s="102" t="s">
        <v>122</v>
      </c>
      <c r="E67" s="105">
        <f t="shared" si="15"/>
        <v>0.7</v>
      </c>
      <c r="F67" s="105">
        <f t="shared" si="16"/>
        <v>0.7</v>
      </c>
      <c r="G67" s="105">
        <f t="shared" si="17"/>
        <v>0.7</v>
      </c>
      <c r="H67" s="105">
        <f t="shared" si="18"/>
        <v>0</v>
      </c>
      <c r="I67" s="110">
        <v>0.5</v>
      </c>
      <c r="J67" s="107">
        <f t="shared" si="209"/>
        <v>46206</v>
      </c>
      <c r="K67" s="108">
        <f t="shared" si="4"/>
        <v>46206</v>
      </c>
      <c r="L67" s="108">
        <v>46185</v>
      </c>
      <c r="M67" s="107">
        <f t="shared" si="5"/>
        <v>46248</v>
      </c>
      <c r="N67" s="108">
        <f t="shared" si="6"/>
        <v>46248</v>
      </c>
      <c r="O67" s="108">
        <v>46241</v>
      </c>
      <c r="P67" s="107">
        <f t="shared" si="7"/>
        <v>46290</v>
      </c>
      <c r="Q67" s="108">
        <f t="shared" si="8"/>
        <v>46290</v>
      </c>
      <c r="R67" s="108"/>
      <c r="S67" s="107">
        <f t="shared" si="14"/>
        <v>46304</v>
      </c>
      <c r="T67" s="108">
        <f t="shared" si="9"/>
        <v>46304</v>
      </c>
      <c r="U67" s="108"/>
      <c r="W67" s="174" t="str">
        <f t="shared" ca="1" si="10"/>
        <v>Completed</v>
      </c>
      <c r="X67" s="174" t="str">
        <f t="shared" ca="1" si="11"/>
        <v>Completed</v>
      </c>
      <c r="Y67" s="174" t="str">
        <f t="shared" ca="1" si="12"/>
        <v/>
      </c>
      <c r="Z67" s="175" t="str">
        <f t="shared" ca="1" si="13"/>
        <v/>
      </c>
    </row>
    <row r="68" spans="1:26" s="70" customFormat="1" ht="11.5" x14ac:dyDescent="0.25">
      <c r="A68" s="102" t="s">
        <v>65</v>
      </c>
      <c r="B68" s="102" t="s">
        <v>34</v>
      </c>
      <c r="C68" s="102" t="s">
        <v>123</v>
      </c>
      <c r="D68" s="102" t="s">
        <v>124</v>
      </c>
      <c r="E68" s="105">
        <f t="shared" si="15"/>
        <v>0.5</v>
      </c>
      <c r="F68" s="105">
        <f t="shared" si="16"/>
        <v>0.5</v>
      </c>
      <c r="G68" s="105">
        <f t="shared" si="17"/>
        <v>0.7</v>
      </c>
      <c r="H68" s="105">
        <f t="shared" si="18"/>
        <v>0.19999999999999996</v>
      </c>
      <c r="I68" s="110">
        <v>0.5</v>
      </c>
      <c r="J68" s="107">
        <f t="shared" si="209"/>
        <v>46220</v>
      </c>
      <c r="K68" s="108">
        <f t="shared" si="4"/>
        <v>46220</v>
      </c>
      <c r="L68" s="138">
        <v>46223</v>
      </c>
      <c r="M68" s="107">
        <f t="shared" si="5"/>
        <v>46262</v>
      </c>
      <c r="N68" s="108">
        <f t="shared" si="6"/>
        <v>46262</v>
      </c>
      <c r="O68" s="193">
        <v>46248</v>
      </c>
      <c r="P68" s="107">
        <f t="shared" si="7"/>
        <v>46304</v>
      </c>
      <c r="Q68" s="108">
        <f t="shared" si="8"/>
        <v>46304</v>
      </c>
      <c r="R68" s="108"/>
      <c r="S68" s="107">
        <f t="shared" si="14"/>
        <v>46318</v>
      </c>
      <c r="T68" s="108">
        <f t="shared" si="9"/>
        <v>46318</v>
      </c>
      <c r="U68" s="108"/>
      <c r="W68" s="174" t="str">
        <f t="shared" ca="1" si="10"/>
        <v>Completed</v>
      </c>
      <c r="X68" s="174" t="str">
        <f t="shared" ca="1" si="11"/>
        <v>Completed</v>
      </c>
      <c r="Y68" s="174" t="str">
        <f t="shared" ca="1" si="12"/>
        <v/>
      </c>
      <c r="Z68" s="175" t="str">
        <f t="shared" ca="1" si="13"/>
        <v/>
      </c>
    </row>
    <row r="69" spans="1:26" s="70" customFormat="1" ht="11.5" x14ac:dyDescent="0.25">
      <c r="A69" s="102" t="s">
        <v>65</v>
      </c>
      <c r="B69" s="102" t="s">
        <v>34</v>
      </c>
      <c r="C69" s="102" t="s">
        <v>125</v>
      </c>
      <c r="D69" s="102" t="s">
        <v>126</v>
      </c>
      <c r="E69" s="105">
        <f t="shared" si="15"/>
        <v>0.7</v>
      </c>
      <c r="F69" s="105">
        <f t="shared" si="16"/>
        <v>0.7</v>
      </c>
      <c r="G69" s="105">
        <f t="shared" si="17"/>
        <v>0.7</v>
      </c>
      <c r="H69" s="105">
        <f t="shared" si="18"/>
        <v>0</v>
      </c>
      <c r="I69" s="110">
        <v>0.5</v>
      </c>
      <c r="J69" s="107">
        <f t="shared" si="209"/>
        <v>46185</v>
      </c>
      <c r="K69" s="108">
        <f t="shared" si="4"/>
        <v>46185</v>
      </c>
      <c r="L69" s="108">
        <v>46181</v>
      </c>
      <c r="M69" s="107">
        <f t="shared" si="5"/>
        <v>46227</v>
      </c>
      <c r="N69" s="108">
        <f t="shared" si="6"/>
        <v>46227</v>
      </c>
      <c r="O69" s="107">
        <v>46227</v>
      </c>
      <c r="P69" s="107">
        <f t="shared" si="7"/>
        <v>46269</v>
      </c>
      <c r="Q69" s="108">
        <f t="shared" si="8"/>
        <v>46269</v>
      </c>
      <c r="R69" s="108"/>
      <c r="S69" s="107">
        <f t="shared" si="14"/>
        <v>46283</v>
      </c>
      <c r="T69" s="108">
        <f t="shared" si="9"/>
        <v>46283</v>
      </c>
      <c r="U69" s="108"/>
      <c r="W69" s="174" t="str">
        <f t="shared" ca="1" si="10"/>
        <v>Completed</v>
      </c>
      <c r="X69" s="174" t="str">
        <f t="shared" ca="1" si="11"/>
        <v>Completed</v>
      </c>
      <c r="Y69" s="174" t="str">
        <f t="shared" ca="1" si="12"/>
        <v/>
      </c>
      <c r="Z69" s="175" t="str">
        <f t="shared" ca="1" si="13"/>
        <v/>
      </c>
    </row>
    <row r="70" spans="1:26" s="70" customFormat="1" ht="11.5" x14ac:dyDescent="0.25">
      <c r="A70" s="102" t="s">
        <v>65</v>
      </c>
      <c r="B70" s="102" t="s">
        <v>34</v>
      </c>
      <c r="C70" s="102" t="s">
        <v>127</v>
      </c>
      <c r="D70" s="102" t="s">
        <v>128</v>
      </c>
      <c r="E70" s="105">
        <f t="shared" si="15"/>
        <v>0.5</v>
      </c>
      <c r="F70" s="105">
        <f t="shared" si="16"/>
        <v>0.5</v>
      </c>
      <c r="G70" s="105">
        <f>(COUNTIFS(L70,"&lt;="&amp;$C$1)*50%)+(COUNTIFS(O70,"&lt;="&amp;$C$1)*20%)+(COUNTIFS(R70,"&lt;="&amp;$C$1)*10%)+(COUNTIFS(U70,"&lt;="&amp;$C$1)*20%)</f>
        <v>0.5</v>
      </c>
      <c r="H70" s="105">
        <f t="shared" si="18"/>
        <v>0</v>
      </c>
      <c r="I70" s="110">
        <v>0.75</v>
      </c>
      <c r="J70" s="107">
        <f t="shared" si="209"/>
        <v>46216</v>
      </c>
      <c r="K70" s="107">
        <f t="shared" si="4"/>
        <v>46216</v>
      </c>
      <c r="L70" s="108">
        <v>46219</v>
      </c>
      <c r="M70" s="107">
        <f>J70+35</f>
        <v>46251</v>
      </c>
      <c r="N70" s="107">
        <f t="shared" si="6"/>
        <v>46251</v>
      </c>
      <c r="O70" s="108"/>
      <c r="P70" s="107">
        <f t="shared" si="7"/>
        <v>46293</v>
      </c>
      <c r="Q70" s="107">
        <f t="shared" si="8"/>
        <v>46293</v>
      </c>
      <c r="R70" s="108"/>
      <c r="S70" s="107">
        <f t="shared" si="14"/>
        <v>46307</v>
      </c>
      <c r="T70" s="107">
        <f t="shared" si="9"/>
        <v>46307</v>
      </c>
      <c r="U70" s="108"/>
      <c r="W70" s="174" t="str">
        <f t="shared" ca="1" si="10"/>
        <v>Completed</v>
      </c>
      <c r="X70" s="174" t="str">
        <f t="shared" ca="1" si="11"/>
        <v>Follow-Next Week</v>
      </c>
      <c r="Y70" s="174" t="str">
        <f t="shared" ca="1" si="12"/>
        <v/>
      </c>
      <c r="Z70" s="175" t="str">
        <f t="shared" ca="1" si="13"/>
        <v/>
      </c>
    </row>
    <row r="71" spans="1:26" s="70" customFormat="1" ht="11.5" x14ac:dyDescent="0.25">
      <c r="A71" s="102" t="s">
        <v>65</v>
      </c>
      <c r="B71" s="102" t="s">
        <v>34</v>
      </c>
      <c r="C71" s="102" t="s">
        <v>129</v>
      </c>
      <c r="D71" s="102" t="s">
        <v>130</v>
      </c>
      <c r="E71" s="105">
        <f t="shared" si="15"/>
        <v>0.5</v>
      </c>
      <c r="F71" s="105">
        <f t="shared" si="16"/>
        <v>0.5</v>
      </c>
      <c r="G71" s="105">
        <f>(COUNTIFS(L71,"&lt;="&amp;$C$1)*50%)+(COUNTIFS(O71,"&lt;="&amp;$C$1)*20%)+(COUNTIFS(R71,"&lt;="&amp;$C$1)*10%)+(COUNTIFS(U71,"&lt;="&amp;$C$1)*20%)</f>
        <v>0.7</v>
      </c>
      <c r="H71" s="105">
        <f t="shared" si="18"/>
        <v>0.19999999999999996</v>
      </c>
      <c r="I71" s="110">
        <v>0.5</v>
      </c>
      <c r="J71" s="107">
        <f>J22+28</f>
        <v>46234</v>
      </c>
      <c r="K71" s="107">
        <f t="shared" si="4"/>
        <v>46234</v>
      </c>
      <c r="L71" s="107">
        <v>46218</v>
      </c>
      <c r="M71" s="107">
        <f t="shared" si="5"/>
        <v>46276</v>
      </c>
      <c r="N71" s="107">
        <f t="shared" si="6"/>
        <v>46276</v>
      </c>
      <c r="O71" s="193">
        <v>46248</v>
      </c>
      <c r="P71" s="107">
        <f t="shared" si="7"/>
        <v>46318</v>
      </c>
      <c r="Q71" s="107">
        <f t="shared" si="8"/>
        <v>46318</v>
      </c>
      <c r="R71" s="108"/>
      <c r="S71" s="107">
        <f t="shared" si="14"/>
        <v>46332</v>
      </c>
      <c r="T71" s="107">
        <f t="shared" si="9"/>
        <v>46332</v>
      </c>
      <c r="U71" s="108"/>
      <c r="W71" s="174" t="str">
        <f t="shared" ca="1" si="10"/>
        <v>Completed</v>
      </c>
      <c r="X71" s="174" t="str">
        <f t="shared" ca="1" si="11"/>
        <v>Completed</v>
      </c>
      <c r="Y71" s="174" t="str">
        <f t="shared" ca="1" si="12"/>
        <v/>
      </c>
      <c r="Z71" s="175" t="str">
        <f t="shared" ca="1" si="13"/>
        <v/>
      </c>
    </row>
    <row r="72" spans="1:26" s="70" customFormat="1" ht="11.5" x14ac:dyDescent="0.25">
      <c r="A72" s="181" t="s">
        <v>65</v>
      </c>
      <c r="B72" s="181" t="s">
        <v>34</v>
      </c>
      <c r="C72" s="181" t="s">
        <v>131</v>
      </c>
      <c r="D72" s="181" t="s">
        <v>1189</v>
      </c>
      <c r="E72" s="182">
        <f t="shared" si="15"/>
        <v>0.7</v>
      </c>
      <c r="F72" s="182">
        <f t="shared" si="16"/>
        <v>0.7</v>
      </c>
      <c r="G72" s="182">
        <f t="shared" si="17"/>
        <v>1</v>
      </c>
      <c r="H72" s="182">
        <f t="shared" si="18"/>
        <v>0.30000000000000004</v>
      </c>
      <c r="I72" s="186">
        <v>0.25</v>
      </c>
      <c r="J72" s="184">
        <f>J23+28</f>
        <v>46178</v>
      </c>
      <c r="K72" s="187">
        <f t="shared" si="4"/>
        <v>46178</v>
      </c>
      <c r="L72" s="184">
        <v>46218</v>
      </c>
      <c r="M72" s="184">
        <f t="shared" si="5"/>
        <v>46220</v>
      </c>
      <c r="N72" s="187">
        <f t="shared" si="6"/>
        <v>46220</v>
      </c>
      <c r="O72" s="184">
        <v>46234</v>
      </c>
      <c r="P72" s="184">
        <f t="shared" si="7"/>
        <v>46262</v>
      </c>
      <c r="Q72" s="187">
        <f t="shared" si="8"/>
        <v>46262</v>
      </c>
      <c r="R72" s="184">
        <v>46234</v>
      </c>
      <c r="S72" s="184">
        <f t="shared" si="14"/>
        <v>46276</v>
      </c>
      <c r="T72" s="187">
        <f t="shared" si="9"/>
        <v>46276</v>
      </c>
      <c r="U72" s="184">
        <v>46234</v>
      </c>
      <c r="W72" s="174" t="str">
        <f t="shared" ca="1" si="10"/>
        <v>Completed</v>
      </c>
      <c r="X72" s="174" t="str">
        <f t="shared" ca="1" si="11"/>
        <v>Completed</v>
      </c>
      <c r="Y72" s="174" t="str">
        <f t="shared" ca="1" si="12"/>
        <v>Completed</v>
      </c>
      <c r="Z72" s="175" t="str">
        <f t="shared" ca="1" si="13"/>
        <v>Completed</v>
      </c>
    </row>
    <row r="73" spans="1:26" s="70" customFormat="1" ht="11.5" x14ac:dyDescent="0.25">
      <c r="A73" s="102" t="s">
        <v>65</v>
      </c>
      <c r="B73" s="102" t="s">
        <v>34</v>
      </c>
      <c r="C73" s="102" t="s">
        <v>131</v>
      </c>
      <c r="D73" s="102" t="s">
        <v>1190</v>
      </c>
      <c r="E73" s="105">
        <f t="shared" ref="E73" si="210">(COUNTIFS(J73,"&lt;="&amp;$C$1)*50%)+(COUNTIFS(M73,"&lt;="&amp;$C$1)*20%)+(COUNTIFS(P73,"&lt;="&amp;$C$1)*10%)+(COUNTIFS(S73,"&lt;="&amp;$C$1)*20%)</f>
        <v>0.7</v>
      </c>
      <c r="F73" s="105">
        <f t="shared" ref="F73" si="211">(COUNTIFS(K73,"&lt;="&amp;$C$1)*50%)+(COUNTIFS(N73,"&lt;="&amp;$C$1)*20%)+(COUNTIFS(Q73,"&lt;="&amp;$C$1)*10%)+(COUNTIFS(T73,"&lt;="&amp;$C$1)*20%)</f>
        <v>0.7</v>
      </c>
      <c r="G73" s="105">
        <f t="shared" ref="G73" si="212">(COUNTIFS(L73,"&lt;="&amp;$C$1)*50%)+(COUNTIFS(O73,"&lt;="&amp;$C$1)*20%)+(COUNTIFS(R73,"&lt;="&amp;$C$1)*10%)+(COUNTIFS(U73,"&lt;="&amp;$C$1)*20%)</f>
        <v>0.7</v>
      </c>
      <c r="H73" s="105">
        <f t="shared" ref="H73" si="213">G73-E73</f>
        <v>0</v>
      </c>
      <c r="I73" s="110">
        <v>0.25</v>
      </c>
      <c r="J73" s="107">
        <f t="shared" ref="J73" si="214">J25+28</f>
        <v>46185</v>
      </c>
      <c r="K73" s="109">
        <f t="shared" ref="K73" si="215">J73</f>
        <v>46185</v>
      </c>
      <c r="L73" s="107">
        <v>46218</v>
      </c>
      <c r="M73" s="107">
        <v>46241</v>
      </c>
      <c r="N73" s="109">
        <f t="shared" ref="N73" si="216">M73</f>
        <v>46241</v>
      </c>
      <c r="O73" s="193">
        <v>46248</v>
      </c>
      <c r="P73" s="107">
        <f t="shared" ref="P73" si="217">M73+42</f>
        <v>46283</v>
      </c>
      <c r="Q73" s="109">
        <f t="shared" ref="Q73" si="218">P73</f>
        <v>46283</v>
      </c>
      <c r="R73" s="107"/>
      <c r="S73" s="107">
        <f t="shared" ref="S73" si="219">P73+14</f>
        <v>46297</v>
      </c>
      <c r="T73" s="109">
        <f t="shared" ref="T73" si="220">S73</f>
        <v>46297</v>
      </c>
      <c r="U73" s="107"/>
      <c r="W73" s="174" t="str">
        <f t="shared" ref="W73" ca="1" si="221">IF(OR(L73&lt;&gt;""),"Completed",
IF(K73="","",IF(K73&lt;TODAY(),"Overdue",
IF(AND(K73&gt;=TODAY()-WEEKDAY(TODAY(),2)+1,K73&lt;=TODAY()-WEEKDAY(TODAY(),2)+7),"Follow-This Week",
IF(AND(K73&gt;=TODAY()-WEEKDAY(TODAY(),2)+8,K73&lt;=TODAY()-WEEKDAY(TODAY(),2)+14),"Follow-Next Week","")))))</f>
        <v>Completed</v>
      </c>
      <c r="X73" s="174" t="str">
        <f t="shared" ref="X73" ca="1" si="222">IF(OR(O73&lt;&gt;""),"Completed",IF(N73="","",
IF(N73&lt;TODAY(),"Overdue",
IF(AND(N73&gt;=TODAY()-WEEKDAY(TODAY(),2)+1,N73&lt;=TODAY()-WEEKDAY(TODAY(),2)+7),"Follow-This Week",
IF(AND(N73&gt;=TODAY()-WEEKDAY(TODAY(),2)+8,N73&lt;=TODAY()-WEEKDAY(TODAY(),2)+14),"Follow-Next Week","")))))</f>
        <v>Completed</v>
      </c>
      <c r="Y73" s="174" t="str">
        <f t="shared" ref="Y73" ca="1" si="223">IF(OR(R73&lt;&gt;""),"Completed",IF(Q73="","",
IF(Q73&lt;TODAY(),"Overdue",
IF(AND(Q73&gt;=TODAY()-WEEKDAY(TODAY(),2)+1,Q73&lt;=TODAY()-WEEKDAY(TODAY(),2)+7),"Follow-This Week",
IF(AND(Q73&gt;=TODAY()-WEEKDAY(TODAY(),2)+8,Q73&lt;=TODAY()-WEEKDAY(TODAY(),2)+14),"Follow-Next Week","")))))</f>
        <v/>
      </c>
      <c r="Z73" s="175" t="str">
        <f t="shared" ref="Z73" ca="1" si="224">IF(OR(U73&lt;&gt;""),"Completed",IF(T73="","",
IF(T73&lt;TODAY(),"Overdue",
IF(AND(T73&gt;=TODAY()-WEEKDAY(TODAY(),2)+1,T73&lt;=TODAY()-WEEKDAY(TODAY(),2)+7),"Follow-This Week",
IF(AND(T73&gt;=TODAY()-WEEKDAY(TODAY(),2)+8,T73&lt;=TODAY()-WEEKDAY(TODAY(),2)+14),"Follow-Next Week","")))))</f>
        <v/>
      </c>
    </row>
    <row r="74" spans="1:26" s="70" customFormat="1" ht="11.5" x14ac:dyDescent="0.25">
      <c r="A74" s="102" t="s">
        <v>65</v>
      </c>
      <c r="B74" s="102" t="s">
        <v>34</v>
      </c>
      <c r="C74" s="102" t="s">
        <v>132</v>
      </c>
      <c r="D74" s="102" t="s">
        <v>133</v>
      </c>
      <c r="E74" s="105">
        <f t="shared" si="15"/>
        <v>0.7</v>
      </c>
      <c r="F74" s="105">
        <f t="shared" si="16"/>
        <v>0.7</v>
      </c>
      <c r="G74" s="105">
        <f t="shared" si="17"/>
        <v>0.7</v>
      </c>
      <c r="H74" s="105">
        <f t="shared" si="18"/>
        <v>0</v>
      </c>
      <c r="I74" s="106">
        <v>0.5</v>
      </c>
      <c r="J74" s="107">
        <f>J25+28</f>
        <v>46185</v>
      </c>
      <c r="K74" s="108">
        <f t="shared" si="4"/>
        <v>46185</v>
      </c>
      <c r="L74" s="108">
        <v>46185</v>
      </c>
      <c r="M74" s="107">
        <f t="shared" si="5"/>
        <v>46227</v>
      </c>
      <c r="N74" s="108">
        <f t="shared" si="6"/>
        <v>46227</v>
      </c>
      <c r="O74" s="107">
        <v>46225</v>
      </c>
      <c r="P74" s="107">
        <f t="shared" si="7"/>
        <v>46269</v>
      </c>
      <c r="Q74" s="108">
        <f t="shared" si="8"/>
        <v>46269</v>
      </c>
      <c r="R74" s="108"/>
      <c r="S74" s="107">
        <f t="shared" si="14"/>
        <v>46283</v>
      </c>
      <c r="T74" s="108">
        <f t="shared" si="9"/>
        <v>46283</v>
      </c>
      <c r="U74" s="108"/>
      <c r="W74" s="174" t="str">
        <f t="shared" ca="1" si="10"/>
        <v>Completed</v>
      </c>
      <c r="X74" s="174" t="str">
        <f t="shared" ca="1" si="11"/>
        <v>Completed</v>
      </c>
      <c r="Y74" s="174" t="str">
        <f t="shared" ca="1" si="12"/>
        <v/>
      </c>
      <c r="Z74" s="175" t="str">
        <f t="shared" ca="1" si="13"/>
        <v/>
      </c>
    </row>
    <row r="75" spans="1:26" s="70" customFormat="1" ht="11.5" x14ac:dyDescent="0.25">
      <c r="A75" s="102" t="s">
        <v>65</v>
      </c>
      <c r="B75" s="102" t="s">
        <v>34</v>
      </c>
      <c r="C75" s="102" t="s">
        <v>134</v>
      </c>
      <c r="D75" s="102" t="s">
        <v>135</v>
      </c>
      <c r="E75" s="105">
        <f t="shared" si="15"/>
        <v>0</v>
      </c>
      <c r="F75" s="105">
        <f t="shared" si="16"/>
        <v>0</v>
      </c>
      <c r="G75" s="105">
        <f t="shared" si="17"/>
        <v>0.5</v>
      </c>
      <c r="H75" s="105">
        <f t="shared" si="18"/>
        <v>0.5</v>
      </c>
      <c r="I75" s="106">
        <v>0.8</v>
      </c>
      <c r="J75" s="107">
        <f>J27+28</f>
        <v>46255</v>
      </c>
      <c r="K75" s="107">
        <f t="shared" si="4"/>
        <v>46255</v>
      </c>
      <c r="L75" s="193">
        <v>46248</v>
      </c>
      <c r="M75" s="107">
        <f t="shared" si="5"/>
        <v>46297</v>
      </c>
      <c r="N75" s="107">
        <f t="shared" si="6"/>
        <v>46297</v>
      </c>
      <c r="O75" s="108"/>
      <c r="P75" s="107">
        <f t="shared" si="7"/>
        <v>46339</v>
      </c>
      <c r="Q75" s="107">
        <f t="shared" si="8"/>
        <v>46339</v>
      </c>
      <c r="R75" s="108"/>
      <c r="S75" s="107">
        <f t="shared" si="14"/>
        <v>46353</v>
      </c>
      <c r="T75" s="107">
        <f t="shared" si="9"/>
        <v>46353</v>
      </c>
      <c r="U75" s="108"/>
      <c r="W75" s="174" t="str">
        <f t="shared" ca="1" si="10"/>
        <v>Completed</v>
      </c>
      <c r="X75" s="174" t="str">
        <f t="shared" ca="1" si="11"/>
        <v/>
      </c>
      <c r="Y75" s="174" t="str">
        <f t="shared" ca="1" si="12"/>
        <v/>
      </c>
      <c r="Z75" s="175" t="str">
        <f t="shared" ca="1" si="13"/>
        <v/>
      </c>
    </row>
    <row r="76" spans="1:26" s="70" customFormat="1" ht="11.5" x14ac:dyDescent="0.25">
      <c r="A76" s="102" t="s">
        <v>65</v>
      </c>
      <c r="B76" s="102" t="s">
        <v>34</v>
      </c>
      <c r="C76" s="102" t="s">
        <v>136</v>
      </c>
      <c r="D76" s="102" t="s">
        <v>137</v>
      </c>
      <c r="E76" s="105">
        <f t="shared" si="15"/>
        <v>0</v>
      </c>
      <c r="F76" s="105">
        <f t="shared" si="16"/>
        <v>0</v>
      </c>
      <c r="G76" s="105">
        <f t="shared" si="17"/>
        <v>0.7</v>
      </c>
      <c r="H76" s="105">
        <f t="shared" si="18"/>
        <v>0.7</v>
      </c>
      <c r="I76" s="106">
        <v>0.8</v>
      </c>
      <c r="J76" s="107">
        <f t="shared" ref="J76:J83" si="225">J29+28</f>
        <v>46269</v>
      </c>
      <c r="K76" s="107">
        <f t="shared" si="4"/>
        <v>46269</v>
      </c>
      <c r="L76" s="108">
        <v>46202</v>
      </c>
      <c r="M76" s="107">
        <f t="shared" si="5"/>
        <v>46311</v>
      </c>
      <c r="N76" s="107">
        <f t="shared" si="6"/>
        <v>46311</v>
      </c>
      <c r="O76" s="138">
        <v>46209</v>
      </c>
      <c r="P76" s="107">
        <f t="shared" si="7"/>
        <v>46353</v>
      </c>
      <c r="Q76" s="107">
        <f t="shared" si="8"/>
        <v>46353</v>
      </c>
      <c r="R76" s="108"/>
      <c r="S76" s="107">
        <f t="shared" si="14"/>
        <v>46367</v>
      </c>
      <c r="T76" s="107">
        <f t="shared" si="9"/>
        <v>46367</v>
      </c>
      <c r="U76" s="108"/>
      <c r="W76" s="174" t="str">
        <f t="shared" ca="1" si="10"/>
        <v>Completed</v>
      </c>
      <c r="X76" s="174" t="str">
        <f t="shared" ca="1" si="11"/>
        <v>Completed</v>
      </c>
      <c r="Y76" s="174" t="str">
        <f t="shared" ca="1" si="12"/>
        <v/>
      </c>
      <c r="Z76" s="175" t="str">
        <f t="shared" ca="1" si="13"/>
        <v/>
      </c>
    </row>
    <row r="77" spans="1:26" s="70" customFormat="1" ht="11.5" x14ac:dyDescent="0.25">
      <c r="A77" s="102" t="s">
        <v>65</v>
      </c>
      <c r="B77" s="102" t="s">
        <v>34</v>
      </c>
      <c r="C77" s="102" t="s">
        <v>138</v>
      </c>
      <c r="D77" s="102" t="s">
        <v>139</v>
      </c>
      <c r="E77" s="105">
        <f t="shared" si="15"/>
        <v>0</v>
      </c>
      <c r="F77" s="105">
        <f t="shared" si="16"/>
        <v>0</v>
      </c>
      <c r="G77" s="105">
        <f t="shared" si="17"/>
        <v>0.5</v>
      </c>
      <c r="H77" s="105">
        <f t="shared" si="18"/>
        <v>0.5</v>
      </c>
      <c r="I77" s="106">
        <v>0.8</v>
      </c>
      <c r="J77" s="107">
        <f t="shared" si="225"/>
        <v>46277</v>
      </c>
      <c r="K77" s="107">
        <f t="shared" si="4"/>
        <v>46277</v>
      </c>
      <c r="L77" s="166">
        <v>46248</v>
      </c>
      <c r="M77" s="107">
        <f t="shared" si="5"/>
        <v>46319</v>
      </c>
      <c r="N77" s="107">
        <f t="shared" si="6"/>
        <v>46319</v>
      </c>
      <c r="O77" s="107"/>
      <c r="P77" s="107">
        <f t="shared" si="7"/>
        <v>46361</v>
      </c>
      <c r="Q77" s="107">
        <f t="shared" si="8"/>
        <v>46361</v>
      </c>
      <c r="R77" s="107"/>
      <c r="S77" s="107">
        <f t="shared" si="14"/>
        <v>46375</v>
      </c>
      <c r="T77" s="107">
        <f t="shared" si="9"/>
        <v>46375</v>
      </c>
      <c r="U77" s="107"/>
      <c r="W77" s="174" t="str">
        <f t="shared" ca="1" si="10"/>
        <v>Completed</v>
      </c>
      <c r="X77" s="174" t="str">
        <f t="shared" ca="1" si="11"/>
        <v/>
      </c>
      <c r="Y77" s="174" t="str">
        <f t="shared" ca="1" si="12"/>
        <v/>
      </c>
      <c r="Z77" s="175" t="str">
        <f t="shared" ca="1" si="13"/>
        <v/>
      </c>
    </row>
    <row r="78" spans="1:26" s="70" customFormat="1" ht="11.5" x14ac:dyDescent="0.25">
      <c r="A78" s="102" t="s">
        <v>65</v>
      </c>
      <c r="B78" s="102" t="s">
        <v>34</v>
      </c>
      <c r="C78" s="102" t="s">
        <v>140</v>
      </c>
      <c r="D78" s="102" t="s">
        <v>141</v>
      </c>
      <c r="E78" s="105">
        <f t="shared" si="15"/>
        <v>0</v>
      </c>
      <c r="F78" s="105">
        <f t="shared" si="16"/>
        <v>0</v>
      </c>
      <c r="G78" s="105">
        <f t="shared" si="17"/>
        <v>0</v>
      </c>
      <c r="H78" s="105">
        <f t="shared" si="18"/>
        <v>0</v>
      </c>
      <c r="I78" s="106">
        <v>0.5</v>
      </c>
      <c r="J78" s="107">
        <f t="shared" si="225"/>
        <v>46330</v>
      </c>
      <c r="K78" s="107">
        <f t="shared" si="4"/>
        <v>46330</v>
      </c>
      <c r="L78" s="107"/>
      <c r="M78" s="107">
        <f t="shared" si="5"/>
        <v>46372</v>
      </c>
      <c r="N78" s="107">
        <f t="shared" si="6"/>
        <v>46372</v>
      </c>
      <c r="O78" s="107"/>
      <c r="P78" s="107">
        <f t="shared" si="7"/>
        <v>46414</v>
      </c>
      <c r="Q78" s="107">
        <f t="shared" si="8"/>
        <v>46414</v>
      </c>
      <c r="R78" s="107"/>
      <c r="S78" s="107">
        <f t="shared" si="14"/>
        <v>46428</v>
      </c>
      <c r="T78" s="107">
        <f t="shared" si="9"/>
        <v>46428</v>
      </c>
      <c r="U78" s="107"/>
      <c r="W78" s="174" t="str">
        <f t="shared" ca="1" si="10"/>
        <v/>
      </c>
      <c r="X78" s="174" t="str">
        <f t="shared" ca="1" si="11"/>
        <v/>
      </c>
      <c r="Y78" s="174" t="str">
        <f t="shared" ca="1" si="12"/>
        <v/>
      </c>
      <c r="Z78" s="175" t="str">
        <f t="shared" ca="1" si="13"/>
        <v/>
      </c>
    </row>
    <row r="79" spans="1:26" s="70" customFormat="1" ht="11.5" x14ac:dyDescent="0.25">
      <c r="A79" s="102" t="s">
        <v>65</v>
      </c>
      <c r="B79" s="102" t="s">
        <v>34</v>
      </c>
      <c r="C79" s="102" t="s">
        <v>142</v>
      </c>
      <c r="D79" s="102" t="s">
        <v>143</v>
      </c>
      <c r="E79" s="105">
        <f t="shared" si="15"/>
        <v>0.7</v>
      </c>
      <c r="F79" s="105">
        <f t="shared" si="16"/>
        <v>0.7</v>
      </c>
      <c r="G79" s="105">
        <f t="shared" si="17"/>
        <v>0.7</v>
      </c>
      <c r="H79" s="105">
        <f t="shared" si="18"/>
        <v>0</v>
      </c>
      <c r="I79" s="106">
        <v>0.5</v>
      </c>
      <c r="J79" s="107">
        <f t="shared" si="225"/>
        <v>46199</v>
      </c>
      <c r="K79" s="107">
        <f t="shared" si="4"/>
        <v>46199</v>
      </c>
      <c r="L79" s="107">
        <v>46192</v>
      </c>
      <c r="M79" s="107">
        <f t="shared" si="5"/>
        <v>46241</v>
      </c>
      <c r="N79" s="107">
        <f t="shared" si="6"/>
        <v>46241</v>
      </c>
      <c r="O79" s="108">
        <v>46237</v>
      </c>
      <c r="P79" s="107">
        <f t="shared" si="7"/>
        <v>46283</v>
      </c>
      <c r="Q79" s="107">
        <f t="shared" si="8"/>
        <v>46283</v>
      </c>
      <c r="R79" s="107"/>
      <c r="S79" s="107">
        <f t="shared" si="14"/>
        <v>46297</v>
      </c>
      <c r="T79" s="107">
        <f t="shared" si="9"/>
        <v>46297</v>
      </c>
      <c r="U79" s="107"/>
      <c r="W79" s="174" t="str">
        <f t="shared" ref="W79:W145" ca="1" si="226">IF(OR(L79&lt;&gt;""),"Completed",
IF(K79="","",IF(K79&lt;TODAY(),"Overdue",
IF(AND(K79&gt;=TODAY()-WEEKDAY(TODAY(),2)+1,K79&lt;=TODAY()-WEEKDAY(TODAY(),2)+7),"Follow-This Week",
IF(AND(K79&gt;=TODAY()-WEEKDAY(TODAY(),2)+8,K79&lt;=TODAY()-WEEKDAY(TODAY(),2)+14),"Follow-Next Week","")))))</f>
        <v>Completed</v>
      </c>
      <c r="X79" s="174" t="str">
        <f t="shared" ref="X79:X145" ca="1" si="227">IF(OR(O79&lt;&gt;""),"Completed",IF(N79="","",
IF(N79&lt;TODAY(),"Overdue",
IF(AND(N79&gt;=TODAY()-WEEKDAY(TODAY(),2)+1,N79&lt;=TODAY()-WEEKDAY(TODAY(),2)+7),"Follow-This Week",
IF(AND(N79&gt;=TODAY()-WEEKDAY(TODAY(),2)+8,N79&lt;=TODAY()-WEEKDAY(TODAY(),2)+14),"Follow-Next Week","")))))</f>
        <v>Completed</v>
      </c>
      <c r="Y79" s="174" t="str">
        <f t="shared" ref="Y79:Y145" ca="1" si="228">IF(OR(R79&lt;&gt;""),"Completed",IF(Q79="","",
IF(Q79&lt;TODAY(),"Overdue",
IF(AND(Q79&gt;=TODAY()-WEEKDAY(TODAY(),2)+1,Q79&lt;=TODAY()-WEEKDAY(TODAY(),2)+7),"Follow-This Week",
IF(AND(Q79&gt;=TODAY()-WEEKDAY(TODAY(),2)+8,Q79&lt;=TODAY()-WEEKDAY(TODAY(),2)+14),"Follow-Next Week","")))))</f>
        <v/>
      </c>
      <c r="Z79" s="175" t="str">
        <f t="shared" ref="Z79:Z145" ca="1" si="229">IF(OR(U79&lt;&gt;""),"Completed",IF(T79="","",
IF(T79&lt;TODAY(),"Overdue",
IF(AND(T79&gt;=TODAY()-WEEKDAY(TODAY(),2)+1,T79&lt;=TODAY()-WEEKDAY(TODAY(),2)+7),"Follow-This Week",
IF(AND(T79&gt;=TODAY()-WEEKDAY(TODAY(),2)+8,T79&lt;=TODAY()-WEEKDAY(TODAY(),2)+14),"Follow-Next Week","")))))</f>
        <v/>
      </c>
    </row>
    <row r="80" spans="1:26" s="70" customFormat="1" ht="11.5" x14ac:dyDescent="0.25">
      <c r="A80" s="102" t="s">
        <v>65</v>
      </c>
      <c r="B80" s="102" t="s">
        <v>34</v>
      </c>
      <c r="C80" s="102" t="s">
        <v>144</v>
      </c>
      <c r="D80" s="102" t="s">
        <v>145</v>
      </c>
      <c r="E80" s="105">
        <f t="shared" si="15"/>
        <v>0</v>
      </c>
      <c r="F80" s="105">
        <f t="shared" si="16"/>
        <v>0</v>
      </c>
      <c r="G80" s="105">
        <f t="shared" si="17"/>
        <v>0.7</v>
      </c>
      <c r="H80" s="105">
        <f t="shared" si="18"/>
        <v>0.7</v>
      </c>
      <c r="I80" s="106">
        <v>0.5</v>
      </c>
      <c r="J80" s="107">
        <f t="shared" si="225"/>
        <v>46255</v>
      </c>
      <c r="K80" s="108">
        <f t="shared" si="4"/>
        <v>46255</v>
      </c>
      <c r="L80" s="107">
        <v>46150</v>
      </c>
      <c r="M80" s="107">
        <f t="shared" si="5"/>
        <v>46297</v>
      </c>
      <c r="N80" s="108">
        <f t="shared" si="6"/>
        <v>46297</v>
      </c>
      <c r="O80" s="107">
        <v>46220</v>
      </c>
      <c r="P80" s="107">
        <f t="shared" si="7"/>
        <v>46339</v>
      </c>
      <c r="Q80" s="108">
        <f t="shared" si="8"/>
        <v>46339</v>
      </c>
      <c r="R80" s="107"/>
      <c r="S80" s="107">
        <f t="shared" si="14"/>
        <v>46353</v>
      </c>
      <c r="T80" s="108">
        <f t="shared" si="9"/>
        <v>46353</v>
      </c>
      <c r="U80" s="107"/>
      <c r="W80" s="174" t="str">
        <f t="shared" ca="1" si="226"/>
        <v>Completed</v>
      </c>
      <c r="X80" s="174" t="str">
        <f t="shared" ca="1" si="227"/>
        <v>Completed</v>
      </c>
      <c r="Y80" s="174" t="str">
        <f t="shared" ca="1" si="228"/>
        <v/>
      </c>
      <c r="Z80" s="175" t="str">
        <f t="shared" ca="1" si="229"/>
        <v/>
      </c>
    </row>
    <row r="81" spans="1:26" s="70" customFormat="1" ht="11.5" x14ac:dyDescent="0.25">
      <c r="A81" s="102" t="s">
        <v>65</v>
      </c>
      <c r="B81" s="102" t="s">
        <v>34</v>
      </c>
      <c r="C81" s="102" t="s">
        <v>869</v>
      </c>
      <c r="D81" s="102" t="s">
        <v>146</v>
      </c>
      <c r="E81" s="105">
        <f t="shared" si="15"/>
        <v>0.7</v>
      </c>
      <c r="F81" s="105">
        <f t="shared" si="16"/>
        <v>0.7</v>
      </c>
      <c r="G81" s="105">
        <f t="shared" si="17"/>
        <v>0.7</v>
      </c>
      <c r="H81" s="105">
        <f t="shared" si="18"/>
        <v>0</v>
      </c>
      <c r="I81" s="106">
        <v>0.55000000000000004</v>
      </c>
      <c r="J81" s="107">
        <f t="shared" si="225"/>
        <v>46192</v>
      </c>
      <c r="K81" s="107">
        <f t="shared" si="4"/>
        <v>46192</v>
      </c>
      <c r="L81" s="107">
        <v>46192</v>
      </c>
      <c r="M81" s="107">
        <f t="shared" si="5"/>
        <v>46234</v>
      </c>
      <c r="N81" s="107">
        <f t="shared" si="6"/>
        <v>46234</v>
      </c>
      <c r="O81" s="107">
        <v>46227</v>
      </c>
      <c r="P81" s="107">
        <f t="shared" si="7"/>
        <v>46276</v>
      </c>
      <c r="Q81" s="107">
        <f t="shared" si="8"/>
        <v>46276</v>
      </c>
      <c r="R81" s="108"/>
      <c r="S81" s="107">
        <f t="shared" si="14"/>
        <v>46290</v>
      </c>
      <c r="T81" s="107">
        <f t="shared" si="9"/>
        <v>46290</v>
      </c>
      <c r="U81" s="108"/>
      <c r="W81" s="174" t="str">
        <f t="shared" ca="1" si="226"/>
        <v>Completed</v>
      </c>
      <c r="X81" s="174" t="str">
        <f t="shared" ca="1" si="227"/>
        <v>Completed</v>
      </c>
      <c r="Y81" s="174" t="str">
        <f t="shared" ca="1" si="228"/>
        <v/>
      </c>
      <c r="Z81" s="175" t="str">
        <f t="shared" ca="1" si="229"/>
        <v/>
      </c>
    </row>
    <row r="82" spans="1:26" s="70" customFormat="1" ht="11.5" x14ac:dyDescent="0.25">
      <c r="A82" s="102" t="s">
        <v>65</v>
      </c>
      <c r="B82" s="102" t="s">
        <v>34</v>
      </c>
      <c r="C82" s="102" t="s">
        <v>870</v>
      </c>
      <c r="D82" s="102" t="s">
        <v>147</v>
      </c>
      <c r="E82" s="105">
        <f t="shared" si="15"/>
        <v>0.7</v>
      </c>
      <c r="F82" s="105">
        <f t="shared" si="16"/>
        <v>0.7</v>
      </c>
      <c r="G82" s="105">
        <f t="shared" si="17"/>
        <v>0.7</v>
      </c>
      <c r="H82" s="105">
        <f t="shared" si="18"/>
        <v>0</v>
      </c>
      <c r="I82" s="106">
        <v>0.55000000000000004</v>
      </c>
      <c r="J82" s="107">
        <f t="shared" si="225"/>
        <v>46199</v>
      </c>
      <c r="K82" s="108">
        <f t="shared" si="4"/>
        <v>46199</v>
      </c>
      <c r="L82" s="107">
        <v>46155</v>
      </c>
      <c r="M82" s="107">
        <f t="shared" si="5"/>
        <v>46241</v>
      </c>
      <c r="N82" s="108">
        <f t="shared" si="6"/>
        <v>46241</v>
      </c>
      <c r="O82" s="193">
        <v>46244</v>
      </c>
      <c r="P82" s="108">
        <f t="shared" si="7"/>
        <v>46283</v>
      </c>
      <c r="Q82" s="108">
        <f t="shared" si="8"/>
        <v>46283</v>
      </c>
      <c r="R82" s="108"/>
      <c r="S82" s="107">
        <f t="shared" si="14"/>
        <v>46297</v>
      </c>
      <c r="T82" s="108">
        <f t="shared" si="9"/>
        <v>46297</v>
      </c>
      <c r="U82" s="108"/>
      <c r="W82" s="174" t="str">
        <f t="shared" ca="1" si="226"/>
        <v>Completed</v>
      </c>
      <c r="X82" s="174" t="str">
        <f t="shared" ca="1" si="227"/>
        <v>Completed</v>
      </c>
      <c r="Y82" s="174" t="str">
        <f t="shared" ca="1" si="228"/>
        <v/>
      </c>
      <c r="Z82" s="175" t="str">
        <f t="shared" ca="1" si="229"/>
        <v/>
      </c>
    </row>
    <row r="83" spans="1:26" s="70" customFormat="1" ht="11.5" x14ac:dyDescent="0.25">
      <c r="A83" s="181" t="s">
        <v>65</v>
      </c>
      <c r="B83" s="181" t="s">
        <v>34</v>
      </c>
      <c r="C83" s="181" t="s">
        <v>871</v>
      </c>
      <c r="D83" s="181" t="s">
        <v>148</v>
      </c>
      <c r="E83" s="182">
        <f t="shared" si="15"/>
        <v>0.5</v>
      </c>
      <c r="F83" s="182">
        <f t="shared" si="16"/>
        <v>0.5</v>
      </c>
      <c r="G83" s="182">
        <f t="shared" si="17"/>
        <v>1</v>
      </c>
      <c r="H83" s="182">
        <f t="shared" si="18"/>
        <v>0.5</v>
      </c>
      <c r="I83" s="183">
        <v>0.375</v>
      </c>
      <c r="J83" s="184">
        <f t="shared" si="225"/>
        <v>46220</v>
      </c>
      <c r="K83" s="185">
        <f t="shared" si="4"/>
        <v>46220</v>
      </c>
      <c r="L83" s="184">
        <v>46234</v>
      </c>
      <c r="M83" s="184">
        <f t="shared" si="5"/>
        <v>46262</v>
      </c>
      <c r="N83" s="185">
        <f t="shared" si="6"/>
        <v>46262</v>
      </c>
      <c r="O83" s="185">
        <v>46234</v>
      </c>
      <c r="P83" s="185">
        <f t="shared" si="7"/>
        <v>46304</v>
      </c>
      <c r="Q83" s="185">
        <f t="shared" si="8"/>
        <v>46304</v>
      </c>
      <c r="R83" s="185">
        <v>46234</v>
      </c>
      <c r="S83" s="184">
        <f t="shared" si="14"/>
        <v>46318</v>
      </c>
      <c r="T83" s="185">
        <f t="shared" si="9"/>
        <v>46318</v>
      </c>
      <c r="U83" s="185">
        <v>46234</v>
      </c>
      <c r="W83" s="174" t="str">
        <f t="shared" ca="1" si="226"/>
        <v>Completed</v>
      </c>
      <c r="X83" s="174" t="str">
        <f t="shared" ca="1" si="227"/>
        <v>Completed</v>
      </c>
      <c r="Y83" s="174" t="str">
        <f t="shared" ca="1" si="228"/>
        <v>Completed</v>
      </c>
      <c r="Z83" s="175" t="str">
        <f t="shared" ca="1" si="229"/>
        <v>Completed</v>
      </c>
    </row>
    <row r="84" spans="1:26" s="70" customFormat="1" ht="11.5" x14ac:dyDescent="0.25">
      <c r="A84" s="102" t="s">
        <v>65</v>
      </c>
      <c r="B84" s="102" t="s">
        <v>34</v>
      </c>
      <c r="C84" s="102" t="s">
        <v>871</v>
      </c>
      <c r="D84" s="102" t="s">
        <v>1184</v>
      </c>
      <c r="E84" s="105">
        <f t="shared" ref="E84" si="230">(COUNTIFS(J84,"&lt;="&amp;$C$1)*50%)+(COUNTIFS(M84,"&lt;="&amp;$C$1)*20%)+(COUNTIFS(P84,"&lt;="&amp;$C$1)*10%)+(COUNTIFS(S84,"&lt;="&amp;$C$1)*20%)</f>
        <v>0.5</v>
      </c>
      <c r="F84" s="105">
        <f t="shared" ref="F84" si="231">(COUNTIFS(K84,"&lt;="&amp;$C$1)*50%)+(COUNTIFS(N84,"&lt;="&amp;$C$1)*20%)+(COUNTIFS(Q84,"&lt;="&amp;$C$1)*10%)+(COUNTIFS(T84,"&lt;="&amp;$C$1)*20%)</f>
        <v>0.5</v>
      </c>
      <c r="G84" s="105">
        <f t="shared" ref="G84" si="232">(COUNTIFS(L84,"&lt;="&amp;$C$1)*50%)+(COUNTIFS(O84,"&lt;="&amp;$C$1)*20%)+(COUNTIFS(R84,"&lt;="&amp;$C$1)*10%)+(COUNTIFS(U84,"&lt;="&amp;$C$1)*20%)</f>
        <v>0.5</v>
      </c>
      <c r="H84" s="105">
        <f t="shared" ref="H84" si="233">G84-E84</f>
        <v>0</v>
      </c>
      <c r="I84" s="106">
        <v>0.375</v>
      </c>
      <c r="J84" s="107">
        <v>46241</v>
      </c>
      <c r="K84" s="108">
        <v>46241</v>
      </c>
      <c r="L84" s="108">
        <v>46237</v>
      </c>
      <c r="M84" s="107">
        <v>46262</v>
      </c>
      <c r="N84" s="108">
        <v>46262</v>
      </c>
      <c r="O84" s="108"/>
      <c r="P84" s="108">
        <v>46304</v>
      </c>
      <c r="Q84" s="108">
        <v>46304</v>
      </c>
      <c r="R84" s="108"/>
      <c r="S84" s="107">
        <v>46318</v>
      </c>
      <c r="T84" s="108">
        <v>46318</v>
      </c>
      <c r="U84" s="108"/>
      <c r="W84" s="174" t="str">
        <f t="shared" ref="W84" ca="1" si="234">IF(OR(L84&lt;&gt;""),"Completed",
IF(K84="","",IF(K84&lt;TODAY(),"Overdue",
IF(AND(K84&gt;=TODAY()-WEEKDAY(TODAY(),2)+1,K84&lt;=TODAY()-WEEKDAY(TODAY(),2)+7),"Follow-This Week",
IF(AND(K84&gt;=TODAY()-WEEKDAY(TODAY(),2)+8,K84&lt;=TODAY()-WEEKDAY(TODAY(),2)+14),"Follow-Next Week","")))))</f>
        <v>Completed</v>
      </c>
      <c r="X84" s="174" t="str">
        <f t="shared" ref="X84" ca="1" si="235">IF(OR(O84&lt;&gt;""),"Completed",IF(N84="","",
IF(N84&lt;TODAY(),"Overdue",
IF(AND(N84&gt;=TODAY()-WEEKDAY(TODAY(),2)+1,N84&lt;=TODAY()-WEEKDAY(TODAY(),2)+7),"Follow-This Week",
IF(AND(N84&gt;=TODAY()-WEEKDAY(TODAY(),2)+8,N84&lt;=TODAY()-WEEKDAY(TODAY(),2)+14),"Follow-Next Week","")))))</f>
        <v/>
      </c>
      <c r="Y84" s="174" t="str">
        <f t="shared" ref="Y84" ca="1" si="236">IF(OR(R84&lt;&gt;""),"Completed",IF(Q84="","",
IF(Q84&lt;TODAY(),"Overdue",
IF(AND(Q84&gt;=TODAY()-WEEKDAY(TODAY(),2)+1,Q84&lt;=TODAY()-WEEKDAY(TODAY(),2)+7),"Follow-This Week",
IF(AND(Q84&gt;=TODAY()-WEEKDAY(TODAY(),2)+8,Q84&lt;=TODAY()-WEEKDAY(TODAY(),2)+14),"Follow-Next Week","")))))</f>
        <v/>
      </c>
      <c r="Z84" s="175" t="str">
        <f t="shared" ref="Z84" ca="1" si="237">IF(OR(U84&lt;&gt;""),"Completed",IF(T84="","",
IF(T84&lt;TODAY(),"Overdue",
IF(AND(T84&gt;=TODAY()-WEEKDAY(TODAY(),2)+1,T84&lt;=TODAY()-WEEKDAY(TODAY(),2)+7),"Follow-This Week",
IF(AND(T84&gt;=TODAY()-WEEKDAY(TODAY(),2)+8,T84&lt;=TODAY()-WEEKDAY(TODAY(),2)+14),"Follow-Next Week","")))))</f>
        <v/>
      </c>
    </row>
    <row r="85" spans="1:26" s="70" customFormat="1" ht="11.5" x14ac:dyDescent="0.25">
      <c r="A85" s="102" t="s">
        <v>65</v>
      </c>
      <c r="B85" s="102" t="s">
        <v>34</v>
      </c>
      <c r="C85" s="102" t="s">
        <v>149</v>
      </c>
      <c r="D85" s="102" t="s">
        <v>150</v>
      </c>
      <c r="E85" s="105">
        <f t="shared" si="15"/>
        <v>1</v>
      </c>
      <c r="F85" s="105">
        <f t="shared" si="16"/>
        <v>1</v>
      </c>
      <c r="G85" s="105">
        <f t="shared" si="17"/>
        <v>0.7</v>
      </c>
      <c r="H85" s="105">
        <f t="shared" si="18"/>
        <v>-0.30000000000000004</v>
      </c>
      <c r="I85" s="106">
        <v>1</v>
      </c>
      <c r="J85" s="107">
        <f>J37+28</f>
        <v>46143</v>
      </c>
      <c r="K85" s="108">
        <f t="shared" si="4"/>
        <v>46143</v>
      </c>
      <c r="L85" s="107">
        <v>46122</v>
      </c>
      <c r="M85" s="107">
        <f t="shared" si="5"/>
        <v>46185</v>
      </c>
      <c r="N85" s="108">
        <f t="shared" si="6"/>
        <v>46185</v>
      </c>
      <c r="O85" s="108">
        <v>46213</v>
      </c>
      <c r="P85" s="107">
        <f t="shared" si="7"/>
        <v>46227</v>
      </c>
      <c r="Q85" s="108">
        <f t="shared" si="8"/>
        <v>46227</v>
      </c>
      <c r="R85" s="107"/>
      <c r="S85" s="107">
        <f t="shared" si="14"/>
        <v>46241</v>
      </c>
      <c r="T85" s="108">
        <f t="shared" si="9"/>
        <v>46241</v>
      </c>
      <c r="U85" s="107"/>
      <c r="W85" s="174" t="str">
        <f t="shared" ca="1" si="226"/>
        <v>Completed</v>
      </c>
      <c r="X85" s="174" t="str">
        <f t="shared" ca="1" si="227"/>
        <v>Completed</v>
      </c>
      <c r="Y85" s="174" t="str">
        <f t="shared" ca="1" si="228"/>
        <v>Overdue</v>
      </c>
      <c r="Z85" s="175" t="str">
        <f t="shared" ca="1" si="229"/>
        <v>Overdue</v>
      </c>
    </row>
    <row r="86" spans="1:26" s="70" customFormat="1" ht="11.5" x14ac:dyDescent="0.25">
      <c r="A86" s="102" t="s">
        <v>65</v>
      </c>
      <c r="B86" s="102" t="s">
        <v>34</v>
      </c>
      <c r="C86" s="102" t="s">
        <v>151</v>
      </c>
      <c r="D86" s="102" t="s">
        <v>152</v>
      </c>
      <c r="E86" s="105">
        <f t="shared" si="15"/>
        <v>0.7</v>
      </c>
      <c r="F86" s="105">
        <f t="shared" si="16"/>
        <v>0.7</v>
      </c>
      <c r="G86" s="105">
        <f>(COUNTIFS(L86,"&lt;="&amp;$C$1)*50%)+(COUNTIFS(O86,"&lt;="&amp;$C$1)*20%)+(COUNTIFS(R86,"&lt;="&amp;$C$1)*10%)+(COUNTIFS(U86,"&lt;="&amp;$C$1)*20%)</f>
        <v>0.5</v>
      </c>
      <c r="H86" s="105">
        <f t="shared" si="18"/>
        <v>-0.19999999999999996</v>
      </c>
      <c r="I86" s="106">
        <v>0.5</v>
      </c>
      <c r="J86" s="107">
        <f>J39+28</f>
        <v>46206</v>
      </c>
      <c r="K86" s="108">
        <f t="shared" si="4"/>
        <v>46206</v>
      </c>
      <c r="L86" s="107">
        <v>46220</v>
      </c>
      <c r="M86" s="107">
        <f t="shared" si="5"/>
        <v>46248</v>
      </c>
      <c r="N86" s="108">
        <f t="shared" si="6"/>
        <v>46248</v>
      </c>
      <c r="O86" s="108"/>
      <c r="P86" s="107">
        <f t="shared" si="7"/>
        <v>46290</v>
      </c>
      <c r="Q86" s="108">
        <f t="shared" si="8"/>
        <v>46290</v>
      </c>
      <c r="R86" s="107"/>
      <c r="S86" s="107">
        <f t="shared" si="14"/>
        <v>46304</v>
      </c>
      <c r="T86" s="108">
        <f t="shared" si="9"/>
        <v>46304</v>
      </c>
      <c r="U86" s="107"/>
      <c r="W86" s="174" t="str">
        <f t="shared" ca="1" si="226"/>
        <v>Completed</v>
      </c>
      <c r="X86" s="174" t="str">
        <f t="shared" ca="1" si="227"/>
        <v>Overdue</v>
      </c>
      <c r="Y86" s="174" t="str">
        <f t="shared" ca="1" si="228"/>
        <v/>
      </c>
      <c r="Z86" s="175" t="str">
        <f t="shared" ca="1" si="229"/>
        <v/>
      </c>
    </row>
    <row r="87" spans="1:26" s="70" customFormat="1" ht="11.5" x14ac:dyDescent="0.25">
      <c r="A87" s="102" t="s">
        <v>65</v>
      </c>
      <c r="B87" s="102" t="s">
        <v>34</v>
      </c>
      <c r="C87" s="102" t="s">
        <v>153</v>
      </c>
      <c r="D87" s="102" t="s">
        <v>154</v>
      </c>
      <c r="E87" s="105">
        <f t="shared" si="15"/>
        <v>0.5</v>
      </c>
      <c r="F87" s="105">
        <f t="shared" si="16"/>
        <v>0.5</v>
      </c>
      <c r="G87" s="105">
        <f>(COUNTIFS(L87,"&lt;="&amp;$C$1)*50%)+(COUNTIFS(O87,"&lt;="&amp;$C$1)*20%)+(COUNTIFS(R87,"&lt;="&amp;$C$1)*10%)+(COUNTIFS(U87,"&lt;="&amp;$C$1)*20%)</f>
        <v>0.7</v>
      </c>
      <c r="H87" s="105">
        <f t="shared" si="18"/>
        <v>0.19999999999999996</v>
      </c>
      <c r="I87" s="106">
        <v>0.5</v>
      </c>
      <c r="J87" s="107">
        <f>J40+28</f>
        <v>46213</v>
      </c>
      <c r="K87" s="108">
        <f t="shared" si="4"/>
        <v>46213</v>
      </c>
      <c r="L87" s="107">
        <v>46220</v>
      </c>
      <c r="M87" s="107">
        <f t="shared" si="5"/>
        <v>46255</v>
      </c>
      <c r="N87" s="108">
        <f t="shared" si="6"/>
        <v>46255</v>
      </c>
      <c r="O87" s="193">
        <v>46248</v>
      </c>
      <c r="P87" s="107">
        <f t="shared" si="7"/>
        <v>46297</v>
      </c>
      <c r="Q87" s="108">
        <f t="shared" si="8"/>
        <v>46297</v>
      </c>
      <c r="R87" s="107"/>
      <c r="S87" s="107">
        <f t="shared" si="14"/>
        <v>46311</v>
      </c>
      <c r="T87" s="108">
        <f t="shared" si="9"/>
        <v>46311</v>
      </c>
      <c r="U87" s="107"/>
      <c r="W87" s="174" t="str">
        <f t="shared" ca="1" si="226"/>
        <v>Completed</v>
      </c>
      <c r="X87" s="174" t="str">
        <f t="shared" ca="1" si="227"/>
        <v>Completed</v>
      </c>
      <c r="Y87" s="174" t="str">
        <f t="shared" ca="1" si="228"/>
        <v/>
      </c>
      <c r="Z87" s="175" t="str">
        <f t="shared" ca="1" si="229"/>
        <v/>
      </c>
    </row>
    <row r="88" spans="1:26" s="70" customFormat="1" ht="11.5" x14ac:dyDescent="0.25">
      <c r="A88" s="102" t="s">
        <v>65</v>
      </c>
      <c r="B88" s="102" t="s">
        <v>34</v>
      </c>
      <c r="C88" s="102" t="s">
        <v>854</v>
      </c>
      <c r="D88" s="102" t="s">
        <v>855</v>
      </c>
      <c r="E88" s="105">
        <f t="shared" ref="E88:E89" si="238">(COUNTIFS(J88,"&lt;="&amp;$C$1)*50%)+(COUNTIFS(M88,"&lt;="&amp;$C$1)*20%)+(COUNTIFS(P88,"&lt;="&amp;$C$1)*10%)+(COUNTIFS(S88,"&lt;="&amp;$C$1)*20%)</f>
        <v>1</v>
      </c>
      <c r="F88" s="105">
        <f t="shared" ref="F88:F89" si="239">(COUNTIFS(K88,"&lt;="&amp;$C$1)*50%)+(COUNTIFS(N88,"&lt;="&amp;$C$1)*20%)+(COUNTIFS(Q88,"&lt;="&amp;$C$1)*10%)+(COUNTIFS(T88,"&lt;="&amp;$C$1)*20%)</f>
        <v>1</v>
      </c>
      <c r="G88" s="105">
        <f t="shared" ref="G88:G89" si="240">(COUNTIFS(L88,"&lt;="&amp;$C$1)*50%)+(COUNTIFS(O88,"&lt;="&amp;$C$1)*20%)+(COUNTIFS(R88,"&lt;="&amp;$C$1)*10%)+(COUNTIFS(U88,"&lt;="&amp;$C$1)*20%)</f>
        <v>0.7</v>
      </c>
      <c r="H88" s="105">
        <f t="shared" ref="H88:H89" si="241">G88-E88</f>
        <v>-0.30000000000000004</v>
      </c>
      <c r="I88" s="106">
        <v>0.4</v>
      </c>
      <c r="J88" s="107">
        <v>46122</v>
      </c>
      <c r="K88" s="108">
        <f t="shared" ref="K88:K90" si="242">J88</f>
        <v>46122</v>
      </c>
      <c r="L88" s="107">
        <v>46115</v>
      </c>
      <c r="M88" s="107">
        <f t="shared" ref="M88:M90" si="243">J88+42</f>
        <v>46164</v>
      </c>
      <c r="N88" s="108">
        <f t="shared" ref="N88:N90" si="244">M88</f>
        <v>46164</v>
      </c>
      <c r="O88" s="149">
        <v>46191</v>
      </c>
      <c r="P88" s="107">
        <f t="shared" ref="P88:P90" si="245">M88+42</f>
        <v>46206</v>
      </c>
      <c r="Q88" s="108">
        <f t="shared" ref="Q88:Q90" si="246">P88</f>
        <v>46206</v>
      </c>
      <c r="R88" s="107"/>
      <c r="S88" s="107">
        <f t="shared" ref="S88:S90" si="247">P88+14</f>
        <v>46220</v>
      </c>
      <c r="T88" s="108">
        <f t="shared" ref="T88:T90" si="248">S88</f>
        <v>46220</v>
      </c>
      <c r="U88" s="107"/>
      <c r="W88" s="174" t="str">
        <f t="shared" ca="1" si="226"/>
        <v>Completed</v>
      </c>
      <c r="X88" s="174" t="str">
        <f t="shared" ca="1" si="227"/>
        <v>Completed</v>
      </c>
      <c r="Y88" s="174" t="str">
        <f t="shared" ca="1" si="228"/>
        <v>Overdue</v>
      </c>
      <c r="Z88" s="175" t="str">
        <f t="shared" ca="1" si="229"/>
        <v>Overdue</v>
      </c>
    </row>
    <row r="89" spans="1:26" s="70" customFormat="1" ht="11.5" x14ac:dyDescent="0.25">
      <c r="A89" s="102" t="s">
        <v>65</v>
      </c>
      <c r="B89" s="102" t="s">
        <v>34</v>
      </c>
      <c r="C89" s="102" t="s">
        <v>856</v>
      </c>
      <c r="D89" s="102" t="s">
        <v>857</v>
      </c>
      <c r="E89" s="105">
        <f t="shared" si="238"/>
        <v>1</v>
      </c>
      <c r="F89" s="105">
        <f t="shared" si="239"/>
        <v>1</v>
      </c>
      <c r="G89" s="105">
        <f t="shared" si="240"/>
        <v>0.7</v>
      </c>
      <c r="H89" s="105">
        <f t="shared" si="241"/>
        <v>-0.30000000000000004</v>
      </c>
      <c r="I89" s="106">
        <v>0.4</v>
      </c>
      <c r="J89" s="107">
        <v>46129</v>
      </c>
      <c r="K89" s="108">
        <f t="shared" si="242"/>
        <v>46129</v>
      </c>
      <c r="L89" s="107">
        <v>46142</v>
      </c>
      <c r="M89" s="107">
        <f t="shared" si="243"/>
        <v>46171</v>
      </c>
      <c r="N89" s="108">
        <f t="shared" si="244"/>
        <v>46171</v>
      </c>
      <c r="O89" s="149">
        <v>46191</v>
      </c>
      <c r="P89" s="107">
        <f t="shared" si="245"/>
        <v>46213</v>
      </c>
      <c r="Q89" s="108">
        <f t="shared" si="246"/>
        <v>46213</v>
      </c>
      <c r="R89" s="107"/>
      <c r="S89" s="107">
        <f t="shared" si="247"/>
        <v>46227</v>
      </c>
      <c r="T89" s="108">
        <f t="shared" si="248"/>
        <v>46227</v>
      </c>
      <c r="U89" s="107"/>
      <c r="W89" s="174" t="str">
        <f t="shared" ca="1" si="226"/>
        <v>Completed</v>
      </c>
      <c r="X89" s="174" t="str">
        <f t="shared" ca="1" si="227"/>
        <v>Completed</v>
      </c>
      <c r="Y89" s="174" t="str">
        <f t="shared" ca="1" si="228"/>
        <v>Overdue</v>
      </c>
      <c r="Z89" s="175" t="str">
        <f t="shared" ca="1" si="229"/>
        <v>Overdue</v>
      </c>
    </row>
    <row r="90" spans="1:26" s="70" customFormat="1" ht="11.5" x14ac:dyDescent="0.25">
      <c r="A90" s="181" t="s">
        <v>65</v>
      </c>
      <c r="B90" s="181" t="s">
        <v>34</v>
      </c>
      <c r="C90" s="181" t="s">
        <v>858</v>
      </c>
      <c r="D90" s="181" t="s">
        <v>859</v>
      </c>
      <c r="E90" s="182"/>
      <c r="F90" s="182"/>
      <c r="G90" s="182"/>
      <c r="H90" s="182"/>
      <c r="I90" s="183">
        <v>0.2</v>
      </c>
      <c r="J90" s="184">
        <v>46142</v>
      </c>
      <c r="K90" s="185">
        <f t="shared" si="242"/>
        <v>46142</v>
      </c>
      <c r="L90" s="197">
        <v>46248</v>
      </c>
      <c r="M90" s="184">
        <f t="shared" si="243"/>
        <v>46184</v>
      </c>
      <c r="N90" s="185">
        <f t="shared" si="244"/>
        <v>46184</v>
      </c>
      <c r="O90" s="197">
        <v>46248</v>
      </c>
      <c r="P90" s="184">
        <f t="shared" si="245"/>
        <v>46226</v>
      </c>
      <c r="Q90" s="185">
        <f t="shared" si="246"/>
        <v>46226</v>
      </c>
      <c r="R90" s="197">
        <v>46248</v>
      </c>
      <c r="S90" s="184">
        <f t="shared" si="247"/>
        <v>46240</v>
      </c>
      <c r="T90" s="185">
        <f t="shared" si="248"/>
        <v>46240</v>
      </c>
      <c r="U90" s="197">
        <v>46248</v>
      </c>
      <c r="W90" s="174" t="str">
        <f t="shared" ca="1" si="226"/>
        <v>Completed</v>
      </c>
      <c r="X90" s="174" t="str">
        <f t="shared" ca="1" si="227"/>
        <v>Completed</v>
      </c>
      <c r="Y90" s="174" t="str">
        <f t="shared" ca="1" si="228"/>
        <v>Completed</v>
      </c>
      <c r="Z90" s="175" t="str">
        <f t="shared" ca="1" si="229"/>
        <v>Completed</v>
      </c>
    </row>
    <row r="91" spans="1:26" s="70" customFormat="1" ht="11.5" x14ac:dyDescent="0.25">
      <c r="A91" s="102" t="s">
        <v>65</v>
      </c>
      <c r="B91" s="102" t="s">
        <v>34</v>
      </c>
      <c r="C91" s="102" t="s">
        <v>858</v>
      </c>
      <c r="D91" s="102" t="s">
        <v>1191</v>
      </c>
      <c r="E91" s="105">
        <f t="shared" ref="E91" si="249">(COUNTIFS(J91,"&lt;="&amp;$C$1)*50%)+(COUNTIFS(M91,"&lt;="&amp;$C$1)*20%)+(COUNTIFS(P91,"&lt;="&amp;$C$1)*10%)+(COUNTIFS(S91,"&lt;="&amp;$C$1)*20%)</f>
        <v>1</v>
      </c>
      <c r="F91" s="105">
        <f t="shared" ref="F91" si="250">(COUNTIFS(K91,"&lt;="&amp;$C$1)*50%)+(COUNTIFS(N91,"&lt;="&amp;$C$1)*20%)+(COUNTIFS(Q91,"&lt;="&amp;$C$1)*10%)+(COUNTIFS(T91,"&lt;="&amp;$C$1)*20%)</f>
        <v>1</v>
      </c>
      <c r="G91" s="105">
        <f t="shared" ref="G91" si="251">(COUNTIFS(L91,"&lt;="&amp;$C$1)*50%)+(COUNTIFS(O91,"&lt;="&amp;$C$1)*20%)+(COUNTIFS(R91,"&lt;="&amp;$C$1)*10%)+(COUNTIFS(U91,"&lt;="&amp;$C$1)*20%)</f>
        <v>0</v>
      </c>
      <c r="H91" s="105">
        <f t="shared" ref="H91" si="252">G91-E91</f>
        <v>-1</v>
      </c>
      <c r="I91" s="106"/>
      <c r="J91" s="107">
        <v>46142</v>
      </c>
      <c r="K91" s="108">
        <f t="shared" ref="K91" si="253">J91</f>
        <v>46142</v>
      </c>
      <c r="L91" s="196"/>
      <c r="M91" s="107">
        <f t="shared" ref="M91" si="254">J91+42</f>
        <v>46184</v>
      </c>
      <c r="N91" s="108">
        <f t="shared" ref="N91" si="255">M91</f>
        <v>46184</v>
      </c>
      <c r="O91" s="196"/>
      <c r="P91" s="107">
        <f t="shared" ref="P91" si="256">M91+42</f>
        <v>46226</v>
      </c>
      <c r="Q91" s="108">
        <f t="shared" ref="Q91" si="257">P91</f>
        <v>46226</v>
      </c>
      <c r="R91" s="196"/>
      <c r="S91" s="107">
        <f t="shared" ref="S91" si="258">P91+14</f>
        <v>46240</v>
      </c>
      <c r="T91" s="108">
        <f t="shared" ref="T91" si="259">S91</f>
        <v>46240</v>
      </c>
      <c r="U91" s="196"/>
      <c r="W91" s="174" t="str">
        <f t="shared" ref="W91" ca="1" si="260">IF(OR(L91&lt;&gt;""),"Completed",
IF(K91="","",IF(K91&lt;TODAY(),"Overdue",
IF(AND(K91&gt;=TODAY()-WEEKDAY(TODAY(),2)+1,K91&lt;=TODAY()-WEEKDAY(TODAY(),2)+7),"Follow-This Week",
IF(AND(K91&gt;=TODAY()-WEEKDAY(TODAY(),2)+8,K91&lt;=TODAY()-WEEKDAY(TODAY(),2)+14),"Follow-Next Week","")))))</f>
        <v>Overdue</v>
      </c>
      <c r="X91" s="174" t="str">
        <f t="shared" ref="X91" ca="1" si="261">IF(OR(O91&lt;&gt;""),"Completed",IF(N91="","",
IF(N91&lt;TODAY(),"Overdue",
IF(AND(N91&gt;=TODAY()-WEEKDAY(TODAY(),2)+1,N91&lt;=TODAY()-WEEKDAY(TODAY(),2)+7),"Follow-This Week",
IF(AND(N91&gt;=TODAY()-WEEKDAY(TODAY(),2)+8,N91&lt;=TODAY()-WEEKDAY(TODAY(),2)+14),"Follow-Next Week","")))))</f>
        <v>Overdue</v>
      </c>
      <c r="Y91" s="174" t="str">
        <f t="shared" ref="Y91" ca="1" si="262">IF(OR(R91&lt;&gt;""),"Completed",IF(Q91="","",
IF(Q91&lt;TODAY(),"Overdue",
IF(AND(Q91&gt;=TODAY()-WEEKDAY(TODAY(),2)+1,Q91&lt;=TODAY()-WEEKDAY(TODAY(),2)+7),"Follow-This Week",
IF(AND(Q91&gt;=TODAY()-WEEKDAY(TODAY(),2)+8,Q91&lt;=TODAY()-WEEKDAY(TODAY(),2)+14),"Follow-Next Week","")))))</f>
        <v>Overdue</v>
      </c>
      <c r="Z91" s="175" t="str">
        <f t="shared" ref="Z91" ca="1" si="263">IF(OR(U91&lt;&gt;""),"Completed",IF(T91="","",
IF(T91&lt;TODAY(),"Overdue",
IF(AND(T91&gt;=TODAY()-WEEKDAY(TODAY(),2)+1,T91&lt;=TODAY()-WEEKDAY(TODAY(),2)+7),"Follow-This Week",
IF(AND(T91&gt;=TODAY()-WEEKDAY(TODAY(),2)+8,T91&lt;=TODAY()-WEEKDAY(TODAY(),2)+14),"Follow-Next Week","")))))</f>
        <v>Overdue</v>
      </c>
    </row>
    <row r="92" spans="1:26" s="70" customFormat="1" ht="11.5" x14ac:dyDescent="0.25">
      <c r="A92" s="102" t="s">
        <v>65</v>
      </c>
      <c r="B92" s="102" t="s">
        <v>34</v>
      </c>
      <c r="C92" s="135" t="s">
        <v>918</v>
      </c>
      <c r="D92" s="102" t="s">
        <v>920</v>
      </c>
      <c r="E92" s="105">
        <v>0</v>
      </c>
      <c r="F92" s="105">
        <v>0</v>
      </c>
      <c r="G92" s="105">
        <v>0.5</v>
      </c>
      <c r="H92" s="105">
        <v>0.5</v>
      </c>
      <c r="I92" s="106">
        <v>0.2</v>
      </c>
      <c r="J92" s="107">
        <v>46157</v>
      </c>
      <c r="K92" s="108">
        <v>46157</v>
      </c>
      <c r="L92" s="107">
        <v>46150</v>
      </c>
      <c r="M92" s="107">
        <v>46199</v>
      </c>
      <c r="N92" s="108">
        <v>46199</v>
      </c>
      <c r="O92" s="107">
        <v>46191</v>
      </c>
      <c r="P92" s="107">
        <v>46241</v>
      </c>
      <c r="Q92" s="108">
        <v>46241</v>
      </c>
      <c r="R92" s="107">
        <v>46227</v>
      </c>
      <c r="S92" s="107">
        <v>46255</v>
      </c>
      <c r="T92" s="108">
        <v>46255</v>
      </c>
      <c r="U92" s="138">
        <v>46239</v>
      </c>
      <c r="W92" s="174" t="str">
        <f t="shared" ca="1" si="226"/>
        <v>Completed</v>
      </c>
      <c r="X92" s="174" t="str">
        <f t="shared" ca="1" si="227"/>
        <v>Completed</v>
      </c>
      <c r="Y92" s="174" t="str">
        <f t="shared" ca="1" si="228"/>
        <v>Completed</v>
      </c>
      <c r="Z92" s="175" t="str">
        <f t="shared" ca="1" si="229"/>
        <v>Completed</v>
      </c>
    </row>
    <row r="93" spans="1:26" s="70" customFormat="1" ht="11.5" x14ac:dyDescent="0.25">
      <c r="A93" s="102" t="s">
        <v>65</v>
      </c>
      <c r="B93" s="135" t="s">
        <v>34</v>
      </c>
      <c r="C93" s="135" t="s">
        <v>919</v>
      </c>
      <c r="D93" s="102" t="s">
        <v>921</v>
      </c>
      <c r="E93" s="105">
        <v>0</v>
      </c>
      <c r="F93" s="105">
        <v>0</v>
      </c>
      <c r="G93" s="105">
        <v>0.5</v>
      </c>
      <c r="H93" s="105">
        <v>0.5</v>
      </c>
      <c r="I93" s="106">
        <v>0.2</v>
      </c>
      <c r="J93" s="107">
        <v>46157</v>
      </c>
      <c r="K93" s="108">
        <v>46157</v>
      </c>
      <c r="L93" s="107">
        <v>46150</v>
      </c>
      <c r="M93" s="107">
        <v>46199</v>
      </c>
      <c r="N93" s="108">
        <v>46199</v>
      </c>
      <c r="O93" s="107">
        <v>46191</v>
      </c>
      <c r="P93" s="107">
        <v>46241</v>
      </c>
      <c r="Q93" s="108">
        <v>46241</v>
      </c>
      <c r="R93" s="107">
        <v>46227</v>
      </c>
      <c r="S93" s="107">
        <v>46255</v>
      </c>
      <c r="T93" s="108">
        <v>46255</v>
      </c>
      <c r="U93" s="138">
        <v>46239</v>
      </c>
      <c r="W93" s="174" t="str">
        <f t="shared" ca="1" si="226"/>
        <v>Completed</v>
      </c>
      <c r="X93" s="174" t="str">
        <f t="shared" ca="1" si="227"/>
        <v>Completed</v>
      </c>
      <c r="Y93" s="174" t="str">
        <f t="shared" ca="1" si="228"/>
        <v>Completed</v>
      </c>
      <c r="Z93" s="175" t="str">
        <f t="shared" ca="1" si="229"/>
        <v>Completed</v>
      </c>
    </row>
    <row r="94" spans="1:26" s="70" customFormat="1" ht="11.5" x14ac:dyDescent="0.25">
      <c r="A94" s="102" t="s">
        <v>65</v>
      </c>
      <c r="B94" s="102" t="s">
        <v>34</v>
      </c>
      <c r="C94" s="135" t="s">
        <v>912</v>
      </c>
      <c r="D94" s="136" t="s">
        <v>914</v>
      </c>
      <c r="E94" s="137">
        <v>0.5</v>
      </c>
      <c r="F94" s="137">
        <v>0.5</v>
      </c>
      <c r="G94" s="137">
        <v>0.5</v>
      </c>
      <c r="H94" s="137">
        <v>0</v>
      </c>
      <c r="I94" s="106">
        <v>0.2</v>
      </c>
      <c r="J94" s="138">
        <v>46143</v>
      </c>
      <c r="K94" s="138">
        <v>46143</v>
      </c>
      <c r="L94" s="107">
        <v>46142</v>
      </c>
      <c r="M94" s="107">
        <v>46185</v>
      </c>
      <c r="N94" s="107">
        <v>46185</v>
      </c>
      <c r="O94" s="107">
        <v>46191</v>
      </c>
      <c r="P94" s="107">
        <v>46227</v>
      </c>
      <c r="Q94" s="107">
        <v>46227</v>
      </c>
      <c r="R94" s="108">
        <v>46202</v>
      </c>
      <c r="S94" s="107">
        <v>46241</v>
      </c>
      <c r="T94" s="107">
        <v>46241</v>
      </c>
      <c r="U94" s="138">
        <v>46209</v>
      </c>
      <c r="W94" s="174" t="str">
        <f t="shared" ca="1" si="226"/>
        <v>Completed</v>
      </c>
      <c r="X94" s="174" t="str">
        <f t="shared" ca="1" si="227"/>
        <v>Completed</v>
      </c>
      <c r="Y94" s="174" t="str">
        <f t="shared" ca="1" si="228"/>
        <v>Completed</v>
      </c>
      <c r="Z94" s="175" t="str">
        <f t="shared" ca="1" si="229"/>
        <v>Completed</v>
      </c>
    </row>
    <row r="95" spans="1:26" s="70" customFormat="1" ht="11.5" x14ac:dyDescent="0.25">
      <c r="A95" s="102" t="s">
        <v>65</v>
      </c>
      <c r="B95" s="135" t="s">
        <v>34</v>
      </c>
      <c r="C95" s="135" t="s">
        <v>913</v>
      </c>
      <c r="D95" s="136" t="s">
        <v>915</v>
      </c>
      <c r="E95" s="105">
        <v>0.5</v>
      </c>
      <c r="F95" s="105">
        <v>0.5</v>
      </c>
      <c r="G95" s="105">
        <v>0.5</v>
      </c>
      <c r="H95" s="105">
        <v>0</v>
      </c>
      <c r="I95" s="106">
        <v>0.2</v>
      </c>
      <c r="J95" s="138">
        <v>46143</v>
      </c>
      <c r="K95" s="138">
        <v>46143</v>
      </c>
      <c r="L95" s="107">
        <v>46142</v>
      </c>
      <c r="M95" s="107">
        <v>46185</v>
      </c>
      <c r="N95" s="107">
        <v>46185</v>
      </c>
      <c r="O95" s="107">
        <v>46191</v>
      </c>
      <c r="P95" s="107">
        <v>46227</v>
      </c>
      <c r="Q95" s="107">
        <v>46227</v>
      </c>
      <c r="R95" s="107"/>
      <c r="S95" s="107">
        <v>46241</v>
      </c>
      <c r="T95" s="107">
        <v>46241</v>
      </c>
      <c r="U95" s="138"/>
      <c r="W95" s="174" t="str">
        <f t="shared" ca="1" si="226"/>
        <v>Completed</v>
      </c>
      <c r="X95" s="174" t="str">
        <f t="shared" ca="1" si="227"/>
        <v>Completed</v>
      </c>
      <c r="Y95" s="174" t="str">
        <f t="shared" ca="1" si="228"/>
        <v>Overdue</v>
      </c>
      <c r="Z95" s="175" t="str">
        <f t="shared" ca="1" si="229"/>
        <v>Overdue</v>
      </c>
    </row>
    <row r="96" spans="1:26" s="70" customFormat="1" ht="11.5" x14ac:dyDescent="0.25">
      <c r="A96" s="102" t="s">
        <v>65</v>
      </c>
      <c r="B96" s="102" t="s">
        <v>34</v>
      </c>
      <c r="C96" s="135" t="s">
        <v>916</v>
      </c>
      <c r="D96" s="136" t="s">
        <v>917</v>
      </c>
      <c r="E96" s="105">
        <v>0</v>
      </c>
      <c r="F96" s="105">
        <v>0</v>
      </c>
      <c r="G96" s="105">
        <v>0.5</v>
      </c>
      <c r="H96" s="105">
        <v>0.5</v>
      </c>
      <c r="I96" s="106">
        <v>0.2</v>
      </c>
      <c r="J96" s="138">
        <v>46157</v>
      </c>
      <c r="K96" s="138">
        <v>46157</v>
      </c>
      <c r="L96" s="107">
        <v>46150</v>
      </c>
      <c r="M96" s="107">
        <v>46199</v>
      </c>
      <c r="N96" s="107">
        <v>46199</v>
      </c>
      <c r="O96" s="107">
        <v>46191</v>
      </c>
      <c r="P96" s="107">
        <v>46241</v>
      </c>
      <c r="Q96" s="107">
        <v>46241</v>
      </c>
      <c r="R96" s="108">
        <v>46204</v>
      </c>
      <c r="S96" s="107">
        <v>46255</v>
      </c>
      <c r="T96" s="107">
        <v>46255</v>
      </c>
      <c r="U96" s="138">
        <v>46223</v>
      </c>
      <c r="W96" s="174" t="str">
        <f t="shared" ca="1" si="226"/>
        <v>Completed</v>
      </c>
      <c r="X96" s="174" t="str">
        <f t="shared" ca="1" si="227"/>
        <v>Completed</v>
      </c>
      <c r="Y96" s="174" t="str">
        <f t="shared" ca="1" si="228"/>
        <v>Completed</v>
      </c>
      <c r="Z96" s="175" t="str">
        <f t="shared" ca="1" si="229"/>
        <v>Completed</v>
      </c>
    </row>
    <row r="97" spans="1:26" s="70" customFormat="1" ht="11.5" x14ac:dyDescent="0.25">
      <c r="A97" s="102" t="s">
        <v>65</v>
      </c>
      <c r="B97" s="102" t="s">
        <v>34</v>
      </c>
      <c r="C97" s="135" t="s">
        <v>930</v>
      </c>
      <c r="D97" s="136" t="s">
        <v>931</v>
      </c>
      <c r="E97" s="105">
        <v>0</v>
      </c>
      <c r="F97" s="105">
        <v>0</v>
      </c>
      <c r="G97" s="105">
        <v>0.5</v>
      </c>
      <c r="H97" s="105">
        <v>0.5</v>
      </c>
      <c r="I97" s="106">
        <v>0.5</v>
      </c>
      <c r="J97" s="138">
        <f>J50+28</f>
        <v>46213</v>
      </c>
      <c r="K97" s="138">
        <f>K50+28</f>
        <v>46213</v>
      </c>
      <c r="L97" s="107">
        <v>46171</v>
      </c>
      <c r="M97" s="107">
        <f>J97+42</f>
        <v>46255</v>
      </c>
      <c r="N97" s="107">
        <f>K97+42</f>
        <v>46255</v>
      </c>
      <c r="O97" s="107"/>
      <c r="P97" s="107">
        <f>M97+42</f>
        <v>46297</v>
      </c>
      <c r="Q97" s="107">
        <f>N97+42</f>
        <v>46297</v>
      </c>
      <c r="R97" s="107"/>
      <c r="S97" s="107">
        <f>P97+14</f>
        <v>46311</v>
      </c>
      <c r="T97" s="107">
        <f>Q97+14</f>
        <v>46311</v>
      </c>
      <c r="U97" s="138"/>
      <c r="W97" s="174" t="str">
        <f t="shared" ca="1" si="226"/>
        <v>Completed</v>
      </c>
      <c r="X97" s="174" t="str">
        <f t="shared" ca="1" si="227"/>
        <v>Follow-Next Week</v>
      </c>
      <c r="Y97" s="174" t="str">
        <f t="shared" ca="1" si="228"/>
        <v/>
      </c>
      <c r="Z97" s="175" t="str">
        <f t="shared" ca="1" si="229"/>
        <v/>
      </c>
    </row>
    <row r="98" spans="1:26" s="70" customFormat="1" ht="11.5" x14ac:dyDescent="0.25">
      <c r="A98" s="102" t="s">
        <v>65</v>
      </c>
      <c r="B98" s="102" t="s">
        <v>34</v>
      </c>
      <c r="C98" s="102" t="s">
        <v>1002</v>
      </c>
      <c r="D98" s="102" t="s">
        <v>1003</v>
      </c>
      <c r="E98" s="105">
        <v>0</v>
      </c>
      <c r="F98" s="105">
        <v>0</v>
      </c>
      <c r="G98" s="105">
        <v>0.5</v>
      </c>
      <c r="H98" s="105">
        <v>0.5</v>
      </c>
      <c r="I98" s="106"/>
      <c r="J98" s="138">
        <f>J51+28</f>
        <v>46330</v>
      </c>
      <c r="K98" s="107">
        <f>K51+28</f>
        <v>46330</v>
      </c>
      <c r="L98" s="107"/>
      <c r="M98" s="107">
        <f>J98+42</f>
        <v>46372</v>
      </c>
      <c r="N98" s="107">
        <f>N51+28</f>
        <v>46372</v>
      </c>
      <c r="O98" s="107"/>
      <c r="P98" s="107">
        <f>M98+42</f>
        <v>46414</v>
      </c>
      <c r="Q98" s="107">
        <f>Q51+28</f>
        <v>46414</v>
      </c>
      <c r="R98" s="107"/>
      <c r="S98" s="107">
        <f>P98+14</f>
        <v>46428</v>
      </c>
      <c r="T98" s="107">
        <f t="shared" ref="T98" si="264">Q98+14</f>
        <v>46428</v>
      </c>
      <c r="U98" s="138"/>
      <c r="W98" s="174" t="str">
        <f t="shared" ca="1" si="226"/>
        <v/>
      </c>
      <c r="X98" s="174" t="str">
        <f t="shared" ca="1" si="227"/>
        <v/>
      </c>
      <c r="Y98" s="174" t="str">
        <f t="shared" ca="1" si="228"/>
        <v/>
      </c>
      <c r="Z98" s="175" t="str">
        <f t="shared" ca="1" si="229"/>
        <v/>
      </c>
    </row>
    <row r="99" spans="1:26" s="70" customFormat="1" ht="11.5" x14ac:dyDescent="0.25">
      <c r="A99" s="71" t="s">
        <v>65</v>
      </c>
      <c r="B99" s="71" t="s">
        <v>34</v>
      </c>
      <c r="C99" s="71" t="s">
        <v>1029</v>
      </c>
      <c r="D99" s="71" t="s">
        <v>844</v>
      </c>
      <c r="E99" s="81">
        <f t="shared" ref="E99:E101" si="265">(COUNTIFS(J99,"&lt;="&amp;$C$1)*50%)+(COUNTIFS(M99,"&lt;="&amp;$C$1)*20%)+(COUNTIFS(P99,"&lt;="&amp;$C$1)*10%)+(COUNTIFS(S99,"&lt;="&amp;$C$1)*20%)</f>
        <v>0</v>
      </c>
      <c r="F99" s="81">
        <f t="shared" ref="F99:F101" si="266">(COUNTIFS(K99,"&lt;="&amp;$C$1)*50%)+(COUNTIFS(N99,"&lt;="&amp;$C$1)*20%)+(COUNTIFS(Q99,"&lt;="&amp;$C$1)*10%)+(COUNTIFS(T99,"&lt;="&amp;$C$1)*20%)</f>
        <v>0</v>
      </c>
      <c r="G99" s="81">
        <f t="shared" ref="G99:G101" si="267">(COUNTIFS(L99,"&lt;="&amp;$C$1)*50%)+(COUNTIFS(O99,"&lt;="&amp;$C$1)*20%)+(COUNTIFS(R99,"&lt;="&amp;$C$1)*10%)+(COUNTIFS(U99,"&lt;="&amp;$C$1)*20%)</f>
        <v>0</v>
      </c>
      <c r="H99" s="81">
        <f t="shared" ref="H99:H101" si="268">G99-E99</f>
        <v>0</v>
      </c>
      <c r="I99" s="82">
        <v>0.2</v>
      </c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W99" s="174" t="str">
        <f t="shared" ca="1" si="226"/>
        <v/>
      </c>
      <c r="X99" s="174" t="str">
        <f t="shared" ca="1" si="227"/>
        <v/>
      </c>
      <c r="Y99" s="174" t="str">
        <f t="shared" ca="1" si="228"/>
        <v/>
      </c>
      <c r="Z99" s="175" t="str">
        <f t="shared" ca="1" si="229"/>
        <v/>
      </c>
    </row>
    <row r="100" spans="1:26" s="70" customFormat="1" ht="11.5" x14ac:dyDescent="0.25">
      <c r="A100" s="71" t="s">
        <v>65</v>
      </c>
      <c r="B100" s="71" t="s">
        <v>34</v>
      </c>
      <c r="C100" s="71" t="s">
        <v>1030</v>
      </c>
      <c r="D100" s="71" t="s">
        <v>845</v>
      </c>
      <c r="E100" s="81">
        <f t="shared" si="265"/>
        <v>0</v>
      </c>
      <c r="F100" s="81">
        <f t="shared" si="266"/>
        <v>0</v>
      </c>
      <c r="G100" s="81">
        <f t="shared" si="267"/>
        <v>0</v>
      </c>
      <c r="H100" s="81">
        <f t="shared" si="268"/>
        <v>0</v>
      </c>
      <c r="I100" s="82">
        <v>0.4</v>
      </c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W100" s="174" t="str">
        <f t="shared" ca="1" si="226"/>
        <v/>
      </c>
      <c r="X100" s="174" t="str">
        <f t="shared" ca="1" si="227"/>
        <v/>
      </c>
      <c r="Y100" s="174" t="str">
        <f t="shared" ca="1" si="228"/>
        <v/>
      </c>
      <c r="Z100" s="175" t="str">
        <f t="shared" ca="1" si="229"/>
        <v/>
      </c>
    </row>
    <row r="101" spans="1:26" s="70" customFormat="1" ht="11.5" x14ac:dyDescent="0.25">
      <c r="A101" s="71" t="s">
        <v>65</v>
      </c>
      <c r="B101" s="71" t="s">
        <v>34</v>
      </c>
      <c r="C101" s="71" t="s">
        <v>1031</v>
      </c>
      <c r="D101" s="71" t="s">
        <v>846</v>
      </c>
      <c r="E101" s="81">
        <f t="shared" si="265"/>
        <v>0</v>
      </c>
      <c r="F101" s="81">
        <f t="shared" si="266"/>
        <v>0</v>
      </c>
      <c r="G101" s="81">
        <f t="shared" si="267"/>
        <v>0</v>
      </c>
      <c r="H101" s="81">
        <f t="shared" si="268"/>
        <v>0</v>
      </c>
      <c r="I101" s="82">
        <v>0.4</v>
      </c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W101" s="174" t="str">
        <f t="shared" ca="1" si="226"/>
        <v/>
      </c>
      <c r="X101" s="174" t="str">
        <f t="shared" ca="1" si="227"/>
        <v/>
      </c>
      <c r="Y101" s="174" t="str">
        <f t="shared" ca="1" si="228"/>
        <v/>
      </c>
      <c r="Z101" s="175" t="str">
        <f t="shared" ca="1" si="229"/>
        <v/>
      </c>
    </row>
    <row r="102" spans="1:26" s="70" customFormat="1" ht="11.5" x14ac:dyDescent="0.25">
      <c r="A102" s="73"/>
      <c r="B102" s="73"/>
      <c r="C102" s="77"/>
      <c r="D102" s="78"/>
      <c r="E102" s="79"/>
      <c r="F102" s="79"/>
      <c r="G102" s="79"/>
      <c r="H102" s="79"/>
      <c r="I102" s="75"/>
      <c r="J102" s="76"/>
      <c r="K102" s="76"/>
      <c r="L102" s="76"/>
      <c r="M102" s="80"/>
      <c r="N102" s="76"/>
      <c r="O102" s="76"/>
      <c r="P102" s="80"/>
      <c r="Q102" s="76"/>
      <c r="R102" s="76"/>
      <c r="S102" s="80"/>
      <c r="T102" s="76"/>
      <c r="U102" s="76"/>
      <c r="W102" s="174" t="str">
        <f t="shared" ca="1" si="226"/>
        <v/>
      </c>
      <c r="X102" s="174" t="str">
        <f t="shared" ca="1" si="227"/>
        <v/>
      </c>
      <c r="Y102" s="174" t="str">
        <f t="shared" ca="1" si="228"/>
        <v/>
      </c>
      <c r="Z102" s="175" t="str">
        <f t="shared" ca="1" si="229"/>
        <v/>
      </c>
    </row>
    <row r="103" spans="1:26" s="70" customFormat="1" ht="11.5" x14ac:dyDescent="0.25">
      <c r="A103" s="71" t="s">
        <v>68</v>
      </c>
      <c r="B103" s="87" t="s">
        <v>34</v>
      </c>
      <c r="C103" s="87" t="s">
        <v>1024</v>
      </c>
      <c r="D103" s="87" t="s">
        <v>56</v>
      </c>
      <c r="E103" s="86">
        <f t="shared" ref="E103:E174" si="269">(COUNTIFS(J103,"&lt;="&amp;$C$1)*50%)+(COUNTIFS(M103,"&lt;="&amp;$C$1)*20%)+(COUNTIFS(P103,"&lt;="&amp;$C$1)*10%)+(COUNTIFS(S103,"&lt;="&amp;$C$1)*20%)</f>
        <v>1</v>
      </c>
      <c r="F103" s="86">
        <f t="shared" ref="F103:G174" si="270">(COUNTIFS(K103,"&lt;="&amp;$C$1)*50%)+(COUNTIFS(N103,"&lt;="&amp;$C$1)*20%)+(COUNTIFS(Q103,"&lt;="&amp;$C$1)*10%)+(COUNTIFS(T103,"&lt;="&amp;$C$1)*20%)</f>
        <v>1</v>
      </c>
      <c r="G103" s="86">
        <f t="shared" si="270"/>
        <v>0.79999999999999993</v>
      </c>
      <c r="H103" s="86">
        <f t="shared" ref="H103:H174" si="271">G103-E103</f>
        <v>-0.20000000000000007</v>
      </c>
      <c r="I103" s="82">
        <v>0.2</v>
      </c>
      <c r="J103" s="85">
        <v>46115</v>
      </c>
      <c r="K103" s="85">
        <f t="shared" ref="K103:K175" si="272">J103</f>
        <v>46115</v>
      </c>
      <c r="L103" s="85">
        <v>46115</v>
      </c>
      <c r="M103" s="85">
        <f t="shared" ref="M103:M175" si="273">J103+42</f>
        <v>46157</v>
      </c>
      <c r="N103" s="85">
        <f t="shared" ref="N103:N175" si="274">M103</f>
        <v>46157</v>
      </c>
      <c r="O103" s="85">
        <v>46191</v>
      </c>
      <c r="P103" s="85">
        <f t="shared" ref="P103:P175" si="275">M103+42</f>
        <v>46199</v>
      </c>
      <c r="Q103" s="85">
        <f t="shared" ref="Q103:Q175" si="276">P103</f>
        <v>46199</v>
      </c>
      <c r="R103" s="85">
        <v>46219</v>
      </c>
      <c r="S103" s="85">
        <f t="shared" ref="S103:S175" si="277">P103+14</f>
        <v>46213</v>
      </c>
      <c r="T103" s="85">
        <f t="shared" ref="T103:T175" si="278">S103</f>
        <v>46213</v>
      </c>
      <c r="U103" s="85"/>
      <c r="W103" s="174" t="str">
        <f t="shared" ca="1" si="226"/>
        <v>Completed</v>
      </c>
      <c r="X103" s="174" t="str">
        <f t="shared" ca="1" si="227"/>
        <v>Completed</v>
      </c>
      <c r="Y103" s="174" t="str">
        <f t="shared" ca="1" si="228"/>
        <v>Completed</v>
      </c>
      <c r="Z103" s="175" t="str">
        <f t="shared" ca="1" si="229"/>
        <v>Overdue</v>
      </c>
    </row>
    <row r="104" spans="1:26" s="70" customFormat="1" ht="11.5" x14ac:dyDescent="0.25">
      <c r="A104" s="71" t="s">
        <v>68</v>
      </c>
      <c r="B104" s="87" t="s">
        <v>34</v>
      </c>
      <c r="C104" s="87" t="s">
        <v>1025</v>
      </c>
      <c r="D104" s="87" t="s">
        <v>57</v>
      </c>
      <c r="E104" s="86">
        <f t="shared" si="269"/>
        <v>1</v>
      </c>
      <c r="F104" s="86">
        <f t="shared" si="270"/>
        <v>1</v>
      </c>
      <c r="G104" s="86">
        <f t="shared" si="270"/>
        <v>1</v>
      </c>
      <c r="H104" s="86">
        <f t="shared" si="271"/>
        <v>0</v>
      </c>
      <c r="I104" s="82">
        <v>0.2</v>
      </c>
      <c r="J104" s="85">
        <v>46115</v>
      </c>
      <c r="K104" s="85">
        <f t="shared" si="272"/>
        <v>46115</v>
      </c>
      <c r="L104" s="85">
        <v>46115</v>
      </c>
      <c r="M104" s="85">
        <f t="shared" si="273"/>
        <v>46157</v>
      </c>
      <c r="N104" s="85">
        <f t="shared" si="274"/>
        <v>46157</v>
      </c>
      <c r="O104" s="146">
        <v>46171</v>
      </c>
      <c r="P104" s="85">
        <f t="shared" si="275"/>
        <v>46199</v>
      </c>
      <c r="Q104" s="85">
        <f t="shared" si="276"/>
        <v>46199</v>
      </c>
      <c r="R104" s="85">
        <v>46199</v>
      </c>
      <c r="S104" s="85">
        <f t="shared" si="277"/>
        <v>46213</v>
      </c>
      <c r="T104" s="85">
        <f t="shared" si="278"/>
        <v>46213</v>
      </c>
      <c r="U104" s="85">
        <v>46204</v>
      </c>
      <c r="W104" s="174" t="str">
        <f t="shared" ca="1" si="226"/>
        <v>Completed</v>
      </c>
      <c r="X104" s="174" t="str">
        <f t="shared" ca="1" si="227"/>
        <v>Completed</v>
      </c>
      <c r="Y104" s="174" t="str">
        <f t="shared" ca="1" si="228"/>
        <v>Completed</v>
      </c>
      <c r="Z104" s="175" t="str">
        <f t="shared" ca="1" si="229"/>
        <v>Completed</v>
      </c>
    </row>
    <row r="105" spans="1:26" s="70" customFormat="1" ht="11.5" x14ac:dyDescent="0.25">
      <c r="A105" s="71" t="s">
        <v>68</v>
      </c>
      <c r="B105" s="87" t="s">
        <v>34</v>
      </c>
      <c r="C105" s="87" t="s">
        <v>1026</v>
      </c>
      <c r="D105" s="87" t="s">
        <v>58</v>
      </c>
      <c r="E105" s="86">
        <f t="shared" si="269"/>
        <v>1</v>
      </c>
      <c r="F105" s="86">
        <f t="shared" si="270"/>
        <v>1</v>
      </c>
      <c r="G105" s="86">
        <f t="shared" si="270"/>
        <v>1</v>
      </c>
      <c r="H105" s="86">
        <f t="shared" si="271"/>
        <v>0</v>
      </c>
      <c r="I105" s="82">
        <v>0.2</v>
      </c>
      <c r="J105" s="85">
        <v>46115</v>
      </c>
      <c r="K105" s="85">
        <f t="shared" si="272"/>
        <v>46115</v>
      </c>
      <c r="L105" s="85">
        <v>46115</v>
      </c>
      <c r="M105" s="85">
        <f t="shared" si="273"/>
        <v>46157</v>
      </c>
      <c r="N105" s="85">
        <f t="shared" si="274"/>
        <v>46157</v>
      </c>
      <c r="O105" s="146">
        <v>46171</v>
      </c>
      <c r="P105" s="85">
        <f t="shared" si="275"/>
        <v>46199</v>
      </c>
      <c r="Q105" s="85">
        <f t="shared" si="276"/>
        <v>46199</v>
      </c>
      <c r="R105" s="85">
        <v>46219</v>
      </c>
      <c r="S105" s="85">
        <f t="shared" si="277"/>
        <v>46213</v>
      </c>
      <c r="T105" s="85">
        <f t="shared" si="278"/>
        <v>46213</v>
      </c>
      <c r="U105" s="85">
        <v>46233</v>
      </c>
      <c r="W105" s="174" t="str">
        <f t="shared" ca="1" si="226"/>
        <v>Completed</v>
      </c>
      <c r="X105" s="174" t="str">
        <f t="shared" ca="1" si="227"/>
        <v>Completed</v>
      </c>
      <c r="Y105" s="174" t="str">
        <f t="shared" ca="1" si="228"/>
        <v>Completed</v>
      </c>
      <c r="Z105" s="175" t="str">
        <f t="shared" ca="1" si="229"/>
        <v>Completed</v>
      </c>
    </row>
    <row r="106" spans="1:26" s="70" customFormat="1" ht="11.5" x14ac:dyDescent="0.25">
      <c r="A106" s="71" t="s">
        <v>68</v>
      </c>
      <c r="B106" s="87" t="s">
        <v>34</v>
      </c>
      <c r="C106" s="87" t="s">
        <v>1027</v>
      </c>
      <c r="D106" s="87" t="s">
        <v>59</v>
      </c>
      <c r="E106" s="86">
        <f t="shared" si="269"/>
        <v>1</v>
      </c>
      <c r="F106" s="86">
        <f t="shared" si="270"/>
        <v>1</v>
      </c>
      <c r="G106" s="86">
        <f t="shared" si="270"/>
        <v>0.7</v>
      </c>
      <c r="H106" s="86">
        <f t="shared" si="271"/>
        <v>-0.30000000000000004</v>
      </c>
      <c r="I106" s="82">
        <v>0.2</v>
      </c>
      <c r="J106" s="85">
        <v>46115</v>
      </c>
      <c r="K106" s="85">
        <f t="shared" si="272"/>
        <v>46115</v>
      </c>
      <c r="L106" s="85">
        <v>46115</v>
      </c>
      <c r="M106" s="85">
        <f t="shared" si="273"/>
        <v>46157</v>
      </c>
      <c r="N106" s="85">
        <f t="shared" si="274"/>
        <v>46157</v>
      </c>
      <c r="O106" s="146">
        <v>46171</v>
      </c>
      <c r="P106" s="85">
        <f t="shared" si="275"/>
        <v>46199</v>
      </c>
      <c r="Q106" s="85">
        <f t="shared" si="276"/>
        <v>46199</v>
      </c>
      <c r="R106" s="85"/>
      <c r="S106" s="85">
        <f t="shared" si="277"/>
        <v>46213</v>
      </c>
      <c r="T106" s="85">
        <f t="shared" si="278"/>
        <v>46213</v>
      </c>
      <c r="U106" s="85"/>
      <c r="W106" s="174" t="str">
        <f t="shared" ca="1" si="226"/>
        <v>Completed</v>
      </c>
      <c r="X106" s="174" t="str">
        <f t="shared" ca="1" si="227"/>
        <v>Completed</v>
      </c>
      <c r="Y106" s="174" t="str">
        <f t="shared" ca="1" si="228"/>
        <v>Overdue</v>
      </c>
      <c r="Z106" s="175" t="str">
        <f t="shared" ca="1" si="229"/>
        <v>Overdue</v>
      </c>
    </row>
    <row r="107" spans="1:26" s="70" customFormat="1" ht="11.5" x14ac:dyDescent="0.25">
      <c r="A107" s="71" t="s">
        <v>68</v>
      </c>
      <c r="B107" s="87" t="s">
        <v>34</v>
      </c>
      <c r="C107" s="87" t="s">
        <v>1028</v>
      </c>
      <c r="D107" s="87" t="s">
        <v>60</v>
      </c>
      <c r="E107" s="86">
        <f t="shared" si="269"/>
        <v>1</v>
      </c>
      <c r="F107" s="86">
        <f t="shared" si="270"/>
        <v>1</v>
      </c>
      <c r="G107" s="86">
        <f t="shared" si="270"/>
        <v>1</v>
      </c>
      <c r="H107" s="86">
        <f t="shared" si="271"/>
        <v>0</v>
      </c>
      <c r="I107" s="82">
        <v>0.2</v>
      </c>
      <c r="J107" s="85">
        <v>46115</v>
      </c>
      <c r="K107" s="85">
        <f t="shared" si="272"/>
        <v>46115</v>
      </c>
      <c r="L107" s="85">
        <v>46115</v>
      </c>
      <c r="M107" s="85">
        <f t="shared" si="273"/>
        <v>46157</v>
      </c>
      <c r="N107" s="85">
        <f t="shared" si="274"/>
        <v>46157</v>
      </c>
      <c r="O107" s="85">
        <v>46199</v>
      </c>
      <c r="P107" s="85">
        <f t="shared" si="275"/>
        <v>46199</v>
      </c>
      <c r="Q107" s="85">
        <f t="shared" si="276"/>
        <v>46199</v>
      </c>
      <c r="R107" s="85">
        <v>46204</v>
      </c>
      <c r="S107" s="85">
        <f t="shared" si="277"/>
        <v>46213</v>
      </c>
      <c r="T107" s="85">
        <f t="shared" si="278"/>
        <v>46213</v>
      </c>
      <c r="U107" s="85">
        <v>46213</v>
      </c>
      <c r="W107" s="174" t="str">
        <f t="shared" ca="1" si="226"/>
        <v>Completed</v>
      </c>
      <c r="X107" s="174" t="str">
        <f t="shared" ca="1" si="227"/>
        <v>Completed</v>
      </c>
      <c r="Y107" s="174" t="str">
        <f t="shared" ca="1" si="228"/>
        <v>Completed</v>
      </c>
      <c r="Z107" s="175" t="str">
        <f t="shared" ca="1" si="229"/>
        <v>Completed</v>
      </c>
    </row>
    <row r="108" spans="1:26" s="70" customFormat="1" ht="11.5" x14ac:dyDescent="0.25">
      <c r="A108" s="112" t="s">
        <v>68</v>
      </c>
      <c r="B108" s="118" t="s">
        <v>34</v>
      </c>
      <c r="C108" s="118" t="s">
        <v>155</v>
      </c>
      <c r="D108" s="118" t="s">
        <v>156</v>
      </c>
      <c r="E108" s="119">
        <f t="shared" si="269"/>
        <v>0.7</v>
      </c>
      <c r="F108" s="119">
        <f t="shared" si="270"/>
        <v>0.7</v>
      </c>
      <c r="G108" s="119">
        <f t="shared" si="270"/>
        <v>0.5</v>
      </c>
      <c r="H108" s="119">
        <f t="shared" si="271"/>
        <v>-0.19999999999999996</v>
      </c>
      <c r="I108" s="114">
        <v>0.5</v>
      </c>
      <c r="J108" s="115">
        <f>J61+28</f>
        <v>46178</v>
      </c>
      <c r="K108" s="115">
        <f t="shared" si="272"/>
        <v>46178</v>
      </c>
      <c r="L108" s="144">
        <v>46161</v>
      </c>
      <c r="M108" s="115">
        <f t="shared" si="273"/>
        <v>46220</v>
      </c>
      <c r="N108" s="115">
        <f t="shared" si="274"/>
        <v>46220</v>
      </c>
      <c r="O108" s="116"/>
      <c r="P108" s="115">
        <f t="shared" si="275"/>
        <v>46262</v>
      </c>
      <c r="Q108" s="115">
        <f t="shared" si="276"/>
        <v>46262</v>
      </c>
      <c r="R108" s="115"/>
      <c r="S108" s="115">
        <f t="shared" si="277"/>
        <v>46276</v>
      </c>
      <c r="T108" s="115">
        <f t="shared" si="278"/>
        <v>46276</v>
      </c>
      <c r="U108" s="115"/>
      <c r="W108" s="174" t="str">
        <f t="shared" ca="1" si="226"/>
        <v>Completed</v>
      </c>
      <c r="X108" s="174" t="str">
        <f t="shared" ca="1" si="227"/>
        <v>Overdue</v>
      </c>
      <c r="Y108" s="174" t="str">
        <f t="shared" ca="1" si="228"/>
        <v/>
      </c>
      <c r="Z108" s="175" t="str">
        <f t="shared" ca="1" si="229"/>
        <v/>
      </c>
    </row>
    <row r="109" spans="1:26" s="70" customFormat="1" ht="11.5" x14ac:dyDescent="0.25">
      <c r="A109" s="112" t="s">
        <v>68</v>
      </c>
      <c r="B109" s="118" t="s">
        <v>34</v>
      </c>
      <c r="C109" s="118" t="s">
        <v>157</v>
      </c>
      <c r="D109" s="118" t="s">
        <v>158</v>
      </c>
      <c r="E109" s="119">
        <f t="shared" si="269"/>
        <v>0.7</v>
      </c>
      <c r="F109" s="119">
        <f t="shared" si="270"/>
        <v>0.7</v>
      </c>
      <c r="G109" s="119">
        <f t="shared" si="270"/>
        <v>0.7</v>
      </c>
      <c r="H109" s="119">
        <f t="shared" si="271"/>
        <v>0</v>
      </c>
      <c r="I109" s="114">
        <v>0.5</v>
      </c>
      <c r="J109" s="115">
        <f t="shared" ref="J109:J118" si="279">J63+28</f>
        <v>46192</v>
      </c>
      <c r="K109" s="115">
        <f t="shared" si="272"/>
        <v>46192</v>
      </c>
      <c r="L109" s="116">
        <v>46202</v>
      </c>
      <c r="M109" s="115">
        <f t="shared" si="273"/>
        <v>46234</v>
      </c>
      <c r="N109" s="115">
        <f t="shared" si="274"/>
        <v>46234</v>
      </c>
      <c r="O109" s="193">
        <v>46248</v>
      </c>
      <c r="P109" s="115">
        <f t="shared" si="275"/>
        <v>46276</v>
      </c>
      <c r="Q109" s="115">
        <f t="shared" si="276"/>
        <v>46276</v>
      </c>
      <c r="R109" s="115"/>
      <c r="S109" s="115">
        <f t="shared" si="277"/>
        <v>46290</v>
      </c>
      <c r="T109" s="115">
        <f t="shared" si="278"/>
        <v>46290</v>
      </c>
      <c r="U109" s="115"/>
      <c r="W109" s="174" t="str">
        <f t="shared" ca="1" si="226"/>
        <v>Completed</v>
      </c>
      <c r="X109" s="174" t="str">
        <f t="shared" ca="1" si="227"/>
        <v>Completed</v>
      </c>
      <c r="Y109" s="174" t="str">
        <f t="shared" ca="1" si="228"/>
        <v/>
      </c>
      <c r="Z109" s="175" t="str">
        <f t="shared" ca="1" si="229"/>
        <v/>
      </c>
    </row>
    <row r="110" spans="1:26" s="70" customFormat="1" ht="11.5" x14ac:dyDescent="0.25">
      <c r="A110" s="112" t="s">
        <v>68</v>
      </c>
      <c r="B110" s="118" t="s">
        <v>34</v>
      </c>
      <c r="C110" s="118" t="s">
        <v>159</v>
      </c>
      <c r="D110" s="118" t="s">
        <v>160</v>
      </c>
      <c r="E110" s="119">
        <f t="shared" si="269"/>
        <v>0.7</v>
      </c>
      <c r="F110" s="119">
        <f t="shared" si="270"/>
        <v>0.7</v>
      </c>
      <c r="G110" s="119">
        <f t="shared" si="270"/>
        <v>0.7</v>
      </c>
      <c r="H110" s="119">
        <f t="shared" si="271"/>
        <v>0</v>
      </c>
      <c r="I110" s="114">
        <v>0.5</v>
      </c>
      <c r="J110" s="115">
        <f t="shared" si="279"/>
        <v>46199</v>
      </c>
      <c r="K110" s="115">
        <f t="shared" si="272"/>
        <v>46199</v>
      </c>
      <c r="L110" s="115">
        <v>46175</v>
      </c>
      <c r="M110" s="115">
        <f t="shared" si="273"/>
        <v>46241</v>
      </c>
      <c r="N110" s="115">
        <f t="shared" si="274"/>
        <v>46241</v>
      </c>
      <c r="O110" s="115">
        <v>46241</v>
      </c>
      <c r="P110" s="115">
        <f t="shared" si="275"/>
        <v>46283</v>
      </c>
      <c r="Q110" s="115">
        <f t="shared" si="276"/>
        <v>46283</v>
      </c>
      <c r="R110" s="115"/>
      <c r="S110" s="115">
        <f t="shared" si="277"/>
        <v>46297</v>
      </c>
      <c r="T110" s="115">
        <f t="shared" si="278"/>
        <v>46297</v>
      </c>
      <c r="U110" s="115"/>
      <c r="W110" s="174" t="str">
        <f t="shared" ca="1" si="226"/>
        <v>Completed</v>
      </c>
      <c r="X110" s="174" t="str">
        <f t="shared" ca="1" si="227"/>
        <v>Completed</v>
      </c>
      <c r="Y110" s="174" t="str">
        <f t="shared" ca="1" si="228"/>
        <v/>
      </c>
      <c r="Z110" s="175" t="str">
        <f t="shared" ca="1" si="229"/>
        <v/>
      </c>
    </row>
    <row r="111" spans="1:26" s="70" customFormat="1" ht="11.5" x14ac:dyDescent="0.25">
      <c r="A111" s="112" t="s">
        <v>68</v>
      </c>
      <c r="B111" s="118" t="s">
        <v>34</v>
      </c>
      <c r="C111" s="118" t="s">
        <v>161</v>
      </c>
      <c r="D111" s="118" t="s">
        <v>162</v>
      </c>
      <c r="E111" s="119">
        <f t="shared" si="269"/>
        <v>0.7</v>
      </c>
      <c r="F111" s="119">
        <f t="shared" si="270"/>
        <v>0.7</v>
      </c>
      <c r="G111" s="119">
        <f t="shared" si="270"/>
        <v>0.7</v>
      </c>
      <c r="H111" s="119">
        <f t="shared" si="271"/>
        <v>0</v>
      </c>
      <c r="I111" s="114">
        <v>0.5</v>
      </c>
      <c r="J111" s="115">
        <f t="shared" si="279"/>
        <v>46206</v>
      </c>
      <c r="K111" s="115">
        <f t="shared" si="272"/>
        <v>46206</v>
      </c>
      <c r="L111" s="144">
        <v>46161</v>
      </c>
      <c r="M111" s="116">
        <f t="shared" si="273"/>
        <v>46248</v>
      </c>
      <c r="N111" s="115">
        <f t="shared" si="274"/>
        <v>46248</v>
      </c>
      <c r="O111" s="115">
        <v>46241</v>
      </c>
      <c r="P111" s="115">
        <f t="shared" si="275"/>
        <v>46290</v>
      </c>
      <c r="Q111" s="115">
        <f t="shared" si="276"/>
        <v>46290</v>
      </c>
      <c r="R111" s="115"/>
      <c r="S111" s="115">
        <f t="shared" si="277"/>
        <v>46304</v>
      </c>
      <c r="T111" s="115">
        <f t="shared" si="278"/>
        <v>46304</v>
      </c>
      <c r="U111" s="115"/>
      <c r="W111" s="174" t="str">
        <f t="shared" ca="1" si="226"/>
        <v>Completed</v>
      </c>
      <c r="X111" s="174" t="str">
        <f t="shared" ca="1" si="227"/>
        <v>Completed</v>
      </c>
      <c r="Y111" s="174" t="str">
        <f t="shared" ca="1" si="228"/>
        <v/>
      </c>
      <c r="Z111" s="175" t="str">
        <f t="shared" ca="1" si="229"/>
        <v/>
      </c>
    </row>
    <row r="112" spans="1:26" s="70" customFormat="1" ht="11.5" x14ac:dyDescent="0.25">
      <c r="A112" s="112" t="s">
        <v>68</v>
      </c>
      <c r="B112" s="118" t="s">
        <v>34</v>
      </c>
      <c r="C112" s="118" t="s">
        <v>163</v>
      </c>
      <c r="D112" s="118" t="s">
        <v>164</v>
      </c>
      <c r="E112" s="119">
        <f t="shared" si="269"/>
        <v>0.5</v>
      </c>
      <c r="F112" s="119">
        <f t="shared" si="270"/>
        <v>0.5</v>
      </c>
      <c r="G112" s="119">
        <f t="shared" si="270"/>
        <v>0.5</v>
      </c>
      <c r="H112" s="119">
        <f t="shared" si="271"/>
        <v>0</v>
      </c>
      <c r="I112" s="114">
        <v>0.5</v>
      </c>
      <c r="J112" s="115">
        <f t="shared" si="279"/>
        <v>46220</v>
      </c>
      <c r="K112" s="115">
        <f t="shared" si="272"/>
        <v>46220</v>
      </c>
      <c r="L112" s="144">
        <v>46161</v>
      </c>
      <c r="M112" s="115">
        <f t="shared" si="273"/>
        <v>46262</v>
      </c>
      <c r="N112" s="115">
        <f t="shared" si="274"/>
        <v>46262</v>
      </c>
      <c r="O112" s="116"/>
      <c r="P112" s="115">
        <f t="shared" si="275"/>
        <v>46304</v>
      </c>
      <c r="Q112" s="115">
        <f t="shared" si="276"/>
        <v>46304</v>
      </c>
      <c r="R112" s="115"/>
      <c r="S112" s="115">
        <f t="shared" si="277"/>
        <v>46318</v>
      </c>
      <c r="T112" s="115">
        <f t="shared" si="278"/>
        <v>46318</v>
      </c>
      <c r="U112" s="115"/>
      <c r="W112" s="174" t="str">
        <f t="shared" ca="1" si="226"/>
        <v>Completed</v>
      </c>
      <c r="X112" s="174" t="str">
        <f t="shared" ca="1" si="227"/>
        <v/>
      </c>
      <c r="Y112" s="174" t="str">
        <f t="shared" ca="1" si="228"/>
        <v/>
      </c>
      <c r="Z112" s="175" t="str">
        <f t="shared" ca="1" si="229"/>
        <v/>
      </c>
    </row>
    <row r="113" spans="1:26" s="70" customFormat="1" ht="11.5" x14ac:dyDescent="0.25">
      <c r="A113" s="112" t="s">
        <v>68</v>
      </c>
      <c r="B113" s="112" t="s">
        <v>34</v>
      </c>
      <c r="C113" s="112" t="s">
        <v>165</v>
      </c>
      <c r="D113" s="112" t="s">
        <v>166</v>
      </c>
      <c r="E113" s="113">
        <f t="shared" si="269"/>
        <v>0.5</v>
      </c>
      <c r="F113" s="113">
        <f t="shared" si="270"/>
        <v>0.5</v>
      </c>
      <c r="G113" s="113">
        <f t="shared" si="270"/>
        <v>0.5</v>
      </c>
      <c r="H113" s="119">
        <f t="shared" si="271"/>
        <v>0</v>
      </c>
      <c r="I113" s="120">
        <v>0.5</v>
      </c>
      <c r="J113" s="115">
        <f t="shared" si="279"/>
        <v>46234</v>
      </c>
      <c r="K113" s="115">
        <f t="shared" si="272"/>
        <v>46234</v>
      </c>
      <c r="L113" s="116">
        <v>46237</v>
      </c>
      <c r="M113" s="115">
        <f t="shared" si="273"/>
        <v>46276</v>
      </c>
      <c r="N113" s="115">
        <f t="shared" si="274"/>
        <v>46276</v>
      </c>
      <c r="O113" s="116"/>
      <c r="P113" s="115">
        <f t="shared" si="275"/>
        <v>46318</v>
      </c>
      <c r="Q113" s="115">
        <f t="shared" si="276"/>
        <v>46318</v>
      </c>
      <c r="R113" s="115"/>
      <c r="S113" s="115">
        <f t="shared" si="277"/>
        <v>46332</v>
      </c>
      <c r="T113" s="115">
        <f t="shared" si="278"/>
        <v>46332</v>
      </c>
      <c r="U113" s="115"/>
      <c r="W113" s="174" t="str">
        <f t="shared" ca="1" si="226"/>
        <v>Completed</v>
      </c>
      <c r="X113" s="174" t="str">
        <f t="shared" ca="1" si="227"/>
        <v/>
      </c>
      <c r="Y113" s="174" t="str">
        <f t="shared" ca="1" si="228"/>
        <v/>
      </c>
      <c r="Z113" s="175" t="str">
        <f t="shared" ca="1" si="229"/>
        <v/>
      </c>
    </row>
    <row r="114" spans="1:26" s="70" customFormat="1" ht="11.5" x14ac:dyDescent="0.25">
      <c r="A114" s="112" t="s">
        <v>68</v>
      </c>
      <c r="B114" s="112" t="s">
        <v>34</v>
      </c>
      <c r="C114" s="112" t="s">
        <v>167</v>
      </c>
      <c r="D114" s="112" t="s">
        <v>168</v>
      </c>
      <c r="E114" s="113">
        <f t="shared" si="269"/>
        <v>0.5</v>
      </c>
      <c r="F114" s="113">
        <f t="shared" si="270"/>
        <v>0.5</v>
      </c>
      <c r="G114" s="113">
        <f t="shared" si="270"/>
        <v>0.7</v>
      </c>
      <c r="H114" s="119">
        <f t="shared" si="271"/>
        <v>0.19999999999999996</v>
      </c>
      <c r="I114" s="120">
        <v>0.5</v>
      </c>
      <c r="J114" s="115">
        <f t="shared" si="279"/>
        <v>46248</v>
      </c>
      <c r="K114" s="115">
        <f t="shared" si="272"/>
        <v>46248</v>
      </c>
      <c r="L114" s="115">
        <v>46227</v>
      </c>
      <c r="M114" s="115">
        <f t="shared" si="273"/>
        <v>46290</v>
      </c>
      <c r="N114" s="115">
        <f t="shared" si="274"/>
        <v>46290</v>
      </c>
      <c r="O114" s="193">
        <v>46248</v>
      </c>
      <c r="P114" s="115">
        <f t="shared" si="275"/>
        <v>46332</v>
      </c>
      <c r="Q114" s="115">
        <f t="shared" si="276"/>
        <v>46332</v>
      </c>
      <c r="R114" s="115"/>
      <c r="S114" s="115">
        <f t="shared" si="277"/>
        <v>46346</v>
      </c>
      <c r="T114" s="115">
        <f t="shared" si="278"/>
        <v>46346</v>
      </c>
      <c r="U114" s="115"/>
      <c r="W114" s="174" t="str">
        <f t="shared" ca="1" si="226"/>
        <v>Completed</v>
      </c>
      <c r="X114" s="174" t="str">
        <f t="shared" ca="1" si="227"/>
        <v>Completed</v>
      </c>
      <c r="Y114" s="174" t="str">
        <f t="shared" ca="1" si="228"/>
        <v/>
      </c>
      <c r="Z114" s="175" t="str">
        <f t="shared" ca="1" si="229"/>
        <v/>
      </c>
    </row>
    <row r="115" spans="1:26" s="70" customFormat="1" ht="11.5" x14ac:dyDescent="0.25">
      <c r="A115" s="112" t="s">
        <v>68</v>
      </c>
      <c r="B115" s="112" t="s">
        <v>34</v>
      </c>
      <c r="C115" s="112" t="s">
        <v>169</v>
      </c>
      <c r="D115" s="112" t="s">
        <v>170</v>
      </c>
      <c r="E115" s="113">
        <f t="shared" si="269"/>
        <v>0.5</v>
      </c>
      <c r="F115" s="113">
        <f t="shared" si="270"/>
        <v>0.5</v>
      </c>
      <c r="G115" s="113">
        <f t="shared" si="270"/>
        <v>0.7</v>
      </c>
      <c r="H115" s="119">
        <f t="shared" si="271"/>
        <v>0.19999999999999996</v>
      </c>
      <c r="I115" s="120">
        <v>0.5</v>
      </c>
      <c r="J115" s="115">
        <f t="shared" si="279"/>
        <v>46213</v>
      </c>
      <c r="K115" s="115">
        <f t="shared" si="272"/>
        <v>46213</v>
      </c>
      <c r="L115" s="116">
        <v>46237</v>
      </c>
      <c r="M115" s="115">
        <f t="shared" si="273"/>
        <v>46255</v>
      </c>
      <c r="N115" s="115">
        <f t="shared" si="274"/>
        <v>46255</v>
      </c>
      <c r="O115" s="193">
        <v>46248</v>
      </c>
      <c r="P115" s="115">
        <f t="shared" si="275"/>
        <v>46297</v>
      </c>
      <c r="Q115" s="115">
        <f t="shared" si="276"/>
        <v>46297</v>
      </c>
      <c r="R115" s="115"/>
      <c r="S115" s="115">
        <f t="shared" si="277"/>
        <v>46311</v>
      </c>
      <c r="T115" s="115">
        <f t="shared" si="278"/>
        <v>46311</v>
      </c>
      <c r="U115" s="115"/>
      <c r="W115" s="174" t="str">
        <f t="shared" ca="1" si="226"/>
        <v>Completed</v>
      </c>
      <c r="X115" s="174" t="str">
        <f t="shared" ca="1" si="227"/>
        <v>Completed</v>
      </c>
      <c r="Y115" s="174" t="str">
        <f t="shared" ca="1" si="228"/>
        <v/>
      </c>
      <c r="Z115" s="175" t="str">
        <f t="shared" ca="1" si="229"/>
        <v/>
      </c>
    </row>
    <row r="116" spans="1:26" s="70" customFormat="1" ht="11.5" x14ac:dyDescent="0.25">
      <c r="A116" s="112" t="s">
        <v>68</v>
      </c>
      <c r="B116" s="112" t="s">
        <v>34</v>
      </c>
      <c r="C116" s="112" t="s">
        <v>171</v>
      </c>
      <c r="D116" s="112" t="s">
        <v>172</v>
      </c>
      <c r="E116" s="113">
        <f t="shared" si="269"/>
        <v>0.5</v>
      </c>
      <c r="F116" s="113">
        <f t="shared" si="270"/>
        <v>0.5</v>
      </c>
      <c r="G116" s="113">
        <f t="shared" si="270"/>
        <v>0.5</v>
      </c>
      <c r="H116" s="119">
        <f t="shared" si="271"/>
        <v>0</v>
      </c>
      <c r="I116" s="120">
        <v>0.75</v>
      </c>
      <c r="J116" s="115">
        <f t="shared" si="279"/>
        <v>46244</v>
      </c>
      <c r="K116" s="115">
        <f t="shared" si="272"/>
        <v>46244</v>
      </c>
      <c r="L116" s="115">
        <v>46226</v>
      </c>
      <c r="M116" s="115">
        <f t="shared" si="273"/>
        <v>46286</v>
      </c>
      <c r="N116" s="115">
        <f t="shared" si="274"/>
        <v>46286</v>
      </c>
      <c r="O116" s="115"/>
      <c r="P116" s="115">
        <f t="shared" si="275"/>
        <v>46328</v>
      </c>
      <c r="Q116" s="115">
        <f t="shared" si="276"/>
        <v>46328</v>
      </c>
      <c r="R116" s="115"/>
      <c r="S116" s="115">
        <f t="shared" si="277"/>
        <v>46342</v>
      </c>
      <c r="T116" s="115">
        <f t="shared" si="278"/>
        <v>46342</v>
      </c>
      <c r="U116" s="115"/>
      <c r="W116" s="174" t="str">
        <f t="shared" ca="1" si="226"/>
        <v>Completed</v>
      </c>
      <c r="X116" s="174" t="str">
        <f t="shared" ca="1" si="227"/>
        <v/>
      </c>
      <c r="Y116" s="174" t="str">
        <f t="shared" ca="1" si="228"/>
        <v/>
      </c>
      <c r="Z116" s="175" t="str">
        <f t="shared" ca="1" si="229"/>
        <v/>
      </c>
    </row>
    <row r="117" spans="1:26" s="70" customFormat="1" ht="11.5" x14ac:dyDescent="0.25">
      <c r="A117" s="112" t="s">
        <v>68</v>
      </c>
      <c r="B117" s="112" t="s">
        <v>34</v>
      </c>
      <c r="C117" s="112" t="s">
        <v>173</v>
      </c>
      <c r="D117" s="112" t="s">
        <v>174</v>
      </c>
      <c r="E117" s="113">
        <f t="shared" si="269"/>
        <v>0</v>
      </c>
      <c r="F117" s="113">
        <f t="shared" si="270"/>
        <v>0</v>
      </c>
      <c r="G117" s="113">
        <f t="shared" si="270"/>
        <v>0</v>
      </c>
      <c r="H117" s="119">
        <f t="shared" si="271"/>
        <v>0</v>
      </c>
      <c r="I117" s="120">
        <v>0.5</v>
      </c>
      <c r="J117" s="115">
        <f t="shared" si="279"/>
        <v>46262</v>
      </c>
      <c r="K117" s="115">
        <f t="shared" si="272"/>
        <v>46262</v>
      </c>
      <c r="L117" s="115"/>
      <c r="M117" s="115">
        <f t="shared" si="273"/>
        <v>46304</v>
      </c>
      <c r="N117" s="115">
        <f t="shared" si="274"/>
        <v>46304</v>
      </c>
      <c r="O117" s="115"/>
      <c r="P117" s="115">
        <f t="shared" si="275"/>
        <v>46346</v>
      </c>
      <c r="Q117" s="115">
        <f t="shared" si="276"/>
        <v>46346</v>
      </c>
      <c r="R117" s="115"/>
      <c r="S117" s="115">
        <f t="shared" si="277"/>
        <v>46360</v>
      </c>
      <c r="T117" s="115">
        <f t="shared" si="278"/>
        <v>46360</v>
      </c>
      <c r="U117" s="115"/>
      <c r="W117" s="174" t="str">
        <f t="shared" ca="1" si="226"/>
        <v/>
      </c>
      <c r="X117" s="174" t="str">
        <f t="shared" ca="1" si="227"/>
        <v/>
      </c>
      <c r="Y117" s="174" t="str">
        <f t="shared" ca="1" si="228"/>
        <v/>
      </c>
      <c r="Z117" s="175" t="str">
        <f t="shared" ca="1" si="229"/>
        <v/>
      </c>
    </row>
    <row r="118" spans="1:26" s="70" customFormat="1" ht="11.5" x14ac:dyDescent="0.25">
      <c r="A118" s="112" t="s">
        <v>68</v>
      </c>
      <c r="B118" s="112" t="s">
        <v>34</v>
      </c>
      <c r="C118" s="112" t="s">
        <v>175</v>
      </c>
      <c r="D118" s="112" t="s">
        <v>176</v>
      </c>
      <c r="E118" s="113">
        <f t="shared" si="269"/>
        <v>0.7</v>
      </c>
      <c r="F118" s="113">
        <f t="shared" si="270"/>
        <v>0.7</v>
      </c>
      <c r="G118" s="113">
        <f t="shared" si="270"/>
        <v>0</v>
      </c>
      <c r="H118" s="119">
        <f t="shared" si="271"/>
        <v>-0.7</v>
      </c>
      <c r="I118" s="120">
        <v>0.5</v>
      </c>
      <c r="J118" s="115">
        <f t="shared" si="279"/>
        <v>46206</v>
      </c>
      <c r="K118" s="115">
        <f t="shared" si="272"/>
        <v>46206</v>
      </c>
      <c r="L118" s="115"/>
      <c r="M118" s="115">
        <f t="shared" si="273"/>
        <v>46248</v>
      </c>
      <c r="N118" s="115">
        <f t="shared" si="274"/>
        <v>46248</v>
      </c>
      <c r="O118" s="115"/>
      <c r="P118" s="115">
        <f t="shared" si="275"/>
        <v>46290</v>
      </c>
      <c r="Q118" s="115">
        <f t="shared" si="276"/>
        <v>46290</v>
      </c>
      <c r="R118" s="115"/>
      <c r="S118" s="115">
        <f t="shared" si="277"/>
        <v>46304</v>
      </c>
      <c r="T118" s="115">
        <f t="shared" si="278"/>
        <v>46304</v>
      </c>
      <c r="U118" s="115"/>
      <c r="W118" s="174" t="str">
        <f t="shared" ca="1" si="226"/>
        <v>Overdue</v>
      </c>
      <c r="X118" s="174" t="str">
        <f t="shared" ca="1" si="227"/>
        <v>Overdue</v>
      </c>
      <c r="Y118" s="174" t="str">
        <f t="shared" ca="1" si="228"/>
        <v/>
      </c>
      <c r="Z118" s="175" t="str">
        <f t="shared" ca="1" si="229"/>
        <v/>
      </c>
    </row>
    <row r="119" spans="1:26" s="70" customFormat="1" ht="11.5" x14ac:dyDescent="0.25">
      <c r="A119" s="112" t="s">
        <v>68</v>
      </c>
      <c r="B119" s="112" t="s">
        <v>34</v>
      </c>
      <c r="C119" s="112" t="s">
        <v>177</v>
      </c>
      <c r="D119" s="112" t="s">
        <v>178</v>
      </c>
      <c r="E119" s="113">
        <f t="shared" si="269"/>
        <v>0.5</v>
      </c>
      <c r="F119" s="113">
        <f t="shared" si="270"/>
        <v>0.5</v>
      </c>
      <c r="G119" s="113">
        <f t="shared" si="270"/>
        <v>0.5</v>
      </c>
      <c r="H119" s="113">
        <f t="shared" si="271"/>
        <v>0</v>
      </c>
      <c r="I119" s="114">
        <v>0.5</v>
      </c>
      <c r="J119" s="115">
        <f t="shared" ref="J119:J128" si="280">J74+28</f>
        <v>46213</v>
      </c>
      <c r="K119" s="115">
        <f t="shared" si="272"/>
        <v>46213</v>
      </c>
      <c r="L119" s="193">
        <v>46248</v>
      </c>
      <c r="M119" s="115">
        <f t="shared" si="273"/>
        <v>46255</v>
      </c>
      <c r="N119" s="115">
        <f t="shared" si="274"/>
        <v>46255</v>
      </c>
      <c r="O119" s="115"/>
      <c r="P119" s="115">
        <f t="shared" si="275"/>
        <v>46297</v>
      </c>
      <c r="Q119" s="115">
        <f t="shared" si="276"/>
        <v>46297</v>
      </c>
      <c r="R119" s="115"/>
      <c r="S119" s="115">
        <f t="shared" si="277"/>
        <v>46311</v>
      </c>
      <c r="T119" s="115">
        <f t="shared" si="278"/>
        <v>46311</v>
      </c>
      <c r="U119" s="115"/>
      <c r="W119" s="174" t="str">
        <f t="shared" ca="1" si="226"/>
        <v>Completed</v>
      </c>
      <c r="X119" s="174" t="str">
        <f t="shared" ca="1" si="227"/>
        <v>Follow-Next Week</v>
      </c>
      <c r="Y119" s="174" t="str">
        <f t="shared" ca="1" si="228"/>
        <v/>
      </c>
      <c r="Z119" s="175" t="str">
        <f t="shared" ca="1" si="229"/>
        <v/>
      </c>
    </row>
    <row r="120" spans="1:26" s="70" customFormat="1" ht="11.5" x14ac:dyDescent="0.25">
      <c r="A120" s="112" t="s">
        <v>68</v>
      </c>
      <c r="B120" s="112" t="s">
        <v>34</v>
      </c>
      <c r="C120" s="112" t="s">
        <v>179</v>
      </c>
      <c r="D120" s="112" t="s">
        <v>180</v>
      </c>
      <c r="E120" s="113">
        <f t="shared" si="269"/>
        <v>0</v>
      </c>
      <c r="F120" s="113">
        <f t="shared" si="270"/>
        <v>0</v>
      </c>
      <c r="G120" s="113">
        <f t="shared" si="270"/>
        <v>0</v>
      </c>
      <c r="H120" s="113">
        <f t="shared" si="271"/>
        <v>0</v>
      </c>
      <c r="I120" s="114">
        <v>0.8</v>
      </c>
      <c r="J120" s="115">
        <f t="shared" si="280"/>
        <v>46283</v>
      </c>
      <c r="K120" s="115">
        <f t="shared" si="272"/>
        <v>46283</v>
      </c>
      <c r="L120" s="115"/>
      <c r="M120" s="115">
        <f t="shared" si="273"/>
        <v>46325</v>
      </c>
      <c r="N120" s="115">
        <f t="shared" si="274"/>
        <v>46325</v>
      </c>
      <c r="O120" s="115"/>
      <c r="P120" s="115">
        <f t="shared" si="275"/>
        <v>46367</v>
      </c>
      <c r="Q120" s="115">
        <f t="shared" si="276"/>
        <v>46367</v>
      </c>
      <c r="R120" s="115"/>
      <c r="S120" s="115">
        <f t="shared" si="277"/>
        <v>46381</v>
      </c>
      <c r="T120" s="115">
        <f t="shared" si="278"/>
        <v>46381</v>
      </c>
      <c r="U120" s="115"/>
      <c r="W120" s="174" t="str">
        <f t="shared" ca="1" si="226"/>
        <v/>
      </c>
      <c r="X120" s="174" t="str">
        <f t="shared" ca="1" si="227"/>
        <v/>
      </c>
      <c r="Y120" s="174" t="str">
        <f t="shared" ca="1" si="228"/>
        <v/>
      </c>
      <c r="Z120" s="175" t="str">
        <f t="shared" ca="1" si="229"/>
        <v/>
      </c>
    </row>
    <row r="121" spans="1:26" s="70" customFormat="1" ht="11.5" x14ac:dyDescent="0.25">
      <c r="A121" s="112" t="s">
        <v>68</v>
      </c>
      <c r="B121" s="112" t="s">
        <v>34</v>
      </c>
      <c r="C121" s="112" t="s">
        <v>181</v>
      </c>
      <c r="D121" s="112" t="s">
        <v>182</v>
      </c>
      <c r="E121" s="113">
        <f t="shared" si="269"/>
        <v>0</v>
      </c>
      <c r="F121" s="113">
        <f t="shared" si="270"/>
        <v>0</v>
      </c>
      <c r="G121" s="113">
        <f t="shared" si="270"/>
        <v>0.7</v>
      </c>
      <c r="H121" s="113">
        <f t="shared" si="271"/>
        <v>0.7</v>
      </c>
      <c r="I121" s="114">
        <v>0.8</v>
      </c>
      <c r="J121" s="115">
        <f t="shared" si="280"/>
        <v>46297</v>
      </c>
      <c r="K121" s="115">
        <f t="shared" si="272"/>
        <v>46297</v>
      </c>
      <c r="L121" s="115">
        <v>46226</v>
      </c>
      <c r="M121" s="115">
        <f t="shared" si="273"/>
        <v>46339</v>
      </c>
      <c r="N121" s="115">
        <f t="shared" si="274"/>
        <v>46339</v>
      </c>
      <c r="O121" s="193">
        <v>46248</v>
      </c>
      <c r="P121" s="115">
        <f t="shared" si="275"/>
        <v>46381</v>
      </c>
      <c r="Q121" s="115">
        <f t="shared" si="276"/>
        <v>46381</v>
      </c>
      <c r="R121" s="115"/>
      <c r="S121" s="115">
        <f t="shared" si="277"/>
        <v>46395</v>
      </c>
      <c r="T121" s="115">
        <f t="shared" si="278"/>
        <v>46395</v>
      </c>
      <c r="U121" s="115"/>
      <c r="W121" s="174" t="str">
        <f t="shared" ca="1" si="226"/>
        <v>Completed</v>
      </c>
      <c r="X121" s="174" t="str">
        <f t="shared" ca="1" si="227"/>
        <v>Completed</v>
      </c>
      <c r="Y121" s="174" t="str">
        <f t="shared" ca="1" si="228"/>
        <v/>
      </c>
      <c r="Z121" s="175" t="str">
        <f t="shared" ca="1" si="229"/>
        <v/>
      </c>
    </row>
    <row r="122" spans="1:26" s="70" customFormat="1" ht="11.5" x14ac:dyDescent="0.25">
      <c r="A122" s="112" t="s">
        <v>68</v>
      </c>
      <c r="B122" s="112" t="s">
        <v>34</v>
      </c>
      <c r="C122" s="112" t="s">
        <v>183</v>
      </c>
      <c r="D122" s="112" t="s">
        <v>184</v>
      </c>
      <c r="E122" s="113">
        <f t="shared" si="269"/>
        <v>0</v>
      </c>
      <c r="F122" s="113">
        <f t="shared" si="270"/>
        <v>0</v>
      </c>
      <c r="G122" s="113">
        <f t="shared" si="270"/>
        <v>0</v>
      </c>
      <c r="H122" s="113">
        <f t="shared" si="271"/>
        <v>0</v>
      </c>
      <c r="I122" s="114">
        <v>0.8</v>
      </c>
      <c r="J122" s="115">
        <f t="shared" si="280"/>
        <v>46305</v>
      </c>
      <c r="K122" s="115">
        <f t="shared" si="272"/>
        <v>46305</v>
      </c>
      <c r="L122" s="115"/>
      <c r="M122" s="115">
        <f t="shared" si="273"/>
        <v>46347</v>
      </c>
      <c r="N122" s="115">
        <f t="shared" si="274"/>
        <v>46347</v>
      </c>
      <c r="O122" s="115"/>
      <c r="P122" s="115">
        <f t="shared" si="275"/>
        <v>46389</v>
      </c>
      <c r="Q122" s="115">
        <f t="shared" si="276"/>
        <v>46389</v>
      </c>
      <c r="R122" s="115"/>
      <c r="S122" s="115">
        <f t="shared" si="277"/>
        <v>46403</v>
      </c>
      <c r="T122" s="115">
        <f t="shared" si="278"/>
        <v>46403</v>
      </c>
      <c r="U122" s="115"/>
      <c r="W122" s="174" t="str">
        <f t="shared" ca="1" si="226"/>
        <v/>
      </c>
      <c r="X122" s="174" t="str">
        <f t="shared" ca="1" si="227"/>
        <v/>
      </c>
      <c r="Y122" s="174" t="str">
        <f t="shared" ca="1" si="228"/>
        <v/>
      </c>
      <c r="Z122" s="175" t="str">
        <f t="shared" ca="1" si="229"/>
        <v/>
      </c>
    </row>
    <row r="123" spans="1:26" s="70" customFormat="1" ht="11.5" x14ac:dyDescent="0.25">
      <c r="A123" s="112" t="s">
        <v>68</v>
      </c>
      <c r="B123" s="112" t="s">
        <v>34</v>
      </c>
      <c r="C123" s="112" t="s">
        <v>185</v>
      </c>
      <c r="D123" s="112" t="s">
        <v>141</v>
      </c>
      <c r="E123" s="113">
        <f t="shared" si="269"/>
        <v>0</v>
      </c>
      <c r="F123" s="113">
        <f t="shared" si="270"/>
        <v>0</v>
      </c>
      <c r="G123" s="113">
        <f t="shared" si="270"/>
        <v>0</v>
      </c>
      <c r="H123" s="113">
        <f t="shared" si="271"/>
        <v>0</v>
      </c>
      <c r="I123" s="114">
        <v>0.5</v>
      </c>
      <c r="J123" s="115">
        <f t="shared" si="280"/>
        <v>46358</v>
      </c>
      <c r="K123" s="115">
        <f t="shared" si="272"/>
        <v>46358</v>
      </c>
      <c r="L123" s="116"/>
      <c r="M123" s="115">
        <f t="shared" si="273"/>
        <v>46400</v>
      </c>
      <c r="N123" s="115">
        <f t="shared" si="274"/>
        <v>46400</v>
      </c>
      <c r="O123" s="116"/>
      <c r="P123" s="115">
        <f t="shared" si="275"/>
        <v>46442</v>
      </c>
      <c r="Q123" s="115">
        <f t="shared" si="276"/>
        <v>46442</v>
      </c>
      <c r="R123" s="116"/>
      <c r="S123" s="115">
        <f t="shared" si="277"/>
        <v>46456</v>
      </c>
      <c r="T123" s="115">
        <f t="shared" si="278"/>
        <v>46456</v>
      </c>
      <c r="U123" s="116"/>
      <c r="W123" s="174" t="str">
        <f t="shared" ca="1" si="226"/>
        <v/>
      </c>
      <c r="X123" s="174" t="str">
        <f t="shared" ca="1" si="227"/>
        <v/>
      </c>
      <c r="Y123" s="174" t="str">
        <f t="shared" ca="1" si="228"/>
        <v/>
      </c>
      <c r="Z123" s="175" t="str">
        <f t="shared" ca="1" si="229"/>
        <v/>
      </c>
    </row>
    <row r="124" spans="1:26" s="70" customFormat="1" ht="11.5" x14ac:dyDescent="0.25">
      <c r="A124" s="112" t="s">
        <v>68</v>
      </c>
      <c r="B124" s="112" t="s">
        <v>34</v>
      </c>
      <c r="C124" s="112" t="s">
        <v>186</v>
      </c>
      <c r="D124" s="112" t="s">
        <v>187</v>
      </c>
      <c r="E124" s="113">
        <f t="shared" si="269"/>
        <v>0.5</v>
      </c>
      <c r="F124" s="113">
        <f t="shared" si="270"/>
        <v>0.5</v>
      </c>
      <c r="G124" s="113">
        <f t="shared" si="270"/>
        <v>0</v>
      </c>
      <c r="H124" s="113">
        <f t="shared" si="271"/>
        <v>-0.5</v>
      </c>
      <c r="I124" s="114">
        <v>0.5</v>
      </c>
      <c r="J124" s="115">
        <f t="shared" si="280"/>
        <v>46227</v>
      </c>
      <c r="K124" s="115">
        <f t="shared" si="272"/>
        <v>46227</v>
      </c>
      <c r="L124" s="115"/>
      <c r="M124" s="115">
        <f t="shared" si="273"/>
        <v>46269</v>
      </c>
      <c r="N124" s="115">
        <f t="shared" si="274"/>
        <v>46269</v>
      </c>
      <c r="O124" s="115"/>
      <c r="P124" s="115">
        <f t="shared" si="275"/>
        <v>46311</v>
      </c>
      <c r="Q124" s="115">
        <f t="shared" si="276"/>
        <v>46311</v>
      </c>
      <c r="R124" s="115"/>
      <c r="S124" s="115">
        <f t="shared" si="277"/>
        <v>46325</v>
      </c>
      <c r="T124" s="115">
        <f t="shared" si="278"/>
        <v>46325</v>
      </c>
      <c r="U124" s="115"/>
      <c r="W124" s="174" t="str">
        <f t="shared" ca="1" si="226"/>
        <v>Overdue</v>
      </c>
      <c r="X124" s="174" t="str">
        <f t="shared" ca="1" si="227"/>
        <v/>
      </c>
      <c r="Y124" s="174" t="str">
        <f t="shared" ca="1" si="228"/>
        <v/>
      </c>
      <c r="Z124" s="175" t="str">
        <f t="shared" ca="1" si="229"/>
        <v/>
      </c>
    </row>
    <row r="125" spans="1:26" s="70" customFormat="1" ht="11.5" x14ac:dyDescent="0.25">
      <c r="A125" s="112" t="s">
        <v>68</v>
      </c>
      <c r="B125" s="112" t="s">
        <v>34</v>
      </c>
      <c r="C125" s="112" t="s">
        <v>188</v>
      </c>
      <c r="D125" s="112" t="s">
        <v>189</v>
      </c>
      <c r="E125" s="113">
        <f t="shared" si="269"/>
        <v>0</v>
      </c>
      <c r="F125" s="113">
        <f t="shared" si="270"/>
        <v>0</v>
      </c>
      <c r="G125" s="113">
        <f t="shared" si="270"/>
        <v>0.5</v>
      </c>
      <c r="H125" s="113">
        <f t="shared" si="271"/>
        <v>0.5</v>
      </c>
      <c r="I125" s="114">
        <v>0.5</v>
      </c>
      <c r="J125" s="115">
        <f t="shared" si="280"/>
        <v>46283</v>
      </c>
      <c r="K125" s="115">
        <f t="shared" si="272"/>
        <v>46283</v>
      </c>
      <c r="L125" s="144">
        <v>46161</v>
      </c>
      <c r="M125" s="115">
        <f t="shared" si="273"/>
        <v>46325</v>
      </c>
      <c r="N125" s="115">
        <f t="shared" si="274"/>
        <v>46325</v>
      </c>
      <c r="O125" s="116"/>
      <c r="P125" s="115">
        <f t="shared" si="275"/>
        <v>46367</v>
      </c>
      <c r="Q125" s="115">
        <f t="shared" si="276"/>
        <v>46367</v>
      </c>
      <c r="R125" s="115"/>
      <c r="S125" s="115">
        <f t="shared" si="277"/>
        <v>46381</v>
      </c>
      <c r="T125" s="115">
        <f t="shared" si="278"/>
        <v>46381</v>
      </c>
      <c r="U125" s="115"/>
      <c r="W125" s="174" t="str">
        <f t="shared" ca="1" si="226"/>
        <v>Completed</v>
      </c>
      <c r="X125" s="174" t="str">
        <f t="shared" ca="1" si="227"/>
        <v/>
      </c>
      <c r="Y125" s="174" t="str">
        <f t="shared" ca="1" si="228"/>
        <v/>
      </c>
      <c r="Z125" s="175" t="str">
        <f t="shared" ca="1" si="229"/>
        <v/>
      </c>
    </row>
    <row r="126" spans="1:26" s="70" customFormat="1" ht="11.5" x14ac:dyDescent="0.25">
      <c r="A126" s="112" t="s">
        <v>68</v>
      </c>
      <c r="B126" s="112" t="s">
        <v>34</v>
      </c>
      <c r="C126" s="112" t="s">
        <v>872</v>
      </c>
      <c r="D126" s="112" t="s">
        <v>190</v>
      </c>
      <c r="E126" s="113">
        <f t="shared" si="269"/>
        <v>0.5</v>
      </c>
      <c r="F126" s="113">
        <f t="shared" si="270"/>
        <v>0.5</v>
      </c>
      <c r="G126" s="113">
        <f t="shared" si="270"/>
        <v>0</v>
      </c>
      <c r="H126" s="113">
        <f t="shared" si="271"/>
        <v>-0.5</v>
      </c>
      <c r="I126" s="114">
        <v>0.55000000000000004</v>
      </c>
      <c r="J126" s="115">
        <f t="shared" si="280"/>
        <v>46220</v>
      </c>
      <c r="K126" s="115">
        <f t="shared" si="272"/>
        <v>46220</v>
      </c>
      <c r="L126" s="115"/>
      <c r="M126" s="115">
        <f t="shared" si="273"/>
        <v>46262</v>
      </c>
      <c r="N126" s="115">
        <f t="shared" si="274"/>
        <v>46262</v>
      </c>
      <c r="O126" s="116"/>
      <c r="P126" s="115">
        <f t="shared" si="275"/>
        <v>46304</v>
      </c>
      <c r="Q126" s="115">
        <f t="shared" si="276"/>
        <v>46304</v>
      </c>
      <c r="R126" s="116"/>
      <c r="S126" s="115">
        <f t="shared" si="277"/>
        <v>46318</v>
      </c>
      <c r="T126" s="115">
        <f t="shared" si="278"/>
        <v>46318</v>
      </c>
      <c r="U126" s="116"/>
      <c r="W126" s="174" t="str">
        <f t="shared" ca="1" si="226"/>
        <v>Overdue</v>
      </c>
      <c r="X126" s="174" t="str">
        <f t="shared" ca="1" si="227"/>
        <v/>
      </c>
      <c r="Y126" s="174" t="str">
        <f t="shared" ca="1" si="228"/>
        <v/>
      </c>
      <c r="Z126" s="175" t="str">
        <f t="shared" ca="1" si="229"/>
        <v/>
      </c>
    </row>
    <row r="127" spans="1:26" s="70" customFormat="1" ht="11.5" x14ac:dyDescent="0.25">
      <c r="A127" s="112" t="s">
        <v>68</v>
      </c>
      <c r="B127" s="112" t="s">
        <v>34</v>
      </c>
      <c r="C127" s="112" t="s">
        <v>873</v>
      </c>
      <c r="D127" s="112" t="s">
        <v>191</v>
      </c>
      <c r="E127" s="113">
        <f t="shared" si="269"/>
        <v>0.5</v>
      </c>
      <c r="F127" s="113">
        <f t="shared" si="270"/>
        <v>0.5</v>
      </c>
      <c r="G127" s="113">
        <f t="shared" si="270"/>
        <v>0.5</v>
      </c>
      <c r="H127" s="113">
        <f t="shared" si="271"/>
        <v>0</v>
      </c>
      <c r="I127" s="114">
        <v>0.55000000000000004</v>
      </c>
      <c r="J127" s="115">
        <f t="shared" si="280"/>
        <v>46227</v>
      </c>
      <c r="K127" s="115">
        <f t="shared" si="272"/>
        <v>46227</v>
      </c>
      <c r="L127" s="115">
        <v>46175</v>
      </c>
      <c r="M127" s="115">
        <f t="shared" si="273"/>
        <v>46269</v>
      </c>
      <c r="N127" s="115">
        <f t="shared" si="274"/>
        <v>46269</v>
      </c>
      <c r="O127" s="115"/>
      <c r="P127" s="115">
        <f t="shared" si="275"/>
        <v>46311</v>
      </c>
      <c r="Q127" s="115">
        <f t="shared" si="276"/>
        <v>46311</v>
      </c>
      <c r="R127" s="115"/>
      <c r="S127" s="115">
        <f t="shared" si="277"/>
        <v>46325</v>
      </c>
      <c r="T127" s="115">
        <f t="shared" si="278"/>
        <v>46325</v>
      </c>
      <c r="U127" s="115"/>
      <c r="W127" s="174" t="str">
        <f t="shared" ca="1" si="226"/>
        <v>Completed</v>
      </c>
      <c r="X127" s="174" t="str">
        <f t="shared" ca="1" si="227"/>
        <v/>
      </c>
      <c r="Y127" s="174" t="str">
        <f t="shared" ca="1" si="228"/>
        <v/>
      </c>
      <c r="Z127" s="175" t="str">
        <f t="shared" ca="1" si="229"/>
        <v/>
      </c>
    </row>
    <row r="128" spans="1:26" s="70" customFormat="1" ht="11.5" x14ac:dyDescent="0.25">
      <c r="A128" s="112" t="s">
        <v>68</v>
      </c>
      <c r="B128" s="112" t="s">
        <v>34</v>
      </c>
      <c r="C128" s="112" t="s">
        <v>874</v>
      </c>
      <c r="D128" s="112" t="s">
        <v>192</v>
      </c>
      <c r="E128" s="113">
        <f t="shared" si="269"/>
        <v>0.5</v>
      </c>
      <c r="F128" s="113">
        <f t="shared" si="270"/>
        <v>0.5</v>
      </c>
      <c r="G128" s="113">
        <f t="shared" si="270"/>
        <v>0.5</v>
      </c>
      <c r="H128" s="113">
        <f t="shared" si="271"/>
        <v>0</v>
      </c>
      <c r="I128" s="114">
        <v>0.75</v>
      </c>
      <c r="J128" s="115">
        <f t="shared" si="280"/>
        <v>46248</v>
      </c>
      <c r="K128" s="115">
        <f t="shared" si="272"/>
        <v>46248</v>
      </c>
      <c r="L128" s="193">
        <v>46248</v>
      </c>
      <c r="M128" s="115">
        <f t="shared" si="273"/>
        <v>46290</v>
      </c>
      <c r="N128" s="115">
        <f t="shared" si="274"/>
        <v>46290</v>
      </c>
      <c r="O128" s="115"/>
      <c r="P128" s="115">
        <f t="shared" si="275"/>
        <v>46332</v>
      </c>
      <c r="Q128" s="115">
        <f t="shared" si="276"/>
        <v>46332</v>
      </c>
      <c r="R128" s="115"/>
      <c r="S128" s="115">
        <f t="shared" si="277"/>
        <v>46346</v>
      </c>
      <c r="T128" s="115">
        <f t="shared" si="278"/>
        <v>46346</v>
      </c>
      <c r="U128" s="115"/>
      <c r="W128" s="174" t="str">
        <f t="shared" ca="1" si="226"/>
        <v>Completed</v>
      </c>
      <c r="X128" s="174" t="str">
        <f t="shared" ca="1" si="227"/>
        <v/>
      </c>
      <c r="Y128" s="174" t="str">
        <f t="shared" ca="1" si="228"/>
        <v/>
      </c>
      <c r="Z128" s="175" t="str">
        <f t="shared" ca="1" si="229"/>
        <v/>
      </c>
    </row>
    <row r="129" spans="1:26" s="70" customFormat="1" ht="11.5" x14ac:dyDescent="0.25">
      <c r="A129" s="112" t="s">
        <v>68</v>
      </c>
      <c r="B129" s="112" t="s">
        <v>34</v>
      </c>
      <c r="C129" s="112" t="s">
        <v>193</v>
      </c>
      <c r="D129" s="112" t="s">
        <v>194</v>
      </c>
      <c r="E129" s="113">
        <f t="shared" si="269"/>
        <v>0.7</v>
      </c>
      <c r="F129" s="113">
        <f t="shared" si="270"/>
        <v>0.7</v>
      </c>
      <c r="G129" s="113">
        <f t="shared" si="270"/>
        <v>0.7</v>
      </c>
      <c r="H129" s="113">
        <f t="shared" si="271"/>
        <v>0</v>
      </c>
      <c r="I129" s="114">
        <v>1</v>
      </c>
      <c r="J129" s="115">
        <f>J85+28</f>
        <v>46171</v>
      </c>
      <c r="K129" s="115">
        <f t="shared" si="272"/>
        <v>46171</v>
      </c>
      <c r="L129" s="115">
        <v>46130</v>
      </c>
      <c r="M129" s="115">
        <f t="shared" si="273"/>
        <v>46213</v>
      </c>
      <c r="N129" s="115">
        <f t="shared" si="274"/>
        <v>46213</v>
      </c>
      <c r="O129" s="115">
        <v>46230</v>
      </c>
      <c r="P129" s="115">
        <f t="shared" si="275"/>
        <v>46255</v>
      </c>
      <c r="Q129" s="115">
        <f t="shared" si="276"/>
        <v>46255</v>
      </c>
      <c r="R129" s="115"/>
      <c r="S129" s="115">
        <f t="shared" si="277"/>
        <v>46269</v>
      </c>
      <c r="T129" s="115">
        <f t="shared" si="278"/>
        <v>46269</v>
      </c>
      <c r="U129" s="115"/>
      <c r="W129" s="174" t="str">
        <f t="shared" ca="1" si="226"/>
        <v>Completed</v>
      </c>
      <c r="X129" s="174" t="str">
        <f t="shared" ca="1" si="227"/>
        <v>Completed</v>
      </c>
      <c r="Y129" s="174" t="str">
        <f t="shared" ca="1" si="228"/>
        <v>Follow-Next Week</v>
      </c>
      <c r="Z129" s="175" t="str">
        <f t="shared" ca="1" si="229"/>
        <v/>
      </c>
    </row>
    <row r="130" spans="1:26" s="70" customFormat="1" ht="11.5" x14ac:dyDescent="0.25">
      <c r="A130" s="112" t="s">
        <v>68</v>
      </c>
      <c r="B130" s="112" t="s">
        <v>34</v>
      </c>
      <c r="C130" s="112" t="s">
        <v>195</v>
      </c>
      <c r="D130" s="112" t="s">
        <v>196</v>
      </c>
      <c r="E130" s="113">
        <f t="shared" si="269"/>
        <v>0.5</v>
      </c>
      <c r="F130" s="113">
        <f t="shared" si="270"/>
        <v>0.5</v>
      </c>
      <c r="G130" s="113">
        <f t="shared" si="270"/>
        <v>0.7</v>
      </c>
      <c r="H130" s="113">
        <f t="shared" si="271"/>
        <v>0.19999999999999996</v>
      </c>
      <c r="I130" s="114">
        <v>0.5</v>
      </c>
      <c r="J130" s="115">
        <f>J86+28</f>
        <v>46234</v>
      </c>
      <c r="K130" s="115">
        <f t="shared" si="272"/>
        <v>46234</v>
      </c>
      <c r="L130" s="115">
        <v>46230</v>
      </c>
      <c r="M130" s="115">
        <f t="shared" si="273"/>
        <v>46276</v>
      </c>
      <c r="N130" s="115">
        <f t="shared" si="274"/>
        <v>46276</v>
      </c>
      <c r="O130" s="193">
        <v>46248</v>
      </c>
      <c r="P130" s="115">
        <f t="shared" si="275"/>
        <v>46318</v>
      </c>
      <c r="Q130" s="115">
        <f t="shared" si="276"/>
        <v>46318</v>
      </c>
      <c r="R130" s="115"/>
      <c r="S130" s="115">
        <f t="shared" si="277"/>
        <v>46332</v>
      </c>
      <c r="T130" s="115">
        <f t="shared" si="278"/>
        <v>46332</v>
      </c>
      <c r="U130" s="115"/>
      <c r="W130" s="174" t="str">
        <f t="shared" ca="1" si="226"/>
        <v>Completed</v>
      </c>
      <c r="X130" s="174" t="str">
        <f t="shared" ca="1" si="227"/>
        <v>Completed</v>
      </c>
      <c r="Y130" s="174" t="str">
        <f t="shared" ca="1" si="228"/>
        <v/>
      </c>
      <c r="Z130" s="175" t="str">
        <f t="shared" ca="1" si="229"/>
        <v/>
      </c>
    </row>
    <row r="131" spans="1:26" s="70" customFormat="1" ht="11.5" x14ac:dyDescent="0.25">
      <c r="A131" s="112" t="s">
        <v>68</v>
      </c>
      <c r="B131" s="112" t="s">
        <v>34</v>
      </c>
      <c r="C131" s="112" t="s">
        <v>197</v>
      </c>
      <c r="D131" s="112" t="s">
        <v>198</v>
      </c>
      <c r="E131" s="113">
        <f t="shared" si="269"/>
        <v>0.5</v>
      </c>
      <c r="F131" s="113">
        <f t="shared" si="270"/>
        <v>0.5</v>
      </c>
      <c r="G131" s="113">
        <f t="shared" si="270"/>
        <v>0.7</v>
      </c>
      <c r="H131" s="113">
        <f t="shared" si="271"/>
        <v>0.19999999999999996</v>
      </c>
      <c r="I131" s="114">
        <v>0.5</v>
      </c>
      <c r="J131" s="115">
        <f>J87+28</f>
        <v>46241</v>
      </c>
      <c r="K131" s="115">
        <f t="shared" si="272"/>
        <v>46241</v>
      </c>
      <c r="L131" s="115">
        <v>46230</v>
      </c>
      <c r="M131" s="115">
        <f t="shared" si="273"/>
        <v>46283</v>
      </c>
      <c r="N131" s="115">
        <f t="shared" si="274"/>
        <v>46283</v>
      </c>
      <c r="O131" s="193">
        <v>46248</v>
      </c>
      <c r="P131" s="115">
        <f t="shared" si="275"/>
        <v>46325</v>
      </c>
      <c r="Q131" s="115">
        <f t="shared" si="276"/>
        <v>46325</v>
      </c>
      <c r="R131" s="115"/>
      <c r="S131" s="115">
        <f t="shared" si="277"/>
        <v>46339</v>
      </c>
      <c r="T131" s="115">
        <f t="shared" si="278"/>
        <v>46339</v>
      </c>
      <c r="U131" s="115"/>
      <c r="W131" s="174" t="str">
        <f t="shared" ca="1" si="226"/>
        <v>Completed</v>
      </c>
      <c r="X131" s="174" t="str">
        <f t="shared" ca="1" si="227"/>
        <v>Completed</v>
      </c>
      <c r="Y131" s="174" t="str">
        <f t="shared" ca="1" si="228"/>
        <v/>
      </c>
      <c r="Z131" s="175" t="str">
        <f t="shared" ca="1" si="229"/>
        <v/>
      </c>
    </row>
    <row r="132" spans="1:26" s="70" customFormat="1" ht="11.5" x14ac:dyDescent="0.25">
      <c r="A132" s="112" t="s">
        <v>68</v>
      </c>
      <c r="B132" s="112" t="s">
        <v>34</v>
      </c>
      <c r="C132" s="112" t="s">
        <v>860</v>
      </c>
      <c r="D132" s="112" t="s">
        <v>861</v>
      </c>
      <c r="E132" s="113">
        <f t="shared" ref="E132:E133" si="281">(COUNTIFS(J132,"&lt;="&amp;$C$1)*50%)+(COUNTIFS(M132,"&lt;="&amp;$C$1)*20%)+(COUNTIFS(P132,"&lt;="&amp;$C$1)*10%)+(COUNTIFS(S132,"&lt;="&amp;$C$1)*20%)</f>
        <v>1</v>
      </c>
      <c r="F132" s="113">
        <f t="shared" ref="F132:F133" si="282">(COUNTIFS(K132,"&lt;="&amp;$C$1)*50%)+(COUNTIFS(N132,"&lt;="&amp;$C$1)*20%)+(COUNTIFS(Q132,"&lt;="&amp;$C$1)*10%)+(COUNTIFS(T132,"&lt;="&amp;$C$1)*20%)</f>
        <v>1</v>
      </c>
      <c r="G132" s="113">
        <f t="shared" ref="G132:G133" si="283">(COUNTIFS(L132,"&lt;="&amp;$C$1)*50%)+(COUNTIFS(O132,"&lt;="&amp;$C$1)*20%)+(COUNTIFS(R132,"&lt;="&amp;$C$1)*10%)+(COUNTIFS(U132,"&lt;="&amp;$C$1)*20%)</f>
        <v>0.7</v>
      </c>
      <c r="H132" s="113">
        <f t="shared" ref="H132:H133" si="284">G132-E132</f>
        <v>-0.30000000000000004</v>
      </c>
      <c r="I132" s="114">
        <v>0.4</v>
      </c>
      <c r="J132" s="115">
        <v>46122</v>
      </c>
      <c r="K132" s="115">
        <f t="shared" ref="K132:K134" si="285">J132</f>
        <v>46122</v>
      </c>
      <c r="L132" s="115">
        <v>46115</v>
      </c>
      <c r="M132" s="115">
        <f t="shared" ref="M132:M134" si="286">J132+42</f>
        <v>46164</v>
      </c>
      <c r="N132" s="115">
        <f t="shared" ref="N132:N134" si="287">M132</f>
        <v>46164</v>
      </c>
      <c r="O132" s="117">
        <v>46191</v>
      </c>
      <c r="P132" s="115">
        <f t="shared" ref="P132:P134" si="288">M132+42</f>
        <v>46206</v>
      </c>
      <c r="Q132" s="115">
        <f t="shared" ref="Q132:Q134" si="289">P132</f>
        <v>46206</v>
      </c>
      <c r="R132" s="115"/>
      <c r="S132" s="115">
        <f t="shared" ref="S132:S134" si="290">P132+14</f>
        <v>46220</v>
      </c>
      <c r="T132" s="115">
        <f t="shared" ref="T132:T134" si="291">S132</f>
        <v>46220</v>
      </c>
      <c r="U132" s="115"/>
      <c r="W132" s="174" t="str">
        <f t="shared" ca="1" si="226"/>
        <v>Completed</v>
      </c>
      <c r="X132" s="174" t="str">
        <f t="shared" ca="1" si="227"/>
        <v>Completed</v>
      </c>
      <c r="Y132" s="174" t="str">
        <f t="shared" ca="1" si="228"/>
        <v>Overdue</v>
      </c>
      <c r="Z132" s="175" t="str">
        <f t="shared" ca="1" si="229"/>
        <v>Overdue</v>
      </c>
    </row>
    <row r="133" spans="1:26" s="70" customFormat="1" ht="11.5" x14ac:dyDescent="0.25">
      <c r="A133" s="112" t="s">
        <v>68</v>
      </c>
      <c r="B133" s="112" t="s">
        <v>34</v>
      </c>
      <c r="C133" s="112" t="s">
        <v>862</v>
      </c>
      <c r="D133" s="112" t="s">
        <v>863</v>
      </c>
      <c r="E133" s="113">
        <f t="shared" si="281"/>
        <v>1</v>
      </c>
      <c r="F133" s="113">
        <f t="shared" si="282"/>
        <v>1</v>
      </c>
      <c r="G133" s="113">
        <f t="shared" si="283"/>
        <v>0.7</v>
      </c>
      <c r="H133" s="113">
        <f t="shared" si="284"/>
        <v>-0.30000000000000004</v>
      </c>
      <c r="I133" s="114">
        <v>0.4</v>
      </c>
      <c r="J133" s="115">
        <v>46129</v>
      </c>
      <c r="K133" s="115">
        <f t="shared" si="285"/>
        <v>46129</v>
      </c>
      <c r="L133" s="115">
        <v>46142</v>
      </c>
      <c r="M133" s="115">
        <f t="shared" si="286"/>
        <v>46171</v>
      </c>
      <c r="N133" s="115">
        <f t="shared" si="287"/>
        <v>46171</v>
      </c>
      <c r="O133" s="117">
        <v>46191</v>
      </c>
      <c r="P133" s="115">
        <f t="shared" si="288"/>
        <v>46213</v>
      </c>
      <c r="Q133" s="115">
        <f t="shared" si="289"/>
        <v>46213</v>
      </c>
      <c r="R133" s="115"/>
      <c r="S133" s="115">
        <f t="shared" si="290"/>
        <v>46227</v>
      </c>
      <c r="T133" s="115">
        <f t="shared" si="291"/>
        <v>46227</v>
      </c>
      <c r="U133" s="115"/>
      <c r="W133" s="174" t="str">
        <f t="shared" ca="1" si="226"/>
        <v>Completed</v>
      </c>
      <c r="X133" s="174" t="str">
        <f t="shared" ca="1" si="227"/>
        <v>Completed</v>
      </c>
      <c r="Y133" s="174" t="str">
        <f t="shared" ca="1" si="228"/>
        <v>Overdue</v>
      </c>
      <c r="Z133" s="175" t="str">
        <f t="shared" ca="1" si="229"/>
        <v>Overdue</v>
      </c>
    </row>
    <row r="134" spans="1:26" s="70" customFormat="1" ht="11.5" x14ac:dyDescent="0.25">
      <c r="A134" s="198" t="s">
        <v>68</v>
      </c>
      <c r="B134" s="198" t="s">
        <v>34</v>
      </c>
      <c r="C134" s="198" t="s">
        <v>864</v>
      </c>
      <c r="D134" s="198" t="s">
        <v>865</v>
      </c>
      <c r="E134" s="199"/>
      <c r="F134" s="199"/>
      <c r="G134" s="199"/>
      <c r="H134" s="199"/>
      <c r="I134" s="200">
        <v>0.2</v>
      </c>
      <c r="J134" s="201">
        <v>46142</v>
      </c>
      <c r="K134" s="201">
        <f t="shared" si="285"/>
        <v>46142</v>
      </c>
      <c r="L134" s="202">
        <v>46248</v>
      </c>
      <c r="M134" s="201">
        <f t="shared" si="286"/>
        <v>46184</v>
      </c>
      <c r="N134" s="201">
        <f t="shared" si="287"/>
        <v>46184</v>
      </c>
      <c r="O134" s="202">
        <v>46248</v>
      </c>
      <c r="P134" s="201">
        <f t="shared" si="288"/>
        <v>46226</v>
      </c>
      <c r="Q134" s="201">
        <f t="shared" si="289"/>
        <v>46226</v>
      </c>
      <c r="R134" s="202">
        <v>46248</v>
      </c>
      <c r="S134" s="201">
        <f t="shared" si="290"/>
        <v>46240</v>
      </c>
      <c r="T134" s="201">
        <f t="shared" si="291"/>
        <v>46240</v>
      </c>
      <c r="U134" s="202">
        <v>46248</v>
      </c>
      <c r="W134" s="174" t="str">
        <f t="shared" ca="1" si="226"/>
        <v>Completed</v>
      </c>
      <c r="X134" s="174" t="str">
        <f t="shared" ca="1" si="227"/>
        <v>Completed</v>
      </c>
      <c r="Y134" s="174" t="str">
        <f t="shared" ca="1" si="228"/>
        <v>Completed</v>
      </c>
      <c r="Z134" s="175" t="str">
        <f t="shared" ca="1" si="229"/>
        <v>Completed</v>
      </c>
    </row>
    <row r="135" spans="1:26" s="70" customFormat="1" ht="11.5" x14ac:dyDescent="0.25">
      <c r="A135" s="112" t="s">
        <v>68</v>
      </c>
      <c r="B135" s="112" t="s">
        <v>34</v>
      </c>
      <c r="C135" s="112" t="s">
        <v>864</v>
      </c>
      <c r="D135" s="112" t="s">
        <v>1192</v>
      </c>
      <c r="E135" s="113">
        <f t="shared" ref="E135" si="292">(COUNTIFS(J135,"&lt;="&amp;$C$1)*50%)+(COUNTIFS(M135,"&lt;="&amp;$C$1)*20%)+(COUNTIFS(P135,"&lt;="&amp;$C$1)*10%)+(COUNTIFS(S135,"&lt;="&amp;$C$1)*20%)</f>
        <v>1</v>
      </c>
      <c r="F135" s="113">
        <f t="shared" ref="F135" si="293">(COUNTIFS(K135,"&lt;="&amp;$C$1)*50%)+(COUNTIFS(N135,"&lt;="&amp;$C$1)*20%)+(COUNTIFS(Q135,"&lt;="&amp;$C$1)*10%)+(COUNTIFS(T135,"&lt;="&amp;$C$1)*20%)</f>
        <v>1</v>
      </c>
      <c r="G135" s="113">
        <f t="shared" ref="G135" si="294">(COUNTIFS(L135,"&lt;="&amp;$C$1)*50%)+(COUNTIFS(O135,"&lt;="&amp;$C$1)*20%)+(COUNTIFS(R135,"&lt;="&amp;$C$1)*10%)+(COUNTIFS(U135,"&lt;="&amp;$C$1)*20%)</f>
        <v>0</v>
      </c>
      <c r="H135" s="113">
        <f t="shared" ref="H135" si="295">G135-E135</f>
        <v>-1</v>
      </c>
      <c r="I135" s="114"/>
      <c r="J135" s="115">
        <v>46142</v>
      </c>
      <c r="K135" s="115">
        <f t="shared" ref="K135" si="296">J135</f>
        <v>46142</v>
      </c>
      <c r="L135" s="115"/>
      <c r="M135" s="115">
        <f t="shared" ref="M135" si="297">J135+42</f>
        <v>46184</v>
      </c>
      <c r="N135" s="115">
        <f t="shared" ref="N135" si="298">M135</f>
        <v>46184</v>
      </c>
      <c r="O135" s="115"/>
      <c r="P135" s="115">
        <f t="shared" ref="P135" si="299">M135+42</f>
        <v>46226</v>
      </c>
      <c r="Q135" s="115">
        <f t="shared" ref="Q135" si="300">P135</f>
        <v>46226</v>
      </c>
      <c r="R135" s="115"/>
      <c r="S135" s="115">
        <f t="shared" ref="S135" si="301">P135+14</f>
        <v>46240</v>
      </c>
      <c r="T135" s="115">
        <f t="shared" ref="T135" si="302">S135</f>
        <v>46240</v>
      </c>
      <c r="U135" s="115"/>
      <c r="W135" s="174" t="str">
        <f t="shared" ref="W135" ca="1" si="303">IF(OR(L135&lt;&gt;""),"Completed",
IF(K135="","",IF(K135&lt;TODAY(),"Overdue",
IF(AND(K135&gt;=TODAY()-WEEKDAY(TODAY(),2)+1,K135&lt;=TODAY()-WEEKDAY(TODAY(),2)+7),"Follow-This Week",
IF(AND(K135&gt;=TODAY()-WEEKDAY(TODAY(),2)+8,K135&lt;=TODAY()-WEEKDAY(TODAY(),2)+14),"Follow-Next Week","")))))</f>
        <v>Overdue</v>
      </c>
      <c r="X135" s="174" t="str">
        <f t="shared" ref="X135" ca="1" si="304">IF(OR(O135&lt;&gt;""),"Completed",IF(N135="","",
IF(N135&lt;TODAY(),"Overdue",
IF(AND(N135&gt;=TODAY()-WEEKDAY(TODAY(),2)+1,N135&lt;=TODAY()-WEEKDAY(TODAY(),2)+7),"Follow-This Week",
IF(AND(N135&gt;=TODAY()-WEEKDAY(TODAY(),2)+8,N135&lt;=TODAY()-WEEKDAY(TODAY(),2)+14),"Follow-Next Week","")))))</f>
        <v>Overdue</v>
      </c>
      <c r="Y135" s="174" t="str">
        <f t="shared" ref="Y135" ca="1" si="305">IF(OR(R135&lt;&gt;""),"Completed",IF(Q135="","",
IF(Q135&lt;TODAY(),"Overdue",
IF(AND(Q135&gt;=TODAY()-WEEKDAY(TODAY(),2)+1,Q135&lt;=TODAY()-WEEKDAY(TODAY(),2)+7),"Follow-This Week",
IF(AND(Q135&gt;=TODAY()-WEEKDAY(TODAY(),2)+8,Q135&lt;=TODAY()-WEEKDAY(TODAY(),2)+14),"Follow-Next Week","")))))</f>
        <v>Overdue</v>
      </c>
      <c r="Z135" s="175" t="str">
        <f t="shared" ref="Z135" ca="1" si="306">IF(OR(U135&lt;&gt;""),"Completed",IF(T135="","",
IF(T135&lt;TODAY(),"Overdue",
IF(AND(T135&gt;=TODAY()-WEEKDAY(TODAY(),2)+1,T135&lt;=TODAY()-WEEKDAY(TODAY(),2)+7),"Follow-This Week",
IF(AND(T135&gt;=TODAY()-WEEKDAY(TODAY(),2)+8,T135&lt;=TODAY()-WEEKDAY(TODAY(),2)+14),"Follow-Next Week","")))))</f>
        <v>Overdue</v>
      </c>
    </row>
    <row r="136" spans="1:26" s="70" customFormat="1" ht="11.5" x14ac:dyDescent="0.25">
      <c r="A136" s="112" t="s">
        <v>68</v>
      </c>
      <c r="B136" s="112" t="s">
        <v>34</v>
      </c>
      <c r="C136" s="139" t="s">
        <v>918</v>
      </c>
      <c r="D136" s="112" t="s">
        <v>920</v>
      </c>
      <c r="E136" s="113">
        <v>0</v>
      </c>
      <c r="F136" s="113">
        <v>0</v>
      </c>
      <c r="G136" s="113">
        <v>0.5</v>
      </c>
      <c r="H136" s="113">
        <v>0.5</v>
      </c>
      <c r="I136" s="114">
        <v>0.2</v>
      </c>
      <c r="J136" s="115">
        <v>46157</v>
      </c>
      <c r="K136" s="115">
        <v>46157</v>
      </c>
      <c r="L136" s="115">
        <v>46150</v>
      </c>
      <c r="M136" s="115">
        <v>46199</v>
      </c>
      <c r="N136" s="115">
        <v>46199</v>
      </c>
      <c r="O136" s="115">
        <v>46191</v>
      </c>
      <c r="P136" s="115">
        <v>46241</v>
      </c>
      <c r="Q136" s="115">
        <v>46241</v>
      </c>
      <c r="R136" s="115">
        <v>46227</v>
      </c>
      <c r="S136" s="115">
        <v>46255</v>
      </c>
      <c r="T136" s="115">
        <v>46255</v>
      </c>
      <c r="U136" s="115">
        <v>46239</v>
      </c>
      <c r="W136" s="174" t="str">
        <f t="shared" ca="1" si="226"/>
        <v>Completed</v>
      </c>
      <c r="X136" s="174" t="str">
        <f t="shared" ca="1" si="227"/>
        <v>Completed</v>
      </c>
      <c r="Y136" s="174" t="str">
        <f t="shared" ca="1" si="228"/>
        <v>Completed</v>
      </c>
      <c r="Z136" s="175" t="str">
        <f t="shared" ca="1" si="229"/>
        <v>Completed</v>
      </c>
    </row>
    <row r="137" spans="1:26" s="70" customFormat="1" ht="11.5" x14ac:dyDescent="0.25">
      <c r="A137" s="112" t="s">
        <v>68</v>
      </c>
      <c r="B137" s="139" t="s">
        <v>34</v>
      </c>
      <c r="C137" s="139" t="s">
        <v>919</v>
      </c>
      <c r="D137" s="112" t="s">
        <v>921</v>
      </c>
      <c r="E137" s="113">
        <v>0</v>
      </c>
      <c r="F137" s="113">
        <v>0</v>
      </c>
      <c r="G137" s="113">
        <v>0.5</v>
      </c>
      <c r="H137" s="113">
        <v>0.5</v>
      </c>
      <c r="I137" s="114">
        <v>0.2</v>
      </c>
      <c r="J137" s="115">
        <v>46157</v>
      </c>
      <c r="K137" s="115">
        <v>46157</v>
      </c>
      <c r="L137" s="115">
        <v>46150</v>
      </c>
      <c r="M137" s="115">
        <v>46199</v>
      </c>
      <c r="N137" s="115">
        <v>46199</v>
      </c>
      <c r="O137" s="115">
        <v>46191</v>
      </c>
      <c r="P137" s="115">
        <v>46241</v>
      </c>
      <c r="Q137" s="115">
        <v>46241</v>
      </c>
      <c r="R137" s="115">
        <v>46227</v>
      </c>
      <c r="S137" s="115">
        <v>46255</v>
      </c>
      <c r="T137" s="115">
        <v>46255</v>
      </c>
      <c r="U137" s="115">
        <v>46239</v>
      </c>
      <c r="W137" s="174" t="str">
        <f t="shared" ca="1" si="226"/>
        <v>Completed</v>
      </c>
      <c r="X137" s="174" t="str">
        <f t="shared" ca="1" si="227"/>
        <v>Completed</v>
      </c>
      <c r="Y137" s="174" t="str">
        <f t="shared" ca="1" si="228"/>
        <v>Completed</v>
      </c>
      <c r="Z137" s="175" t="str">
        <f t="shared" ca="1" si="229"/>
        <v>Completed</v>
      </c>
    </row>
    <row r="138" spans="1:26" s="70" customFormat="1" ht="11.5" x14ac:dyDescent="0.25">
      <c r="A138" s="112" t="s">
        <v>68</v>
      </c>
      <c r="B138" s="112" t="s">
        <v>34</v>
      </c>
      <c r="C138" s="139" t="s">
        <v>912</v>
      </c>
      <c r="D138" s="140" t="s">
        <v>914</v>
      </c>
      <c r="E138" s="141">
        <v>0.5</v>
      </c>
      <c r="F138" s="141">
        <v>0.5</v>
      </c>
      <c r="G138" s="141">
        <v>0.5</v>
      </c>
      <c r="H138" s="141">
        <v>0</v>
      </c>
      <c r="I138" s="114">
        <v>0.2</v>
      </c>
      <c r="J138" s="142">
        <v>46143</v>
      </c>
      <c r="K138" s="142">
        <v>46143</v>
      </c>
      <c r="L138" s="115">
        <v>46142</v>
      </c>
      <c r="M138" s="115">
        <v>46185</v>
      </c>
      <c r="N138" s="115">
        <v>46185</v>
      </c>
      <c r="O138" s="115">
        <v>46191</v>
      </c>
      <c r="P138" s="115">
        <v>46227</v>
      </c>
      <c r="Q138" s="115">
        <v>46227</v>
      </c>
      <c r="R138" s="116">
        <v>46202</v>
      </c>
      <c r="S138" s="115">
        <v>46241</v>
      </c>
      <c r="T138" s="115">
        <v>46241</v>
      </c>
      <c r="U138" s="142">
        <v>46209</v>
      </c>
      <c r="W138" s="174" t="str">
        <f t="shared" ca="1" si="226"/>
        <v>Completed</v>
      </c>
      <c r="X138" s="174" t="str">
        <f t="shared" ca="1" si="227"/>
        <v>Completed</v>
      </c>
      <c r="Y138" s="174" t="str">
        <f t="shared" ca="1" si="228"/>
        <v>Completed</v>
      </c>
      <c r="Z138" s="175" t="str">
        <f t="shared" ca="1" si="229"/>
        <v>Completed</v>
      </c>
    </row>
    <row r="139" spans="1:26" s="70" customFormat="1" ht="11.5" x14ac:dyDescent="0.25">
      <c r="A139" s="112" t="s">
        <v>68</v>
      </c>
      <c r="B139" s="139" t="s">
        <v>34</v>
      </c>
      <c r="C139" s="139" t="s">
        <v>913</v>
      </c>
      <c r="D139" s="140" t="s">
        <v>915</v>
      </c>
      <c r="E139" s="113">
        <v>0.5</v>
      </c>
      <c r="F139" s="113">
        <v>0.5</v>
      </c>
      <c r="G139" s="113">
        <v>0.5</v>
      </c>
      <c r="H139" s="113">
        <v>0</v>
      </c>
      <c r="I139" s="114">
        <v>0.2</v>
      </c>
      <c r="J139" s="142">
        <v>46143</v>
      </c>
      <c r="K139" s="142">
        <v>46143</v>
      </c>
      <c r="L139" s="115">
        <v>46142</v>
      </c>
      <c r="M139" s="115">
        <v>46185</v>
      </c>
      <c r="N139" s="115">
        <v>46185</v>
      </c>
      <c r="O139" s="115">
        <v>46191</v>
      </c>
      <c r="P139" s="115">
        <v>46227</v>
      </c>
      <c r="Q139" s="115">
        <v>46227</v>
      </c>
      <c r="R139" s="115"/>
      <c r="S139" s="115">
        <v>46241</v>
      </c>
      <c r="T139" s="115">
        <v>46241</v>
      </c>
      <c r="U139" s="142"/>
      <c r="W139" s="174" t="str">
        <f t="shared" ca="1" si="226"/>
        <v>Completed</v>
      </c>
      <c r="X139" s="174" t="str">
        <f t="shared" ca="1" si="227"/>
        <v>Completed</v>
      </c>
      <c r="Y139" s="174" t="str">
        <f t="shared" ca="1" si="228"/>
        <v>Overdue</v>
      </c>
      <c r="Z139" s="175" t="str">
        <f t="shared" ca="1" si="229"/>
        <v>Overdue</v>
      </c>
    </row>
    <row r="140" spans="1:26" s="70" customFormat="1" ht="11.5" x14ac:dyDescent="0.25">
      <c r="A140" s="112" t="s">
        <v>68</v>
      </c>
      <c r="B140" s="112" t="s">
        <v>34</v>
      </c>
      <c r="C140" s="139" t="s">
        <v>916</v>
      </c>
      <c r="D140" s="140" t="s">
        <v>917</v>
      </c>
      <c r="E140" s="113">
        <v>0</v>
      </c>
      <c r="F140" s="113">
        <v>0</v>
      </c>
      <c r="G140" s="113">
        <v>0.5</v>
      </c>
      <c r="H140" s="113">
        <v>0.5</v>
      </c>
      <c r="I140" s="114">
        <v>0.2</v>
      </c>
      <c r="J140" s="142">
        <v>46157</v>
      </c>
      <c r="K140" s="142">
        <v>46157</v>
      </c>
      <c r="L140" s="115">
        <v>46150</v>
      </c>
      <c r="M140" s="115">
        <v>46199</v>
      </c>
      <c r="N140" s="115">
        <v>46199</v>
      </c>
      <c r="O140" s="115">
        <v>46191</v>
      </c>
      <c r="P140" s="115">
        <v>46241</v>
      </c>
      <c r="Q140" s="115">
        <v>46241</v>
      </c>
      <c r="R140" s="116">
        <v>46204</v>
      </c>
      <c r="S140" s="115">
        <v>46255</v>
      </c>
      <c r="T140" s="115">
        <v>46255</v>
      </c>
      <c r="U140" s="142">
        <v>46223</v>
      </c>
      <c r="W140" s="174" t="str">
        <f t="shared" ca="1" si="226"/>
        <v>Completed</v>
      </c>
      <c r="X140" s="174" t="str">
        <f t="shared" ca="1" si="227"/>
        <v>Completed</v>
      </c>
      <c r="Y140" s="174" t="str">
        <f t="shared" ca="1" si="228"/>
        <v>Completed</v>
      </c>
      <c r="Z140" s="175" t="str">
        <f t="shared" ca="1" si="229"/>
        <v>Completed</v>
      </c>
    </row>
    <row r="141" spans="1:26" s="70" customFormat="1" ht="11.5" x14ac:dyDescent="0.25">
      <c r="A141" s="112" t="s">
        <v>68</v>
      </c>
      <c r="B141" s="112" t="s">
        <v>34</v>
      </c>
      <c r="C141" s="139" t="s">
        <v>932</v>
      </c>
      <c r="D141" s="140" t="s">
        <v>933</v>
      </c>
      <c r="E141" s="113">
        <v>0</v>
      </c>
      <c r="F141" s="113">
        <v>0</v>
      </c>
      <c r="G141" s="113">
        <v>0.5</v>
      </c>
      <c r="H141" s="113">
        <v>0.5</v>
      </c>
      <c r="I141" s="114">
        <v>0.5</v>
      </c>
      <c r="J141" s="142">
        <f>J97+28</f>
        <v>46241</v>
      </c>
      <c r="K141" s="142">
        <f>K97+28</f>
        <v>46241</v>
      </c>
      <c r="L141" s="115">
        <v>46171</v>
      </c>
      <c r="M141" s="115">
        <f>J141+42</f>
        <v>46283</v>
      </c>
      <c r="N141" s="115">
        <f>K141+42</f>
        <v>46283</v>
      </c>
      <c r="O141" s="115"/>
      <c r="P141" s="115">
        <f>M141+42</f>
        <v>46325</v>
      </c>
      <c r="Q141" s="115">
        <f>N141+42</f>
        <v>46325</v>
      </c>
      <c r="R141" s="115"/>
      <c r="S141" s="115">
        <f>P141+14</f>
        <v>46339</v>
      </c>
      <c r="T141" s="115">
        <f>Q141+14</f>
        <v>46339</v>
      </c>
      <c r="U141" s="142"/>
      <c r="W141" s="174" t="str">
        <f t="shared" ca="1" si="226"/>
        <v>Completed</v>
      </c>
      <c r="X141" s="174" t="str">
        <f t="shared" ca="1" si="227"/>
        <v/>
      </c>
      <c r="Y141" s="174" t="str">
        <f t="shared" ca="1" si="228"/>
        <v/>
      </c>
      <c r="Z141" s="175" t="str">
        <f t="shared" ca="1" si="229"/>
        <v/>
      </c>
    </row>
    <row r="142" spans="1:26" s="70" customFormat="1" ht="11.5" x14ac:dyDescent="0.25">
      <c r="A142" s="112" t="s">
        <v>68</v>
      </c>
      <c r="B142" s="112" t="s">
        <v>34</v>
      </c>
      <c r="C142" s="112" t="s">
        <v>1004</v>
      </c>
      <c r="D142" s="112" t="s">
        <v>1005</v>
      </c>
      <c r="E142" s="113">
        <v>0</v>
      </c>
      <c r="F142" s="113">
        <v>0</v>
      </c>
      <c r="G142" s="113">
        <v>0.5</v>
      </c>
      <c r="H142" s="113">
        <v>0.5</v>
      </c>
      <c r="I142" s="114"/>
      <c r="J142" s="142">
        <f>J98+28</f>
        <v>46358</v>
      </c>
      <c r="K142" s="142">
        <f>K98+28</f>
        <v>46358</v>
      </c>
      <c r="L142" s="115"/>
      <c r="M142" s="115">
        <f>J142+42</f>
        <v>46400</v>
      </c>
      <c r="N142" s="115">
        <f>K142+42</f>
        <v>46400</v>
      </c>
      <c r="O142" s="115"/>
      <c r="P142" s="115">
        <f>M142+42</f>
        <v>46442</v>
      </c>
      <c r="Q142" s="115">
        <f t="shared" ref="Q142" si="307">N142+14</f>
        <v>46414</v>
      </c>
      <c r="R142" s="115"/>
      <c r="S142" s="115">
        <f>P142+14</f>
        <v>46456</v>
      </c>
      <c r="T142" s="115">
        <f t="shared" ref="T142" si="308">Q142+14</f>
        <v>46428</v>
      </c>
      <c r="U142" s="142"/>
      <c r="W142" s="174" t="str">
        <f t="shared" ca="1" si="226"/>
        <v/>
      </c>
      <c r="X142" s="174" t="str">
        <f t="shared" ca="1" si="227"/>
        <v/>
      </c>
      <c r="Y142" s="174" t="str">
        <f t="shared" ca="1" si="228"/>
        <v/>
      </c>
      <c r="Z142" s="175" t="str">
        <f t="shared" ca="1" si="229"/>
        <v/>
      </c>
    </row>
    <row r="143" spans="1:26" s="70" customFormat="1" ht="11.5" x14ac:dyDescent="0.25">
      <c r="A143" s="71" t="s">
        <v>68</v>
      </c>
      <c r="B143" s="71" t="s">
        <v>34</v>
      </c>
      <c r="C143" s="71" t="s">
        <v>1032</v>
      </c>
      <c r="D143" s="71" t="s">
        <v>841</v>
      </c>
      <c r="E143" s="81">
        <f t="shared" si="269"/>
        <v>0</v>
      </c>
      <c r="F143" s="81">
        <f t="shared" si="270"/>
        <v>0</v>
      </c>
      <c r="G143" s="81">
        <f t="shared" si="270"/>
        <v>0</v>
      </c>
      <c r="H143" s="81">
        <f t="shared" si="271"/>
        <v>0</v>
      </c>
      <c r="I143" s="82">
        <v>0.2</v>
      </c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W143" s="174" t="str">
        <f t="shared" ca="1" si="226"/>
        <v/>
      </c>
      <c r="X143" s="174" t="str">
        <f t="shared" ca="1" si="227"/>
        <v/>
      </c>
      <c r="Y143" s="174" t="str">
        <f t="shared" ca="1" si="228"/>
        <v/>
      </c>
      <c r="Z143" s="175" t="str">
        <f t="shared" ca="1" si="229"/>
        <v/>
      </c>
    </row>
    <row r="144" spans="1:26" s="70" customFormat="1" ht="11.5" x14ac:dyDescent="0.25">
      <c r="A144" s="71" t="s">
        <v>68</v>
      </c>
      <c r="B144" s="71" t="s">
        <v>34</v>
      </c>
      <c r="C144" s="71" t="s">
        <v>1033</v>
      </c>
      <c r="D144" s="71" t="s">
        <v>842</v>
      </c>
      <c r="E144" s="81">
        <f t="shared" si="269"/>
        <v>0</v>
      </c>
      <c r="F144" s="81">
        <f t="shared" si="270"/>
        <v>0</v>
      </c>
      <c r="G144" s="81">
        <f t="shared" si="270"/>
        <v>0</v>
      </c>
      <c r="H144" s="81">
        <f t="shared" si="271"/>
        <v>0</v>
      </c>
      <c r="I144" s="82">
        <v>0.4</v>
      </c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W144" s="174" t="str">
        <f t="shared" ca="1" si="226"/>
        <v/>
      </c>
      <c r="X144" s="174" t="str">
        <f t="shared" ca="1" si="227"/>
        <v/>
      </c>
      <c r="Y144" s="174" t="str">
        <f t="shared" ca="1" si="228"/>
        <v/>
      </c>
      <c r="Z144" s="175" t="str">
        <f t="shared" ca="1" si="229"/>
        <v/>
      </c>
    </row>
    <row r="145" spans="1:26" s="70" customFormat="1" ht="11.5" x14ac:dyDescent="0.25">
      <c r="A145" s="71" t="s">
        <v>68</v>
      </c>
      <c r="B145" s="71" t="s">
        <v>34</v>
      </c>
      <c r="C145" s="71" t="s">
        <v>1034</v>
      </c>
      <c r="D145" s="71" t="s">
        <v>843</v>
      </c>
      <c r="E145" s="81">
        <f t="shared" si="269"/>
        <v>0</v>
      </c>
      <c r="F145" s="81">
        <f t="shared" si="270"/>
        <v>0</v>
      </c>
      <c r="G145" s="81">
        <f t="shared" si="270"/>
        <v>0</v>
      </c>
      <c r="H145" s="81">
        <f t="shared" si="271"/>
        <v>0</v>
      </c>
      <c r="I145" s="82">
        <v>0.4</v>
      </c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W145" s="174" t="str">
        <f t="shared" ca="1" si="226"/>
        <v/>
      </c>
      <c r="X145" s="174" t="str">
        <f t="shared" ca="1" si="227"/>
        <v/>
      </c>
      <c r="Y145" s="174" t="str">
        <f t="shared" ca="1" si="228"/>
        <v/>
      </c>
      <c r="Z145" s="175" t="str">
        <f t="shared" ca="1" si="229"/>
        <v/>
      </c>
    </row>
    <row r="146" spans="1:26" s="70" customFormat="1" ht="11.5" x14ac:dyDescent="0.25">
      <c r="A146" s="73"/>
      <c r="B146" s="73"/>
      <c r="C146" s="77"/>
      <c r="D146" s="78"/>
      <c r="E146" s="79"/>
      <c r="F146" s="79"/>
      <c r="G146" s="79"/>
      <c r="H146" s="79"/>
      <c r="I146" s="75"/>
      <c r="J146" s="76"/>
      <c r="K146" s="76"/>
      <c r="L146" s="76"/>
      <c r="M146" s="80"/>
      <c r="N146" s="76"/>
      <c r="O146" s="76"/>
      <c r="P146" s="80"/>
      <c r="Q146" s="76"/>
      <c r="R146" s="76"/>
      <c r="S146" s="80"/>
      <c r="T146" s="76"/>
      <c r="U146" s="76"/>
      <c r="W146" s="174" t="str">
        <f t="shared" ref="W146:W210" ca="1" si="309">IF(OR(L146&lt;&gt;""),"Completed",
IF(K146="","",IF(K146&lt;TODAY(),"Overdue",
IF(AND(K146&gt;=TODAY()-WEEKDAY(TODAY(),2)+1,K146&lt;=TODAY()-WEEKDAY(TODAY(),2)+7),"Follow-This Week",
IF(AND(K146&gt;=TODAY()-WEEKDAY(TODAY(),2)+8,K146&lt;=TODAY()-WEEKDAY(TODAY(),2)+14),"Follow-Next Week","")))))</f>
        <v/>
      </c>
      <c r="X146" s="174" t="str">
        <f t="shared" ref="X146:X210" ca="1" si="310">IF(OR(O146&lt;&gt;""),"Completed",IF(N146="","",
IF(N146&lt;TODAY(),"Overdue",
IF(AND(N146&gt;=TODAY()-WEEKDAY(TODAY(),2)+1,N146&lt;=TODAY()-WEEKDAY(TODAY(),2)+7),"Follow-This Week",
IF(AND(N146&gt;=TODAY()-WEEKDAY(TODAY(),2)+8,N146&lt;=TODAY()-WEEKDAY(TODAY(),2)+14),"Follow-Next Week","")))))</f>
        <v/>
      </c>
      <c r="Y146" s="174" t="str">
        <f t="shared" ref="Y146:Y210" ca="1" si="311">IF(OR(R146&lt;&gt;""),"Completed",IF(Q146="","",
IF(Q146&lt;TODAY(),"Overdue",
IF(AND(Q146&gt;=TODAY()-WEEKDAY(TODAY(),2)+1,Q146&lt;=TODAY()-WEEKDAY(TODAY(),2)+7),"Follow-This Week",
IF(AND(Q146&gt;=TODAY()-WEEKDAY(TODAY(),2)+8,Q146&lt;=TODAY()-WEEKDAY(TODAY(),2)+14),"Follow-Next Week","")))))</f>
        <v/>
      </c>
      <c r="Z146" s="175" t="str">
        <f t="shared" ref="Z146:Z210" ca="1" si="312">IF(OR(U146&lt;&gt;""),"Completed",IF(T146="","",
IF(T146&lt;TODAY(),"Overdue",
IF(AND(T146&gt;=TODAY()-WEEKDAY(TODAY(),2)+1,T146&lt;=TODAY()-WEEKDAY(TODAY(),2)+7),"Follow-This Week",
IF(AND(T146&gt;=TODAY()-WEEKDAY(TODAY(),2)+8,T146&lt;=TODAY()-WEEKDAY(TODAY(),2)+14),"Follow-Next Week","")))))</f>
        <v/>
      </c>
    </row>
    <row r="147" spans="1:26" s="70" customFormat="1" ht="11.5" x14ac:dyDescent="0.25">
      <c r="A147" s="71" t="s">
        <v>66</v>
      </c>
      <c r="B147" s="87" t="s">
        <v>34</v>
      </c>
      <c r="C147" s="87" t="s">
        <v>1024</v>
      </c>
      <c r="D147" s="87" t="s">
        <v>56</v>
      </c>
      <c r="E147" s="81">
        <f t="shared" ref="E147:E151" si="313">(COUNTIFS(J147,"&lt;="&amp;$C$1)*50%)+(COUNTIFS(M147,"&lt;="&amp;$C$1)*20%)+(COUNTIFS(P147,"&lt;="&amp;$C$1)*10%)+(COUNTIFS(S147,"&lt;="&amp;$C$1)*20%)</f>
        <v>1</v>
      </c>
      <c r="F147" s="81">
        <f t="shared" ref="F147:F151" si="314">(COUNTIFS(K147,"&lt;="&amp;$C$1)*50%)+(COUNTIFS(N147,"&lt;="&amp;$C$1)*20%)+(COUNTIFS(Q147,"&lt;="&amp;$C$1)*10%)+(COUNTIFS(T147,"&lt;="&amp;$C$1)*20%)</f>
        <v>1</v>
      </c>
      <c r="G147" s="81">
        <f t="shared" ref="G147:G151" si="315">(COUNTIFS(L147,"&lt;="&amp;$C$1)*50%)+(COUNTIFS(O147,"&lt;="&amp;$C$1)*20%)+(COUNTIFS(R147,"&lt;="&amp;$C$1)*10%)+(COUNTIFS(U147,"&lt;="&amp;$C$1)*20%)</f>
        <v>0.79999999999999993</v>
      </c>
      <c r="H147" s="81">
        <f t="shared" ref="H147:H151" si="316">G147-E147</f>
        <v>-0.20000000000000007</v>
      </c>
      <c r="I147" s="82">
        <v>0.2</v>
      </c>
      <c r="J147" s="85">
        <v>46115</v>
      </c>
      <c r="K147" s="85">
        <f t="shared" si="272"/>
        <v>46115</v>
      </c>
      <c r="L147" s="85">
        <v>46115</v>
      </c>
      <c r="M147" s="85">
        <f t="shared" si="273"/>
        <v>46157</v>
      </c>
      <c r="N147" s="85">
        <f t="shared" si="274"/>
        <v>46157</v>
      </c>
      <c r="O147" s="85">
        <v>46191</v>
      </c>
      <c r="P147" s="85">
        <f t="shared" si="275"/>
        <v>46199</v>
      </c>
      <c r="Q147" s="85">
        <f t="shared" si="276"/>
        <v>46199</v>
      </c>
      <c r="R147" s="85">
        <v>46219</v>
      </c>
      <c r="S147" s="85">
        <f t="shared" si="277"/>
        <v>46213</v>
      </c>
      <c r="T147" s="85">
        <f t="shared" si="278"/>
        <v>46213</v>
      </c>
      <c r="U147" s="85"/>
      <c r="W147" s="174" t="str">
        <f t="shared" ca="1" si="309"/>
        <v>Completed</v>
      </c>
      <c r="X147" s="174" t="str">
        <f t="shared" ca="1" si="310"/>
        <v>Completed</v>
      </c>
      <c r="Y147" s="174" t="str">
        <f t="shared" ca="1" si="311"/>
        <v>Completed</v>
      </c>
      <c r="Z147" s="175" t="str">
        <f t="shared" ca="1" si="312"/>
        <v>Overdue</v>
      </c>
    </row>
    <row r="148" spans="1:26" s="70" customFormat="1" ht="11.5" x14ac:dyDescent="0.25">
      <c r="A148" s="71" t="s">
        <v>66</v>
      </c>
      <c r="B148" s="87" t="s">
        <v>34</v>
      </c>
      <c r="C148" s="87" t="s">
        <v>1025</v>
      </c>
      <c r="D148" s="87" t="s">
        <v>57</v>
      </c>
      <c r="E148" s="81">
        <f t="shared" si="313"/>
        <v>1</v>
      </c>
      <c r="F148" s="81">
        <f t="shared" si="314"/>
        <v>1</v>
      </c>
      <c r="G148" s="81">
        <f t="shared" si="315"/>
        <v>1</v>
      </c>
      <c r="H148" s="81">
        <f t="shared" si="316"/>
        <v>0</v>
      </c>
      <c r="I148" s="82">
        <v>0.2</v>
      </c>
      <c r="J148" s="85">
        <v>46115</v>
      </c>
      <c r="K148" s="85">
        <f t="shared" si="272"/>
        <v>46115</v>
      </c>
      <c r="L148" s="85">
        <v>46115</v>
      </c>
      <c r="M148" s="85">
        <f t="shared" si="273"/>
        <v>46157</v>
      </c>
      <c r="N148" s="85">
        <f t="shared" si="274"/>
        <v>46157</v>
      </c>
      <c r="O148" s="146">
        <v>46171</v>
      </c>
      <c r="P148" s="85">
        <f t="shared" si="275"/>
        <v>46199</v>
      </c>
      <c r="Q148" s="85">
        <f t="shared" si="276"/>
        <v>46199</v>
      </c>
      <c r="R148" s="85">
        <v>46199</v>
      </c>
      <c r="S148" s="85">
        <f t="shared" si="277"/>
        <v>46213</v>
      </c>
      <c r="T148" s="85">
        <f t="shared" si="278"/>
        <v>46213</v>
      </c>
      <c r="U148" s="85">
        <v>46204</v>
      </c>
      <c r="W148" s="174" t="str">
        <f t="shared" ca="1" si="309"/>
        <v>Completed</v>
      </c>
      <c r="X148" s="174" t="str">
        <f t="shared" ca="1" si="310"/>
        <v>Completed</v>
      </c>
      <c r="Y148" s="174" t="str">
        <f t="shared" ca="1" si="311"/>
        <v>Completed</v>
      </c>
      <c r="Z148" s="175" t="str">
        <f t="shared" ca="1" si="312"/>
        <v>Completed</v>
      </c>
    </row>
    <row r="149" spans="1:26" s="70" customFormat="1" ht="11.5" x14ac:dyDescent="0.25">
      <c r="A149" s="71" t="s">
        <v>66</v>
      </c>
      <c r="B149" s="87" t="s">
        <v>34</v>
      </c>
      <c r="C149" s="87" t="s">
        <v>1026</v>
      </c>
      <c r="D149" s="87" t="s">
        <v>58</v>
      </c>
      <c r="E149" s="81">
        <f t="shared" si="313"/>
        <v>1</v>
      </c>
      <c r="F149" s="81">
        <f t="shared" si="314"/>
        <v>1</v>
      </c>
      <c r="G149" s="81">
        <f t="shared" si="315"/>
        <v>1</v>
      </c>
      <c r="H149" s="81">
        <f t="shared" si="316"/>
        <v>0</v>
      </c>
      <c r="I149" s="82">
        <v>0.2</v>
      </c>
      <c r="J149" s="85">
        <v>46115</v>
      </c>
      <c r="K149" s="85">
        <f t="shared" si="272"/>
        <v>46115</v>
      </c>
      <c r="L149" s="85">
        <v>46115</v>
      </c>
      <c r="M149" s="85">
        <f t="shared" si="273"/>
        <v>46157</v>
      </c>
      <c r="N149" s="85">
        <f t="shared" si="274"/>
        <v>46157</v>
      </c>
      <c r="O149" s="146">
        <v>46171</v>
      </c>
      <c r="P149" s="85">
        <f t="shared" si="275"/>
        <v>46199</v>
      </c>
      <c r="Q149" s="85">
        <f t="shared" si="276"/>
        <v>46199</v>
      </c>
      <c r="R149" s="85">
        <v>46219</v>
      </c>
      <c r="S149" s="85">
        <f t="shared" si="277"/>
        <v>46213</v>
      </c>
      <c r="T149" s="85">
        <f t="shared" si="278"/>
        <v>46213</v>
      </c>
      <c r="U149" s="85">
        <v>46233</v>
      </c>
      <c r="W149" s="174" t="str">
        <f t="shared" ca="1" si="309"/>
        <v>Completed</v>
      </c>
      <c r="X149" s="174" t="str">
        <f t="shared" ca="1" si="310"/>
        <v>Completed</v>
      </c>
      <c r="Y149" s="174" t="str">
        <f t="shared" ca="1" si="311"/>
        <v>Completed</v>
      </c>
      <c r="Z149" s="175" t="str">
        <f t="shared" ca="1" si="312"/>
        <v>Completed</v>
      </c>
    </row>
    <row r="150" spans="1:26" s="70" customFormat="1" ht="11.5" x14ac:dyDescent="0.25">
      <c r="A150" s="71" t="s">
        <v>66</v>
      </c>
      <c r="B150" s="87" t="s">
        <v>34</v>
      </c>
      <c r="C150" s="87" t="s">
        <v>1027</v>
      </c>
      <c r="D150" s="87" t="s">
        <v>59</v>
      </c>
      <c r="E150" s="81">
        <f t="shared" si="313"/>
        <v>1</v>
      </c>
      <c r="F150" s="81">
        <f t="shared" si="314"/>
        <v>1</v>
      </c>
      <c r="G150" s="81">
        <f t="shared" si="315"/>
        <v>0.7</v>
      </c>
      <c r="H150" s="81">
        <f t="shared" si="316"/>
        <v>-0.30000000000000004</v>
      </c>
      <c r="I150" s="82">
        <v>0.2</v>
      </c>
      <c r="J150" s="85">
        <v>46115</v>
      </c>
      <c r="K150" s="85">
        <f t="shared" si="272"/>
        <v>46115</v>
      </c>
      <c r="L150" s="85">
        <v>46115</v>
      </c>
      <c r="M150" s="85">
        <f t="shared" si="273"/>
        <v>46157</v>
      </c>
      <c r="N150" s="85">
        <f t="shared" si="274"/>
        <v>46157</v>
      </c>
      <c r="O150" s="146">
        <v>46171</v>
      </c>
      <c r="P150" s="85">
        <f t="shared" si="275"/>
        <v>46199</v>
      </c>
      <c r="Q150" s="85">
        <f t="shared" si="276"/>
        <v>46199</v>
      </c>
      <c r="R150" s="85"/>
      <c r="S150" s="85">
        <f t="shared" si="277"/>
        <v>46213</v>
      </c>
      <c r="T150" s="85">
        <f t="shared" si="278"/>
        <v>46213</v>
      </c>
      <c r="U150" s="85"/>
      <c r="W150" s="174" t="str">
        <f t="shared" ca="1" si="309"/>
        <v>Completed</v>
      </c>
      <c r="X150" s="174" t="str">
        <f t="shared" ca="1" si="310"/>
        <v>Completed</v>
      </c>
      <c r="Y150" s="174" t="str">
        <f t="shared" ca="1" si="311"/>
        <v>Overdue</v>
      </c>
      <c r="Z150" s="175" t="str">
        <f t="shared" ca="1" si="312"/>
        <v>Overdue</v>
      </c>
    </row>
    <row r="151" spans="1:26" s="70" customFormat="1" ht="11.5" x14ac:dyDescent="0.25">
      <c r="A151" s="71" t="s">
        <v>66</v>
      </c>
      <c r="B151" s="87" t="s">
        <v>34</v>
      </c>
      <c r="C151" s="87" t="s">
        <v>1028</v>
      </c>
      <c r="D151" s="87" t="s">
        <v>60</v>
      </c>
      <c r="E151" s="81">
        <f t="shared" si="313"/>
        <v>1</v>
      </c>
      <c r="F151" s="81">
        <f t="shared" si="314"/>
        <v>1</v>
      </c>
      <c r="G151" s="81">
        <f t="shared" si="315"/>
        <v>1</v>
      </c>
      <c r="H151" s="81">
        <f t="shared" si="316"/>
        <v>0</v>
      </c>
      <c r="I151" s="82">
        <v>0.2</v>
      </c>
      <c r="J151" s="85">
        <v>46115</v>
      </c>
      <c r="K151" s="85">
        <f t="shared" si="272"/>
        <v>46115</v>
      </c>
      <c r="L151" s="85">
        <v>46115</v>
      </c>
      <c r="M151" s="85">
        <f t="shared" si="273"/>
        <v>46157</v>
      </c>
      <c r="N151" s="85">
        <f t="shared" si="274"/>
        <v>46157</v>
      </c>
      <c r="O151" s="85">
        <v>46199</v>
      </c>
      <c r="P151" s="85">
        <f t="shared" si="275"/>
        <v>46199</v>
      </c>
      <c r="Q151" s="85">
        <f t="shared" si="276"/>
        <v>46199</v>
      </c>
      <c r="R151" s="85">
        <v>46204</v>
      </c>
      <c r="S151" s="85">
        <f t="shared" si="277"/>
        <v>46213</v>
      </c>
      <c r="T151" s="85">
        <f t="shared" si="278"/>
        <v>46213</v>
      </c>
      <c r="U151" s="85">
        <v>46213</v>
      </c>
      <c r="W151" s="174" t="str">
        <f t="shared" ca="1" si="309"/>
        <v>Completed</v>
      </c>
      <c r="X151" s="174" t="str">
        <f t="shared" ca="1" si="310"/>
        <v>Completed</v>
      </c>
      <c r="Y151" s="174" t="str">
        <f t="shared" ca="1" si="311"/>
        <v>Completed</v>
      </c>
      <c r="Z151" s="175" t="str">
        <f t="shared" ca="1" si="312"/>
        <v>Completed</v>
      </c>
    </row>
    <row r="152" spans="1:26" s="70" customFormat="1" ht="11.5" x14ac:dyDescent="0.25">
      <c r="A152" s="121" t="s">
        <v>66</v>
      </c>
      <c r="B152" s="122" t="s">
        <v>34</v>
      </c>
      <c r="C152" s="122" t="s">
        <v>199</v>
      </c>
      <c r="D152" s="122" t="s">
        <v>200</v>
      </c>
      <c r="E152" s="123">
        <f t="shared" si="269"/>
        <v>0.7</v>
      </c>
      <c r="F152" s="123">
        <f t="shared" si="270"/>
        <v>0.7</v>
      </c>
      <c r="G152" s="123">
        <f t="shared" si="270"/>
        <v>0.5</v>
      </c>
      <c r="H152" s="123">
        <f t="shared" si="271"/>
        <v>-0.19999999999999996</v>
      </c>
      <c r="I152" s="124">
        <v>0.5</v>
      </c>
      <c r="J152" s="125">
        <f t="shared" ref="J152:J175" si="317">K108+28</f>
        <v>46206</v>
      </c>
      <c r="K152" s="125">
        <f t="shared" si="272"/>
        <v>46206</v>
      </c>
      <c r="L152" s="145">
        <v>46162</v>
      </c>
      <c r="M152" s="125">
        <f t="shared" si="273"/>
        <v>46248</v>
      </c>
      <c r="N152" s="125">
        <f t="shared" si="274"/>
        <v>46248</v>
      </c>
      <c r="O152" s="125"/>
      <c r="P152" s="125">
        <f t="shared" si="275"/>
        <v>46290</v>
      </c>
      <c r="Q152" s="125">
        <f t="shared" si="276"/>
        <v>46290</v>
      </c>
      <c r="R152" s="125"/>
      <c r="S152" s="125">
        <f t="shared" si="277"/>
        <v>46304</v>
      </c>
      <c r="T152" s="125">
        <f t="shared" si="278"/>
        <v>46304</v>
      </c>
      <c r="U152" s="125"/>
      <c r="W152" s="174" t="str">
        <f t="shared" ca="1" si="309"/>
        <v>Completed</v>
      </c>
      <c r="X152" s="174" t="str">
        <f t="shared" ca="1" si="310"/>
        <v>Overdue</v>
      </c>
      <c r="Y152" s="174" t="str">
        <f t="shared" ca="1" si="311"/>
        <v/>
      </c>
      <c r="Z152" s="175" t="str">
        <f t="shared" ca="1" si="312"/>
        <v/>
      </c>
    </row>
    <row r="153" spans="1:26" s="70" customFormat="1" ht="11.5" x14ac:dyDescent="0.25">
      <c r="A153" s="121" t="s">
        <v>66</v>
      </c>
      <c r="B153" s="122" t="s">
        <v>34</v>
      </c>
      <c r="C153" s="122" t="s">
        <v>201</v>
      </c>
      <c r="D153" s="122" t="s">
        <v>202</v>
      </c>
      <c r="E153" s="123">
        <f t="shared" si="269"/>
        <v>0.5</v>
      </c>
      <c r="F153" s="123">
        <f t="shared" si="270"/>
        <v>0.5</v>
      </c>
      <c r="G153" s="123">
        <f t="shared" si="270"/>
        <v>0.5</v>
      </c>
      <c r="H153" s="123">
        <f t="shared" si="271"/>
        <v>0</v>
      </c>
      <c r="I153" s="124">
        <v>0.5</v>
      </c>
      <c r="J153" s="125">
        <f t="shared" si="317"/>
        <v>46220</v>
      </c>
      <c r="K153" s="125">
        <f t="shared" si="272"/>
        <v>46220</v>
      </c>
      <c r="L153" s="127">
        <v>46237</v>
      </c>
      <c r="M153" s="125">
        <f t="shared" si="273"/>
        <v>46262</v>
      </c>
      <c r="N153" s="125">
        <f t="shared" si="274"/>
        <v>46262</v>
      </c>
      <c r="O153" s="125"/>
      <c r="P153" s="125">
        <f t="shared" si="275"/>
        <v>46304</v>
      </c>
      <c r="Q153" s="125">
        <f t="shared" si="276"/>
        <v>46304</v>
      </c>
      <c r="R153" s="125"/>
      <c r="S153" s="125">
        <f t="shared" si="277"/>
        <v>46318</v>
      </c>
      <c r="T153" s="125">
        <f t="shared" si="278"/>
        <v>46318</v>
      </c>
      <c r="U153" s="125"/>
      <c r="W153" s="174" t="str">
        <f t="shared" ca="1" si="309"/>
        <v>Completed</v>
      </c>
      <c r="X153" s="174" t="str">
        <f t="shared" ca="1" si="310"/>
        <v/>
      </c>
      <c r="Y153" s="174" t="str">
        <f t="shared" ca="1" si="311"/>
        <v/>
      </c>
      <c r="Z153" s="175" t="str">
        <f t="shared" ca="1" si="312"/>
        <v/>
      </c>
    </row>
    <row r="154" spans="1:26" s="70" customFormat="1" ht="11.5" x14ac:dyDescent="0.25">
      <c r="A154" s="121" t="s">
        <v>66</v>
      </c>
      <c r="B154" s="121" t="s">
        <v>34</v>
      </c>
      <c r="C154" s="121" t="s">
        <v>203</v>
      </c>
      <c r="D154" s="121" t="s">
        <v>204</v>
      </c>
      <c r="E154" s="123">
        <f t="shared" si="269"/>
        <v>0.5</v>
      </c>
      <c r="F154" s="123">
        <f t="shared" si="270"/>
        <v>0.5</v>
      </c>
      <c r="G154" s="123">
        <f t="shared" si="270"/>
        <v>0.5</v>
      </c>
      <c r="H154" s="123">
        <f t="shared" si="271"/>
        <v>0</v>
      </c>
      <c r="I154" s="124">
        <v>0.5</v>
      </c>
      <c r="J154" s="125">
        <f t="shared" si="317"/>
        <v>46227</v>
      </c>
      <c r="K154" s="125">
        <f t="shared" si="272"/>
        <v>46227</v>
      </c>
      <c r="L154" s="125">
        <v>46175</v>
      </c>
      <c r="M154" s="125">
        <f t="shared" si="273"/>
        <v>46269</v>
      </c>
      <c r="N154" s="125">
        <f t="shared" si="274"/>
        <v>46269</v>
      </c>
      <c r="O154" s="125"/>
      <c r="P154" s="125">
        <f t="shared" si="275"/>
        <v>46311</v>
      </c>
      <c r="Q154" s="125">
        <f t="shared" si="276"/>
        <v>46311</v>
      </c>
      <c r="R154" s="125"/>
      <c r="S154" s="125">
        <f t="shared" si="277"/>
        <v>46325</v>
      </c>
      <c r="T154" s="125">
        <f t="shared" si="278"/>
        <v>46325</v>
      </c>
      <c r="U154" s="125"/>
      <c r="W154" s="174" t="str">
        <f t="shared" ca="1" si="309"/>
        <v>Completed</v>
      </c>
      <c r="X154" s="174" t="str">
        <f t="shared" ca="1" si="310"/>
        <v/>
      </c>
      <c r="Y154" s="174" t="str">
        <f t="shared" ca="1" si="311"/>
        <v/>
      </c>
      <c r="Z154" s="175" t="str">
        <f t="shared" ca="1" si="312"/>
        <v/>
      </c>
    </row>
    <row r="155" spans="1:26" s="70" customFormat="1" ht="11.5" x14ac:dyDescent="0.25">
      <c r="A155" s="121" t="s">
        <v>66</v>
      </c>
      <c r="B155" s="121" t="s">
        <v>34</v>
      </c>
      <c r="C155" s="121" t="s">
        <v>205</v>
      </c>
      <c r="D155" s="121" t="s">
        <v>206</v>
      </c>
      <c r="E155" s="123">
        <f t="shared" si="269"/>
        <v>0.5</v>
      </c>
      <c r="F155" s="123">
        <f t="shared" si="270"/>
        <v>0.5</v>
      </c>
      <c r="G155" s="123">
        <f t="shared" si="270"/>
        <v>0.5</v>
      </c>
      <c r="H155" s="123">
        <f t="shared" si="271"/>
        <v>0</v>
      </c>
      <c r="I155" s="124">
        <v>0.5</v>
      </c>
      <c r="J155" s="125">
        <f t="shared" si="317"/>
        <v>46234</v>
      </c>
      <c r="K155" s="125">
        <f t="shared" si="272"/>
        <v>46234</v>
      </c>
      <c r="L155" s="125">
        <v>46175</v>
      </c>
      <c r="M155" s="125">
        <f t="shared" si="273"/>
        <v>46276</v>
      </c>
      <c r="N155" s="125">
        <f t="shared" si="274"/>
        <v>46276</v>
      </c>
      <c r="O155" s="125"/>
      <c r="P155" s="125">
        <f t="shared" si="275"/>
        <v>46318</v>
      </c>
      <c r="Q155" s="125">
        <f t="shared" si="276"/>
        <v>46318</v>
      </c>
      <c r="R155" s="125"/>
      <c r="S155" s="125">
        <f t="shared" si="277"/>
        <v>46332</v>
      </c>
      <c r="T155" s="125">
        <f t="shared" si="278"/>
        <v>46332</v>
      </c>
      <c r="U155" s="125"/>
      <c r="W155" s="174" t="str">
        <f t="shared" ca="1" si="309"/>
        <v>Completed</v>
      </c>
      <c r="X155" s="174" t="str">
        <f t="shared" ca="1" si="310"/>
        <v/>
      </c>
      <c r="Y155" s="174" t="str">
        <f t="shared" ca="1" si="311"/>
        <v/>
      </c>
      <c r="Z155" s="175" t="str">
        <f t="shared" ca="1" si="312"/>
        <v/>
      </c>
    </row>
    <row r="156" spans="1:26" s="70" customFormat="1" ht="11.5" x14ac:dyDescent="0.25">
      <c r="A156" s="121" t="s">
        <v>66</v>
      </c>
      <c r="B156" s="121" t="s">
        <v>34</v>
      </c>
      <c r="C156" s="121" t="s">
        <v>207</v>
      </c>
      <c r="D156" s="121" t="s">
        <v>208</v>
      </c>
      <c r="E156" s="123">
        <f t="shared" si="269"/>
        <v>0.5</v>
      </c>
      <c r="F156" s="123">
        <f t="shared" si="270"/>
        <v>0.5</v>
      </c>
      <c r="G156" s="123">
        <f t="shared" si="270"/>
        <v>0.5</v>
      </c>
      <c r="H156" s="123">
        <f t="shared" si="271"/>
        <v>0</v>
      </c>
      <c r="I156" s="124">
        <v>0.5</v>
      </c>
      <c r="J156" s="125">
        <f t="shared" si="317"/>
        <v>46248</v>
      </c>
      <c r="K156" s="125">
        <f t="shared" si="272"/>
        <v>46248</v>
      </c>
      <c r="L156" s="145">
        <v>46162</v>
      </c>
      <c r="M156" s="125">
        <f t="shared" si="273"/>
        <v>46290</v>
      </c>
      <c r="N156" s="125">
        <f t="shared" si="274"/>
        <v>46290</v>
      </c>
      <c r="O156" s="125"/>
      <c r="P156" s="125">
        <f t="shared" si="275"/>
        <v>46332</v>
      </c>
      <c r="Q156" s="125">
        <f t="shared" si="276"/>
        <v>46332</v>
      </c>
      <c r="R156" s="125"/>
      <c r="S156" s="125">
        <f t="shared" si="277"/>
        <v>46346</v>
      </c>
      <c r="T156" s="125">
        <f t="shared" si="278"/>
        <v>46346</v>
      </c>
      <c r="U156" s="125"/>
      <c r="W156" s="174" t="str">
        <f t="shared" ca="1" si="309"/>
        <v>Completed</v>
      </c>
      <c r="X156" s="174" t="str">
        <f t="shared" ca="1" si="310"/>
        <v/>
      </c>
      <c r="Y156" s="174" t="str">
        <f t="shared" ca="1" si="311"/>
        <v/>
      </c>
      <c r="Z156" s="175" t="str">
        <f t="shared" ca="1" si="312"/>
        <v/>
      </c>
    </row>
    <row r="157" spans="1:26" s="70" customFormat="1" ht="11.5" x14ac:dyDescent="0.25">
      <c r="A157" s="121" t="s">
        <v>66</v>
      </c>
      <c r="B157" s="121" t="s">
        <v>34</v>
      </c>
      <c r="C157" s="121" t="s">
        <v>209</v>
      </c>
      <c r="D157" s="121" t="s">
        <v>210</v>
      </c>
      <c r="E157" s="123">
        <f t="shared" si="269"/>
        <v>0</v>
      </c>
      <c r="F157" s="123">
        <f t="shared" si="270"/>
        <v>0</v>
      </c>
      <c r="G157" s="123">
        <f t="shared" si="270"/>
        <v>0</v>
      </c>
      <c r="H157" s="128">
        <f t="shared" si="271"/>
        <v>0</v>
      </c>
      <c r="I157" s="126">
        <v>0.5</v>
      </c>
      <c r="J157" s="125">
        <f t="shared" si="317"/>
        <v>46262</v>
      </c>
      <c r="K157" s="125">
        <f t="shared" si="272"/>
        <v>46262</v>
      </c>
      <c r="L157" s="125"/>
      <c r="M157" s="125">
        <f t="shared" si="273"/>
        <v>46304</v>
      </c>
      <c r="N157" s="125">
        <f t="shared" si="274"/>
        <v>46304</v>
      </c>
      <c r="O157" s="125"/>
      <c r="P157" s="125">
        <f t="shared" si="275"/>
        <v>46346</v>
      </c>
      <c r="Q157" s="125">
        <f t="shared" si="276"/>
        <v>46346</v>
      </c>
      <c r="R157" s="125"/>
      <c r="S157" s="125">
        <f t="shared" si="277"/>
        <v>46360</v>
      </c>
      <c r="T157" s="125">
        <f t="shared" si="278"/>
        <v>46360</v>
      </c>
      <c r="U157" s="125"/>
      <c r="W157" s="174" t="str">
        <f t="shared" ca="1" si="309"/>
        <v/>
      </c>
      <c r="X157" s="174" t="str">
        <f t="shared" ca="1" si="310"/>
        <v/>
      </c>
      <c r="Y157" s="174" t="str">
        <f t="shared" ca="1" si="311"/>
        <v/>
      </c>
      <c r="Z157" s="175" t="str">
        <f t="shared" ca="1" si="312"/>
        <v/>
      </c>
    </row>
    <row r="158" spans="1:26" s="70" customFormat="1" ht="11.5" x14ac:dyDescent="0.25">
      <c r="A158" s="121" t="s">
        <v>66</v>
      </c>
      <c r="B158" s="121" t="s">
        <v>34</v>
      </c>
      <c r="C158" s="121" t="s">
        <v>211</v>
      </c>
      <c r="D158" s="121" t="s">
        <v>212</v>
      </c>
      <c r="E158" s="123">
        <f t="shared" si="269"/>
        <v>0</v>
      </c>
      <c r="F158" s="123">
        <f t="shared" si="270"/>
        <v>0</v>
      </c>
      <c r="G158" s="123">
        <f t="shared" si="270"/>
        <v>0</v>
      </c>
      <c r="H158" s="128">
        <f t="shared" si="271"/>
        <v>0</v>
      </c>
      <c r="I158" s="126">
        <v>0.5</v>
      </c>
      <c r="J158" s="125">
        <f t="shared" si="317"/>
        <v>46276</v>
      </c>
      <c r="K158" s="125">
        <f t="shared" si="272"/>
        <v>46276</v>
      </c>
      <c r="L158" s="125"/>
      <c r="M158" s="125">
        <f t="shared" si="273"/>
        <v>46318</v>
      </c>
      <c r="N158" s="125">
        <f t="shared" si="274"/>
        <v>46318</v>
      </c>
      <c r="O158" s="125"/>
      <c r="P158" s="125">
        <f t="shared" si="275"/>
        <v>46360</v>
      </c>
      <c r="Q158" s="125">
        <f t="shared" si="276"/>
        <v>46360</v>
      </c>
      <c r="R158" s="125"/>
      <c r="S158" s="125">
        <f t="shared" si="277"/>
        <v>46374</v>
      </c>
      <c r="T158" s="125">
        <f t="shared" si="278"/>
        <v>46374</v>
      </c>
      <c r="U158" s="125"/>
      <c r="W158" s="174" t="str">
        <f t="shared" ca="1" si="309"/>
        <v/>
      </c>
      <c r="X158" s="174" t="str">
        <f t="shared" ca="1" si="310"/>
        <v/>
      </c>
      <c r="Y158" s="174" t="str">
        <f t="shared" ca="1" si="311"/>
        <v/>
      </c>
      <c r="Z158" s="175" t="str">
        <f t="shared" ca="1" si="312"/>
        <v/>
      </c>
    </row>
    <row r="159" spans="1:26" s="70" customFormat="1" ht="11.5" x14ac:dyDescent="0.25">
      <c r="A159" s="121" t="s">
        <v>66</v>
      </c>
      <c r="B159" s="121" t="s">
        <v>34</v>
      </c>
      <c r="C159" s="121" t="s">
        <v>213</v>
      </c>
      <c r="D159" s="121" t="s">
        <v>214</v>
      </c>
      <c r="E159" s="123">
        <f t="shared" si="269"/>
        <v>0.5</v>
      </c>
      <c r="F159" s="123">
        <f t="shared" si="270"/>
        <v>0.5</v>
      </c>
      <c r="G159" s="123">
        <f t="shared" si="270"/>
        <v>0.7</v>
      </c>
      <c r="H159" s="128">
        <f t="shared" si="271"/>
        <v>0.19999999999999996</v>
      </c>
      <c r="I159" s="126">
        <v>0.5</v>
      </c>
      <c r="J159" s="125">
        <f t="shared" si="317"/>
        <v>46241</v>
      </c>
      <c r="K159" s="125">
        <f t="shared" si="272"/>
        <v>46241</v>
      </c>
      <c r="L159" s="125">
        <v>46241</v>
      </c>
      <c r="M159" s="125">
        <f t="shared" si="273"/>
        <v>46283</v>
      </c>
      <c r="N159" s="125">
        <f t="shared" si="274"/>
        <v>46283</v>
      </c>
      <c r="O159" s="166">
        <v>46248</v>
      </c>
      <c r="P159" s="125">
        <f t="shared" si="275"/>
        <v>46325</v>
      </c>
      <c r="Q159" s="125">
        <f t="shared" si="276"/>
        <v>46325</v>
      </c>
      <c r="R159" s="125"/>
      <c r="S159" s="125">
        <f t="shared" si="277"/>
        <v>46339</v>
      </c>
      <c r="T159" s="125">
        <f t="shared" si="278"/>
        <v>46339</v>
      </c>
      <c r="U159" s="125"/>
      <c r="W159" s="174" t="str">
        <f t="shared" ca="1" si="309"/>
        <v>Completed</v>
      </c>
      <c r="X159" s="174" t="str">
        <f t="shared" ca="1" si="310"/>
        <v>Completed</v>
      </c>
      <c r="Y159" s="174" t="str">
        <f t="shared" ca="1" si="311"/>
        <v/>
      </c>
      <c r="Z159" s="175" t="str">
        <f t="shared" ca="1" si="312"/>
        <v/>
      </c>
    </row>
    <row r="160" spans="1:26" s="70" customFormat="1" ht="11.5" x14ac:dyDescent="0.25">
      <c r="A160" s="121" t="s">
        <v>66</v>
      </c>
      <c r="B160" s="121" t="s">
        <v>34</v>
      </c>
      <c r="C160" s="121" t="s">
        <v>215</v>
      </c>
      <c r="D160" s="121" t="s">
        <v>216</v>
      </c>
      <c r="E160" s="123">
        <f t="shared" si="269"/>
        <v>0</v>
      </c>
      <c r="F160" s="123">
        <f t="shared" si="270"/>
        <v>0</v>
      </c>
      <c r="G160" s="123">
        <f t="shared" si="270"/>
        <v>0.5</v>
      </c>
      <c r="H160" s="128">
        <f t="shared" si="271"/>
        <v>0.5</v>
      </c>
      <c r="I160" s="126">
        <v>0.75</v>
      </c>
      <c r="J160" s="125">
        <f t="shared" si="317"/>
        <v>46272</v>
      </c>
      <c r="K160" s="125">
        <f t="shared" si="272"/>
        <v>46272</v>
      </c>
      <c r="L160" s="125">
        <v>46241</v>
      </c>
      <c r="M160" s="125">
        <f>J160+35</f>
        <v>46307</v>
      </c>
      <c r="N160" s="125">
        <f t="shared" si="274"/>
        <v>46307</v>
      </c>
      <c r="O160" s="125"/>
      <c r="P160" s="125">
        <f t="shared" si="275"/>
        <v>46349</v>
      </c>
      <c r="Q160" s="125">
        <f t="shared" si="276"/>
        <v>46349</v>
      </c>
      <c r="R160" s="125"/>
      <c r="S160" s="125">
        <f t="shared" si="277"/>
        <v>46363</v>
      </c>
      <c r="T160" s="125">
        <f t="shared" si="278"/>
        <v>46363</v>
      </c>
      <c r="U160" s="125"/>
      <c r="W160" s="174" t="str">
        <f t="shared" ca="1" si="309"/>
        <v>Completed</v>
      </c>
      <c r="X160" s="174" t="str">
        <f t="shared" ca="1" si="310"/>
        <v/>
      </c>
      <c r="Y160" s="174" t="str">
        <f t="shared" ca="1" si="311"/>
        <v/>
      </c>
      <c r="Z160" s="175" t="str">
        <f t="shared" ca="1" si="312"/>
        <v/>
      </c>
    </row>
    <row r="161" spans="1:26" s="70" customFormat="1" ht="11.5" x14ac:dyDescent="0.25">
      <c r="A161" s="121" t="s">
        <v>66</v>
      </c>
      <c r="B161" s="121" t="s">
        <v>34</v>
      </c>
      <c r="C161" s="121" t="s">
        <v>217</v>
      </c>
      <c r="D161" s="121" t="s">
        <v>218</v>
      </c>
      <c r="E161" s="123">
        <f t="shared" si="269"/>
        <v>0</v>
      </c>
      <c r="F161" s="123">
        <f t="shared" si="270"/>
        <v>0</v>
      </c>
      <c r="G161" s="123">
        <f t="shared" si="270"/>
        <v>0</v>
      </c>
      <c r="H161" s="128">
        <f t="shared" si="271"/>
        <v>0</v>
      </c>
      <c r="I161" s="126">
        <v>0.5</v>
      </c>
      <c r="J161" s="125">
        <f t="shared" si="317"/>
        <v>46290</v>
      </c>
      <c r="K161" s="125">
        <f t="shared" si="272"/>
        <v>46290</v>
      </c>
      <c r="L161" s="125"/>
      <c r="M161" s="125">
        <f t="shared" si="273"/>
        <v>46332</v>
      </c>
      <c r="N161" s="125">
        <f t="shared" si="274"/>
        <v>46332</v>
      </c>
      <c r="O161" s="125"/>
      <c r="P161" s="125">
        <f t="shared" si="275"/>
        <v>46374</v>
      </c>
      <c r="Q161" s="125">
        <f t="shared" si="276"/>
        <v>46374</v>
      </c>
      <c r="R161" s="125"/>
      <c r="S161" s="125">
        <f t="shared" si="277"/>
        <v>46388</v>
      </c>
      <c r="T161" s="125">
        <f t="shared" si="278"/>
        <v>46388</v>
      </c>
      <c r="U161" s="125"/>
      <c r="W161" s="174" t="str">
        <f t="shared" ca="1" si="309"/>
        <v/>
      </c>
      <c r="X161" s="174" t="str">
        <f t="shared" ca="1" si="310"/>
        <v/>
      </c>
      <c r="Y161" s="174" t="str">
        <f t="shared" ca="1" si="311"/>
        <v/>
      </c>
      <c r="Z161" s="175" t="str">
        <f t="shared" ca="1" si="312"/>
        <v/>
      </c>
    </row>
    <row r="162" spans="1:26" s="70" customFormat="1" ht="11.5" x14ac:dyDescent="0.25">
      <c r="A162" s="121" t="s">
        <v>66</v>
      </c>
      <c r="B162" s="121" t="s">
        <v>34</v>
      </c>
      <c r="C162" s="121" t="s">
        <v>219</v>
      </c>
      <c r="D162" s="121" t="s">
        <v>220</v>
      </c>
      <c r="E162" s="123">
        <f t="shared" si="269"/>
        <v>0.5</v>
      </c>
      <c r="F162" s="123">
        <f t="shared" si="270"/>
        <v>0.5</v>
      </c>
      <c r="G162" s="123">
        <f t="shared" si="270"/>
        <v>0</v>
      </c>
      <c r="H162" s="123">
        <f t="shared" si="271"/>
        <v>-0.5</v>
      </c>
      <c r="I162" s="126">
        <v>0.5</v>
      </c>
      <c r="J162" s="125">
        <f t="shared" si="317"/>
        <v>46234</v>
      </c>
      <c r="K162" s="125">
        <f t="shared" si="272"/>
        <v>46234</v>
      </c>
      <c r="L162" s="125"/>
      <c r="M162" s="125">
        <f t="shared" si="273"/>
        <v>46276</v>
      </c>
      <c r="N162" s="125">
        <f t="shared" si="274"/>
        <v>46276</v>
      </c>
      <c r="O162" s="125"/>
      <c r="P162" s="125">
        <f t="shared" si="275"/>
        <v>46318</v>
      </c>
      <c r="Q162" s="125">
        <f t="shared" si="276"/>
        <v>46318</v>
      </c>
      <c r="R162" s="125"/>
      <c r="S162" s="125">
        <f t="shared" si="277"/>
        <v>46332</v>
      </c>
      <c r="T162" s="125">
        <f t="shared" si="278"/>
        <v>46332</v>
      </c>
      <c r="U162" s="125"/>
      <c r="W162" s="174" t="str">
        <f t="shared" ca="1" si="309"/>
        <v>Overdue</v>
      </c>
      <c r="X162" s="174" t="str">
        <f t="shared" ca="1" si="310"/>
        <v/>
      </c>
      <c r="Y162" s="174" t="str">
        <f t="shared" ca="1" si="311"/>
        <v/>
      </c>
      <c r="Z162" s="175" t="str">
        <f t="shared" ca="1" si="312"/>
        <v/>
      </c>
    </row>
    <row r="163" spans="1:26" s="70" customFormat="1" ht="11.5" x14ac:dyDescent="0.25">
      <c r="A163" s="121" t="s">
        <v>66</v>
      </c>
      <c r="B163" s="121" t="s">
        <v>34</v>
      </c>
      <c r="C163" s="121" t="s">
        <v>221</v>
      </c>
      <c r="D163" s="121" t="s">
        <v>222</v>
      </c>
      <c r="E163" s="123">
        <f t="shared" si="269"/>
        <v>0.5</v>
      </c>
      <c r="F163" s="123">
        <f t="shared" si="270"/>
        <v>0.5</v>
      </c>
      <c r="G163" s="123">
        <f t="shared" si="270"/>
        <v>0</v>
      </c>
      <c r="H163" s="123">
        <f t="shared" si="271"/>
        <v>-0.5</v>
      </c>
      <c r="I163" s="124">
        <v>0.5</v>
      </c>
      <c r="J163" s="125">
        <f t="shared" si="317"/>
        <v>46241</v>
      </c>
      <c r="K163" s="125">
        <f t="shared" si="272"/>
        <v>46241</v>
      </c>
      <c r="L163" s="125"/>
      <c r="M163" s="125">
        <f t="shared" si="273"/>
        <v>46283</v>
      </c>
      <c r="N163" s="125">
        <f t="shared" si="274"/>
        <v>46283</v>
      </c>
      <c r="O163" s="125"/>
      <c r="P163" s="125">
        <f t="shared" si="275"/>
        <v>46325</v>
      </c>
      <c r="Q163" s="125">
        <f t="shared" si="276"/>
        <v>46325</v>
      </c>
      <c r="R163" s="125"/>
      <c r="S163" s="125">
        <f t="shared" si="277"/>
        <v>46339</v>
      </c>
      <c r="T163" s="125">
        <f t="shared" si="278"/>
        <v>46339</v>
      </c>
      <c r="U163" s="125"/>
      <c r="W163" s="174" t="str">
        <f t="shared" ca="1" si="309"/>
        <v>Overdue</v>
      </c>
      <c r="X163" s="174" t="str">
        <f t="shared" ca="1" si="310"/>
        <v/>
      </c>
      <c r="Y163" s="174" t="str">
        <f t="shared" ca="1" si="311"/>
        <v/>
      </c>
      <c r="Z163" s="175" t="str">
        <f t="shared" ca="1" si="312"/>
        <v/>
      </c>
    </row>
    <row r="164" spans="1:26" s="70" customFormat="1" ht="11.5" x14ac:dyDescent="0.25">
      <c r="A164" s="121" t="s">
        <v>66</v>
      </c>
      <c r="B164" s="121" t="s">
        <v>34</v>
      </c>
      <c r="C164" s="121" t="s">
        <v>223</v>
      </c>
      <c r="D164" s="121" t="s">
        <v>224</v>
      </c>
      <c r="E164" s="123">
        <f t="shared" si="269"/>
        <v>0</v>
      </c>
      <c r="F164" s="123">
        <f t="shared" si="270"/>
        <v>0</v>
      </c>
      <c r="G164" s="123">
        <f t="shared" si="270"/>
        <v>0</v>
      </c>
      <c r="H164" s="123">
        <f t="shared" si="271"/>
        <v>0</v>
      </c>
      <c r="I164" s="124">
        <v>0.8</v>
      </c>
      <c r="J164" s="125">
        <f t="shared" si="317"/>
        <v>46311</v>
      </c>
      <c r="K164" s="125">
        <f t="shared" si="272"/>
        <v>46311</v>
      </c>
      <c r="L164" s="125"/>
      <c r="M164" s="125">
        <f t="shared" si="273"/>
        <v>46353</v>
      </c>
      <c r="N164" s="125">
        <f t="shared" si="274"/>
        <v>46353</v>
      </c>
      <c r="O164" s="125"/>
      <c r="P164" s="125">
        <f t="shared" si="275"/>
        <v>46395</v>
      </c>
      <c r="Q164" s="125">
        <f t="shared" si="276"/>
        <v>46395</v>
      </c>
      <c r="R164" s="125"/>
      <c r="S164" s="125">
        <f t="shared" si="277"/>
        <v>46409</v>
      </c>
      <c r="T164" s="125">
        <f t="shared" si="278"/>
        <v>46409</v>
      </c>
      <c r="U164" s="125"/>
      <c r="W164" s="174" t="str">
        <f t="shared" ca="1" si="309"/>
        <v/>
      </c>
      <c r="X164" s="174" t="str">
        <f t="shared" ca="1" si="310"/>
        <v/>
      </c>
      <c r="Y164" s="174" t="str">
        <f t="shared" ca="1" si="311"/>
        <v/>
      </c>
      <c r="Z164" s="175" t="str">
        <f t="shared" ca="1" si="312"/>
        <v/>
      </c>
    </row>
    <row r="165" spans="1:26" s="70" customFormat="1" ht="11.5" x14ac:dyDescent="0.25">
      <c r="A165" s="121" t="s">
        <v>66</v>
      </c>
      <c r="B165" s="121" t="s">
        <v>34</v>
      </c>
      <c r="C165" s="121" t="s">
        <v>225</v>
      </c>
      <c r="D165" s="121" t="s">
        <v>226</v>
      </c>
      <c r="E165" s="123">
        <f t="shared" si="269"/>
        <v>0</v>
      </c>
      <c r="F165" s="123">
        <f t="shared" si="270"/>
        <v>0</v>
      </c>
      <c r="G165" s="123">
        <f t="shared" si="270"/>
        <v>0</v>
      </c>
      <c r="H165" s="123">
        <f t="shared" si="271"/>
        <v>0</v>
      </c>
      <c r="I165" s="124">
        <v>0.8</v>
      </c>
      <c r="J165" s="125">
        <f t="shared" si="317"/>
        <v>46325</v>
      </c>
      <c r="K165" s="125">
        <f t="shared" si="272"/>
        <v>46325</v>
      </c>
      <c r="L165" s="127"/>
      <c r="M165" s="125">
        <f t="shared" si="273"/>
        <v>46367</v>
      </c>
      <c r="N165" s="125">
        <f t="shared" si="274"/>
        <v>46367</v>
      </c>
      <c r="O165" s="127"/>
      <c r="P165" s="125">
        <f t="shared" si="275"/>
        <v>46409</v>
      </c>
      <c r="Q165" s="125">
        <f t="shared" si="276"/>
        <v>46409</v>
      </c>
      <c r="R165" s="127"/>
      <c r="S165" s="125">
        <f t="shared" si="277"/>
        <v>46423</v>
      </c>
      <c r="T165" s="125">
        <f t="shared" si="278"/>
        <v>46423</v>
      </c>
      <c r="U165" s="127"/>
      <c r="W165" s="174" t="str">
        <f t="shared" ca="1" si="309"/>
        <v/>
      </c>
      <c r="X165" s="174" t="str">
        <f t="shared" ca="1" si="310"/>
        <v/>
      </c>
      <c r="Y165" s="174" t="str">
        <f t="shared" ca="1" si="311"/>
        <v/>
      </c>
      <c r="Z165" s="175" t="str">
        <f t="shared" ca="1" si="312"/>
        <v/>
      </c>
    </row>
    <row r="166" spans="1:26" s="70" customFormat="1" ht="11.5" x14ac:dyDescent="0.25">
      <c r="A166" s="121" t="s">
        <v>66</v>
      </c>
      <c r="B166" s="121" t="s">
        <v>34</v>
      </c>
      <c r="C166" s="121" t="s">
        <v>227</v>
      </c>
      <c r="D166" s="121" t="s">
        <v>228</v>
      </c>
      <c r="E166" s="123">
        <f t="shared" si="269"/>
        <v>0</v>
      </c>
      <c r="F166" s="123">
        <f t="shared" si="270"/>
        <v>0</v>
      </c>
      <c r="G166" s="123">
        <f t="shared" si="270"/>
        <v>0</v>
      </c>
      <c r="H166" s="123">
        <f t="shared" si="271"/>
        <v>0</v>
      </c>
      <c r="I166" s="124">
        <v>0.8</v>
      </c>
      <c r="J166" s="125">
        <f t="shared" si="317"/>
        <v>46333</v>
      </c>
      <c r="K166" s="125">
        <f t="shared" si="272"/>
        <v>46333</v>
      </c>
      <c r="L166" s="125"/>
      <c r="M166" s="125">
        <f t="shared" si="273"/>
        <v>46375</v>
      </c>
      <c r="N166" s="125">
        <f t="shared" si="274"/>
        <v>46375</v>
      </c>
      <c r="O166" s="125"/>
      <c r="P166" s="125">
        <f t="shared" si="275"/>
        <v>46417</v>
      </c>
      <c r="Q166" s="125">
        <f t="shared" si="276"/>
        <v>46417</v>
      </c>
      <c r="R166" s="125"/>
      <c r="S166" s="125">
        <f t="shared" si="277"/>
        <v>46431</v>
      </c>
      <c r="T166" s="125">
        <f t="shared" si="278"/>
        <v>46431</v>
      </c>
      <c r="U166" s="125"/>
      <c r="W166" s="174" t="str">
        <f t="shared" ca="1" si="309"/>
        <v/>
      </c>
      <c r="X166" s="174" t="str">
        <f t="shared" ca="1" si="310"/>
        <v/>
      </c>
      <c r="Y166" s="174" t="str">
        <f t="shared" ca="1" si="311"/>
        <v/>
      </c>
      <c r="Z166" s="175" t="str">
        <f t="shared" ca="1" si="312"/>
        <v/>
      </c>
    </row>
    <row r="167" spans="1:26" s="70" customFormat="1" ht="11.5" x14ac:dyDescent="0.25">
      <c r="A167" s="121" t="s">
        <v>66</v>
      </c>
      <c r="B167" s="121" t="s">
        <v>34</v>
      </c>
      <c r="C167" s="121" t="s">
        <v>229</v>
      </c>
      <c r="D167" s="121" t="s">
        <v>230</v>
      </c>
      <c r="E167" s="123">
        <f t="shared" si="269"/>
        <v>0</v>
      </c>
      <c r="F167" s="123">
        <f t="shared" si="270"/>
        <v>0</v>
      </c>
      <c r="G167" s="123">
        <f t="shared" si="270"/>
        <v>0</v>
      </c>
      <c r="H167" s="123">
        <f t="shared" si="271"/>
        <v>0</v>
      </c>
      <c r="I167" s="124">
        <v>0.5</v>
      </c>
      <c r="J167" s="125">
        <f t="shared" si="317"/>
        <v>46386</v>
      </c>
      <c r="K167" s="125">
        <f t="shared" si="272"/>
        <v>46386</v>
      </c>
      <c r="L167" s="127"/>
      <c r="M167" s="125">
        <f t="shared" si="273"/>
        <v>46428</v>
      </c>
      <c r="N167" s="125">
        <f t="shared" si="274"/>
        <v>46428</v>
      </c>
      <c r="O167" s="127"/>
      <c r="P167" s="125">
        <f t="shared" si="275"/>
        <v>46470</v>
      </c>
      <c r="Q167" s="125">
        <f t="shared" si="276"/>
        <v>46470</v>
      </c>
      <c r="R167" s="127"/>
      <c r="S167" s="125">
        <f t="shared" si="277"/>
        <v>46484</v>
      </c>
      <c r="T167" s="125">
        <f t="shared" si="278"/>
        <v>46484</v>
      </c>
      <c r="U167" s="127"/>
      <c r="W167" s="174" t="str">
        <f t="shared" ca="1" si="309"/>
        <v/>
      </c>
      <c r="X167" s="174" t="str">
        <f t="shared" ca="1" si="310"/>
        <v/>
      </c>
      <c r="Y167" s="174" t="str">
        <f t="shared" ca="1" si="311"/>
        <v/>
      </c>
      <c r="Z167" s="175" t="str">
        <f t="shared" ca="1" si="312"/>
        <v/>
      </c>
    </row>
    <row r="168" spans="1:26" s="70" customFormat="1" ht="11.5" x14ac:dyDescent="0.25">
      <c r="A168" s="121" t="s">
        <v>66</v>
      </c>
      <c r="B168" s="121" t="s">
        <v>34</v>
      </c>
      <c r="C168" s="121" t="s">
        <v>231</v>
      </c>
      <c r="D168" s="121" t="s">
        <v>232</v>
      </c>
      <c r="E168" s="123">
        <f t="shared" si="269"/>
        <v>0</v>
      </c>
      <c r="F168" s="123">
        <f t="shared" si="270"/>
        <v>0</v>
      </c>
      <c r="G168" s="123">
        <f t="shared" si="270"/>
        <v>0</v>
      </c>
      <c r="H168" s="123">
        <f t="shared" si="271"/>
        <v>0</v>
      </c>
      <c r="I168" s="124">
        <v>0.5</v>
      </c>
      <c r="J168" s="125">
        <f t="shared" si="317"/>
        <v>46255</v>
      </c>
      <c r="K168" s="125">
        <f t="shared" si="272"/>
        <v>46255</v>
      </c>
      <c r="L168" s="125"/>
      <c r="M168" s="125">
        <f t="shared" si="273"/>
        <v>46297</v>
      </c>
      <c r="N168" s="125">
        <f t="shared" si="274"/>
        <v>46297</v>
      </c>
      <c r="O168" s="125"/>
      <c r="P168" s="125">
        <f t="shared" si="275"/>
        <v>46339</v>
      </c>
      <c r="Q168" s="125">
        <f t="shared" si="276"/>
        <v>46339</v>
      </c>
      <c r="R168" s="125"/>
      <c r="S168" s="125">
        <f t="shared" si="277"/>
        <v>46353</v>
      </c>
      <c r="T168" s="125">
        <f t="shared" si="278"/>
        <v>46353</v>
      </c>
      <c r="U168" s="125"/>
      <c r="W168" s="174" t="str">
        <f t="shared" ca="1" si="309"/>
        <v>Follow-Next Week</v>
      </c>
      <c r="X168" s="174" t="str">
        <f t="shared" ca="1" si="310"/>
        <v/>
      </c>
      <c r="Y168" s="174" t="str">
        <f t="shared" ca="1" si="311"/>
        <v/>
      </c>
      <c r="Z168" s="175" t="str">
        <f t="shared" ca="1" si="312"/>
        <v/>
      </c>
    </row>
    <row r="169" spans="1:26" s="70" customFormat="1" ht="11.5" x14ac:dyDescent="0.25">
      <c r="A169" s="121" t="s">
        <v>66</v>
      </c>
      <c r="B169" s="121" t="s">
        <v>34</v>
      </c>
      <c r="C169" s="121" t="s">
        <v>233</v>
      </c>
      <c r="D169" s="121" t="s">
        <v>234</v>
      </c>
      <c r="E169" s="123">
        <f>(COUNTIFS(J169,"&lt;="&amp;$C$1)*50%)+(COUNTIFS(M169,"&lt;="&amp;$C$1)*20%)+(COUNTIFS(P169,"&lt;="&amp;$C$1)*10%)+(COUNTIFS(S169,"&lt;="&amp;$C$1)*20%)</f>
        <v>0</v>
      </c>
      <c r="F169" s="123">
        <f t="shared" si="270"/>
        <v>0</v>
      </c>
      <c r="G169" s="123">
        <f t="shared" si="270"/>
        <v>0.5</v>
      </c>
      <c r="H169" s="123">
        <f t="shared" si="271"/>
        <v>0.5</v>
      </c>
      <c r="I169" s="124">
        <v>0.5</v>
      </c>
      <c r="J169" s="125">
        <f t="shared" si="317"/>
        <v>46311</v>
      </c>
      <c r="K169" s="125">
        <f t="shared" si="272"/>
        <v>46311</v>
      </c>
      <c r="L169" s="145">
        <v>46162</v>
      </c>
      <c r="M169" s="125">
        <f t="shared" si="273"/>
        <v>46353</v>
      </c>
      <c r="N169" s="125">
        <f t="shared" si="274"/>
        <v>46353</v>
      </c>
      <c r="O169" s="125"/>
      <c r="P169" s="125">
        <f t="shared" si="275"/>
        <v>46395</v>
      </c>
      <c r="Q169" s="125">
        <f t="shared" si="276"/>
        <v>46395</v>
      </c>
      <c r="R169" s="125"/>
      <c r="S169" s="125">
        <f t="shared" si="277"/>
        <v>46409</v>
      </c>
      <c r="T169" s="125">
        <f t="shared" si="278"/>
        <v>46409</v>
      </c>
      <c r="U169" s="125"/>
      <c r="W169" s="174" t="str">
        <f t="shared" ca="1" si="309"/>
        <v>Completed</v>
      </c>
      <c r="X169" s="174" t="str">
        <f t="shared" ca="1" si="310"/>
        <v/>
      </c>
      <c r="Y169" s="174" t="str">
        <f t="shared" ca="1" si="311"/>
        <v/>
      </c>
      <c r="Z169" s="175" t="str">
        <f t="shared" ca="1" si="312"/>
        <v/>
      </c>
    </row>
    <row r="170" spans="1:26" s="70" customFormat="1" ht="11.5" x14ac:dyDescent="0.25">
      <c r="A170" s="121" t="s">
        <v>66</v>
      </c>
      <c r="B170" s="121" t="s">
        <v>34</v>
      </c>
      <c r="C170" s="121" t="s">
        <v>875</v>
      </c>
      <c r="D170" s="121" t="s">
        <v>235</v>
      </c>
      <c r="E170" s="123">
        <f>(COUNTIFS(J170,"&lt;="&amp;$C$1)*50%)+(COUNTIFS(M170,"&lt;="&amp;$C$1)*20%)+(COUNTIFS(P170,"&lt;="&amp;$C$1)*10%)+(COUNTIFS(S170,"&lt;="&amp;$C$1)*20%)</f>
        <v>0.5</v>
      </c>
      <c r="F170" s="123">
        <f t="shared" si="270"/>
        <v>0.5</v>
      </c>
      <c r="G170" s="123">
        <f t="shared" si="270"/>
        <v>0</v>
      </c>
      <c r="H170" s="123">
        <f t="shared" si="271"/>
        <v>-0.5</v>
      </c>
      <c r="I170" s="124">
        <v>0.55000000000000004</v>
      </c>
      <c r="J170" s="125">
        <f t="shared" si="317"/>
        <v>46248</v>
      </c>
      <c r="K170" s="125">
        <f t="shared" si="272"/>
        <v>46248</v>
      </c>
      <c r="L170" s="127"/>
      <c r="M170" s="125">
        <f t="shared" si="273"/>
        <v>46290</v>
      </c>
      <c r="N170" s="125">
        <f t="shared" si="274"/>
        <v>46290</v>
      </c>
      <c r="O170" s="127"/>
      <c r="P170" s="125">
        <f t="shared" si="275"/>
        <v>46332</v>
      </c>
      <c r="Q170" s="125">
        <f t="shared" si="276"/>
        <v>46332</v>
      </c>
      <c r="R170" s="127"/>
      <c r="S170" s="125">
        <f t="shared" si="277"/>
        <v>46346</v>
      </c>
      <c r="T170" s="125">
        <f t="shared" si="278"/>
        <v>46346</v>
      </c>
      <c r="U170" s="127"/>
      <c r="W170" s="174" t="str">
        <f t="shared" ca="1" si="309"/>
        <v>Overdue</v>
      </c>
      <c r="X170" s="174" t="str">
        <f t="shared" ca="1" si="310"/>
        <v/>
      </c>
      <c r="Y170" s="174" t="str">
        <f t="shared" ca="1" si="311"/>
        <v/>
      </c>
      <c r="Z170" s="175" t="str">
        <f t="shared" ca="1" si="312"/>
        <v/>
      </c>
    </row>
    <row r="171" spans="1:26" s="70" customFormat="1" ht="11.5" x14ac:dyDescent="0.25">
      <c r="A171" s="121" t="s">
        <v>66</v>
      </c>
      <c r="B171" s="121" t="s">
        <v>34</v>
      </c>
      <c r="C171" s="121" t="s">
        <v>876</v>
      </c>
      <c r="D171" s="121" t="s">
        <v>236</v>
      </c>
      <c r="E171" s="123">
        <f t="shared" si="269"/>
        <v>0</v>
      </c>
      <c r="F171" s="123">
        <f t="shared" si="270"/>
        <v>0</v>
      </c>
      <c r="G171" s="123">
        <f t="shared" si="270"/>
        <v>0.5</v>
      </c>
      <c r="H171" s="123">
        <f t="shared" si="271"/>
        <v>0.5</v>
      </c>
      <c r="I171" s="124">
        <v>0.55000000000000004</v>
      </c>
      <c r="J171" s="125">
        <f t="shared" si="317"/>
        <v>46255</v>
      </c>
      <c r="K171" s="125">
        <f t="shared" si="272"/>
        <v>46255</v>
      </c>
      <c r="L171" s="125">
        <v>46188</v>
      </c>
      <c r="M171" s="125">
        <f t="shared" si="273"/>
        <v>46297</v>
      </c>
      <c r="N171" s="125">
        <f t="shared" si="274"/>
        <v>46297</v>
      </c>
      <c r="O171" s="125"/>
      <c r="P171" s="125">
        <f t="shared" si="275"/>
        <v>46339</v>
      </c>
      <c r="Q171" s="125">
        <f t="shared" si="276"/>
        <v>46339</v>
      </c>
      <c r="R171" s="125"/>
      <c r="S171" s="125">
        <f t="shared" si="277"/>
        <v>46353</v>
      </c>
      <c r="T171" s="125">
        <f t="shared" si="278"/>
        <v>46353</v>
      </c>
      <c r="U171" s="125"/>
      <c r="W171" s="174" t="str">
        <f t="shared" ca="1" si="309"/>
        <v>Completed</v>
      </c>
      <c r="X171" s="174" t="str">
        <f t="shared" ca="1" si="310"/>
        <v/>
      </c>
      <c r="Y171" s="174" t="str">
        <f t="shared" ca="1" si="311"/>
        <v/>
      </c>
      <c r="Z171" s="175" t="str">
        <f t="shared" ca="1" si="312"/>
        <v/>
      </c>
    </row>
    <row r="172" spans="1:26" s="70" customFormat="1" ht="11.5" x14ac:dyDescent="0.25">
      <c r="A172" s="121" t="s">
        <v>66</v>
      </c>
      <c r="B172" s="121" t="s">
        <v>34</v>
      </c>
      <c r="C172" s="121" t="s">
        <v>877</v>
      </c>
      <c r="D172" s="121" t="s">
        <v>237</v>
      </c>
      <c r="E172" s="123">
        <f t="shared" si="269"/>
        <v>0</v>
      </c>
      <c r="F172" s="123">
        <f t="shared" si="270"/>
        <v>0</v>
      </c>
      <c r="G172" s="123">
        <f t="shared" si="270"/>
        <v>0</v>
      </c>
      <c r="H172" s="123">
        <f t="shared" si="271"/>
        <v>0</v>
      </c>
      <c r="I172" s="124">
        <v>0.75</v>
      </c>
      <c r="J172" s="125">
        <f t="shared" si="317"/>
        <v>46276</v>
      </c>
      <c r="K172" s="125">
        <f t="shared" si="272"/>
        <v>46276</v>
      </c>
      <c r="L172" s="125"/>
      <c r="M172" s="125">
        <f t="shared" si="273"/>
        <v>46318</v>
      </c>
      <c r="N172" s="125">
        <f t="shared" si="274"/>
        <v>46318</v>
      </c>
      <c r="O172" s="125"/>
      <c r="P172" s="125">
        <f t="shared" si="275"/>
        <v>46360</v>
      </c>
      <c r="Q172" s="125">
        <f t="shared" si="276"/>
        <v>46360</v>
      </c>
      <c r="R172" s="125"/>
      <c r="S172" s="125">
        <f t="shared" si="277"/>
        <v>46374</v>
      </c>
      <c r="T172" s="125">
        <f t="shared" si="278"/>
        <v>46374</v>
      </c>
      <c r="U172" s="125"/>
      <c r="W172" s="174" t="str">
        <f t="shared" ca="1" si="309"/>
        <v/>
      </c>
      <c r="X172" s="174" t="str">
        <f t="shared" ca="1" si="310"/>
        <v/>
      </c>
      <c r="Y172" s="174" t="str">
        <f t="shared" ca="1" si="311"/>
        <v/>
      </c>
      <c r="Z172" s="175" t="str">
        <f t="shared" ca="1" si="312"/>
        <v/>
      </c>
    </row>
    <row r="173" spans="1:26" s="70" customFormat="1" ht="11.5" x14ac:dyDescent="0.25">
      <c r="A173" s="121" t="s">
        <v>66</v>
      </c>
      <c r="B173" s="121" t="s">
        <v>34</v>
      </c>
      <c r="C173" s="121" t="s">
        <v>238</v>
      </c>
      <c r="D173" s="121" t="s">
        <v>239</v>
      </c>
      <c r="E173" s="123">
        <f t="shared" si="269"/>
        <v>0.7</v>
      </c>
      <c r="F173" s="123">
        <f t="shared" si="270"/>
        <v>0.7</v>
      </c>
      <c r="G173" s="123">
        <f t="shared" si="270"/>
        <v>0.5</v>
      </c>
      <c r="H173" s="123">
        <f t="shared" si="271"/>
        <v>-0.19999999999999996</v>
      </c>
      <c r="I173" s="124">
        <v>1</v>
      </c>
      <c r="J173" s="125">
        <f t="shared" si="317"/>
        <v>46199</v>
      </c>
      <c r="K173" s="125">
        <f t="shared" si="272"/>
        <v>46199</v>
      </c>
      <c r="L173" s="125">
        <v>46130</v>
      </c>
      <c r="M173" s="125">
        <f t="shared" si="273"/>
        <v>46241</v>
      </c>
      <c r="N173" s="125">
        <f t="shared" si="274"/>
        <v>46241</v>
      </c>
      <c r="O173" s="125"/>
      <c r="P173" s="125">
        <f t="shared" si="275"/>
        <v>46283</v>
      </c>
      <c r="Q173" s="125">
        <f t="shared" si="276"/>
        <v>46283</v>
      </c>
      <c r="R173" s="125"/>
      <c r="S173" s="125">
        <f t="shared" si="277"/>
        <v>46297</v>
      </c>
      <c r="T173" s="125">
        <f t="shared" si="278"/>
        <v>46297</v>
      </c>
      <c r="U173" s="125"/>
      <c r="W173" s="174" t="str">
        <f t="shared" ca="1" si="309"/>
        <v>Completed</v>
      </c>
      <c r="X173" s="174" t="str">
        <f t="shared" ca="1" si="310"/>
        <v>Overdue</v>
      </c>
      <c r="Y173" s="174" t="str">
        <f t="shared" ca="1" si="311"/>
        <v/>
      </c>
      <c r="Z173" s="175" t="str">
        <f t="shared" ca="1" si="312"/>
        <v/>
      </c>
    </row>
    <row r="174" spans="1:26" s="70" customFormat="1" ht="11.5" x14ac:dyDescent="0.25">
      <c r="A174" s="121" t="s">
        <v>66</v>
      </c>
      <c r="B174" s="121" t="s">
        <v>34</v>
      </c>
      <c r="C174" s="121" t="s">
        <v>240</v>
      </c>
      <c r="D174" s="121" t="s">
        <v>241</v>
      </c>
      <c r="E174" s="123">
        <f t="shared" si="269"/>
        <v>0</v>
      </c>
      <c r="F174" s="123">
        <f t="shared" si="270"/>
        <v>0</v>
      </c>
      <c r="G174" s="123">
        <f t="shared" si="270"/>
        <v>0</v>
      </c>
      <c r="H174" s="123">
        <f t="shared" si="271"/>
        <v>0</v>
      </c>
      <c r="I174" s="124">
        <v>0.5</v>
      </c>
      <c r="J174" s="125">
        <f t="shared" si="317"/>
        <v>46262</v>
      </c>
      <c r="K174" s="125">
        <f t="shared" si="272"/>
        <v>46262</v>
      </c>
      <c r="L174" s="125"/>
      <c r="M174" s="125">
        <f t="shared" si="273"/>
        <v>46304</v>
      </c>
      <c r="N174" s="125">
        <f t="shared" si="274"/>
        <v>46304</v>
      </c>
      <c r="O174" s="125"/>
      <c r="P174" s="125">
        <f t="shared" si="275"/>
        <v>46346</v>
      </c>
      <c r="Q174" s="125">
        <f t="shared" si="276"/>
        <v>46346</v>
      </c>
      <c r="R174" s="125"/>
      <c r="S174" s="125">
        <f t="shared" si="277"/>
        <v>46360</v>
      </c>
      <c r="T174" s="125">
        <f t="shared" si="278"/>
        <v>46360</v>
      </c>
      <c r="U174" s="125"/>
      <c r="W174" s="174" t="str">
        <f t="shared" ca="1" si="309"/>
        <v/>
      </c>
      <c r="X174" s="174" t="str">
        <f t="shared" ca="1" si="310"/>
        <v/>
      </c>
      <c r="Y174" s="174" t="str">
        <f t="shared" ca="1" si="311"/>
        <v/>
      </c>
      <c r="Z174" s="175" t="str">
        <f t="shared" ca="1" si="312"/>
        <v/>
      </c>
    </row>
    <row r="175" spans="1:26" s="70" customFormat="1" ht="11.5" x14ac:dyDescent="0.25">
      <c r="A175" s="121" t="s">
        <v>66</v>
      </c>
      <c r="B175" s="121" t="s">
        <v>34</v>
      </c>
      <c r="C175" s="121" t="s">
        <v>242</v>
      </c>
      <c r="D175" s="121" t="s">
        <v>243</v>
      </c>
      <c r="E175" s="123">
        <f t="shared" ref="E175:E245" si="318">(COUNTIFS(J175,"&lt;="&amp;$C$1)*50%)+(COUNTIFS(M175,"&lt;="&amp;$C$1)*20%)+(COUNTIFS(P175,"&lt;="&amp;$C$1)*10%)+(COUNTIFS(S175,"&lt;="&amp;$C$1)*20%)</f>
        <v>0</v>
      </c>
      <c r="F175" s="123">
        <f t="shared" ref="F175:G245" si="319">(COUNTIFS(K175,"&lt;="&amp;$C$1)*50%)+(COUNTIFS(N175,"&lt;="&amp;$C$1)*20%)+(COUNTIFS(Q175,"&lt;="&amp;$C$1)*10%)+(COUNTIFS(T175,"&lt;="&amp;$C$1)*20%)</f>
        <v>0</v>
      </c>
      <c r="G175" s="123">
        <f t="shared" si="319"/>
        <v>0</v>
      </c>
      <c r="H175" s="123">
        <f t="shared" ref="H175:H245" si="320">G175-E175</f>
        <v>0</v>
      </c>
      <c r="I175" s="124">
        <v>0.5</v>
      </c>
      <c r="J175" s="125">
        <f t="shared" si="317"/>
        <v>46269</v>
      </c>
      <c r="K175" s="125">
        <f t="shared" si="272"/>
        <v>46269</v>
      </c>
      <c r="L175" s="125"/>
      <c r="M175" s="125">
        <f t="shared" si="273"/>
        <v>46311</v>
      </c>
      <c r="N175" s="125">
        <f t="shared" si="274"/>
        <v>46311</v>
      </c>
      <c r="O175" s="125"/>
      <c r="P175" s="125">
        <f t="shared" si="275"/>
        <v>46353</v>
      </c>
      <c r="Q175" s="125">
        <f t="shared" si="276"/>
        <v>46353</v>
      </c>
      <c r="R175" s="125"/>
      <c r="S175" s="125">
        <f t="shared" si="277"/>
        <v>46367</v>
      </c>
      <c r="T175" s="125">
        <f t="shared" si="278"/>
        <v>46367</v>
      </c>
      <c r="U175" s="125"/>
      <c r="W175" s="174" t="str">
        <f t="shared" ca="1" si="309"/>
        <v/>
      </c>
      <c r="X175" s="174" t="str">
        <f t="shared" ca="1" si="310"/>
        <v/>
      </c>
      <c r="Y175" s="174" t="str">
        <f t="shared" ca="1" si="311"/>
        <v/>
      </c>
      <c r="Z175" s="175" t="str">
        <f t="shared" ca="1" si="312"/>
        <v/>
      </c>
    </row>
    <row r="176" spans="1:26" s="70" customFormat="1" ht="11.5" x14ac:dyDescent="0.25">
      <c r="A176" s="121" t="s">
        <v>66</v>
      </c>
      <c r="B176" s="121" t="s">
        <v>34</v>
      </c>
      <c r="C176" s="121" t="s">
        <v>848</v>
      </c>
      <c r="D176" s="121" t="s">
        <v>849</v>
      </c>
      <c r="E176" s="123">
        <f t="shared" si="318"/>
        <v>1</v>
      </c>
      <c r="F176" s="123">
        <f t="shared" si="319"/>
        <v>1</v>
      </c>
      <c r="G176" s="123">
        <f t="shared" si="319"/>
        <v>0.5</v>
      </c>
      <c r="H176" s="123">
        <f t="shared" si="320"/>
        <v>-0.5</v>
      </c>
      <c r="I176" s="124">
        <v>0.4</v>
      </c>
      <c r="J176" s="125">
        <v>46122</v>
      </c>
      <c r="K176" s="125">
        <f t="shared" ref="K176:K178" si="321">J176</f>
        <v>46122</v>
      </c>
      <c r="L176" s="125">
        <v>46115</v>
      </c>
      <c r="M176" s="125">
        <f t="shared" ref="M176:M178" si="322">J176+42</f>
        <v>46164</v>
      </c>
      <c r="N176" s="125">
        <f t="shared" ref="N176:N178" si="323">M176</f>
        <v>46164</v>
      </c>
      <c r="O176" s="125"/>
      <c r="P176" s="125">
        <f t="shared" ref="P176:P178" si="324">M176+42</f>
        <v>46206</v>
      </c>
      <c r="Q176" s="125">
        <f t="shared" ref="Q176:Q178" si="325">P176</f>
        <v>46206</v>
      </c>
      <c r="R176" s="125"/>
      <c r="S176" s="125">
        <f t="shared" ref="S176:S178" si="326">P176+14</f>
        <v>46220</v>
      </c>
      <c r="T176" s="125">
        <f t="shared" ref="T176:T178" si="327">S176</f>
        <v>46220</v>
      </c>
      <c r="U176" s="125"/>
      <c r="W176" s="174" t="str">
        <f t="shared" ca="1" si="309"/>
        <v>Completed</v>
      </c>
      <c r="X176" s="174" t="str">
        <f t="shared" ca="1" si="310"/>
        <v>Overdue</v>
      </c>
      <c r="Y176" s="174" t="str">
        <f t="shared" ca="1" si="311"/>
        <v>Overdue</v>
      </c>
      <c r="Z176" s="175" t="str">
        <f t="shared" ca="1" si="312"/>
        <v>Overdue</v>
      </c>
    </row>
    <row r="177" spans="1:26" s="70" customFormat="1" ht="11.5" x14ac:dyDescent="0.25">
      <c r="A177" s="121" t="s">
        <v>66</v>
      </c>
      <c r="B177" s="121" t="s">
        <v>34</v>
      </c>
      <c r="C177" s="121" t="s">
        <v>850</v>
      </c>
      <c r="D177" s="121" t="s">
        <v>851</v>
      </c>
      <c r="E177" s="123">
        <f t="shared" ref="E177" si="328">(COUNTIFS(J177,"&lt;="&amp;$C$1)*50%)+(COUNTIFS(M177,"&lt;="&amp;$C$1)*20%)+(COUNTIFS(P177,"&lt;="&amp;$C$1)*10%)+(COUNTIFS(S177,"&lt;="&amp;$C$1)*20%)</f>
        <v>1</v>
      </c>
      <c r="F177" s="123">
        <f t="shared" ref="F177" si="329">(COUNTIFS(K177,"&lt;="&amp;$C$1)*50%)+(COUNTIFS(N177,"&lt;="&amp;$C$1)*20%)+(COUNTIFS(Q177,"&lt;="&amp;$C$1)*10%)+(COUNTIFS(T177,"&lt;="&amp;$C$1)*20%)</f>
        <v>1</v>
      </c>
      <c r="G177" s="123">
        <f t="shared" ref="G177" si="330">(COUNTIFS(L177,"&lt;="&amp;$C$1)*50%)+(COUNTIFS(O177,"&lt;="&amp;$C$1)*20%)+(COUNTIFS(R177,"&lt;="&amp;$C$1)*10%)+(COUNTIFS(U177,"&lt;="&amp;$C$1)*20%)</f>
        <v>0.7</v>
      </c>
      <c r="H177" s="123">
        <f t="shared" ref="H177" si="331">G177-E177</f>
        <v>-0.30000000000000004</v>
      </c>
      <c r="I177" s="124">
        <v>0.4</v>
      </c>
      <c r="J177" s="125">
        <v>46129</v>
      </c>
      <c r="K177" s="125">
        <f t="shared" si="321"/>
        <v>46129</v>
      </c>
      <c r="L177" s="125">
        <v>46142</v>
      </c>
      <c r="M177" s="125">
        <f t="shared" si="322"/>
        <v>46171</v>
      </c>
      <c r="N177" s="125">
        <f t="shared" si="323"/>
        <v>46171</v>
      </c>
      <c r="O177" s="129">
        <v>46191</v>
      </c>
      <c r="P177" s="125">
        <f t="shared" si="324"/>
        <v>46213</v>
      </c>
      <c r="Q177" s="125">
        <f t="shared" si="325"/>
        <v>46213</v>
      </c>
      <c r="R177" s="125"/>
      <c r="S177" s="125">
        <f t="shared" si="326"/>
        <v>46227</v>
      </c>
      <c r="T177" s="125">
        <f t="shared" si="327"/>
        <v>46227</v>
      </c>
      <c r="U177" s="125"/>
      <c r="W177" s="174" t="str">
        <f t="shared" ca="1" si="309"/>
        <v>Completed</v>
      </c>
      <c r="X177" s="174" t="str">
        <f t="shared" ca="1" si="310"/>
        <v>Completed</v>
      </c>
      <c r="Y177" s="174" t="str">
        <f t="shared" ca="1" si="311"/>
        <v>Overdue</v>
      </c>
      <c r="Z177" s="175" t="str">
        <f t="shared" ca="1" si="312"/>
        <v>Overdue</v>
      </c>
    </row>
    <row r="178" spans="1:26" s="70" customFormat="1" ht="11.5" x14ac:dyDescent="0.25">
      <c r="A178" s="203" t="s">
        <v>66</v>
      </c>
      <c r="B178" s="203" t="s">
        <v>34</v>
      </c>
      <c r="C178" s="203" t="s">
        <v>852</v>
      </c>
      <c r="D178" s="203" t="s">
        <v>853</v>
      </c>
      <c r="E178" s="204"/>
      <c r="F178" s="204"/>
      <c r="G178" s="204"/>
      <c r="H178" s="204"/>
      <c r="I178" s="205">
        <v>0.2</v>
      </c>
      <c r="J178" s="206">
        <v>46142</v>
      </c>
      <c r="K178" s="206">
        <f t="shared" si="321"/>
        <v>46142</v>
      </c>
      <c r="L178" s="207">
        <v>46248</v>
      </c>
      <c r="M178" s="206">
        <f t="shared" si="322"/>
        <v>46184</v>
      </c>
      <c r="N178" s="206">
        <f t="shared" si="323"/>
        <v>46184</v>
      </c>
      <c r="O178" s="207">
        <v>46248</v>
      </c>
      <c r="P178" s="206">
        <f t="shared" si="324"/>
        <v>46226</v>
      </c>
      <c r="Q178" s="206">
        <f t="shared" si="325"/>
        <v>46226</v>
      </c>
      <c r="R178" s="207">
        <v>46248</v>
      </c>
      <c r="S178" s="206">
        <f t="shared" si="326"/>
        <v>46240</v>
      </c>
      <c r="T178" s="206">
        <f t="shared" si="327"/>
        <v>46240</v>
      </c>
      <c r="U178" s="207">
        <v>46248</v>
      </c>
      <c r="W178" s="174" t="str">
        <f t="shared" ca="1" si="309"/>
        <v>Completed</v>
      </c>
      <c r="X178" s="174" t="str">
        <f t="shared" ca="1" si="310"/>
        <v>Completed</v>
      </c>
      <c r="Y178" s="174" t="str">
        <f t="shared" ca="1" si="311"/>
        <v>Completed</v>
      </c>
      <c r="Z178" s="175" t="str">
        <f t="shared" ca="1" si="312"/>
        <v>Completed</v>
      </c>
    </row>
    <row r="179" spans="1:26" s="70" customFormat="1" ht="11.5" x14ac:dyDescent="0.25">
      <c r="A179" s="121" t="s">
        <v>66</v>
      </c>
      <c r="B179" s="121" t="s">
        <v>34</v>
      </c>
      <c r="C179" s="121" t="s">
        <v>852</v>
      </c>
      <c r="D179" s="121" t="s">
        <v>1193</v>
      </c>
      <c r="E179" s="123">
        <f t="shared" ref="E179" si="332">(COUNTIFS(J179,"&lt;="&amp;$C$1)*50%)+(COUNTIFS(M179,"&lt;="&amp;$C$1)*20%)+(COUNTIFS(P179,"&lt;="&amp;$C$1)*10%)+(COUNTIFS(S179,"&lt;="&amp;$C$1)*20%)</f>
        <v>1</v>
      </c>
      <c r="F179" s="123">
        <f t="shared" ref="F179" si="333">(COUNTIFS(K179,"&lt;="&amp;$C$1)*50%)+(COUNTIFS(N179,"&lt;="&amp;$C$1)*20%)+(COUNTIFS(Q179,"&lt;="&amp;$C$1)*10%)+(COUNTIFS(T179,"&lt;="&amp;$C$1)*20%)</f>
        <v>1</v>
      </c>
      <c r="G179" s="123">
        <f t="shared" ref="G179" si="334">(COUNTIFS(L179,"&lt;="&amp;$C$1)*50%)+(COUNTIFS(O179,"&lt;="&amp;$C$1)*20%)+(COUNTIFS(R179,"&lt;="&amp;$C$1)*10%)+(COUNTIFS(U179,"&lt;="&amp;$C$1)*20%)</f>
        <v>0</v>
      </c>
      <c r="H179" s="123">
        <f t="shared" ref="H179" si="335">G179-E179</f>
        <v>-1</v>
      </c>
      <c r="I179" s="124"/>
      <c r="J179" s="125">
        <v>46142</v>
      </c>
      <c r="K179" s="125">
        <f t="shared" ref="K179" si="336">J179</f>
        <v>46142</v>
      </c>
      <c r="L179" s="125"/>
      <c r="M179" s="125">
        <f t="shared" ref="M179" si="337">J179+42</f>
        <v>46184</v>
      </c>
      <c r="N179" s="125">
        <f t="shared" ref="N179" si="338">M179</f>
        <v>46184</v>
      </c>
      <c r="O179" s="125"/>
      <c r="P179" s="125">
        <f t="shared" ref="P179" si="339">M179+42</f>
        <v>46226</v>
      </c>
      <c r="Q179" s="125">
        <f t="shared" ref="Q179" si="340">P179</f>
        <v>46226</v>
      </c>
      <c r="R179" s="125"/>
      <c r="S179" s="125">
        <f t="shared" ref="S179" si="341">P179+14</f>
        <v>46240</v>
      </c>
      <c r="T179" s="125">
        <f t="shared" ref="T179" si="342">S179</f>
        <v>46240</v>
      </c>
      <c r="U179" s="125"/>
      <c r="W179" s="174" t="str">
        <f t="shared" ref="W179" ca="1" si="343">IF(OR(L179&lt;&gt;""),"Completed",
IF(K179="","",IF(K179&lt;TODAY(),"Overdue",
IF(AND(K179&gt;=TODAY()-WEEKDAY(TODAY(),2)+1,K179&lt;=TODAY()-WEEKDAY(TODAY(),2)+7),"Follow-This Week",
IF(AND(K179&gt;=TODAY()-WEEKDAY(TODAY(),2)+8,K179&lt;=TODAY()-WEEKDAY(TODAY(),2)+14),"Follow-Next Week","")))))</f>
        <v>Overdue</v>
      </c>
      <c r="X179" s="174" t="str">
        <f t="shared" ref="X179" ca="1" si="344">IF(OR(O179&lt;&gt;""),"Completed",IF(N179="","",
IF(N179&lt;TODAY(),"Overdue",
IF(AND(N179&gt;=TODAY()-WEEKDAY(TODAY(),2)+1,N179&lt;=TODAY()-WEEKDAY(TODAY(),2)+7),"Follow-This Week",
IF(AND(N179&gt;=TODAY()-WEEKDAY(TODAY(),2)+8,N179&lt;=TODAY()-WEEKDAY(TODAY(),2)+14),"Follow-Next Week","")))))</f>
        <v>Overdue</v>
      </c>
      <c r="Y179" s="174" t="str">
        <f t="shared" ref="Y179" ca="1" si="345">IF(OR(R179&lt;&gt;""),"Completed",IF(Q179="","",
IF(Q179&lt;TODAY(),"Overdue",
IF(AND(Q179&gt;=TODAY()-WEEKDAY(TODAY(),2)+1,Q179&lt;=TODAY()-WEEKDAY(TODAY(),2)+7),"Follow-This Week",
IF(AND(Q179&gt;=TODAY()-WEEKDAY(TODAY(),2)+8,Q179&lt;=TODAY()-WEEKDAY(TODAY(),2)+14),"Follow-Next Week","")))))</f>
        <v>Overdue</v>
      </c>
      <c r="Z179" s="175" t="str">
        <f t="shared" ref="Z179" ca="1" si="346">IF(OR(U179&lt;&gt;""),"Completed",IF(T179="","",
IF(T179&lt;TODAY(),"Overdue",
IF(AND(T179&gt;=TODAY()-WEEKDAY(TODAY(),2)+1,T179&lt;=TODAY()-WEEKDAY(TODAY(),2)+7),"Follow-This Week",
IF(AND(T179&gt;=TODAY()-WEEKDAY(TODAY(),2)+8,T179&lt;=TODAY()-WEEKDAY(TODAY(),2)+14),"Follow-Next Week","")))))</f>
        <v>Overdue</v>
      </c>
    </row>
    <row r="180" spans="1:26" s="70" customFormat="1" ht="11.5" x14ac:dyDescent="0.25">
      <c r="A180" s="121" t="s">
        <v>66</v>
      </c>
      <c r="B180" s="121" t="s">
        <v>34</v>
      </c>
      <c r="C180" s="131" t="s">
        <v>918</v>
      </c>
      <c r="D180" s="121" t="s">
        <v>920</v>
      </c>
      <c r="E180" s="123">
        <v>0</v>
      </c>
      <c r="F180" s="123">
        <v>0</v>
      </c>
      <c r="G180" s="123">
        <v>0.5</v>
      </c>
      <c r="H180" s="123">
        <v>0.5</v>
      </c>
      <c r="I180" s="124">
        <v>0.2</v>
      </c>
      <c r="J180" s="125">
        <v>46157</v>
      </c>
      <c r="K180" s="125">
        <v>46157</v>
      </c>
      <c r="L180" s="125">
        <v>46150</v>
      </c>
      <c r="M180" s="125">
        <v>46199</v>
      </c>
      <c r="N180" s="125">
        <v>46199</v>
      </c>
      <c r="O180" s="125">
        <v>46191</v>
      </c>
      <c r="P180" s="125">
        <v>46241</v>
      </c>
      <c r="Q180" s="125">
        <v>46241</v>
      </c>
      <c r="R180" s="125">
        <v>46227</v>
      </c>
      <c r="S180" s="125">
        <v>46255</v>
      </c>
      <c r="T180" s="125">
        <v>46255</v>
      </c>
      <c r="U180" s="125">
        <v>46239</v>
      </c>
      <c r="W180" s="174" t="str">
        <f t="shared" ca="1" si="309"/>
        <v>Completed</v>
      </c>
      <c r="X180" s="174" t="str">
        <f t="shared" ca="1" si="310"/>
        <v>Completed</v>
      </c>
      <c r="Y180" s="174" t="str">
        <f t="shared" ca="1" si="311"/>
        <v>Completed</v>
      </c>
      <c r="Z180" s="175" t="str">
        <f t="shared" ca="1" si="312"/>
        <v>Completed</v>
      </c>
    </row>
    <row r="181" spans="1:26" s="70" customFormat="1" ht="11.5" x14ac:dyDescent="0.25">
      <c r="A181" s="121" t="s">
        <v>66</v>
      </c>
      <c r="B181" s="131" t="s">
        <v>34</v>
      </c>
      <c r="C181" s="131" t="s">
        <v>919</v>
      </c>
      <c r="D181" s="121" t="s">
        <v>921</v>
      </c>
      <c r="E181" s="123">
        <v>0</v>
      </c>
      <c r="F181" s="123">
        <v>0</v>
      </c>
      <c r="G181" s="123">
        <v>0.5</v>
      </c>
      <c r="H181" s="123">
        <v>0.5</v>
      </c>
      <c r="I181" s="124">
        <v>0.2</v>
      </c>
      <c r="J181" s="125">
        <v>46157</v>
      </c>
      <c r="K181" s="125">
        <v>46157</v>
      </c>
      <c r="L181" s="125">
        <v>46150</v>
      </c>
      <c r="M181" s="125">
        <v>46199</v>
      </c>
      <c r="N181" s="125">
        <v>46199</v>
      </c>
      <c r="O181" s="125">
        <v>46191</v>
      </c>
      <c r="P181" s="125">
        <v>46241</v>
      </c>
      <c r="Q181" s="125">
        <v>46241</v>
      </c>
      <c r="R181" s="125">
        <v>46227</v>
      </c>
      <c r="S181" s="125">
        <v>46255</v>
      </c>
      <c r="T181" s="125">
        <v>46255</v>
      </c>
      <c r="U181" s="125">
        <v>46239</v>
      </c>
      <c r="W181" s="174" t="str">
        <f t="shared" ca="1" si="309"/>
        <v>Completed</v>
      </c>
      <c r="X181" s="174" t="str">
        <f t="shared" ca="1" si="310"/>
        <v>Completed</v>
      </c>
      <c r="Y181" s="174" t="str">
        <f t="shared" ca="1" si="311"/>
        <v>Completed</v>
      </c>
      <c r="Z181" s="175" t="str">
        <f t="shared" ca="1" si="312"/>
        <v>Completed</v>
      </c>
    </row>
    <row r="182" spans="1:26" s="70" customFormat="1" ht="11.5" x14ac:dyDescent="0.25">
      <c r="A182" s="121" t="s">
        <v>66</v>
      </c>
      <c r="B182" s="121" t="s">
        <v>34</v>
      </c>
      <c r="C182" s="131" t="s">
        <v>912</v>
      </c>
      <c r="D182" s="132" t="s">
        <v>914</v>
      </c>
      <c r="E182" s="133">
        <v>0.5</v>
      </c>
      <c r="F182" s="133">
        <v>0.5</v>
      </c>
      <c r="G182" s="133">
        <v>0.5</v>
      </c>
      <c r="H182" s="133">
        <v>0</v>
      </c>
      <c r="I182" s="124">
        <v>0.2</v>
      </c>
      <c r="J182" s="134">
        <v>46143</v>
      </c>
      <c r="K182" s="134">
        <v>46143</v>
      </c>
      <c r="L182" s="125">
        <v>46142</v>
      </c>
      <c r="M182" s="125">
        <v>46185</v>
      </c>
      <c r="N182" s="125">
        <v>46185</v>
      </c>
      <c r="O182" s="125">
        <v>46191</v>
      </c>
      <c r="P182" s="125">
        <v>46227</v>
      </c>
      <c r="Q182" s="125">
        <v>46227</v>
      </c>
      <c r="R182" s="127">
        <v>46202</v>
      </c>
      <c r="S182" s="125">
        <v>46241</v>
      </c>
      <c r="T182" s="125">
        <v>46241</v>
      </c>
      <c r="U182" s="134">
        <v>46209</v>
      </c>
      <c r="W182" s="174" t="str">
        <f t="shared" ca="1" si="309"/>
        <v>Completed</v>
      </c>
      <c r="X182" s="174" t="str">
        <f t="shared" ca="1" si="310"/>
        <v>Completed</v>
      </c>
      <c r="Y182" s="174" t="str">
        <f t="shared" ca="1" si="311"/>
        <v>Completed</v>
      </c>
      <c r="Z182" s="175" t="str">
        <f t="shared" ca="1" si="312"/>
        <v>Completed</v>
      </c>
    </row>
    <row r="183" spans="1:26" s="70" customFormat="1" ht="11.5" x14ac:dyDescent="0.25">
      <c r="A183" s="121" t="s">
        <v>66</v>
      </c>
      <c r="B183" s="131" t="s">
        <v>34</v>
      </c>
      <c r="C183" s="131" t="s">
        <v>913</v>
      </c>
      <c r="D183" s="132" t="s">
        <v>915</v>
      </c>
      <c r="E183" s="123">
        <v>0.5</v>
      </c>
      <c r="F183" s="123">
        <v>0.5</v>
      </c>
      <c r="G183" s="123">
        <v>0.5</v>
      </c>
      <c r="H183" s="123">
        <v>0</v>
      </c>
      <c r="I183" s="124">
        <v>0.2</v>
      </c>
      <c r="J183" s="134">
        <v>46143</v>
      </c>
      <c r="K183" s="134">
        <v>46143</v>
      </c>
      <c r="L183" s="125">
        <v>46142</v>
      </c>
      <c r="M183" s="125">
        <v>46185</v>
      </c>
      <c r="N183" s="125">
        <v>46185</v>
      </c>
      <c r="O183" s="125">
        <v>46191</v>
      </c>
      <c r="P183" s="125">
        <v>46227</v>
      </c>
      <c r="Q183" s="125">
        <v>46227</v>
      </c>
      <c r="R183" s="125"/>
      <c r="S183" s="125">
        <v>46241</v>
      </c>
      <c r="T183" s="125">
        <v>46241</v>
      </c>
      <c r="U183" s="134"/>
      <c r="W183" s="174" t="str">
        <f t="shared" ca="1" si="309"/>
        <v>Completed</v>
      </c>
      <c r="X183" s="174" t="str">
        <f t="shared" ca="1" si="310"/>
        <v>Completed</v>
      </c>
      <c r="Y183" s="174" t="str">
        <f t="shared" ca="1" si="311"/>
        <v>Overdue</v>
      </c>
      <c r="Z183" s="175" t="str">
        <f t="shared" ca="1" si="312"/>
        <v>Overdue</v>
      </c>
    </row>
    <row r="184" spans="1:26" s="70" customFormat="1" ht="11.5" x14ac:dyDescent="0.25">
      <c r="A184" s="121" t="s">
        <v>66</v>
      </c>
      <c r="B184" s="121" t="s">
        <v>34</v>
      </c>
      <c r="C184" s="131" t="s">
        <v>916</v>
      </c>
      <c r="D184" s="132" t="s">
        <v>917</v>
      </c>
      <c r="E184" s="123">
        <v>0</v>
      </c>
      <c r="F184" s="123">
        <v>0</v>
      </c>
      <c r="G184" s="123">
        <v>0.5</v>
      </c>
      <c r="H184" s="123">
        <v>0.5</v>
      </c>
      <c r="I184" s="124">
        <v>0.2</v>
      </c>
      <c r="J184" s="134">
        <v>46157</v>
      </c>
      <c r="K184" s="134">
        <v>46157</v>
      </c>
      <c r="L184" s="125">
        <v>46150</v>
      </c>
      <c r="M184" s="125">
        <v>46199</v>
      </c>
      <c r="N184" s="125">
        <v>46199</v>
      </c>
      <c r="O184" s="125">
        <v>46191</v>
      </c>
      <c r="P184" s="125">
        <v>46241</v>
      </c>
      <c r="Q184" s="125">
        <v>46241</v>
      </c>
      <c r="R184" s="127">
        <v>46204</v>
      </c>
      <c r="S184" s="125">
        <v>46255</v>
      </c>
      <c r="T184" s="125">
        <v>46255</v>
      </c>
      <c r="U184" s="134">
        <v>46223</v>
      </c>
      <c r="W184" s="174" t="str">
        <f t="shared" ca="1" si="309"/>
        <v>Completed</v>
      </c>
      <c r="X184" s="174" t="str">
        <f t="shared" ca="1" si="310"/>
        <v>Completed</v>
      </c>
      <c r="Y184" s="174" t="str">
        <f t="shared" ca="1" si="311"/>
        <v>Completed</v>
      </c>
      <c r="Z184" s="175" t="str">
        <f t="shared" ca="1" si="312"/>
        <v>Completed</v>
      </c>
    </row>
    <row r="185" spans="1:26" s="70" customFormat="1" ht="11.5" x14ac:dyDescent="0.25">
      <c r="A185" s="121" t="s">
        <v>66</v>
      </c>
      <c r="B185" s="121" t="s">
        <v>34</v>
      </c>
      <c r="C185" s="131" t="s">
        <v>934</v>
      </c>
      <c r="D185" s="132" t="s">
        <v>935</v>
      </c>
      <c r="E185" s="123">
        <v>0</v>
      </c>
      <c r="F185" s="123">
        <v>0</v>
      </c>
      <c r="G185" s="123">
        <v>0.5</v>
      </c>
      <c r="H185" s="123">
        <v>0.5</v>
      </c>
      <c r="I185" s="124">
        <v>0.5</v>
      </c>
      <c r="J185" s="134">
        <f>J141+28</f>
        <v>46269</v>
      </c>
      <c r="K185" s="134">
        <f>K141+28</f>
        <v>46269</v>
      </c>
      <c r="L185" s="125">
        <v>46171</v>
      </c>
      <c r="M185" s="125">
        <f>J185+42</f>
        <v>46311</v>
      </c>
      <c r="N185" s="125">
        <f>K185+42</f>
        <v>46311</v>
      </c>
      <c r="O185" s="125"/>
      <c r="P185" s="125">
        <f>M185+42</f>
        <v>46353</v>
      </c>
      <c r="Q185" s="125">
        <f>N185+42</f>
        <v>46353</v>
      </c>
      <c r="R185" s="125"/>
      <c r="S185" s="125">
        <f>P185+14</f>
        <v>46367</v>
      </c>
      <c r="T185" s="125">
        <f>Q185+14</f>
        <v>46367</v>
      </c>
      <c r="U185" s="134"/>
      <c r="W185" s="174" t="str">
        <f t="shared" ca="1" si="309"/>
        <v>Completed</v>
      </c>
      <c r="X185" s="174" t="str">
        <f t="shared" ca="1" si="310"/>
        <v/>
      </c>
      <c r="Y185" s="174" t="str">
        <f t="shared" ca="1" si="311"/>
        <v/>
      </c>
      <c r="Z185" s="175" t="str">
        <f t="shared" ca="1" si="312"/>
        <v/>
      </c>
    </row>
    <row r="186" spans="1:26" s="70" customFormat="1" ht="11.5" x14ac:dyDescent="0.25">
      <c r="A186" s="121" t="s">
        <v>66</v>
      </c>
      <c r="B186" s="121" t="s">
        <v>34</v>
      </c>
      <c r="C186" s="121" t="s">
        <v>1006</v>
      </c>
      <c r="D186" s="121" t="s">
        <v>1007</v>
      </c>
      <c r="E186" s="123">
        <v>0</v>
      </c>
      <c r="F186" s="123">
        <v>0</v>
      </c>
      <c r="G186" s="123">
        <v>0.5</v>
      </c>
      <c r="H186" s="123">
        <v>0.5</v>
      </c>
      <c r="I186" s="124"/>
      <c r="J186" s="134">
        <f>J142+28</f>
        <v>46386</v>
      </c>
      <c r="K186" s="134">
        <f>K142+28</f>
        <v>46386</v>
      </c>
      <c r="L186" s="125"/>
      <c r="M186" s="125">
        <f>J186+42</f>
        <v>46428</v>
      </c>
      <c r="N186" s="125">
        <f>K186+42</f>
        <v>46428</v>
      </c>
      <c r="O186" s="125"/>
      <c r="P186" s="125">
        <f>M186+42</f>
        <v>46470</v>
      </c>
      <c r="Q186" s="125">
        <f>N186+42</f>
        <v>46470</v>
      </c>
      <c r="R186" s="125"/>
      <c r="S186" s="125">
        <f>P186+14</f>
        <v>46484</v>
      </c>
      <c r="T186" s="125">
        <f>Q186+14</f>
        <v>46484</v>
      </c>
      <c r="U186" s="134"/>
      <c r="W186" s="174" t="str">
        <f t="shared" ca="1" si="309"/>
        <v/>
      </c>
      <c r="X186" s="174" t="str">
        <f t="shared" ca="1" si="310"/>
        <v/>
      </c>
      <c r="Y186" s="174" t="str">
        <f t="shared" ca="1" si="311"/>
        <v/>
      </c>
      <c r="Z186" s="175" t="str">
        <f t="shared" ca="1" si="312"/>
        <v/>
      </c>
    </row>
    <row r="187" spans="1:26" s="70" customFormat="1" ht="11.5" x14ac:dyDescent="0.25">
      <c r="A187" s="71" t="s">
        <v>66</v>
      </c>
      <c r="B187" s="71" t="s">
        <v>34</v>
      </c>
      <c r="C187" s="71" t="s">
        <v>1035</v>
      </c>
      <c r="D187" s="71" t="s">
        <v>838</v>
      </c>
      <c r="E187" s="81">
        <f t="shared" si="318"/>
        <v>0</v>
      </c>
      <c r="F187" s="81">
        <f t="shared" si="319"/>
        <v>0</v>
      </c>
      <c r="G187" s="81">
        <f t="shared" si="319"/>
        <v>0</v>
      </c>
      <c r="H187" s="81">
        <f t="shared" si="320"/>
        <v>0</v>
      </c>
      <c r="I187" s="82">
        <v>0.2</v>
      </c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W187" s="174" t="str">
        <f t="shared" ca="1" si="309"/>
        <v/>
      </c>
      <c r="X187" s="174" t="str">
        <f t="shared" ca="1" si="310"/>
        <v/>
      </c>
      <c r="Y187" s="174" t="str">
        <f t="shared" ca="1" si="311"/>
        <v/>
      </c>
      <c r="Z187" s="175" t="str">
        <f t="shared" ca="1" si="312"/>
        <v/>
      </c>
    </row>
    <row r="188" spans="1:26" s="70" customFormat="1" ht="11.5" x14ac:dyDescent="0.25">
      <c r="A188" s="71" t="s">
        <v>66</v>
      </c>
      <c r="B188" s="71" t="s">
        <v>34</v>
      </c>
      <c r="C188" s="71" t="s">
        <v>1036</v>
      </c>
      <c r="D188" s="71" t="s">
        <v>839</v>
      </c>
      <c r="E188" s="81">
        <f t="shared" si="318"/>
        <v>0</v>
      </c>
      <c r="F188" s="81">
        <f t="shared" si="319"/>
        <v>0</v>
      </c>
      <c r="G188" s="81">
        <f t="shared" si="319"/>
        <v>0</v>
      </c>
      <c r="H188" s="81">
        <f t="shared" si="320"/>
        <v>0</v>
      </c>
      <c r="I188" s="82">
        <v>0.4</v>
      </c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W188" s="174" t="str">
        <f t="shared" ca="1" si="309"/>
        <v/>
      </c>
      <c r="X188" s="174" t="str">
        <f t="shared" ca="1" si="310"/>
        <v/>
      </c>
      <c r="Y188" s="174" t="str">
        <f t="shared" ca="1" si="311"/>
        <v/>
      </c>
      <c r="Z188" s="175" t="str">
        <f t="shared" ca="1" si="312"/>
        <v/>
      </c>
    </row>
    <row r="189" spans="1:26" s="70" customFormat="1" ht="11.5" x14ac:dyDescent="0.25">
      <c r="A189" s="71" t="s">
        <v>66</v>
      </c>
      <c r="B189" s="71" t="s">
        <v>34</v>
      </c>
      <c r="C189" s="71" t="s">
        <v>1037</v>
      </c>
      <c r="D189" s="71" t="s">
        <v>840</v>
      </c>
      <c r="E189" s="81">
        <f t="shared" si="318"/>
        <v>0</v>
      </c>
      <c r="F189" s="81">
        <f t="shared" si="319"/>
        <v>0</v>
      </c>
      <c r="G189" s="81">
        <f t="shared" si="319"/>
        <v>0</v>
      </c>
      <c r="H189" s="81">
        <f t="shared" si="320"/>
        <v>0</v>
      </c>
      <c r="I189" s="82">
        <v>0.4</v>
      </c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W189" s="174" t="str">
        <f t="shared" ca="1" si="309"/>
        <v/>
      </c>
      <c r="X189" s="174" t="str">
        <f t="shared" ca="1" si="310"/>
        <v/>
      </c>
      <c r="Y189" s="174" t="str">
        <f t="shared" ca="1" si="311"/>
        <v/>
      </c>
      <c r="Z189" s="175" t="str">
        <f t="shared" ca="1" si="312"/>
        <v/>
      </c>
    </row>
    <row r="190" spans="1:26" s="70" customFormat="1" ht="11.5" x14ac:dyDescent="0.25">
      <c r="A190" s="77"/>
      <c r="B190" s="77"/>
      <c r="C190" s="77"/>
      <c r="D190" s="78"/>
      <c r="E190" s="79"/>
      <c r="F190" s="79"/>
      <c r="G190" s="79"/>
      <c r="H190" s="79"/>
      <c r="I190" s="75"/>
      <c r="J190" s="76"/>
      <c r="K190" s="76"/>
      <c r="L190" s="76"/>
      <c r="M190" s="80"/>
      <c r="N190" s="76"/>
      <c r="O190" s="76"/>
      <c r="P190" s="80"/>
      <c r="Q190" s="76"/>
      <c r="R190" s="76"/>
      <c r="S190" s="80"/>
      <c r="T190" s="76"/>
      <c r="U190" s="76"/>
      <c r="W190" s="174" t="str">
        <f t="shared" ca="1" si="309"/>
        <v/>
      </c>
      <c r="X190" s="174" t="str">
        <f t="shared" ca="1" si="310"/>
        <v/>
      </c>
      <c r="Y190" s="174" t="str">
        <f t="shared" ca="1" si="311"/>
        <v/>
      </c>
      <c r="Z190" s="175" t="str">
        <f t="shared" ca="1" si="312"/>
        <v/>
      </c>
    </row>
    <row r="191" spans="1:26" s="70" customFormat="1" ht="11.5" x14ac:dyDescent="0.25">
      <c r="A191" s="93" t="s">
        <v>67</v>
      </c>
      <c r="B191" s="93" t="s">
        <v>14</v>
      </c>
      <c r="C191" s="93" t="s">
        <v>895</v>
      </c>
      <c r="D191" s="93" t="s">
        <v>891</v>
      </c>
      <c r="E191" s="95">
        <f t="shared" si="318"/>
        <v>1</v>
      </c>
      <c r="F191" s="95">
        <f>(COUNTIFS(K191,"&lt;="&amp;$C$1)*50%)+(COUNTIFS(N191,"&lt;="&amp;$C$1)*20%)+(COUNTIFS(Q191,"&lt;="&amp;$C$1)*10%)+(COUNTIFS(T191,"&lt;="&amp;$C$1)*20%)</f>
        <v>1</v>
      </c>
      <c r="G191" s="95">
        <f t="shared" si="319"/>
        <v>0.79999999999999993</v>
      </c>
      <c r="H191" s="95">
        <f t="shared" si="320"/>
        <v>-0.20000000000000007</v>
      </c>
      <c r="I191" s="96">
        <v>8.9999999999999993E-3</v>
      </c>
      <c r="J191" s="90">
        <v>46150</v>
      </c>
      <c r="K191" s="90">
        <f t="shared" ref="K191:K251" si="347">J191</f>
        <v>46150</v>
      </c>
      <c r="L191" s="90">
        <v>46175</v>
      </c>
      <c r="M191" s="90">
        <f t="shared" ref="M191:M251" si="348">J191+42</f>
        <v>46192</v>
      </c>
      <c r="N191" s="90">
        <f t="shared" ref="N191:N251" si="349">M191</f>
        <v>46192</v>
      </c>
      <c r="O191" s="90">
        <v>46191</v>
      </c>
      <c r="P191" s="90">
        <f t="shared" ref="P191:P251" si="350">M191+42</f>
        <v>46234</v>
      </c>
      <c r="Q191" s="90">
        <f t="shared" ref="Q191:Q251" si="351">P191</f>
        <v>46234</v>
      </c>
      <c r="R191" s="166">
        <v>46245</v>
      </c>
      <c r="S191" s="90">
        <f t="shared" ref="S191:S252" si="352">P191+14</f>
        <v>46248</v>
      </c>
      <c r="T191" s="90">
        <f t="shared" ref="T191:T251" si="353">S191</f>
        <v>46248</v>
      </c>
      <c r="U191" s="90"/>
      <c r="W191" s="174" t="str">
        <f t="shared" ca="1" si="309"/>
        <v>Completed</v>
      </c>
      <c r="X191" s="174" t="str">
        <f t="shared" ca="1" si="310"/>
        <v>Completed</v>
      </c>
      <c r="Y191" s="174" t="str">
        <f t="shared" ca="1" si="311"/>
        <v>Completed</v>
      </c>
      <c r="Z191" s="175" t="str">
        <f t="shared" ca="1" si="312"/>
        <v>Overdue</v>
      </c>
    </row>
    <row r="192" spans="1:26" s="70" customFormat="1" ht="11.5" x14ac:dyDescent="0.25">
      <c r="A192" s="93" t="s">
        <v>67</v>
      </c>
      <c r="B192" s="93" t="s">
        <v>14</v>
      </c>
      <c r="C192" s="93" t="s">
        <v>896</v>
      </c>
      <c r="D192" s="93" t="s">
        <v>892</v>
      </c>
      <c r="E192" s="95">
        <f t="shared" si="318"/>
        <v>1</v>
      </c>
      <c r="F192" s="95">
        <f>(COUNTIFS(K192,"&lt;="&amp;$C$1)*50%)+(COUNTIFS(N192,"&lt;="&amp;$C$1)*20%)+(COUNTIFS(Q192,"&lt;="&amp;$C$1)*10%)+(COUNTIFS(T192,"&lt;="&amp;$C$1)*20%)</f>
        <v>1</v>
      </c>
      <c r="G192" s="95">
        <f t="shared" si="319"/>
        <v>0.79999999999999993</v>
      </c>
      <c r="H192" s="95">
        <f t="shared" si="320"/>
        <v>-0.20000000000000007</v>
      </c>
      <c r="I192" s="96">
        <v>8.9999999999999993E-3</v>
      </c>
      <c r="J192" s="90">
        <v>46150</v>
      </c>
      <c r="K192" s="90">
        <f t="shared" si="347"/>
        <v>46150</v>
      </c>
      <c r="L192" s="90">
        <v>46175</v>
      </c>
      <c r="M192" s="90">
        <f t="shared" si="348"/>
        <v>46192</v>
      </c>
      <c r="N192" s="90">
        <f t="shared" si="349"/>
        <v>46192</v>
      </c>
      <c r="O192" s="90">
        <v>46191</v>
      </c>
      <c r="P192" s="90">
        <f t="shared" si="350"/>
        <v>46234</v>
      </c>
      <c r="Q192" s="90">
        <f t="shared" si="351"/>
        <v>46234</v>
      </c>
      <c r="R192" s="166">
        <v>46245</v>
      </c>
      <c r="S192" s="90">
        <f t="shared" si="352"/>
        <v>46248</v>
      </c>
      <c r="T192" s="90">
        <f t="shared" si="353"/>
        <v>46248</v>
      </c>
      <c r="U192" s="90"/>
      <c r="W192" s="174" t="str">
        <f t="shared" ca="1" si="309"/>
        <v>Completed</v>
      </c>
      <c r="X192" s="174" t="str">
        <f t="shared" ca="1" si="310"/>
        <v>Completed</v>
      </c>
      <c r="Y192" s="174" t="str">
        <f t="shared" ca="1" si="311"/>
        <v>Completed</v>
      </c>
      <c r="Z192" s="175" t="str">
        <f t="shared" ca="1" si="312"/>
        <v>Overdue</v>
      </c>
    </row>
    <row r="193" spans="1:26" s="70" customFormat="1" ht="11.5" x14ac:dyDescent="0.25">
      <c r="A193" s="93" t="s">
        <v>67</v>
      </c>
      <c r="B193" s="93" t="s">
        <v>14</v>
      </c>
      <c r="C193" s="93" t="s">
        <v>897</v>
      </c>
      <c r="D193" s="93" t="s">
        <v>893</v>
      </c>
      <c r="E193" s="95">
        <f t="shared" si="318"/>
        <v>1</v>
      </c>
      <c r="F193" s="95">
        <f>(COUNTIFS(K193,"&lt;="&amp;$C$1)*50%)+(COUNTIFS(N193,"&lt;="&amp;$C$1)*20%)+(COUNTIFS(Q193,"&lt;="&amp;$C$1)*10%)+(COUNTIFS(T193,"&lt;="&amp;$C$1)*20%)</f>
        <v>1</v>
      </c>
      <c r="G193" s="95">
        <f t="shared" si="319"/>
        <v>0.79999999999999993</v>
      </c>
      <c r="H193" s="95">
        <f t="shared" si="320"/>
        <v>-0.20000000000000007</v>
      </c>
      <c r="I193" s="96">
        <v>4.7E-2</v>
      </c>
      <c r="J193" s="90">
        <v>46150</v>
      </c>
      <c r="K193" s="90">
        <f t="shared" si="347"/>
        <v>46150</v>
      </c>
      <c r="L193" s="90">
        <v>46175</v>
      </c>
      <c r="M193" s="90">
        <f t="shared" si="348"/>
        <v>46192</v>
      </c>
      <c r="N193" s="90">
        <f t="shared" si="349"/>
        <v>46192</v>
      </c>
      <c r="O193" s="90">
        <v>46191</v>
      </c>
      <c r="P193" s="90">
        <f t="shared" si="350"/>
        <v>46234</v>
      </c>
      <c r="Q193" s="90">
        <f t="shared" si="351"/>
        <v>46234</v>
      </c>
      <c r="R193" s="166">
        <v>46245</v>
      </c>
      <c r="S193" s="90">
        <f t="shared" si="352"/>
        <v>46248</v>
      </c>
      <c r="T193" s="90">
        <f t="shared" si="353"/>
        <v>46248</v>
      </c>
      <c r="U193" s="90"/>
      <c r="W193" s="174" t="str">
        <f t="shared" ca="1" si="309"/>
        <v>Completed</v>
      </c>
      <c r="X193" s="174" t="str">
        <f t="shared" ca="1" si="310"/>
        <v>Completed</v>
      </c>
      <c r="Y193" s="174" t="str">
        <f t="shared" ca="1" si="311"/>
        <v>Completed</v>
      </c>
      <c r="Z193" s="175" t="str">
        <f t="shared" ca="1" si="312"/>
        <v>Overdue</v>
      </c>
    </row>
    <row r="194" spans="1:26" s="70" customFormat="1" ht="11.5" x14ac:dyDescent="0.25">
      <c r="A194" s="93" t="s">
        <v>67</v>
      </c>
      <c r="B194" s="93" t="s">
        <v>14</v>
      </c>
      <c r="C194" s="93" t="s">
        <v>898</v>
      </c>
      <c r="D194" s="93" t="s">
        <v>894</v>
      </c>
      <c r="E194" s="95">
        <f t="shared" si="318"/>
        <v>1</v>
      </c>
      <c r="F194" s="95">
        <f t="shared" si="319"/>
        <v>1</v>
      </c>
      <c r="G194" s="95">
        <f>(COUNTIFS(L194,"&lt;="&amp;$C$1)*50%)+(COUNTIFS(O194,"&lt;="&amp;$C$1)*20%)+(COUNTIFS(R194,"&lt;="&amp;$C$1)*10%)+(COUNTIFS(U194,"&lt;="&amp;$C$1)*20%)</f>
        <v>0.79999999999999993</v>
      </c>
      <c r="H194" s="95">
        <f t="shared" si="320"/>
        <v>-0.20000000000000007</v>
      </c>
      <c r="I194" s="96">
        <v>4.7E-2</v>
      </c>
      <c r="J194" s="90">
        <v>46150</v>
      </c>
      <c r="K194" s="90">
        <f t="shared" si="347"/>
        <v>46150</v>
      </c>
      <c r="L194" s="90">
        <v>46175</v>
      </c>
      <c r="M194" s="90">
        <f t="shared" si="348"/>
        <v>46192</v>
      </c>
      <c r="N194" s="90">
        <f t="shared" si="349"/>
        <v>46192</v>
      </c>
      <c r="O194" s="90">
        <v>46191</v>
      </c>
      <c r="P194" s="90">
        <f t="shared" si="350"/>
        <v>46234</v>
      </c>
      <c r="Q194" s="90">
        <f t="shared" si="351"/>
        <v>46234</v>
      </c>
      <c r="R194" s="166">
        <v>46245</v>
      </c>
      <c r="S194" s="90">
        <f t="shared" si="352"/>
        <v>46248</v>
      </c>
      <c r="T194" s="90">
        <f t="shared" si="353"/>
        <v>46248</v>
      </c>
      <c r="U194" s="90"/>
      <c r="W194" s="174" t="str">
        <f t="shared" ca="1" si="309"/>
        <v>Completed</v>
      </c>
      <c r="X194" s="174" t="str">
        <f t="shared" ca="1" si="310"/>
        <v>Completed</v>
      </c>
      <c r="Y194" s="174" t="str">
        <f t="shared" ca="1" si="311"/>
        <v>Completed</v>
      </c>
      <c r="Z194" s="175" t="str">
        <f t="shared" ca="1" si="312"/>
        <v>Overdue</v>
      </c>
    </row>
    <row r="195" spans="1:26" s="70" customFormat="1" ht="11.5" x14ac:dyDescent="0.25">
      <c r="A195" s="93" t="s">
        <v>67</v>
      </c>
      <c r="B195" s="93" t="s">
        <v>14</v>
      </c>
      <c r="C195" s="93" t="s">
        <v>244</v>
      </c>
      <c r="D195" s="92" t="s">
        <v>245</v>
      </c>
      <c r="E195" s="94">
        <f t="shared" si="318"/>
        <v>1</v>
      </c>
      <c r="F195" s="94">
        <f t="shared" si="319"/>
        <v>1</v>
      </c>
      <c r="G195" s="94">
        <f>(COUNTIFS(L195,"&lt;="&amp;$C$1)*50%)+(COUNTIFS(O195,"&lt;="&amp;$C$1)*20%)+(COUNTIFS(R195,"&lt;="&amp;$C$1)*10%)+(COUNTIFS(U195,"&lt;="&amp;$C$1)*20%)</f>
        <v>1</v>
      </c>
      <c r="H195" s="94">
        <f t="shared" si="320"/>
        <v>0</v>
      </c>
      <c r="I195" s="130">
        <v>4.7E-2</v>
      </c>
      <c r="J195" s="90">
        <v>46150</v>
      </c>
      <c r="K195" s="90">
        <f t="shared" si="347"/>
        <v>46150</v>
      </c>
      <c r="L195" s="162">
        <v>46199</v>
      </c>
      <c r="M195" s="90">
        <f t="shared" si="348"/>
        <v>46192</v>
      </c>
      <c r="N195" s="90">
        <f t="shared" si="349"/>
        <v>46192</v>
      </c>
      <c r="O195" s="162">
        <v>46199</v>
      </c>
      <c r="P195" s="90">
        <f t="shared" si="350"/>
        <v>46234</v>
      </c>
      <c r="Q195" s="90">
        <f t="shared" si="351"/>
        <v>46234</v>
      </c>
      <c r="R195" s="162">
        <v>46234</v>
      </c>
      <c r="S195" s="90">
        <f t="shared" si="352"/>
        <v>46248</v>
      </c>
      <c r="T195" s="90">
        <f t="shared" si="353"/>
        <v>46248</v>
      </c>
      <c r="U195" s="162">
        <v>46248</v>
      </c>
      <c r="W195" s="174" t="str">
        <f t="shared" ca="1" si="309"/>
        <v>Completed</v>
      </c>
      <c r="X195" s="174" t="str">
        <f t="shared" ca="1" si="310"/>
        <v>Completed</v>
      </c>
      <c r="Y195" s="174" t="str">
        <f t="shared" ca="1" si="311"/>
        <v>Completed</v>
      </c>
      <c r="Z195" s="175" t="str">
        <f t="shared" ca="1" si="312"/>
        <v>Completed</v>
      </c>
    </row>
    <row r="196" spans="1:26" s="70" customFormat="1" ht="11.5" x14ac:dyDescent="0.25">
      <c r="A196" s="93" t="s">
        <v>67</v>
      </c>
      <c r="B196" s="93" t="s">
        <v>14</v>
      </c>
      <c r="C196" s="93" t="s">
        <v>246</v>
      </c>
      <c r="D196" s="92" t="s">
        <v>247</v>
      </c>
      <c r="E196" s="94">
        <f t="shared" si="318"/>
        <v>1</v>
      </c>
      <c r="F196" s="94">
        <f t="shared" si="319"/>
        <v>1</v>
      </c>
      <c r="G196" s="94">
        <f t="shared" si="319"/>
        <v>1</v>
      </c>
      <c r="H196" s="94">
        <f t="shared" si="320"/>
        <v>0</v>
      </c>
      <c r="I196" s="130">
        <v>4.7E-2</v>
      </c>
      <c r="J196" s="90">
        <v>46150</v>
      </c>
      <c r="K196" s="90">
        <f t="shared" si="347"/>
        <v>46150</v>
      </c>
      <c r="L196" s="162">
        <v>46199</v>
      </c>
      <c r="M196" s="90">
        <f t="shared" si="348"/>
        <v>46192</v>
      </c>
      <c r="N196" s="90">
        <f t="shared" si="349"/>
        <v>46192</v>
      </c>
      <c r="O196" s="191">
        <v>46199</v>
      </c>
      <c r="P196" s="90">
        <f t="shared" si="350"/>
        <v>46234</v>
      </c>
      <c r="Q196" s="90">
        <f t="shared" si="351"/>
        <v>46234</v>
      </c>
      <c r="R196" s="191">
        <v>46234</v>
      </c>
      <c r="S196" s="90">
        <f t="shared" si="352"/>
        <v>46248</v>
      </c>
      <c r="T196" s="90">
        <f t="shared" si="353"/>
        <v>46248</v>
      </c>
      <c r="U196" s="162">
        <v>46248</v>
      </c>
      <c r="W196" s="174" t="str">
        <f t="shared" ca="1" si="309"/>
        <v>Completed</v>
      </c>
      <c r="X196" s="174" t="str">
        <f t="shared" ca="1" si="310"/>
        <v>Completed</v>
      </c>
      <c r="Y196" s="174" t="str">
        <f t="shared" ca="1" si="311"/>
        <v>Completed</v>
      </c>
      <c r="Z196" s="175" t="str">
        <f t="shared" ca="1" si="312"/>
        <v>Completed</v>
      </c>
    </row>
    <row r="197" spans="1:26" s="70" customFormat="1" ht="11.5" x14ac:dyDescent="0.25">
      <c r="A197" s="93" t="s">
        <v>67</v>
      </c>
      <c r="B197" s="93" t="s">
        <v>14</v>
      </c>
      <c r="C197" s="93" t="s">
        <v>248</v>
      </c>
      <c r="D197" s="92" t="s">
        <v>249</v>
      </c>
      <c r="E197" s="94">
        <f t="shared" si="318"/>
        <v>1</v>
      </c>
      <c r="F197" s="94">
        <f t="shared" si="319"/>
        <v>1</v>
      </c>
      <c r="G197" s="94">
        <f t="shared" si="319"/>
        <v>0.79999999999999993</v>
      </c>
      <c r="H197" s="94">
        <f t="shared" si="320"/>
        <v>-0.20000000000000007</v>
      </c>
      <c r="I197" s="130">
        <v>4.7E-2</v>
      </c>
      <c r="J197" s="90">
        <v>46150</v>
      </c>
      <c r="K197" s="90">
        <f t="shared" si="347"/>
        <v>46150</v>
      </c>
      <c r="L197" s="90">
        <v>46130</v>
      </c>
      <c r="M197" s="90">
        <f t="shared" si="348"/>
        <v>46192</v>
      </c>
      <c r="N197" s="90">
        <f t="shared" si="349"/>
        <v>46192</v>
      </c>
      <c r="O197" s="90">
        <v>46198</v>
      </c>
      <c r="P197" s="90">
        <f t="shared" si="350"/>
        <v>46234</v>
      </c>
      <c r="Q197" s="90">
        <f t="shared" si="351"/>
        <v>46234</v>
      </c>
      <c r="R197" s="90">
        <v>46234</v>
      </c>
      <c r="S197" s="90">
        <f t="shared" si="352"/>
        <v>46248</v>
      </c>
      <c r="T197" s="90">
        <f t="shared" si="353"/>
        <v>46248</v>
      </c>
      <c r="U197" s="90"/>
      <c r="W197" s="174" t="str">
        <f t="shared" ca="1" si="309"/>
        <v>Completed</v>
      </c>
      <c r="X197" s="174" t="str">
        <f t="shared" ca="1" si="310"/>
        <v>Completed</v>
      </c>
      <c r="Y197" s="174" t="str">
        <f t="shared" ca="1" si="311"/>
        <v>Completed</v>
      </c>
      <c r="Z197" s="175" t="str">
        <f t="shared" ca="1" si="312"/>
        <v>Overdue</v>
      </c>
    </row>
    <row r="198" spans="1:26" s="70" customFormat="1" ht="11.5" x14ac:dyDescent="0.25">
      <c r="A198" s="93" t="s">
        <v>67</v>
      </c>
      <c r="B198" s="93" t="s">
        <v>14</v>
      </c>
      <c r="C198" s="93" t="s">
        <v>250</v>
      </c>
      <c r="D198" s="92" t="s">
        <v>251</v>
      </c>
      <c r="E198" s="94">
        <f t="shared" si="318"/>
        <v>1</v>
      </c>
      <c r="F198" s="94">
        <f t="shared" si="319"/>
        <v>1</v>
      </c>
      <c r="G198" s="94">
        <f t="shared" si="319"/>
        <v>0.79999999999999993</v>
      </c>
      <c r="H198" s="94">
        <f t="shared" si="320"/>
        <v>-0.20000000000000007</v>
      </c>
      <c r="I198" s="130">
        <v>4.7E-2</v>
      </c>
      <c r="J198" s="90">
        <v>46150</v>
      </c>
      <c r="K198" s="90">
        <f t="shared" si="347"/>
        <v>46150</v>
      </c>
      <c r="L198" s="90">
        <v>46130</v>
      </c>
      <c r="M198" s="90">
        <f t="shared" si="348"/>
        <v>46192</v>
      </c>
      <c r="N198" s="90">
        <f t="shared" si="349"/>
        <v>46192</v>
      </c>
      <c r="O198" s="90">
        <v>46198</v>
      </c>
      <c r="P198" s="90">
        <f t="shared" si="350"/>
        <v>46234</v>
      </c>
      <c r="Q198" s="90">
        <f t="shared" si="351"/>
        <v>46234</v>
      </c>
      <c r="R198" s="90">
        <v>46234</v>
      </c>
      <c r="S198" s="90">
        <f t="shared" si="352"/>
        <v>46248</v>
      </c>
      <c r="T198" s="90">
        <f t="shared" si="353"/>
        <v>46248</v>
      </c>
      <c r="U198" s="90"/>
      <c r="W198" s="174" t="str">
        <f t="shared" ca="1" si="309"/>
        <v>Completed</v>
      </c>
      <c r="X198" s="174" t="str">
        <f t="shared" ca="1" si="310"/>
        <v>Completed</v>
      </c>
      <c r="Y198" s="174" t="str">
        <f t="shared" ca="1" si="311"/>
        <v>Completed</v>
      </c>
      <c r="Z198" s="175" t="str">
        <f t="shared" ca="1" si="312"/>
        <v>Overdue</v>
      </c>
    </row>
    <row r="199" spans="1:26" s="70" customFormat="1" ht="11.5" x14ac:dyDescent="0.25">
      <c r="A199" s="93" t="s">
        <v>67</v>
      </c>
      <c r="B199" s="93" t="s">
        <v>14</v>
      </c>
      <c r="C199" s="93" t="s">
        <v>252</v>
      </c>
      <c r="D199" s="92" t="s">
        <v>253</v>
      </c>
      <c r="E199" s="94">
        <f t="shared" si="318"/>
        <v>1</v>
      </c>
      <c r="F199" s="94">
        <f t="shared" si="319"/>
        <v>1</v>
      </c>
      <c r="G199" s="94">
        <f t="shared" si="319"/>
        <v>0.79999999999999993</v>
      </c>
      <c r="H199" s="94">
        <f t="shared" si="320"/>
        <v>-0.20000000000000007</v>
      </c>
      <c r="I199" s="130">
        <v>4.7E-2</v>
      </c>
      <c r="J199" s="90">
        <v>46150</v>
      </c>
      <c r="K199" s="90">
        <f t="shared" si="347"/>
        <v>46150</v>
      </c>
      <c r="L199" s="90">
        <v>46130</v>
      </c>
      <c r="M199" s="90">
        <f t="shared" si="348"/>
        <v>46192</v>
      </c>
      <c r="N199" s="90">
        <f t="shared" si="349"/>
        <v>46192</v>
      </c>
      <c r="O199" s="90">
        <v>46198</v>
      </c>
      <c r="P199" s="90">
        <f t="shared" si="350"/>
        <v>46234</v>
      </c>
      <c r="Q199" s="90">
        <f t="shared" si="351"/>
        <v>46234</v>
      </c>
      <c r="R199" s="90">
        <v>46234</v>
      </c>
      <c r="S199" s="90">
        <f t="shared" si="352"/>
        <v>46248</v>
      </c>
      <c r="T199" s="90">
        <f t="shared" si="353"/>
        <v>46248</v>
      </c>
      <c r="U199" s="90"/>
      <c r="W199" s="174" t="str">
        <f t="shared" ca="1" si="309"/>
        <v>Completed</v>
      </c>
      <c r="X199" s="174" t="str">
        <f t="shared" ca="1" si="310"/>
        <v>Completed</v>
      </c>
      <c r="Y199" s="174" t="str">
        <f t="shared" ca="1" si="311"/>
        <v>Completed</v>
      </c>
      <c r="Z199" s="175" t="str">
        <f t="shared" ca="1" si="312"/>
        <v>Overdue</v>
      </c>
    </row>
    <row r="200" spans="1:26" s="70" customFormat="1" ht="11.5" x14ac:dyDescent="0.25">
      <c r="A200" s="93" t="s">
        <v>67</v>
      </c>
      <c r="B200" s="93" t="s">
        <v>14</v>
      </c>
      <c r="C200" s="93" t="s">
        <v>254</v>
      </c>
      <c r="D200" s="92" t="s">
        <v>255</v>
      </c>
      <c r="E200" s="94">
        <f t="shared" si="318"/>
        <v>1</v>
      </c>
      <c r="F200" s="94">
        <f t="shared" si="319"/>
        <v>1</v>
      </c>
      <c r="G200" s="94">
        <f t="shared" si="319"/>
        <v>0.79999999999999993</v>
      </c>
      <c r="H200" s="94">
        <f t="shared" si="320"/>
        <v>-0.20000000000000007</v>
      </c>
      <c r="I200" s="130">
        <v>4.7E-2</v>
      </c>
      <c r="J200" s="90">
        <v>46150</v>
      </c>
      <c r="K200" s="90">
        <f t="shared" si="347"/>
        <v>46150</v>
      </c>
      <c r="L200" s="90">
        <v>46130</v>
      </c>
      <c r="M200" s="90">
        <f t="shared" si="348"/>
        <v>46192</v>
      </c>
      <c r="N200" s="90">
        <f t="shared" si="349"/>
        <v>46192</v>
      </c>
      <c r="O200" s="90">
        <v>46198</v>
      </c>
      <c r="P200" s="90">
        <f t="shared" si="350"/>
        <v>46234</v>
      </c>
      <c r="Q200" s="90">
        <f t="shared" si="351"/>
        <v>46234</v>
      </c>
      <c r="R200" s="90">
        <v>46234</v>
      </c>
      <c r="S200" s="90">
        <f t="shared" si="352"/>
        <v>46248</v>
      </c>
      <c r="T200" s="90">
        <f t="shared" si="353"/>
        <v>46248</v>
      </c>
      <c r="U200" s="90"/>
      <c r="W200" s="174" t="str">
        <f t="shared" ca="1" si="309"/>
        <v>Completed</v>
      </c>
      <c r="X200" s="174" t="str">
        <f t="shared" ca="1" si="310"/>
        <v>Completed</v>
      </c>
      <c r="Y200" s="174" t="str">
        <f t="shared" ca="1" si="311"/>
        <v>Completed</v>
      </c>
      <c r="Z200" s="175" t="str">
        <f t="shared" ca="1" si="312"/>
        <v>Overdue</v>
      </c>
    </row>
    <row r="201" spans="1:26" s="70" customFormat="1" ht="11.5" x14ac:dyDescent="0.25">
      <c r="A201" s="93" t="s">
        <v>67</v>
      </c>
      <c r="B201" s="93" t="s">
        <v>14</v>
      </c>
      <c r="C201" s="93" t="s">
        <v>256</v>
      </c>
      <c r="D201" s="92" t="s">
        <v>257</v>
      </c>
      <c r="E201" s="94">
        <f t="shared" si="318"/>
        <v>1</v>
      </c>
      <c r="F201" s="94">
        <f t="shared" si="319"/>
        <v>1</v>
      </c>
      <c r="G201" s="94">
        <f t="shared" si="319"/>
        <v>0.79999999999999993</v>
      </c>
      <c r="H201" s="94">
        <f t="shared" si="320"/>
        <v>-0.20000000000000007</v>
      </c>
      <c r="I201" s="130">
        <v>4.7E-2</v>
      </c>
      <c r="J201" s="90">
        <v>46150</v>
      </c>
      <c r="K201" s="90">
        <f t="shared" si="347"/>
        <v>46150</v>
      </c>
      <c r="L201" s="90">
        <v>46130</v>
      </c>
      <c r="M201" s="90">
        <f t="shared" si="348"/>
        <v>46192</v>
      </c>
      <c r="N201" s="90">
        <f t="shared" si="349"/>
        <v>46192</v>
      </c>
      <c r="O201" s="90">
        <v>46198</v>
      </c>
      <c r="P201" s="90">
        <f t="shared" si="350"/>
        <v>46234</v>
      </c>
      <c r="Q201" s="90">
        <f t="shared" si="351"/>
        <v>46234</v>
      </c>
      <c r="R201" s="90">
        <v>46234</v>
      </c>
      <c r="S201" s="90">
        <f t="shared" si="352"/>
        <v>46248</v>
      </c>
      <c r="T201" s="90">
        <f t="shared" si="353"/>
        <v>46248</v>
      </c>
      <c r="U201" s="90"/>
      <c r="W201" s="174" t="str">
        <f t="shared" ca="1" si="309"/>
        <v>Completed</v>
      </c>
      <c r="X201" s="174" t="str">
        <f t="shared" ca="1" si="310"/>
        <v>Completed</v>
      </c>
      <c r="Y201" s="174" t="str">
        <f t="shared" ca="1" si="311"/>
        <v>Completed</v>
      </c>
      <c r="Z201" s="175" t="str">
        <f t="shared" ca="1" si="312"/>
        <v>Overdue</v>
      </c>
    </row>
    <row r="202" spans="1:26" s="70" customFormat="1" ht="11.5" x14ac:dyDescent="0.25">
      <c r="A202" s="93" t="s">
        <v>67</v>
      </c>
      <c r="B202" s="93" t="s">
        <v>14</v>
      </c>
      <c r="C202" s="93" t="s">
        <v>258</v>
      </c>
      <c r="D202" s="92" t="s">
        <v>259</v>
      </c>
      <c r="E202" s="94">
        <f t="shared" si="318"/>
        <v>1</v>
      </c>
      <c r="F202" s="94">
        <f t="shared" si="319"/>
        <v>1</v>
      </c>
      <c r="G202" s="94">
        <f t="shared" si="319"/>
        <v>0.79999999999999993</v>
      </c>
      <c r="H202" s="94">
        <f t="shared" si="320"/>
        <v>-0.20000000000000007</v>
      </c>
      <c r="I202" s="130">
        <v>4.7E-2</v>
      </c>
      <c r="J202" s="90">
        <v>46150</v>
      </c>
      <c r="K202" s="90">
        <f t="shared" si="347"/>
        <v>46150</v>
      </c>
      <c r="L202" s="90">
        <v>46130</v>
      </c>
      <c r="M202" s="90">
        <f t="shared" si="348"/>
        <v>46192</v>
      </c>
      <c r="N202" s="90">
        <f t="shared" si="349"/>
        <v>46192</v>
      </c>
      <c r="O202" s="90">
        <v>46198</v>
      </c>
      <c r="P202" s="90">
        <f t="shared" si="350"/>
        <v>46234</v>
      </c>
      <c r="Q202" s="90">
        <f t="shared" si="351"/>
        <v>46234</v>
      </c>
      <c r="R202" s="90">
        <v>46234</v>
      </c>
      <c r="S202" s="90">
        <f t="shared" si="352"/>
        <v>46248</v>
      </c>
      <c r="T202" s="90">
        <f t="shared" si="353"/>
        <v>46248</v>
      </c>
      <c r="U202" s="90"/>
      <c r="W202" s="174" t="str">
        <f t="shared" ca="1" si="309"/>
        <v>Completed</v>
      </c>
      <c r="X202" s="174" t="str">
        <f t="shared" ca="1" si="310"/>
        <v>Completed</v>
      </c>
      <c r="Y202" s="174" t="str">
        <f t="shared" ca="1" si="311"/>
        <v>Completed</v>
      </c>
      <c r="Z202" s="175" t="str">
        <f t="shared" ca="1" si="312"/>
        <v>Overdue</v>
      </c>
    </row>
    <row r="203" spans="1:26" s="70" customFormat="1" ht="11.5" x14ac:dyDescent="0.25">
      <c r="A203" s="93" t="s">
        <v>67</v>
      </c>
      <c r="B203" s="93" t="s">
        <v>14</v>
      </c>
      <c r="C203" s="93" t="s">
        <v>260</v>
      </c>
      <c r="D203" s="92" t="s">
        <v>261</v>
      </c>
      <c r="E203" s="94">
        <f t="shared" si="318"/>
        <v>1</v>
      </c>
      <c r="F203" s="94">
        <f t="shared" si="319"/>
        <v>1</v>
      </c>
      <c r="G203" s="94">
        <f t="shared" si="319"/>
        <v>0.79999999999999993</v>
      </c>
      <c r="H203" s="94">
        <f t="shared" si="320"/>
        <v>-0.20000000000000007</v>
      </c>
      <c r="I203" s="130">
        <v>4.7E-2</v>
      </c>
      <c r="J203" s="90">
        <v>46150</v>
      </c>
      <c r="K203" s="90">
        <f t="shared" si="347"/>
        <v>46150</v>
      </c>
      <c r="L203" s="90">
        <v>46130</v>
      </c>
      <c r="M203" s="90">
        <f t="shared" si="348"/>
        <v>46192</v>
      </c>
      <c r="N203" s="90">
        <f t="shared" si="349"/>
        <v>46192</v>
      </c>
      <c r="O203" s="90">
        <v>46198</v>
      </c>
      <c r="P203" s="90">
        <f t="shared" si="350"/>
        <v>46234</v>
      </c>
      <c r="Q203" s="90">
        <f t="shared" si="351"/>
        <v>46234</v>
      </c>
      <c r="R203" s="90">
        <v>46234</v>
      </c>
      <c r="S203" s="90">
        <f t="shared" si="352"/>
        <v>46248</v>
      </c>
      <c r="T203" s="90">
        <f t="shared" si="353"/>
        <v>46248</v>
      </c>
      <c r="U203" s="90"/>
      <c r="W203" s="174" t="str">
        <f t="shared" ca="1" si="309"/>
        <v>Completed</v>
      </c>
      <c r="X203" s="174" t="str">
        <f t="shared" ca="1" si="310"/>
        <v>Completed</v>
      </c>
      <c r="Y203" s="174" t="str">
        <f t="shared" ca="1" si="311"/>
        <v>Completed</v>
      </c>
      <c r="Z203" s="175" t="str">
        <f t="shared" ca="1" si="312"/>
        <v>Overdue</v>
      </c>
    </row>
    <row r="204" spans="1:26" s="70" customFormat="1" ht="11.5" x14ac:dyDescent="0.25">
      <c r="A204" s="93" t="s">
        <v>67</v>
      </c>
      <c r="B204" s="93" t="s">
        <v>14</v>
      </c>
      <c r="C204" s="93" t="s">
        <v>262</v>
      </c>
      <c r="D204" s="92" t="s">
        <v>263</v>
      </c>
      <c r="E204" s="94">
        <f t="shared" si="318"/>
        <v>1</v>
      </c>
      <c r="F204" s="94">
        <f t="shared" si="319"/>
        <v>1</v>
      </c>
      <c r="G204" s="94">
        <f t="shared" si="319"/>
        <v>0.79999999999999993</v>
      </c>
      <c r="H204" s="94">
        <f t="shared" si="320"/>
        <v>-0.20000000000000007</v>
      </c>
      <c r="I204" s="130">
        <v>4.7E-2</v>
      </c>
      <c r="J204" s="90">
        <v>46150</v>
      </c>
      <c r="K204" s="90">
        <f t="shared" si="347"/>
        <v>46150</v>
      </c>
      <c r="L204" s="90">
        <v>46130</v>
      </c>
      <c r="M204" s="90">
        <f t="shared" si="348"/>
        <v>46192</v>
      </c>
      <c r="N204" s="90">
        <f t="shared" si="349"/>
        <v>46192</v>
      </c>
      <c r="O204" s="90">
        <v>46198</v>
      </c>
      <c r="P204" s="90">
        <f t="shared" si="350"/>
        <v>46234</v>
      </c>
      <c r="Q204" s="90">
        <f t="shared" si="351"/>
        <v>46234</v>
      </c>
      <c r="R204" s="90">
        <v>46234</v>
      </c>
      <c r="S204" s="90">
        <f t="shared" si="352"/>
        <v>46248</v>
      </c>
      <c r="T204" s="90">
        <f t="shared" si="353"/>
        <v>46248</v>
      </c>
      <c r="U204" s="90"/>
      <c r="W204" s="174" t="str">
        <f t="shared" ca="1" si="309"/>
        <v>Completed</v>
      </c>
      <c r="X204" s="174" t="str">
        <f t="shared" ca="1" si="310"/>
        <v>Completed</v>
      </c>
      <c r="Y204" s="174" t="str">
        <f t="shared" ca="1" si="311"/>
        <v>Completed</v>
      </c>
      <c r="Z204" s="175" t="str">
        <f t="shared" ca="1" si="312"/>
        <v>Overdue</v>
      </c>
    </row>
    <row r="205" spans="1:26" s="70" customFormat="1" ht="11.5" x14ac:dyDescent="0.25">
      <c r="A205" s="93" t="s">
        <v>67</v>
      </c>
      <c r="B205" s="93" t="s">
        <v>14</v>
      </c>
      <c r="C205" s="93" t="s">
        <v>264</v>
      </c>
      <c r="D205" s="92" t="s">
        <v>265</v>
      </c>
      <c r="E205" s="94">
        <f t="shared" si="318"/>
        <v>1</v>
      </c>
      <c r="F205" s="94">
        <f t="shared" si="319"/>
        <v>1</v>
      </c>
      <c r="G205" s="94">
        <f t="shared" si="319"/>
        <v>0.79999999999999993</v>
      </c>
      <c r="H205" s="94">
        <f t="shared" si="320"/>
        <v>-0.20000000000000007</v>
      </c>
      <c r="I205" s="130">
        <v>4.7E-2</v>
      </c>
      <c r="J205" s="90">
        <v>46150</v>
      </c>
      <c r="K205" s="90">
        <f t="shared" si="347"/>
        <v>46150</v>
      </c>
      <c r="L205" s="90">
        <v>46130</v>
      </c>
      <c r="M205" s="90">
        <f t="shared" si="348"/>
        <v>46192</v>
      </c>
      <c r="N205" s="90">
        <f t="shared" si="349"/>
        <v>46192</v>
      </c>
      <c r="O205" s="90">
        <v>46198</v>
      </c>
      <c r="P205" s="90">
        <f t="shared" si="350"/>
        <v>46234</v>
      </c>
      <c r="Q205" s="90">
        <f t="shared" si="351"/>
        <v>46234</v>
      </c>
      <c r="R205" s="90">
        <v>46234</v>
      </c>
      <c r="S205" s="90">
        <f t="shared" si="352"/>
        <v>46248</v>
      </c>
      <c r="T205" s="90">
        <f t="shared" si="353"/>
        <v>46248</v>
      </c>
      <c r="U205" s="90"/>
      <c r="W205" s="174" t="str">
        <f t="shared" ca="1" si="309"/>
        <v>Completed</v>
      </c>
      <c r="X205" s="174" t="str">
        <f t="shared" ca="1" si="310"/>
        <v>Completed</v>
      </c>
      <c r="Y205" s="174" t="str">
        <f t="shared" ca="1" si="311"/>
        <v>Completed</v>
      </c>
      <c r="Z205" s="175" t="str">
        <f t="shared" ca="1" si="312"/>
        <v>Overdue</v>
      </c>
    </row>
    <row r="206" spans="1:26" s="70" customFormat="1" ht="11.5" x14ac:dyDescent="0.25">
      <c r="A206" s="93" t="s">
        <v>67</v>
      </c>
      <c r="B206" s="93" t="s">
        <v>14</v>
      </c>
      <c r="C206" s="93" t="s">
        <v>266</v>
      </c>
      <c r="D206" s="92" t="s">
        <v>267</v>
      </c>
      <c r="E206" s="94">
        <f t="shared" si="318"/>
        <v>1</v>
      </c>
      <c r="F206" s="94">
        <f t="shared" si="319"/>
        <v>1</v>
      </c>
      <c r="G206" s="94">
        <f t="shared" si="319"/>
        <v>0.79999999999999993</v>
      </c>
      <c r="H206" s="94">
        <f t="shared" si="320"/>
        <v>-0.20000000000000007</v>
      </c>
      <c r="I206" s="130">
        <v>4.7E-2</v>
      </c>
      <c r="J206" s="90">
        <v>46150</v>
      </c>
      <c r="K206" s="90">
        <f t="shared" si="347"/>
        <v>46150</v>
      </c>
      <c r="L206" s="90">
        <v>46130</v>
      </c>
      <c r="M206" s="90">
        <f t="shared" si="348"/>
        <v>46192</v>
      </c>
      <c r="N206" s="90">
        <f t="shared" si="349"/>
        <v>46192</v>
      </c>
      <c r="O206" s="90">
        <v>46198</v>
      </c>
      <c r="P206" s="90">
        <f t="shared" si="350"/>
        <v>46234</v>
      </c>
      <c r="Q206" s="90">
        <f t="shared" si="351"/>
        <v>46234</v>
      </c>
      <c r="R206" s="90">
        <v>46234</v>
      </c>
      <c r="S206" s="90">
        <f t="shared" si="352"/>
        <v>46248</v>
      </c>
      <c r="T206" s="90">
        <f t="shared" si="353"/>
        <v>46248</v>
      </c>
      <c r="U206" s="90"/>
      <c r="W206" s="174" t="str">
        <f t="shared" ca="1" si="309"/>
        <v>Completed</v>
      </c>
      <c r="X206" s="174" t="str">
        <f t="shared" ca="1" si="310"/>
        <v>Completed</v>
      </c>
      <c r="Y206" s="174" t="str">
        <f t="shared" ca="1" si="311"/>
        <v>Completed</v>
      </c>
      <c r="Z206" s="175" t="str">
        <f t="shared" ca="1" si="312"/>
        <v>Overdue</v>
      </c>
    </row>
    <row r="207" spans="1:26" s="70" customFormat="1" ht="11.5" x14ac:dyDescent="0.25">
      <c r="A207" s="93" t="s">
        <v>67</v>
      </c>
      <c r="B207" s="93" t="s">
        <v>14</v>
      </c>
      <c r="C207" s="93" t="s">
        <v>268</v>
      </c>
      <c r="D207" s="92" t="s">
        <v>269</v>
      </c>
      <c r="E207" s="94">
        <f t="shared" si="318"/>
        <v>1</v>
      </c>
      <c r="F207" s="94">
        <f t="shared" si="319"/>
        <v>1</v>
      </c>
      <c r="G207" s="94">
        <f t="shared" si="319"/>
        <v>0.79999999999999993</v>
      </c>
      <c r="H207" s="94">
        <f t="shared" si="320"/>
        <v>-0.20000000000000007</v>
      </c>
      <c r="I207" s="130">
        <v>4.7E-2</v>
      </c>
      <c r="J207" s="90">
        <v>46150</v>
      </c>
      <c r="K207" s="90">
        <f t="shared" si="347"/>
        <v>46150</v>
      </c>
      <c r="L207" s="90">
        <v>46130</v>
      </c>
      <c r="M207" s="90">
        <f t="shared" si="348"/>
        <v>46192</v>
      </c>
      <c r="N207" s="90">
        <f t="shared" si="349"/>
        <v>46192</v>
      </c>
      <c r="O207" s="90">
        <v>46198</v>
      </c>
      <c r="P207" s="90">
        <f t="shared" si="350"/>
        <v>46234</v>
      </c>
      <c r="Q207" s="90">
        <f t="shared" si="351"/>
        <v>46234</v>
      </c>
      <c r="R207" s="90">
        <v>46234</v>
      </c>
      <c r="S207" s="90">
        <f t="shared" si="352"/>
        <v>46248</v>
      </c>
      <c r="T207" s="90">
        <f t="shared" si="353"/>
        <v>46248</v>
      </c>
      <c r="U207" s="90"/>
      <c r="W207" s="174" t="str">
        <f t="shared" ca="1" si="309"/>
        <v>Completed</v>
      </c>
      <c r="X207" s="174" t="str">
        <f t="shared" ca="1" si="310"/>
        <v>Completed</v>
      </c>
      <c r="Y207" s="174" t="str">
        <f t="shared" ca="1" si="311"/>
        <v>Completed</v>
      </c>
      <c r="Z207" s="175" t="str">
        <f t="shared" ca="1" si="312"/>
        <v>Overdue</v>
      </c>
    </row>
    <row r="208" spans="1:26" s="70" customFormat="1" ht="11.5" x14ac:dyDescent="0.25">
      <c r="A208" s="93" t="s">
        <v>67</v>
      </c>
      <c r="B208" s="93" t="s">
        <v>14</v>
      </c>
      <c r="C208" s="93" t="s">
        <v>270</v>
      </c>
      <c r="D208" s="92" t="s">
        <v>271</v>
      </c>
      <c r="E208" s="94">
        <f t="shared" si="318"/>
        <v>1</v>
      </c>
      <c r="F208" s="94">
        <f t="shared" si="319"/>
        <v>1</v>
      </c>
      <c r="G208" s="94">
        <f t="shared" si="319"/>
        <v>0.79999999999999993</v>
      </c>
      <c r="H208" s="94">
        <f t="shared" si="320"/>
        <v>-0.20000000000000007</v>
      </c>
      <c r="I208" s="130">
        <v>4.7E-2</v>
      </c>
      <c r="J208" s="90">
        <v>46150</v>
      </c>
      <c r="K208" s="90">
        <f t="shared" si="347"/>
        <v>46150</v>
      </c>
      <c r="L208" s="90">
        <v>46130</v>
      </c>
      <c r="M208" s="90">
        <f t="shared" si="348"/>
        <v>46192</v>
      </c>
      <c r="N208" s="90">
        <f t="shared" si="349"/>
        <v>46192</v>
      </c>
      <c r="O208" s="90">
        <v>46198</v>
      </c>
      <c r="P208" s="90">
        <f t="shared" si="350"/>
        <v>46234</v>
      </c>
      <c r="Q208" s="90">
        <f t="shared" si="351"/>
        <v>46234</v>
      </c>
      <c r="R208" s="90">
        <v>46234</v>
      </c>
      <c r="S208" s="90">
        <f t="shared" si="352"/>
        <v>46248</v>
      </c>
      <c r="T208" s="90">
        <f t="shared" si="353"/>
        <v>46248</v>
      </c>
      <c r="U208" s="90"/>
      <c r="W208" s="174" t="str">
        <f t="shared" ca="1" si="309"/>
        <v>Completed</v>
      </c>
      <c r="X208" s="174" t="str">
        <f t="shared" ca="1" si="310"/>
        <v>Completed</v>
      </c>
      <c r="Y208" s="174" t="str">
        <f t="shared" ca="1" si="311"/>
        <v>Completed</v>
      </c>
      <c r="Z208" s="175" t="str">
        <f t="shared" ca="1" si="312"/>
        <v>Overdue</v>
      </c>
    </row>
    <row r="209" spans="1:26" s="70" customFormat="1" ht="11.5" x14ac:dyDescent="0.25">
      <c r="A209" s="93" t="s">
        <v>67</v>
      </c>
      <c r="B209" s="93" t="s">
        <v>14</v>
      </c>
      <c r="C209" s="93" t="s">
        <v>272</v>
      </c>
      <c r="D209" s="92" t="s">
        <v>273</v>
      </c>
      <c r="E209" s="94">
        <f t="shared" si="318"/>
        <v>1</v>
      </c>
      <c r="F209" s="94">
        <f t="shared" si="319"/>
        <v>1</v>
      </c>
      <c r="G209" s="94">
        <f t="shared" si="319"/>
        <v>0.79999999999999993</v>
      </c>
      <c r="H209" s="94">
        <f t="shared" si="320"/>
        <v>-0.20000000000000007</v>
      </c>
      <c r="I209" s="130">
        <v>4.7E-2</v>
      </c>
      <c r="J209" s="90">
        <v>46150</v>
      </c>
      <c r="K209" s="90">
        <f t="shared" si="347"/>
        <v>46150</v>
      </c>
      <c r="L209" s="90">
        <v>46130</v>
      </c>
      <c r="M209" s="90">
        <f t="shared" si="348"/>
        <v>46192</v>
      </c>
      <c r="N209" s="90">
        <f t="shared" si="349"/>
        <v>46192</v>
      </c>
      <c r="O209" s="90">
        <v>46198</v>
      </c>
      <c r="P209" s="90">
        <f t="shared" si="350"/>
        <v>46234</v>
      </c>
      <c r="Q209" s="90">
        <f t="shared" si="351"/>
        <v>46234</v>
      </c>
      <c r="R209" s="90">
        <v>46234</v>
      </c>
      <c r="S209" s="90">
        <f t="shared" si="352"/>
        <v>46248</v>
      </c>
      <c r="T209" s="90">
        <f t="shared" si="353"/>
        <v>46248</v>
      </c>
      <c r="U209" s="90"/>
      <c r="W209" s="174" t="str">
        <f t="shared" ca="1" si="309"/>
        <v>Completed</v>
      </c>
      <c r="X209" s="174" t="str">
        <f t="shared" ca="1" si="310"/>
        <v>Completed</v>
      </c>
      <c r="Y209" s="174" t="str">
        <f t="shared" ca="1" si="311"/>
        <v>Completed</v>
      </c>
      <c r="Z209" s="175" t="str">
        <f t="shared" ca="1" si="312"/>
        <v>Overdue</v>
      </c>
    </row>
    <row r="210" spans="1:26" s="70" customFormat="1" ht="11.5" x14ac:dyDescent="0.25">
      <c r="A210" s="93" t="s">
        <v>67</v>
      </c>
      <c r="B210" s="93" t="s">
        <v>14</v>
      </c>
      <c r="C210" s="93" t="s">
        <v>274</v>
      </c>
      <c r="D210" s="92" t="s">
        <v>275</v>
      </c>
      <c r="E210" s="94">
        <f t="shared" si="318"/>
        <v>1</v>
      </c>
      <c r="F210" s="94">
        <f t="shared" si="319"/>
        <v>1</v>
      </c>
      <c r="G210" s="94">
        <f t="shared" si="319"/>
        <v>0.79999999999999993</v>
      </c>
      <c r="H210" s="94">
        <f t="shared" si="320"/>
        <v>-0.20000000000000007</v>
      </c>
      <c r="I210" s="130">
        <v>4.7E-2</v>
      </c>
      <c r="J210" s="90">
        <v>46150</v>
      </c>
      <c r="K210" s="90">
        <f t="shared" si="347"/>
        <v>46150</v>
      </c>
      <c r="L210" s="90">
        <v>46130</v>
      </c>
      <c r="M210" s="90">
        <f t="shared" si="348"/>
        <v>46192</v>
      </c>
      <c r="N210" s="90">
        <f t="shared" si="349"/>
        <v>46192</v>
      </c>
      <c r="O210" s="90">
        <v>46198</v>
      </c>
      <c r="P210" s="90">
        <f t="shared" si="350"/>
        <v>46234</v>
      </c>
      <c r="Q210" s="90">
        <f t="shared" si="351"/>
        <v>46234</v>
      </c>
      <c r="R210" s="90">
        <v>46234</v>
      </c>
      <c r="S210" s="90">
        <f t="shared" si="352"/>
        <v>46248</v>
      </c>
      <c r="T210" s="90">
        <f t="shared" si="353"/>
        <v>46248</v>
      </c>
      <c r="U210" s="90"/>
      <c r="W210" s="174" t="str">
        <f t="shared" ca="1" si="309"/>
        <v>Completed</v>
      </c>
      <c r="X210" s="174" t="str">
        <f t="shared" ca="1" si="310"/>
        <v>Completed</v>
      </c>
      <c r="Y210" s="174" t="str">
        <f t="shared" ca="1" si="311"/>
        <v>Completed</v>
      </c>
      <c r="Z210" s="175" t="str">
        <f t="shared" ca="1" si="312"/>
        <v>Overdue</v>
      </c>
    </row>
    <row r="211" spans="1:26" s="70" customFormat="1" ht="11.5" x14ac:dyDescent="0.25">
      <c r="A211" s="93" t="s">
        <v>67</v>
      </c>
      <c r="B211" s="93" t="s">
        <v>14</v>
      </c>
      <c r="C211" s="93" t="s">
        <v>276</v>
      </c>
      <c r="D211" s="92" t="s">
        <v>277</v>
      </c>
      <c r="E211" s="94">
        <f t="shared" si="318"/>
        <v>1</v>
      </c>
      <c r="F211" s="94">
        <f t="shared" si="319"/>
        <v>1</v>
      </c>
      <c r="G211" s="94">
        <f t="shared" si="319"/>
        <v>0.79999999999999993</v>
      </c>
      <c r="H211" s="94">
        <f t="shared" si="320"/>
        <v>-0.20000000000000007</v>
      </c>
      <c r="I211" s="130">
        <v>4.7E-2</v>
      </c>
      <c r="J211" s="90">
        <v>46150</v>
      </c>
      <c r="K211" s="90">
        <f t="shared" si="347"/>
        <v>46150</v>
      </c>
      <c r="L211" s="90">
        <v>46130</v>
      </c>
      <c r="M211" s="90">
        <f t="shared" si="348"/>
        <v>46192</v>
      </c>
      <c r="N211" s="90">
        <f t="shared" si="349"/>
        <v>46192</v>
      </c>
      <c r="O211" s="90">
        <v>46198</v>
      </c>
      <c r="P211" s="90">
        <f t="shared" si="350"/>
        <v>46234</v>
      </c>
      <c r="Q211" s="90">
        <f t="shared" si="351"/>
        <v>46234</v>
      </c>
      <c r="R211" s="90">
        <v>46234</v>
      </c>
      <c r="S211" s="90">
        <f t="shared" si="352"/>
        <v>46248</v>
      </c>
      <c r="T211" s="90">
        <f t="shared" si="353"/>
        <v>46248</v>
      </c>
      <c r="U211" s="90"/>
      <c r="W211" s="174" t="str">
        <f t="shared" ref="W211:W274" ca="1" si="354">IF(OR(L211&lt;&gt;""),"Completed",
IF(K211="","",IF(K211&lt;TODAY(),"Overdue",
IF(AND(K211&gt;=TODAY()-WEEKDAY(TODAY(),2)+1,K211&lt;=TODAY()-WEEKDAY(TODAY(),2)+7),"Follow-This Week",
IF(AND(K211&gt;=TODAY()-WEEKDAY(TODAY(),2)+8,K211&lt;=TODAY()-WEEKDAY(TODAY(),2)+14),"Follow-Next Week","")))))</f>
        <v>Completed</v>
      </c>
      <c r="X211" s="174" t="str">
        <f t="shared" ref="X211:X274" ca="1" si="355">IF(OR(O211&lt;&gt;""),"Completed",IF(N211="","",
IF(N211&lt;TODAY(),"Overdue",
IF(AND(N211&gt;=TODAY()-WEEKDAY(TODAY(),2)+1,N211&lt;=TODAY()-WEEKDAY(TODAY(),2)+7),"Follow-This Week",
IF(AND(N211&gt;=TODAY()-WEEKDAY(TODAY(),2)+8,N211&lt;=TODAY()-WEEKDAY(TODAY(),2)+14),"Follow-Next Week","")))))</f>
        <v>Completed</v>
      </c>
      <c r="Y211" s="174" t="str">
        <f t="shared" ref="Y211:Y274" ca="1" si="356">IF(OR(R211&lt;&gt;""),"Completed",IF(Q211="","",
IF(Q211&lt;TODAY(),"Overdue",
IF(AND(Q211&gt;=TODAY()-WEEKDAY(TODAY(),2)+1,Q211&lt;=TODAY()-WEEKDAY(TODAY(),2)+7),"Follow-This Week",
IF(AND(Q211&gt;=TODAY()-WEEKDAY(TODAY(),2)+8,Q211&lt;=TODAY()-WEEKDAY(TODAY(),2)+14),"Follow-Next Week","")))))</f>
        <v>Completed</v>
      </c>
      <c r="Z211" s="175" t="str">
        <f t="shared" ref="Z211:Z274" ca="1" si="357">IF(OR(U211&lt;&gt;""),"Completed",IF(T211="","",
IF(T211&lt;TODAY(),"Overdue",
IF(AND(T211&gt;=TODAY()-WEEKDAY(TODAY(),2)+1,T211&lt;=TODAY()-WEEKDAY(TODAY(),2)+7),"Follow-This Week",
IF(AND(T211&gt;=TODAY()-WEEKDAY(TODAY(),2)+8,T211&lt;=TODAY()-WEEKDAY(TODAY(),2)+14),"Follow-Next Week","")))))</f>
        <v>Overdue</v>
      </c>
    </row>
    <row r="212" spans="1:26" s="70" customFormat="1" ht="11.5" x14ac:dyDescent="0.25">
      <c r="A212" s="93" t="s">
        <v>67</v>
      </c>
      <c r="B212" s="93" t="s">
        <v>14</v>
      </c>
      <c r="C212" s="93" t="s">
        <v>278</v>
      </c>
      <c r="D212" s="92" t="s">
        <v>279</v>
      </c>
      <c r="E212" s="94">
        <f t="shared" si="318"/>
        <v>1</v>
      </c>
      <c r="F212" s="94">
        <f t="shared" si="319"/>
        <v>1</v>
      </c>
      <c r="G212" s="94">
        <f t="shared" si="319"/>
        <v>0.79999999999999993</v>
      </c>
      <c r="H212" s="94">
        <f t="shared" si="320"/>
        <v>-0.20000000000000007</v>
      </c>
      <c r="I212" s="130">
        <v>4.7E-2</v>
      </c>
      <c r="J212" s="90">
        <v>46150</v>
      </c>
      <c r="K212" s="90">
        <f t="shared" si="347"/>
        <v>46150</v>
      </c>
      <c r="L212" s="90">
        <v>46130</v>
      </c>
      <c r="M212" s="90">
        <f t="shared" si="348"/>
        <v>46192</v>
      </c>
      <c r="N212" s="90">
        <f t="shared" si="349"/>
        <v>46192</v>
      </c>
      <c r="O212" s="90">
        <v>46198</v>
      </c>
      <c r="P212" s="90">
        <f t="shared" si="350"/>
        <v>46234</v>
      </c>
      <c r="Q212" s="90">
        <f t="shared" si="351"/>
        <v>46234</v>
      </c>
      <c r="R212" s="90">
        <v>46234</v>
      </c>
      <c r="S212" s="90">
        <f t="shared" si="352"/>
        <v>46248</v>
      </c>
      <c r="T212" s="90">
        <f t="shared" si="353"/>
        <v>46248</v>
      </c>
      <c r="U212" s="90"/>
      <c r="W212" s="174" t="str">
        <f t="shared" ca="1" si="354"/>
        <v>Completed</v>
      </c>
      <c r="X212" s="174" t="str">
        <f t="shared" ca="1" si="355"/>
        <v>Completed</v>
      </c>
      <c r="Y212" s="174" t="str">
        <f t="shared" ca="1" si="356"/>
        <v>Completed</v>
      </c>
      <c r="Z212" s="175" t="str">
        <f t="shared" ca="1" si="357"/>
        <v>Overdue</v>
      </c>
    </row>
    <row r="213" spans="1:26" s="70" customFormat="1" ht="11.5" x14ac:dyDescent="0.25">
      <c r="A213" s="93" t="s">
        <v>67</v>
      </c>
      <c r="B213" s="93" t="s">
        <v>14</v>
      </c>
      <c r="C213" s="93" t="s">
        <v>280</v>
      </c>
      <c r="D213" s="92" t="s">
        <v>281</v>
      </c>
      <c r="E213" s="94">
        <f t="shared" si="318"/>
        <v>1</v>
      </c>
      <c r="F213" s="94">
        <f t="shared" si="319"/>
        <v>1</v>
      </c>
      <c r="G213" s="94">
        <f t="shared" si="319"/>
        <v>0.79999999999999993</v>
      </c>
      <c r="H213" s="94">
        <f t="shared" si="320"/>
        <v>-0.20000000000000007</v>
      </c>
      <c r="I213" s="130">
        <v>4.7E-2</v>
      </c>
      <c r="J213" s="90">
        <v>46150</v>
      </c>
      <c r="K213" s="90">
        <f t="shared" si="347"/>
        <v>46150</v>
      </c>
      <c r="L213" s="90">
        <v>46130</v>
      </c>
      <c r="M213" s="90">
        <f t="shared" si="348"/>
        <v>46192</v>
      </c>
      <c r="N213" s="90">
        <f t="shared" si="349"/>
        <v>46192</v>
      </c>
      <c r="O213" s="90">
        <v>46198</v>
      </c>
      <c r="P213" s="90">
        <f t="shared" si="350"/>
        <v>46234</v>
      </c>
      <c r="Q213" s="90">
        <f t="shared" si="351"/>
        <v>46234</v>
      </c>
      <c r="R213" s="90">
        <v>46234</v>
      </c>
      <c r="S213" s="90">
        <f t="shared" si="352"/>
        <v>46248</v>
      </c>
      <c r="T213" s="90">
        <f t="shared" si="353"/>
        <v>46248</v>
      </c>
      <c r="U213" s="90"/>
      <c r="W213" s="174" t="str">
        <f t="shared" ca="1" si="354"/>
        <v>Completed</v>
      </c>
      <c r="X213" s="174" t="str">
        <f t="shared" ca="1" si="355"/>
        <v>Completed</v>
      </c>
      <c r="Y213" s="174" t="str">
        <f t="shared" ca="1" si="356"/>
        <v>Completed</v>
      </c>
      <c r="Z213" s="175" t="str">
        <f t="shared" ca="1" si="357"/>
        <v>Overdue</v>
      </c>
    </row>
    <row r="214" spans="1:26" s="70" customFormat="1" ht="11.5" x14ac:dyDescent="0.25">
      <c r="A214" s="93" t="s">
        <v>67</v>
      </c>
      <c r="B214" s="93" t="s">
        <v>14</v>
      </c>
      <c r="C214" s="93" t="s">
        <v>282</v>
      </c>
      <c r="D214" s="92" t="s">
        <v>283</v>
      </c>
      <c r="E214" s="94">
        <f t="shared" si="318"/>
        <v>1</v>
      </c>
      <c r="F214" s="94">
        <f t="shared" si="319"/>
        <v>1</v>
      </c>
      <c r="G214" s="94">
        <f t="shared" si="319"/>
        <v>0.79999999999999993</v>
      </c>
      <c r="H214" s="94">
        <f t="shared" si="320"/>
        <v>-0.20000000000000007</v>
      </c>
      <c r="I214" s="130">
        <v>4.7E-2</v>
      </c>
      <c r="J214" s="90">
        <v>46150</v>
      </c>
      <c r="K214" s="90">
        <f t="shared" si="347"/>
        <v>46150</v>
      </c>
      <c r="L214" s="90">
        <v>46130</v>
      </c>
      <c r="M214" s="90">
        <f t="shared" si="348"/>
        <v>46192</v>
      </c>
      <c r="N214" s="90">
        <f t="shared" si="349"/>
        <v>46192</v>
      </c>
      <c r="O214" s="90">
        <v>46198</v>
      </c>
      <c r="P214" s="90">
        <f t="shared" si="350"/>
        <v>46234</v>
      </c>
      <c r="Q214" s="90">
        <f t="shared" si="351"/>
        <v>46234</v>
      </c>
      <c r="R214" s="90">
        <v>46234</v>
      </c>
      <c r="S214" s="90">
        <f t="shared" si="352"/>
        <v>46248</v>
      </c>
      <c r="T214" s="90">
        <f t="shared" si="353"/>
        <v>46248</v>
      </c>
      <c r="U214" s="90"/>
      <c r="W214" s="174" t="str">
        <f t="shared" ca="1" si="354"/>
        <v>Completed</v>
      </c>
      <c r="X214" s="174" t="str">
        <f t="shared" ca="1" si="355"/>
        <v>Completed</v>
      </c>
      <c r="Y214" s="174" t="str">
        <f t="shared" ca="1" si="356"/>
        <v>Completed</v>
      </c>
      <c r="Z214" s="175" t="str">
        <f t="shared" ca="1" si="357"/>
        <v>Overdue</v>
      </c>
    </row>
    <row r="215" spans="1:26" s="70" customFormat="1" ht="11.5" x14ac:dyDescent="0.25">
      <c r="A215" s="93" t="s">
        <v>67</v>
      </c>
      <c r="B215" s="93" t="s">
        <v>14</v>
      </c>
      <c r="C215" s="93" t="s">
        <v>284</v>
      </c>
      <c r="D215" s="150" t="s">
        <v>1008</v>
      </c>
      <c r="E215" s="94">
        <f t="shared" si="318"/>
        <v>1</v>
      </c>
      <c r="F215" s="94">
        <f t="shared" si="319"/>
        <v>1</v>
      </c>
      <c r="G215" s="94">
        <f t="shared" si="319"/>
        <v>0.79999999999999993</v>
      </c>
      <c r="H215" s="94">
        <f t="shared" si="320"/>
        <v>-0.20000000000000007</v>
      </c>
      <c r="I215" s="130">
        <v>4.7E-2</v>
      </c>
      <c r="J215" s="90">
        <v>46150</v>
      </c>
      <c r="K215" s="90">
        <f t="shared" si="347"/>
        <v>46150</v>
      </c>
      <c r="L215" s="90">
        <v>46130</v>
      </c>
      <c r="M215" s="90">
        <f t="shared" si="348"/>
        <v>46192</v>
      </c>
      <c r="N215" s="90">
        <f t="shared" si="349"/>
        <v>46192</v>
      </c>
      <c r="O215" s="90">
        <v>46198</v>
      </c>
      <c r="P215" s="90">
        <f t="shared" si="350"/>
        <v>46234</v>
      </c>
      <c r="Q215" s="90">
        <f t="shared" si="351"/>
        <v>46234</v>
      </c>
      <c r="R215" s="90">
        <v>46234</v>
      </c>
      <c r="S215" s="90">
        <f t="shared" si="352"/>
        <v>46248</v>
      </c>
      <c r="T215" s="90">
        <f t="shared" si="353"/>
        <v>46248</v>
      </c>
      <c r="U215" s="90"/>
      <c r="W215" s="174" t="str">
        <f t="shared" ca="1" si="354"/>
        <v>Completed</v>
      </c>
      <c r="X215" s="174" t="str">
        <f t="shared" ca="1" si="355"/>
        <v>Completed</v>
      </c>
      <c r="Y215" s="174" t="str">
        <f t="shared" ca="1" si="356"/>
        <v>Completed</v>
      </c>
      <c r="Z215" s="175" t="str">
        <f t="shared" ca="1" si="357"/>
        <v>Overdue</v>
      </c>
    </row>
    <row r="216" spans="1:26" s="70" customFormat="1" ht="11.5" x14ac:dyDescent="0.25">
      <c r="A216" s="93" t="s">
        <v>67</v>
      </c>
      <c r="B216" s="93" t="s">
        <v>14</v>
      </c>
      <c r="C216" s="93" t="s">
        <v>285</v>
      </c>
      <c r="D216" s="92" t="s">
        <v>286</v>
      </c>
      <c r="E216" s="94">
        <f t="shared" si="318"/>
        <v>1</v>
      </c>
      <c r="F216" s="94">
        <f t="shared" si="319"/>
        <v>1</v>
      </c>
      <c r="G216" s="94">
        <f t="shared" si="319"/>
        <v>0.79999999999999993</v>
      </c>
      <c r="H216" s="94">
        <f t="shared" si="320"/>
        <v>-0.20000000000000007</v>
      </c>
      <c r="I216" s="130">
        <v>4.7E-2</v>
      </c>
      <c r="J216" s="90">
        <v>46150</v>
      </c>
      <c r="K216" s="90">
        <f t="shared" si="347"/>
        <v>46150</v>
      </c>
      <c r="L216" s="90">
        <v>46130</v>
      </c>
      <c r="M216" s="90">
        <f t="shared" si="348"/>
        <v>46192</v>
      </c>
      <c r="N216" s="90">
        <f t="shared" si="349"/>
        <v>46192</v>
      </c>
      <c r="O216" s="91">
        <v>46223</v>
      </c>
      <c r="P216" s="90">
        <f t="shared" si="350"/>
        <v>46234</v>
      </c>
      <c r="Q216" s="90">
        <f t="shared" si="351"/>
        <v>46234</v>
      </c>
      <c r="R216" s="166">
        <v>46247</v>
      </c>
      <c r="S216" s="90">
        <f t="shared" si="352"/>
        <v>46248</v>
      </c>
      <c r="T216" s="90">
        <f t="shared" si="353"/>
        <v>46248</v>
      </c>
      <c r="U216" s="90"/>
      <c r="W216" s="174" t="str">
        <f t="shared" ca="1" si="354"/>
        <v>Completed</v>
      </c>
      <c r="X216" s="174" t="str">
        <f t="shared" ca="1" si="355"/>
        <v>Completed</v>
      </c>
      <c r="Y216" s="174" t="str">
        <f t="shared" ca="1" si="356"/>
        <v>Completed</v>
      </c>
      <c r="Z216" s="175" t="str">
        <f t="shared" ca="1" si="357"/>
        <v>Overdue</v>
      </c>
    </row>
    <row r="217" spans="1:26" s="70" customFormat="1" ht="11.5" x14ac:dyDescent="0.25">
      <c r="A217" s="93" t="s">
        <v>67</v>
      </c>
      <c r="B217" s="93" t="s">
        <v>14</v>
      </c>
      <c r="C217" s="93" t="s">
        <v>287</v>
      </c>
      <c r="D217" s="92" t="s">
        <v>288</v>
      </c>
      <c r="E217" s="94">
        <f t="shared" si="318"/>
        <v>1</v>
      </c>
      <c r="F217" s="94">
        <f t="shared" si="319"/>
        <v>1</v>
      </c>
      <c r="G217" s="94">
        <f t="shared" si="319"/>
        <v>0.79999999999999993</v>
      </c>
      <c r="H217" s="94">
        <f t="shared" si="320"/>
        <v>-0.20000000000000007</v>
      </c>
      <c r="I217" s="130">
        <v>4.7E-2</v>
      </c>
      <c r="J217" s="90">
        <v>46150</v>
      </c>
      <c r="K217" s="90">
        <f t="shared" si="347"/>
        <v>46150</v>
      </c>
      <c r="L217" s="90">
        <v>46142</v>
      </c>
      <c r="M217" s="90">
        <f t="shared" si="348"/>
        <v>46192</v>
      </c>
      <c r="N217" s="90">
        <f t="shared" si="349"/>
        <v>46192</v>
      </c>
      <c r="O217" s="90">
        <v>46199</v>
      </c>
      <c r="P217" s="90">
        <f t="shared" si="350"/>
        <v>46234</v>
      </c>
      <c r="Q217" s="90">
        <f t="shared" si="351"/>
        <v>46234</v>
      </c>
      <c r="R217" s="166">
        <v>46247</v>
      </c>
      <c r="S217" s="90">
        <f t="shared" si="352"/>
        <v>46248</v>
      </c>
      <c r="T217" s="90">
        <f t="shared" si="353"/>
        <v>46248</v>
      </c>
      <c r="U217" s="90"/>
      <c r="W217" s="174" t="str">
        <f t="shared" ca="1" si="354"/>
        <v>Completed</v>
      </c>
      <c r="X217" s="174" t="str">
        <f t="shared" ca="1" si="355"/>
        <v>Completed</v>
      </c>
      <c r="Y217" s="174" t="str">
        <f t="shared" ca="1" si="356"/>
        <v>Completed</v>
      </c>
      <c r="Z217" s="175" t="str">
        <f t="shared" ca="1" si="357"/>
        <v>Overdue</v>
      </c>
    </row>
    <row r="218" spans="1:26" s="70" customFormat="1" ht="11.5" x14ac:dyDescent="0.25">
      <c r="A218" s="93" t="s">
        <v>67</v>
      </c>
      <c r="B218" s="93" t="s">
        <v>14</v>
      </c>
      <c r="C218" s="93" t="s">
        <v>289</v>
      </c>
      <c r="D218" s="92" t="s">
        <v>290</v>
      </c>
      <c r="E218" s="94">
        <f t="shared" si="318"/>
        <v>1</v>
      </c>
      <c r="F218" s="94">
        <f t="shared" si="319"/>
        <v>1</v>
      </c>
      <c r="G218" s="94">
        <f t="shared" si="319"/>
        <v>0.79999999999999993</v>
      </c>
      <c r="H218" s="94">
        <f t="shared" si="320"/>
        <v>-0.20000000000000007</v>
      </c>
      <c r="I218" s="130">
        <v>4.7E-2</v>
      </c>
      <c r="J218" s="90">
        <v>46150</v>
      </c>
      <c r="K218" s="90">
        <f t="shared" si="347"/>
        <v>46150</v>
      </c>
      <c r="L218" s="90">
        <v>46142</v>
      </c>
      <c r="M218" s="90">
        <f t="shared" si="348"/>
        <v>46192</v>
      </c>
      <c r="N218" s="90">
        <f t="shared" si="349"/>
        <v>46192</v>
      </c>
      <c r="O218" s="90">
        <v>46199</v>
      </c>
      <c r="P218" s="90">
        <f t="shared" si="350"/>
        <v>46234</v>
      </c>
      <c r="Q218" s="90">
        <f t="shared" si="351"/>
        <v>46234</v>
      </c>
      <c r="R218" s="166">
        <v>46247</v>
      </c>
      <c r="S218" s="90">
        <f t="shared" si="352"/>
        <v>46248</v>
      </c>
      <c r="T218" s="90">
        <f t="shared" si="353"/>
        <v>46248</v>
      </c>
      <c r="U218" s="90"/>
      <c r="W218" s="174" t="str">
        <f t="shared" ca="1" si="354"/>
        <v>Completed</v>
      </c>
      <c r="X218" s="174" t="str">
        <f t="shared" ca="1" si="355"/>
        <v>Completed</v>
      </c>
      <c r="Y218" s="174" t="str">
        <f t="shared" ca="1" si="356"/>
        <v>Completed</v>
      </c>
      <c r="Z218" s="175" t="str">
        <f t="shared" ca="1" si="357"/>
        <v>Overdue</v>
      </c>
    </row>
    <row r="219" spans="1:26" s="70" customFormat="1" ht="11.5" x14ac:dyDescent="0.25">
      <c r="A219" s="93" t="s">
        <v>67</v>
      </c>
      <c r="B219" s="93" t="s">
        <v>14</v>
      </c>
      <c r="C219" s="93" t="s">
        <v>291</v>
      </c>
      <c r="D219" s="92" t="s">
        <v>292</v>
      </c>
      <c r="E219" s="94">
        <f t="shared" ref="E219:E235" si="358">(COUNTIFS(J219,"&lt;="&amp;$C$1)*50%)+(COUNTIFS(M219,"&lt;="&amp;$C$1)*20%)+(COUNTIFS(P219,"&lt;="&amp;$C$1)*10%)+(COUNTIFS(S219,"&lt;="&amp;$C$1)*20%)</f>
        <v>1</v>
      </c>
      <c r="F219" s="94">
        <f t="shared" ref="F219:F235" si="359">(COUNTIFS(K219,"&lt;="&amp;$C$1)*50%)+(COUNTIFS(N219,"&lt;="&amp;$C$1)*20%)+(COUNTIFS(Q219,"&lt;="&amp;$C$1)*10%)+(COUNTIFS(T219,"&lt;="&amp;$C$1)*20%)</f>
        <v>1</v>
      </c>
      <c r="G219" s="94">
        <f t="shared" ref="G219:G235" si="360">(COUNTIFS(L219,"&lt;="&amp;$C$1)*50%)+(COUNTIFS(O219,"&lt;="&amp;$C$1)*20%)+(COUNTIFS(R219,"&lt;="&amp;$C$1)*10%)+(COUNTIFS(U219,"&lt;="&amp;$C$1)*20%)</f>
        <v>0.79999999999999993</v>
      </c>
      <c r="H219" s="94">
        <f t="shared" ref="H219:H235" si="361">G219-E219</f>
        <v>-0.20000000000000007</v>
      </c>
      <c r="I219" s="130">
        <v>4.7E-2</v>
      </c>
      <c r="J219" s="90">
        <v>46150</v>
      </c>
      <c r="K219" s="90">
        <f t="shared" si="347"/>
        <v>46150</v>
      </c>
      <c r="L219" s="90">
        <v>46142</v>
      </c>
      <c r="M219" s="90">
        <f t="shared" si="348"/>
        <v>46192</v>
      </c>
      <c r="N219" s="90">
        <f t="shared" si="349"/>
        <v>46192</v>
      </c>
      <c r="O219" s="90">
        <v>46199</v>
      </c>
      <c r="P219" s="90">
        <f t="shared" si="350"/>
        <v>46234</v>
      </c>
      <c r="Q219" s="90">
        <f t="shared" si="351"/>
        <v>46234</v>
      </c>
      <c r="R219" s="166">
        <v>46247</v>
      </c>
      <c r="S219" s="90">
        <f t="shared" si="352"/>
        <v>46248</v>
      </c>
      <c r="T219" s="90">
        <f t="shared" si="353"/>
        <v>46248</v>
      </c>
      <c r="U219" s="90"/>
      <c r="W219" s="174" t="str">
        <f t="shared" ca="1" si="354"/>
        <v>Completed</v>
      </c>
      <c r="X219" s="174" t="str">
        <f t="shared" ca="1" si="355"/>
        <v>Completed</v>
      </c>
      <c r="Y219" s="174" t="str">
        <f t="shared" ca="1" si="356"/>
        <v>Completed</v>
      </c>
      <c r="Z219" s="175" t="str">
        <f t="shared" ca="1" si="357"/>
        <v>Overdue</v>
      </c>
    </row>
    <row r="220" spans="1:26" s="70" customFormat="1" ht="11.5" x14ac:dyDescent="0.25">
      <c r="A220" s="93" t="s">
        <v>67</v>
      </c>
      <c r="B220" s="93" t="s">
        <v>14</v>
      </c>
      <c r="C220" s="93" t="s">
        <v>293</v>
      </c>
      <c r="D220" s="92" t="s">
        <v>294</v>
      </c>
      <c r="E220" s="94">
        <f t="shared" si="358"/>
        <v>1</v>
      </c>
      <c r="F220" s="94">
        <f>(COUNTIFS(K220,"&lt;="&amp;$C$1)*50%)+(COUNTIFS(N220,"&lt;="&amp;$C$1)*20%)+(COUNTIFS(Q220,"&lt;="&amp;$C$1)*10%)+(COUNTIFS(T220,"&lt;="&amp;$C$1)*20%)</f>
        <v>1</v>
      </c>
      <c r="G220" s="94">
        <f t="shared" si="360"/>
        <v>0.79999999999999993</v>
      </c>
      <c r="H220" s="94">
        <f t="shared" si="361"/>
        <v>-0.20000000000000007</v>
      </c>
      <c r="I220" s="130">
        <v>4.7E-2</v>
      </c>
      <c r="J220" s="90">
        <v>46150</v>
      </c>
      <c r="K220" s="90">
        <f t="shared" si="347"/>
        <v>46150</v>
      </c>
      <c r="L220" s="90">
        <v>46142</v>
      </c>
      <c r="M220" s="90">
        <f t="shared" si="348"/>
        <v>46192</v>
      </c>
      <c r="N220" s="90">
        <f t="shared" si="349"/>
        <v>46192</v>
      </c>
      <c r="O220" s="90">
        <v>46185</v>
      </c>
      <c r="P220" s="90">
        <f t="shared" si="350"/>
        <v>46234</v>
      </c>
      <c r="Q220" s="90">
        <f t="shared" si="351"/>
        <v>46234</v>
      </c>
      <c r="R220" s="166">
        <v>46247</v>
      </c>
      <c r="S220" s="90">
        <f t="shared" si="352"/>
        <v>46248</v>
      </c>
      <c r="T220" s="90">
        <f t="shared" si="353"/>
        <v>46248</v>
      </c>
      <c r="U220" s="90"/>
      <c r="W220" s="174" t="str">
        <f t="shared" ca="1" si="354"/>
        <v>Completed</v>
      </c>
      <c r="X220" s="174" t="str">
        <f t="shared" ca="1" si="355"/>
        <v>Completed</v>
      </c>
      <c r="Y220" s="174" t="str">
        <f t="shared" ca="1" si="356"/>
        <v>Completed</v>
      </c>
      <c r="Z220" s="175" t="str">
        <f t="shared" ca="1" si="357"/>
        <v>Overdue</v>
      </c>
    </row>
    <row r="221" spans="1:26" s="70" customFormat="1" ht="11.5" x14ac:dyDescent="0.25">
      <c r="A221" s="93" t="s">
        <v>67</v>
      </c>
      <c r="B221" s="93" t="s">
        <v>14</v>
      </c>
      <c r="C221" s="93" t="s">
        <v>295</v>
      </c>
      <c r="D221" s="92" t="s">
        <v>296</v>
      </c>
      <c r="E221" s="94">
        <f t="shared" si="358"/>
        <v>1</v>
      </c>
      <c r="F221" s="94">
        <f>(COUNTIFS(K221,"&lt;="&amp;$C$1)*50%)+(COUNTIFS(N221,"&lt;="&amp;$C$1)*20%)+(COUNTIFS(Q221,"&lt;="&amp;$C$1)*10%)+(COUNTIFS(T221,"&lt;="&amp;$C$1)*20%)</f>
        <v>1</v>
      </c>
      <c r="G221" s="94">
        <f t="shared" si="360"/>
        <v>0.79999999999999993</v>
      </c>
      <c r="H221" s="94">
        <f t="shared" si="361"/>
        <v>-0.20000000000000007</v>
      </c>
      <c r="I221" s="130">
        <v>4.7E-2</v>
      </c>
      <c r="J221" s="90">
        <v>46150</v>
      </c>
      <c r="K221" s="90">
        <f t="shared" si="347"/>
        <v>46150</v>
      </c>
      <c r="L221" s="90">
        <v>46142</v>
      </c>
      <c r="M221" s="90">
        <f t="shared" si="348"/>
        <v>46192</v>
      </c>
      <c r="N221" s="90">
        <f t="shared" si="349"/>
        <v>46192</v>
      </c>
      <c r="O221" s="90">
        <v>46185</v>
      </c>
      <c r="P221" s="90">
        <f t="shared" si="350"/>
        <v>46234</v>
      </c>
      <c r="Q221" s="90">
        <f t="shared" si="351"/>
        <v>46234</v>
      </c>
      <c r="R221" s="166">
        <v>46247</v>
      </c>
      <c r="S221" s="90">
        <f t="shared" si="352"/>
        <v>46248</v>
      </c>
      <c r="T221" s="90">
        <f t="shared" si="353"/>
        <v>46248</v>
      </c>
      <c r="U221" s="90"/>
      <c r="W221" s="174" t="str">
        <f t="shared" ca="1" si="354"/>
        <v>Completed</v>
      </c>
      <c r="X221" s="174" t="str">
        <f t="shared" ca="1" si="355"/>
        <v>Completed</v>
      </c>
      <c r="Y221" s="174" t="str">
        <f t="shared" ca="1" si="356"/>
        <v>Completed</v>
      </c>
      <c r="Z221" s="175" t="str">
        <f t="shared" ca="1" si="357"/>
        <v>Overdue</v>
      </c>
    </row>
    <row r="222" spans="1:26" s="70" customFormat="1" ht="11.5" x14ac:dyDescent="0.25">
      <c r="A222" s="93" t="s">
        <v>67</v>
      </c>
      <c r="B222" s="93" t="s">
        <v>14</v>
      </c>
      <c r="C222" s="93" t="s">
        <v>297</v>
      </c>
      <c r="D222" s="92" t="s">
        <v>298</v>
      </c>
      <c r="E222" s="94">
        <f t="shared" si="358"/>
        <v>1</v>
      </c>
      <c r="F222" s="94">
        <f t="shared" si="359"/>
        <v>1</v>
      </c>
      <c r="G222" s="94">
        <f t="shared" si="360"/>
        <v>0.79999999999999993</v>
      </c>
      <c r="H222" s="94">
        <f t="shared" si="361"/>
        <v>-0.20000000000000007</v>
      </c>
      <c r="I222" s="130">
        <v>4.7E-2</v>
      </c>
      <c r="J222" s="90">
        <v>46150</v>
      </c>
      <c r="K222" s="90">
        <f t="shared" si="347"/>
        <v>46150</v>
      </c>
      <c r="L222" s="90">
        <v>46142</v>
      </c>
      <c r="M222" s="90">
        <f t="shared" si="348"/>
        <v>46192</v>
      </c>
      <c r="N222" s="90">
        <f t="shared" si="349"/>
        <v>46192</v>
      </c>
      <c r="O222" s="90">
        <v>46185</v>
      </c>
      <c r="P222" s="90">
        <f t="shared" si="350"/>
        <v>46234</v>
      </c>
      <c r="Q222" s="90">
        <f t="shared" si="351"/>
        <v>46234</v>
      </c>
      <c r="R222" s="166">
        <v>46247</v>
      </c>
      <c r="S222" s="90">
        <f t="shared" si="352"/>
        <v>46248</v>
      </c>
      <c r="T222" s="90">
        <f t="shared" si="353"/>
        <v>46248</v>
      </c>
      <c r="U222" s="90"/>
      <c r="W222" s="174" t="str">
        <f t="shared" ca="1" si="354"/>
        <v>Completed</v>
      </c>
      <c r="X222" s="174" t="str">
        <f t="shared" ca="1" si="355"/>
        <v>Completed</v>
      </c>
      <c r="Y222" s="174" t="str">
        <f t="shared" ca="1" si="356"/>
        <v>Completed</v>
      </c>
      <c r="Z222" s="175" t="str">
        <f t="shared" ca="1" si="357"/>
        <v>Overdue</v>
      </c>
    </row>
    <row r="223" spans="1:26" s="70" customFormat="1" ht="11.5" x14ac:dyDescent="0.25">
      <c r="A223" s="93" t="s">
        <v>67</v>
      </c>
      <c r="B223" s="93" t="s">
        <v>14</v>
      </c>
      <c r="C223" s="93" t="s">
        <v>299</v>
      </c>
      <c r="D223" s="92" t="s">
        <v>300</v>
      </c>
      <c r="E223" s="94">
        <f t="shared" si="358"/>
        <v>1</v>
      </c>
      <c r="F223" s="94">
        <f t="shared" si="359"/>
        <v>1</v>
      </c>
      <c r="G223" s="94">
        <f t="shared" si="360"/>
        <v>0.79999999999999993</v>
      </c>
      <c r="H223" s="94">
        <f t="shared" si="361"/>
        <v>-0.20000000000000007</v>
      </c>
      <c r="I223" s="130">
        <v>4.7E-2</v>
      </c>
      <c r="J223" s="90">
        <v>46150</v>
      </c>
      <c r="K223" s="90">
        <f t="shared" si="347"/>
        <v>46150</v>
      </c>
      <c r="L223" s="90">
        <v>46142</v>
      </c>
      <c r="M223" s="90">
        <f t="shared" si="348"/>
        <v>46192</v>
      </c>
      <c r="N223" s="90">
        <f t="shared" si="349"/>
        <v>46192</v>
      </c>
      <c r="O223" s="90">
        <v>46185</v>
      </c>
      <c r="P223" s="90">
        <f t="shared" si="350"/>
        <v>46234</v>
      </c>
      <c r="Q223" s="90">
        <f t="shared" si="351"/>
        <v>46234</v>
      </c>
      <c r="R223" s="166">
        <v>46247</v>
      </c>
      <c r="S223" s="90">
        <f t="shared" si="352"/>
        <v>46248</v>
      </c>
      <c r="T223" s="90">
        <f t="shared" si="353"/>
        <v>46248</v>
      </c>
      <c r="U223" s="90"/>
      <c r="W223" s="174" t="str">
        <f t="shared" ca="1" si="354"/>
        <v>Completed</v>
      </c>
      <c r="X223" s="174" t="str">
        <f t="shared" ca="1" si="355"/>
        <v>Completed</v>
      </c>
      <c r="Y223" s="174" t="str">
        <f t="shared" ca="1" si="356"/>
        <v>Completed</v>
      </c>
      <c r="Z223" s="175" t="str">
        <f t="shared" ca="1" si="357"/>
        <v>Overdue</v>
      </c>
    </row>
    <row r="224" spans="1:26" s="70" customFormat="1" ht="11.5" x14ac:dyDescent="0.25">
      <c r="A224" s="93" t="s">
        <v>67</v>
      </c>
      <c r="B224" s="93" t="s">
        <v>14</v>
      </c>
      <c r="C224" s="93" t="s">
        <v>301</v>
      </c>
      <c r="D224" s="92" t="s">
        <v>302</v>
      </c>
      <c r="E224" s="94">
        <f t="shared" si="358"/>
        <v>0.7</v>
      </c>
      <c r="F224" s="94">
        <f t="shared" si="359"/>
        <v>0.7</v>
      </c>
      <c r="G224" s="94">
        <f t="shared" si="360"/>
        <v>0.7</v>
      </c>
      <c r="H224" s="94">
        <f t="shared" si="361"/>
        <v>0</v>
      </c>
      <c r="I224" s="130">
        <v>4.7E-2</v>
      </c>
      <c r="J224" s="90">
        <v>46171</v>
      </c>
      <c r="K224" s="90">
        <f t="shared" si="347"/>
        <v>46171</v>
      </c>
      <c r="L224" s="90">
        <v>46156</v>
      </c>
      <c r="M224" s="90">
        <f t="shared" si="348"/>
        <v>46213</v>
      </c>
      <c r="N224" s="90">
        <f t="shared" si="349"/>
        <v>46213</v>
      </c>
      <c r="O224" s="193">
        <v>46248</v>
      </c>
      <c r="P224" s="90">
        <f t="shared" si="350"/>
        <v>46255</v>
      </c>
      <c r="Q224" s="90">
        <f t="shared" si="351"/>
        <v>46255</v>
      </c>
      <c r="R224" s="90"/>
      <c r="S224" s="90">
        <f t="shared" si="352"/>
        <v>46269</v>
      </c>
      <c r="T224" s="90">
        <f t="shared" si="353"/>
        <v>46269</v>
      </c>
      <c r="U224" s="90"/>
      <c r="W224" s="174" t="str">
        <f t="shared" ca="1" si="354"/>
        <v>Completed</v>
      </c>
      <c r="X224" s="174" t="str">
        <f t="shared" ca="1" si="355"/>
        <v>Completed</v>
      </c>
      <c r="Y224" s="174" t="str">
        <f t="shared" ca="1" si="356"/>
        <v>Follow-Next Week</v>
      </c>
      <c r="Z224" s="175" t="str">
        <f t="shared" ca="1" si="357"/>
        <v/>
      </c>
    </row>
    <row r="225" spans="1:26" s="70" customFormat="1" ht="11.5" x14ac:dyDescent="0.25">
      <c r="A225" s="93" t="s">
        <v>67</v>
      </c>
      <c r="B225" s="93" t="s">
        <v>14</v>
      </c>
      <c r="C225" s="93" t="s">
        <v>303</v>
      </c>
      <c r="D225" s="92" t="s">
        <v>304</v>
      </c>
      <c r="E225" s="94">
        <f t="shared" si="358"/>
        <v>0.7</v>
      </c>
      <c r="F225" s="94">
        <f t="shared" si="359"/>
        <v>0.7</v>
      </c>
      <c r="G225" s="94">
        <f t="shared" si="360"/>
        <v>0.7</v>
      </c>
      <c r="H225" s="94">
        <f t="shared" si="361"/>
        <v>0</v>
      </c>
      <c r="I225" s="130">
        <v>4.7E-2</v>
      </c>
      <c r="J225" s="90">
        <v>46171</v>
      </c>
      <c r="K225" s="90">
        <f t="shared" si="347"/>
        <v>46171</v>
      </c>
      <c r="L225" s="90">
        <v>46156</v>
      </c>
      <c r="M225" s="90">
        <f t="shared" si="348"/>
        <v>46213</v>
      </c>
      <c r="N225" s="90">
        <f t="shared" si="349"/>
        <v>46213</v>
      </c>
      <c r="O225" s="193">
        <v>46248</v>
      </c>
      <c r="P225" s="90">
        <f t="shared" si="350"/>
        <v>46255</v>
      </c>
      <c r="Q225" s="90">
        <f t="shared" si="351"/>
        <v>46255</v>
      </c>
      <c r="R225" s="90"/>
      <c r="S225" s="90">
        <f t="shared" si="352"/>
        <v>46269</v>
      </c>
      <c r="T225" s="90">
        <f t="shared" si="353"/>
        <v>46269</v>
      </c>
      <c r="U225" s="90"/>
      <c r="W225" s="174" t="str">
        <f t="shared" ca="1" si="354"/>
        <v>Completed</v>
      </c>
      <c r="X225" s="174" t="str">
        <f t="shared" ca="1" si="355"/>
        <v>Completed</v>
      </c>
      <c r="Y225" s="174" t="str">
        <f t="shared" ca="1" si="356"/>
        <v>Follow-Next Week</v>
      </c>
      <c r="Z225" s="175" t="str">
        <f t="shared" ca="1" si="357"/>
        <v/>
      </c>
    </row>
    <row r="226" spans="1:26" s="70" customFormat="1" ht="11.5" x14ac:dyDescent="0.25">
      <c r="A226" s="93" t="s">
        <v>67</v>
      </c>
      <c r="B226" s="93" t="s">
        <v>14</v>
      </c>
      <c r="C226" s="93" t="s">
        <v>305</v>
      </c>
      <c r="D226" s="92" t="s">
        <v>306</v>
      </c>
      <c r="E226" s="94">
        <f t="shared" si="358"/>
        <v>0.7</v>
      </c>
      <c r="F226" s="94">
        <f t="shared" si="359"/>
        <v>0.7</v>
      </c>
      <c r="G226" s="94">
        <f t="shared" si="360"/>
        <v>0.79999999999999993</v>
      </c>
      <c r="H226" s="94">
        <f t="shared" si="361"/>
        <v>9.9999999999999978E-2</v>
      </c>
      <c r="I226" s="130">
        <v>4.7E-2</v>
      </c>
      <c r="J226" s="90">
        <v>46171</v>
      </c>
      <c r="K226" s="90">
        <f t="shared" si="347"/>
        <v>46171</v>
      </c>
      <c r="L226" s="90">
        <v>46156</v>
      </c>
      <c r="M226" s="90">
        <f t="shared" si="348"/>
        <v>46213</v>
      </c>
      <c r="N226" s="90">
        <f t="shared" si="349"/>
        <v>46213</v>
      </c>
      <c r="O226" s="90">
        <v>46191</v>
      </c>
      <c r="P226" s="90">
        <f t="shared" si="350"/>
        <v>46255</v>
      </c>
      <c r="Q226" s="90">
        <f t="shared" si="351"/>
        <v>46255</v>
      </c>
      <c r="R226" s="193">
        <v>46248</v>
      </c>
      <c r="S226" s="90">
        <f t="shared" si="352"/>
        <v>46269</v>
      </c>
      <c r="T226" s="90">
        <f t="shared" si="353"/>
        <v>46269</v>
      </c>
      <c r="U226" s="90"/>
      <c r="W226" s="174" t="str">
        <f t="shared" ca="1" si="354"/>
        <v>Completed</v>
      </c>
      <c r="X226" s="174" t="str">
        <f t="shared" ca="1" si="355"/>
        <v>Completed</v>
      </c>
      <c r="Y226" s="174" t="str">
        <f t="shared" ca="1" si="356"/>
        <v>Completed</v>
      </c>
      <c r="Z226" s="175" t="str">
        <f t="shared" ca="1" si="357"/>
        <v/>
      </c>
    </row>
    <row r="227" spans="1:26" s="84" customFormat="1" ht="11.5" x14ac:dyDescent="0.25">
      <c r="A227" s="93" t="s">
        <v>67</v>
      </c>
      <c r="B227" s="93" t="s">
        <v>14</v>
      </c>
      <c r="C227" s="93" t="s">
        <v>307</v>
      </c>
      <c r="D227" s="92" t="s">
        <v>308</v>
      </c>
      <c r="E227" s="94">
        <f t="shared" si="358"/>
        <v>0.79999999999999993</v>
      </c>
      <c r="F227" s="94">
        <f t="shared" si="359"/>
        <v>0.79999999999999993</v>
      </c>
      <c r="G227" s="94">
        <f>(COUNTIFS(L227,"&lt;="&amp;$C$1)*50%)+(COUNTIFS(O227,"&lt;="&amp;$C$1)*20%)+(COUNTIFS(R227,"&lt;="&amp;$C$1)*10%)+(COUNTIFS(U227,"&lt;="&amp;$C$1)*20%)</f>
        <v>0.7</v>
      </c>
      <c r="H227" s="94">
        <f t="shared" si="361"/>
        <v>-9.9999999999999978E-2</v>
      </c>
      <c r="I227" s="130">
        <v>4.7E-2</v>
      </c>
      <c r="J227" s="90">
        <v>46164</v>
      </c>
      <c r="K227" s="90">
        <f t="shared" si="347"/>
        <v>46164</v>
      </c>
      <c r="L227" s="90">
        <v>46142</v>
      </c>
      <c r="M227" s="90">
        <f t="shared" si="348"/>
        <v>46206</v>
      </c>
      <c r="N227" s="90">
        <f t="shared" si="349"/>
        <v>46206</v>
      </c>
      <c r="O227" s="193">
        <v>46248</v>
      </c>
      <c r="P227" s="90">
        <f t="shared" si="350"/>
        <v>46248</v>
      </c>
      <c r="Q227" s="90">
        <f t="shared" si="351"/>
        <v>46248</v>
      </c>
      <c r="R227" s="90"/>
      <c r="S227" s="90">
        <f t="shared" si="352"/>
        <v>46262</v>
      </c>
      <c r="T227" s="90">
        <f t="shared" si="353"/>
        <v>46262</v>
      </c>
      <c r="U227" s="90"/>
      <c r="W227" s="174" t="str">
        <f t="shared" ca="1" si="354"/>
        <v>Completed</v>
      </c>
      <c r="X227" s="174" t="str">
        <f t="shared" ca="1" si="355"/>
        <v>Completed</v>
      </c>
      <c r="Y227" s="174" t="str">
        <f t="shared" ca="1" si="356"/>
        <v>Overdue</v>
      </c>
      <c r="Z227" s="175" t="str">
        <f t="shared" ca="1" si="357"/>
        <v/>
      </c>
    </row>
    <row r="228" spans="1:26" s="70" customFormat="1" ht="11.5" x14ac:dyDescent="0.25">
      <c r="A228" s="93" t="s">
        <v>67</v>
      </c>
      <c r="B228" s="93" t="s">
        <v>14</v>
      </c>
      <c r="C228" s="93" t="s">
        <v>309</v>
      </c>
      <c r="D228" s="92" t="s">
        <v>310</v>
      </c>
      <c r="E228" s="94">
        <f t="shared" si="358"/>
        <v>0.7</v>
      </c>
      <c r="F228" s="94">
        <f t="shared" si="359"/>
        <v>0.7</v>
      </c>
      <c r="G228" s="94">
        <f>(COUNTIFS(L228,"&lt;="&amp;$C$1)*50%)+(COUNTIFS(O228,"&lt;="&amp;$C$1)*20%)+(COUNTIFS(R228,"&lt;="&amp;$C$1)*10%)+(COUNTIFS(U228,"&lt;="&amp;$C$1)*20%)</f>
        <v>0.5</v>
      </c>
      <c r="H228" s="94">
        <f t="shared" si="361"/>
        <v>-0.19999999999999996</v>
      </c>
      <c r="I228" s="130">
        <v>4.7E-2</v>
      </c>
      <c r="J228" s="90">
        <v>46171</v>
      </c>
      <c r="K228" s="90">
        <f t="shared" si="347"/>
        <v>46171</v>
      </c>
      <c r="L228" s="193">
        <v>46248</v>
      </c>
      <c r="M228" s="90">
        <f t="shared" si="348"/>
        <v>46213</v>
      </c>
      <c r="N228" s="90">
        <f t="shared" si="349"/>
        <v>46213</v>
      </c>
      <c r="O228" s="90"/>
      <c r="P228" s="90">
        <f t="shared" si="350"/>
        <v>46255</v>
      </c>
      <c r="Q228" s="90">
        <f t="shared" si="351"/>
        <v>46255</v>
      </c>
      <c r="R228" s="90"/>
      <c r="S228" s="90">
        <f t="shared" si="352"/>
        <v>46269</v>
      </c>
      <c r="T228" s="90">
        <f t="shared" si="353"/>
        <v>46269</v>
      </c>
      <c r="U228" s="90"/>
      <c r="W228" s="174" t="str">
        <f t="shared" ca="1" si="354"/>
        <v>Completed</v>
      </c>
      <c r="X228" s="174" t="str">
        <f t="shared" ca="1" si="355"/>
        <v>Overdue</v>
      </c>
      <c r="Y228" s="174" t="str">
        <f t="shared" ca="1" si="356"/>
        <v>Follow-Next Week</v>
      </c>
      <c r="Z228" s="175" t="str">
        <f t="shared" ca="1" si="357"/>
        <v/>
      </c>
    </row>
    <row r="229" spans="1:26" s="70" customFormat="1" ht="11.5" x14ac:dyDescent="0.25">
      <c r="A229" s="93" t="s">
        <v>67</v>
      </c>
      <c r="B229" s="93" t="s">
        <v>14</v>
      </c>
      <c r="C229" s="93" t="s">
        <v>311</v>
      </c>
      <c r="D229" s="92" t="s">
        <v>312</v>
      </c>
      <c r="E229" s="94">
        <f t="shared" si="358"/>
        <v>0.79999999999999993</v>
      </c>
      <c r="F229" s="94">
        <f t="shared" si="359"/>
        <v>0.79999999999999993</v>
      </c>
      <c r="G229" s="94">
        <f t="shared" si="360"/>
        <v>0.79999999999999993</v>
      </c>
      <c r="H229" s="94">
        <f t="shared" si="361"/>
        <v>0</v>
      </c>
      <c r="I229" s="130">
        <v>4.7E-2</v>
      </c>
      <c r="J229" s="90">
        <v>46164</v>
      </c>
      <c r="K229" s="90">
        <f t="shared" si="347"/>
        <v>46164</v>
      </c>
      <c r="L229" s="90">
        <v>46156</v>
      </c>
      <c r="M229" s="90">
        <f t="shared" si="348"/>
        <v>46206</v>
      </c>
      <c r="N229" s="90">
        <f t="shared" si="349"/>
        <v>46206</v>
      </c>
      <c r="O229" s="90">
        <v>46185</v>
      </c>
      <c r="P229" s="90">
        <f t="shared" si="350"/>
        <v>46248</v>
      </c>
      <c r="Q229" s="90">
        <f t="shared" si="351"/>
        <v>46248</v>
      </c>
      <c r="R229" s="193">
        <v>46248</v>
      </c>
      <c r="S229" s="90">
        <f t="shared" si="352"/>
        <v>46262</v>
      </c>
      <c r="T229" s="90">
        <f t="shared" si="353"/>
        <v>46262</v>
      </c>
      <c r="U229" s="90"/>
      <c r="W229" s="174" t="str">
        <f t="shared" ca="1" si="354"/>
        <v>Completed</v>
      </c>
      <c r="X229" s="174" t="str">
        <f t="shared" ca="1" si="355"/>
        <v>Completed</v>
      </c>
      <c r="Y229" s="174" t="str">
        <f t="shared" ca="1" si="356"/>
        <v>Completed</v>
      </c>
      <c r="Z229" s="175" t="str">
        <f t="shared" ca="1" si="357"/>
        <v/>
      </c>
    </row>
    <row r="230" spans="1:26" s="70" customFormat="1" ht="11.5" x14ac:dyDescent="0.25">
      <c r="A230" s="93" t="s">
        <v>67</v>
      </c>
      <c r="B230" s="93" t="s">
        <v>14</v>
      </c>
      <c r="C230" s="93" t="s">
        <v>313</v>
      </c>
      <c r="D230" s="92" t="s">
        <v>314</v>
      </c>
      <c r="E230" s="94">
        <f t="shared" si="358"/>
        <v>0.79999999999999993</v>
      </c>
      <c r="F230" s="94">
        <f t="shared" si="359"/>
        <v>0.79999999999999993</v>
      </c>
      <c r="G230" s="94">
        <f t="shared" si="360"/>
        <v>0.79999999999999993</v>
      </c>
      <c r="H230" s="94">
        <f t="shared" si="361"/>
        <v>0</v>
      </c>
      <c r="I230" s="130">
        <v>4.7E-2</v>
      </c>
      <c r="J230" s="90">
        <v>46164</v>
      </c>
      <c r="K230" s="90">
        <f t="shared" si="347"/>
        <v>46164</v>
      </c>
      <c r="L230" s="90">
        <v>46156</v>
      </c>
      <c r="M230" s="90">
        <f t="shared" si="348"/>
        <v>46206</v>
      </c>
      <c r="N230" s="90">
        <f t="shared" si="349"/>
        <v>46206</v>
      </c>
      <c r="O230" s="90">
        <v>46185</v>
      </c>
      <c r="P230" s="90">
        <f t="shared" si="350"/>
        <v>46248</v>
      </c>
      <c r="Q230" s="90">
        <f t="shared" si="351"/>
        <v>46248</v>
      </c>
      <c r="R230" s="193">
        <v>46248</v>
      </c>
      <c r="S230" s="90">
        <f t="shared" si="352"/>
        <v>46262</v>
      </c>
      <c r="T230" s="90">
        <f t="shared" si="353"/>
        <v>46262</v>
      </c>
      <c r="U230" s="90"/>
      <c r="W230" s="174" t="str">
        <f t="shared" ca="1" si="354"/>
        <v>Completed</v>
      </c>
      <c r="X230" s="174" t="str">
        <f t="shared" ca="1" si="355"/>
        <v>Completed</v>
      </c>
      <c r="Y230" s="174" t="str">
        <f t="shared" ca="1" si="356"/>
        <v>Completed</v>
      </c>
      <c r="Z230" s="175" t="str">
        <f t="shared" ca="1" si="357"/>
        <v/>
      </c>
    </row>
    <row r="231" spans="1:26" s="70" customFormat="1" ht="11.5" x14ac:dyDescent="0.25">
      <c r="A231" s="93" t="s">
        <v>67</v>
      </c>
      <c r="B231" s="93" t="s">
        <v>14</v>
      </c>
      <c r="C231" s="93" t="s">
        <v>899</v>
      </c>
      <c r="D231" s="92" t="s">
        <v>878</v>
      </c>
      <c r="E231" s="94">
        <f t="shared" si="358"/>
        <v>0.7</v>
      </c>
      <c r="F231" s="94">
        <f t="shared" si="359"/>
        <v>0.7</v>
      </c>
      <c r="G231" s="94">
        <f t="shared" si="360"/>
        <v>0.7</v>
      </c>
      <c r="H231" s="94">
        <f t="shared" si="361"/>
        <v>0</v>
      </c>
      <c r="I231" s="130">
        <v>4.7E-2</v>
      </c>
      <c r="J231" s="90">
        <v>46178</v>
      </c>
      <c r="K231" s="90">
        <f t="shared" si="347"/>
        <v>46178</v>
      </c>
      <c r="L231" s="90">
        <v>46182</v>
      </c>
      <c r="M231" s="90">
        <f t="shared" si="348"/>
        <v>46220</v>
      </c>
      <c r="N231" s="90">
        <f t="shared" si="349"/>
        <v>46220</v>
      </c>
      <c r="O231" s="90">
        <v>46191</v>
      </c>
      <c r="P231" s="90">
        <f t="shared" si="350"/>
        <v>46262</v>
      </c>
      <c r="Q231" s="90">
        <f t="shared" si="351"/>
        <v>46262</v>
      </c>
      <c r="R231" s="90"/>
      <c r="S231" s="90">
        <f t="shared" si="352"/>
        <v>46276</v>
      </c>
      <c r="T231" s="90">
        <f t="shared" si="353"/>
        <v>46276</v>
      </c>
      <c r="U231" s="90"/>
      <c r="W231" s="174" t="str">
        <f t="shared" ca="1" si="354"/>
        <v>Completed</v>
      </c>
      <c r="X231" s="174" t="str">
        <f t="shared" ca="1" si="355"/>
        <v>Completed</v>
      </c>
      <c r="Y231" s="174" t="str">
        <f t="shared" ca="1" si="356"/>
        <v/>
      </c>
      <c r="Z231" s="175" t="str">
        <f t="shared" ca="1" si="357"/>
        <v/>
      </c>
    </row>
    <row r="232" spans="1:26" s="70" customFormat="1" ht="11.5" x14ac:dyDescent="0.25">
      <c r="A232" s="93" t="s">
        <v>67</v>
      </c>
      <c r="B232" s="93" t="s">
        <v>14</v>
      </c>
      <c r="C232" s="93" t="s">
        <v>900</v>
      </c>
      <c r="D232" s="92" t="s">
        <v>879</v>
      </c>
      <c r="E232" s="94">
        <f t="shared" si="358"/>
        <v>0.7</v>
      </c>
      <c r="F232" s="94">
        <f t="shared" si="359"/>
        <v>0.7</v>
      </c>
      <c r="G232" s="94">
        <f t="shared" si="360"/>
        <v>0.7</v>
      </c>
      <c r="H232" s="94">
        <f t="shared" si="361"/>
        <v>0</v>
      </c>
      <c r="I232" s="130">
        <v>4.7E-2</v>
      </c>
      <c r="J232" s="90">
        <v>46178</v>
      </c>
      <c r="K232" s="90">
        <f t="shared" si="347"/>
        <v>46178</v>
      </c>
      <c r="L232" s="90">
        <v>46182</v>
      </c>
      <c r="M232" s="90">
        <f t="shared" si="348"/>
        <v>46220</v>
      </c>
      <c r="N232" s="90">
        <f t="shared" si="349"/>
        <v>46220</v>
      </c>
      <c r="O232" s="90">
        <v>46191</v>
      </c>
      <c r="P232" s="90">
        <f t="shared" si="350"/>
        <v>46262</v>
      </c>
      <c r="Q232" s="90">
        <f t="shared" si="351"/>
        <v>46262</v>
      </c>
      <c r="R232" s="90"/>
      <c r="S232" s="90">
        <f t="shared" si="352"/>
        <v>46276</v>
      </c>
      <c r="T232" s="90">
        <f t="shared" si="353"/>
        <v>46276</v>
      </c>
      <c r="U232" s="90"/>
      <c r="W232" s="174" t="str">
        <f t="shared" ca="1" si="354"/>
        <v>Completed</v>
      </c>
      <c r="X232" s="174" t="str">
        <f t="shared" ca="1" si="355"/>
        <v>Completed</v>
      </c>
      <c r="Y232" s="174" t="str">
        <f t="shared" ca="1" si="356"/>
        <v/>
      </c>
      <c r="Z232" s="175" t="str">
        <f t="shared" ca="1" si="357"/>
        <v/>
      </c>
    </row>
    <row r="233" spans="1:26" s="70" customFormat="1" ht="11.5" x14ac:dyDescent="0.25">
      <c r="A233" s="93" t="s">
        <v>67</v>
      </c>
      <c r="B233" s="93" t="s">
        <v>14</v>
      </c>
      <c r="C233" s="93" t="s">
        <v>901</v>
      </c>
      <c r="D233" s="92" t="s">
        <v>880</v>
      </c>
      <c r="E233" s="94">
        <f t="shared" si="358"/>
        <v>0.7</v>
      </c>
      <c r="F233" s="94">
        <f t="shared" si="359"/>
        <v>0.7</v>
      </c>
      <c r="G233" s="94">
        <f t="shared" si="360"/>
        <v>0.7</v>
      </c>
      <c r="H233" s="94">
        <f t="shared" si="361"/>
        <v>0</v>
      </c>
      <c r="I233" s="130">
        <v>4.7E-2</v>
      </c>
      <c r="J233" s="90">
        <v>46178</v>
      </c>
      <c r="K233" s="90">
        <f t="shared" si="347"/>
        <v>46178</v>
      </c>
      <c r="L233" s="90">
        <v>46182</v>
      </c>
      <c r="M233" s="90">
        <f t="shared" si="348"/>
        <v>46220</v>
      </c>
      <c r="N233" s="90">
        <f t="shared" si="349"/>
        <v>46220</v>
      </c>
      <c r="O233" s="90">
        <v>46191</v>
      </c>
      <c r="P233" s="90">
        <f t="shared" si="350"/>
        <v>46262</v>
      </c>
      <c r="Q233" s="90">
        <f t="shared" si="351"/>
        <v>46262</v>
      </c>
      <c r="R233" s="90"/>
      <c r="S233" s="90">
        <f t="shared" si="352"/>
        <v>46276</v>
      </c>
      <c r="T233" s="90">
        <f t="shared" si="353"/>
        <v>46276</v>
      </c>
      <c r="U233" s="90"/>
      <c r="W233" s="174" t="str">
        <f t="shared" ca="1" si="354"/>
        <v>Completed</v>
      </c>
      <c r="X233" s="174" t="str">
        <f t="shared" ca="1" si="355"/>
        <v>Completed</v>
      </c>
      <c r="Y233" s="174" t="str">
        <f t="shared" ca="1" si="356"/>
        <v/>
      </c>
      <c r="Z233" s="175" t="str">
        <f t="shared" ca="1" si="357"/>
        <v/>
      </c>
    </row>
    <row r="234" spans="1:26" s="70" customFormat="1" ht="11.5" x14ac:dyDescent="0.25">
      <c r="A234" s="93" t="s">
        <v>67</v>
      </c>
      <c r="B234" s="93" t="s">
        <v>14</v>
      </c>
      <c r="C234" s="93" t="s">
        <v>902</v>
      </c>
      <c r="D234" s="92" t="s">
        <v>881</v>
      </c>
      <c r="E234" s="94">
        <f t="shared" si="358"/>
        <v>0.7</v>
      </c>
      <c r="F234" s="94">
        <f t="shared" si="359"/>
        <v>0.7</v>
      </c>
      <c r="G234" s="94">
        <f t="shared" si="360"/>
        <v>0.7</v>
      </c>
      <c r="H234" s="94">
        <f t="shared" si="361"/>
        <v>0</v>
      </c>
      <c r="I234" s="130">
        <v>4.7E-2</v>
      </c>
      <c r="J234" s="90">
        <v>46178</v>
      </c>
      <c r="K234" s="90">
        <f t="shared" si="347"/>
        <v>46178</v>
      </c>
      <c r="L234" s="90">
        <v>46182</v>
      </c>
      <c r="M234" s="90">
        <f t="shared" si="348"/>
        <v>46220</v>
      </c>
      <c r="N234" s="90">
        <f t="shared" si="349"/>
        <v>46220</v>
      </c>
      <c r="O234" s="90">
        <v>46191</v>
      </c>
      <c r="P234" s="90">
        <f t="shared" si="350"/>
        <v>46262</v>
      </c>
      <c r="Q234" s="90">
        <f t="shared" si="351"/>
        <v>46262</v>
      </c>
      <c r="R234" s="90"/>
      <c r="S234" s="90">
        <f t="shared" si="352"/>
        <v>46276</v>
      </c>
      <c r="T234" s="90">
        <f t="shared" si="353"/>
        <v>46276</v>
      </c>
      <c r="U234" s="90"/>
      <c r="W234" s="174" t="str">
        <f t="shared" ca="1" si="354"/>
        <v>Completed</v>
      </c>
      <c r="X234" s="174" t="str">
        <f t="shared" ca="1" si="355"/>
        <v>Completed</v>
      </c>
      <c r="Y234" s="174" t="str">
        <f t="shared" ca="1" si="356"/>
        <v/>
      </c>
      <c r="Z234" s="175" t="str">
        <f t="shared" ca="1" si="357"/>
        <v/>
      </c>
    </row>
    <row r="235" spans="1:26" s="70" customFormat="1" ht="11.5" x14ac:dyDescent="0.25">
      <c r="A235" s="93" t="s">
        <v>67</v>
      </c>
      <c r="B235" s="93" t="s">
        <v>14</v>
      </c>
      <c r="C235" s="93" t="s">
        <v>903</v>
      </c>
      <c r="D235" s="92" t="s">
        <v>882</v>
      </c>
      <c r="E235" s="94">
        <f t="shared" si="358"/>
        <v>0.7</v>
      </c>
      <c r="F235" s="94">
        <f t="shared" si="359"/>
        <v>0.7</v>
      </c>
      <c r="G235" s="94">
        <f t="shared" si="360"/>
        <v>0.7</v>
      </c>
      <c r="H235" s="94">
        <f t="shared" si="361"/>
        <v>0</v>
      </c>
      <c r="I235" s="130">
        <v>4.7E-2</v>
      </c>
      <c r="J235" s="90">
        <v>46178</v>
      </c>
      <c r="K235" s="90">
        <f t="shared" si="347"/>
        <v>46178</v>
      </c>
      <c r="L235" s="90">
        <v>46182</v>
      </c>
      <c r="M235" s="90">
        <f t="shared" si="348"/>
        <v>46220</v>
      </c>
      <c r="N235" s="90">
        <f t="shared" si="349"/>
        <v>46220</v>
      </c>
      <c r="O235" s="90">
        <v>46191</v>
      </c>
      <c r="P235" s="90">
        <f t="shared" si="350"/>
        <v>46262</v>
      </c>
      <c r="Q235" s="90">
        <f t="shared" si="351"/>
        <v>46262</v>
      </c>
      <c r="R235" s="90"/>
      <c r="S235" s="90">
        <f t="shared" si="352"/>
        <v>46276</v>
      </c>
      <c r="T235" s="90">
        <f t="shared" si="353"/>
        <v>46276</v>
      </c>
      <c r="U235" s="90"/>
      <c r="W235" s="174" t="str">
        <f t="shared" ca="1" si="354"/>
        <v>Completed</v>
      </c>
      <c r="X235" s="174" t="str">
        <f t="shared" ca="1" si="355"/>
        <v>Completed</v>
      </c>
      <c r="Y235" s="174" t="str">
        <f t="shared" ca="1" si="356"/>
        <v/>
      </c>
      <c r="Z235" s="175" t="str">
        <f t="shared" ca="1" si="357"/>
        <v/>
      </c>
    </row>
    <row r="236" spans="1:26" s="70" customFormat="1" ht="11.5" x14ac:dyDescent="0.25">
      <c r="A236" s="93" t="s">
        <v>67</v>
      </c>
      <c r="B236" s="93" t="s">
        <v>14</v>
      </c>
      <c r="C236" s="93" t="s">
        <v>904</v>
      </c>
      <c r="D236" s="92" t="s">
        <v>883</v>
      </c>
      <c r="E236" s="94">
        <f t="shared" si="318"/>
        <v>0.7</v>
      </c>
      <c r="F236" s="94">
        <f t="shared" si="319"/>
        <v>0.7</v>
      </c>
      <c r="G236" s="94">
        <f>(COUNTIFS(L236,"&lt;="&amp;$C$1)*50%)+(COUNTIFS(O236,"&lt;="&amp;$C$1)*20%)+(COUNTIFS(R236,"&lt;="&amp;$C$1)*10%)+(COUNTIFS(U236,"&lt;="&amp;$C$1)*20%)</f>
        <v>0.7</v>
      </c>
      <c r="H236" s="94">
        <f t="shared" si="320"/>
        <v>0</v>
      </c>
      <c r="I236" s="130">
        <v>4.7E-2</v>
      </c>
      <c r="J236" s="90">
        <v>46178</v>
      </c>
      <c r="K236" s="90">
        <f t="shared" si="347"/>
        <v>46178</v>
      </c>
      <c r="L236" s="98">
        <v>46162</v>
      </c>
      <c r="M236" s="90">
        <f t="shared" si="348"/>
        <v>46220</v>
      </c>
      <c r="N236" s="90">
        <f t="shared" si="349"/>
        <v>46220</v>
      </c>
      <c r="O236" s="90">
        <v>46191</v>
      </c>
      <c r="P236" s="90">
        <f t="shared" si="350"/>
        <v>46262</v>
      </c>
      <c r="Q236" s="90">
        <f t="shared" si="351"/>
        <v>46262</v>
      </c>
      <c r="R236" s="90"/>
      <c r="S236" s="90">
        <f t="shared" si="352"/>
        <v>46276</v>
      </c>
      <c r="T236" s="90">
        <f t="shared" si="353"/>
        <v>46276</v>
      </c>
      <c r="U236" s="90"/>
      <c r="W236" s="174" t="str">
        <f t="shared" ca="1" si="354"/>
        <v>Completed</v>
      </c>
      <c r="X236" s="174" t="str">
        <f t="shared" ca="1" si="355"/>
        <v>Completed</v>
      </c>
      <c r="Y236" s="174" t="str">
        <f t="shared" ca="1" si="356"/>
        <v/>
      </c>
      <c r="Z236" s="175" t="str">
        <f t="shared" ca="1" si="357"/>
        <v/>
      </c>
    </row>
    <row r="237" spans="1:26" s="70" customFormat="1" ht="11.5" x14ac:dyDescent="0.25">
      <c r="A237" s="93" t="s">
        <v>67</v>
      </c>
      <c r="B237" s="93" t="s">
        <v>14</v>
      </c>
      <c r="C237" s="93" t="s">
        <v>905</v>
      </c>
      <c r="D237" s="92" t="s">
        <v>884</v>
      </c>
      <c r="E237" s="94">
        <f t="shared" si="318"/>
        <v>0.7</v>
      </c>
      <c r="F237" s="94">
        <f t="shared" si="319"/>
        <v>0.7</v>
      </c>
      <c r="G237" s="94">
        <f>(COUNTIFS(L237,"&lt;="&amp;$C$1)*50%)+(COUNTIFS(O237,"&lt;="&amp;$C$1)*20%)+(COUNTIFS(R237,"&lt;="&amp;$C$1)*10%)+(COUNTIFS(U237,"&lt;="&amp;$C$1)*20%)</f>
        <v>0.7</v>
      </c>
      <c r="H237" s="94">
        <f t="shared" si="320"/>
        <v>0</v>
      </c>
      <c r="I237" s="130">
        <v>4.7E-2</v>
      </c>
      <c r="J237" s="90">
        <v>46178</v>
      </c>
      <c r="K237" s="90">
        <f t="shared" si="347"/>
        <v>46178</v>
      </c>
      <c r="L237" s="98">
        <v>46162</v>
      </c>
      <c r="M237" s="90">
        <f t="shared" si="348"/>
        <v>46220</v>
      </c>
      <c r="N237" s="90">
        <f t="shared" si="349"/>
        <v>46220</v>
      </c>
      <c r="O237" s="90">
        <v>46191</v>
      </c>
      <c r="P237" s="90">
        <f t="shared" si="350"/>
        <v>46262</v>
      </c>
      <c r="Q237" s="90">
        <f t="shared" si="351"/>
        <v>46262</v>
      </c>
      <c r="R237" s="90"/>
      <c r="S237" s="90">
        <f t="shared" si="352"/>
        <v>46276</v>
      </c>
      <c r="T237" s="90">
        <f t="shared" si="353"/>
        <v>46276</v>
      </c>
      <c r="U237" s="90"/>
      <c r="W237" s="174" t="str">
        <f t="shared" ca="1" si="354"/>
        <v>Completed</v>
      </c>
      <c r="X237" s="174" t="str">
        <f t="shared" ca="1" si="355"/>
        <v>Completed</v>
      </c>
      <c r="Y237" s="174" t="str">
        <f t="shared" ca="1" si="356"/>
        <v/>
      </c>
      <c r="Z237" s="175" t="str">
        <f t="shared" ca="1" si="357"/>
        <v/>
      </c>
    </row>
    <row r="238" spans="1:26" s="70" customFormat="1" ht="11.5" x14ac:dyDescent="0.25">
      <c r="A238" s="93" t="s">
        <v>67</v>
      </c>
      <c r="B238" s="93" t="s">
        <v>14</v>
      </c>
      <c r="C238" s="93" t="s">
        <v>906</v>
      </c>
      <c r="D238" s="92" t="s">
        <v>885</v>
      </c>
      <c r="E238" s="94">
        <f t="shared" si="318"/>
        <v>0.7</v>
      </c>
      <c r="F238" s="94">
        <f t="shared" si="319"/>
        <v>0.7</v>
      </c>
      <c r="G238" s="94">
        <f t="shared" si="319"/>
        <v>0.7</v>
      </c>
      <c r="H238" s="94">
        <f t="shared" si="320"/>
        <v>0</v>
      </c>
      <c r="I238" s="130">
        <v>4.7E-2</v>
      </c>
      <c r="J238" s="90">
        <v>46178</v>
      </c>
      <c r="K238" s="90">
        <f t="shared" si="347"/>
        <v>46178</v>
      </c>
      <c r="L238" s="98">
        <v>46162</v>
      </c>
      <c r="M238" s="90">
        <f t="shared" si="348"/>
        <v>46220</v>
      </c>
      <c r="N238" s="90">
        <f t="shared" si="349"/>
        <v>46220</v>
      </c>
      <c r="O238" s="90">
        <v>46191</v>
      </c>
      <c r="P238" s="90">
        <f t="shared" si="350"/>
        <v>46262</v>
      </c>
      <c r="Q238" s="90">
        <f t="shared" si="351"/>
        <v>46262</v>
      </c>
      <c r="R238" s="90"/>
      <c r="S238" s="90">
        <f t="shared" si="352"/>
        <v>46276</v>
      </c>
      <c r="T238" s="90">
        <f t="shared" si="353"/>
        <v>46276</v>
      </c>
      <c r="U238" s="90"/>
      <c r="W238" s="174" t="str">
        <f t="shared" ca="1" si="354"/>
        <v>Completed</v>
      </c>
      <c r="X238" s="174" t="str">
        <f t="shared" ca="1" si="355"/>
        <v>Completed</v>
      </c>
      <c r="Y238" s="174" t="str">
        <f t="shared" ca="1" si="356"/>
        <v/>
      </c>
      <c r="Z238" s="175" t="str">
        <f t="shared" ca="1" si="357"/>
        <v/>
      </c>
    </row>
    <row r="239" spans="1:26" s="70" customFormat="1" ht="11.5" x14ac:dyDescent="0.25">
      <c r="A239" s="93" t="s">
        <v>67</v>
      </c>
      <c r="B239" s="93" t="s">
        <v>14</v>
      </c>
      <c r="C239" s="93" t="s">
        <v>907</v>
      </c>
      <c r="D239" s="92" t="s">
        <v>886</v>
      </c>
      <c r="E239" s="94">
        <f t="shared" si="318"/>
        <v>0.7</v>
      </c>
      <c r="F239" s="94">
        <f t="shared" si="319"/>
        <v>0.7</v>
      </c>
      <c r="G239" s="94">
        <f t="shared" si="319"/>
        <v>0.7</v>
      </c>
      <c r="H239" s="94">
        <f t="shared" si="320"/>
        <v>0</v>
      </c>
      <c r="I239" s="130">
        <v>4.7E-2</v>
      </c>
      <c r="J239" s="90">
        <v>46178</v>
      </c>
      <c r="K239" s="90">
        <f t="shared" si="347"/>
        <v>46178</v>
      </c>
      <c r="L239" s="98">
        <v>46162</v>
      </c>
      <c r="M239" s="90">
        <f t="shared" si="348"/>
        <v>46220</v>
      </c>
      <c r="N239" s="90">
        <f t="shared" si="349"/>
        <v>46220</v>
      </c>
      <c r="O239" s="90">
        <v>46191</v>
      </c>
      <c r="P239" s="90">
        <f t="shared" si="350"/>
        <v>46262</v>
      </c>
      <c r="Q239" s="90">
        <f t="shared" si="351"/>
        <v>46262</v>
      </c>
      <c r="R239" s="90"/>
      <c r="S239" s="90">
        <f t="shared" si="352"/>
        <v>46276</v>
      </c>
      <c r="T239" s="90">
        <f t="shared" si="353"/>
        <v>46276</v>
      </c>
      <c r="U239" s="90"/>
      <c r="W239" s="174" t="str">
        <f t="shared" ca="1" si="354"/>
        <v>Completed</v>
      </c>
      <c r="X239" s="174" t="str">
        <f t="shared" ca="1" si="355"/>
        <v>Completed</v>
      </c>
      <c r="Y239" s="174" t="str">
        <f t="shared" ca="1" si="356"/>
        <v/>
      </c>
      <c r="Z239" s="175" t="str">
        <f t="shared" ca="1" si="357"/>
        <v/>
      </c>
    </row>
    <row r="240" spans="1:26" s="70" customFormat="1" ht="11.5" x14ac:dyDescent="0.25">
      <c r="A240" s="93" t="s">
        <v>67</v>
      </c>
      <c r="B240" s="93" t="s">
        <v>14</v>
      </c>
      <c r="C240" s="93" t="s">
        <v>908</v>
      </c>
      <c r="D240" s="92" t="s">
        <v>887</v>
      </c>
      <c r="E240" s="94">
        <f t="shared" si="318"/>
        <v>0.7</v>
      </c>
      <c r="F240" s="94">
        <f t="shared" si="319"/>
        <v>0.7</v>
      </c>
      <c r="G240" s="94">
        <f t="shared" si="319"/>
        <v>0.7</v>
      </c>
      <c r="H240" s="94">
        <f t="shared" si="320"/>
        <v>0</v>
      </c>
      <c r="I240" s="130">
        <v>4.7E-2</v>
      </c>
      <c r="J240" s="90">
        <v>46178</v>
      </c>
      <c r="K240" s="90">
        <f t="shared" si="347"/>
        <v>46178</v>
      </c>
      <c r="L240" s="98">
        <v>46162</v>
      </c>
      <c r="M240" s="90">
        <f t="shared" si="348"/>
        <v>46220</v>
      </c>
      <c r="N240" s="90">
        <f t="shared" si="349"/>
        <v>46220</v>
      </c>
      <c r="O240" s="90">
        <v>46191</v>
      </c>
      <c r="P240" s="90">
        <f t="shared" si="350"/>
        <v>46262</v>
      </c>
      <c r="Q240" s="90">
        <f t="shared" si="351"/>
        <v>46262</v>
      </c>
      <c r="R240" s="90"/>
      <c r="S240" s="90">
        <f t="shared" si="352"/>
        <v>46276</v>
      </c>
      <c r="T240" s="90">
        <f t="shared" si="353"/>
        <v>46276</v>
      </c>
      <c r="U240" s="90"/>
      <c r="W240" s="174" t="str">
        <f t="shared" ca="1" si="354"/>
        <v>Completed</v>
      </c>
      <c r="X240" s="174" t="str">
        <f t="shared" ca="1" si="355"/>
        <v>Completed</v>
      </c>
      <c r="Y240" s="174" t="str">
        <f t="shared" ca="1" si="356"/>
        <v/>
      </c>
      <c r="Z240" s="175" t="str">
        <f t="shared" ca="1" si="357"/>
        <v/>
      </c>
    </row>
    <row r="241" spans="1:26" s="70" customFormat="1" ht="11.5" x14ac:dyDescent="0.25">
      <c r="A241" s="93" t="s">
        <v>67</v>
      </c>
      <c r="B241" s="93" t="s">
        <v>14</v>
      </c>
      <c r="C241" s="93" t="s">
        <v>909</v>
      </c>
      <c r="D241" s="92" t="s">
        <v>888</v>
      </c>
      <c r="E241" s="94">
        <f t="shared" si="318"/>
        <v>0.7</v>
      </c>
      <c r="F241" s="94">
        <f t="shared" si="319"/>
        <v>0.7</v>
      </c>
      <c r="G241" s="94">
        <f t="shared" si="319"/>
        <v>0.7</v>
      </c>
      <c r="H241" s="94">
        <f t="shared" si="320"/>
        <v>0</v>
      </c>
      <c r="I241" s="130">
        <v>4.7E-2</v>
      </c>
      <c r="J241" s="90">
        <v>46178</v>
      </c>
      <c r="K241" s="90">
        <f t="shared" si="347"/>
        <v>46178</v>
      </c>
      <c r="L241" s="98">
        <v>46162</v>
      </c>
      <c r="M241" s="90">
        <f t="shared" si="348"/>
        <v>46220</v>
      </c>
      <c r="N241" s="90">
        <f t="shared" si="349"/>
        <v>46220</v>
      </c>
      <c r="O241" s="90">
        <v>46191</v>
      </c>
      <c r="P241" s="90">
        <f t="shared" si="350"/>
        <v>46262</v>
      </c>
      <c r="Q241" s="90">
        <f t="shared" si="351"/>
        <v>46262</v>
      </c>
      <c r="R241" s="90"/>
      <c r="S241" s="90">
        <f t="shared" si="352"/>
        <v>46276</v>
      </c>
      <c r="T241" s="90">
        <f t="shared" si="353"/>
        <v>46276</v>
      </c>
      <c r="U241" s="90"/>
      <c r="W241" s="174" t="str">
        <f t="shared" ca="1" si="354"/>
        <v>Completed</v>
      </c>
      <c r="X241" s="174" t="str">
        <f t="shared" ca="1" si="355"/>
        <v>Completed</v>
      </c>
      <c r="Y241" s="174" t="str">
        <f t="shared" ca="1" si="356"/>
        <v/>
      </c>
      <c r="Z241" s="175" t="str">
        <f t="shared" ca="1" si="357"/>
        <v/>
      </c>
    </row>
    <row r="242" spans="1:26" s="70" customFormat="1" ht="11.5" x14ac:dyDescent="0.25">
      <c r="A242" s="93" t="s">
        <v>67</v>
      </c>
      <c r="B242" s="93" t="s">
        <v>14</v>
      </c>
      <c r="C242" s="93" t="s">
        <v>910</v>
      </c>
      <c r="D242" s="92" t="s">
        <v>889</v>
      </c>
      <c r="E242" s="94">
        <f t="shared" si="318"/>
        <v>0.7</v>
      </c>
      <c r="F242" s="94">
        <f t="shared" si="319"/>
        <v>0.7</v>
      </c>
      <c r="G242" s="94">
        <f t="shared" si="319"/>
        <v>0.7</v>
      </c>
      <c r="H242" s="94">
        <f t="shared" si="320"/>
        <v>0</v>
      </c>
      <c r="I242" s="130">
        <v>4.7E-2</v>
      </c>
      <c r="J242" s="90">
        <v>46178</v>
      </c>
      <c r="K242" s="90">
        <f t="shared" si="347"/>
        <v>46178</v>
      </c>
      <c r="L242" s="98">
        <v>46162</v>
      </c>
      <c r="M242" s="90">
        <f t="shared" si="348"/>
        <v>46220</v>
      </c>
      <c r="N242" s="90">
        <f t="shared" si="349"/>
        <v>46220</v>
      </c>
      <c r="O242" s="90">
        <v>46191</v>
      </c>
      <c r="P242" s="90">
        <f t="shared" si="350"/>
        <v>46262</v>
      </c>
      <c r="Q242" s="90">
        <f t="shared" si="351"/>
        <v>46262</v>
      </c>
      <c r="R242" s="90"/>
      <c r="S242" s="90">
        <f t="shared" si="352"/>
        <v>46276</v>
      </c>
      <c r="T242" s="90">
        <f t="shared" si="353"/>
        <v>46276</v>
      </c>
      <c r="U242" s="90"/>
      <c r="W242" s="174" t="str">
        <f t="shared" ca="1" si="354"/>
        <v>Completed</v>
      </c>
      <c r="X242" s="174" t="str">
        <f t="shared" ca="1" si="355"/>
        <v>Completed</v>
      </c>
      <c r="Y242" s="174" t="str">
        <f t="shared" ca="1" si="356"/>
        <v/>
      </c>
      <c r="Z242" s="175" t="str">
        <f t="shared" ca="1" si="357"/>
        <v/>
      </c>
    </row>
    <row r="243" spans="1:26" s="70" customFormat="1" ht="11.5" x14ac:dyDescent="0.25">
      <c r="A243" s="93" t="s">
        <v>67</v>
      </c>
      <c r="B243" s="93" t="s">
        <v>14</v>
      </c>
      <c r="C243" s="93" t="s">
        <v>911</v>
      </c>
      <c r="D243" s="92" t="s">
        <v>890</v>
      </c>
      <c r="E243" s="94">
        <f t="shared" si="318"/>
        <v>0.7</v>
      </c>
      <c r="F243" s="94">
        <f t="shared" si="319"/>
        <v>0.7</v>
      </c>
      <c r="G243" s="94">
        <f t="shared" si="319"/>
        <v>0.7</v>
      </c>
      <c r="H243" s="94">
        <f t="shared" si="320"/>
        <v>0</v>
      </c>
      <c r="I243" s="130">
        <v>4.7E-2</v>
      </c>
      <c r="J243" s="90">
        <v>46178</v>
      </c>
      <c r="K243" s="90">
        <f t="shared" si="347"/>
        <v>46178</v>
      </c>
      <c r="L243" s="98">
        <v>46162</v>
      </c>
      <c r="M243" s="90">
        <f t="shared" si="348"/>
        <v>46220</v>
      </c>
      <c r="N243" s="90">
        <f t="shared" si="349"/>
        <v>46220</v>
      </c>
      <c r="O243" s="90">
        <v>46191</v>
      </c>
      <c r="P243" s="90">
        <f t="shared" si="350"/>
        <v>46262</v>
      </c>
      <c r="Q243" s="90">
        <f t="shared" si="351"/>
        <v>46262</v>
      </c>
      <c r="R243" s="90"/>
      <c r="S243" s="90">
        <f t="shared" si="352"/>
        <v>46276</v>
      </c>
      <c r="T243" s="90">
        <f t="shared" si="353"/>
        <v>46276</v>
      </c>
      <c r="U243" s="90"/>
      <c r="W243" s="174" t="str">
        <f t="shared" ca="1" si="354"/>
        <v>Completed</v>
      </c>
      <c r="X243" s="174" t="str">
        <f t="shared" ca="1" si="355"/>
        <v>Completed</v>
      </c>
      <c r="Y243" s="174" t="str">
        <f t="shared" ca="1" si="356"/>
        <v/>
      </c>
      <c r="Z243" s="175" t="str">
        <f t="shared" ca="1" si="357"/>
        <v/>
      </c>
    </row>
    <row r="244" spans="1:26" s="70" customFormat="1" ht="11.5" x14ac:dyDescent="0.25">
      <c r="A244" s="93" t="s">
        <v>67</v>
      </c>
      <c r="B244" s="93" t="s">
        <v>14</v>
      </c>
      <c r="C244" s="93" t="s">
        <v>315</v>
      </c>
      <c r="D244" s="92" t="s">
        <v>316</v>
      </c>
      <c r="E244" s="94">
        <f t="shared" si="318"/>
        <v>0.79999999999999993</v>
      </c>
      <c r="F244" s="94">
        <f t="shared" si="319"/>
        <v>0.79999999999999993</v>
      </c>
      <c r="G244" s="94">
        <f t="shared" si="319"/>
        <v>0.7</v>
      </c>
      <c r="H244" s="94">
        <f t="shared" si="320"/>
        <v>-9.9999999999999978E-2</v>
      </c>
      <c r="I244" s="130">
        <f>0.047 *2</f>
        <v>9.4E-2</v>
      </c>
      <c r="J244" s="90">
        <v>46164</v>
      </c>
      <c r="K244" s="90">
        <f t="shared" si="347"/>
        <v>46164</v>
      </c>
      <c r="L244" s="147">
        <v>46184</v>
      </c>
      <c r="M244" s="90">
        <f t="shared" si="348"/>
        <v>46206</v>
      </c>
      <c r="N244" s="90">
        <f t="shared" si="349"/>
        <v>46206</v>
      </c>
      <c r="O244" s="90">
        <v>46192</v>
      </c>
      <c r="P244" s="90">
        <f t="shared" si="350"/>
        <v>46248</v>
      </c>
      <c r="Q244" s="90">
        <f t="shared" si="351"/>
        <v>46248</v>
      </c>
      <c r="R244" s="90"/>
      <c r="S244" s="90">
        <f t="shared" si="352"/>
        <v>46262</v>
      </c>
      <c r="T244" s="90">
        <f t="shared" si="353"/>
        <v>46262</v>
      </c>
      <c r="U244" s="90"/>
      <c r="W244" s="174" t="str">
        <f t="shared" ca="1" si="354"/>
        <v>Completed</v>
      </c>
      <c r="X244" s="174" t="str">
        <f t="shared" ca="1" si="355"/>
        <v>Completed</v>
      </c>
      <c r="Y244" s="174" t="str">
        <f t="shared" ca="1" si="356"/>
        <v>Overdue</v>
      </c>
      <c r="Z244" s="175" t="str">
        <f t="shared" ca="1" si="357"/>
        <v/>
      </c>
    </row>
    <row r="245" spans="1:26" s="70" customFormat="1" ht="11.5" x14ac:dyDescent="0.25">
      <c r="A245" s="93" t="s">
        <v>67</v>
      </c>
      <c r="B245" s="93" t="s">
        <v>14</v>
      </c>
      <c r="C245" s="93" t="s">
        <v>317</v>
      </c>
      <c r="D245" s="92" t="s">
        <v>318</v>
      </c>
      <c r="E245" s="94">
        <f t="shared" si="318"/>
        <v>0.79999999999999993</v>
      </c>
      <c r="F245" s="94">
        <f t="shared" si="319"/>
        <v>0.79999999999999993</v>
      </c>
      <c r="G245" s="94">
        <f t="shared" si="319"/>
        <v>0</v>
      </c>
      <c r="H245" s="94">
        <f t="shared" si="320"/>
        <v>-0.79999999999999993</v>
      </c>
      <c r="I245" s="130"/>
      <c r="J245" s="90">
        <v>46164</v>
      </c>
      <c r="K245" s="90">
        <f t="shared" si="347"/>
        <v>46164</v>
      </c>
      <c r="L245" s="90"/>
      <c r="M245" s="90">
        <f t="shared" si="348"/>
        <v>46206</v>
      </c>
      <c r="N245" s="90">
        <f t="shared" si="349"/>
        <v>46206</v>
      </c>
      <c r="O245" s="90"/>
      <c r="P245" s="90">
        <f t="shared" si="350"/>
        <v>46248</v>
      </c>
      <c r="Q245" s="90">
        <f t="shared" si="351"/>
        <v>46248</v>
      </c>
      <c r="R245" s="90"/>
      <c r="S245" s="90">
        <f t="shared" si="352"/>
        <v>46262</v>
      </c>
      <c r="T245" s="90">
        <f t="shared" si="353"/>
        <v>46262</v>
      </c>
      <c r="U245" s="90"/>
      <c r="W245" s="174" t="str">
        <f t="shared" ca="1" si="354"/>
        <v>Overdue</v>
      </c>
      <c r="X245" s="174" t="str">
        <f t="shared" ca="1" si="355"/>
        <v>Overdue</v>
      </c>
      <c r="Y245" s="174" t="str">
        <f t="shared" ca="1" si="356"/>
        <v>Overdue</v>
      </c>
      <c r="Z245" s="175" t="str">
        <f t="shared" ca="1" si="357"/>
        <v/>
      </c>
    </row>
    <row r="246" spans="1:26" s="70" customFormat="1" ht="11.5" x14ac:dyDescent="0.25">
      <c r="A246" s="93" t="s">
        <v>67</v>
      </c>
      <c r="B246" s="93" t="s">
        <v>14</v>
      </c>
      <c r="C246" s="93" t="s">
        <v>319</v>
      </c>
      <c r="D246" s="92" t="s">
        <v>320</v>
      </c>
      <c r="E246" s="94">
        <f t="shared" ref="E246:E318" si="362">(COUNTIFS(J246,"&lt;="&amp;$C$1)*50%)+(COUNTIFS(M246,"&lt;="&amp;$C$1)*20%)+(COUNTIFS(P246,"&lt;="&amp;$C$1)*10%)+(COUNTIFS(S246,"&lt;="&amp;$C$1)*20%)</f>
        <v>0.79999999999999993</v>
      </c>
      <c r="F246" s="94">
        <f t="shared" ref="F246:G318" si="363">(COUNTIFS(K246,"&lt;="&amp;$C$1)*50%)+(COUNTIFS(N246,"&lt;="&amp;$C$1)*20%)+(COUNTIFS(Q246,"&lt;="&amp;$C$1)*10%)+(COUNTIFS(T246,"&lt;="&amp;$C$1)*20%)</f>
        <v>0.79999999999999993</v>
      </c>
      <c r="G246" s="94">
        <f t="shared" si="363"/>
        <v>0.7</v>
      </c>
      <c r="H246" s="94">
        <f t="shared" ref="H246:H318" si="364">G246-E246</f>
        <v>-9.9999999999999978E-2</v>
      </c>
      <c r="I246" s="130">
        <v>4.7E-2</v>
      </c>
      <c r="J246" s="90">
        <v>46164</v>
      </c>
      <c r="K246" s="90">
        <f t="shared" si="347"/>
        <v>46164</v>
      </c>
      <c r="L246" s="147">
        <v>46184</v>
      </c>
      <c r="M246" s="90">
        <f t="shared" si="348"/>
        <v>46206</v>
      </c>
      <c r="N246" s="90">
        <f t="shared" si="349"/>
        <v>46206</v>
      </c>
      <c r="O246" s="90">
        <v>46192</v>
      </c>
      <c r="P246" s="90">
        <f t="shared" si="350"/>
        <v>46248</v>
      </c>
      <c r="Q246" s="90">
        <f t="shared" si="351"/>
        <v>46248</v>
      </c>
      <c r="R246" s="90"/>
      <c r="S246" s="90">
        <f t="shared" si="352"/>
        <v>46262</v>
      </c>
      <c r="T246" s="90">
        <f t="shared" si="353"/>
        <v>46262</v>
      </c>
      <c r="U246" s="90"/>
      <c r="W246" s="174" t="str">
        <f t="shared" ca="1" si="354"/>
        <v>Completed</v>
      </c>
      <c r="X246" s="174" t="str">
        <f t="shared" ca="1" si="355"/>
        <v>Completed</v>
      </c>
      <c r="Y246" s="174" t="str">
        <f t="shared" ca="1" si="356"/>
        <v>Overdue</v>
      </c>
      <c r="Z246" s="175" t="str">
        <f t="shared" ca="1" si="357"/>
        <v/>
      </c>
    </row>
    <row r="247" spans="1:26" s="70" customFormat="1" ht="11.5" x14ac:dyDescent="0.25">
      <c r="A247" s="92" t="s">
        <v>67</v>
      </c>
      <c r="B247" s="92" t="s">
        <v>14</v>
      </c>
      <c r="C247" s="92" t="s">
        <v>321</v>
      </c>
      <c r="D247" s="92" t="s">
        <v>322</v>
      </c>
      <c r="E247" s="94">
        <f t="shared" si="362"/>
        <v>0.79999999999999993</v>
      </c>
      <c r="F247" s="94">
        <f t="shared" si="363"/>
        <v>0.79999999999999993</v>
      </c>
      <c r="G247" s="94">
        <f t="shared" si="363"/>
        <v>0.7</v>
      </c>
      <c r="H247" s="94">
        <f t="shared" si="364"/>
        <v>-9.9999999999999978E-2</v>
      </c>
      <c r="I247" s="130">
        <v>4.7E-2</v>
      </c>
      <c r="J247" s="90">
        <v>46164</v>
      </c>
      <c r="K247" s="90">
        <f t="shared" si="347"/>
        <v>46164</v>
      </c>
      <c r="L247" s="147">
        <v>46184</v>
      </c>
      <c r="M247" s="90">
        <f t="shared" si="348"/>
        <v>46206</v>
      </c>
      <c r="N247" s="90">
        <f t="shared" si="349"/>
        <v>46206</v>
      </c>
      <c r="O247" s="90">
        <v>46192</v>
      </c>
      <c r="P247" s="90">
        <f t="shared" si="350"/>
        <v>46248</v>
      </c>
      <c r="Q247" s="90">
        <f t="shared" si="351"/>
        <v>46248</v>
      </c>
      <c r="R247" s="90"/>
      <c r="S247" s="90">
        <f t="shared" si="352"/>
        <v>46262</v>
      </c>
      <c r="T247" s="90">
        <f t="shared" si="353"/>
        <v>46262</v>
      </c>
      <c r="U247" s="90"/>
      <c r="W247" s="174" t="str">
        <f t="shared" ca="1" si="354"/>
        <v>Completed</v>
      </c>
      <c r="X247" s="174" t="str">
        <f t="shared" ca="1" si="355"/>
        <v>Completed</v>
      </c>
      <c r="Y247" s="174" t="str">
        <f t="shared" ca="1" si="356"/>
        <v>Overdue</v>
      </c>
      <c r="Z247" s="175" t="str">
        <f t="shared" ca="1" si="357"/>
        <v/>
      </c>
    </row>
    <row r="248" spans="1:26" s="70" customFormat="1" ht="11.5" x14ac:dyDescent="0.25">
      <c r="A248" s="92" t="s">
        <v>67</v>
      </c>
      <c r="B248" s="92" t="s">
        <v>14</v>
      </c>
      <c r="C248" s="92" t="s">
        <v>323</v>
      </c>
      <c r="D248" s="92" t="s">
        <v>324</v>
      </c>
      <c r="E248" s="94">
        <f t="shared" si="362"/>
        <v>0.7</v>
      </c>
      <c r="F248" s="94">
        <f t="shared" si="363"/>
        <v>0.7</v>
      </c>
      <c r="G248" s="94">
        <f t="shared" si="363"/>
        <v>0.7</v>
      </c>
      <c r="H248" s="94">
        <f t="shared" si="364"/>
        <v>0</v>
      </c>
      <c r="I248" s="130">
        <v>4.7E-2</v>
      </c>
      <c r="J248" s="90">
        <v>46185</v>
      </c>
      <c r="K248" s="90">
        <f t="shared" si="347"/>
        <v>46185</v>
      </c>
      <c r="L248" s="90">
        <v>46136</v>
      </c>
      <c r="M248" s="90">
        <f t="shared" si="348"/>
        <v>46227</v>
      </c>
      <c r="N248" s="90">
        <f t="shared" si="349"/>
        <v>46227</v>
      </c>
      <c r="O248" s="90">
        <v>46240</v>
      </c>
      <c r="P248" s="90">
        <f t="shared" si="350"/>
        <v>46269</v>
      </c>
      <c r="Q248" s="90">
        <f t="shared" si="351"/>
        <v>46269</v>
      </c>
      <c r="R248" s="90"/>
      <c r="S248" s="90">
        <f t="shared" si="352"/>
        <v>46283</v>
      </c>
      <c r="T248" s="90">
        <f t="shared" si="353"/>
        <v>46283</v>
      </c>
      <c r="U248" s="90"/>
      <c r="W248" s="174" t="str">
        <f t="shared" ca="1" si="354"/>
        <v>Completed</v>
      </c>
      <c r="X248" s="174" t="str">
        <f t="shared" ca="1" si="355"/>
        <v>Completed</v>
      </c>
      <c r="Y248" s="174" t="str">
        <f t="shared" ca="1" si="356"/>
        <v/>
      </c>
      <c r="Z248" s="175" t="str">
        <f t="shared" ca="1" si="357"/>
        <v/>
      </c>
    </row>
    <row r="249" spans="1:26" s="70" customFormat="1" ht="11.5" x14ac:dyDescent="0.25">
      <c r="A249" s="92" t="s">
        <v>67</v>
      </c>
      <c r="B249" s="92" t="s">
        <v>14</v>
      </c>
      <c r="C249" s="92" t="s">
        <v>1038</v>
      </c>
      <c r="D249" s="92" t="s">
        <v>325</v>
      </c>
      <c r="E249" s="94">
        <f t="shared" si="362"/>
        <v>0.7</v>
      </c>
      <c r="F249" s="94">
        <f t="shared" si="363"/>
        <v>0.7</v>
      </c>
      <c r="G249" s="94">
        <f t="shared" si="363"/>
        <v>0.7</v>
      </c>
      <c r="H249" s="94">
        <f t="shared" si="364"/>
        <v>0</v>
      </c>
      <c r="I249" s="130">
        <v>4.7E-2</v>
      </c>
      <c r="J249" s="90">
        <v>46185</v>
      </c>
      <c r="K249" s="90">
        <f t="shared" si="347"/>
        <v>46185</v>
      </c>
      <c r="L249" s="90">
        <v>46136</v>
      </c>
      <c r="M249" s="90">
        <f t="shared" si="348"/>
        <v>46227</v>
      </c>
      <c r="N249" s="90">
        <f t="shared" si="349"/>
        <v>46227</v>
      </c>
      <c r="O249" s="90">
        <v>46240</v>
      </c>
      <c r="P249" s="90">
        <f t="shared" si="350"/>
        <v>46269</v>
      </c>
      <c r="Q249" s="90">
        <f t="shared" si="351"/>
        <v>46269</v>
      </c>
      <c r="R249" s="90"/>
      <c r="S249" s="90">
        <f t="shared" si="352"/>
        <v>46283</v>
      </c>
      <c r="T249" s="90">
        <f t="shared" si="353"/>
        <v>46283</v>
      </c>
      <c r="U249" s="90"/>
      <c r="W249" s="174" t="str">
        <f t="shared" ca="1" si="354"/>
        <v>Completed</v>
      </c>
      <c r="X249" s="174" t="str">
        <f t="shared" ca="1" si="355"/>
        <v>Completed</v>
      </c>
      <c r="Y249" s="174" t="str">
        <f t="shared" ca="1" si="356"/>
        <v/>
      </c>
      <c r="Z249" s="175" t="str">
        <f t="shared" ca="1" si="357"/>
        <v/>
      </c>
    </row>
    <row r="250" spans="1:26" s="70" customFormat="1" ht="11.5" x14ac:dyDescent="0.25">
      <c r="A250" s="92" t="s">
        <v>67</v>
      </c>
      <c r="B250" s="92" t="s">
        <v>14</v>
      </c>
      <c r="C250" s="92" t="s">
        <v>1039</v>
      </c>
      <c r="D250" s="92" t="s">
        <v>326</v>
      </c>
      <c r="E250" s="94">
        <f t="shared" si="362"/>
        <v>0.7</v>
      </c>
      <c r="F250" s="94">
        <f t="shared" si="363"/>
        <v>0.7</v>
      </c>
      <c r="G250" s="94">
        <f t="shared" si="363"/>
        <v>0.7</v>
      </c>
      <c r="H250" s="94">
        <f t="shared" si="364"/>
        <v>0</v>
      </c>
      <c r="I250" s="130">
        <v>4.7E-2</v>
      </c>
      <c r="J250" s="90">
        <v>46185</v>
      </c>
      <c r="K250" s="90">
        <f t="shared" si="347"/>
        <v>46185</v>
      </c>
      <c r="L250" s="90">
        <v>46136</v>
      </c>
      <c r="M250" s="90">
        <f t="shared" si="348"/>
        <v>46227</v>
      </c>
      <c r="N250" s="90">
        <f t="shared" si="349"/>
        <v>46227</v>
      </c>
      <c r="O250" s="90">
        <v>46240</v>
      </c>
      <c r="P250" s="90">
        <f t="shared" si="350"/>
        <v>46269</v>
      </c>
      <c r="Q250" s="90">
        <f t="shared" si="351"/>
        <v>46269</v>
      </c>
      <c r="R250" s="90"/>
      <c r="S250" s="90">
        <f t="shared" si="352"/>
        <v>46283</v>
      </c>
      <c r="T250" s="90">
        <f t="shared" si="353"/>
        <v>46283</v>
      </c>
      <c r="U250" s="90"/>
      <c r="W250" s="174" t="str">
        <f t="shared" ca="1" si="354"/>
        <v>Completed</v>
      </c>
      <c r="X250" s="174" t="str">
        <f t="shared" ca="1" si="355"/>
        <v>Completed</v>
      </c>
      <c r="Y250" s="174" t="str">
        <f t="shared" ca="1" si="356"/>
        <v/>
      </c>
      <c r="Z250" s="175" t="str">
        <f t="shared" ca="1" si="357"/>
        <v/>
      </c>
    </row>
    <row r="251" spans="1:26" s="70" customFormat="1" ht="11.5" x14ac:dyDescent="0.25">
      <c r="A251" s="92" t="s">
        <v>67</v>
      </c>
      <c r="B251" s="92" t="s">
        <v>14</v>
      </c>
      <c r="C251" s="92" t="s">
        <v>1040</v>
      </c>
      <c r="D251" s="92" t="s">
        <v>327</v>
      </c>
      <c r="E251" s="94">
        <f t="shared" si="362"/>
        <v>0.7</v>
      </c>
      <c r="F251" s="94">
        <f t="shared" si="363"/>
        <v>0.7</v>
      </c>
      <c r="G251" s="94">
        <f t="shared" si="363"/>
        <v>0.7</v>
      </c>
      <c r="H251" s="94">
        <f t="shared" si="364"/>
        <v>0</v>
      </c>
      <c r="I251" s="130">
        <v>4.7E-2</v>
      </c>
      <c r="J251" s="90">
        <v>46185</v>
      </c>
      <c r="K251" s="90">
        <f t="shared" si="347"/>
        <v>46185</v>
      </c>
      <c r="L251" s="90">
        <v>46136</v>
      </c>
      <c r="M251" s="90">
        <f t="shared" si="348"/>
        <v>46227</v>
      </c>
      <c r="N251" s="90">
        <f t="shared" si="349"/>
        <v>46227</v>
      </c>
      <c r="O251" s="90">
        <v>46240</v>
      </c>
      <c r="P251" s="90">
        <f t="shared" si="350"/>
        <v>46269</v>
      </c>
      <c r="Q251" s="90">
        <f t="shared" si="351"/>
        <v>46269</v>
      </c>
      <c r="R251" s="90"/>
      <c r="S251" s="90">
        <f t="shared" si="352"/>
        <v>46283</v>
      </c>
      <c r="T251" s="90">
        <f t="shared" si="353"/>
        <v>46283</v>
      </c>
      <c r="U251" s="90"/>
      <c r="W251" s="174" t="str">
        <f t="shared" ca="1" si="354"/>
        <v>Completed</v>
      </c>
      <c r="X251" s="174" t="str">
        <f t="shared" ca="1" si="355"/>
        <v>Completed</v>
      </c>
      <c r="Y251" s="174" t="str">
        <f t="shared" ca="1" si="356"/>
        <v/>
      </c>
      <c r="Z251" s="175" t="str">
        <f t="shared" ca="1" si="357"/>
        <v/>
      </c>
    </row>
    <row r="252" spans="1:26" s="70" customFormat="1" ht="11.5" x14ac:dyDescent="0.25">
      <c r="A252" s="92" t="s">
        <v>67</v>
      </c>
      <c r="B252" s="92" t="s">
        <v>14</v>
      </c>
      <c r="C252" s="92" t="s">
        <v>1041</v>
      </c>
      <c r="D252" s="92" t="s">
        <v>328</v>
      </c>
      <c r="E252" s="94">
        <f t="shared" si="362"/>
        <v>0.7</v>
      </c>
      <c r="F252" s="94">
        <f t="shared" si="363"/>
        <v>0.7</v>
      </c>
      <c r="G252" s="94">
        <f t="shared" si="363"/>
        <v>0.7</v>
      </c>
      <c r="H252" s="94">
        <f t="shared" si="364"/>
        <v>0</v>
      </c>
      <c r="I252" s="130">
        <v>4.7E-2</v>
      </c>
      <c r="J252" s="90">
        <v>46185</v>
      </c>
      <c r="K252" s="90">
        <f t="shared" ref="K252:K328" si="365">J252</f>
        <v>46185</v>
      </c>
      <c r="L252" s="90">
        <v>46136</v>
      </c>
      <c r="M252" s="90">
        <f t="shared" ref="M252:M328" si="366">J252+42</f>
        <v>46227</v>
      </c>
      <c r="N252" s="90">
        <f t="shared" ref="N252:N328" si="367">M252</f>
        <v>46227</v>
      </c>
      <c r="O252" s="90">
        <v>46240</v>
      </c>
      <c r="P252" s="90">
        <f t="shared" ref="P252:P319" si="368">M252+42</f>
        <v>46269</v>
      </c>
      <c r="Q252" s="90">
        <f t="shared" ref="Q252:Q328" si="369">P252</f>
        <v>46269</v>
      </c>
      <c r="R252" s="90"/>
      <c r="S252" s="90">
        <f t="shared" si="352"/>
        <v>46283</v>
      </c>
      <c r="T252" s="90">
        <f t="shared" ref="T252:T328" si="370">S252</f>
        <v>46283</v>
      </c>
      <c r="U252" s="90"/>
      <c r="W252" s="174" t="str">
        <f t="shared" ca="1" si="354"/>
        <v>Completed</v>
      </c>
      <c r="X252" s="174" t="str">
        <f t="shared" ca="1" si="355"/>
        <v>Completed</v>
      </c>
      <c r="Y252" s="174" t="str">
        <f t="shared" ca="1" si="356"/>
        <v/>
      </c>
      <c r="Z252" s="175" t="str">
        <f t="shared" ca="1" si="357"/>
        <v/>
      </c>
    </row>
    <row r="253" spans="1:26" s="70" customFormat="1" ht="11.5" x14ac:dyDescent="0.25">
      <c r="A253" s="92" t="s">
        <v>67</v>
      </c>
      <c r="B253" s="92" t="s">
        <v>14</v>
      </c>
      <c r="C253" s="92" t="s">
        <v>1042</v>
      </c>
      <c r="D253" s="92" t="s">
        <v>329</v>
      </c>
      <c r="E253" s="94">
        <f t="shared" ref="E253" si="371">(COUNTIFS(J253,"&lt;="&amp;$C$1)*50%)+(COUNTIFS(M253,"&lt;="&amp;$C$1)*20%)+(COUNTIFS(P253,"&lt;="&amp;$C$1)*10%)+(COUNTIFS(S253,"&lt;="&amp;$C$1)*20%)</f>
        <v>0.7</v>
      </c>
      <c r="F253" s="94">
        <f t="shared" ref="F253" si="372">(COUNTIFS(K253,"&lt;="&amp;$C$1)*50%)+(COUNTIFS(N253,"&lt;="&amp;$C$1)*20%)+(COUNTIFS(Q253,"&lt;="&amp;$C$1)*10%)+(COUNTIFS(T253,"&lt;="&amp;$C$1)*20%)</f>
        <v>0.7</v>
      </c>
      <c r="G253" s="94">
        <f t="shared" ref="G253" si="373">(COUNTIFS(L253,"&lt;="&amp;$C$1)*50%)+(COUNTIFS(O253,"&lt;="&amp;$C$1)*20%)+(COUNTIFS(R253,"&lt;="&amp;$C$1)*10%)+(COUNTIFS(U253,"&lt;="&amp;$C$1)*20%)</f>
        <v>0.7</v>
      </c>
      <c r="H253" s="94">
        <f t="shared" ref="H253" si="374">G253-E253</f>
        <v>0</v>
      </c>
      <c r="I253" s="130">
        <v>4.7E-2</v>
      </c>
      <c r="J253" s="90">
        <v>46185</v>
      </c>
      <c r="K253" s="90">
        <f t="shared" si="365"/>
        <v>46185</v>
      </c>
      <c r="L253" s="90">
        <v>46136</v>
      </c>
      <c r="M253" s="90">
        <f t="shared" si="366"/>
        <v>46227</v>
      </c>
      <c r="N253" s="90">
        <f t="shared" si="367"/>
        <v>46227</v>
      </c>
      <c r="O253" s="90">
        <v>46240</v>
      </c>
      <c r="P253" s="90">
        <f t="shared" si="368"/>
        <v>46269</v>
      </c>
      <c r="Q253" s="90">
        <f t="shared" si="369"/>
        <v>46269</v>
      </c>
      <c r="R253" s="90"/>
      <c r="S253" s="90">
        <f t="shared" ref="S253:S329" si="375">P253+14</f>
        <v>46283</v>
      </c>
      <c r="T253" s="90">
        <f t="shared" si="370"/>
        <v>46283</v>
      </c>
      <c r="U253" s="90"/>
      <c r="W253" s="174" t="str">
        <f t="shared" ca="1" si="354"/>
        <v>Completed</v>
      </c>
      <c r="X253" s="174" t="str">
        <f t="shared" ca="1" si="355"/>
        <v>Completed</v>
      </c>
      <c r="Y253" s="174" t="str">
        <f t="shared" ca="1" si="356"/>
        <v/>
      </c>
      <c r="Z253" s="175" t="str">
        <f t="shared" ca="1" si="357"/>
        <v/>
      </c>
    </row>
    <row r="254" spans="1:26" s="70" customFormat="1" ht="11.5" x14ac:dyDescent="0.25">
      <c r="A254" s="92" t="s">
        <v>67</v>
      </c>
      <c r="B254" s="92" t="s">
        <v>14</v>
      </c>
      <c r="C254" s="92" t="s">
        <v>1043</v>
      </c>
      <c r="D254" s="92" t="s">
        <v>330</v>
      </c>
      <c r="E254" s="94">
        <f t="shared" si="362"/>
        <v>0.7</v>
      </c>
      <c r="F254" s="94">
        <f t="shared" si="363"/>
        <v>0.7</v>
      </c>
      <c r="G254" s="94">
        <f t="shared" si="363"/>
        <v>0.7</v>
      </c>
      <c r="H254" s="94">
        <f t="shared" si="364"/>
        <v>0</v>
      </c>
      <c r="I254" s="130">
        <v>4.7E-2</v>
      </c>
      <c r="J254" s="90">
        <v>46185</v>
      </c>
      <c r="K254" s="90">
        <f t="shared" si="365"/>
        <v>46185</v>
      </c>
      <c r="L254" s="90">
        <v>46136</v>
      </c>
      <c r="M254" s="90">
        <f t="shared" si="366"/>
        <v>46227</v>
      </c>
      <c r="N254" s="90">
        <f t="shared" si="367"/>
        <v>46227</v>
      </c>
      <c r="O254" s="90">
        <v>46240</v>
      </c>
      <c r="P254" s="90">
        <f t="shared" si="368"/>
        <v>46269</v>
      </c>
      <c r="Q254" s="90">
        <f t="shared" si="369"/>
        <v>46269</v>
      </c>
      <c r="R254" s="90"/>
      <c r="S254" s="90">
        <f t="shared" si="375"/>
        <v>46283</v>
      </c>
      <c r="T254" s="90">
        <f t="shared" si="370"/>
        <v>46283</v>
      </c>
      <c r="U254" s="90"/>
      <c r="W254" s="174" t="str">
        <f t="shared" ca="1" si="354"/>
        <v>Completed</v>
      </c>
      <c r="X254" s="174" t="str">
        <f t="shared" ca="1" si="355"/>
        <v>Completed</v>
      </c>
      <c r="Y254" s="174" t="str">
        <f t="shared" ca="1" si="356"/>
        <v/>
      </c>
      <c r="Z254" s="175" t="str">
        <f t="shared" ca="1" si="357"/>
        <v/>
      </c>
    </row>
    <row r="255" spans="1:26" s="70" customFormat="1" ht="11.5" x14ac:dyDescent="0.25">
      <c r="A255" s="92" t="s">
        <v>67</v>
      </c>
      <c r="B255" s="92" t="s">
        <v>14</v>
      </c>
      <c r="C255" s="92" t="s">
        <v>1044</v>
      </c>
      <c r="D255" s="92" t="s">
        <v>331</v>
      </c>
      <c r="E255" s="94">
        <f t="shared" si="362"/>
        <v>0.7</v>
      </c>
      <c r="F255" s="94">
        <f t="shared" si="363"/>
        <v>0.7</v>
      </c>
      <c r="G255" s="94">
        <f t="shared" si="363"/>
        <v>0.7</v>
      </c>
      <c r="H255" s="94">
        <f t="shared" si="364"/>
        <v>0</v>
      </c>
      <c r="I255" s="130">
        <v>4.7E-2</v>
      </c>
      <c r="J255" s="90">
        <v>46185</v>
      </c>
      <c r="K255" s="90">
        <f t="shared" si="365"/>
        <v>46185</v>
      </c>
      <c r="L255" s="90">
        <v>46136</v>
      </c>
      <c r="M255" s="90">
        <f t="shared" si="366"/>
        <v>46227</v>
      </c>
      <c r="N255" s="90">
        <f t="shared" si="367"/>
        <v>46227</v>
      </c>
      <c r="O255" s="90">
        <v>46240</v>
      </c>
      <c r="P255" s="90">
        <f t="shared" si="368"/>
        <v>46269</v>
      </c>
      <c r="Q255" s="90">
        <f t="shared" si="369"/>
        <v>46269</v>
      </c>
      <c r="R255" s="90"/>
      <c r="S255" s="90">
        <f t="shared" si="375"/>
        <v>46283</v>
      </c>
      <c r="T255" s="90">
        <f t="shared" si="370"/>
        <v>46283</v>
      </c>
      <c r="U255" s="90"/>
      <c r="W255" s="174" t="str">
        <f t="shared" ca="1" si="354"/>
        <v>Completed</v>
      </c>
      <c r="X255" s="174" t="str">
        <f t="shared" ca="1" si="355"/>
        <v>Completed</v>
      </c>
      <c r="Y255" s="174" t="str">
        <f t="shared" ca="1" si="356"/>
        <v/>
      </c>
      <c r="Z255" s="175" t="str">
        <f t="shared" ca="1" si="357"/>
        <v/>
      </c>
    </row>
    <row r="256" spans="1:26" s="70" customFormat="1" ht="11.5" x14ac:dyDescent="0.25">
      <c r="A256" s="92" t="s">
        <v>67</v>
      </c>
      <c r="B256" s="92" t="s">
        <v>14</v>
      </c>
      <c r="C256" s="92" t="s">
        <v>1045</v>
      </c>
      <c r="D256" s="92" t="s">
        <v>332</v>
      </c>
      <c r="E256" s="94">
        <f t="shared" si="362"/>
        <v>0.7</v>
      </c>
      <c r="F256" s="94">
        <f t="shared" si="363"/>
        <v>0.7</v>
      </c>
      <c r="G256" s="94">
        <f t="shared" si="363"/>
        <v>0.7</v>
      </c>
      <c r="H256" s="94">
        <f t="shared" si="364"/>
        <v>0</v>
      </c>
      <c r="I256" s="130">
        <v>4.7E-2</v>
      </c>
      <c r="J256" s="90">
        <v>46185</v>
      </c>
      <c r="K256" s="90">
        <f t="shared" si="365"/>
        <v>46185</v>
      </c>
      <c r="L256" s="90">
        <v>46136</v>
      </c>
      <c r="M256" s="90">
        <f t="shared" si="366"/>
        <v>46227</v>
      </c>
      <c r="N256" s="90">
        <f t="shared" si="367"/>
        <v>46227</v>
      </c>
      <c r="O256" s="90">
        <v>46240</v>
      </c>
      <c r="P256" s="90">
        <f t="shared" si="368"/>
        <v>46269</v>
      </c>
      <c r="Q256" s="90">
        <f t="shared" si="369"/>
        <v>46269</v>
      </c>
      <c r="R256" s="90"/>
      <c r="S256" s="90">
        <f t="shared" si="375"/>
        <v>46283</v>
      </c>
      <c r="T256" s="90">
        <f t="shared" si="370"/>
        <v>46283</v>
      </c>
      <c r="U256" s="90"/>
      <c r="W256" s="174" t="str">
        <f t="shared" ca="1" si="354"/>
        <v>Completed</v>
      </c>
      <c r="X256" s="174" t="str">
        <f t="shared" ca="1" si="355"/>
        <v>Completed</v>
      </c>
      <c r="Y256" s="174" t="str">
        <f t="shared" ca="1" si="356"/>
        <v/>
      </c>
      <c r="Z256" s="175" t="str">
        <f t="shared" ca="1" si="357"/>
        <v/>
      </c>
    </row>
    <row r="257" spans="1:26" s="70" customFormat="1" ht="11.5" x14ac:dyDescent="0.25">
      <c r="A257" s="92" t="s">
        <v>67</v>
      </c>
      <c r="B257" s="92" t="s">
        <v>14</v>
      </c>
      <c r="C257" s="92" t="s">
        <v>1046</v>
      </c>
      <c r="D257" s="92" t="s">
        <v>333</v>
      </c>
      <c r="E257" s="94">
        <f t="shared" si="362"/>
        <v>0.7</v>
      </c>
      <c r="F257" s="94">
        <f t="shared" si="363"/>
        <v>0.7</v>
      </c>
      <c r="G257" s="94">
        <f t="shared" si="363"/>
        <v>0.7</v>
      </c>
      <c r="H257" s="94">
        <f t="shared" si="364"/>
        <v>0</v>
      </c>
      <c r="I257" s="130">
        <v>4.7E-2</v>
      </c>
      <c r="J257" s="90">
        <v>46185</v>
      </c>
      <c r="K257" s="90">
        <f t="shared" si="365"/>
        <v>46185</v>
      </c>
      <c r="L257" s="90">
        <v>46136</v>
      </c>
      <c r="M257" s="90">
        <f t="shared" si="366"/>
        <v>46227</v>
      </c>
      <c r="N257" s="90">
        <f t="shared" si="367"/>
        <v>46227</v>
      </c>
      <c r="O257" s="90">
        <v>46240</v>
      </c>
      <c r="P257" s="90">
        <f t="shared" si="368"/>
        <v>46269</v>
      </c>
      <c r="Q257" s="90">
        <f t="shared" si="369"/>
        <v>46269</v>
      </c>
      <c r="R257" s="90"/>
      <c r="S257" s="90">
        <f t="shared" si="375"/>
        <v>46283</v>
      </c>
      <c r="T257" s="90">
        <f t="shared" si="370"/>
        <v>46283</v>
      </c>
      <c r="U257" s="90"/>
      <c r="W257" s="174" t="str">
        <f t="shared" ca="1" si="354"/>
        <v>Completed</v>
      </c>
      <c r="X257" s="174" t="str">
        <f t="shared" ca="1" si="355"/>
        <v>Completed</v>
      </c>
      <c r="Y257" s="174" t="str">
        <f t="shared" ca="1" si="356"/>
        <v/>
      </c>
      <c r="Z257" s="175" t="str">
        <f t="shared" ca="1" si="357"/>
        <v/>
      </c>
    </row>
    <row r="258" spans="1:26" s="70" customFormat="1" ht="11.5" x14ac:dyDescent="0.25">
      <c r="A258" s="92" t="s">
        <v>67</v>
      </c>
      <c r="B258" s="92" t="s">
        <v>14</v>
      </c>
      <c r="C258" s="92" t="s">
        <v>1047</v>
      </c>
      <c r="D258" s="92" t="s">
        <v>334</v>
      </c>
      <c r="E258" s="94">
        <f t="shared" si="362"/>
        <v>0.7</v>
      </c>
      <c r="F258" s="94">
        <f t="shared" si="363"/>
        <v>0.7</v>
      </c>
      <c r="G258" s="94">
        <f t="shared" si="363"/>
        <v>0.7</v>
      </c>
      <c r="H258" s="94">
        <f t="shared" si="364"/>
        <v>0</v>
      </c>
      <c r="I258" s="130">
        <v>4.7E-2</v>
      </c>
      <c r="J258" s="90">
        <v>46185</v>
      </c>
      <c r="K258" s="90">
        <f t="shared" si="365"/>
        <v>46185</v>
      </c>
      <c r="L258" s="90">
        <v>46136</v>
      </c>
      <c r="M258" s="90">
        <f t="shared" si="366"/>
        <v>46227</v>
      </c>
      <c r="N258" s="90">
        <f t="shared" si="367"/>
        <v>46227</v>
      </c>
      <c r="O258" s="90">
        <v>46240</v>
      </c>
      <c r="P258" s="90">
        <f t="shared" si="368"/>
        <v>46269</v>
      </c>
      <c r="Q258" s="90">
        <f t="shared" si="369"/>
        <v>46269</v>
      </c>
      <c r="R258" s="90"/>
      <c r="S258" s="90">
        <f t="shared" si="375"/>
        <v>46283</v>
      </c>
      <c r="T258" s="90">
        <f t="shared" si="370"/>
        <v>46283</v>
      </c>
      <c r="U258" s="90"/>
      <c r="W258" s="174" t="str">
        <f t="shared" ca="1" si="354"/>
        <v>Completed</v>
      </c>
      <c r="X258" s="174" t="str">
        <f t="shared" ca="1" si="355"/>
        <v>Completed</v>
      </c>
      <c r="Y258" s="174" t="str">
        <f t="shared" ca="1" si="356"/>
        <v/>
      </c>
      <c r="Z258" s="175" t="str">
        <f t="shared" ca="1" si="357"/>
        <v/>
      </c>
    </row>
    <row r="259" spans="1:26" s="70" customFormat="1" ht="11.5" x14ac:dyDescent="0.25">
      <c r="A259" s="93" t="s">
        <v>67</v>
      </c>
      <c r="B259" s="93" t="s">
        <v>14</v>
      </c>
      <c r="C259" s="93" t="s">
        <v>1048</v>
      </c>
      <c r="D259" s="92" t="s">
        <v>335</v>
      </c>
      <c r="E259" s="94">
        <f t="shared" si="362"/>
        <v>0.7</v>
      </c>
      <c r="F259" s="94">
        <f t="shared" si="363"/>
        <v>0.7</v>
      </c>
      <c r="G259" s="94">
        <f t="shared" si="363"/>
        <v>0.7</v>
      </c>
      <c r="H259" s="94">
        <f t="shared" si="364"/>
        <v>0</v>
      </c>
      <c r="I259" s="130">
        <v>4.7E-2</v>
      </c>
      <c r="J259" s="90">
        <v>46185</v>
      </c>
      <c r="K259" s="90">
        <f t="shared" si="365"/>
        <v>46185</v>
      </c>
      <c r="L259" s="90">
        <v>46136</v>
      </c>
      <c r="M259" s="90">
        <f t="shared" si="366"/>
        <v>46227</v>
      </c>
      <c r="N259" s="90">
        <f t="shared" si="367"/>
        <v>46227</v>
      </c>
      <c r="O259" s="90">
        <v>46240</v>
      </c>
      <c r="P259" s="90">
        <f t="shared" si="368"/>
        <v>46269</v>
      </c>
      <c r="Q259" s="90">
        <f t="shared" si="369"/>
        <v>46269</v>
      </c>
      <c r="R259" s="90"/>
      <c r="S259" s="90">
        <f t="shared" si="375"/>
        <v>46283</v>
      </c>
      <c r="T259" s="90">
        <f t="shared" si="370"/>
        <v>46283</v>
      </c>
      <c r="U259" s="90"/>
      <c r="W259" s="174" t="str">
        <f t="shared" ca="1" si="354"/>
        <v>Completed</v>
      </c>
      <c r="X259" s="174" t="str">
        <f t="shared" ca="1" si="355"/>
        <v>Completed</v>
      </c>
      <c r="Y259" s="174" t="str">
        <f t="shared" ca="1" si="356"/>
        <v/>
      </c>
      <c r="Z259" s="175" t="str">
        <f t="shared" ca="1" si="357"/>
        <v/>
      </c>
    </row>
    <row r="260" spans="1:26" s="70" customFormat="1" ht="11.5" x14ac:dyDescent="0.25">
      <c r="A260" s="93" t="s">
        <v>67</v>
      </c>
      <c r="B260" s="93" t="s">
        <v>14</v>
      </c>
      <c r="C260" s="93" t="s">
        <v>1049</v>
      </c>
      <c r="D260" s="92" t="s">
        <v>336</v>
      </c>
      <c r="E260" s="94">
        <f t="shared" si="362"/>
        <v>0.7</v>
      </c>
      <c r="F260" s="94">
        <f t="shared" si="363"/>
        <v>0.7</v>
      </c>
      <c r="G260" s="94">
        <f t="shared" si="363"/>
        <v>0.7</v>
      </c>
      <c r="H260" s="94">
        <f t="shared" si="364"/>
        <v>0</v>
      </c>
      <c r="I260" s="130">
        <v>4.7E-2</v>
      </c>
      <c r="J260" s="90">
        <v>46185</v>
      </c>
      <c r="K260" s="90">
        <f t="shared" si="365"/>
        <v>46185</v>
      </c>
      <c r="L260" s="90">
        <v>46136</v>
      </c>
      <c r="M260" s="90">
        <f t="shared" si="366"/>
        <v>46227</v>
      </c>
      <c r="N260" s="90">
        <f t="shared" si="367"/>
        <v>46227</v>
      </c>
      <c r="O260" s="90">
        <v>46240</v>
      </c>
      <c r="P260" s="90">
        <f t="shared" si="368"/>
        <v>46269</v>
      </c>
      <c r="Q260" s="90">
        <f t="shared" si="369"/>
        <v>46269</v>
      </c>
      <c r="R260" s="90"/>
      <c r="S260" s="90">
        <f t="shared" si="375"/>
        <v>46283</v>
      </c>
      <c r="T260" s="90">
        <f t="shared" si="370"/>
        <v>46283</v>
      </c>
      <c r="U260" s="90"/>
      <c r="W260" s="174" t="str">
        <f t="shared" ca="1" si="354"/>
        <v>Completed</v>
      </c>
      <c r="X260" s="174" t="str">
        <f t="shared" ca="1" si="355"/>
        <v>Completed</v>
      </c>
      <c r="Y260" s="174" t="str">
        <f t="shared" ca="1" si="356"/>
        <v/>
      </c>
      <c r="Z260" s="175" t="str">
        <f t="shared" ca="1" si="357"/>
        <v/>
      </c>
    </row>
    <row r="261" spans="1:26" s="70" customFormat="1" ht="11.5" x14ac:dyDescent="0.25">
      <c r="A261" s="93" t="s">
        <v>67</v>
      </c>
      <c r="B261" s="93" t="s">
        <v>14</v>
      </c>
      <c r="C261" s="93" t="s">
        <v>1050</v>
      </c>
      <c r="D261" s="92" t="s">
        <v>337</v>
      </c>
      <c r="E261" s="94">
        <f t="shared" si="362"/>
        <v>0.7</v>
      </c>
      <c r="F261" s="94">
        <f t="shared" si="363"/>
        <v>0.7</v>
      </c>
      <c r="G261" s="94">
        <f t="shared" si="363"/>
        <v>0.7</v>
      </c>
      <c r="H261" s="94">
        <f t="shared" si="364"/>
        <v>0</v>
      </c>
      <c r="I261" s="130">
        <v>4.7E-2</v>
      </c>
      <c r="J261" s="90">
        <v>46185</v>
      </c>
      <c r="K261" s="90">
        <f t="shared" si="365"/>
        <v>46185</v>
      </c>
      <c r="L261" s="90">
        <v>46136</v>
      </c>
      <c r="M261" s="90">
        <f t="shared" si="366"/>
        <v>46227</v>
      </c>
      <c r="N261" s="90">
        <f t="shared" si="367"/>
        <v>46227</v>
      </c>
      <c r="O261" s="90">
        <v>46240</v>
      </c>
      <c r="P261" s="90">
        <f t="shared" si="368"/>
        <v>46269</v>
      </c>
      <c r="Q261" s="90">
        <f t="shared" si="369"/>
        <v>46269</v>
      </c>
      <c r="R261" s="90"/>
      <c r="S261" s="90">
        <f t="shared" si="375"/>
        <v>46283</v>
      </c>
      <c r="T261" s="90">
        <f t="shared" si="370"/>
        <v>46283</v>
      </c>
      <c r="U261" s="90"/>
      <c r="W261" s="174" t="str">
        <f t="shared" ca="1" si="354"/>
        <v>Completed</v>
      </c>
      <c r="X261" s="174" t="str">
        <f t="shared" ca="1" si="355"/>
        <v>Completed</v>
      </c>
      <c r="Y261" s="174" t="str">
        <f t="shared" ca="1" si="356"/>
        <v/>
      </c>
      <c r="Z261" s="175" t="str">
        <f t="shared" ca="1" si="357"/>
        <v/>
      </c>
    </row>
    <row r="262" spans="1:26" s="70" customFormat="1" ht="11.5" x14ac:dyDescent="0.25">
      <c r="A262" s="93" t="s">
        <v>67</v>
      </c>
      <c r="B262" s="93" t="s">
        <v>14</v>
      </c>
      <c r="C262" s="93" t="s">
        <v>1051</v>
      </c>
      <c r="D262" s="92" t="s">
        <v>338</v>
      </c>
      <c r="E262" s="94">
        <f t="shared" si="362"/>
        <v>0.7</v>
      </c>
      <c r="F262" s="94">
        <f t="shared" si="363"/>
        <v>0.7</v>
      </c>
      <c r="G262" s="94">
        <f t="shared" si="363"/>
        <v>0.7</v>
      </c>
      <c r="H262" s="94">
        <f t="shared" si="364"/>
        <v>0</v>
      </c>
      <c r="I262" s="130">
        <v>4.7E-2</v>
      </c>
      <c r="J262" s="90">
        <v>46185</v>
      </c>
      <c r="K262" s="90">
        <f t="shared" si="365"/>
        <v>46185</v>
      </c>
      <c r="L262" s="90">
        <v>46136</v>
      </c>
      <c r="M262" s="90">
        <f t="shared" si="366"/>
        <v>46227</v>
      </c>
      <c r="N262" s="90">
        <f t="shared" si="367"/>
        <v>46227</v>
      </c>
      <c r="O262" s="90">
        <v>46240</v>
      </c>
      <c r="P262" s="90">
        <f t="shared" si="368"/>
        <v>46269</v>
      </c>
      <c r="Q262" s="90">
        <f t="shared" si="369"/>
        <v>46269</v>
      </c>
      <c r="R262" s="90"/>
      <c r="S262" s="90">
        <f t="shared" si="375"/>
        <v>46283</v>
      </c>
      <c r="T262" s="90">
        <f t="shared" si="370"/>
        <v>46283</v>
      </c>
      <c r="U262" s="90"/>
      <c r="W262" s="174" t="str">
        <f t="shared" ca="1" si="354"/>
        <v>Completed</v>
      </c>
      <c r="X262" s="174" t="str">
        <f t="shared" ca="1" si="355"/>
        <v>Completed</v>
      </c>
      <c r="Y262" s="174" t="str">
        <f t="shared" ca="1" si="356"/>
        <v/>
      </c>
      <c r="Z262" s="175" t="str">
        <f t="shared" ca="1" si="357"/>
        <v/>
      </c>
    </row>
    <row r="263" spans="1:26" s="70" customFormat="1" ht="11.5" x14ac:dyDescent="0.25">
      <c r="A263" s="93" t="s">
        <v>67</v>
      </c>
      <c r="B263" s="93" t="s">
        <v>14</v>
      </c>
      <c r="C263" s="93" t="s">
        <v>1052</v>
      </c>
      <c r="D263" s="92" t="s">
        <v>339</v>
      </c>
      <c r="E263" s="94">
        <f t="shared" si="362"/>
        <v>0.7</v>
      </c>
      <c r="F263" s="94">
        <f t="shared" si="363"/>
        <v>0.7</v>
      </c>
      <c r="G263" s="94">
        <f t="shared" si="363"/>
        <v>0.7</v>
      </c>
      <c r="H263" s="94">
        <f t="shared" si="364"/>
        <v>0</v>
      </c>
      <c r="I263" s="130">
        <v>4.7E-2</v>
      </c>
      <c r="J263" s="90">
        <v>46185</v>
      </c>
      <c r="K263" s="90">
        <f t="shared" si="365"/>
        <v>46185</v>
      </c>
      <c r="L263" s="90">
        <v>46136</v>
      </c>
      <c r="M263" s="90">
        <f t="shared" si="366"/>
        <v>46227</v>
      </c>
      <c r="N263" s="90">
        <f t="shared" si="367"/>
        <v>46227</v>
      </c>
      <c r="O263" s="90">
        <v>46240</v>
      </c>
      <c r="P263" s="90">
        <f t="shared" si="368"/>
        <v>46269</v>
      </c>
      <c r="Q263" s="90">
        <f t="shared" si="369"/>
        <v>46269</v>
      </c>
      <c r="R263" s="90"/>
      <c r="S263" s="90">
        <f t="shared" si="375"/>
        <v>46283</v>
      </c>
      <c r="T263" s="90">
        <f t="shared" si="370"/>
        <v>46283</v>
      </c>
      <c r="U263" s="90"/>
      <c r="W263" s="174" t="str">
        <f t="shared" ca="1" si="354"/>
        <v>Completed</v>
      </c>
      <c r="X263" s="174" t="str">
        <f t="shared" ca="1" si="355"/>
        <v>Completed</v>
      </c>
      <c r="Y263" s="174" t="str">
        <f t="shared" ca="1" si="356"/>
        <v/>
      </c>
      <c r="Z263" s="175" t="str">
        <f t="shared" ca="1" si="357"/>
        <v/>
      </c>
    </row>
    <row r="264" spans="1:26" s="70" customFormat="1" ht="11.5" x14ac:dyDescent="0.25">
      <c r="A264" s="93" t="s">
        <v>67</v>
      </c>
      <c r="B264" s="93" t="s">
        <v>14</v>
      </c>
      <c r="C264" s="93" t="s">
        <v>1053</v>
      </c>
      <c r="D264" s="92" t="s">
        <v>340</v>
      </c>
      <c r="E264" s="94">
        <f t="shared" si="362"/>
        <v>0.7</v>
      </c>
      <c r="F264" s="94">
        <f t="shared" si="363"/>
        <v>0.7</v>
      </c>
      <c r="G264" s="94">
        <f t="shared" si="363"/>
        <v>0.7</v>
      </c>
      <c r="H264" s="94">
        <f t="shared" si="364"/>
        <v>0</v>
      </c>
      <c r="I264" s="130">
        <v>4.7E-2</v>
      </c>
      <c r="J264" s="90">
        <v>46185</v>
      </c>
      <c r="K264" s="90">
        <f t="shared" si="365"/>
        <v>46185</v>
      </c>
      <c r="L264" s="90">
        <v>46136</v>
      </c>
      <c r="M264" s="90">
        <f t="shared" si="366"/>
        <v>46227</v>
      </c>
      <c r="N264" s="90">
        <f t="shared" si="367"/>
        <v>46227</v>
      </c>
      <c r="O264" s="90">
        <v>46240</v>
      </c>
      <c r="P264" s="90">
        <f t="shared" si="368"/>
        <v>46269</v>
      </c>
      <c r="Q264" s="90">
        <f t="shared" si="369"/>
        <v>46269</v>
      </c>
      <c r="R264" s="90"/>
      <c r="S264" s="90">
        <f t="shared" si="375"/>
        <v>46283</v>
      </c>
      <c r="T264" s="90">
        <f t="shared" si="370"/>
        <v>46283</v>
      </c>
      <c r="U264" s="90"/>
      <c r="W264" s="174" t="str">
        <f t="shared" ca="1" si="354"/>
        <v>Completed</v>
      </c>
      <c r="X264" s="174" t="str">
        <f t="shared" ca="1" si="355"/>
        <v>Completed</v>
      </c>
      <c r="Y264" s="174" t="str">
        <f t="shared" ca="1" si="356"/>
        <v/>
      </c>
      <c r="Z264" s="175" t="str">
        <f t="shared" ca="1" si="357"/>
        <v/>
      </c>
    </row>
    <row r="265" spans="1:26" s="70" customFormat="1" ht="11.5" x14ac:dyDescent="0.25">
      <c r="A265" s="93" t="s">
        <v>67</v>
      </c>
      <c r="B265" s="93" t="s">
        <v>14</v>
      </c>
      <c r="C265" s="93" t="s">
        <v>1054</v>
      </c>
      <c r="D265" s="92" t="s">
        <v>341</v>
      </c>
      <c r="E265" s="94">
        <f t="shared" si="362"/>
        <v>0.7</v>
      </c>
      <c r="F265" s="94">
        <f t="shared" si="363"/>
        <v>0.7</v>
      </c>
      <c r="G265" s="94">
        <f t="shared" si="363"/>
        <v>0.7</v>
      </c>
      <c r="H265" s="94">
        <f t="shared" si="364"/>
        <v>0</v>
      </c>
      <c r="I265" s="130">
        <v>4.7E-2</v>
      </c>
      <c r="J265" s="90">
        <v>46185</v>
      </c>
      <c r="K265" s="90">
        <f t="shared" si="365"/>
        <v>46185</v>
      </c>
      <c r="L265" s="90">
        <v>46136</v>
      </c>
      <c r="M265" s="90">
        <f t="shared" si="366"/>
        <v>46227</v>
      </c>
      <c r="N265" s="90">
        <f t="shared" si="367"/>
        <v>46227</v>
      </c>
      <c r="O265" s="90">
        <v>46240</v>
      </c>
      <c r="P265" s="90">
        <f t="shared" si="368"/>
        <v>46269</v>
      </c>
      <c r="Q265" s="90">
        <f t="shared" si="369"/>
        <v>46269</v>
      </c>
      <c r="R265" s="90"/>
      <c r="S265" s="90">
        <f t="shared" si="375"/>
        <v>46283</v>
      </c>
      <c r="T265" s="90">
        <f t="shared" si="370"/>
        <v>46283</v>
      </c>
      <c r="U265" s="90"/>
      <c r="W265" s="174" t="str">
        <f t="shared" ca="1" si="354"/>
        <v>Completed</v>
      </c>
      <c r="X265" s="174" t="str">
        <f t="shared" ca="1" si="355"/>
        <v>Completed</v>
      </c>
      <c r="Y265" s="174" t="str">
        <f t="shared" ca="1" si="356"/>
        <v/>
      </c>
      <c r="Z265" s="175" t="str">
        <f t="shared" ca="1" si="357"/>
        <v/>
      </c>
    </row>
    <row r="266" spans="1:26" s="70" customFormat="1" ht="11.5" x14ac:dyDescent="0.25">
      <c r="A266" s="93" t="s">
        <v>67</v>
      </c>
      <c r="B266" s="93" t="s">
        <v>14</v>
      </c>
      <c r="C266" s="93" t="s">
        <v>1055</v>
      </c>
      <c r="D266" s="92" t="s">
        <v>342</v>
      </c>
      <c r="E266" s="94">
        <f t="shared" si="362"/>
        <v>0.7</v>
      </c>
      <c r="F266" s="94">
        <f t="shared" si="363"/>
        <v>0.7</v>
      </c>
      <c r="G266" s="94">
        <f t="shared" si="363"/>
        <v>0.7</v>
      </c>
      <c r="H266" s="94">
        <f t="shared" si="364"/>
        <v>0</v>
      </c>
      <c r="I266" s="130">
        <v>4.7E-2</v>
      </c>
      <c r="J266" s="90">
        <v>46185</v>
      </c>
      <c r="K266" s="90">
        <f t="shared" si="365"/>
        <v>46185</v>
      </c>
      <c r="L266" s="90">
        <v>46136</v>
      </c>
      <c r="M266" s="90">
        <f t="shared" si="366"/>
        <v>46227</v>
      </c>
      <c r="N266" s="90">
        <f t="shared" si="367"/>
        <v>46227</v>
      </c>
      <c r="O266" s="90">
        <v>46240</v>
      </c>
      <c r="P266" s="90">
        <f t="shared" si="368"/>
        <v>46269</v>
      </c>
      <c r="Q266" s="90">
        <f t="shared" si="369"/>
        <v>46269</v>
      </c>
      <c r="R266" s="90"/>
      <c r="S266" s="90">
        <f t="shared" si="375"/>
        <v>46283</v>
      </c>
      <c r="T266" s="90">
        <f t="shared" si="370"/>
        <v>46283</v>
      </c>
      <c r="U266" s="90"/>
      <c r="W266" s="174" t="str">
        <f t="shared" ca="1" si="354"/>
        <v>Completed</v>
      </c>
      <c r="X266" s="174" t="str">
        <f t="shared" ca="1" si="355"/>
        <v>Completed</v>
      </c>
      <c r="Y266" s="174" t="str">
        <f t="shared" ca="1" si="356"/>
        <v/>
      </c>
      <c r="Z266" s="175" t="str">
        <f t="shared" ca="1" si="357"/>
        <v/>
      </c>
    </row>
    <row r="267" spans="1:26" s="70" customFormat="1" ht="11.5" x14ac:dyDescent="0.25">
      <c r="A267" s="163" t="s">
        <v>67</v>
      </c>
      <c r="B267" s="163" t="s">
        <v>14</v>
      </c>
      <c r="C267" s="163" t="s">
        <v>343</v>
      </c>
      <c r="D267" s="163" t="s">
        <v>344</v>
      </c>
      <c r="E267" s="164"/>
      <c r="F267" s="164"/>
      <c r="G267" s="164"/>
      <c r="H267" s="164"/>
      <c r="I267" s="165">
        <v>4.7E-2</v>
      </c>
      <c r="J267" s="159">
        <v>46192</v>
      </c>
      <c r="K267" s="159">
        <f t="shared" si="365"/>
        <v>46192</v>
      </c>
      <c r="L267" s="160">
        <v>46199</v>
      </c>
      <c r="M267" s="159">
        <f t="shared" si="366"/>
        <v>46234</v>
      </c>
      <c r="N267" s="159">
        <f t="shared" si="367"/>
        <v>46234</v>
      </c>
      <c r="O267" s="160">
        <v>46234</v>
      </c>
      <c r="P267" s="159">
        <f t="shared" si="368"/>
        <v>46276</v>
      </c>
      <c r="Q267" s="159">
        <f t="shared" si="369"/>
        <v>46276</v>
      </c>
      <c r="R267" s="160">
        <v>46276</v>
      </c>
      <c r="S267" s="159">
        <f t="shared" si="375"/>
        <v>46290</v>
      </c>
      <c r="T267" s="159">
        <f t="shared" si="370"/>
        <v>46290</v>
      </c>
      <c r="U267" s="160">
        <v>46290</v>
      </c>
      <c r="W267" s="174" t="str">
        <f t="shared" ca="1" si="354"/>
        <v>Completed</v>
      </c>
      <c r="X267" s="174" t="str">
        <f t="shared" ca="1" si="355"/>
        <v>Completed</v>
      </c>
      <c r="Y267" s="174" t="str">
        <f t="shared" ca="1" si="356"/>
        <v>Completed</v>
      </c>
      <c r="Z267" s="175" t="str">
        <f t="shared" ca="1" si="357"/>
        <v>Completed</v>
      </c>
    </row>
    <row r="268" spans="1:26" s="70" customFormat="1" ht="11.5" x14ac:dyDescent="0.25">
      <c r="A268" s="163" t="s">
        <v>67</v>
      </c>
      <c r="B268" s="163" t="s">
        <v>14</v>
      </c>
      <c r="C268" s="163" t="s">
        <v>345</v>
      </c>
      <c r="D268" s="163" t="s">
        <v>346</v>
      </c>
      <c r="E268" s="164"/>
      <c r="F268" s="164"/>
      <c r="G268" s="164"/>
      <c r="H268" s="164"/>
      <c r="I268" s="165">
        <v>4.7E-2</v>
      </c>
      <c r="J268" s="159">
        <v>46192</v>
      </c>
      <c r="K268" s="159">
        <f t="shared" si="365"/>
        <v>46192</v>
      </c>
      <c r="L268" s="160">
        <v>46199</v>
      </c>
      <c r="M268" s="159">
        <f t="shared" si="366"/>
        <v>46234</v>
      </c>
      <c r="N268" s="159">
        <f t="shared" si="367"/>
        <v>46234</v>
      </c>
      <c r="O268" s="160">
        <v>46234</v>
      </c>
      <c r="P268" s="159">
        <f t="shared" si="368"/>
        <v>46276</v>
      </c>
      <c r="Q268" s="159">
        <f t="shared" si="369"/>
        <v>46276</v>
      </c>
      <c r="R268" s="160">
        <v>46276</v>
      </c>
      <c r="S268" s="159">
        <f t="shared" si="375"/>
        <v>46290</v>
      </c>
      <c r="T268" s="159">
        <f t="shared" si="370"/>
        <v>46290</v>
      </c>
      <c r="U268" s="160">
        <v>46290</v>
      </c>
      <c r="W268" s="174" t="str">
        <f t="shared" ca="1" si="354"/>
        <v>Completed</v>
      </c>
      <c r="X268" s="174" t="str">
        <f t="shared" ca="1" si="355"/>
        <v>Completed</v>
      </c>
      <c r="Y268" s="174" t="str">
        <f t="shared" ca="1" si="356"/>
        <v>Completed</v>
      </c>
      <c r="Z268" s="175" t="str">
        <f t="shared" ca="1" si="357"/>
        <v>Completed</v>
      </c>
    </row>
    <row r="269" spans="1:26" s="70" customFormat="1" ht="11.5" x14ac:dyDescent="0.25">
      <c r="A269" s="92" t="s">
        <v>67</v>
      </c>
      <c r="B269" s="92" t="s">
        <v>14</v>
      </c>
      <c r="C269" s="92" t="s">
        <v>1012</v>
      </c>
      <c r="D269" s="92" t="s">
        <v>1013</v>
      </c>
      <c r="E269" s="94">
        <f t="shared" ref="E269:E273" si="376">(COUNTIFS(J269,"&lt;="&amp;$C$1)*50%)+(COUNTIFS(M269,"&lt;="&amp;$C$1)*20%)+(COUNTIFS(P269,"&lt;="&amp;$C$1)*10%)+(COUNTIFS(S269,"&lt;="&amp;$C$1)*20%)</f>
        <v>0</v>
      </c>
      <c r="F269" s="94">
        <f t="shared" ref="F269:F273" si="377">(COUNTIFS(K269,"&lt;="&amp;$C$1)*50%)+(COUNTIFS(N269,"&lt;="&amp;$C$1)*20%)+(COUNTIFS(Q269,"&lt;="&amp;$C$1)*10%)+(COUNTIFS(T269,"&lt;="&amp;$C$1)*20%)</f>
        <v>0</v>
      </c>
      <c r="G269" s="94">
        <f t="shared" ref="G269:G273" si="378">(COUNTIFS(L269,"&lt;="&amp;$C$1)*50%)+(COUNTIFS(O269,"&lt;="&amp;$C$1)*20%)+(COUNTIFS(R269,"&lt;="&amp;$C$1)*10%)+(COUNTIFS(U269,"&lt;="&amp;$C$1)*20%)</f>
        <v>0</v>
      </c>
      <c r="H269" s="94">
        <f t="shared" ref="H269:H273" si="379">G269-E269</f>
        <v>0</v>
      </c>
      <c r="I269" s="130"/>
      <c r="J269" s="90">
        <v>46304</v>
      </c>
      <c r="K269" s="90">
        <f t="shared" ref="K269" si="380">J269</f>
        <v>46304</v>
      </c>
      <c r="L269" s="162"/>
      <c r="M269" s="90">
        <f t="shared" ref="M269:M270" si="381">J269+42</f>
        <v>46346</v>
      </c>
      <c r="N269" s="90">
        <f t="shared" ref="N269:N270" si="382">M269</f>
        <v>46346</v>
      </c>
      <c r="O269" s="90"/>
      <c r="P269" s="90">
        <f t="shared" ref="P269:P270" si="383">M269+42</f>
        <v>46388</v>
      </c>
      <c r="Q269" s="90">
        <f t="shared" ref="Q269:Q270" si="384">P269</f>
        <v>46388</v>
      </c>
      <c r="R269" s="90"/>
      <c r="S269" s="90">
        <f t="shared" ref="S269:S270" si="385">P269+14</f>
        <v>46402</v>
      </c>
      <c r="T269" s="90">
        <f t="shared" ref="T269:T270" si="386">S269</f>
        <v>46402</v>
      </c>
      <c r="U269" s="90"/>
      <c r="W269" s="174" t="str">
        <f t="shared" ca="1" si="354"/>
        <v/>
      </c>
      <c r="X269" s="174" t="str">
        <f t="shared" ca="1" si="355"/>
        <v/>
      </c>
      <c r="Y269" s="174" t="str">
        <f t="shared" ca="1" si="356"/>
        <v/>
      </c>
      <c r="Z269" s="175" t="str">
        <f t="shared" ca="1" si="357"/>
        <v/>
      </c>
    </row>
    <row r="270" spans="1:26" s="70" customFormat="1" ht="11.5" x14ac:dyDescent="0.25">
      <c r="A270" s="92" t="s">
        <v>67</v>
      </c>
      <c r="B270" s="92" t="s">
        <v>14</v>
      </c>
      <c r="C270" s="92" t="s">
        <v>1012</v>
      </c>
      <c r="D270" s="92" t="s">
        <v>1014</v>
      </c>
      <c r="E270" s="94">
        <f t="shared" si="376"/>
        <v>0</v>
      </c>
      <c r="F270" s="94">
        <f t="shared" si="377"/>
        <v>0</v>
      </c>
      <c r="G270" s="94">
        <f t="shared" si="378"/>
        <v>0</v>
      </c>
      <c r="H270" s="94">
        <f t="shared" si="379"/>
        <v>0</v>
      </c>
      <c r="I270" s="130"/>
      <c r="J270" s="90">
        <v>46304</v>
      </c>
      <c r="K270" s="90">
        <f t="shared" ref="K270" si="387">J270</f>
        <v>46304</v>
      </c>
      <c r="L270" s="162"/>
      <c r="M270" s="90">
        <f t="shared" si="381"/>
        <v>46346</v>
      </c>
      <c r="N270" s="90">
        <f t="shared" si="382"/>
        <v>46346</v>
      </c>
      <c r="O270" s="90"/>
      <c r="P270" s="90">
        <f t="shared" si="383"/>
        <v>46388</v>
      </c>
      <c r="Q270" s="90">
        <f t="shared" si="384"/>
        <v>46388</v>
      </c>
      <c r="R270" s="90"/>
      <c r="S270" s="90">
        <f t="shared" si="385"/>
        <v>46402</v>
      </c>
      <c r="T270" s="90">
        <f t="shared" si="386"/>
        <v>46402</v>
      </c>
      <c r="U270" s="90"/>
      <c r="W270" s="174" t="str">
        <f t="shared" ca="1" si="354"/>
        <v/>
      </c>
      <c r="X270" s="174" t="str">
        <f t="shared" ca="1" si="355"/>
        <v/>
      </c>
      <c r="Y270" s="174" t="str">
        <f t="shared" ca="1" si="356"/>
        <v/>
      </c>
      <c r="Z270" s="175" t="str">
        <f t="shared" ca="1" si="357"/>
        <v/>
      </c>
    </row>
    <row r="271" spans="1:26" s="70" customFormat="1" ht="11.5" x14ac:dyDescent="0.25">
      <c r="A271" s="93" t="s">
        <v>67</v>
      </c>
      <c r="B271" s="93" t="s">
        <v>14</v>
      </c>
      <c r="C271" s="92" t="s">
        <v>936</v>
      </c>
      <c r="D271" s="92" t="s">
        <v>941</v>
      </c>
      <c r="E271" s="94">
        <f t="shared" si="376"/>
        <v>0.7</v>
      </c>
      <c r="F271" s="94">
        <f t="shared" si="377"/>
        <v>0.7</v>
      </c>
      <c r="G271" s="94">
        <f t="shared" si="378"/>
        <v>0.5</v>
      </c>
      <c r="H271" s="94">
        <f t="shared" si="379"/>
        <v>-0.19999999999999996</v>
      </c>
      <c r="I271" s="130"/>
      <c r="J271" s="90">
        <v>46199</v>
      </c>
      <c r="K271" s="90">
        <f t="shared" si="365"/>
        <v>46199</v>
      </c>
      <c r="L271" s="90">
        <v>46190</v>
      </c>
      <c r="M271" s="90">
        <f t="shared" ref="M271:M281" si="388">J271+42</f>
        <v>46241</v>
      </c>
      <c r="N271" s="90">
        <f t="shared" ref="N271:N281" si="389">M271</f>
        <v>46241</v>
      </c>
      <c r="O271" s="90"/>
      <c r="P271" s="90">
        <f t="shared" ref="P271:P281" si="390">M271+42</f>
        <v>46283</v>
      </c>
      <c r="Q271" s="90">
        <f t="shared" ref="Q271:Q281" si="391">P271</f>
        <v>46283</v>
      </c>
      <c r="R271" s="90"/>
      <c r="S271" s="90">
        <f t="shared" ref="S271:S281" si="392">P271+14</f>
        <v>46297</v>
      </c>
      <c r="T271" s="90">
        <f t="shared" ref="T271:T281" si="393">S271</f>
        <v>46297</v>
      </c>
      <c r="U271" s="90"/>
      <c r="W271" s="174" t="str">
        <f t="shared" ca="1" si="354"/>
        <v>Completed</v>
      </c>
      <c r="X271" s="174" t="str">
        <f t="shared" ca="1" si="355"/>
        <v>Overdue</v>
      </c>
      <c r="Y271" s="174" t="str">
        <f t="shared" ca="1" si="356"/>
        <v/>
      </c>
      <c r="Z271" s="175" t="str">
        <f t="shared" ca="1" si="357"/>
        <v/>
      </c>
    </row>
    <row r="272" spans="1:26" s="70" customFormat="1" ht="11.5" x14ac:dyDescent="0.25">
      <c r="A272" s="92" t="s">
        <v>67</v>
      </c>
      <c r="B272" s="92" t="s">
        <v>14</v>
      </c>
      <c r="C272" s="92" t="s">
        <v>937</v>
      </c>
      <c r="D272" s="92" t="s">
        <v>948</v>
      </c>
      <c r="E272" s="94">
        <f t="shared" si="376"/>
        <v>0</v>
      </c>
      <c r="F272" s="94">
        <f t="shared" si="377"/>
        <v>0</v>
      </c>
      <c r="G272" s="94">
        <f t="shared" si="378"/>
        <v>0</v>
      </c>
      <c r="H272" s="94">
        <f t="shared" si="379"/>
        <v>0</v>
      </c>
      <c r="I272" s="130"/>
      <c r="J272" s="90">
        <v>46265</v>
      </c>
      <c r="K272" s="90">
        <f t="shared" si="365"/>
        <v>46265</v>
      </c>
      <c r="L272" s="90"/>
      <c r="M272" s="90">
        <f t="shared" si="388"/>
        <v>46307</v>
      </c>
      <c r="N272" s="90">
        <f t="shared" si="389"/>
        <v>46307</v>
      </c>
      <c r="O272" s="90"/>
      <c r="P272" s="90">
        <f t="shared" si="390"/>
        <v>46349</v>
      </c>
      <c r="Q272" s="90">
        <f t="shared" si="391"/>
        <v>46349</v>
      </c>
      <c r="R272" s="90"/>
      <c r="S272" s="90">
        <f t="shared" si="392"/>
        <v>46363</v>
      </c>
      <c r="T272" s="90">
        <f t="shared" si="393"/>
        <v>46363</v>
      </c>
      <c r="U272" s="90"/>
      <c r="W272" s="174" t="str">
        <f t="shared" ca="1" si="354"/>
        <v/>
      </c>
      <c r="X272" s="174" t="str">
        <f t="shared" ca="1" si="355"/>
        <v/>
      </c>
      <c r="Y272" s="174" t="str">
        <f t="shared" ca="1" si="356"/>
        <v/>
      </c>
      <c r="Z272" s="175" t="str">
        <f t="shared" ca="1" si="357"/>
        <v/>
      </c>
    </row>
    <row r="273" spans="1:26" s="70" customFormat="1" ht="11.5" x14ac:dyDescent="0.25">
      <c r="A273" s="92" t="s">
        <v>67</v>
      </c>
      <c r="B273" s="92" t="s">
        <v>14</v>
      </c>
      <c r="C273" s="92" t="s">
        <v>938</v>
      </c>
      <c r="D273" s="92" t="s">
        <v>949</v>
      </c>
      <c r="E273" s="94">
        <f t="shared" si="376"/>
        <v>0</v>
      </c>
      <c r="F273" s="94">
        <f t="shared" si="377"/>
        <v>0</v>
      </c>
      <c r="G273" s="94">
        <f t="shared" si="378"/>
        <v>0</v>
      </c>
      <c r="H273" s="94">
        <f t="shared" si="379"/>
        <v>0</v>
      </c>
      <c r="I273" s="130"/>
      <c r="J273" s="90">
        <v>46265</v>
      </c>
      <c r="K273" s="90">
        <f t="shared" si="365"/>
        <v>46265</v>
      </c>
      <c r="L273" s="90"/>
      <c r="M273" s="90">
        <f t="shared" si="388"/>
        <v>46307</v>
      </c>
      <c r="N273" s="90">
        <f t="shared" si="389"/>
        <v>46307</v>
      </c>
      <c r="O273" s="90"/>
      <c r="P273" s="90">
        <f t="shared" si="390"/>
        <v>46349</v>
      </c>
      <c r="Q273" s="90">
        <f t="shared" si="391"/>
        <v>46349</v>
      </c>
      <c r="R273" s="90"/>
      <c r="S273" s="90">
        <f t="shared" si="392"/>
        <v>46363</v>
      </c>
      <c r="T273" s="90">
        <f t="shared" si="393"/>
        <v>46363</v>
      </c>
      <c r="U273" s="90"/>
      <c r="W273" s="174" t="str">
        <f t="shared" ca="1" si="354"/>
        <v/>
      </c>
      <c r="X273" s="174" t="str">
        <f t="shared" ca="1" si="355"/>
        <v/>
      </c>
      <c r="Y273" s="174" t="str">
        <f t="shared" ca="1" si="356"/>
        <v/>
      </c>
      <c r="Z273" s="175" t="str">
        <f t="shared" ca="1" si="357"/>
        <v/>
      </c>
    </row>
    <row r="274" spans="1:26" s="70" customFormat="1" ht="11.5" x14ac:dyDescent="0.25">
      <c r="A274" s="93" t="s">
        <v>67</v>
      </c>
      <c r="B274" s="93" t="s">
        <v>14</v>
      </c>
      <c r="C274" s="92" t="s">
        <v>939</v>
      </c>
      <c r="D274" s="92" t="s">
        <v>950</v>
      </c>
      <c r="E274" s="94">
        <f t="shared" ref="E274:E281" si="394">(COUNTIFS(J274,"&lt;="&amp;$C$1)*50%)+(COUNTIFS(M274,"&lt;="&amp;$C$1)*20%)+(COUNTIFS(P274,"&lt;="&amp;$C$1)*10%)+(COUNTIFS(S274,"&lt;="&amp;$C$1)*20%)</f>
        <v>0</v>
      </c>
      <c r="F274" s="94">
        <f t="shared" ref="F274:F281" si="395">(COUNTIFS(K274,"&lt;="&amp;$C$1)*50%)+(COUNTIFS(N274,"&lt;="&amp;$C$1)*20%)+(COUNTIFS(Q274,"&lt;="&amp;$C$1)*10%)+(COUNTIFS(T274,"&lt;="&amp;$C$1)*20%)</f>
        <v>0</v>
      </c>
      <c r="G274" s="94">
        <f t="shared" ref="G274:G281" si="396">(COUNTIFS(L274,"&lt;="&amp;$C$1)*50%)+(COUNTIFS(O274,"&lt;="&amp;$C$1)*20%)+(COUNTIFS(R274,"&lt;="&amp;$C$1)*10%)+(COUNTIFS(U274,"&lt;="&amp;$C$1)*20%)</f>
        <v>0</v>
      </c>
      <c r="H274" s="94">
        <f t="shared" ref="H274:H281" si="397">G274-E274</f>
        <v>0</v>
      </c>
      <c r="I274" s="130"/>
      <c r="J274" s="90">
        <v>46265</v>
      </c>
      <c r="K274" s="90">
        <f t="shared" si="365"/>
        <v>46265</v>
      </c>
      <c r="L274" s="90"/>
      <c r="M274" s="90">
        <f t="shared" si="388"/>
        <v>46307</v>
      </c>
      <c r="N274" s="90">
        <f t="shared" si="389"/>
        <v>46307</v>
      </c>
      <c r="O274" s="90"/>
      <c r="P274" s="90">
        <f t="shared" si="390"/>
        <v>46349</v>
      </c>
      <c r="Q274" s="90">
        <f t="shared" si="391"/>
        <v>46349</v>
      </c>
      <c r="R274" s="90"/>
      <c r="S274" s="90">
        <f t="shared" si="392"/>
        <v>46363</v>
      </c>
      <c r="T274" s="90">
        <f t="shared" si="393"/>
        <v>46363</v>
      </c>
      <c r="U274" s="90"/>
      <c r="W274" s="174" t="str">
        <f t="shared" ca="1" si="354"/>
        <v/>
      </c>
      <c r="X274" s="174" t="str">
        <f t="shared" ca="1" si="355"/>
        <v/>
      </c>
      <c r="Y274" s="174" t="str">
        <f t="shared" ca="1" si="356"/>
        <v/>
      </c>
      <c r="Z274" s="175" t="str">
        <f t="shared" ca="1" si="357"/>
        <v/>
      </c>
    </row>
    <row r="275" spans="1:26" s="70" customFormat="1" ht="11.5" x14ac:dyDescent="0.25">
      <c r="A275" s="92" t="s">
        <v>67</v>
      </c>
      <c r="B275" s="92" t="s">
        <v>14</v>
      </c>
      <c r="C275" s="92" t="s">
        <v>940</v>
      </c>
      <c r="D275" s="92" t="s">
        <v>951</v>
      </c>
      <c r="E275" s="94">
        <f t="shared" si="394"/>
        <v>0</v>
      </c>
      <c r="F275" s="94">
        <f t="shared" si="395"/>
        <v>0</v>
      </c>
      <c r="G275" s="94">
        <f t="shared" si="396"/>
        <v>0</v>
      </c>
      <c r="H275" s="94">
        <f t="shared" si="397"/>
        <v>0</v>
      </c>
      <c r="I275" s="130"/>
      <c r="J275" s="90">
        <v>46265</v>
      </c>
      <c r="K275" s="90">
        <f t="shared" si="365"/>
        <v>46265</v>
      </c>
      <c r="L275" s="90"/>
      <c r="M275" s="90">
        <f t="shared" si="388"/>
        <v>46307</v>
      </c>
      <c r="N275" s="90">
        <f t="shared" si="389"/>
        <v>46307</v>
      </c>
      <c r="O275" s="90"/>
      <c r="P275" s="90">
        <f t="shared" si="390"/>
        <v>46349</v>
      </c>
      <c r="Q275" s="90">
        <f t="shared" si="391"/>
        <v>46349</v>
      </c>
      <c r="R275" s="90"/>
      <c r="S275" s="90">
        <f t="shared" si="392"/>
        <v>46363</v>
      </c>
      <c r="T275" s="90">
        <f t="shared" si="393"/>
        <v>46363</v>
      </c>
      <c r="U275" s="90"/>
      <c r="W275" s="174" t="str">
        <f t="shared" ref="W275:W338" ca="1" si="398">IF(OR(L275&lt;&gt;""),"Completed",
IF(K275="","",IF(K275&lt;TODAY(),"Overdue",
IF(AND(K275&gt;=TODAY()-WEEKDAY(TODAY(),2)+1,K275&lt;=TODAY()-WEEKDAY(TODAY(),2)+7),"Follow-This Week",
IF(AND(K275&gt;=TODAY()-WEEKDAY(TODAY(),2)+8,K275&lt;=TODAY()-WEEKDAY(TODAY(),2)+14),"Follow-Next Week","")))))</f>
        <v/>
      </c>
      <c r="X275" s="174" t="str">
        <f t="shared" ref="X275:X338" ca="1" si="399">IF(OR(O275&lt;&gt;""),"Completed",IF(N275="","",
IF(N275&lt;TODAY(),"Overdue",
IF(AND(N275&gt;=TODAY()-WEEKDAY(TODAY(),2)+1,N275&lt;=TODAY()-WEEKDAY(TODAY(),2)+7),"Follow-This Week",
IF(AND(N275&gt;=TODAY()-WEEKDAY(TODAY(),2)+8,N275&lt;=TODAY()-WEEKDAY(TODAY(),2)+14),"Follow-Next Week","")))))</f>
        <v/>
      </c>
      <c r="Y275" s="174" t="str">
        <f t="shared" ref="Y275:Y338" ca="1" si="400">IF(OR(R275&lt;&gt;""),"Completed",IF(Q275="","",
IF(Q275&lt;TODAY(),"Overdue",
IF(AND(Q275&gt;=TODAY()-WEEKDAY(TODAY(),2)+1,Q275&lt;=TODAY()-WEEKDAY(TODAY(),2)+7),"Follow-This Week",
IF(AND(Q275&gt;=TODAY()-WEEKDAY(TODAY(),2)+8,Q275&lt;=TODAY()-WEEKDAY(TODAY(),2)+14),"Follow-Next Week","")))))</f>
        <v/>
      </c>
      <c r="Z275" s="175" t="str">
        <f t="shared" ref="Z275:Z338" ca="1" si="401">IF(OR(U275&lt;&gt;""),"Completed",IF(T275="","",
IF(T275&lt;TODAY(),"Overdue",
IF(AND(T275&gt;=TODAY()-WEEKDAY(TODAY(),2)+1,T275&lt;=TODAY()-WEEKDAY(TODAY(),2)+7),"Follow-This Week",
IF(AND(T275&gt;=TODAY()-WEEKDAY(TODAY(),2)+8,T275&lt;=TODAY()-WEEKDAY(TODAY(),2)+14),"Follow-Next Week","")))))</f>
        <v/>
      </c>
    </row>
    <row r="276" spans="1:26" s="70" customFormat="1" ht="11.5" x14ac:dyDescent="0.25">
      <c r="A276" s="92" t="s">
        <v>67</v>
      </c>
      <c r="B276" s="92" t="s">
        <v>14</v>
      </c>
      <c r="C276" s="92" t="s">
        <v>942</v>
      </c>
      <c r="D276" s="92" t="s">
        <v>952</v>
      </c>
      <c r="E276" s="94">
        <f t="shared" si="394"/>
        <v>0</v>
      </c>
      <c r="F276" s="94">
        <f t="shared" si="395"/>
        <v>0</v>
      </c>
      <c r="G276" s="94">
        <f t="shared" si="396"/>
        <v>0</v>
      </c>
      <c r="H276" s="94">
        <f t="shared" si="397"/>
        <v>0</v>
      </c>
      <c r="I276" s="130"/>
      <c r="J276" s="90">
        <v>46265</v>
      </c>
      <c r="K276" s="90">
        <f t="shared" si="365"/>
        <v>46265</v>
      </c>
      <c r="L276" s="90"/>
      <c r="M276" s="90">
        <f t="shared" si="388"/>
        <v>46307</v>
      </c>
      <c r="N276" s="90">
        <f t="shared" si="389"/>
        <v>46307</v>
      </c>
      <c r="O276" s="90"/>
      <c r="P276" s="90">
        <f t="shared" si="390"/>
        <v>46349</v>
      </c>
      <c r="Q276" s="90">
        <f t="shared" si="391"/>
        <v>46349</v>
      </c>
      <c r="R276" s="90"/>
      <c r="S276" s="90">
        <f t="shared" si="392"/>
        <v>46363</v>
      </c>
      <c r="T276" s="90">
        <f t="shared" si="393"/>
        <v>46363</v>
      </c>
      <c r="U276" s="90"/>
      <c r="W276" s="174" t="str">
        <f t="shared" ca="1" si="398"/>
        <v/>
      </c>
      <c r="X276" s="174" t="str">
        <f t="shared" ca="1" si="399"/>
        <v/>
      </c>
      <c r="Y276" s="174" t="str">
        <f t="shared" ca="1" si="400"/>
        <v/>
      </c>
      <c r="Z276" s="175" t="str">
        <f t="shared" ca="1" si="401"/>
        <v/>
      </c>
    </row>
    <row r="277" spans="1:26" s="70" customFormat="1" ht="11.5" x14ac:dyDescent="0.25">
      <c r="A277" s="93" t="s">
        <v>67</v>
      </c>
      <c r="B277" s="93" t="s">
        <v>14</v>
      </c>
      <c r="C277" s="92" t="s">
        <v>943</v>
      </c>
      <c r="D277" s="92" t="s">
        <v>953</v>
      </c>
      <c r="E277" s="94">
        <f t="shared" si="394"/>
        <v>0</v>
      </c>
      <c r="F277" s="94">
        <f t="shared" si="395"/>
        <v>0</v>
      </c>
      <c r="G277" s="94">
        <f t="shared" si="396"/>
        <v>0</v>
      </c>
      <c r="H277" s="94">
        <f t="shared" si="397"/>
        <v>0</v>
      </c>
      <c r="I277" s="130"/>
      <c r="J277" s="90">
        <v>46265</v>
      </c>
      <c r="K277" s="90">
        <f t="shared" si="365"/>
        <v>46265</v>
      </c>
      <c r="L277" s="90"/>
      <c r="M277" s="90">
        <f t="shared" si="388"/>
        <v>46307</v>
      </c>
      <c r="N277" s="90">
        <f t="shared" si="389"/>
        <v>46307</v>
      </c>
      <c r="O277" s="90"/>
      <c r="P277" s="90">
        <f t="shared" si="390"/>
        <v>46349</v>
      </c>
      <c r="Q277" s="90">
        <f t="shared" si="391"/>
        <v>46349</v>
      </c>
      <c r="R277" s="90"/>
      <c r="S277" s="90">
        <f t="shared" si="392"/>
        <v>46363</v>
      </c>
      <c r="T277" s="90">
        <f t="shared" si="393"/>
        <v>46363</v>
      </c>
      <c r="U277" s="90"/>
      <c r="W277" s="174" t="str">
        <f t="shared" ca="1" si="398"/>
        <v/>
      </c>
      <c r="X277" s="174" t="str">
        <f t="shared" ca="1" si="399"/>
        <v/>
      </c>
      <c r="Y277" s="174" t="str">
        <f t="shared" ca="1" si="400"/>
        <v/>
      </c>
      <c r="Z277" s="175" t="str">
        <f t="shared" ca="1" si="401"/>
        <v/>
      </c>
    </row>
    <row r="278" spans="1:26" s="70" customFormat="1" ht="11.5" x14ac:dyDescent="0.25">
      <c r="A278" s="92" t="s">
        <v>67</v>
      </c>
      <c r="B278" s="92" t="s">
        <v>14</v>
      </c>
      <c r="C278" s="92" t="s">
        <v>944</v>
      </c>
      <c r="D278" s="92" t="s">
        <v>954</v>
      </c>
      <c r="E278" s="94">
        <f t="shared" si="394"/>
        <v>0</v>
      </c>
      <c r="F278" s="94">
        <f t="shared" si="395"/>
        <v>0</v>
      </c>
      <c r="G278" s="94">
        <f t="shared" si="396"/>
        <v>0</v>
      </c>
      <c r="H278" s="94">
        <f t="shared" si="397"/>
        <v>0</v>
      </c>
      <c r="I278" s="130"/>
      <c r="J278" s="90">
        <v>46265</v>
      </c>
      <c r="K278" s="90">
        <f t="shared" si="365"/>
        <v>46265</v>
      </c>
      <c r="L278" s="90"/>
      <c r="M278" s="90">
        <f t="shared" si="388"/>
        <v>46307</v>
      </c>
      <c r="N278" s="90">
        <f t="shared" si="389"/>
        <v>46307</v>
      </c>
      <c r="O278" s="90"/>
      <c r="P278" s="90">
        <f t="shared" si="390"/>
        <v>46349</v>
      </c>
      <c r="Q278" s="90">
        <f t="shared" si="391"/>
        <v>46349</v>
      </c>
      <c r="R278" s="90"/>
      <c r="S278" s="90">
        <f t="shared" si="392"/>
        <v>46363</v>
      </c>
      <c r="T278" s="90">
        <f t="shared" si="393"/>
        <v>46363</v>
      </c>
      <c r="U278" s="90"/>
      <c r="W278" s="174" t="str">
        <f t="shared" ca="1" si="398"/>
        <v/>
      </c>
      <c r="X278" s="174" t="str">
        <f t="shared" ca="1" si="399"/>
        <v/>
      </c>
      <c r="Y278" s="174" t="str">
        <f t="shared" ca="1" si="400"/>
        <v/>
      </c>
      <c r="Z278" s="175" t="str">
        <f t="shared" ca="1" si="401"/>
        <v/>
      </c>
    </row>
    <row r="279" spans="1:26" s="70" customFormat="1" ht="11.5" x14ac:dyDescent="0.25">
      <c r="A279" s="92" t="s">
        <v>67</v>
      </c>
      <c r="B279" s="92" t="s">
        <v>14</v>
      </c>
      <c r="C279" s="92" t="s">
        <v>945</v>
      </c>
      <c r="D279" s="92" t="s">
        <v>955</v>
      </c>
      <c r="E279" s="94">
        <f t="shared" si="394"/>
        <v>0</v>
      </c>
      <c r="F279" s="94">
        <f t="shared" si="395"/>
        <v>0</v>
      </c>
      <c r="G279" s="94">
        <f t="shared" si="396"/>
        <v>0</v>
      </c>
      <c r="H279" s="94">
        <f t="shared" si="397"/>
        <v>0</v>
      </c>
      <c r="I279" s="130"/>
      <c r="J279" s="90">
        <v>46265</v>
      </c>
      <c r="K279" s="90">
        <f t="shared" si="365"/>
        <v>46265</v>
      </c>
      <c r="L279" s="90"/>
      <c r="M279" s="90">
        <f t="shared" si="388"/>
        <v>46307</v>
      </c>
      <c r="N279" s="90">
        <f t="shared" si="389"/>
        <v>46307</v>
      </c>
      <c r="O279" s="90"/>
      <c r="P279" s="90">
        <f t="shared" si="390"/>
        <v>46349</v>
      </c>
      <c r="Q279" s="90">
        <f t="shared" si="391"/>
        <v>46349</v>
      </c>
      <c r="R279" s="90"/>
      <c r="S279" s="90">
        <f t="shared" si="392"/>
        <v>46363</v>
      </c>
      <c r="T279" s="90">
        <f t="shared" si="393"/>
        <v>46363</v>
      </c>
      <c r="U279" s="90"/>
      <c r="W279" s="174" t="str">
        <f t="shared" ca="1" si="398"/>
        <v/>
      </c>
      <c r="X279" s="174" t="str">
        <f t="shared" ca="1" si="399"/>
        <v/>
      </c>
      <c r="Y279" s="174" t="str">
        <f t="shared" ca="1" si="400"/>
        <v/>
      </c>
      <c r="Z279" s="175" t="str">
        <f t="shared" ca="1" si="401"/>
        <v/>
      </c>
    </row>
    <row r="280" spans="1:26" s="70" customFormat="1" ht="11.5" x14ac:dyDescent="0.25">
      <c r="A280" s="93" t="s">
        <v>67</v>
      </c>
      <c r="B280" s="93" t="s">
        <v>14</v>
      </c>
      <c r="C280" s="92" t="s">
        <v>946</v>
      </c>
      <c r="D280" s="92" t="s">
        <v>956</v>
      </c>
      <c r="E280" s="94">
        <f t="shared" si="394"/>
        <v>0</v>
      </c>
      <c r="F280" s="94">
        <f t="shared" si="395"/>
        <v>0</v>
      </c>
      <c r="G280" s="94">
        <f t="shared" si="396"/>
        <v>0</v>
      </c>
      <c r="H280" s="94">
        <f t="shared" si="397"/>
        <v>0</v>
      </c>
      <c r="I280" s="130"/>
      <c r="J280" s="90">
        <v>46265</v>
      </c>
      <c r="K280" s="90">
        <f t="shared" si="365"/>
        <v>46265</v>
      </c>
      <c r="L280" s="90"/>
      <c r="M280" s="90">
        <f t="shared" si="388"/>
        <v>46307</v>
      </c>
      <c r="N280" s="90">
        <f t="shared" si="389"/>
        <v>46307</v>
      </c>
      <c r="O280" s="90"/>
      <c r="P280" s="90">
        <f t="shared" si="390"/>
        <v>46349</v>
      </c>
      <c r="Q280" s="90">
        <f t="shared" si="391"/>
        <v>46349</v>
      </c>
      <c r="R280" s="90"/>
      <c r="S280" s="90">
        <f t="shared" si="392"/>
        <v>46363</v>
      </c>
      <c r="T280" s="90">
        <f t="shared" si="393"/>
        <v>46363</v>
      </c>
      <c r="U280" s="90"/>
      <c r="W280" s="174" t="str">
        <f t="shared" ca="1" si="398"/>
        <v/>
      </c>
      <c r="X280" s="174" t="str">
        <f t="shared" ca="1" si="399"/>
        <v/>
      </c>
      <c r="Y280" s="174" t="str">
        <f t="shared" ca="1" si="400"/>
        <v/>
      </c>
      <c r="Z280" s="175" t="str">
        <f t="shared" ca="1" si="401"/>
        <v/>
      </c>
    </row>
    <row r="281" spans="1:26" s="70" customFormat="1" ht="11.5" x14ac:dyDescent="0.25">
      <c r="A281" s="92" t="s">
        <v>67</v>
      </c>
      <c r="B281" s="92" t="s">
        <v>14</v>
      </c>
      <c r="C281" s="92" t="s">
        <v>947</v>
      </c>
      <c r="D281" s="92" t="s">
        <v>957</v>
      </c>
      <c r="E281" s="94">
        <f t="shared" si="394"/>
        <v>0</v>
      </c>
      <c r="F281" s="94">
        <f t="shared" si="395"/>
        <v>0</v>
      </c>
      <c r="G281" s="94">
        <f t="shared" si="396"/>
        <v>0</v>
      </c>
      <c r="H281" s="94">
        <f t="shared" si="397"/>
        <v>0</v>
      </c>
      <c r="I281" s="130"/>
      <c r="J281" s="90">
        <v>46265</v>
      </c>
      <c r="K281" s="90">
        <f t="shared" si="365"/>
        <v>46265</v>
      </c>
      <c r="L281" s="90"/>
      <c r="M281" s="90">
        <f t="shared" si="388"/>
        <v>46307</v>
      </c>
      <c r="N281" s="90">
        <f t="shared" si="389"/>
        <v>46307</v>
      </c>
      <c r="O281" s="90"/>
      <c r="P281" s="90">
        <f t="shared" si="390"/>
        <v>46349</v>
      </c>
      <c r="Q281" s="90">
        <f t="shared" si="391"/>
        <v>46349</v>
      </c>
      <c r="R281" s="90"/>
      <c r="S281" s="90">
        <f t="shared" si="392"/>
        <v>46363</v>
      </c>
      <c r="T281" s="90">
        <f t="shared" si="393"/>
        <v>46363</v>
      </c>
      <c r="U281" s="90"/>
      <c r="W281" s="174" t="str">
        <f t="shared" ca="1" si="398"/>
        <v/>
      </c>
      <c r="X281" s="174" t="str">
        <f t="shared" ca="1" si="399"/>
        <v/>
      </c>
      <c r="Y281" s="174" t="str">
        <f t="shared" ca="1" si="400"/>
        <v/>
      </c>
      <c r="Z281" s="175" t="str">
        <f t="shared" ca="1" si="401"/>
        <v/>
      </c>
    </row>
    <row r="282" spans="1:26" s="70" customFormat="1" ht="11.5" x14ac:dyDescent="0.25">
      <c r="A282" s="92" t="s">
        <v>67</v>
      </c>
      <c r="B282" s="92" t="s">
        <v>14</v>
      </c>
      <c r="C282" s="92" t="s">
        <v>347</v>
      </c>
      <c r="D282" s="92" t="s">
        <v>348</v>
      </c>
      <c r="E282" s="94">
        <f t="shared" ref="E282:E285" si="402">(COUNTIFS(J282,"&lt;="&amp;$C$1)*50%)+(COUNTIFS(M282,"&lt;="&amp;$C$1)*20%)+(COUNTIFS(P282,"&lt;="&amp;$C$1)*10%)+(COUNTIFS(S282,"&lt;="&amp;$C$1)*20%)</f>
        <v>0.7</v>
      </c>
      <c r="F282" s="94">
        <f t="shared" ref="F282:F285" si="403">(COUNTIFS(K282,"&lt;="&amp;$C$1)*50%)+(COUNTIFS(N282,"&lt;="&amp;$C$1)*20%)+(COUNTIFS(Q282,"&lt;="&amp;$C$1)*10%)+(COUNTIFS(T282,"&lt;="&amp;$C$1)*20%)</f>
        <v>0.7</v>
      </c>
      <c r="G282" s="94">
        <f t="shared" ref="G282:G285" si="404">(COUNTIFS(L282,"&lt;="&amp;$C$1)*50%)+(COUNTIFS(O282,"&lt;="&amp;$C$1)*20%)+(COUNTIFS(R282,"&lt;="&amp;$C$1)*10%)+(COUNTIFS(U282,"&lt;="&amp;$C$1)*20%)</f>
        <v>0.5</v>
      </c>
      <c r="H282" s="94">
        <f t="shared" ref="H282:H285" si="405">G282-E282</f>
        <v>-0.19999999999999996</v>
      </c>
      <c r="I282" s="96">
        <v>4.7E-2</v>
      </c>
      <c r="J282" s="90">
        <v>46192</v>
      </c>
      <c r="K282" s="90">
        <f t="shared" si="365"/>
        <v>46192</v>
      </c>
      <c r="L282" s="147">
        <v>46184</v>
      </c>
      <c r="M282" s="90">
        <f t="shared" si="366"/>
        <v>46234</v>
      </c>
      <c r="N282" s="90">
        <f t="shared" si="367"/>
        <v>46234</v>
      </c>
      <c r="O282" s="90"/>
      <c r="P282" s="90">
        <f t="shared" si="368"/>
        <v>46276</v>
      </c>
      <c r="Q282" s="90">
        <f t="shared" si="369"/>
        <v>46276</v>
      </c>
      <c r="R282" s="90"/>
      <c r="S282" s="90">
        <f t="shared" si="375"/>
        <v>46290</v>
      </c>
      <c r="T282" s="90">
        <f t="shared" si="370"/>
        <v>46290</v>
      </c>
      <c r="U282" s="90"/>
      <c r="W282" s="174" t="str">
        <f t="shared" ca="1" si="398"/>
        <v>Completed</v>
      </c>
      <c r="X282" s="174" t="str">
        <f t="shared" ca="1" si="399"/>
        <v>Overdue</v>
      </c>
      <c r="Y282" s="174" t="str">
        <f t="shared" ca="1" si="400"/>
        <v/>
      </c>
      <c r="Z282" s="175" t="str">
        <f t="shared" ca="1" si="401"/>
        <v/>
      </c>
    </row>
    <row r="283" spans="1:26" s="70" customFormat="1" ht="11.5" x14ac:dyDescent="0.25">
      <c r="A283" s="92" t="s">
        <v>67</v>
      </c>
      <c r="B283" s="92" t="s">
        <v>14</v>
      </c>
      <c r="C283" s="92" t="s">
        <v>349</v>
      </c>
      <c r="D283" s="92" t="s">
        <v>350</v>
      </c>
      <c r="E283" s="94">
        <f t="shared" si="402"/>
        <v>0.7</v>
      </c>
      <c r="F283" s="94">
        <f t="shared" si="403"/>
        <v>0.7</v>
      </c>
      <c r="G283" s="94">
        <f t="shared" si="404"/>
        <v>0.5</v>
      </c>
      <c r="H283" s="94">
        <f t="shared" si="405"/>
        <v>-0.19999999999999996</v>
      </c>
      <c r="I283" s="96">
        <v>4.7E-2</v>
      </c>
      <c r="J283" s="90">
        <v>46192</v>
      </c>
      <c r="K283" s="90">
        <f t="shared" si="365"/>
        <v>46192</v>
      </c>
      <c r="L283" s="147">
        <v>46184</v>
      </c>
      <c r="M283" s="90">
        <f t="shared" si="366"/>
        <v>46234</v>
      </c>
      <c r="N283" s="90">
        <f t="shared" si="367"/>
        <v>46234</v>
      </c>
      <c r="O283" s="90"/>
      <c r="P283" s="90">
        <f t="shared" si="368"/>
        <v>46276</v>
      </c>
      <c r="Q283" s="90">
        <f t="shared" si="369"/>
        <v>46276</v>
      </c>
      <c r="R283" s="90"/>
      <c r="S283" s="90">
        <f t="shared" si="375"/>
        <v>46290</v>
      </c>
      <c r="T283" s="90">
        <f t="shared" si="370"/>
        <v>46290</v>
      </c>
      <c r="U283" s="90"/>
      <c r="W283" s="174" t="str">
        <f t="shared" ca="1" si="398"/>
        <v>Completed</v>
      </c>
      <c r="X283" s="174" t="str">
        <f t="shared" ca="1" si="399"/>
        <v>Overdue</v>
      </c>
      <c r="Y283" s="174" t="str">
        <f t="shared" ca="1" si="400"/>
        <v/>
      </c>
      <c r="Z283" s="175" t="str">
        <f t="shared" ca="1" si="401"/>
        <v/>
      </c>
    </row>
    <row r="284" spans="1:26" s="70" customFormat="1" ht="11.5" x14ac:dyDescent="0.25">
      <c r="A284" s="92" t="s">
        <v>67</v>
      </c>
      <c r="B284" s="92" t="s">
        <v>14</v>
      </c>
      <c r="C284" s="92" t="s">
        <v>351</v>
      </c>
      <c r="D284" s="92" t="s">
        <v>352</v>
      </c>
      <c r="E284" s="94">
        <f t="shared" si="402"/>
        <v>0.7</v>
      </c>
      <c r="F284" s="94">
        <f t="shared" si="403"/>
        <v>0.7</v>
      </c>
      <c r="G284" s="94">
        <f t="shared" si="404"/>
        <v>0.5</v>
      </c>
      <c r="H284" s="94">
        <f t="shared" si="405"/>
        <v>-0.19999999999999996</v>
      </c>
      <c r="I284" s="96">
        <v>4.7E-2</v>
      </c>
      <c r="J284" s="90">
        <v>46192</v>
      </c>
      <c r="K284" s="90">
        <f t="shared" si="365"/>
        <v>46192</v>
      </c>
      <c r="L284" s="98">
        <v>46161</v>
      </c>
      <c r="M284" s="90">
        <f t="shared" si="366"/>
        <v>46234</v>
      </c>
      <c r="N284" s="90">
        <f t="shared" si="367"/>
        <v>46234</v>
      </c>
      <c r="O284" s="90"/>
      <c r="P284" s="90">
        <f t="shared" si="368"/>
        <v>46276</v>
      </c>
      <c r="Q284" s="90">
        <f t="shared" si="369"/>
        <v>46276</v>
      </c>
      <c r="R284" s="90"/>
      <c r="S284" s="90">
        <f t="shared" si="375"/>
        <v>46290</v>
      </c>
      <c r="T284" s="90">
        <f t="shared" si="370"/>
        <v>46290</v>
      </c>
      <c r="U284" s="90"/>
      <c r="W284" s="174" t="str">
        <f t="shared" ca="1" si="398"/>
        <v>Completed</v>
      </c>
      <c r="X284" s="174" t="str">
        <f t="shared" ca="1" si="399"/>
        <v>Overdue</v>
      </c>
      <c r="Y284" s="174" t="str">
        <f t="shared" ca="1" si="400"/>
        <v/>
      </c>
      <c r="Z284" s="175" t="str">
        <f t="shared" ca="1" si="401"/>
        <v/>
      </c>
    </row>
    <row r="285" spans="1:26" s="70" customFormat="1" ht="11.5" x14ac:dyDescent="0.25">
      <c r="A285" s="92" t="s">
        <v>67</v>
      </c>
      <c r="B285" s="92" t="s">
        <v>14</v>
      </c>
      <c r="C285" s="92" t="s">
        <v>353</v>
      </c>
      <c r="D285" s="92" t="s">
        <v>354</v>
      </c>
      <c r="E285" s="94">
        <f t="shared" si="402"/>
        <v>0.7</v>
      </c>
      <c r="F285" s="94">
        <f t="shared" si="403"/>
        <v>0.7</v>
      </c>
      <c r="G285" s="94">
        <f t="shared" si="404"/>
        <v>0.5</v>
      </c>
      <c r="H285" s="94">
        <f t="shared" si="405"/>
        <v>-0.19999999999999996</v>
      </c>
      <c r="I285" s="96">
        <v>4.7E-2</v>
      </c>
      <c r="J285" s="90">
        <v>46192</v>
      </c>
      <c r="K285" s="90">
        <f t="shared" si="365"/>
        <v>46192</v>
      </c>
      <c r="L285" s="147">
        <v>46184</v>
      </c>
      <c r="M285" s="90">
        <f t="shared" si="366"/>
        <v>46234</v>
      </c>
      <c r="N285" s="90">
        <f t="shared" si="367"/>
        <v>46234</v>
      </c>
      <c r="O285" s="90"/>
      <c r="P285" s="90">
        <f t="shared" si="368"/>
        <v>46276</v>
      </c>
      <c r="Q285" s="90">
        <f t="shared" si="369"/>
        <v>46276</v>
      </c>
      <c r="R285" s="90"/>
      <c r="S285" s="90">
        <f t="shared" si="375"/>
        <v>46290</v>
      </c>
      <c r="T285" s="90">
        <f t="shared" si="370"/>
        <v>46290</v>
      </c>
      <c r="U285" s="90"/>
      <c r="W285" s="174" t="str">
        <f t="shared" ca="1" si="398"/>
        <v>Completed</v>
      </c>
      <c r="X285" s="174" t="str">
        <f t="shared" ca="1" si="399"/>
        <v>Overdue</v>
      </c>
      <c r="Y285" s="174" t="str">
        <f t="shared" ca="1" si="400"/>
        <v/>
      </c>
      <c r="Z285" s="175" t="str">
        <f t="shared" ca="1" si="401"/>
        <v/>
      </c>
    </row>
    <row r="286" spans="1:26" s="70" customFormat="1" ht="11.5" x14ac:dyDescent="0.25">
      <c r="A286" s="92" t="s">
        <v>67</v>
      </c>
      <c r="B286" s="92" t="s">
        <v>14</v>
      </c>
      <c r="C286" s="92" t="s">
        <v>355</v>
      </c>
      <c r="D286" s="92" t="s">
        <v>356</v>
      </c>
      <c r="E286" s="94">
        <f t="shared" si="362"/>
        <v>0.7</v>
      </c>
      <c r="F286" s="94">
        <f t="shared" si="363"/>
        <v>0.7</v>
      </c>
      <c r="G286" s="94">
        <f t="shared" si="363"/>
        <v>0.5</v>
      </c>
      <c r="H286" s="94">
        <f t="shared" si="364"/>
        <v>-0.19999999999999996</v>
      </c>
      <c r="I286" s="96">
        <v>4.7E-2</v>
      </c>
      <c r="J286" s="90">
        <v>46199</v>
      </c>
      <c r="K286" s="90">
        <f t="shared" si="365"/>
        <v>46199</v>
      </c>
      <c r="L286" s="90">
        <v>46142</v>
      </c>
      <c r="M286" s="90">
        <f t="shared" si="366"/>
        <v>46241</v>
      </c>
      <c r="N286" s="90">
        <f t="shared" si="367"/>
        <v>46241</v>
      </c>
      <c r="O286" s="90"/>
      <c r="P286" s="90">
        <f t="shared" si="368"/>
        <v>46283</v>
      </c>
      <c r="Q286" s="90">
        <f t="shared" si="369"/>
        <v>46283</v>
      </c>
      <c r="R286" s="90"/>
      <c r="S286" s="90">
        <f t="shared" si="375"/>
        <v>46297</v>
      </c>
      <c r="T286" s="90">
        <f t="shared" si="370"/>
        <v>46297</v>
      </c>
      <c r="U286" s="90"/>
      <c r="W286" s="174" t="str">
        <f t="shared" ca="1" si="398"/>
        <v>Completed</v>
      </c>
      <c r="X286" s="174" t="str">
        <f t="shared" ca="1" si="399"/>
        <v>Overdue</v>
      </c>
      <c r="Y286" s="174" t="str">
        <f t="shared" ca="1" si="400"/>
        <v/>
      </c>
      <c r="Z286" s="175" t="str">
        <f t="shared" ca="1" si="401"/>
        <v/>
      </c>
    </row>
    <row r="287" spans="1:26" s="70" customFormat="1" ht="11.5" x14ac:dyDescent="0.25">
      <c r="A287" s="92" t="s">
        <v>67</v>
      </c>
      <c r="B287" s="92" t="s">
        <v>14</v>
      </c>
      <c r="C287" s="92" t="s">
        <v>357</v>
      </c>
      <c r="D287" s="92" t="s">
        <v>358</v>
      </c>
      <c r="E287" s="94">
        <f t="shared" si="362"/>
        <v>0.7</v>
      </c>
      <c r="F287" s="94">
        <f t="shared" si="363"/>
        <v>0.7</v>
      </c>
      <c r="G287" s="94">
        <f t="shared" si="363"/>
        <v>0.5</v>
      </c>
      <c r="H287" s="94">
        <f t="shared" si="364"/>
        <v>-0.19999999999999996</v>
      </c>
      <c r="I287" s="96">
        <v>4.7E-2</v>
      </c>
      <c r="J287" s="90">
        <v>46199</v>
      </c>
      <c r="K287" s="90">
        <f t="shared" si="365"/>
        <v>46199</v>
      </c>
      <c r="L287" s="90">
        <v>46142</v>
      </c>
      <c r="M287" s="90">
        <f t="shared" si="366"/>
        <v>46241</v>
      </c>
      <c r="N287" s="90">
        <f t="shared" si="367"/>
        <v>46241</v>
      </c>
      <c r="O287" s="90"/>
      <c r="P287" s="90">
        <f t="shared" si="368"/>
        <v>46283</v>
      </c>
      <c r="Q287" s="90">
        <f t="shared" si="369"/>
        <v>46283</v>
      </c>
      <c r="R287" s="90"/>
      <c r="S287" s="90">
        <f t="shared" si="375"/>
        <v>46297</v>
      </c>
      <c r="T287" s="90">
        <f t="shared" si="370"/>
        <v>46297</v>
      </c>
      <c r="U287" s="90"/>
      <c r="W287" s="174" t="str">
        <f t="shared" ca="1" si="398"/>
        <v>Completed</v>
      </c>
      <c r="X287" s="174" t="str">
        <f t="shared" ca="1" si="399"/>
        <v>Overdue</v>
      </c>
      <c r="Y287" s="174" t="str">
        <f t="shared" ca="1" si="400"/>
        <v/>
      </c>
      <c r="Z287" s="175" t="str">
        <f t="shared" ca="1" si="401"/>
        <v/>
      </c>
    </row>
    <row r="288" spans="1:26" s="70" customFormat="1" ht="11.5" x14ac:dyDescent="0.25">
      <c r="A288" s="92" t="s">
        <v>67</v>
      </c>
      <c r="B288" s="92" t="s">
        <v>14</v>
      </c>
      <c r="C288" s="92" t="s">
        <v>1056</v>
      </c>
      <c r="D288" s="92" t="s">
        <v>359</v>
      </c>
      <c r="E288" s="94">
        <f t="shared" si="362"/>
        <v>0.7</v>
      </c>
      <c r="F288" s="94">
        <f t="shared" si="363"/>
        <v>0.7</v>
      </c>
      <c r="G288" s="94">
        <f t="shared" si="363"/>
        <v>0.5</v>
      </c>
      <c r="H288" s="94">
        <f t="shared" si="364"/>
        <v>-0.19999999999999996</v>
      </c>
      <c r="I288" s="96">
        <v>4.7E-2</v>
      </c>
      <c r="J288" s="90">
        <v>46199</v>
      </c>
      <c r="K288" s="90">
        <f t="shared" si="365"/>
        <v>46199</v>
      </c>
      <c r="L288" s="90">
        <v>46191</v>
      </c>
      <c r="M288" s="90">
        <f t="shared" si="366"/>
        <v>46241</v>
      </c>
      <c r="N288" s="90">
        <f t="shared" si="367"/>
        <v>46241</v>
      </c>
      <c r="O288" s="90"/>
      <c r="P288" s="90">
        <f t="shared" si="368"/>
        <v>46283</v>
      </c>
      <c r="Q288" s="90">
        <f t="shared" si="369"/>
        <v>46283</v>
      </c>
      <c r="R288" s="90"/>
      <c r="S288" s="90">
        <f t="shared" si="375"/>
        <v>46297</v>
      </c>
      <c r="T288" s="90">
        <f t="shared" si="370"/>
        <v>46297</v>
      </c>
      <c r="U288" s="90"/>
      <c r="W288" s="174" t="str">
        <f t="shared" ca="1" si="398"/>
        <v>Completed</v>
      </c>
      <c r="X288" s="174" t="str">
        <f t="shared" ca="1" si="399"/>
        <v>Overdue</v>
      </c>
      <c r="Y288" s="174" t="str">
        <f t="shared" ca="1" si="400"/>
        <v/>
      </c>
      <c r="Z288" s="175" t="str">
        <f t="shared" ca="1" si="401"/>
        <v/>
      </c>
    </row>
    <row r="289" spans="1:26" s="70" customFormat="1" ht="11.5" x14ac:dyDescent="0.25">
      <c r="A289" s="92" t="s">
        <v>67</v>
      </c>
      <c r="B289" s="92" t="s">
        <v>14</v>
      </c>
      <c r="C289" s="92" t="s">
        <v>1057</v>
      </c>
      <c r="D289" s="92" t="s">
        <v>360</v>
      </c>
      <c r="E289" s="94">
        <f t="shared" si="362"/>
        <v>0.7</v>
      </c>
      <c r="F289" s="94">
        <f t="shared" si="363"/>
        <v>0.7</v>
      </c>
      <c r="G289" s="94">
        <f t="shared" si="363"/>
        <v>0.5</v>
      </c>
      <c r="H289" s="94">
        <f t="shared" si="364"/>
        <v>-0.19999999999999996</v>
      </c>
      <c r="I289" s="96">
        <v>4.7E-2</v>
      </c>
      <c r="J289" s="90">
        <v>46199</v>
      </c>
      <c r="K289" s="90">
        <f t="shared" si="365"/>
        <v>46199</v>
      </c>
      <c r="L289" s="90">
        <v>46191</v>
      </c>
      <c r="M289" s="90">
        <f t="shared" si="366"/>
        <v>46241</v>
      </c>
      <c r="N289" s="90">
        <f t="shared" si="367"/>
        <v>46241</v>
      </c>
      <c r="O289" s="90"/>
      <c r="P289" s="90">
        <f t="shared" si="368"/>
        <v>46283</v>
      </c>
      <c r="Q289" s="90">
        <f t="shared" si="369"/>
        <v>46283</v>
      </c>
      <c r="R289" s="90"/>
      <c r="S289" s="90">
        <f t="shared" si="375"/>
        <v>46297</v>
      </c>
      <c r="T289" s="90">
        <f t="shared" si="370"/>
        <v>46297</v>
      </c>
      <c r="U289" s="90"/>
      <c r="W289" s="174" t="str">
        <f t="shared" ca="1" si="398"/>
        <v>Completed</v>
      </c>
      <c r="X289" s="174" t="str">
        <f t="shared" ca="1" si="399"/>
        <v>Overdue</v>
      </c>
      <c r="Y289" s="174" t="str">
        <f t="shared" ca="1" si="400"/>
        <v/>
      </c>
      <c r="Z289" s="175" t="str">
        <f t="shared" ca="1" si="401"/>
        <v/>
      </c>
    </row>
    <row r="290" spans="1:26" s="70" customFormat="1" ht="11.5" x14ac:dyDescent="0.25">
      <c r="A290" s="92" t="s">
        <v>67</v>
      </c>
      <c r="B290" s="92" t="s">
        <v>14</v>
      </c>
      <c r="C290" s="92" t="s">
        <v>1058</v>
      </c>
      <c r="D290" s="92" t="s">
        <v>361</v>
      </c>
      <c r="E290" s="94">
        <f t="shared" ref="E290" si="406">(COUNTIFS(J290,"&lt;="&amp;$C$1)*50%)+(COUNTIFS(M290,"&lt;="&amp;$C$1)*20%)+(COUNTIFS(P290,"&lt;="&amp;$C$1)*10%)+(COUNTIFS(S290,"&lt;="&amp;$C$1)*20%)</f>
        <v>0.7</v>
      </c>
      <c r="F290" s="94">
        <f t="shared" ref="F290" si="407">(COUNTIFS(K290,"&lt;="&amp;$C$1)*50%)+(COUNTIFS(N290,"&lt;="&amp;$C$1)*20%)+(COUNTIFS(Q290,"&lt;="&amp;$C$1)*10%)+(COUNTIFS(T290,"&lt;="&amp;$C$1)*20%)</f>
        <v>0.7</v>
      </c>
      <c r="G290" s="94">
        <f t="shared" ref="G290" si="408">(COUNTIFS(L290,"&lt;="&amp;$C$1)*50%)+(COUNTIFS(O290,"&lt;="&amp;$C$1)*20%)+(COUNTIFS(R290,"&lt;="&amp;$C$1)*10%)+(COUNTIFS(U290,"&lt;="&amp;$C$1)*20%)</f>
        <v>0.5</v>
      </c>
      <c r="H290" s="94">
        <f t="shared" ref="H290" si="409">G290-E290</f>
        <v>-0.19999999999999996</v>
      </c>
      <c r="I290" s="96">
        <v>4.7E-2</v>
      </c>
      <c r="J290" s="90">
        <v>46199</v>
      </c>
      <c r="K290" s="90">
        <f t="shared" si="365"/>
        <v>46199</v>
      </c>
      <c r="L290" s="90">
        <v>46191</v>
      </c>
      <c r="M290" s="90">
        <f t="shared" si="366"/>
        <v>46241</v>
      </c>
      <c r="N290" s="90">
        <f t="shared" si="367"/>
        <v>46241</v>
      </c>
      <c r="O290" s="90"/>
      <c r="P290" s="90">
        <f t="shared" si="368"/>
        <v>46283</v>
      </c>
      <c r="Q290" s="90">
        <f t="shared" si="369"/>
        <v>46283</v>
      </c>
      <c r="R290" s="90"/>
      <c r="S290" s="90">
        <f t="shared" si="375"/>
        <v>46297</v>
      </c>
      <c r="T290" s="90">
        <f t="shared" si="370"/>
        <v>46297</v>
      </c>
      <c r="U290" s="90"/>
      <c r="W290" s="174" t="str">
        <f t="shared" ca="1" si="398"/>
        <v>Completed</v>
      </c>
      <c r="X290" s="174" t="str">
        <f t="shared" ca="1" si="399"/>
        <v>Overdue</v>
      </c>
      <c r="Y290" s="174" t="str">
        <f t="shared" ca="1" si="400"/>
        <v/>
      </c>
      <c r="Z290" s="175" t="str">
        <f t="shared" ca="1" si="401"/>
        <v/>
      </c>
    </row>
    <row r="291" spans="1:26" s="70" customFormat="1" ht="11.5" x14ac:dyDescent="0.25">
      <c r="A291" s="92" t="s">
        <v>67</v>
      </c>
      <c r="B291" s="92" t="s">
        <v>14</v>
      </c>
      <c r="C291" s="92" t="s">
        <v>1059</v>
      </c>
      <c r="D291" s="92" t="s">
        <v>362</v>
      </c>
      <c r="E291" s="94">
        <f t="shared" si="362"/>
        <v>0.7</v>
      </c>
      <c r="F291" s="94">
        <f t="shared" si="363"/>
        <v>0.7</v>
      </c>
      <c r="G291" s="94">
        <f t="shared" si="363"/>
        <v>0.5</v>
      </c>
      <c r="H291" s="94">
        <f t="shared" si="364"/>
        <v>-0.19999999999999996</v>
      </c>
      <c r="I291" s="96">
        <v>4.7E-2</v>
      </c>
      <c r="J291" s="90">
        <v>46199</v>
      </c>
      <c r="K291" s="90">
        <f t="shared" si="365"/>
        <v>46199</v>
      </c>
      <c r="L291" s="90">
        <v>46191</v>
      </c>
      <c r="M291" s="90">
        <f t="shared" si="366"/>
        <v>46241</v>
      </c>
      <c r="N291" s="90">
        <f t="shared" si="367"/>
        <v>46241</v>
      </c>
      <c r="O291" s="90"/>
      <c r="P291" s="90">
        <f t="shared" si="368"/>
        <v>46283</v>
      </c>
      <c r="Q291" s="90">
        <f t="shared" si="369"/>
        <v>46283</v>
      </c>
      <c r="R291" s="90"/>
      <c r="S291" s="90">
        <f t="shared" si="375"/>
        <v>46297</v>
      </c>
      <c r="T291" s="90">
        <f t="shared" si="370"/>
        <v>46297</v>
      </c>
      <c r="U291" s="90"/>
      <c r="W291" s="174" t="str">
        <f t="shared" ca="1" si="398"/>
        <v>Completed</v>
      </c>
      <c r="X291" s="174" t="str">
        <f t="shared" ca="1" si="399"/>
        <v>Overdue</v>
      </c>
      <c r="Y291" s="174" t="str">
        <f t="shared" ca="1" si="400"/>
        <v/>
      </c>
      <c r="Z291" s="175" t="str">
        <f t="shared" ca="1" si="401"/>
        <v/>
      </c>
    </row>
    <row r="292" spans="1:26" s="70" customFormat="1" ht="11.5" x14ac:dyDescent="0.25">
      <c r="A292" s="92" t="s">
        <v>67</v>
      </c>
      <c r="B292" s="92" t="s">
        <v>14</v>
      </c>
      <c r="C292" s="92" t="s">
        <v>1060</v>
      </c>
      <c r="D292" s="92" t="s">
        <v>363</v>
      </c>
      <c r="E292" s="94">
        <f t="shared" si="362"/>
        <v>0.7</v>
      </c>
      <c r="F292" s="94">
        <f t="shared" si="363"/>
        <v>0.7</v>
      </c>
      <c r="G292" s="94">
        <f t="shared" si="363"/>
        <v>0.5</v>
      </c>
      <c r="H292" s="94">
        <f t="shared" si="364"/>
        <v>-0.19999999999999996</v>
      </c>
      <c r="I292" s="96">
        <v>4.7E-2</v>
      </c>
      <c r="J292" s="90">
        <v>46199</v>
      </c>
      <c r="K292" s="90">
        <f t="shared" si="365"/>
        <v>46199</v>
      </c>
      <c r="L292" s="90">
        <v>46191</v>
      </c>
      <c r="M292" s="90">
        <f t="shared" si="366"/>
        <v>46241</v>
      </c>
      <c r="N292" s="90">
        <f t="shared" si="367"/>
        <v>46241</v>
      </c>
      <c r="O292" s="90"/>
      <c r="P292" s="90">
        <f t="shared" si="368"/>
        <v>46283</v>
      </c>
      <c r="Q292" s="90">
        <f t="shared" si="369"/>
        <v>46283</v>
      </c>
      <c r="R292" s="90"/>
      <c r="S292" s="90">
        <f t="shared" si="375"/>
        <v>46297</v>
      </c>
      <c r="T292" s="90">
        <f t="shared" si="370"/>
        <v>46297</v>
      </c>
      <c r="U292" s="90"/>
      <c r="W292" s="174" t="str">
        <f t="shared" ca="1" si="398"/>
        <v>Completed</v>
      </c>
      <c r="X292" s="174" t="str">
        <f t="shared" ca="1" si="399"/>
        <v>Overdue</v>
      </c>
      <c r="Y292" s="174" t="str">
        <f t="shared" ca="1" si="400"/>
        <v/>
      </c>
      <c r="Z292" s="175" t="str">
        <f t="shared" ca="1" si="401"/>
        <v/>
      </c>
    </row>
    <row r="293" spans="1:26" s="70" customFormat="1" ht="11.5" x14ac:dyDescent="0.25">
      <c r="A293" s="92" t="s">
        <v>67</v>
      </c>
      <c r="B293" s="92" t="s">
        <v>14</v>
      </c>
      <c r="C293" s="92" t="s">
        <v>1061</v>
      </c>
      <c r="D293" s="92" t="s">
        <v>364</v>
      </c>
      <c r="E293" s="94">
        <f t="shared" si="362"/>
        <v>0.7</v>
      </c>
      <c r="F293" s="94">
        <f t="shared" si="363"/>
        <v>0.7</v>
      </c>
      <c r="G293" s="94">
        <f t="shared" si="363"/>
        <v>0.5</v>
      </c>
      <c r="H293" s="94">
        <f t="shared" si="364"/>
        <v>-0.19999999999999996</v>
      </c>
      <c r="I293" s="96">
        <v>4.7E-2</v>
      </c>
      <c r="J293" s="90">
        <v>46199</v>
      </c>
      <c r="K293" s="90">
        <f t="shared" si="365"/>
        <v>46199</v>
      </c>
      <c r="L293" s="90">
        <v>46191</v>
      </c>
      <c r="M293" s="90">
        <f t="shared" si="366"/>
        <v>46241</v>
      </c>
      <c r="N293" s="90">
        <f t="shared" si="367"/>
        <v>46241</v>
      </c>
      <c r="O293" s="90"/>
      <c r="P293" s="90">
        <f t="shared" si="368"/>
        <v>46283</v>
      </c>
      <c r="Q293" s="90">
        <f t="shared" si="369"/>
        <v>46283</v>
      </c>
      <c r="R293" s="90"/>
      <c r="S293" s="90">
        <f t="shared" si="375"/>
        <v>46297</v>
      </c>
      <c r="T293" s="90">
        <f t="shared" si="370"/>
        <v>46297</v>
      </c>
      <c r="U293" s="90"/>
      <c r="W293" s="174" t="str">
        <f t="shared" ca="1" si="398"/>
        <v>Completed</v>
      </c>
      <c r="X293" s="174" t="str">
        <f t="shared" ca="1" si="399"/>
        <v>Overdue</v>
      </c>
      <c r="Y293" s="174" t="str">
        <f t="shared" ca="1" si="400"/>
        <v/>
      </c>
      <c r="Z293" s="175" t="str">
        <f t="shared" ca="1" si="401"/>
        <v/>
      </c>
    </row>
    <row r="294" spans="1:26" s="70" customFormat="1" ht="11.5" x14ac:dyDescent="0.25">
      <c r="A294" s="92" t="s">
        <v>67</v>
      </c>
      <c r="B294" s="92" t="s">
        <v>14</v>
      </c>
      <c r="C294" s="92" t="s">
        <v>1062</v>
      </c>
      <c r="D294" s="92" t="s">
        <v>365</v>
      </c>
      <c r="E294" s="94">
        <f t="shared" si="362"/>
        <v>0.7</v>
      </c>
      <c r="F294" s="94">
        <f t="shared" si="363"/>
        <v>0.7</v>
      </c>
      <c r="G294" s="94">
        <f t="shared" si="363"/>
        <v>0.5</v>
      </c>
      <c r="H294" s="94">
        <f t="shared" si="364"/>
        <v>-0.19999999999999996</v>
      </c>
      <c r="I294" s="96">
        <v>4.7E-2</v>
      </c>
      <c r="J294" s="90">
        <v>46199</v>
      </c>
      <c r="K294" s="90">
        <f t="shared" si="365"/>
        <v>46199</v>
      </c>
      <c r="L294" s="90">
        <v>46191</v>
      </c>
      <c r="M294" s="90">
        <f t="shared" si="366"/>
        <v>46241</v>
      </c>
      <c r="N294" s="90">
        <f t="shared" si="367"/>
        <v>46241</v>
      </c>
      <c r="O294" s="90"/>
      <c r="P294" s="90">
        <f t="shared" si="368"/>
        <v>46283</v>
      </c>
      <c r="Q294" s="90">
        <f t="shared" si="369"/>
        <v>46283</v>
      </c>
      <c r="R294" s="90"/>
      <c r="S294" s="90">
        <f t="shared" si="375"/>
        <v>46297</v>
      </c>
      <c r="T294" s="90">
        <f t="shared" si="370"/>
        <v>46297</v>
      </c>
      <c r="U294" s="90"/>
      <c r="W294" s="174" t="str">
        <f t="shared" ca="1" si="398"/>
        <v>Completed</v>
      </c>
      <c r="X294" s="174" t="str">
        <f t="shared" ca="1" si="399"/>
        <v>Overdue</v>
      </c>
      <c r="Y294" s="174" t="str">
        <f t="shared" ca="1" si="400"/>
        <v/>
      </c>
      <c r="Z294" s="175" t="str">
        <f t="shared" ca="1" si="401"/>
        <v/>
      </c>
    </row>
    <row r="295" spans="1:26" s="70" customFormat="1" ht="11.5" x14ac:dyDescent="0.25">
      <c r="A295" s="92" t="s">
        <v>67</v>
      </c>
      <c r="B295" s="92" t="s">
        <v>14</v>
      </c>
      <c r="C295" s="92" t="s">
        <v>1063</v>
      </c>
      <c r="D295" s="92" t="s">
        <v>366</v>
      </c>
      <c r="E295" s="94">
        <f t="shared" si="362"/>
        <v>0.7</v>
      </c>
      <c r="F295" s="94">
        <f t="shared" si="363"/>
        <v>0.7</v>
      </c>
      <c r="G295" s="94">
        <f t="shared" si="363"/>
        <v>0.5</v>
      </c>
      <c r="H295" s="94">
        <f t="shared" si="364"/>
        <v>-0.19999999999999996</v>
      </c>
      <c r="I295" s="96">
        <v>4.7E-2</v>
      </c>
      <c r="J295" s="90">
        <v>46199</v>
      </c>
      <c r="K295" s="90">
        <f t="shared" si="365"/>
        <v>46199</v>
      </c>
      <c r="L295" s="90">
        <v>46191</v>
      </c>
      <c r="M295" s="90">
        <f t="shared" si="366"/>
        <v>46241</v>
      </c>
      <c r="N295" s="90">
        <f t="shared" si="367"/>
        <v>46241</v>
      </c>
      <c r="O295" s="90"/>
      <c r="P295" s="90">
        <f t="shared" si="368"/>
        <v>46283</v>
      </c>
      <c r="Q295" s="90">
        <f t="shared" si="369"/>
        <v>46283</v>
      </c>
      <c r="R295" s="90"/>
      <c r="S295" s="90">
        <f t="shared" si="375"/>
        <v>46297</v>
      </c>
      <c r="T295" s="90">
        <f t="shared" si="370"/>
        <v>46297</v>
      </c>
      <c r="U295" s="90"/>
      <c r="W295" s="174" t="str">
        <f t="shared" ca="1" si="398"/>
        <v>Completed</v>
      </c>
      <c r="X295" s="174" t="str">
        <f t="shared" ca="1" si="399"/>
        <v>Overdue</v>
      </c>
      <c r="Y295" s="174" t="str">
        <f t="shared" ca="1" si="400"/>
        <v/>
      </c>
      <c r="Z295" s="175" t="str">
        <f t="shared" ca="1" si="401"/>
        <v/>
      </c>
    </row>
    <row r="296" spans="1:26" s="70" customFormat="1" ht="11.5" x14ac:dyDescent="0.25">
      <c r="A296" s="92" t="s">
        <v>67</v>
      </c>
      <c r="B296" s="92" t="s">
        <v>14</v>
      </c>
      <c r="C296" s="92" t="s">
        <v>1064</v>
      </c>
      <c r="D296" s="92" t="s">
        <v>367</v>
      </c>
      <c r="E296" s="94">
        <f t="shared" si="362"/>
        <v>0.7</v>
      </c>
      <c r="F296" s="94">
        <f t="shared" si="363"/>
        <v>0.7</v>
      </c>
      <c r="G296" s="94">
        <f t="shared" si="363"/>
        <v>0.5</v>
      </c>
      <c r="H296" s="94">
        <f t="shared" si="364"/>
        <v>-0.19999999999999996</v>
      </c>
      <c r="I296" s="96">
        <v>4.7E-2</v>
      </c>
      <c r="J296" s="90">
        <v>46199</v>
      </c>
      <c r="K296" s="90">
        <f t="shared" si="365"/>
        <v>46199</v>
      </c>
      <c r="L296" s="90">
        <v>46191</v>
      </c>
      <c r="M296" s="90">
        <f t="shared" si="366"/>
        <v>46241</v>
      </c>
      <c r="N296" s="90">
        <f t="shared" si="367"/>
        <v>46241</v>
      </c>
      <c r="O296" s="90"/>
      <c r="P296" s="90">
        <f t="shared" si="368"/>
        <v>46283</v>
      </c>
      <c r="Q296" s="90">
        <f t="shared" si="369"/>
        <v>46283</v>
      </c>
      <c r="R296" s="90"/>
      <c r="S296" s="90">
        <f t="shared" si="375"/>
        <v>46297</v>
      </c>
      <c r="T296" s="90">
        <f t="shared" si="370"/>
        <v>46297</v>
      </c>
      <c r="U296" s="90"/>
      <c r="W296" s="174" t="str">
        <f t="shared" ca="1" si="398"/>
        <v>Completed</v>
      </c>
      <c r="X296" s="174" t="str">
        <f t="shared" ca="1" si="399"/>
        <v>Overdue</v>
      </c>
      <c r="Y296" s="174" t="str">
        <f t="shared" ca="1" si="400"/>
        <v/>
      </c>
      <c r="Z296" s="175" t="str">
        <f t="shared" ca="1" si="401"/>
        <v/>
      </c>
    </row>
    <row r="297" spans="1:26" s="70" customFormat="1" ht="11.5" x14ac:dyDescent="0.25">
      <c r="A297" s="92" t="s">
        <v>67</v>
      </c>
      <c r="B297" s="92" t="s">
        <v>14</v>
      </c>
      <c r="C297" s="92" t="s">
        <v>368</v>
      </c>
      <c r="D297" s="92" t="s">
        <v>369</v>
      </c>
      <c r="E297" s="94">
        <f t="shared" si="362"/>
        <v>0.7</v>
      </c>
      <c r="F297" s="94">
        <f t="shared" si="363"/>
        <v>0.7</v>
      </c>
      <c r="G297" s="94">
        <f t="shared" si="363"/>
        <v>0</v>
      </c>
      <c r="H297" s="94">
        <f t="shared" si="364"/>
        <v>-0.7</v>
      </c>
      <c r="I297" s="96">
        <v>4.7E-2</v>
      </c>
      <c r="J297" s="90">
        <v>46206</v>
      </c>
      <c r="K297" s="90">
        <f t="shared" si="365"/>
        <v>46206</v>
      </c>
      <c r="L297" s="90"/>
      <c r="M297" s="90">
        <f t="shared" si="366"/>
        <v>46248</v>
      </c>
      <c r="N297" s="90">
        <f t="shared" si="367"/>
        <v>46248</v>
      </c>
      <c r="O297" s="90"/>
      <c r="P297" s="90">
        <f t="shared" si="368"/>
        <v>46290</v>
      </c>
      <c r="Q297" s="90">
        <f t="shared" si="369"/>
        <v>46290</v>
      </c>
      <c r="R297" s="90"/>
      <c r="S297" s="90">
        <f t="shared" si="375"/>
        <v>46304</v>
      </c>
      <c r="T297" s="90">
        <f t="shared" si="370"/>
        <v>46304</v>
      </c>
      <c r="U297" s="90"/>
      <c r="W297" s="174" t="str">
        <f t="shared" ca="1" si="398"/>
        <v>Overdue</v>
      </c>
      <c r="X297" s="174" t="str">
        <f t="shared" ca="1" si="399"/>
        <v>Overdue</v>
      </c>
      <c r="Y297" s="174" t="str">
        <f t="shared" ca="1" si="400"/>
        <v/>
      </c>
      <c r="Z297" s="175" t="str">
        <f t="shared" ca="1" si="401"/>
        <v/>
      </c>
    </row>
    <row r="298" spans="1:26" s="70" customFormat="1" ht="11.5" x14ac:dyDescent="0.25">
      <c r="A298" s="92" t="s">
        <v>67</v>
      </c>
      <c r="B298" s="92" t="s">
        <v>14</v>
      </c>
      <c r="C298" s="92" t="s">
        <v>370</v>
      </c>
      <c r="D298" s="92" t="s">
        <v>371</v>
      </c>
      <c r="E298" s="94">
        <f t="shared" si="362"/>
        <v>0.7</v>
      </c>
      <c r="F298" s="94">
        <f t="shared" si="363"/>
        <v>0.7</v>
      </c>
      <c r="G298" s="94">
        <f t="shared" si="363"/>
        <v>0</v>
      </c>
      <c r="H298" s="94">
        <f t="shared" si="364"/>
        <v>-0.7</v>
      </c>
      <c r="I298" s="96">
        <v>4.7E-2</v>
      </c>
      <c r="J298" s="90">
        <v>46206</v>
      </c>
      <c r="K298" s="90">
        <f t="shared" si="365"/>
        <v>46206</v>
      </c>
      <c r="L298" s="90"/>
      <c r="M298" s="90">
        <f t="shared" si="366"/>
        <v>46248</v>
      </c>
      <c r="N298" s="90">
        <f t="shared" si="367"/>
        <v>46248</v>
      </c>
      <c r="O298" s="90"/>
      <c r="P298" s="90">
        <f t="shared" si="368"/>
        <v>46290</v>
      </c>
      <c r="Q298" s="90">
        <f t="shared" si="369"/>
        <v>46290</v>
      </c>
      <c r="R298" s="90"/>
      <c r="S298" s="90">
        <f t="shared" si="375"/>
        <v>46304</v>
      </c>
      <c r="T298" s="90">
        <f t="shared" si="370"/>
        <v>46304</v>
      </c>
      <c r="U298" s="90"/>
      <c r="W298" s="174" t="str">
        <f t="shared" ca="1" si="398"/>
        <v>Overdue</v>
      </c>
      <c r="X298" s="174" t="str">
        <f t="shared" ca="1" si="399"/>
        <v>Overdue</v>
      </c>
      <c r="Y298" s="174" t="str">
        <f t="shared" ca="1" si="400"/>
        <v/>
      </c>
      <c r="Z298" s="175" t="str">
        <f t="shared" ca="1" si="401"/>
        <v/>
      </c>
    </row>
    <row r="299" spans="1:26" s="70" customFormat="1" ht="11.5" x14ac:dyDescent="0.25">
      <c r="A299" s="92" t="s">
        <v>67</v>
      </c>
      <c r="B299" s="92" t="s">
        <v>14</v>
      </c>
      <c r="C299" s="92" t="s">
        <v>372</v>
      </c>
      <c r="D299" s="92" t="s">
        <v>373</v>
      </c>
      <c r="E299" s="94">
        <f t="shared" si="362"/>
        <v>0.7</v>
      </c>
      <c r="F299" s="94">
        <f t="shared" si="363"/>
        <v>0.7</v>
      </c>
      <c r="G299" s="94">
        <f t="shared" si="363"/>
        <v>0</v>
      </c>
      <c r="H299" s="94">
        <f t="shared" si="364"/>
        <v>-0.7</v>
      </c>
      <c r="I299" s="96">
        <v>4.7E-2</v>
      </c>
      <c r="J299" s="90">
        <v>46206</v>
      </c>
      <c r="K299" s="90">
        <f t="shared" si="365"/>
        <v>46206</v>
      </c>
      <c r="L299" s="90"/>
      <c r="M299" s="90">
        <f t="shared" si="366"/>
        <v>46248</v>
      </c>
      <c r="N299" s="90">
        <f t="shared" si="367"/>
        <v>46248</v>
      </c>
      <c r="O299" s="90"/>
      <c r="P299" s="90">
        <f t="shared" si="368"/>
        <v>46290</v>
      </c>
      <c r="Q299" s="90">
        <f t="shared" si="369"/>
        <v>46290</v>
      </c>
      <c r="R299" s="90"/>
      <c r="S299" s="90">
        <f t="shared" si="375"/>
        <v>46304</v>
      </c>
      <c r="T299" s="90">
        <f t="shared" si="370"/>
        <v>46304</v>
      </c>
      <c r="U299" s="90"/>
      <c r="W299" s="174" t="str">
        <f t="shared" ca="1" si="398"/>
        <v>Overdue</v>
      </c>
      <c r="X299" s="174" t="str">
        <f t="shared" ca="1" si="399"/>
        <v>Overdue</v>
      </c>
      <c r="Y299" s="174" t="str">
        <f t="shared" ca="1" si="400"/>
        <v/>
      </c>
      <c r="Z299" s="175" t="str">
        <f t="shared" ca="1" si="401"/>
        <v/>
      </c>
    </row>
    <row r="300" spans="1:26" s="70" customFormat="1" ht="11.5" x14ac:dyDescent="0.25">
      <c r="A300" s="92" t="s">
        <v>67</v>
      </c>
      <c r="B300" s="92" t="s">
        <v>14</v>
      </c>
      <c r="C300" s="92" t="s">
        <v>1065</v>
      </c>
      <c r="D300" s="92" t="s">
        <v>374</v>
      </c>
      <c r="E300" s="94">
        <f t="shared" si="362"/>
        <v>0.7</v>
      </c>
      <c r="F300" s="94">
        <f t="shared" si="363"/>
        <v>0.7</v>
      </c>
      <c r="G300" s="94">
        <f t="shared" si="363"/>
        <v>0.7</v>
      </c>
      <c r="H300" s="94">
        <f t="shared" si="364"/>
        <v>0</v>
      </c>
      <c r="I300" s="96">
        <v>4.7E-2</v>
      </c>
      <c r="J300" s="90">
        <v>46206</v>
      </c>
      <c r="K300" s="90">
        <f t="shared" si="365"/>
        <v>46206</v>
      </c>
      <c r="L300" s="90">
        <v>46190</v>
      </c>
      <c r="M300" s="90">
        <f t="shared" si="366"/>
        <v>46248</v>
      </c>
      <c r="N300" s="90">
        <f t="shared" si="367"/>
        <v>46248</v>
      </c>
      <c r="O300" s="166">
        <v>46247</v>
      </c>
      <c r="P300" s="90">
        <f t="shared" si="368"/>
        <v>46290</v>
      </c>
      <c r="Q300" s="90">
        <f t="shared" si="369"/>
        <v>46290</v>
      </c>
      <c r="R300" s="90"/>
      <c r="S300" s="90">
        <f t="shared" si="375"/>
        <v>46304</v>
      </c>
      <c r="T300" s="90">
        <f t="shared" si="370"/>
        <v>46304</v>
      </c>
      <c r="U300" s="90"/>
      <c r="W300" s="174" t="str">
        <f t="shared" ca="1" si="398"/>
        <v>Completed</v>
      </c>
      <c r="X300" s="174" t="str">
        <f t="shared" ca="1" si="399"/>
        <v>Completed</v>
      </c>
      <c r="Y300" s="174" t="str">
        <f t="shared" ca="1" si="400"/>
        <v/>
      </c>
      <c r="Z300" s="175" t="str">
        <f t="shared" ca="1" si="401"/>
        <v/>
      </c>
    </row>
    <row r="301" spans="1:26" s="70" customFormat="1" ht="11.5" x14ac:dyDescent="0.25">
      <c r="A301" s="92" t="s">
        <v>67</v>
      </c>
      <c r="B301" s="92" t="s">
        <v>14</v>
      </c>
      <c r="C301" s="92" t="s">
        <v>1066</v>
      </c>
      <c r="D301" s="92" t="s">
        <v>375</v>
      </c>
      <c r="E301" s="94">
        <f t="shared" si="362"/>
        <v>0.7</v>
      </c>
      <c r="F301" s="94">
        <f t="shared" si="363"/>
        <v>0.7</v>
      </c>
      <c r="G301" s="94">
        <f t="shared" si="363"/>
        <v>0.7</v>
      </c>
      <c r="H301" s="94">
        <f t="shared" si="364"/>
        <v>0</v>
      </c>
      <c r="I301" s="96">
        <v>4.7E-2</v>
      </c>
      <c r="J301" s="90">
        <v>46206</v>
      </c>
      <c r="K301" s="90">
        <f t="shared" si="365"/>
        <v>46206</v>
      </c>
      <c r="L301" s="90">
        <v>46190</v>
      </c>
      <c r="M301" s="90">
        <f t="shared" si="366"/>
        <v>46248</v>
      </c>
      <c r="N301" s="90">
        <f t="shared" si="367"/>
        <v>46248</v>
      </c>
      <c r="O301" s="166">
        <v>46247</v>
      </c>
      <c r="P301" s="90">
        <f t="shared" si="368"/>
        <v>46290</v>
      </c>
      <c r="Q301" s="90">
        <f t="shared" si="369"/>
        <v>46290</v>
      </c>
      <c r="R301" s="90"/>
      <c r="S301" s="90">
        <f t="shared" si="375"/>
        <v>46304</v>
      </c>
      <c r="T301" s="90">
        <f t="shared" si="370"/>
        <v>46304</v>
      </c>
      <c r="U301" s="90"/>
      <c r="W301" s="174" t="str">
        <f t="shared" ca="1" si="398"/>
        <v>Completed</v>
      </c>
      <c r="X301" s="174" t="str">
        <f t="shared" ca="1" si="399"/>
        <v>Completed</v>
      </c>
      <c r="Y301" s="174" t="str">
        <f t="shared" ca="1" si="400"/>
        <v/>
      </c>
      <c r="Z301" s="175" t="str">
        <f t="shared" ca="1" si="401"/>
        <v/>
      </c>
    </row>
    <row r="302" spans="1:26" s="70" customFormat="1" ht="11.5" x14ac:dyDescent="0.25">
      <c r="A302" s="92" t="s">
        <v>67</v>
      </c>
      <c r="B302" s="92" t="s">
        <v>14</v>
      </c>
      <c r="C302" s="92" t="s">
        <v>1067</v>
      </c>
      <c r="D302" s="92" t="s">
        <v>376</v>
      </c>
      <c r="E302" s="94">
        <f t="shared" si="362"/>
        <v>0.7</v>
      </c>
      <c r="F302" s="94">
        <f t="shared" si="363"/>
        <v>0.7</v>
      </c>
      <c r="G302" s="94">
        <f t="shared" si="363"/>
        <v>0.7</v>
      </c>
      <c r="H302" s="94">
        <f t="shared" si="364"/>
        <v>0</v>
      </c>
      <c r="I302" s="96">
        <v>4.7E-2</v>
      </c>
      <c r="J302" s="90">
        <v>46206</v>
      </c>
      <c r="K302" s="90">
        <f t="shared" si="365"/>
        <v>46206</v>
      </c>
      <c r="L302" s="90">
        <v>46190</v>
      </c>
      <c r="M302" s="90">
        <f t="shared" si="366"/>
        <v>46248</v>
      </c>
      <c r="N302" s="90">
        <f t="shared" si="367"/>
        <v>46248</v>
      </c>
      <c r="O302" s="166">
        <v>46247</v>
      </c>
      <c r="P302" s="90">
        <f t="shared" si="368"/>
        <v>46290</v>
      </c>
      <c r="Q302" s="90">
        <f t="shared" si="369"/>
        <v>46290</v>
      </c>
      <c r="R302" s="90"/>
      <c r="S302" s="90">
        <f t="shared" si="375"/>
        <v>46304</v>
      </c>
      <c r="T302" s="90">
        <f t="shared" si="370"/>
        <v>46304</v>
      </c>
      <c r="U302" s="90"/>
      <c r="W302" s="174" t="str">
        <f t="shared" ca="1" si="398"/>
        <v>Completed</v>
      </c>
      <c r="X302" s="174" t="str">
        <f t="shared" ca="1" si="399"/>
        <v>Completed</v>
      </c>
      <c r="Y302" s="174" t="str">
        <f t="shared" ca="1" si="400"/>
        <v/>
      </c>
      <c r="Z302" s="175" t="str">
        <f t="shared" ca="1" si="401"/>
        <v/>
      </c>
    </row>
    <row r="303" spans="1:26" s="70" customFormat="1" ht="11.5" x14ac:dyDescent="0.25">
      <c r="A303" s="92" t="s">
        <v>67</v>
      </c>
      <c r="B303" s="92" t="s">
        <v>14</v>
      </c>
      <c r="C303" s="92" t="s">
        <v>1068</v>
      </c>
      <c r="D303" s="92" t="s">
        <v>377</v>
      </c>
      <c r="E303" s="94">
        <f t="shared" si="362"/>
        <v>0.7</v>
      </c>
      <c r="F303" s="94">
        <f t="shared" si="363"/>
        <v>0.7</v>
      </c>
      <c r="G303" s="94">
        <f t="shared" si="363"/>
        <v>0.7</v>
      </c>
      <c r="H303" s="94">
        <f t="shared" si="364"/>
        <v>0</v>
      </c>
      <c r="I303" s="96">
        <v>4.7E-2</v>
      </c>
      <c r="J303" s="90">
        <v>46206</v>
      </c>
      <c r="K303" s="90">
        <f t="shared" si="365"/>
        <v>46206</v>
      </c>
      <c r="L303" s="90">
        <v>46190</v>
      </c>
      <c r="M303" s="90">
        <f t="shared" si="366"/>
        <v>46248</v>
      </c>
      <c r="N303" s="90">
        <f t="shared" si="367"/>
        <v>46248</v>
      </c>
      <c r="O303" s="166">
        <v>46247</v>
      </c>
      <c r="P303" s="90">
        <f t="shared" si="368"/>
        <v>46290</v>
      </c>
      <c r="Q303" s="90">
        <f t="shared" si="369"/>
        <v>46290</v>
      </c>
      <c r="R303" s="90"/>
      <c r="S303" s="90">
        <f t="shared" si="375"/>
        <v>46304</v>
      </c>
      <c r="T303" s="90">
        <f t="shared" si="370"/>
        <v>46304</v>
      </c>
      <c r="U303" s="90"/>
      <c r="W303" s="174" t="str">
        <f t="shared" ca="1" si="398"/>
        <v>Completed</v>
      </c>
      <c r="X303" s="174" t="str">
        <f t="shared" ca="1" si="399"/>
        <v>Completed</v>
      </c>
      <c r="Y303" s="174" t="str">
        <f t="shared" ca="1" si="400"/>
        <v/>
      </c>
      <c r="Z303" s="175" t="str">
        <f t="shared" ca="1" si="401"/>
        <v/>
      </c>
    </row>
    <row r="304" spans="1:26" s="70" customFormat="1" ht="11.5" x14ac:dyDescent="0.25">
      <c r="A304" s="92" t="s">
        <v>67</v>
      </c>
      <c r="B304" s="92" t="s">
        <v>14</v>
      </c>
      <c r="C304" s="92" t="s">
        <v>1069</v>
      </c>
      <c r="D304" s="92" t="s">
        <v>378</v>
      </c>
      <c r="E304" s="94">
        <f t="shared" si="362"/>
        <v>0.7</v>
      </c>
      <c r="F304" s="94">
        <f t="shared" si="363"/>
        <v>0.7</v>
      </c>
      <c r="G304" s="94">
        <f t="shared" si="363"/>
        <v>0.7</v>
      </c>
      <c r="H304" s="94">
        <f t="shared" si="364"/>
        <v>0</v>
      </c>
      <c r="I304" s="96">
        <v>4.7E-2</v>
      </c>
      <c r="J304" s="90">
        <v>46206</v>
      </c>
      <c r="K304" s="90">
        <f t="shared" si="365"/>
        <v>46206</v>
      </c>
      <c r="L304" s="90">
        <v>46190</v>
      </c>
      <c r="M304" s="90">
        <f t="shared" si="366"/>
        <v>46248</v>
      </c>
      <c r="N304" s="90">
        <f t="shared" si="367"/>
        <v>46248</v>
      </c>
      <c r="O304" s="166">
        <v>46247</v>
      </c>
      <c r="P304" s="90">
        <f t="shared" si="368"/>
        <v>46290</v>
      </c>
      <c r="Q304" s="90">
        <f t="shared" si="369"/>
        <v>46290</v>
      </c>
      <c r="R304" s="90"/>
      <c r="S304" s="90">
        <f t="shared" si="375"/>
        <v>46304</v>
      </c>
      <c r="T304" s="90">
        <f t="shared" si="370"/>
        <v>46304</v>
      </c>
      <c r="U304" s="90"/>
      <c r="W304" s="174" t="str">
        <f t="shared" ca="1" si="398"/>
        <v>Completed</v>
      </c>
      <c r="X304" s="174" t="str">
        <f t="shared" ca="1" si="399"/>
        <v>Completed</v>
      </c>
      <c r="Y304" s="174" t="str">
        <f t="shared" ca="1" si="400"/>
        <v/>
      </c>
      <c r="Z304" s="175" t="str">
        <f t="shared" ca="1" si="401"/>
        <v/>
      </c>
    </row>
    <row r="305" spans="1:26" s="70" customFormat="1" ht="11.5" x14ac:dyDescent="0.25">
      <c r="A305" s="92" t="s">
        <v>67</v>
      </c>
      <c r="B305" s="92" t="s">
        <v>14</v>
      </c>
      <c r="C305" s="92" t="s">
        <v>1070</v>
      </c>
      <c r="D305" s="92" t="s">
        <v>379</v>
      </c>
      <c r="E305" s="94">
        <f t="shared" si="362"/>
        <v>0.7</v>
      </c>
      <c r="F305" s="94">
        <f t="shared" si="363"/>
        <v>0.7</v>
      </c>
      <c r="G305" s="94">
        <f t="shared" si="363"/>
        <v>0.7</v>
      </c>
      <c r="H305" s="94">
        <f t="shared" si="364"/>
        <v>0</v>
      </c>
      <c r="I305" s="96">
        <v>4.7E-2</v>
      </c>
      <c r="J305" s="90">
        <v>46206</v>
      </c>
      <c r="K305" s="90">
        <f t="shared" si="365"/>
        <v>46206</v>
      </c>
      <c r="L305" s="90">
        <v>46190</v>
      </c>
      <c r="M305" s="90">
        <f t="shared" si="366"/>
        <v>46248</v>
      </c>
      <c r="N305" s="90">
        <f t="shared" si="367"/>
        <v>46248</v>
      </c>
      <c r="O305" s="166">
        <v>46247</v>
      </c>
      <c r="P305" s="90">
        <f t="shared" si="368"/>
        <v>46290</v>
      </c>
      <c r="Q305" s="90">
        <f t="shared" si="369"/>
        <v>46290</v>
      </c>
      <c r="R305" s="90"/>
      <c r="S305" s="90">
        <f t="shared" si="375"/>
        <v>46304</v>
      </c>
      <c r="T305" s="90">
        <f t="shared" si="370"/>
        <v>46304</v>
      </c>
      <c r="U305" s="90"/>
      <c r="W305" s="174" t="str">
        <f t="shared" ca="1" si="398"/>
        <v>Completed</v>
      </c>
      <c r="X305" s="174" t="str">
        <f t="shared" ca="1" si="399"/>
        <v>Completed</v>
      </c>
      <c r="Y305" s="174" t="str">
        <f t="shared" ca="1" si="400"/>
        <v/>
      </c>
      <c r="Z305" s="175" t="str">
        <f t="shared" ca="1" si="401"/>
        <v/>
      </c>
    </row>
    <row r="306" spans="1:26" s="70" customFormat="1" ht="11.5" x14ac:dyDescent="0.25">
      <c r="A306" s="93" t="s">
        <v>67</v>
      </c>
      <c r="B306" s="93" t="s">
        <v>14</v>
      </c>
      <c r="C306" s="93" t="s">
        <v>380</v>
      </c>
      <c r="D306" s="93" t="s">
        <v>381</v>
      </c>
      <c r="E306" s="95">
        <f t="shared" si="362"/>
        <v>0.7</v>
      </c>
      <c r="F306" s="95">
        <f t="shared" si="363"/>
        <v>0.7</v>
      </c>
      <c r="G306" s="95">
        <f t="shared" si="363"/>
        <v>0.7</v>
      </c>
      <c r="H306" s="95">
        <f t="shared" si="364"/>
        <v>0</v>
      </c>
      <c r="I306" s="96">
        <v>4.7E-2</v>
      </c>
      <c r="J306" s="90">
        <v>46206</v>
      </c>
      <c r="K306" s="90">
        <f t="shared" si="365"/>
        <v>46206</v>
      </c>
      <c r="L306" s="90">
        <v>46220</v>
      </c>
      <c r="M306" s="90">
        <f t="shared" si="366"/>
        <v>46248</v>
      </c>
      <c r="N306" s="90">
        <f t="shared" si="367"/>
        <v>46248</v>
      </c>
      <c r="O306" s="90">
        <v>46233</v>
      </c>
      <c r="P306" s="90">
        <f t="shared" si="368"/>
        <v>46290</v>
      </c>
      <c r="Q306" s="90">
        <f t="shared" si="369"/>
        <v>46290</v>
      </c>
      <c r="R306" s="90"/>
      <c r="S306" s="90">
        <f t="shared" si="375"/>
        <v>46304</v>
      </c>
      <c r="T306" s="90">
        <f t="shared" si="370"/>
        <v>46304</v>
      </c>
      <c r="U306" s="90"/>
      <c r="W306" s="174" t="str">
        <f t="shared" ca="1" si="398"/>
        <v>Completed</v>
      </c>
      <c r="X306" s="174" t="str">
        <f t="shared" ca="1" si="399"/>
        <v>Completed</v>
      </c>
      <c r="Y306" s="174" t="str">
        <f t="shared" ca="1" si="400"/>
        <v/>
      </c>
      <c r="Z306" s="175" t="str">
        <f t="shared" ca="1" si="401"/>
        <v/>
      </c>
    </row>
    <row r="307" spans="1:26" s="70" customFormat="1" ht="11.5" x14ac:dyDescent="0.25">
      <c r="A307" s="93" t="s">
        <v>67</v>
      </c>
      <c r="B307" s="93" t="s">
        <v>14</v>
      </c>
      <c r="C307" s="93" t="s">
        <v>382</v>
      </c>
      <c r="D307" s="93" t="s">
        <v>383</v>
      </c>
      <c r="E307" s="95">
        <f t="shared" si="362"/>
        <v>0.7</v>
      </c>
      <c r="F307" s="95">
        <f t="shared" si="363"/>
        <v>0.7</v>
      </c>
      <c r="G307" s="95">
        <f t="shared" si="363"/>
        <v>0.7</v>
      </c>
      <c r="H307" s="95">
        <f t="shared" si="364"/>
        <v>0</v>
      </c>
      <c r="I307" s="96">
        <v>4.7E-2</v>
      </c>
      <c r="J307" s="90">
        <v>46206</v>
      </c>
      <c r="K307" s="90">
        <f t="shared" si="365"/>
        <v>46206</v>
      </c>
      <c r="L307" s="90">
        <v>46220</v>
      </c>
      <c r="M307" s="90">
        <f t="shared" si="366"/>
        <v>46248</v>
      </c>
      <c r="N307" s="90">
        <f t="shared" si="367"/>
        <v>46248</v>
      </c>
      <c r="O307" s="90">
        <v>46233</v>
      </c>
      <c r="P307" s="90">
        <f t="shared" si="368"/>
        <v>46290</v>
      </c>
      <c r="Q307" s="90">
        <f t="shared" si="369"/>
        <v>46290</v>
      </c>
      <c r="R307" s="90"/>
      <c r="S307" s="90">
        <f t="shared" si="375"/>
        <v>46304</v>
      </c>
      <c r="T307" s="90">
        <f t="shared" si="370"/>
        <v>46304</v>
      </c>
      <c r="U307" s="90"/>
      <c r="W307" s="174" t="str">
        <f t="shared" ca="1" si="398"/>
        <v>Completed</v>
      </c>
      <c r="X307" s="174" t="str">
        <f t="shared" ca="1" si="399"/>
        <v>Completed</v>
      </c>
      <c r="Y307" s="174" t="str">
        <f t="shared" ca="1" si="400"/>
        <v/>
      </c>
      <c r="Z307" s="175" t="str">
        <f t="shared" ca="1" si="401"/>
        <v/>
      </c>
    </row>
    <row r="308" spans="1:26" s="70" customFormat="1" ht="11.5" x14ac:dyDescent="0.25">
      <c r="A308" s="178" t="s">
        <v>67</v>
      </c>
      <c r="B308" s="178" t="s">
        <v>14</v>
      </c>
      <c r="C308" s="178" t="s">
        <v>384</v>
      </c>
      <c r="D308" s="178" t="s">
        <v>1175</v>
      </c>
      <c r="E308" s="156"/>
      <c r="F308" s="156"/>
      <c r="G308" s="156"/>
      <c r="H308" s="156"/>
      <c r="I308" s="165">
        <v>4.7E-2</v>
      </c>
      <c r="J308" s="159">
        <v>46206</v>
      </c>
      <c r="K308" s="159">
        <f t="shared" si="365"/>
        <v>46206</v>
      </c>
      <c r="L308" s="160">
        <v>46227</v>
      </c>
      <c r="M308" s="159">
        <f t="shared" si="366"/>
        <v>46248</v>
      </c>
      <c r="N308" s="159">
        <f t="shared" si="367"/>
        <v>46248</v>
      </c>
      <c r="O308" s="192">
        <v>46227</v>
      </c>
      <c r="P308" s="159">
        <f t="shared" si="368"/>
        <v>46290</v>
      </c>
      <c r="Q308" s="159">
        <f t="shared" si="369"/>
        <v>46290</v>
      </c>
      <c r="R308" s="160">
        <v>46227</v>
      </c>
      <c r="S308" s="159">
        <f t="shared" si="375"/>
        <v>46304</v>
      </c>
      <c r="T308" s="159">
        <f t="shared" si="370"/>
        <v>46304</v>
      </c>
      <c r="U308" s="160">
        <v>46227</v>
      </c>
      <c r="W308" s="174"/>
      <c r="X308" s="174"/>
      <c r="Y308" s="174"/>
      <c r="Z308" s="175"/>
    </row>
    <row r="309" spans="1:26" s="70" customFormat="1" ht="11.5" x14ac:dyDescent="0.25">
      <c r="A309" s="92" t="s">
        <v>67</v>
      </c>
      <c r="B309" s="92" t="s">
        <v>14</v>
      </c>
      <c r="C309" s="92" t="s">
        <v>1071</v>
      </c>
      <c r="D309" s="92" t="s">
        <v>385</v>
      </c>
      <c r="E309" s="95">
        <f t="shared" ref="E309:G309" si="410">(COUNTIFS(J309,"&lt;="&amp;$C$1)*50%)+(COUNTIFS(M309,"&lt;="&amp;$C$1)*20%)+(COUNTIFS(P309,"&lt;="&amp;$C$1)*10%)+(COUNTIFS(S309,"&lt;="&amp;$C$1)*20%)</f>
        <v>0.7</v>
      </c>
      <c r="F309" s="95">
        <f t="shared" si="410"/>
        <v>0.7</v>
      </c>
      <c r="G309" s="95">
        <f t="shared" si="410"/>
        <v>0.7</v>
      </c>
      <c r="H309" s="95">
        <f>G309-E309</f>
        <v>0</v>
      </c>
      <c r="I309" s="96">
        <v>4.7E-2</v>
      </c>
      <c r="J309" s="90">
        <v>46206</v>
      </c>
      <c r="K309" s="90">
        <f t="shared" si="365"/>
        <v>46206</v>
      </c>
      <c r="L309" s="90">
        <v>46220</v>
      </c>
      <c r="M309" s="90">
        <f t="shared" si="366"/>
        <v>46248</v>
      </c>
      <c r="N309" s="90">
        <f t="shared" si="367"/>
        <v>46248</v>
      </c>
      <c r="O309" s="90">
        <v>46233</v>
      </c>
      <c r="P309" s="90">
        <f t="shared" si="368"/>
        <v>46290</v>
      </c>
      <c r="Q309" s="90">
        <f t="shared" si="369"/>
        <v>46290</v>
      </c>
      <c r="R309" s="90"/>
      <c r="S309" s="90">
        <f t="shared" si="375"/>
        <v>46304</v>
      </c>
      <c r="T309" s="90">
        <f t="shared" si="370"/>
        <v>46304</v>
      </c>
      <c r="U309" s="90"/>
      <c r="W309" s="174" t="str">
        <f t="shared" ca="1" si="398"/>
        <v>Completed</v>
      </c>
      <c r="X309" s="174" t="str">
        <f t="shared" ca="1" si="399"/>
        <v>Completed</v>
      </c>
      <c r="Y309" s="174" t="str">
        <f t="shared" ca="1" si="400"/>
        <v/>
      </c>
      <c r="Z309" s="175" t="str">
        <f t="shared" ca="1" si="401"/>
        <v/>
      </c>
    </row>
    <row r="310" spans="1:26" s="70" customFormat="1" ht="11.5" x14ac:dyDescent="0.25">
      <c r="A310" s="93" t="s">
        <v>67</v>
      </c>
      <c r="B310" s="93" t="s">
        <v>14</v>
      </c>
      <c r="C310" s="93" t="s">
        <v>386</v>
      </c>
      <c r="D310" s="93" t="s">
        <v>387</v>
      </c>
      <c r="E310" s="95">
        <f t="shared" si="362"/>
        <v>0.7</v>
      </c>
      <c r="F310" s="95">
        <f t="shared" si="363"/>
        <v>0.7</v>
      </c>
      <c r="G310" s="95">
        <f t="shared" si="363"/>
        <v>0.5</v>
      </c>
      <c r="H310" s="95">
        <f t="shared" si="364"/>
        <v>-0.19999999999999996</v>
      </c>
      <c r="I310" s="96">
        <v>4.7E-2</v>
      </c>
      <c r="J310" s="90">
        <v>46206</v>
      </c>
      <c r="K310" s="90">
        <f t="shared" si="365"/>
        <v>46206</v>
      </c>
      <c r="L310" s="193">
        <v>46248</v>
      </c>
      <c r="M310" s="90">
        <f t="shared" si="366"/>
        <v>46248</v>
      </c>
      <c r="N310" s="90">
        <f t="shared" si="367"/>
        <v>46248</v>
      </c>
      <c r="O310" s="90"/>
      <c r="P310" s="90">
        <f t="shared" si="368"/>
        <v>46290</v>
      </c>
      <c r="Q310" s="90">
        <f t="shared" si="369"/>
        <v>46290</v>
      </c>
      <c r="R310" s="90"/>
      <c r="S310" s="90">
        <f t="shared" si="375"/>
        <v>46304</v>
      </c>
      <c r="T310" s="90">
        <f t="shared" si="370"/>
        <v>46304</v>
      </c>
      <c r="U310" s="90"/>
      <c r="W310" s="174" t="str">
        <f t="shared" ca="1" si="398"/>
        <v>Completed</v>
      </c>
      <c r="X310" s="174" t="str">
        <f t="shared" ca="1" si="399"/>
        <v>Overdue</v>
      </c>
      <c r="Y310" s="174" t="str">
        <f t="shared" ca="1" si="400"/>
        <v/>
      </c>
      <c r="Z310" s="175" t="str">
        <f t="shared" ca="1" si="401"/>
        <v/>
      </c>
    </row>
    <row r="311" spans="1:26" s="70" customFormat="1" ht="11.5" x14ac:dyDescent="0.25">
      <c r="A311" s="93" t="s">
        <v>67</v>
      </c>
      <c r="B311" s="93" t="s">
        <v>14</v>
      </c>
      <c r="C311" s="93" t="s">
        <v>388</v>
      </c>
      <c r="D311" s="93" t="s">
        <v>389</v>
      </c>
      <c r="E311" s="95">
        <f t="shared" si="362"/>
        <v>0.7</v>
      </c>
      <c r="F311" s="95">
        <f t="shared" si="363"/>
        <v>0.7</v>
      </c>
      <c r="G311" s="95">
        <f t="shared" si="363"/>
        <v>0.5</v>
      </c>
      <c r="H311" s="95">
        <f t="shared" si="364"/>
        <v>-0.19999999999999996</v>
      </c>
      <c r="I311" s="96">
        <v>4.7E-2</v>
      </c>
      <c r="J311" s="90">
        <v>46206</v>
      </c>
      <c r="K311" s="90">
        <f t="shared" si="365"/>
        <v>46206</v>
      </c>
      <c r="L311" s="193">
        <v>46248</v>
      </c>
      <c r="M311" s="90">
        <f t="shared" si="366"/>
        <v>46248</v>
      </c>
      <c r="N311" s="90">
        <f t="shared" si="367"/>
        <v>46248</v>
      </c>
      <c r="O311" s="90"/>
      <c r="P311" s="90">
        <f t="shared" si="368"/>
        <v>46290</v>
      </c>
      <c r="Q311" s="90">
        <f t="shared" si="369"/>
        <v>46290</v>
      </c>
      <c r="R311" s="90"/>
      <c r="S311" s="90">
        <f t="shared" si="375"/>
        <v>46304</v>
      </c>
      <c r="T311" s="90">
        <f t="shared" si="370"/>
        <v>46304</v>
      </c>
      <c r="U311" s="90"/>
      <c r="W311" s="174" t="str">
        <f t="shared" ca="1" si="398"/>
        <v>Completed</v>
      </c>
      <c r="X311" s="174" t="str">
        <f t="shared" ca="1" si="399"/>
        <v>Overdue</v>
      </c>
      <c r="Y311" s="174" t="str">
        <f t="shared" ca="1" si="400"/>
        <v/>
      </c>
      <c r="Z311" s="175" t="str">
        <f t="shared" ca="1" si="401"/>
        <v/>
      </c>
    </row>
    <row r="312" spans="1:26" s="70" customFormat="1" ht="11.5" x14ac:dyDescent="0.25">
      <c r="A312" s="93" t="s">
        <v>67</v>
      </c>
      <c r="B312" s="93" t="s">
        <v>14</v>
      </c>
      <c r="C312" s="93" t="s">
        <v>42</v>
      </c>
      <c r="D312" s="93" t="s">
        <v>390</v>
      </c>
      <c r="E312" s="95">
        <f t="shared" si="362"/>
        <v>0</v>
      </c>
      <c r="F312" s="95">
        <f t="shared" si="363"/>
        <v>0</v>
      </c>
      <c r="G312" s="95">
        <f t="shared" si="363"/>
        <v>0</v>
      </c>
      <c r="H312" s="95">
        <f t="shared" si="364"/>
        <v>0</v>
      </c>
      <c r="I312" s="130">
        <v>1.5</v>
      </c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W312" s="174" t="str">
        <f t="shared" ca="1" si="398"/>
        <v/>
      </c>
      <c r="X312" s="174" t="str">
        <f t="shared" ca="1" si="399"/>
        <v/>
      </c>
      <c r="Y312" s="174" t="str">
        <f t="shared" ca="1" si="400"/>
        <v/>
      </c>
      <c r="Z312" s="175" t="str">
        <f t="shared" ca="1" si="401"/>
        <v/>
      </c>
    </row>
    <row r="313" spans="1:26" s="70" customFormat="1" ht="11.5" x14ac:dyDescent="0.25">
      <c r="A313" s="73"/>
      <c r="B313" s="73"/>
      <c r="C313" s="73"/>
      <c r="D313" s="73"/>
      <c r="E313" s="74"/>
      <c r="F313" s="74"/>
      <c r="G313" s="74"/>
      <c r="H313" s="74"/>
      <c r="I313" s="75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W313" s="174" t="str">
        <f t="shared" ca="1" si="398"/>
        <v/>
      </c>
      <c r="X313" s="174" t="str">
        <f t="shared" ca="1" si="399"/>
        <v/>
      </c>
      <c r="Y313" s="174" t="str">
        <f t="shared" ca="1" si="400"/>
        <v/>
      </c>
      <c r="Z313" s="175" t="str">
        <f t="shared" ca="1" si="401"/>
        <v/>
      </c>
    </row>
    <row r="314" spans="1:26" s="70" customFormat="1" ht="11.5" x14ac:dyDescent="0.25">
      <c r="A314" s="102" t="s">
        <v>65</v>
      </c>
      <c r="B314" s="102" t="s">
        <v>14</v>
      </c>
      <c r="C314" s="102" t="s">
        <v>895</v>
      </c>
      <c r="D314" s="102" t="s">
        <v>891</v>
      </c>
      <c r="E314" s="105">
        <f t="shared" si="362"/>
        <v>0.7</v>
      </c>
      <c r="F314" s="105">
        <f t="shared" si="363"/>
        <v>0.7</v>
      </c>
      <c r="G314" s="105">
        <f t="shared" si="363"/>
        <v>0.79999999999999993</v>
      </c>
      <c r="H314" s="105">
        <f t="shared" si="364"/>
        <v>9.9999999999999978E-2</v>
      </c>
      <c r="I314" s="106">
        <v>8.9999999999999993E-3</v>
      </c>
      <c r="J314" s="107">
        <f t="shared" ref="J314:J345" si="411">J191+28</f>
        <v>46178</v>
      </c>
      <c r="K314" s="107">
        <f t="shared" si="365"/>
        <v>46178</v>
      </c>
      <c r="L314" s="107">
        <v>46175</v>
      </c>
      <c r="M314" s="108">
        <f t="shared" si="366"/>
        <v>46220</v>
      </c>
      <c r="N314" s="107">
        <f t="shared" si="367"/>
        <v>46220</v>
      </c>
      <c r="O314" s="107">
        <v>46191</v>
      </c>
      <c r="P314" s="108">
        <f t="shared" si="368"/>
        <v>46262</v>
      </c>
      <c r="Q314" s="107">
        <f t="shared" si="369"/>
        <v>46262</v>
      </c>
      <c r="R314" s="166">
        <v>46245</v>
      </c>
      <c r="S314" s="107">
        <f t="shared" si="375"/>
        <v>46276</v>
      </c>
      <c r="T314" s="107">
        <f t="shared" si="370"/>
        <v>46276</v>
      </c>
      <c r="U314" s="108"/>
      <c r="W314" s="174" t="str">
        <f t="shared" ca="1" si="398"/>
        <v>Completed</v>
      </c>
      <c r="X314" s="174" t="str">
        <f t="shared" ca="1" si="399"/>
        <v>Completed</v>
      </c>
      <c r="Y314" s="174" t="str">
        <f t="shared" ca="1" si="400"/>
        <v>Completed</v>
      </c>
      <c r="Z314" s="175" t="str">
        <f t="shared" ca="1" si="401"/>
        <v/>
      </c>
    </row>
    <row r="315" spans="1:26" s="70" customFormat="1" ht="11.5" x14ac:dyDescent="0.25">
      <c r="A315" s="102" t="s">
        <v>65</v>
      </c>
      <c r="B315" s="102" t="s">
        <v>14</v>
      </c>
      <c r="C315" s="102" t="s">
        <v>896</v>
      </c>
      <c r="D315" s="102" t="s">
        <v>892</v>
      </c>
      <c r="E315" s="105">
        <f t="shared" si="362"/>
        <v>0.7</v>
      </c>
      <c r="F315" s="105">
        <f t="shared" si="363"/>
        <v>0.7</v>
      </c>
      <c r="G315" s="105">
        <f t="shared" si="363"/>
        <v>0.79999999999999993</v>
      </c>
      <c r="H315" s="105">
        <f t="shared" si="364"/>
        <v>9.9999999999999978E-2</v>
      </c>
      <c r="I315" s="106">
        <v>8.9999999999999993E-3</v>
      </c>
      <c r="J315" s="107">
        <f t="shared" si="411"/>
        <v>46178</v>
      </c>
      <c r="K315" s="107">
        <f t="shared" si="365"/>
        <v>46178</v>
      </c>
      <c r="L315" s="107">
        <v>46175</v>
      </c>
      <c r="M315" s="108">
        <f t="shared" si="366"/>
        <v>46220</v>
      </c>
      <c r="N315" s="107">
        <f t="shared" si="367"/>
        <v>46220</v>
      </c>
      <c r="O315" s="107">
        <v>46191</v>
      </c>
      <c r="P315" s="108">
        <f t="shared" si="368"/>
        <v>46262</v>
      </c>
      <c r="Q315" s="107">
        <f t="shared" si="369"/>
        <v>46262</v>
      </c>
      <c r="R315" s="166">
        <v>46245</v>
      </c>
      <c r="S315" s="107">
        <f t="shared" si="375"/>
        <v>46276</v>
      </c>
      <c r="T315" s="107">
        <f t="shared" si="370"/>
        <v>46276</v>
      </c>
      <c r="U315" s="108"/>
      <c r="W315" s="174" t="str">
        <f t="shared" ca="1" si="398"/>
        <v>Completed</v>
      </c>
      <c r="X315" s="174" t="str">
        <f t="shared" ca="1" si="399"/>
        <v>Completed</v>
      </c>
      <c r="Y315" s="174" t="str">
        <f t="shared" ca="1" si="400"/>
        <v>Completed</v>
      </c>
      <c r="Z315" s="175" t="str">
        <f t="shared" ca="1" si="401"/>
        <v/>
      </c>
    </row>
    <row r="316" spans="1:26" s="70" customFormat="1" ht="11.5" x14ac:dyDescent="0.25">
      <c r="A316" s="102" t="s">
        <v>65</v>
      </c>
      <c r="B316" s="102" t="s">
        <v>14</v>
      </c>
      <c r="C316" s="102" t="s">
        <v>897</v>
      </c>
      <c r="D316" s="102" t="s">
        <v>893</v>
      </c>
      <c r="E316" s="105">
        <f t="shared" si="362"/>
        <v>0.7</v>
      </c>
      <c r="F316" s="105">
        <f t="shared" si="363"/>
        <v>0.7</v>
      </c>
      <c r="G316" s="105">
        <f t="shared" si="363"/>
        <v>0.79999999999999993</v>
      </c>
      <c r="H316" s="104">
        <f t="shared" si="364"/>
        <v>9.9999999999999978E-2</v>
      </c>
      <c r="I316" s="110">
        <v>4.7E-2</v>
      </c>
      <c r="J316" s="107">
        <f t="shared" si="411"/>
        <v>46178</v>
      </c>
      <c r="K316" s="107">
        <f t="shared" si="365"/>
        <v>46178</v>
      </c>
      <c r="L316" s="107">
        <v>46175</v>
      </c>
      <c r="M316" s="108">
        <f t="shared" si="366"/>
        <v>46220</v>
      </c>
      <c r="N316" s="107">
        <f t="shared" si="367"/>
        <v>46220</v>
      </c>
      <c r="O316" s="107">
        <v>46191</v>
      </c>
      <c r="P316" s="108">
        <f t="shared" si="368"/>
        <v>46262</v>
      </c>
      <c r="Q316" s="107">
        <f t="shared" si="369"/>
        <v>46262</v>
      </c>
      <c r="R316" s="166">
        <v>46245</v>
      </c>
      <c r="S316" s="107">
        <f t="shared" si="375"/>
        <v>46276</v>
      </c>
      <c r="T316" s="107">
        <f t="shared" si="370"/>
        <v>46276</v>
      </c>
      <c r="U316" s="108"/>
      <c r="W316" s="174" t="str">
        <f t="shared" ca="1" si="398"/>
        <v>Completed</v>
      </c>
      <c r="X316" s="174" t="str">
        <f t="shared" ca="1" si="399"/>
        <v>Completed</v>
      </c>
      <c r="Y316" s="174" t="str">
        <f t="shared" ca="1" si="400"/>
        <v>Completed</v>
      </c>
      <c r="Z316" s="175" t="str">
        <f t="shared" ca="1" si="401"/>
        <v/>
      </c>
    </row>
    <row r="317" spans="1:26" s="70" customFormat="1" ht="11.5" x14ac:dyDescent="0.25">
      <c r="A317" s="102" t="s">
        <v>65</v>
      </c>
      <c r="B317" s="102" t="s">
        <v>14</v>
      </c>
      <c r="C317" s="102" t="s">
        <v>898</v>
      </c>
      <c r="D317" s="102" t="s">
        <v>894</v>
      </c>
      <c r="E317" s="105">
        <f t="shared" si="362"/>
        <v>0.7</v>
      </c>
      <c r="F317" s="105">
        <f t="shared" si="363"/>
        <v>0.7</v>
      </c>
      <c r="G317" s="105">
        <f t="shared" si="363"/>
        <v>0.79999999999999993</v>
      </c>
      <c r="H317" s="104">
        <f t="shared" si="364"/>
        <v>9.9999999999999978E-2</v>
      </c>
      <c r="I317" s="110">
        <v>4.7E-2</v>
      </c>
      <c r="J317" s="107">
        <f t="shared" si="411"/>
        <v>46178</v>
      </c>
      <c r="K317" s="107">
        <f t="shared" si="365"/>
        <v>46178</v>
      </c>
      <c r="L317" s="107">
        <v>46175</v>
      </c>
      <c r="M317" s="108">
        <f t="shared" si="366"/>
        <v>46220</v>
      </c>
      <c r="N317" s="107">
        <f t="shared" si="367"/>
        <v>46220</v>
      </c>
      <c r="O317" s="107">
        <v>46191</v>
      </c>
      <c r="P317" s="108">
        <f t="shared" si="368"/>
        <v>46262</v>
      </c>
      <c r="Q317" s="107">
        <f t="shared" si="369"/>
        <v>46262</v>
      </c>
      <c r="R317" s="166">
        <v>46245</v>
      </c>
      <c r="S317" s="107">
        <f t="shared" si="375"/>
        <v>46276</v>
      </c>
      <c r="T317" s="107">
        <f t="shared" si="370"/>
        <v>46276</v>
      </c>
      <c r="U317" s="108"/>
      <c r="W317" s="174" t="str">
        <f t="shared" ca="1" si="398"/>
        <v>Completed</v>
      </c>
      <c r="X317" s="174" t="str">
        <f t="shared" ca="1" si="399"/>
        <v>Completed</v>
      </c>
      <c r="Y317" s="174" t="str">
        <f t="shared" ca="1" si="400"/>
        <v>Completed</v>
      </c>
      <c r="Z317" s="175" t="str">
        <f t="shared" ca="1" si="401"/>
        <v/>
      </c>
    </row>
    <row r="318" spans="1:26" s="70" customFormat="1" ht="11.5" x14ac:dyDescent="0.25">
      <c r="A318" s="102" t="s">
        <v>65</v>
      </c>
      <c r="B318" s="102" t="s">
        <v>14</v>
      </c>
      <c r="C318" s="102" t="s">
        <v>391</v>
      </c>
      <c r="D318" s="102" t="s">
        <v>392</v>
      </c>
      <c r="E318" s="105">
        <f t="shared" si="362"/>
        <v>0.7</v>
      </c>
      <c r="F318" s="105">
        <f t="shared" si="363"/>
        <v>0.7</v>
      </c>
      <c r="G318" s="105">
        <f t="shared" si="363"/>
        <v>0</v>
      </c>
      <c r="H318" s="104">
        <f t="shared" si="364"/>
        <v>-0.7</v>
      </c>
      <c r="I318" s="110">
        <v>4.7E-2</v>
      </c>
      <c r="J318" s="107">
        <f t="shared" si="411"/>
        <v>46178</v>
      </c>
      <c r="K318" s="108">
        <f t="shared" si="365"/>
        <v>46178</v>
      </c>
      <c r="L318" s="108"/>
      <c r="M318" s="108">
        <f t="shared" si="366"/>
        <v>46220</v>
      </c>
      <c r="N318" s="108">
        <f t="shared" si="367"/>
        <v>46220</v>
      </c>
      <c r="O318" s="108"/>
      <c r="P318" s="108">
        <f t="shared" si="368"/>
        <v>46262</v>
      </c>
      <c r="Q318" s="108">
        <f t="shared" si="369"/>
        <v>46262</v>
      </c>
      <c r="R318" s="108"/>
      <c r="S318" s="107">
        <f t="shared" si="375"/>
        <v>46276</v>
      </c>
      <c r="T318" s="108">
        <f t="shared" si="370"/>
        <v>46276</v>
      </c>
      <c r="U318" s="108"/>
      <c r="W318" s="174" t="str">
        <f t="shared" ca="1" si="398"/>
        <v>Overdue</v>
      </c>
      <c r="X318" s="174" t="str">
        <f t="shared" ca="1" si="399"/>
        <v>Overdue</v>
      </c>
      <c r="Y318" s="174" t="str">
        <f t="shared" ca="1" si="400"/>
        <v/>
      </c>
      <c r="Z318" s="175" t="str">
        <f t="shared" ca="1" si="401"/>
        <v/>
      </c>
    </row>
    <row r="319" spans="1:26" s="70" customFormat="1" ht="11.5" x14ac:dyDescent="0.25">
      <c r="A319" s="102" t="s">
        <v>65</v>
      </c>
      <c r="B319" s="102" t="s">
        <v>14</v>
      </c>
      <c r="C319" s="102" t="s">
        <v>393</v>
      </c>
      <c r="D319" s="102" t="s">
        <v>394</v>
      </c>
      <c r="E319" s="105">
        <f t="shared" ref="E319:E375" si="412">(COUNTIFS(J319,"&lt;="&amp;$C$1)*50%)+(COUNTIFS(M319,"&lt;="&amp;$C$1)*20%)+(COUNTIFS(P319,"&lt;="&amp;$C$1)*10%)+(COUNTIFS(S319,"&lt;="&amp;$C$1)*20%)</f>
        <v>0.7</v>
      </c>
      <c r="F319" s="105">
        <f t="shared" ref="F319:G375" si="413">(COUNTIFS(K319,"&lt;="&amp;$C$1)*50%)+(COUNTIFS(N319,"&lt;="&amp;$C$1)*20%)+(COUNTIFS(Q319,"&lt;="&amp;$C$1)*10%)+(COUNTIFS(T319,"&lt;="&amp;$C$1)*20%)</f>
        <v>0.7</v>
      </c>
      <c r="G319" s="105">
        <f t="shared" si="413"/>
        <v>0</v>
      </c>
      <c r="H319" s="104">
        <f t="shared" ref="H319:H375" si="414">G319-E319</f>
        <v>-0.7</v>
      </c>
      <c r="I319" s="110">
        <v>4.7E-2</v>
      </c>
      <c r="J319" s="107">
        <f t="shared" si="411"/>
        <v>46178</v>
      </c>
      <c r="K319" s="108">
        <f t="shared" si="365"/>
        <v>46178</v>
      </c>
      <c r="L319" s="108"/>
      <c r="M319" s="108">
        <f t="shared" si="366"/>
        <v>46220</v>
      </c>
      <c r="N319" s="108">
        <f t="shared" si="367"/>
        <v>46220</v>
      </c>
      <c r="O319" s="108"/>
      <c r="P319" s="108">
        <f t="shared" si="368"/>
        <v>46262</v>
      </c>
      <c r="Q319" s="108">
        <f t="shared" si="369"/>
        <v>46262</v>
      </c>
      <c r="R319" s="108"/>
      <c r="S319" s="107">
        <f t="shared" si="375"/>
        <v>46276</v>
      </c>
      <c r="T319" s="108">
        <f t="shared" si="370"/>
        <v>46276</v>
      </c>
      <c r="U319" s="108"/>
      <c r="W319" s="174" t="str">
        <f t="shared" ca="1" si="398"/>
        <v>Overdue</v>
      </c>
      <c r="X319" s="174" t="str">
        <f t="shared" ca="1" si="399"/>
        <v>Overdue</v>
      </c>
      <c r="Y319" s="174" t="str">
        <f t="shared" ca="1" si="400"/>
        <v/>
      </c>
      <c r="Z319" s="175" t="str">
        <f t="shared" ca="1" si="401"/>
        <v/>
      </c>
    </row>
    <row r="320" spans="1:26" s="70" customFormat="1" ht="11.5" x14ac:dyDescent="0.25">
      <c r="A320" s="102" t="s">
        <v>65</v>
      </c>
      <c r="B320" s="102" t="s">
        <v>14</v>
      </c>
      <c r="C320" s="102" t="s">
        <v>395</v>
      </c>
      <c r="D320" s="102" t="s">
        <v>396</v>
      </c>
      <c r="E320" s="105">
        <f t="shared" si="412"/>
        <v>0.7</v>
      </c>
      <c r="F320" s="105">
        <f t="shared" si="413"/>
        <v>0.7</v>
      </c>
      <c r="G320" s="105">
        <f t="shared" si="413"/>
        <v>0.7</v>
      </c>
      <c r="H320" s="104">
        <f t="shared" si="414"/>
        <v>0</v>
      </c>
      <c r="I320" s="110">
        <v>4.7E-2</v>
      </c>
      <c r="J320" s="107">
        <f t="shared" si="411"/>
        <v>46178</v>
      </c>
      <c r="K320" s="108">
        <f t="shared" si="365"/>
        <v>46178</v>
      </c>
      <c r="L320" s="107">
        <v>46130</v>
      </c>
      <c r="M320" s="108">
        <f t="shared" si="366"/>
        <v>46220</v>
      </c>
      <c r="N320" s="108">
        <f t="shared" si="367"/>
        <v>46220</v>
      </c>
      <c r="O320" s="108">
        <v>46217</v>
      </c>
      <c r="P320" s="108">
        <f>M320+38</f>
        <v>46258</v>
      </c>
      <c r="Q320" s="108">
        <f t="shared" si="369"/>
        <v>46258</v>
      </c>
      <c r="R320" s="108"/>
      <c r="S320" s="107">
        <f t="shared" si="375"/>
        <v>46272</v>
      </c>
      <c r="T320" s="108">
        <f t="shared" si="370"/>
        <v>46272</v>
      </c>
      <c r="U320" s="108"/>
      <c r="W320" s="174" t="str">
        <f t="shared" ca="1" si="398"/>
        <v>Completed</v>
      </c>
      <c r="X320" s="174" t="str">
        <f t="shared" ca="1" si="399"/>
        <v>Completed</v>
      </c>
      <c r="Y320" s="174" t="str">
        <f t="shared" ca="1" si="400"/>
        <v/>
      </c>
      <c r="Z320" s="175" t="str">
        <f t="shared" ca="1" si="401"/>
        <v/>
      </c>
    </row>
    <row r="321" spans="1:26" s="70" customFormat="1" ht="11.5" x14ac:dyDescent="0.25">
      <c r="A321" s="102" t="s">
        <v>65</v>
      </c>
      <c r="B321" s="102" t="s">
        <v>14</v>
      </c>
      <c r="C321" s="102" t="s">
        <v>397</v>
      </c>
      <c r="D321" s="102" t="s">
        <v>398</v>
      </c>
      <c r="E321" s="105">
        <f t="shared" si="412"/>
        <v>0.7</v>
      </c>
      <c r="F321" s="105">
        <f t="shared" si="413"/>
        <v>0.7</v>
      </c>
      <c r="G321" s="105">
        <f t="shared" si="413"/>
        <v>0.7</v>
      </c>
      <c r="H321" s="104">
        <f t="shared" si="414"/>
        <v>0</v>
      </c>
      <c r="I321" s="110">
        <v>4.7E-2</v>
      </c>
      <c r="J321" s="107">
        <f t="shared" si="411"/>
        <v>46178</v>
      </c>
      <c r="K321" s="108">
        <f t="shared" si="365"/>
        <v>46178</v>
      </c>
      <c r="L321" s="107">
        <v>46130</v>
      </c>
      <c r="M321" s="108">
        <f t="shared" si="366"/>
        <v>46220</v>
      </c>
      <c r="N321" s="108">
        <f t="shared" si="367"/>
        <v>46220</v>
      </c>
      <c r="O321" s="108">
        <v>46217</v>
      </c>
      <c r="P321" s="108">
        <f t="shared" ref="P321:P346" si="415">M321+38</f>
        <v>46258</v>
      </c>
      <c r="Q321" s="108">
        <f t="shared" si="369"/>
        <v>46258</v>
      </c>
      <c r="R321" s="108"/>
      <c r="S321" s="107">
        <f t="shared" si="375"/>
        <v>46272</v>
      </c>
      <c r="T321" s="108">
        <f t="shared" si="370"/>
        <v>46272</v>
      </c>
      <c r="U321" s="108"/>
      <c r="W321" s="174" t="str">
        <f t="shared" ca="1" si="398"/>
        <v>Completed</v>
      </c>
      <c r="X321" s="174" t="str">
        <f t="shared" ca="1" si="399"/>
        <v>Completed</v>
      </c>
      <c r="Y321" s="174" t="str">
        <f t="shared" ca="1" si="400"/>
        <v/>
      </c>
      <c r="Z321" s="175" t="str">
        <f t="shared" ca="1" si="401"/>
        <v/>
      </c>
    </row>
    <row r="322" spans="1:26" s="70" customFormat="1" ht="11.5" x14ac:dyDescent="0.25">
      <c r="A322" s="102" t="s">
        <v>65</v>
      </c>
      <c r="B322" s="102" t="s">
        <v>14</v>
      </c>
      <c r="C322" s="102" t="s">
        <v>399</v>
      </c>
      <c r="D322" s="102" t="s">
        <v>400</v>
      </c>
      <c r="E322" s="105">
        <f t="shared" si="412"/>
        <v>0.7</v>
      </c>
      <c r="F322" s="105">
        <f t="shared" si="413"/>
        <v>0.7</v>
      </c>
      <c r="G322" s="105">
        <f t="shared" si="413"/>
        <v>0.7</v>
      </c>
      <c r="H322" s="104">
        <f t="shared" si="414"/>
        <v>0</v>
      </c>
      <c r="I322" s="110">
        <v>4.7E-2</v>
      </c>
      <c r="J322" s="107">
        <f t="shared" si="411"/>
        <v>46178</v>
      </c>
      <c r="K322" s="108">
        <f t="shared" si="365"/>
        <v>46178</v>
      </c>
      <c r="L322" s="107">
        <v>46130</v>
      </c>
      <c r="M322" s="108">
        <f t="shared" si="366"/>
        <v>46220</v>
      </c>
      <c r="N322" s="108">
        <f t="shared" si="367"/>
        <v>46220</v>
      </c>
      <c r="O322" s="108">
        <v>46217</v>
      </c>
      <c r="P322" s="108">
        <f t="shared" si="415"/>
        <v>46258</v>
      </c>
      <c r="Q322" s="108">
        <f t="shared" si="369"/>
        <v>46258</v>
      </c>
      <c r="R322" s="108"/>
      <c r="S322" s="107">
        <f t="shared" si="375"/>
        <v>46272</v>
      </c>
      <c r="T322" s="108">
        <f t="shared" si="370"/>
        <v>46272</v>
      </c>
      <c r="U322" s="108"/>
      <c r="W322" s="174" t="str">
        <f t="shared" ca="1" si="398"/>
        <v>Completed</v>
      </c>
      <c r="X322" s="174" t="str">
        <f t="shared" ca="1" si="399"/>
        <v>Completed</v>
      </c>
      <c r="Y322" s="174" t="str">
        <f t="shared" ca="1" si="400"/>
        <v/>
      </c>
      <c r="Z322" s="175" t="str">
        <f t="shared" ca="1" si="401"/>
        <v/>
      </c>
    </row>
    <row r="323" spans="1:26" s="70" customFormat="1" ht="11.5" x14ac:dyDescent="0.25">
      <c r="A323" s="102" t="s">
        <v>65</v>
      </c>
      <c r="B323" s="102" t="s">
        <v>14</v>
      </c>
      <c r="C323" s="102" t="s">
        <v>401</v>
      </c>
      <c r="D323" s="102" t="s">
        <v>402</v>
      </c>
      <c r="E323" s="105">
        <f t="shared" si="412"/>
        <v>0.7</v>
      </c>
      <c r="F323" s="105">
        <f t="shared" si="413"/>
        <v>0.7</v>
      </c>
      <c r="G323" s="105">
        <f t="shared" si="413"/>
        <v>0.7</v>
      </c>
      <c r="H323" s="104">
        <f t="shared" si="414"/>
        <v>0</v>
      </c>
      <c r="I323" s="110">
        <v>4.7E-2</v>
      </c>
      <c r="J323" s="107">
        <f t="shared" si="411"/>
        <v>46178</v>
      </c>
      <c r="K323" s="108">
        <f t="shared" si="365"/>
        <v>46178</v>
      </c>
      <c r="L323" s="107">
        <v>46130</v>
      </c>
      <c r="M323" s="108">
        <f t="shared" si="366"/>
        <v>46220</v>
      </c>
      <c r="N323" s="108">
        <f t="shared" si="367"/>
        <v>46220</v>
      </c>
      <c r="O323" s="108">
        <v>46217</v>
      </c>
      <c r="P323" s="108">
        <f t="shared" si="415"/>
        <v>46258</v>
      </c>
      <c r="Q323" s="108">
        <f t="shared" si="369"/>
        <v>46258</v>
      </c>
      <c r="R323" s="108"/>
      <c r="S323" s="107">
        <f t="shared" si="375"/>
        <v>46272</v>
      </c>
      <c r="T323" s="108">
        <f t="shared" si="370"/>
        <v>46272</v>
      </c>
      <c r="U323" s="108"/>
      <c r="W323" s="174" t="str">
        <f t="shared" ca="1" si="398"/>
        <v>Completed</v>
      </c>
      <c r="X323" s="174" t="str">
        <f t="shared" ca="1" si="399"/>
        <v>Completed</v>
      </c>
      <c r="Y323" s="174" t="str">
        <f t="shared" ca="1" si="400"/>
        <v/>
      </c>
      <c r="Z323" s="175" t="str">
        <f t="shared" ca="1" si="401"/>
        <v/>
      </c>
    </row>
    <row r="324" spans="1:26" s="70" customFormat="1" ht="11.5" x14ac:dyDescent="0.25">
      <c r="A324" s="102" t="s">
        <v>65</v>
      </c>
      <c r="B324" s="102" t="s">
        <v>14</v>
      </c>
      <c r="C324" s="102" t="s">
        <v>403</v>
      </c>
      <c r="D324" s="102" t="s">
        <v>404</v>
      </c>
      <c r="E324" s="105">
        <f t="shared" si="412"/>
        <v>0.7</v>
      </c>
      <c r="F324" s="105">
        <f t="shared" si="413"/>
        <v>0.7</v>
      </c>
      <c r="G324" s="105">
        <f t="shared" si="413"/>
        <v>0.7</v>
      </c>
      <c r="H324" s="104">
        <f t="shared" si="414"/>
        <v>0</v>
      </c>
      <c r="I324" s="110">
        <v>4.7E-2</v>
      </c>
      <c r="J324" s="107">
        <f t="shared" si="411"/>
        <v>46178</v>
      </c>
      <c r="K324" s="108">
        <f t="shared" si="365"/>
        <v>46178</v>
      </c>
      <c r="L324" s="107">
        <v>46130</v>
      </c>
      <c r="M324" s="108">
        <f t="shared" si="366"/>
        <v>46220</v>
      </c>
      <c r="N324" s="108">
        <f t="shared" si="367"/>
        <v>46220</v>
      </c>
      <c r="O324" s="108">
        <v>46217</v>
      </c>
      <c r="P324" s="108">
        <f t="shared" si="415"/>
        <v>46258</v>
      </c>
      <c r="Q324" s="108">
        <f t="shared" si="369"/>
        <v>46258</v>
      </c>
      <c r="R324" s="108"/>
      <c r="S324" s="107">
        <f t="shared" si="375"/>
        <v>46272</v>
      </c>
      <c r="T324" s="108">
        <f t="shared" si="370"/>
        <v>46272</v>
      </c>
      <c r="U324" s="108"/>
      <c r="W324" s="174" t="str">
        <f t="shared" ca="1" si="398"/>
        <v>Completed</v>
      </c>
      <c r="X324" s="174" t="str">
        <f t="shared" ca="1" si="399"/>
        <v>Completed</v>
      </c>
      <c r="Y324" s="174" t="str">
        <f t="shared" ca="1" si="400"/>
        <v/>
      </c>
      <c r="Z324" s="175" t="str">
        <f t="shared" ca="1" si="401"/>
        <v/>
      </c>
    </row>
    <row r="325" spans="1:26" s="70" customFormat="1" ht="11.5" x14ac:dyDescent="0.25">
      <c r="A325" s="102" t="s">
        <v>65</v>
      </c>
      <c r="B325" s="102" t="s">
        <v>14</v>
      </c>
      <c r="C325" s="102" t="s">
        <v>405</v>
      </c>
      <c r="D325" s="102" t="s">
        <v>406</v>
      </c>
      <c r="E325" s="105">
        <f t="shared" si="412"/>
        <v>0.7</v>
      </c>
      <c r="F325" s="105">
        <f t="shared" si="413"/>
        <v>0.7</v>
      </c>
      <c r="G325" s="105">
        <f t="shared" si="413"/>
        <v>0.7</v>
      </c>
      <c r="H325" s="104">
        <f t="shared" si="414"/>
        <v>0</v>
      </c>
      <c r="I325" s="110">
        <v>4.7E-2</v>
      </c>
      <c r="J325" s="107">
        <f t="shared" si="411"/>
        <v>46178</v>
      </c>
      <c r="K325" s="108">
        <f t="shared" si="365"/>
        <v>46178</v>
      </c>
      <c r="L325" s="107">
        <v>46130</v>
      </c>
      <c r="M325" s="108">
        <f t="shared" si="366"/>
        <v>46220</v>
      </c>
      <c r="N325" s="108">
        <f t="shared" si="367"/>
        <v>46220</v>
      </c>
      <c r="O325" s="108">
        <v>46217</v>
      </c>
      <c r="P325" s="108">
        <f t="shared" si="415"/>
        <v>46258</v>
      </c>
      <c r="Q325" s="108">
        <f t="shared" si="369"/>
        <v>46258</v>
      </c>
      <c r="R325" s="108"/>
      <c r="S325" s="107">
        <f t="shared" si="375"/>
        <v>46272</v>
      </c>
      <c r="T325" s="108">
        <f t="shared" si="370"/>
        <v>46272</v>
      </c>
      <c r="U325" s="108"/>
      <c r="W325" s="174" t="str">
        <f t="shared" ca="1" si="398"/>
        <v>Completed</v>
      </c>
      <c r="X325" s="174" t="str">
        <f t="shared" ca="1" si="399"/>
        <v>Completed</v>
      </c>
      <c r="Y325" s="174" t="str">
        <f t="shared" ca="1" si="400"/>
        <v/>
      </c>
      <c r="Z325" s="175" t="str">
        <f t="shared" ca="1" si="401"/>
        <v/>
      </c>
    </row>
    <row r="326" spans="1:26" s="70" customFormat="1" ht="11.5" x14ac:dyDescent="0.25">
      <c r="A326" s="102" t="s">
        <v>65</v>
      </c>
      <c r="B326" s="102" t="s">
        <v>14</v>
      </c>
      <c r="C326" s="102" t="s">
        <v>407</v>
      </c>
      <c r="D326" s="102" t="s">
        <v>408</v>
      </c>
      <c r="E326" s="105">
        <f t="shared" si="412"/>
        <v>0.7</v>
      </c>
      <c r="F326" s="105">
        <f t="shared" si="413"/>
        <v>0.7</v>
      </c>
      <c r="G326" s="105">
        <f t="shared" si="413"/>
        <v>0.7</v>
      </c>
      <c r="H326" s="104">
        <f t="shared" si="414"/>
        <v>0</v>
      </c>
      <c r="I326" s="110">
        <v>4.7E-2</v>
      </c>
      <c r="J326" s="107">
        <f t="shared" si="411"/>
        <v>46178</v>
      </c>
      <c r="K326" s="108">
        <f t="shared" si="365"/>
        <v>46178</v>
      </c>
      <c r="L326" s="107">
        <v>46130</v>
      </c>
      <c r="M326" s="108">
        <f t="shared" si="366"/>
        <v>46220</v>
      </c>
      <c r="N326" s="108">
        <f t="shared" si="367"/>
        <v>46220</v>
      </c>
      <c r="O326" s="108">
        <v>46217</v>
      </c>
      <c r="P326" s="108">
        <f t="shared" si="415"/>
        <v>46258</v>
      </c>
      <c r="Q326" s="108">
        <f t="shared" si="369"/>
        <v>46258</v>
      </c>
      <c r="R326" s="108"/>
      <c r="S326" s="107">
        <f t="shared" si="375"/>
        <v>46272</v>
      </c>
      <c r="T326" s="108">
        <f t="shared" si="370"/>
        <v>46272</v>
      </c>
      <c r="U326" s="108"/>
      <c r="W326" s="174" t="str">
        <f t="shared" ca="1" si="398"/>
        <v>Completed</v>
      </c>
      <c r="X326" s="174" t="str">
        <f t="shared" ca="1" si="399"/>
        <v>Completed</v>
      </c>
      <c r="Y326" s="174" t="str">
        <f t="shared" ca="1" si="400"/>
        <v/>
      </c>
      <c r="Z326" s="175" t="str">
        <f t="shared" ca="1" si="401"/>
        <v/>
      </c>
    </row>
    <row r="327" spans="1:26" s="70" customFormat="1" ht="11.5" x14ac:dyDescent="0.25">
      <c r="A327" s="102" t="s">
        <v>65</v>
      </c>
      <c r="B327" s="102" t="s">
        <v>14</v>
      </c>
      <c r="C327" s="102" t="s">
        <v>409</v>
      </c>
      <c r="D327" s="102" t="s">
        <v>410</v>
      </c>
      <c r="E327" s="105">
        <f t="shared" si="412"/>
        <v>0.7</v>
      </c>
      <c r="F327" s="105">
        <f t="shared" si="413"/>
        <v>0.7</v>
      </c>
      <c r="G327" s="105">
        <f t="shared" si="413"/>
        <v>0.7</v>
      </c>
      <c r="H327" s="104">
        <f t="shared" si="414"/>
        <v>0</v>
      </c>
      <c r="I327" s="110">
        <v>4.7E-2</v>
      </c>
      <c r="J327" s="107">
        <f t="shared" si="411"/>
        <v>46178</v>
      </c>
      <c r="K327" s="108">
        <f t="shared" si="365"/>
        <v>46178</v>
      </c>
      <c r="L327" s="107">
        <v>46130</v>
      </c>
      <c r="M327" s="108">
        <f t="shared" si="366"/>
        <v>46220</v>
      </c>
      <c r="N327" s="108">
        <f t="shared" si="367"/>
        <v>46220</v>
      </c>
      <c r="O327" s="108">
        <v>46217</v>
      </c>
      <c r="P327" s="108">
        <f t="shared" si="415"/>
        <v>46258</v>
      </c>
      <c r="Q327" s="108">
        <f t="shared" si="369"/>
        <v>46258</v>
      </c>
      <c r="R327" s="108"/>
      <c r="S327" s="107">
        <f t="shared" si="375"/>
        <v>46272</v>
      </c>
      <c r="T327" s="108">
        <f t="shared" si="370"/>
        <v>46272</v>
      </c>
      <c r="U327" s="108"/>
      <c r="W327" s="174" t="str">
        <f t="shared" ca="1" si="398"/>
        <v>Completed</v>
      </c>
      <c r="X327" s="174" t="str">
        <f t="shared" ca="1" si="399"/>
        <v>Completed</v>
      </c>
      <c r="Y327" s="174" t="str">
        <f t="shared" ca="1" si="400"/>
        <v/>
      </c>
      <c r="Z327" s="175" t="str">
        <f t="shared" ca="1" si="401"/>
        <v/>
      </c>
    </row>
    <row r="328" spans="1:26" s="70" customFormat="1" ht="11.5" x14ac:dyDescent="0.25">
      <c r="A328" s="102" t="s">
        <v>65</v>
      </c>
      <c r="B328" s="102" t="s">
        <v>14</v>
      </c>
      <c r="C328" s="102" t="s">
        <v>411</v>
      </c>
      <c r="D328" s="102" t="s">
        <v>412</v>
      </c>
      <c r="E328" s="105">
        <f t="shared" si="412"/>
        <v>0.7</v>
      </c>
      <c r="F328" s="105">
        <f t="shared" si="413"/>
        <v>0.7</v>
      </c>
      <c r="G328" s="105">
        <f t="shared" si="413"/>
        <v>0.7</v>
      </c>
      <c r="H328" s="104">
        <f t="shared" si="414"/>
        <v>0</v>
      </c>
      <c r="I328" s="110">
        <v>4.7E-2</v>
      </c>
      <c r="J328" s="107">
        <f t="shared" si="411"/>
        <v>46178</v>
      </c>
      <c r="K328" s="108">
        <f t="shared" si="365"/>
        <v>46178</v>
      </c>
      <c r="L328" s="107">
        <v>46130</v>
      </c>
      <c r="M328" s="108">
        <f t="shared" si="366"/>
        <v>46220</v>
      </c>
      <c r="N328" s="108">
        <f t="shared" si="367"/>
        <v>46220</v>
      </c>
      <c r="O328" s="108">
        <v>46217</v>
      </c>
      <c r="P328" s="108">
        <f t="shared" si="415"/>
        <v>46258</v>
      </c>
      <c r="Q328" s="108">
        <f t="shared" si="369"/>
        <v>46258</v>
      </c>
      <c r="R328" s="108"/>
      <c r="S328" s="107">
        <f t="shared" si="375"/>
        <v>46272</v>
      </c>
      <c r="T328" s="108">
        <f t="shared" si="370"/>
        <v>46272</v>
      </c>
      <c r="U328" s="108"/>
      <c r="W328" s="174" t="str">
        <f t="shared" ca="1" si="398"/>
        <v>Completed</v>
      </c>
      <c r="X328" s="174" t="str">
        <f t="shared" ca="1" si="399"/>
        <v>Completed</v>
      </c>
      <c r="Y328" s="174" t="str">
        <f t="shared" ca="1" si="400"/>
        <v/>
      </c>
      <c r="Z328" s="175" t="str">
        <f t="shared" ca="1" si="401"/>
        <v/>
      </c>
    </row>
    <row r="329" spans="1:26" s="70" customFormat="1" ht="11.5" x14ac:dyDescent="0.25">
      <c r="A329" s="102" t="s">
        <v>65</v>
      </c>
      <c r="B329" s="102" t="s">
        <v>14</v>
      </c>
      <c r="C329" s="102" t="s">
        <v>413</v>
      </c>
      <c r="D329" s="102" t="s">
        <v>414</v>
      </c>
      <c r="E329" s="105">
        <f t="shared" si="412"/>
        <v>0.7</v>
      </c>
      <c r="F329" s="105">
        <f t="shared" si="413"/>
        <v>0.7</v>
      </c>
      <c r="G329" s="105">
        <f t="shared" si="413"/>
        <v>0.7</v>
      </c>
      <c r="H329" s="104">
        <f t="shared" si="414"/>
        <v>0</v>
      </c>
      <c r="I329" s="110">
        <v>4.7E-2</v>
      </c>
      <c r="J329" s="107">
        <f t="shared" si="411"/>
        <v>46178</v>
      </c>
      <c r="K329" s="108">
        <f t="shared" ref="K329:K397" si="416">J329</f>
        <v>46178</v>
      </c>
      <c r="L329" s="107">
        <v>46130</v>
      </c>
      <c r="M329" s="108">
        <f t="shared" ref="M329:M397" si="417">J329+42</f>
        <v>46220</v>
      </c>
      <c r="N329" s="108">
        <f t="shared" ref="N329:N397" si="418">M329</f>
        <v>46220</v>
      </c>
      <c r="O329" s="108">
        <v>46217</v>
      </c>
      <c r="P329" s="108">
        <f t="shared" si="415"/>
        <v>46258</v>
      </c>
      <c r="Q329" s="108">
        <f t="shared" ref="Q329:Q397" si="419">P329</f>
        <v>46258</v>
      </c>
      <c r="R329" s="108"/>
      <c r="S329" s="107">
        <f t="shared" si="375"/>
        <v>46272</v>
      </c>
      <c r="T329" s="108">
        <f t="shared" ref="T329:T397" si="420">S329</f>
        <v>46272</v>
      </c>
      <c r="U329" s="108"/>
      <c r="W329" s="174" t="str">
        <f t="shared" ca="1" si="398"/>
        <v>Completed</v>
      </c>
      <c r="X329" s="174" t="str">
        <f t="shared" ca="1" si="399"/>
        <v>Completed</v>
      </c>
      <c r="Y329" s="174" t="str">
        <f t="shared" ca="1" si="400"/>
        <v/>
      </c>
      <c r="Z329" s="175" t="str">
        <f t="shared" ca="1" si="401"/>
        <v/>
      </c>
    </row>
    <row r="330" spans="1:26" s="70" customFormat="1" ht="11.5" x14ac:dyDescent="0.25">
      <c r="A330" s="102" t="s">
        <v>65</v>
      </c>
      <c r="B330" s="102" t="s">
        <v>14</v>
      </c>
      <c r="C330" s="102" t="s">
        <v>415</v>
      </c>
      <c r="D330" s="102" t="s">
        <v>416</v>
      </c>
      <c r="E330" s="105">
        <f t="shared" si="412"/>
        <v>0.7</v>
      </c>
      <c r="F330" s="105">
        <f t="shared" si="413"/>
        <v>0.7</v>
      </c>
      <c r="G330" s="105">
        <f t="shared" si="413"/>
        <v>0.7</v>
      </c>
      <c r="H330" s="104">
        <f t="shared" si="414"/>
        <v>0</v>
      </c>
      <c r="I330" s="110">
        <v>4.7E-2</v>
      </c>
      <c r="J330" s="107">
        <f t="shared" si="411"/>
        <v>46178</v>
      </c>
      <c r="K330" s="108">
        <f t="shared" si="416"/>
        <v>46178</v>
      </c>
      <c r="L330" s="107">
        <v>46130</v>
      </c>
      <c r="M330" s="108">
        <f t="shared" si="417"/>
        <v>46220</v>
      </c>
      <c r="N330" s="108">
        <f t="shared" si="418"/>
        <v>46220</v>
      </c>
      <c r="O330" s="108">
        <v>46217</v>
      </c>
      <c r="P330" s="108">
        <f t="shared" si="415"/>
        <v>46258</v>
      </c>
      <c r="Q330" s="108">
        <f t="shared" si="419"/>
        <v>46258</v>
      </c>
      <c r="R330" s="108"/>
      <c r="S330" s="107">
        <f t="shared" ref="S330:S398" si="421">P330+14</f>
        <v>46272</v>
      </c>
      <c r="T330" s="108">
        <f t="shared" si="420"/>
        <v>46272</v>
      </c>
      <c r="U330" s="108"/>
      <c r="W330" s="174" t="str">
        <f t="shared" ca="1" si="398"/>
        <v>Completed</v>
      </c>
      <c r="X330" s="174" t="str">
        <f t="shared" ca="1" si="399"/>
        <v>Completed</v>
      </c>
      <c r="Y330" s="174" t="str">
        <f t="shared" ca="1" si="400"/>
        <v/>
      </c>
      <c r="Z330" s="175" t="str">
        <f t="shared" ca="1" si="401"/>
        <v/>
      </c>
    </row>
    <row r="331" spans="1:26" s="70" customFormat="1" ht="11.5" x14ac:dyDescent="0.25">
      <c r="A331" s="102" t="s">
        <v>65</v>
      </c>
      <c r="B331" s="102" t="s">
        <v>14</v>
      </c>
      <c r="C331" s="102" t="s">
        <v>417</v>
      </c>
      <c r="D331" s="102" t="s">
        <v>418</v>
      </c>
      <c r="E331" s="105">
        <f t="shared" si="412"/>
        <v>0.7</v>
      </c>
      <c r="F331" s="105">
        <f t="shared" si="413"/>
        <v>0.7</v>
      </c>
      <c r="G331" s="105">
        <f t="shared" si="413"/>
        <v>0.7</v>
      </c>
      <c r="H331" s="104">
        <f t="shared" si="414"/>
        <v>0</v>
      </c>
      <c r="I331" s="110">
        <v>4.7E-2</v>
      </c>
      <c r="J331" s="107">
        <f t="shared" si="411"/>
        <v>46178</v>
      </c>
      <c r="K331" s="108">
        <f t="shared" si="416"/>
        <v>46178</v>
      </c>
      <c r="L331" s="107">
        <v>46130</v>
      </c>
      <c r="M331" s="108">
        <f t="shared" si="417"/>
        <v>46220</v>
      </c>
      <c r="N331" s="108">
        <f t="shared" si="418"/>
        <v>46220</v>
      </c>
      <c r="O331" s="108">
        <v>46217</v>
      </c>
      <c r="P331" s="108">
        <f t="shared" si="415"/>
        <v>46258</v>
      </c>
      <c r="Q331" s="108">
        <f t="shared" si="419"/>
        <v>46258</v>
      </c>
      <c r="R331" s="108"/>
      <c r="S331" s="107">
        <f t="shared" si="421"/>
        <v>46272</v>
      </c>
      <c r="T331" s="108">
        <f t="shared" si="420"/>
        <v>46272</v>
      </c>
      <c r="U331" s="108"/>
      <c r="W331" s="174" t="str">
        <f t="shared" ca="1" si="398"/>
        <v>Completed</v>
      </c>
      <c r="X331" s="174" t="str">
        <f t="shared" ca="1" si="399"/>
        <v>Completed</v>
      </c>
      <c r="Y331" s="174" t="str">
        <f t="shared" ca="1" si="400"/>
        <v/>
      </c>
      <c r="Z331" s="175" t="str">
        <f t="shared" ca="1" si="401"/>
        <v/>
      </c>
    </row>
    <row r="332" spans="1:26" s="70" customFormat="1" ht="11.5" x14ac:dyDescent="0.25">
      <c r="A332" s="102" t="s">
        <v>65</v>
      </c>
      <c r="B332" s="102" t="s">
        <v>14</v>
      </c>
      <c r="C332" s="102" t="s">
        <v>419</v>
      </c>
      <c r="D332" s="102" t="s">
        <v>420</v>
      </c>
      <c r="E332" s="105">
        <f t="shared" si="412"/>
        <v>0.7</v>
      </c>
      <c r="F332" s="105">
        <f t="shared" si="413"/>
        <v>0.7</v>
      </c>
      <c r="G332" s="105">
        <f t="shared" si="413"/>
        <v>0.7</v>
      </c>
      <c r="H332" s="104">
        <f t="shared" si="414"/>
        <v>0</v>
      </c>
      <c r="I332" s="110">
        <v>4.7E-2</v>
      </c>
      <c r="J332" s="107">
        <f t="shared" si="411"/>
        <v>46178</v>
      </c>
      <c r="K332" s="108">
        <f t="shared" si="416"/>
        <v>46178</v>
      </c>
      <c r="L332" s="107">
        <v>46130</v>
      </c>
      <c r="M332" s="108">
        <f t="shared" si="417"/>
        <v>46220</v>
      </c>
      <c r="N332" s="108">
        <f t="shared" si="418"/>
        <v>46220</v>
      </c>
      <c r="O332" s="108">
        <v>46217</v>
      </c>
      <c r="P332" s="108">
        <f t="shared" si="415"/>
        <v>46258</v>
      </c>
      <c r="Q332" s="108">
        <f t="shared" si="419"/>
        <v>46258</v>
      </c>
      <c r="R332" s="108"/>
      <c r="S332" s="107">
        <f t="shared" si="421"/>
        <v>46272</v>
      </c>
      <c r="T332" s="108">
        <f t="shared" si="420"/>
        <v>46272</v>
      </c>
      <c r="U332" s="108"/>
      <c r="W332" s="174" t="str">
        <f t="shared" ca="1" si="398"/>
        <v>Completed</v>
      </c>
      <c r="X332" s="174" t="str">
        <f t="shared" ca="1" si="399"/>
        <v>Completed</v>
      </c>
      <c r="Y332" s="174" t="str">
        <f t="shared" ca="1" si="400"/>
        <v/>
      </c>
      <c r="Z332" s="175" t="str">
        <f t="shared" ca="1" si="401"/>
        <v/>
      </c>
    </row>
    <row r="333" spans="1:26" s="70" customFormat="1" ht="11.5" x14ac:dyDescent="0.25">
      <c r="A333" s="102" t="s">
        <v>65</v>
      </c>
      <c r="B333" s="102" t="s">
        <v>14</v>
      </c>
      <c r="C333" s="102" t="s">
        <v>421</v>
      </c>
      <c r="D333" s="102" t="s">
        <v>422</v>
      </c>
      <c r="E333" s="105">
        <f t="shared" si="412"/>
        <v>0.7</v>
      </c>
      <c r="F333" s="105">
        <f t="shared" si="413"/>
        <v>0.7</v>
      </c>
      <c r="G333" s="105">
        <f t="shared" si="413"/>
        <v>0.7</v>
      </c>
      <c r="H333" s="104">
        <f t="shared" si="414"/>
        <v>0</v>
      </c>
      <c r="I333" s="110">
        <v>4.7E-2</v>
      </c>
      <c r="J333" s="107">
        <f t="shared" si="411"/>
        <v>46178</v>
      </c>
      <c r="K333" s="108">
        <f t="shared" si="416"/>
        <v>46178</v>
      </c>
      <c r="L333" s="107">
        <v>46130</v>
      </c>
      <c r="M333" s="108">
        <f t="shared" si="417"/>
        <v>46220</v>
      </c>
      <c r="N333" s="108">
        <f t="shared" si="418"/>
        <v>46220</v>
      </c>
      <c r="O333" s="108">
        <v>46217</v>
      </c>
      <c r="P333" s="108">
        <f t="shared" si="415"/>
        <v>46258</v>
      </c>
      <c r="Q333" s="108">
        <f t="shared" si="419"/>
        <v>46258</v>
      </c>
      <c r="R333" s="108"/>
      <c r="S333" s="107">
        <f t="shared" si="421"/>
        <v>46272</v>
      </c>
      <c r="T333" s="108">
        <f t="shared" si="420"/>
        <v>46272</v>
      </c>
      <c r="U333" s="108"/>
      <c r="W333" s="174" t="str">
        <f t="shared" ca="1" si="398"/>
        <v>Completed</v>
      </c>
      <c r="X333" s="174" t="str">
        <f t="shared" ca="1" si="399"/>
        <v>Completed</v>
      </c>
      <c r="Y333" s="174" t="str">
        <f t="shared" ca="1" si="400"/>
        <v/>
      </c>
      <c r="Z333" s="175" t="str">
        <f t="shared" ca="1" si="401"/>
        <v/>
      </c>
    </row>
    <row r="334" spans="1:26" s="70" customFormat="1" ht="11.5" x14ac:dyDescent="0.25">
      <c r="A334" s="102" t="s">
        <v>65</v>
      </c>
      <c r="B334" s="102" t="s">
        <v>14</v>
      </c>
      <c r="C334" s="102" t="s">
        <v>423</v>
      </c>
      <c r="D334" s="102" t="s">
        <v>424</v>
      </c>
      <c r="E334" s="105">
        <f t="shared" si="412"/>
        <v>0.7</v>
      </c>
      <c r="F334" s="105">
        <f t="shared" si="413"/>
        <v>0.7</v>
      </c>
      <c r="G334" s="105">
        <f t="shared" si="413"/>
        <v>0.7</v>
      </c>
      <c r="H334" s="104">
        <f t="shared" si="414"/>
        <v>0</v>
      </c>
      <c r="I334" s="110">
        <v>4.7E-2</v>
      </c>
      <c r="J334" s="107">
        <f t="shared" si="411"/>
        <v>46178</v>
      </c>
      <c r="K334" s="108">
        <f t="shared" si="416"/>
        <v>46178</v>
      </c>
      <c r="L334" s="107">
        <v>46130</v>
      </c>
      <c r="M334" s="108">
        <f t="shared" si="417"/>
        <v>46220</v>
      </c>
      <c r="N334" s="108">
        <f t="shared" si="418"/>
        <v>46220</v>
      </c>
      <c r="O334" s="108">
        <v>46217</v>
      </c>
      <c r="P334" s="108">
        <f t="shared" si="415"/>
        <v>46258</v>
      </c>
      <c r="Q334" s="108">
        <f t="shared" si="419"/>
        <v>46258</v>
      </c>
      <c r="R334" s="108"/>
      <c r="S334" s="107">
        <f t="shared" si="421"/>
        <v>46272</v>
      </c>
      <c r="T334" s="108">
        <f t="shared" si="420"/>
        <v>46272</v>
      </c>
      <c r="U334" s="108"/>
      <c r="W334" s="174" t="str">
        <f t="shared" ca="1" si="398"/>
        <v>Completed</v>
      </c>
      <c r="X334" s="174" t="str">
        <f t="shared" ca="1" si="399"/>
        <v>Completed</v>
      </c>
      <c r="Y334" s="174" t="str">
        <f t="shared" ca="1" si="400"/>
        <v/>
      </c>
      <c r="Z334" s="175" t="str">
        <f t="shared" ca="1" si="401"/>
        <v/>
      </c>
    </row>
    <row r="335" spans="1:26" s="70" customFormat="1" ht="11.5" x14ac:dyDescent="0.25">
      <c r="A335" s="102" t="s">
        <v>65</v>
      </c>
      <c r="B335" s="102" t="s">
        <v>14</v>
      </c>
      <c r="C335" s="102" t="s">
        <v>425</v>
      </c>
      <c r="D335" s="102" t="s">
        <v>426</v>
      </c>
      <c r="E335" s="105">
        <f t="shared" si="412"/>
        <v>0.7</v>
      </c>
      <c r="F335" s="105">
        <f t="shared" si="413"/>
        <v>0.7</v>
      </c>
      <c r="G335" s="105">
        <f t="shared" si="413"/>
        <v>0.7</v>
      </c>
      <c r="H335" s="104">
        <f t="shared" si="414"/>
        <v>0</v>
      </c>
      <c r="I335" s="110">
        <v>4.7E-2</v>
      </c>
      <c r="J335" s="107">
        <f t="shared" si="411"/>
        <v>46178</v>
      </c>
      <c r="K335" s="108">
        <f t="shared" si="416"/>
        <v>46178</v>
      </c>
      <c r="L335" s="107">
        <v>46130</v>
      </c>
      <c r="M335" s="108">
        <f t="shared" si="417"/>
        <v>46220</v>
      </c>
      <c r="N335" s="108">
        <f t="shared" si="418"/>
        <v>46220</v>
      </c>
      <c r="O335" s="108">
        <v>46217</v>
      </c>
      <c r="P335" s="108">
        <f t="shared" si="415"/>
        <v>46258</v>
      </c>
      <c r="Q335" s="108">
        <f t="shared" si="419"/>
        <v>46258</v>
      </c>
      <c r="R335" s="108"/>
      <c r="S335" s="107">
        <f t="shared" si="421"/>
        <v>46272</v>
      </c>
      <c r="T335" s="108">
        <f t="shared" si="420"/>
        <v>46272</v>
      </c>
      <c r="U335" s="108"/>
      <c r="W335" s="174" t="str">
        <f t="shared" ca="1" si="398"/>
        <v>Completed</v>
      </c>
      <c r="X335" s="174" t="str">
        <f t="shared" ca="1" si="399"/>
        <v>Completed</v>
      </c>
      <c r="Y335" s="174" t="str">
        <f t="shared" ca="1" si="400"/>
        <v/>
      </c>
      <c r="Z335" s="175" t="str">
        <f t="shared" ca="1" si="401"/>
        <v/>
      </c>
    </row>
    <row r="336" spans="1:26" s="70" customFormat="1" ht="11.5" x14ac:dyDescent="0.25">
      <c r="A336" s="102" t="s">
        <v>65</v>
      </c>
      <c r="B336" s="102" t="s">
        <v>14</v>
      </c>
      <c r="C336" s="102" t="s">
        <v>427</v>
      </c>
      <c r="D336" s="102" t="s">
        <v>428</v>
      </c>
      <c r="E336" s="105">
        <f t="shared" si="412"/>
        <v>0.7</v>
      </c>
      <c r="F336" s="105">
        <f t="shared" si="413"/>
        <v>0.7</v>
      </c>
      <c r="G336" s="105">
        <f t="shared" si="413"/>
        <v>0.7</v>
      </c>
      <c r="H336" s="104">
        <f t="shared" si="414"/>
        <v>0</v>
      </c>
      <c r="I336" s="110">
        <v>4.7E-2</v>
      </c>
      <c r="J336" s="107">
        <f t="shared" si="411"/>
        <v>46178</v>
      </c>
      <c r="K336" s="108">
        <f t="shared" si="416"/>
        <v>46178</v>
      </c>
      <c r="L336" s="107">
        <v>46130</v>
      </c>
      <c r="M336" s="108">
        <f t="shared" si="417"/>
        <v>46220</v>
      </c>
      <c r="N336" s="108">
        <f t="shared" si="418"/>
        <v>46220</v>
      </c>
      <c r="O336" s="108">
        <v>46217</v>
      </c>
      <c r="P336" s="108">
        <f t="shared" si="415"/>
        <v>46258</v>
      </c>
      <c r="Q336" s="108">
        <f t="shared" si="419"/>
        <v>46258</v>
      </c>
      <c r="R336" s="108"/>
      <c r="S336" s="107">
        <f t="shared" si="421"/>
        <v>46272</v>
      </c>
      <c r="T336" s="108">
        <f t="shared" si="420"/>
        <v>46272</v>
      </c>
      <c r="U336" s="108"/>
      <c r="W336" s="174" t="str">
        <f t="shared" ca="1" si="398"/>
        <v>Completed</v>
      </c>
      <c r="X336" s="174" t="str">
        <f t="shared" ca="1" si="399"/>
        <v>Completed</v>
      </c>
      <c r="Y336" s="174" t="str">
        <f t="shared" ca="1" si="400"/>
        <v/>
      </c>
      <c r="Z336" s="175" t="str">
        <f t="shared" ca="1" si="401"/>
        <v/>
      </c>
    </row>
    <row r="337" spans="1:26" s="70" customFormat="1" ht="11.5" x14ac:dyDescent="0.25">
      <c r="A337" s="102" t="s">
        <v>65</v>
      </c>
      <c r="B337" s="102" t="s">
        <v>14</v>
      </c>
      <c r="C337" s="102" t="s">
        <v>429</v>
      </c>
      <c r="D337" s="102" t="s">
        <v>430</v>
      </c>
      <c r="E337" s="105">
        <f t="shared" si="412"/>
        <v>0.7</v>
      </c>
      <c r="F337" s="105">
        <f>(COUNTIFS(K337,"&lt;="&amp;$C$1)*50%)+(COUNTIFS(N337,"&lt;="&amp;$C$1)*20%)+(COUNTIFS(Q337,"&lt;="&amp;$C$1)*10%)+(COUNTIFS(T337,"&lt;="&amp;$C$1)*20%)</f>
        <v>0.7</v>
      </c>
      <c r="G337" s="105">
        <f t="shared" si="413"/>
        <v>0.7</v>
      </c>
      <c r="H337" s="104">
        <f t="shared" si="414"/>
        <v>0</v>
      </c>
      <c r="I337" s="110">
        <v>4.7E-2</v>
      </c>
      <c r="J337" s="107">
        <f t="shared" si="411"/>
        <v>46178</v>
      </c>
      <c r="K337" s="108">
        <f t="shared" si="416"/>
        <v>46178</v>
      </c>
      <c r="L337" s="107">
        <v>46130</v>
      </c>
      <c r="M337" s="108">
        <f t="shared" si="417"/>
        <v>46220</v>
      </c>
      <c r="N337" s="108">
        <f t="shared" si="418"/>
        <v>46220</v>
      </c>
      <c r="O337" s="108">
        <v>46217</v>
      </c>
      <c r="P337" s="108">
        <f t="shared" si="415"/>
        <v>46258</v>
      </c>
      <c r="Q337" s="108">
        <f t="shared" si="419"/>
        <v>46258</v>
      </c>
      <c r="R337" s="108"/>
      <c r="S337" s="107">
        <f t="shared" si="421"/>
        <v>46272</v>
      </c>
      <c r="T337" s="108">
        <f t="shared" si="420"/>
        <v>46272</v>
      </c>
      <c r="U337" s="108"/>
      <c r="W337" s="174" t="str">
        <f t="shared" ca="1" si="398"/>
        <v>Completed</v>
      </c>
      <c r="X337" s="174" t="str">
        <f t="shared" ca="1" si="399"/>
        <v>Completed</v>
      </c>
      <c r="Y337" s="174" t="str">
        <f t="shared" ca="1" si="400"/>
        <v/>
      </c>
      <c r="Z337" s="175" t="str">
        <f t="shared" ca="1" si="401"/>
        <v/>
      </c>
    </row>
    <row r="338" spans="1:26" s="70" customFormat="1" ht="11.5" x14ac:dyDescent="0.25">
      <c r="A338" s="102" t="s">
        <v>65</v>
      </c>
      <c r="B338" s="102" t="s">
        <v>14</v>
      </c>
      <c r="C338" s="102" t="s">
        <v>431</v>
      </c>
      <c r="D338" s="151" t="s">
        <v>1009</v>
      </c>
      <c r="E338" s="105">
        <f t="shared" si="412"/>
        <v>0.7</v>
      </c>
      <c r="F338" s="105">
        <f>(COUNTIFS(K338,"&lt;="&amp;$C$1)*50%)+(COUNTIFS(N338,"&lt;="&amp;$C$1)*20%)+(COUNTIFS(Q338,"&lt;="&amp;$C$1)*10%)+(COUNTIFS(T338,"&lt;="&amp;$C$1)*20%)</f>
        <v>0.7</v>
      </c>
      <c r="G338" s="105">
        <f t="shared" si="413"/>
        <v>0.7</v>
      </c>
      <c r="H338" s="104">
        <f t="shared" si="414"/>
        <v>0</v>
      </c>
      <c r="I338" s="110">
        <v>4.7E-2</v>
      </c>
      <c r="J338" s="107">
        <f t="shared" si="411"/>
        <v>46178</v>
      </c>
      <c r="K338" s="107">
        <f t="shared" si="416"/>
        <v>46178</v>
      </c>
      <c r="L338" s="107">
        <v>46130</v>
      </c>
      <c r="M338" s="108">
        <f t="shared" si="417"/>
        <v>46220</v>
      </c>
      <c r="N338" s="107">
        <f t="shared" si="418"/>
        <v>46220</v>
      </c>
      <c r="O338" s="108">
        <v>46217</v>
      </c>
      <c r="P338" s="108">
        <f t="shared" si="415"/>
        <v>46258</v>
      </c>
      <c r="Q338" s="107">
        <f t="shared" si="419"/>
        <v>46258</v>
      </c>
      <c r="R338" s="108"/>
      <c r="S338" s="107">
        <f t="shared" si="421"/>
        <v>46272</v>
      </c>
      <c r="T338" s="107">
        <f t="shared" si="420"/>
        <v>46272</v>
      </c>
      <c r="U338" s="108"/>
      <c r="W338" s="174" t="str">
        <f t="shared" ca="1" si="398"/>
        <v>Completed</v>
      </c>
      <c r="X338" s="174" t="str">
        <f t="shared" ca="1" si="399"/>
        <v>Completed</v>
      </c>
      <c r="Y338" s="174" t="str">
        <f t="shared" ca="1" si="400"/>
        <v/>
      </c>
      <c r="Z338" s="175" t="str">
        <f t="shared" ca="1" si="401"/>
        <v/>
      </c>
    </row>
    <row r="339" spans="1:26" s="70" customFormat="1" ht="11.5" x14ac:dyDescent="0.25">
      <c r="A339" s="102" t="s">
        <v>65</v>
      </c>
      <c r="B339" s="102" t="s">
        <v>14</v>
      </c>
      <c r="C339" s="102" t="s">
        <v>432</v>
      </c>
      <c r="D339" s="102" t="s">
        <v>433</v>
      </c>
      <c r="E339" s="105">
        <f t="shared" si="412"/>
        <v>0.7</v>
      </c>
      <c r="F339" s="105">
        <f t="shared" si="413"/>
        <v>0.7</v>
      </c>
      <c r="G339" s="105">
        <f t="shared" si="413"/>
        <v>0.7</v>
      </c>
      <c r="H339" s="104">
        <f t="shared" si="414"/>
        <v>0</v>
      </c>
      <c r="I339" s="110">
        <v>4.7E-2</v>
      </c>
      <c r="J339" s="107">
        <f t="shared" si="411"/>
        <v>46178</v>
      </c>
      <c r="K339" s="107">
        <f t="shared" si="416"/>
        <v>46178</v>
      </c>
      <c r="L339" s="107">
        <v>46130</v>
      </c>
      <c r="M339" s="108">
        <f t="shared" si="417"/>
        <v>46220</v>
      </c>
      <c r="N339" s="107">
        <f t="shared" si="418"/>
        <v>46220</v>
      </c>
      <c r="O339" s="108">
        <v>46224</v>
      </c>
      <c r="P339" s="108">
        <f t="shared" si="415"/>
        <v>46258</v>
      </c>
      <c r="Q339" s="107">
        <f t="shared" si="419"/>
        <v>46258</v>
      </c>
      <c r="R339" s="108"/>
      <c r="S339" s="107">
        <f t="shared" si="421"/>
        <v>46272</v>
      </c>
      <c r="T339" s="107">
        <f t="shared" si="420"/>
        <v>46272</v>
      </c>
      <c r="U339" s="108"/>
      <c r="W339" s="174" t="str">
        <f t="shared" ref="W339:W402" ca="1" si="422">IF(OR(L339&lt;&gt;""),"Completed",
IF(K339="","",IF(K339&lt;TODAY(),"Overdue",
IF(AND(K339&gt;=TODAY()-WEEKDAY(TODAY(),2)+1,K339&lt;=TODAY()-WEEKDAY(TODAY(),2)+7),"Follow-This Week",
IF(AND(K339&gt;=TODAY()-WEEKDAY(TODAY(),2)+8,K339&lt;=TODAY()-WEEKDAY(TODAY(),2)+14),"Follow-Next Week","")))))</f>
        <v>Completed</v>
      </c>
      <c r="X339" s="174" t="str">
        <f t="shared" ref="X339:X402" ca="1" si="423">IF(OR(O339&lt;&gt;""),"Completed",IF(N339="","",
IF(N339&lt;TODAY(),"Overdue",
IF(AND(N339&gt;=TODAY()-WEEKDAY(TODAY(),2)+1,N339&lt;=TODAY()-WEEKDAY(TODAY(),2)+7),"Follow-This Week",
IF(AND(N339&gt;=TODAY()-WEEKDAY(TODAY(),2)+8,N339&lt;=TODAY()-WEEKDAY(TODAY(),2)+14),"Follow-Next Week","")))))</f>
        <v>Completed</v>
      </c>
      <c r="Y339" s="174" t="str">
        <f t="shared" ref="Y339:Y402" ca="1" si="424">IF(OR(R339&lt;&gt;""),"Completed",IF(Q339="","",
IF(Q339&lt;TODAY(),"Overdue",
IF(AND(Q339&gt;=TODAY()-WEEKDAY(TODAY(),2)+1,Q339&lt;=TODAY()-WEEKDAY(TODAY(),2)+7),"Follow-This Week",
IF(AND(Q339&gt;=TODAY()-WEEKDAY(TODAY(),2)+8,Q339&lt;=TODAY()-WEEKDAY(TODAY(),2)+14),"Follow-Next Week","")))))</f>
        <v/>
      </c>
      <c r="Z339" s="175" t="str">
        <f t="shared" ref="Z339:Z402" ca="1" si="425">IF(OR(U339&lt;&gt;""),"Completed",IF(T339="","",
IF(T339&lt;TODAY(),"Overdue",
IF(AND(T339&gt;=TODAY()-WEEKDAY(TODAY(),2)+1,T339&lt;=TODAY()-WEEKDAY(TODAY(),2)+7),"Follow-This Week",
IF(AND(T339&gt;=TODAY()-WEEKDAY(TODAY(),2)+8,T339&lt;=TODAY()-WEEKDAY(TODAY(),2)+14),"Follow-Next Week","")))))</f>
        <v/>
      </c>
    </row>
    <row r="340" spans="1:26" s="70" customFormat="1" ht="11.5" x14ac:dyDescent="0.25">
      <c r="A340" s="102" t="s">
        <v>65</v>
      </c>
      <c r="B340" s="102" t="s">
        <v>14</v>
      </c>
      <c r="C340" s="102" t="s">
        <v>434</v>
      </c>
      <c r="D340" s="102" t="s">
        <v>435</v>
      </c>
      <c r="E340" s="105">
        <f t="shared" si="412"/>
        <v>0.7</v>
      </c>
      <c r="F340" s="105">
        <f t="shared" si="413"/>
        <v>0.7</v>
      </c>
      <c r="G340" s="105">
        <f t="shared" si="413"/>
        <v>0.7</v>
      </c>
      <c r="H340" s="104">
        <f t="shared" si="414"/>
        <v>0</v>
      </c>
      <c r="I340" s="110">
        <v>4.7E-2</v>
      </c>
      <c r="J340" s="107">
        <f t="shared" si="411"/>
        <v>46178</v>
      </c>
      <c r="K340" s="107">
        <f t="shared" si="416"/>
        <v>46178</v>
      </c>
      <c r="L340" s="107">
        <v>46150</v>
      </c>
      <c r="M340" s="108">
        <f t="shared" si="417"/>
        <v>46220</v>
      </c>
      <c r="N340" s="107">
        <f t="shared" si="418"/>
        <v>46220</v>
      </c>
      <c r="O340" s="107">
        <v>46205</v>
      </c>
      <c r="P340" s="108">
        <f t="shared" si="415"/>
        <v>46258</v>
      </c>
      <c r="Q340" s="107">
        <f t="shared" si="419"/>
        <v>46258</v>
      </c>
      <c r="R340" s="108"/>
      <c r="S340" s="107">
        <f t="shared" si="421"/>
        <v>46272</v>
      </c>
      <c r="T340" s="107">
        <f t="shared" si="420"/>
        <v>46272</v>
      </c>
      <c r="U340" s="108"/>
      <c r="W340" s="174" t="str">
        <f t="shared" ca="1" si="422"/>
        <v>Completed</v>
      </c>
      <c r="X340" s="174" t="str">
        <f t="shared" ca="1" si="423"/>
        <v>Completed</v>
      </c>
      <c r="Y340" s="174" t="str">
        <f t="shared" ca="1" si="424"/>
        <v/>
      </c>
      <c r="Z340" s="175" t="str">
        <f t="shared" ca="1" si="425"/>
        <v/>
      </c>
    </row>
    <row r="341" spans="1:26" s="70" customFormat="1" ht="11.5" x14ac:dyDescent="0.25">
      <c r="A341" s="102" t="s">
        <v>65</v>
      </c>
      <c r="B341" s="102" t="s">
        <v>14</v>
      </c>
      <c r="C341" s="102" t="s">
        <v>436</v>
      </c>
      <c r="D341" s="102" t="s">
        <v>437</v>
      </c>
      <c r="E341" s="105">
        <f t="shared" si="412"/>
        <v>0.7</v>
      </c>
      <c r="F341" s="105">
        <f t="shared" si="413"/>
        <v>0.7</v>
      </c>
      <c r="G341" s="105">
        <f t="shared" si="413"/>
        <v>0.7</v>
      </c>
      <c r="H341" s="104">
        <f t="shared" si="414"/>
        <v>0</v>
      </c>
      <c r="I341" s="110">
        <v>4.7E-2</v>
      </c>
      <c r="J341" s="107">
        <f t="shared" si="411"/>
        <v>46178</v>
      </c>
      <c r="K341" s="107">
        <f t="shared" si="416"/>
        <v>46178</v>
      </c>
      <c r="L341" s="107">
        <v>46150</v>
      </c>
      <c r="M341" s="108">
        <f t="shared" si="417"/>
        <v>46220</v>
      </c>
      <c r="N341" s="107">
        <f t="shared" si="418"/>
        <v>46220</v>
      </c>
      <c r="O341" s="107">
        <v>46205</v>
      </c>
      <c r="P341" s="108">
        <f t="shared" si="415"/>
        <v>46258</v>
      </c>
      <c r="Q341" s="107">
        <f t="shared" si="419"/>
        <v>46258</v>
      </c>
      <c r="R341" s="108"/>
      <c r="S341" s="107">
        <f t="shared" si="421"/>
        <v>46272</v>
      </c>
      <c r="T341" s="107">
        <f t="shared" si="420"/>
        <v>46272</v>
      </c>
      <c r="U341" s="108"/>
      <c r="W341" s="174" t="str">
        <f t="shared" ca="1" si="422"/>
        <v>Completed</v>
      </c>
      <c r="X341" s="174" t="str">
        <f t="shared" ca="1" si="423"/>
        <v>Completed</v>
      </c>
      <c r="Y341" s="174" t="str">
        <f t="shared" ca="1" si="424"/>
        <v/>
      </c>
      <c r="Z341" s="175" t="str">
        <f t="shared" ca="1" si="425"/>
        <v/>
      </c>
    </row>
    <row r="342" spans="1:26" s="70" customFormat="1" ht="11.5" x14ac:dyDescent="0.25">
      <c r="A342" s="102" t="s">
        <v>65</v>
      </c>
      <c r="B342" s="102" t="s">
        <v>14</v>
      </c>
      <c r="C342" s="102" t="s">
        <v>438</v>
      </c>
      <c r="D342" s="102" t="s">
        <v>439</v>
      </c>
      <c r="E342" s="105">
        <f t="shared" si="412"/>
        <v>0.7</v>
      </c>
      <c r="F342" s="105">
        <f t="shared" si="413"/>
        <v>0.7</v>
      </c>
      <c r="G342" s="105">
        <f t="shared" si="413"/>
        <v>0.79999999999999993</v>
      </c>
      <c r="H342" s="104">
        <f t="shared" si="414"/>
        <v>9.9999999999999978E-2</v>
      </c>
      <c r="I342" s="110">
        <v>4.7E-2</v>
      </c>
      <c r="J342" s="107">
        <f t="shared" si="411"/>
        <v>46178</v>
      </c>
      <c r="K342" s="107">
        <f t="shared" si="416"/>
        <v>46178</v>
      </c>
      <c r="L342" s="107">
        <v>46150</v>
      </c>
      <c r="M342" s="108">
        <f t="shared" si="417"/>
        <v>46220</v>
      </c>
      <c r="N342" s="107">
        <f t="shared" si="418"/>
        <v>46220</v>
      </c>
      <c r="O342" s="107">
        <v>46205</v>
      </c>
      <c r="P342" s="108">
        <f t="shared" si="415"/>
        <v>46258</v>
      </c>
      <c r="Q342" s="107">
        <f t="shared" si="419"/>
        <v>46258</v>
      </c>
      <c r="R342" s="193">
        <v>46248</v>
      </c>
      <c r="S342" s="107">
        <f t="shared" si="421"/>
        <v>46272</v>
      </c>
      <c r="T342" s="107">
        <f t="shared" si="420"/>
        <v>46272</v>
      </c>
      <c r="U342" s="108"/>
      <c r="W342" s="174" t="str">
        <f t="shared" ca="1" si="422"/>
        <v>Completed</v>
      </c>
      <c r="X342" s="174" t="str">
        <f t="shared" ca="1" si="423"/>
        <v>Completed</v>
      </c>
      <c r="Y342" s="174" t="str">
        <f t="shared" ca="1" si="424"/>
        <v>Completed</v>
      </c>
      <c r="Z342" s="175" t="str">
        <f t="shared" ca="1" si="425"/>
        <v/>
      </c>
    </row>
    <row r="343" spans="1:26" s="70" customFormat="1" ht="11.5" x14ac:dyDescent="0.25">
      <c r="A343" s="102" t="s">
        <v>65</v>
      </c>
      <c r="B343" s="102" t="s">
        <v>14</v>
      </c>
      <c r="C343" s="102" t="s">
        <v>440</v>
      </c>
      <c r="D343" s="102" t="s">
        <v>441</v>
      </c>
      <c r="E343" s="105">
        <f t="shared" si="412"/>
        <v>0.7</v>
      </c>
      <c r="F343" s="105">
        <f t="shared" si="413"/>
        <v>0.7</v>
      </c>
      <c r="G343" s="105">
        <f t="shared" si="413"/>
        <v>0.7</v>
      </c>
      <c r="H343" s="104">
        <f t="shared" si="414"/>
        <v>0</v>
      </c>
      <c r="I343" s="110">
        <v>4.7E-2</v>
      </c>
      <c r="J343" s="107">
        <f t="shared" si="411"/>
        <v>46178</v>
      </c>
      <c r="K343" s="107">
        <f t="shared" si="416"/>
        <v>46178</v>
      </c>
      <c r="L343" s="143">
        <v>46157</v>
      </c>
      <c r="M343" s="108">
        <f t="shared" si="417"/>
        <v>46220</v>
      </c>
      <c r="N343" s="107">
        <f t="shared" si="418"/>
        <v>46220</v>
      </c>
      <c r="O343" s="107">
        <v>46190</v>
      </c>
      <c r="P343" s="108">
        <f t="shared" si="415"/>
        <v>46258</v>
      </c>
      <c r="Q343" s="107">
        <f t="shared" si="419"/>
        <v>46258</v>
      </c>
      <c r="R343" s="108"/>
      <c r="S343" s="107">
        <f t="shared" si="421"/>
        <v>46272</v>
      </c>
      <c r="T343" s="107">
        <f t="shared" si="420"/>
        <v>46272</v>
      </c>
      <c r="U343" s="108"/>
      <c r="W343" s="174" t="str">
        <f t="shared" ca="1" si="422"/>
        <v>Completed</v>
      </c>
      <c r="X343" s="174" t="str">
        <f t="shared" ca="1" si="423"/>
        <v>Completed</v>
      </c>
      <c r="Y343" s="174" t="str">
        <f t="shared" ca="1" si="424"/>
        <v/>
      </c>
      <c r="Z343" s="175" t="str">
        <f t="shared" ca="1" si="425"/>
        <v/>
      </c>
    </row>
    <row r="344" spans="1:26" s="70" customFormat="1" ht="11.5" x14ac:dyDescent="0.25">
      <c r="A344" s="102" t="s">
        <v>65</v>
      </c>
      <c r="B344" s="102" t="s">
        <v>14</v>
      </c>
      <c r="C344" s="102" t="s">
        <v>442</v>
      </c>
      <c r="D344" s="102" t="s">
        <v>443</v>
      </c>
      <c r="E344" s="105">
        <f t="shared" si="412"/>
        <v>0.7</v>
      </c>
      <c r="F344" s="105">
        <f t="shared" si="413"/>
        <v>0.7</v>
      </c>
      <c r="G344" s="105">
        <f t="shared" si="413"/>
        <v>0.7</v>
      </c>
      <c r="H344" s="104">
        <f t="shared" si="414"/>
        <v>0</v>
      </c>
      <c r="I344" s="110">
        <v>4.7E-2</v>
      </c>
      <c r="J344" s="107">
        <f t="shared" si="411"/>
        <v>46178</v>
      </c>
      <c r="K344" s="107">
        <f t="shared" si="416"/>
        <v>46178</v>
      </c>
      <c r="L344" s="143">
        <v>46157</v>
      </c>
      <c r="M344" s="108">
        <f t="shared" si="417"/>
        <v>46220</v>
      </c>
      <c r="N344" s="107">
        <f t="shared" si="418"/>
        <v>46220</v>
      </c>
      <c r="O344" s="107">
        <v>46190</v>
      </c>
      <c r="P344" s="108">
        <f t="shared" si="415"/>
        <v>46258</v>
      </c>
      <c r="Q344" s="107">
        <f t="shared" si="419"/>
        <v>46258</v>
      </c>
      <c r="R344" s="108"/>
      <c r="S344" s="107">
        <f t="shared" si="421"/>
        <v>46272</v>
      </c>
      <c r="T344" s="107">
        <f t="shared" si="420"/>
        <v>46272</v>
      </c>
      <c r="U344" s="108"/>
      <c r="W344" s="174" t="str">
        <f t="shared" ca="1" si="422"/>
        <v>Completed</v>
      </c>
      <c r="X344" s="174" t="str">
        <f t="shared" ca="1" si="423"/>
        <v>Completed</v>
      </c>
      <c r="Y344" s="174" t="str">
        <f t="shared" ca="1" si="424"/>
        <v/>
      </c>
      <c r="Z344" s="175" t="str">
        <f t="shared" ca="1" si="425"/>
        <v/>
      </c>
    </row>
    <row r="345" spans="1:26" s="70" customFormat="1" ht="11.5" x14ac:dyDescent="0.25">
      <c r="A345" s="102" t="s">
        <v>65</v>
      </c>
      <c r="B345" s="102" t="s">
        <v>14</v>
      </c>
      <c r="C345" s="102" t="s">
        <v>444</v>
      </c>
      <c r="D345" s="102" t="s">
        <v>445</v>
      </c>
      <c r="E345" s="105">
        <f t="shared" si="412"/>
        <v>0.7</v>
      </c>
      <c r="F345" s="105">
        <f t="shared" si="413"/>
        <v>0.7</v>
      </c>
      <c r="G345" s="105">
        <f t="shared" si="413"/>
        <v>0.7</v>
      </c>
      <c r="H345" s="104">
        <f t="shared" si="414"/>
        <v>0</v>
      </c>
      <c r="I345" s="110">
        <v>4.7E-2</v>
      </c>
      <c r="J345" s="107">
        <f t="shared" si="411"/>
        <v>46178</v>
      </c>
      <c r="K345" s="107">
        <f t="shared" si="416"/>
        <v>46178</v>
      </c>
      <c r="L345" s="143">
        <v>46157</v>
      </c>
      <c r="M345" s="108">
        <f t="shared" si="417"/>
        <v>46220</v>
      </c>
      <c r="N345" s="107">
        <f t="shared" si="418"/>
        <v>46220</v>
      </c>
      <c r="O345" s="107">
        <v>46190</v>
      </c>
      <c r="P345" s="108">
        <f t="shared" si="415"/>
        <v>46258</v>
      </c>
      <c r="Q345" s="107">
        <f t="shared" si="419"/>
        <v>46258</v>
      </c>
      <c r="R345" s="108"/>
      <c r="S345" s="107">
        <f t="shared" si="421"/>
        <v>46272</v>
      </c>
      <c r="T345" s="107">
        <f t="shared" si="420"/>
        <v>46272</v>
      </c>
      <c r="U345" s="108"/>
      <c r="W345" s="174" t="str">
        <f t="shared" ca="1" si="422"/>
        <v>Completed</v>
      </c>
      <c r="X345" s="174" t="str">
        <f t="shared" ca="1" si="423"/>
        <v>Completed</v>
      </c>
      <c r="Y345" s="174" t="str">
        <f t="shared" ca="1" si="424"/>
        <v/>
      </c>
      <c r="Z345" s="175" t="str">
        <f t="shared" ca="1" si="425"/>
        <v/>
      </c>
    </row>
    <row r="346" spans="1:26" s="70" customFormat="1" ht="11.5" x14ac:dyDescent="0.25">
      <c r="A346" s="102" t="s">
        <v>65</v>
      </c>
      <c r="B346" s="102" t="s">
        <v>14</v>
      </c>
      <c r="C346" s="102" t="s">
        <v>446</v>
      </c>
      <c r="D346" s="102" t="s">
        <v>447</v>
      </c>
      <c r="E346" s="105">
        <f t="shared" si="412"/>
        <v>0.7</v>
      </c>
      <c r="F346" s="105">
        <f t="shared" si="413"/>
        <v>0.7</v>
      </c>
      <c r="G346" s="105">
        <f t="shared" si="413"/>
        <v>0.7</v>
      </c>
      <c r="H346" s="104">
        <f t="shared" si="414"/>
        <v>0</v>
      </c>
      <c r="I346" s="110">
        <v>4.7E-2</v>
      </c>
      <c r="J346" s="107">
        <f t="shared" ref="J346:J377" si="426">J223+28</f>
        <v>46178</v>
      </c>
      <c r="K346" s="107">
        <f t="shared" si="416"/>
        <v>46178</v>
      </c>
      <c r="L346" s="143">
        <v>46157</v>
      </c>
      <c r="M346" s="108">
        <f t="shared" si="417"/>
        <v>46220</v>
      </c>
      <c r="N346" s="107">
        <f t="shared" si="418"/>
        <v>46220</v>
      </c>
      <c r="O346" s="107">
        <v>46190</v>
      </c>
      <c r="P346" s="108">
        <f t="shared" si="415"/>
        <v>46258</v>
      </c>
      <c r="Q346" s="107">
        <f t="shared" si="419"/>
        <v>46258</v>
      </c>
      <c r="R346" s="108"/>
      <c r="S346" s="107">
        <f t="shared" si="421"/>
        <v>46272</v>
      </c>
      <c r="T346" s="107">
        <f t="shared" si="420"/>
        <v>46272</v>
      </c>
      <c r="U346" s="108"/>
      <c r="W346" s="174" t="str">
        <f t="shared" ca="1" si="422"/>
        <v>Completed</v>
      </c>
      <c r="X346" s="174" t="str">
        <f t="shared" ca="1" si="423"/>
        <v>Completed</v>
      </c>
      <c r="Y346" s="174" t="str">
        <f t="shared" ca="1" si="424"/>
        <v/>
      </c>
      <c r="Z346" s="175" t="str">
        <f t="shared" ca="1" si="425"/>
        <v/>
      </c>
    </row>
    <row r="347" spans="1:26" s="70" customFormat="1" ht="11.5" x14ac:dyDescent="0.25">
      <c r="A347" s="102" t="s">
        <v>65</v>
      </c>
      <c r="B347" s="102" t="s">
        <v>14</v>
      </c>
      <c r="C347" s="102" t="s">
        <v>448</v>
      </c>
      <c r="D347" s="102" t="s">
        <v>449</v>
      </c>
      <c r="E347" s="105">
        <f t="shared" si="412"/>
        <v>0.7</v>
      </c>
      <c r="F347" s="105">
        <f t="shared" si="413"/>
        <v>0.7</v>
      </c>
      <c r="G347" s="105">
        <f t="shared" si="413"/>
        <v>0.5</v>
      </c>
      <c r="H347" s="104">
        <f t="shared" si="414"/>
        <v>-0.19999999999999996</v>
      </c>
      <c r="I347" s="110">
        <v>4.7E-2</v>
      </c>
      <c r="J347" s="107">
        <f t="shared" si="426"/>
        <v>46199</v>
      </c>
      <c r="K347" s="107">
        <f t="shared" si="416"/>
        <v>46199</v>
      </c>
      <c r="L347" s="107">
        <v>46156</v>
      </c>
      <c r="M347" s="108">
        <f t="shared" si="417"/>
        <v>46241</v>
      </c>
      <c r="N347" s="107">
        <f t="shared" si="418"/>
        <v>46241</v>
      </c>
      <c r="O347" s="108"/>
      <c r="P347" s="108">
        <f t="shared" ref="P347:P397" si="427">M347+42</f>
        <v>46283</v>
      </c>
      <c r="Q347" s="107">
        <f t="shared" si="419"/>
        <v>46283</v>
      </c>
      <c r="R347" s="108"/>
      <c r="S347" s="107">
        <f t="shared" si="421"/>
        <v>46297</v>
      </c>
      <c r="T347" s="107">
        <f t="shared" si="420"/>
        <v>46297</v>
      </c>
      <c r="U347" s="108"/>
      <c r="W347" s="174" t="str">
        <f t="shared" ca="1" si="422"/>
        <v>Completed</v>
      </c>
      <c r="X347" s="174" t="str">
        <f t="shared" ca="1" si="423"/>
        <v>Overdue</v>
      </c>
      <c r="Y347" s="174" t="str">
        <f t="shared" ca="1" si="424"/>
        <v/>
      </c>
      <c r="Z347" s="175" t="str">
        <f t="shared" ca="1" si="425"/>
        <v/>
      </c>
    </row>
    <row r="348" spans="1:26" s="70" customFormat="1" ht="11.5" x14ac:dyDescent="0.25">
      <c r="A348" s="102" t="s">
        <v>65</v>
      </c>
      <c r="B348" s="102" t="s">
        <v>14</v>
      </c>
      <c r="C348" s="102" t="s">
        <v>450</v>
      </c>
      <c r="D348" s="102" t="s">
        <v>451</v>
      </c>
      <c r="E348" s="105">
        <f t="shared" si="412"/>
        <v>0.7</v>
      </c>
      <c r="F348" s="105">
        <f t="shared" si="413"/>
        <v>0.7</v>
      </c>
      <c r="G348" s="105">
        <f t="shared" si="413"/>
        <v>0.5</v>
      </c>
      <c r="H348" s="104">
        <f t="shared" si="414"/>
        <v>-0.19999999999999996</v>
      </c>
      <c r="I348" s="110">
        <v>4.7E-2</v>
      </c>
      <c r="J348" s="107">
        <f t="shared" si="426"/>
        <v>46199</v>
      </c>
      <c r="K348" s="107">
        <f t="shared" si="416"/>
        <v>46199</v>
      </c>
      <c r="L348" s="107">
        <v>46156</v>
      </c>
      <c r="M348" s="108">
        <f t="shared" si="417"/>
        <v>46241</v>
      </c>
      <c r="N348" s="107">
        <f t="shared" si="418"/>
        <v>46241</v>
      </c>
      <c r="O348" s="108"/>
      <c r="P348" s="108">
        <f t="shared" si="427"/>
        <v>46283</v>
      </c>
      <c r="Q348" s="107">
        <f t="shared" si="419"/>
        <v>46283</v>
      </c>
      <c r="R348" s="108"/>
      <c r="S348" s="107">
        <f t="shared" si="421"/>
        <v>46297</v>
      </c>
      <c r="T348" s="107">
        <f t="shared" si="420"/>
        <v>46297</v>
      </c>
      <c r="U348" s="108"/>
      <c r="W348" s="174" t="str">
        <f t="shared" ca="1" si="422"/>
        <v>Completed</v>
      </c>
      <c r="X348" s="174" t="str">
        <f t="shared" ca="1" si="423"/>
        <v>Overdue</v>
      </c>
      <c r="Y348" s="174" t="str">
        <f t="shared" ca="1" si="424"/>
        <v/>
      </c>
      <c r="Z348" s="175" t="str">
        <f t="shared" ca="1" si="425"/>
        <v/>
      </c>
    </row>
    <row r="349" spans="1:26" s="70" customFormat="1" ht="11.5" x14ac:dyDescent="0.25">
      <c r="A349" s="102" t="s">
        <v>65</v>
      </c>
      <c r="B349" s="102" t="s">
        <v>14</v>
      </c>
      <c r="C349" s="102" t="s">
        <v>452</v>
      </c>
      <c r="D349" s="102" t="s">
        <v>453</v>
      </c>
      <c r="E349" s="105">
        <f t="shared" si="412"/>
        <v>0.7</v>
      </c>
      <c r="F349" s="105">
        <f t="shared" si="413"/>
        <v>0.7</v>
      </c>
      <c r="G349" s="105">
        <f t="shared" si="413"/>
        <v>0.7</v>
      </c>
      <c r="H349" s="105">
        <f t="shared" si="414"/>
        <v>0</v>
      </c>
      <c r="I349" s="106">
        <v>4.7E-2</v>
      </c>
      <c r="J349" s="107">
        <f t="shared" si="426"/>
        <v>46199</v>
      </c>
      <c r="K349" s="107">
        <f t="shared" si="416"/>
        <v>46199</v>
      </c>
      <c r="L349" s="107">
        <v>46156</v>
      </c>
      <c r="M349" s="108">
        <f t="shared" si="417"/>
        <v>46241</v>
      </c>
      <c r="N349" s="107">
        <f t="shared" si="418"/>
        <v>46241</v>
      </c>
      <c r="O349" s="107">
        <v>46191</v>
      </c>
      <c r="P349" s="108">
        <f t="shared" si="427"/>
        <v>46283</v>
      </c>
      <c r="Q349" s="107">
        <f t="shared" si="419"/>
        <v>46283</v>
      </c>
      <c r="R349" s="108"/>
      <c r="S349" s="107">
        <f t="shared" si="421"/>
        <v>46297</v>
      </c>
      <c r="T349" s="107">
        <f t="shared" si="420"/>
        <v>46297</v>
      </c>
      <c r="U349" s="108"/>
      <c r="W349" s="174" t="str">
        <f t="shared" ca="1" si="422"/>
        <v>Completed</v>
      </c>
      <c r="X349" s="174" t="str">
        <f t="shared" ca="1" si="423"/>
        <v>Completed</v>
      </c>
      <c r="Y349" s="174" t="str">
        <f t="shared" ca="1" si="424"/>
        <v/>
      </c>
      <c r="Z349" s="175" t="str">
        <f t="shared" ca="1" si="425"/>
        <v/>
      </c>
    </row>
    <row r="350" spans="1:26" s="70" customFormat="1" ht="11.5" x14ac:dyDescent="0.25">
      <c r="A350" s="102" t="s">
        <v>65</v>
      </c>
      <c r="B350" s="102" t="s">
        <v>14</v>
      </c>
      <c r="C350" s="102" t="s">
        <v>454</v>
      </c>
      <c r="D350" s="102" t="s">
        <v>455</v>
      </c>
      <c r="E350" s="105">
        <f t="shared" si="412"/>
        <v>0.7</v>
      </c>
      <c r="F350" s="105">
        <f t="shared" si="413"/>
        <v>0.7</v>
      </c>
      <c r="G350" s="105">
        <f t="shared" si="413"/>
        <v>0.5</v>
      </c>
      <c r="H350" s="105">
        <f t="shared" si="414"/>
        <v>-0.19999999999999996</v>
      </c>
      <c r="I350" s="106">
        <v>4.7E-2</v>
      </c>
      <c r="J350" s="107">
        <f t="shared" si="426"/>
        <v>46192</v>
      </c>
      <c r="K350" s="107">
        <f t="shared" si="416"/>
        <v>46192</v>
      </c>
      <c r="L350" s="107">
        <v>46178</v>
      </c>
      <c r="M350" s="108">
        <f t="shared" si="417"/>
        <v>46234</v>
      </c>
      <c r="N350" s="107">
        <f t="shared" si="418"/>
        <v>46234</v>
      </c>
      <c r="O350" s="108"/>
      <c r="P350" s="108">
        <f t="shared" si="427"/>
        <v>46276</v>
      </c>
      <c r="Q350" s="107">
        <f t="shared" si="419"/>
        <v>46276</v>
      </c>
      <c r="R350" s="108"/>
      <c r="S350" s="107">
        <f t="shared" si="421"/>
        <v>46290</v>
      </c>
      <c r="T350" s="107">
        <f t="shared" si="420"/>
        <v>46290</v>
      </c>
      <c r="U350" s="108"/>
      <c r="W350" s="174" t="str">
        <f t="shared" ca="1" si="422"/>
        <v>Completed</v>
      </c>
      <c r="X350" s="174" t="str">
        <f t="shared" ca="1" si="423"/>
        <v>Overdue</v>
      </c>
      <c r="Y350" s="174" t="str">
        <f t="shared" ca="1" si="424"/>
        <v/>
      </c>
      <c r="Z350" s="175" t="str">
        <f t="shared" ca="1" si="425"/>
        <v/>
      </c>
    </row>
    <row r="351" spans="1:26" s="70" customFormat="1" ht="11.5" x14ac:dyDescent="0.25">
      <c r="A351" s="102" t="s">
        <v>65</v>
      </c>
      <c r="B351" s="102" t="s">
        <v>14</v>
      </c>
      <c r="C351" s="102" t="s">
        <v>456</v>
      </c>
      <c r="D351" s="102" t="s">
        <v>457</v>
      </c>
      <c r="E351" s="105">
        <f t="shared" si="412"/>
        <v>0.7</v>
      </c>
      <c r="F351" s="105">
        <f t="shared" si="413"/>
        <v>0.7</v>
      </c>
      <c r="G351" s="105">
        <f t="shared" si="413"/>
        <v>0</v>
      </c>
      <c r="H351" s="105">
        <f t="shared" si="414"/>
        <v>-0.7</v>
      </c>
      <c r="I351" s="106">
        <v>4.7E-2</v>
      </c>
      <c r="J351" s="107">
        <f t="shared" si="426"/>
        <v>46199</v>
      </c>
      <c r="K351" s="107">
        <f t="shared" si="416"/>
        <v>46199</v>
      </c>
      <c r="L351" s="108"/>
      <c r="M351" s="108">
        <f t="shared" si="417"/>
        <v>46241</v>
      </c>
      <c r="N351" s="107">
        <f t="shared" si="418"/>
        <v>46241</v>
      </c>
      <c r="O351" s="108"/>
      <c r="P351" s="108">
        <f t="shared" si="427"/>
        <v>46283</v>
      </c>
      <c r="Q351" s="107">
        <f t="shared" si="419"/>
        <v>46283</v>
      </c>
      <c r="R351" s="108"/>
      <c r="S351" s="107">
        <f t="shared" si="421"/>
        <v>46297</v>
      </c>
      <c r="T351" s="107">
        <f t="shared" si="420"/>
        <v>46297</v>
      </c>
      <c r="U351" s="108"/>
      <c r="W351" s="174" t="str">
        <f t="shared" ca="1" si="422"/>
        <v>Overdue</v>
      </c>
      <c r="X351" s="174" t="str">
        <f t="shared" ca="1" si="423"/>
        <v>Overdue</v>
      </c>
      <c r="Y351" s="174" t="str">
        <f t="shared" ca="1" si="424"/>
        <v/>
      </c>
      <c r="Z351" s="175" t="str">
        <f t="shared" ca="1" si="425"/>
        <v/>
      </c>
    </row>
    <row r="352" spans="1:26" s="70" customFormat="1" ht="11.5" x14ac:dyDescent="0.25">
      <c r="A352" s="102" t="s">
        <v>65</v>
      </c>
      <c r="B352" s="102" t="s">
        <v>14</v>
      </c>
      <c r="C352" s="102" t="s">
        <v>458</v>
      </c>
      <c r="D352" s="102" t="s">
        <v>459</v>
      </c>
      <c r="E352" s="105">
        <f t="shared" si="412"/>
        <v>0.7</v>
      </c>
      <c r="F352" s="105">
        <f t="shared" si="413"/>
        <v>0.7</v>
      </c>
      <c r="G352" s="105">
        <f t="shared" si="413"/>
        <v>0.5</v>
      </c>
      <c r="H352" s="105">
        <f t="shared" si="414"/>
        <v>-0.19999999999999996</v>
      </c>
      <c r="I352" s="106">
        <v>4.7E-2</v>
      </c>
      <c r="J352" s="107">
        <f t="shared" si="426"/>
        <v>46192</v>
      </c>
      <c r="K352" s="107">
        <f t="shared" si="416"/>
        <v>46192</v>
      </c>
      <c r="L352" s="107">
        <v>46191</v>
      </c>
      <c r="M352" s="108">
        <f t="shared" si="417"/>
        <v>46234</v>
      </c>
      <c r="N352" s="107">
        <f t="shared" si="418"/>
        <v>46234</v>
      </c>
      <c r="O352" s="108"/>
      <c r="P352" s="108">
        <f t="shared" si="427"/>
        <v>46276</v>
      </c>
      <c r="Q352" s="107">
        <f t="shared" si="419"/>
        <v>46276</v>
      </c>
      <c r="R352" s="108"/>
      <c r="S352" s="107">
        <f t="shared" si="421"/>
        <v>46290</v>
      </c>
      <c r="T352" s="107">
        <f t="shared" si="420"/>
        <v>46290</v>
      </c>
      <c r="U352" s="108"/>
      <c r="W352" s="174" t="str">
        <f t="shared" ca="1" si="422"/>
        <v>Completed</v>
      </c>
      <c r="X352" s="174" t="str">
        <f t="shared" ca="1" si="423"/>
        <v>Overdue</v>
      </c>
      <c r="Y352" s="174" t="str">
        <f t="shared" ca="1" si="424"/>
        <v/>
      </c>
      <c r="Z352" s="175" t="str">
        <f t="shared" ca="1" si="425"/>
        <v/>
      </c>
    </row>
    <row r="353" spans="1:26" s="70" customFormat="1" ht="11.5" x14ac:dyDescent="0.25">
      <c r="A353" s="102" t="s">
        <v>65</v>
      </c>
      <c r="B353" s="102" t="s">
        <v>14</v>
      </c>
      <c r="C353" s="102" t="s">
        <v>460</v>
      </c>
      <c r="D353" s="102" t="s">
        <v>461</v>
      </c>
      <c r="E353" s="105">
        <f t="shared" si="412"/>
        <v>0.7</v>
      </c>
      <c r="F353" s="105">
        <f t="shared" si="413"/>
        <v>0.7</v>
      </c>
      <c r="G353" s="105">
        <f t="shared" si="413"/>
        <v>0.5</v>
      </c>
      <c r="H353" s="105">
        <f t="shared" si="414"/>
        <v>-0.19999999999999996</v>
      </c>
      <c r="I353" s="106">
        <v>4.7E-2</v>
      </c>
      <c r="J353" s="107">
        <f t="shared" si="426"/>
        <v>46192</v>
      </c>
      <c r="K353" s="107">
        <f t="shared" si="416"/>
        <v>46192</v>
      </c>
      <c r="L353" s="107">
        <v>46191</v>
      </c>
      <c r="M353" s="108">
        <f t="shared" si="417"/>
        <v>46234</v>
      </c>
      <c r="N353" s="107">
        <f t="shared" si="418"/>
        <v>46234</v>
      </c>
      <c r="O353" s="108"/>
      <c r="P353" s="108">
        <f t="shared" si="427"/>
        <v>46276</v>
      </c>
      <c r="Q353" s="107">
        <f t="shared" si="419"/>
        <v>46276</v>
      </c>
      <c r="R353" s="108"/>
      <c r="S353" s="107">
        <f t="shared" si="421"/>
        <v>46290</v>
      </c>
      <c r="T353" s="107">
        <f t="shared" si="420"/>
        <v>46290</v>
      </c>
      <c r="U353" s="108"/>
      <c r="W353" s="174" t="str">
        <f t="shared" ca="1" si="422"/>
        <v>Completed</v>
      </c>
      <c r="X353" s="174" t="str">
        <f t="shared" ca="1" si="423"/>
        <v>Overdue</v>
      </c>
      <c r="Y353" s="174" t="str">
        <f t="shared" ca="1" si="424"/>
        <v/>
      </c>
      <c r="Z353" s="175" t="str">
        <f t="shared" ca="1" si="425"/>
        <v/>
      </c>
    </row>
    <row r="354" spans="1:26" s="70" customFormat="1" ht="11.5" x14ac:dyDescent="0.25">
      <c r="A354" s="102" t="s">
        <v>65</v>
      </c>
      <c r="B354" s="102" t="s">
        <v>14</v>
      </c>
      <c r="C354" s="102" t="s">
        <v>899</v>
      </c>
      <c r="D354" s="102" t="s">
        <v>878</v>
      </c>
      <c r="E354" s="105">
        <f t="shared" si="412"/>
        <v>0.7</v>
      </c>
      <c r="F354" s="105">
        <f t="shared" si="413"/>
        <v>0.7</v>
      </c>
      <c r="G354" s="105">
        <f t="shared" si="413"/>
        <v>0.7</v>
      </c>
      <c r="H354" s="105">
        <f t="shared" si="414"/>
        <v>0</v>
      </c>
      <c r="I354" s="106">
        <v>4.7E-2</v>
      </c>
      <c r="J354" s="107">
        <f t="shared" si="426"/>
        <v>46206</v>
      </c>
      <c r="K354" s="107">
        <f t="shared" si="416"/>
        <v>46206</v>
      </c>
      <c r="L354" s="107">
        <v>46182</v>
      </c>
      <c r="M354" s="108">
        <f t="shared" si="417"/>
        <v>46248</v>
      </c>
      <c r="N354" s="107">
        <f t="shared" si="418"/>
        <v>46248</v>
      </c>
      <c r="O354" s="107">
        <v>46191</v>
      </c>
      <c r="P354" s="108">
        <f t="shared" si="427"/>
        <v>46290</v>
      </c>
      <c r="Q354" s="107">
        <f t="shared" si="419"/>
        <v>46290</v>
      </c>
      <c r="R354" s="108"/>
      <c r="S354" s="107">
        <f t="shared" si="421"/>
        <v>46304</v>
      </c>
      <c r="T354" s="107">
        <f t="shared" si="420"/>
        <v>46304</v>
      </c>
      <c r="U354" s="108"/>
      <c r="W354" s="174" t="str">
        <f t="shared" ca="1" si="422"/>
        <v>Completed</v>
      </c>
      <c r="X354" s="174" t="str">
        <f t="shared" ca="1" si="423"/>
        <v>Completed</v>
      </c>
      <c r="Y354" s="174" t="str">
        <f t="shared" ca="1" si="424"/>
        <v/>
      </c>
      <c r="Z354" s="175" t="str">
        <f t="shared" ca="1" si="425"/>
        <v/>
      </c>
    </row>
    <row r="355" spans="1:26" s="70" customFormat="1" ht="11.5" x14ac:dyDescent="0.25">
      <c r="A355" s="102" t="s">
        <v>65</v>
      </c>
      <c r="B355" s="102" t="s">
        <v>14</v>
      </c>
      <c r="C355" s="102" t="s">
        <v>900</v>
      </c>
      <c r="D355" s="102" t="s">
        <v>879</v>
      </c>
      <c r="E355" s="105">
        <f t="shared" si="412"/>
        <v>0.7</v>
      </c>
      <c r="F355" s="105">
        <f t="shared" si="413"/>
        <v>0.7</v>
      </c>
      <c r="G355" s="105">
        <f t="shared" si="413"/>
        <v>0.7</v>
      </c>
      <c r="H355" s="105">
        <f t="shared" si="414"/>
        <v>0</v>
      </c>
      <c r="I355" s="106">
        <v>4.7E-2</v>
      </c>
      <c r="J355" s="107">
        <f t="shared" si="426"/>
        <v>46206</v>
      </c>
      <c r="K355" s="107">
        <f t="shared" si="416"/>
        <v>46206</v>
      </c>
      <c r="L355" s="107">
        <v>46182</v>
      </c>
      <c r="M355" s="108">
        <f t="shared" si="417"/>
        <v>46248</v>
      </c>
      <c r="N355" s="107">
        <f t="shared" si="418"/>
        <v>46248</v>
      </c>
      <c r="O355" s="107">
        <v>46191</v>
      </c>
      <c r="P355" s="108">
        <f t="shared" si="427"/>
        <v>46290</v>
      </c>
      <c r="Q355" s="107">
        <f t="shared" si="419"/>
        <v>46290</v>
      </c>
      <c r="R355" s="108"/>
      <c r="S355" s="107">
        <f t="shared" si="421"/>
        <v>46304</v>
      </c>
      <c r="T355" s="107">
        <f t="shared" si="420"/>
        <v>46304</v>
      </c>
      <c r="U355" s="108"/>
      <c r="W355" s="174" t="str">
        <f t="shared" ca="1" si="422"/>
        <v>Completed</v>
      </c>
      <c r="X355" s="174" t="str">
        <f t="shared" ca="1" si="423"/>
        <v>Completed</v>
      </c>
      <c r="Y355" s="174" t="str">
        <f t="shared" ca="1" si="424"/>
        <v/>
      </c>
      <c r="Z355" s="175" t="str">
        <f t="shared" ca="1" si="425"/>
        <v/>
      </c>
    </row>
    <row r="356" spans="1:26" s="70" customFormat="1" ht="11.5" x14ac:dyDescent="0.25">
      <c r="A356" s="102" t="s">
        <v>65</v>
      </c>
      <c r="B356" s="102" t="s">
        <v>14</v>
      </c>
      <c r="C356" s="102" t="s">
        <v>901</v>
      </c>
      <c r="D356" s="102" t="s">
        <v>880</v>
      </c>
      <c r="E356" s="105">
        <f t="shared" si="412"/>
        <v>0.7</v>
      </c>
      <c r="F356" s="105">
        <f t="shared" si="413"/>
        <v>0.7</v>
      </c>
      <c r="G356" s="105">
        <f t="shared" si="413"/>
        <v>0.7</v>
      </c>
      <c r="H356" s="105">
        <f t="shared" si="414"/>
        <v>0</v>
      </c>
      <c r="I356" s="106">
        <v>4.7E-2</v>
      </c>
      <c r="J356" s="107">
        <f t="shared" si="426"/>
        <v>46206</v>
      </c>
      <c r="K356" s="107">
        <f t="shared" si="416"/>
        <v>46206</v>
      </c>
      <c r="L356" s="107">
        <v>46182</v>
      </c>
      <c r="M356" s="108">
        <f t="shared" si="417"/>
        <v>46248</v>
      </c>
      <c r="N356" s="107">
        <f t="shared" si="418"/>
        <v>46248</v>
      </c>
      <c r="O356" s="107">
        <v>46191</v>
      </c>
      <c r="P356" s="108">
        <f t="shared" si="427"/>
        <v>46290</v>
      </c>
      <c r="Q356" s="107">
        <f t="shared" si="419"/>
        <v>46290</v>
      </c>
      <c r="R356" s="108"/>
      <c r="S356" s="107">
        <f t="shared" si="421"/>
        <v>46304</v>
      </c>
      <c r="T356" s="107">
        <f t="shared" si="420"/>
        <v>46304</v>
      </c>
      <c r="U356" s="108"/>
      <c r="W356" s="174" t="str">
        <f t="shared" ca="1" si="422"/>
        <v>Completed</v>
      </c>
      <c r="X356" s="174" t="str">
        <f t="shared" ca="1" si="423"/>
        <v>Completed</v>
      </c>
      <c r="Y356" s="174" t="str">
        <f t="shared" ca="1" si="424"/>
        <v/>
      </c>
      <c r="Z356" s="175" t="str">
        <f t="shared" ca="1" si="425"/>
        <v/>
      </c>
    </row>
    <row r="357" spans="1:26" s="70" customFormat="1" ht="11.5" x14ac:dyDescent="0.25">
      <c r="A357" s="102" t="s">
        <v>65</v>
      </c>
      <c r="B357" s="102" t="s">
        <v>14</v>
      </c>
      <c r="C357" s="102" t="s">
        <v>902</v>
      </c>
      <c r="D357" s="102" t="s">
        <v>881</v>
      </c>
      <c r="E357" s="105">
        <f t="shared" si="412"/>
        <v>0.7</v>
      </c>
      <c r="F357" s="105">
        <f t="shared" si="413"/>
        <v>0.7</v>
      </c>
      <c r="G357" s="105">
        <f t="shared" si="413"/>
        <v>0.7</v>
      </c>
      <c r="H357" s="105">
        <f t="shared" si="414"/>
        <v>0</v>
      </c>
      <c r="I357" s="106">
        <v>4.7E-2</v>
      </c>
      <c r="J357" s="107">
        <f t="shared" si="426"/>
        <v>46206</v>
      </c>
      <c r="K357" s="107">
        <f t="shared" si="416"/>
        <v>46206</v>
      </c>
      <c r="L357" s="107">
        <v>46182</v>
      </c>
      <c r="M357" s="108">
        <f t="shared" si="417"/>
        <v>46248</v>
      </c>
      <c r="N357" s="107">
        <f t="shared" si="418"/>
        <v>46248</v>
      </c>
      <c r="O357" s="107">
        <v>46191</v>
      </c>
      <c r="P357" s="108">
        <f t="shared" si="427"/>
        <v>46290</v>
      </c>
      <c r="Q357" s="107">
        <f t="shared" si="419"/>
        <v>46290</v>
      </c>
      <c r="R357" s="108"/>
      <c r="S357" s="107">
        <f t="shared" si="421"/>
        <v>46304</v>
      </c>
      <c r="T357" s="107">
        <f t="shared" si="420"/>
        <v>46304</v>
      </c>
      <c r="U357" s="108"/>
      <c r="W357" s="174" t="str">
        <f t="shared" ca="1" si="422"/>
        <v>Completed</v>
      </c>
      <c r="X357" s="174" t="str">
        <f t="shared" ca="1" si="423"/>
        <v>Completed</v>
      </c>
      <c r="Y357" s="174" t="str">
        <f t="shared" ca="1" si="424"/>
        <v/>
      </c>
      <c r="Z357" s="175" t="str">
        <f t="shared" ca="1" si="425"/>
        <v/>
      </c>
    </row>
    <row r="358" spans="1:26" s="70" customFormat="1" ht="11.5" x14ac:dyDescent="0.25">
      <c r="A358" s="102" t="s">
        <v>65</v>
      </c>
      <c r="B358" s="102" t="s">
        <v>14</v>
      </c>
      <c r="C358" s="102" t="s">
        <v>903</v>
      </c>
      <c r="D358" s="102" t="s">
        <v>882</v>
      </c>
      <c r="E358" s="105">
        <f t="shared" si="412"/>
        <v>0.7</v>
      </c>
      <c r="F358" s="105">
        <f t="shared" si="413"/>
        <v>0.7</v>
      </c>
      <c r="G358" s="105">
        <f t="shared" si="413"/>
        <v>0.7</v>
      </c>
      <c r="H358" s="105">
        <f t="shared" si="414"/>
        <v>0</v>
      </c>
      <c r="I358" s="106">
        <v>4.7E-2</v>
      </c>
      <c r="J358" s="107">
        <f t="shared" si="426"/>
        <v>46206</v>
      </c>
      <c r="K358" s="107">
        <f t="shared" si="416"/>
        <v>46206</v>
      </c>
      <c r="L358" s="107">
        <v>46182</v>
      </c>
      <c r="M358" s="108">
        <f t="shared" si="417"/>
        <v>46248</v>
      </c>
      <c r="N358" s="107">
        <f t="shared" si="418"/>
        <v>46248</v>
      </c>
      <c r="O358" s="107">
        <v>46191</v>
      </c>
      <c r="P358" s="108">
        <f t="shared" si="427"/>
        <v>46290</v>
      </c>
      <c r="Q358" s="107">
        <f t="shared" si="419"/>
        <v>46290</v>
      </c>
      <c r="R358" s="108"/>
      <c r="S358" s="107">
        <f t="shared" si="421"/>
        <v>46304</v>
      </c>
      <c r="T358" s="107">
        <f t="shared" si="420"/>
        <v>46304</v>
      </c>
      <c r="U358" s="108"/>
      <c r="W358" s="174" t="str">
        <f t="shared" ca="1" si="422"/>
        <v>Completed</v>
      </c>
      <c r="X358" s="174" t="str">
        <f t="shared" ca="1" si="423"/>
        <v>Completed</v>
      </c>
      <c r="Y358" s="174" t="str">
        <f t="shared" ca="1" si="424"/>
        <v/>
      </c>
      <c r="Z358" s="175" t="str">
        <f t="shared" ca="1" si="425"/>
        <v/>
      </c>
    </row>
    <row r="359" spans="1:26" s="70" customFormat="1" ht="11.5" x14ac:dyDescent="0.25">
      <c r="A359" s="102" t="s">
        <v>65</v>
      </c>
      <c r="B359" s="102" t="s">
        <v>14</v>
      </c>
      <c r="C359" s="102" t="s">
        <v>904</v>
      </c>
      <c r="D359" s="102" t="s">
        <v>883</v>
      </c>
      <c r="E359" s="105">
        <f t="shared" si="412"/>
        <v>0.7</v>
      </c>
      <c r="F359" s="105">
        <f t="shared" si="413"/>
        <v>0.7</v>
      </c>
      <c r="G359" s="105">
        <f t="shared" si="413"/>
        <v>0.7</v>
      </c>
      <c r="H359" s="105">
        <f t="shared" si="414"/>
        <v>0</v>
      </c>
      <c r="I359" s="106">
        <v>4.7E-2</v>
      </c>
      <c r="J359" s="107">
        <f t="shared" si="426"/>
        <v>46206</v>
      </c>
      <c r="K359" s="107">
        <f t="shared" si="416"/>
        <v>46206</v>
      </c>
      <c r="L359" s="143">
        <v>46162</v>
      </c>
      <c r="M359" s="108">
        <f t="shared" si="417"/>
        <v>46248</v>
      </c>
      <c r="N359" s="107">
        <f t="shared" si="418"/>
        <v>46248</v>
      </c>
      <c r="O359" s="107">
        <v>46191</v>
      </c>
      <c r="P359" s="108">
        <f t="shared" si="427"/>
        <v>46290</v>
      </c>
      <c r="Q359" s="107">
        <f t="shared" si="419"/>
        <v>46290</v>
      </c>
      <c r="R359" s="108"/>
      <c r="S359" s="107">
        <f t="shared" si="421"/>
        <v>46304</v>
      </c>
      <c r="T359" s="107">
        <f t="shared" si="420"/>
        <v>46304</v>
      </c>
      <c r="U359" s="108"/>
      <c r="W359" s="174" t="str">
        <f t="shared" ca="1" si="422"/>
        <v>Completed</v>
      </c>
      <c r="X359" s="174" t="str">
        <f t="shared" ca="1" si="423"/>
        <v>Completed</v>
      </c>
      <c r="Y359" s="174" t="str">
        <f t="shared" ca="1" si="424"/>
        <v/>
      </c>
      <c r="Z359" s="175" t="str">
        <f t="shared" ca="1" si="425"/>
        <v/>
      </c>
    </row>
    <row r="360" spans="1:26" s="70" customFormat="1" ht="11.5" x14ac:dyDescent="0.25">
      <c r="A360" s="102" t="s">
        <v>65</v>
      </c>
      <c r="B360" s="102" t="s">
        <v>14</v>
      </c>
      <c r="C360" s="102" t="s">
        <v>905</v>
      </c>
      <c r="D360" s="102" t="s">
        <v>884</v>
      </c>
      <c r="E360" s="105">
        <f t="shared" si="412"/>
        <v>0.7</v>
      </c>
      <c r="F360" s="105">
        <f t="shared" si="413"/>
        <v>0.7</v>
      </c>
      <c r="G360" s="105">
        <f t="shared" si="413"/>
        <v>0.7</v>
      </c>
      <c r="H360" s="105">
        <f t="shared" si="414"/>
        <v>0</v>
      </c>
      <c r="I360" s="106">
        <v>4.7E-2</v>
      </c>
      <c r="J360" s="107">
        <f t="shared" si="426"/>
        <v>46206</v>
      </c>
      <c r="K360" s="107">
        <f t="shared" si="416"/>
        <v>46206</v>
      </c>
      <c r="L360" s="143">
        <v>46162</v>
      </c>
      <c r="M360" s="108">
        <f t="shared" si="417"/>
        <v>46248</v>
      </c>
      <c r="N360" s="107">
        <f t="shared" si="418"/>
        <v>46248</v>
      </c>
      <c r="O360" s="107">
        <v>46191</v>
      </c>
      <c r="P360" s="108">
        <f t="shared" si="427"/>
        <v>46290</v>
      </c>
      <c r="Q360" s="107">
        <f t="shared" si="419"/>
        <v>46290</v>
      </c>
      <c r="R360" s="108"/>
      <c r="S360" s="107">
        <f t="shared" si="421"/>
        <v>46304</v>
      </c>
      <c r="T360" s="107">
        <f t="shared" si="420"/>
        <v>46304</v>
      </c>
      <c r="U360" s="108"/>
      <c r="W360" s="174" t="str">
        <f t="shared" ca="1" si="422"/>
        <v>Completed</v>
      </c>
      <c r="X360" s="174" t="str">
        <f t="shared" ca="1" si="423"/>
        <v>Completed</v>
      </c>
      <c r="Y360" s="174" t="str">
        <f t="shared" ca="1" si="424"/>
        <v/>
      </c>
      <c r="Z360" s="175" t="str">
        <f t="shared" ca="1" si="425"/>
        <v/>
      </c>
    </row>
    <row r="361" spans="1:26" s="70" customFormat="1" ht="11.5" x14ac:dyDescent="0.25">
      <c r="A361" s="102" t="s">
        <v>65</v>
      </c>
      <c r="B361" s="102" t="s">
        <v>14</v>
      </c>
      <c r="C361" s="102" t="s">
        <v>906</v>
      </c>
      <c r="D361" s="102" t="s">
        <v>885</v>
      </c>
      <c r="E361" s="105">
        <f t="shared" si="412"/>
        <v>0.7</v>
      </c>
      <c r="F361" s="105">
        <f t="shared" si="413"/>
        <v>0.7</v>
      </c>
      <c r="G361" s="105">
        <f t="shared" si="413"/>
        <v>0.7</v>
      </c>
      <c r="H361" s="105">
        <f t="shared" si="414"/>
        <v>0</v>
      </c>
      <c r="I361" s="106">
        <v>4.7E-2</v>
      </c>
      <c r="J361" s="107">
        <f t="shared" si="426"/>
        <v>46206</v>
      </c>
      <c r="K361" s="107">
        <f t="shared" si="416"/>
        <v>46206</v>
      </c>
      <c r="L361" s="143">
        <v>46162</v>
      </c>
      <c r="M361" s="108">
        <f t="shared" si="417"/>
        <v>46248</v>
      </c>
      <c r="N361" s="107">
        <f t="shared" si="418"/>
        <v>46248</v>
      </c>
      <c r="O361" s="107">
        <v>46191</v>
      </c>
      <c r="P361" s="108">
        <f t="shared" si="427"/>
        <v>46290</v>
      </c>
      <c r="Q361" s="107">
        <f t="shared" si="419"/>
        <v>46290</v>
      </c>
      <c r="R361" s="108"/>
      <c r="S361" s="107">
        <f t="shared" si="421"/>
        <v>46304</v>
      </c>
      <c r="T361" s="107">
        <f t="shared" si="420"/>
        <v>46304</v>
      </c>
      <c r="U361" s="108"/>
      <c r="W361" s="174" t="str">
        <f t="shared" ca="1" si="422"/>
        <v>Completed</v>
      </c>
      <c r="X361" s="174" t="str">
        <f t="shared" ca="1" si="423"/>
        <v>Completed</v>
      </c>
      <c r="Y361" s="174" t="str">
        <f t="shared" ca="1" si="424"/>
        <v/>
      </c>
      <c r="Z361" s="175" t="str">
        <f t="shared" ca="1" si="425"/>
        <v/>
      </c>
    </row>
    <row r="362" spans="1:26" s="70" customFormat="1" ht="11.5" x14ac:dyDescent="0.25">
      <c r="A362" s="102" t="s">
        <v>65</v>
      </c>
      <c r="B362" s="102" t="s">
        <v>14</v>
      </c>
      <c r="C362" s="102" t="s">
        <v>907</v>
      </c>
      <c r="D362" s="102" t="s">
        <v>886</v>
      </c>
      <c r="E362" s="105">
        <f t="shared" si="412"/>
        <v>0.7</v>
      </c>
      <c r="F362" s="105">
        <f t="shared" si="413"/>
        <v>0.7</v>
      </c>
      <c r="G362" s="105">
        <f t="shared" si="413"/>
        <v>0.7</v>
      </c>
      <c r="H362" s="105">
        <f t="shared" si="414"/>
        <v>0</v>
      </c>
      <c r="I362" s="106">
        <v>4.7E-2</v>
      </c>
      <c r="J362" s="107">
        <f t="shared" si="426"/>
        <v>46206</v>
      </c>
      <c r="K362" s="107">
        <f t="shared" si="416"/>
        <v>46206</v>
      </c>
      <c r="L362" s="143">
        <v>46162</v>
      </c>
      <c r="M362" s="108">
        <f t="shared" si="417"/>
        <v>46248</v>
      </c>
      <c r="N362" s="107">
        <f t="shared" si="418"/>
        <v>46248</v>
      </c>
      <c r="O362" s="107">
        <v>46191</v>
      </c>
      <c r="P362" s="108">
        <f t="shared" si="427"/>
        <v>46290</v>
      </c>
      <c r="Q362" s="107">
        <f t="shared" si="419"/>
        <v>46290</v>
      </c>
      <c r="R362" s="108"/>
      <c r="S362" s="107">
        <f t="shared" si="421"/>
        <v>46304</v>
      </c>
      <c r="T362" s="107">
        <f t="shared" si="420"/>
        <v>46304</v>
      </c>
      <c r="U362" s="108"/>
      <c r="W362" s="174" t="str">
        <f t="shared" ca="1" si="422"/>
        <v>Completed</v>
      </c>
      <c r="X362" s="174" t="str">
        <f t="shared" ca="1" si="423"/>
        <v>Completed</v>
      </c>
      <c r="Y362" s="174" t="str">
        <f t="shared" ca="1" si="424"/>
        <v/>
      </c>
      <c r="Z362" s="175" t="str">
        <f t="shared" ca="1" si="425"/>
        <v/>
      </c>
    </row>
    <row r="363" spans="1:26" s="70" customFormat="1" ht="11.5" x14ac:dyDescent="0.25">
      <c r="A363" s="102" t="s">
        <v>65</v>
      </c>
      <c r="B363" s="102" t="s">
        <v>14</v>
      </c>
      <c r="C363" s="102" t="s">
        <v>908</v>
      </c>
      <c r="D363" s="102" t="s">
        <v>887</v>
      </c>
      <c r="E363" s="105">
        <f t="shared" si="412"/>
        <v>0.7</v>
      </c>
      <c r="F363" s="105">
        <f t="shared" si="413"/>
        <v>0.7</v>
      </c>
      <c r="G363" s="105">
        <f t="shared" si="413"/>
        <v>0.7</v>
      </c>
      <c r="H363" s="105">
        <f t="shared" si="414"/>
        <v>0</v>
      </c>
      <c r="I363" s="106">
        <v>4.7E-2</v>
      </c>
      <c r="J363" s="107">
        <f t="shared" si="426"/>
        <v>46206</v>
      </c>
      <c r="K363" s="107">
        <f t="shared" si="416"/>
        <v>46206</v>
      </c>
      <c r="L363" s="143">
        <v>46162</v>
      </c>
      <c r="M363" s="108">
        <f t="shared" si="417"/>
        <v>46248</v>
      </c>
      <c r="N363" s="107">
        <f t="shared" si="418"/>
        <v>46248</v>
      </c>
      <c r="O363" s="107">
        <v>46191</v>
      </c>
      <c r="P363" s="108">
        <f t="shared" si="427"/>
        <v>46290</v>
      </c>
      <c r="Q363" s="107">
        <f t="shared" si="419"/>
        <v>46290</v>
      </c>
      <c r="R363" s="108"/>
      <c r="S363" s="107">
        <f t="shared" si="421"/>
        <v>46304</v>
      </c>
      <c r="T363" s="107">
        <f t="shared" si="420"/>
        <v>46304</v>
      </c>
      <c r="U363" s="108"/>
      <c r="W363" s="174" t="str">
        <f t="shared" ca="1" si="422"/>
        <v>Completed</v>
      </c>
      <c r="X363" s="174" t="str">
        <f t="shared" ca="1" si="423"/>
        <v>Completed</v>
      </c>
      <c r="Y363" s="174" t="str">
        <f t="shared" ca="1" si="424"/>
        <v/>
      </c>
      <c r="Z363" s="175" t="str">
        <f t="shared" ca="1" si="425"/>
        <v/>
      </c>
    </row>
    <row r="364" spans="1:26" s="70" customFormat="1" ht="11.5" x14ac:dyDescent="0.25">
      <c r="A364" s="102" t="s">
        <v>65</v>
      </c>
      <c r="B364" s="102" t="s">
        <v>14</v>
      </c>
      <c r="C364" s="102" t="s">
        <v>909</v>
      </c>
      <c r="D364" s="102" t="s">
        <v>888</v>
      </c>
      <c r="E364" s="105">
        <f t="shared" si="412"/>
        <v>0.7</v>
      </c>
      <c r="F364" s="105">
        <f t="shared" si="413"/>
        <v>0.7</v>
      </c>
      <c r="G364" s="105">
        <f t="shared" si="413"/>
        <v>0.7</v>
      </c>
      <c r="H364" s="105">
        <f t="shared" si="414"/>
        <v>0</v>
      </c>
      <c r="I364" s="106">
        <v>4.7E-2</v>
      </c>
      <c r="J364" s="107">
        <f t="shared" si="426"/>
        <v>46206</v>
      </c>
      <c r="K364" s="107">
        <f t="shared" si="416"/>
        <v>46206</v>
      </c>
      <c r="L364" s="143">
        <v>46162</v>
      </c>
      <c r="M364" s="108">
        <f t="shared" si="417"/>
        <v>46248</v>
      </c>
      <c r="N364" s="107">
        <f t="shared" si="418"/>
        <v>46248</v>
      </c>
      <c r="O364" s="107">
        <v>46191</v>
      </c>
      <c r="P364" s="108">
        <f t="shared" si="427"/>
        <v>46290</v>
      </c>
      <c r="Q364" s="107">
        <f t="shared" si="419"/>
        <v>46290</v>
      </c>
      <c r="R364" s="108"/>
      <c r="S364" s="107">
        <f t="shared" si="421"/>
        <v>46304</v>
      </c>
      <c r="T364" s="107">
        <f t="shared" si="420"/>
        <v>46304</v>
      </c>
      <c r="U364" s="108"/>
      <c r="W364" s="174" t="str">
        <f t="shared" ca="1" si="422"/>
        <v>Completed</v>
      </c>
      <c r="X364" s="174" t="str">
        <f t="shared" ca="1" si="423"/>
        <v>Completed</v>
      </c>
      <c r="Y364" s="174" t="str">
        <f t="shared" ca="1" si="424"/>
        <v/>
      </c>
      <c r="Z364" s="175" t="str">
        <f t="shared" ca="1" si="425"/>
        <v/>
      </c>
    </row>
    <row r="365" spans="1:26" s="70" customFormat="1" ht="11.5" x14ac:dyDescent="0.25">
      <c r="A365" s="102" t="s">
        <v>65</v>
      </c>
      <c r="B365" s="102" t="s">
        <v>14</v>
      </c>
      <c r="C365" s="102" t="s">
        <v>910</v>
      </c>
      <c r="D365" s="102" t="s">
        <v>889</v>
      </c>
      <c r="E365" s="105">
        <f t="shared" si="412"/>
        <v>0.7</v>
      </c>
      <c r="F365" s="105">
        <f t="shared" si="413"/>
        <v>0.7</v>
      </c>
      <c r="G365" s="105">
        <f t="shared" si="413"/>
        <v>0.7</v>
      </c>
      <c r="H365" s="105">
        <f t="shared" si="414"/>
        <v>0</v>
      </c>
      <c r="I365" s="106">
        <v>4.7E-2</v>
      </c>
      <c r="J365" s="107">
        <f t="shared" si="426"/>
        <v>46206</v>
      </c>
      <c r="K365" s="107">
        <f t="shared" si="416"/>
        <v>46206</v>
      </c>
      <c r="L365" s="143">
        <v>46162</v>
      </c>
      <c r="M365" s="108">
        <f t="shared" si="417"/>
        <v>46248</v>
      </c>
      <c r="N365" s="107">
        <f t="shared" si="418"/>
        <v>46248</v>
      </c>
      <c r="O365" s="107">
        <v>46191</v>
      </c>
      <c r="P365" s="108">
        <f t="shared" si="427"/>
        <v>46290</v>
      </c>
      <c r="Q365" s="107">
        <f t="shared" si="419"/>
        <v>46290</v>
      </c>
      <c r="R365" s="108"/>
      <c r="S365" s="107">
        <f t="shared" si="421"/>
        <v>46304</v>
      </c>
      <c r="T365" s="107">
        <f t="shared" si="420"/>
        <v>46304</v>
      </c>
      <c r="U365" s="108"/>
      <c r="W365" s="174" t="str">
        <f t="shared" ca="1" si="422"/>
        <v>Completed</v>
      </c>
      <c r="X365" s="174" t="str">
        <f t="shared" ca="1" si="423"/>
        <v>Completed</v>
      </c>
      <c r="Y365" s="174" t="str">
        <f t="shared" ca="1" si="424"/>
        <v/>
      </c>
      <c r="Z365" s="175" t="str">
        <f t="shared" ca="1" si="425"/>
        <v/>
      </c>
    </row>
    <row r="366" spans="1:26" s="70" customFormat="1" ht="11.5" x14ac:dyDescent="0.25">
      <c r="A366" s="102" t="s">
        <v>65</v>
      </c>
      <c r="B366" s="102" t="s">
        <v>14</v>
      </c>
      <c r="C366" s="102" t="s">
        <v>911</v>
      </c>
      <c r="D366" s="102" t="s">
        <v>890</v>
      </c>
      <c r="E366" s="105">
        <f t="shared" si="412"/>
        <v>0.7</v>
      </c>
      <c r="F366" s="105">
        <f t="shared" si="413"/>
        <v>0.7</v>
      </c>
      <c r="G366" s="105">
        <f t="shared" si="413"/>
        <v>0.7</v>
      </c>
      <c r="H366" s="105">
        <f t="shared" si="414"/>
        <v>0</v>
      </c>
      <c r="I366" s="106">
        <v>4.7E-2</v>
      </c>
      <c r="J366" s="107">
        <f t="shared" si="426"/>
        <v>46206</v>
      </c>
      <c r="K366" s="107">
        <f t="shared" si="416"/>
        <v>46206</v>
      </c>
      <c r="L366" s="143">
        <v>46162</v>
      </c>
      <c r="M366" s="108">
        <f t="shared" si="417"/>
        <v>46248</v>
      </c>
      <c r="N366" s="107">
        <f t="shared" si="418"/>
        <v>46248</v>
      </c>
      <c r="O366" s="107">
        <v>46191</v>
      </c>
      <c r="P366" s="108">
        <f t="shared" si="427"/>
        <v>46290</v>
      </c>
      <c r="Q366" s="107">
        <f t="shared" si="419"/>
        <v>46290</v>
      </c>
      <c r="R366" s="108"/>
      <c r="S366" s="107">
        <f t="shared" si="421"/>
        <v>46304</v>
      </c>
      <c r="T366" s="107">
        <f t="shared" si="420"/>
        <v>46304</v>
      </c>
      <c r="U366" s="108"/>
      <c r="W366" s="174" t="str">
        <f t="shared" ca="1" si="422"/>
        <v>Completed</v>
      </c>
      <c r="X366" s="174" t="str">
        <f t="shared" ca="1" si="423"/>
        <v>Completed</v>
      </c>
      <c r="Y366" s="174" t="str">
        <f t="shared" ca="1" si="424"/>
        <v/>
      </c>
      <c r="Z366" s="175" t="str">
        <f t="shared" ca="1" si="425"/>
        <v/>
      </c>
    </row>
    <row r="367" spans="1:26" s="70" customFormat="1" ht="11.5" x14ac:dyDescent="0.25">
      <c r="A367" s="102" t="s">
        <v>65</v>
      </c>
      <c r="B367" s="102" t="s">
        <v>14</v>
      </c>
      <c r="C367" s="102" t="s">
        <v>462</v>
      </c>
      <c r="D367" s="102" t="s">
        <v>463</v>
      </c>
      <c r="E367" s="105">
        <f t="shared" si="412"/>
        <v>0.7</v>
      </c>
      <c r="F367" s="105">
        <f t="shared" si="413"/>
        <v>0.7</v>
      </c>
      <c r="G367" s="105">
        <f t="shared" si="413"/>
        <v>0.7</v>
      </c>
      <c r="H367" s="105">
        <f t="shared" si="414"/>
        <v>0</v>
      </c>
      <c r="I367" s="106">
        <f>0.047*2</f>
        <v>9.4E-2</v>
      </c>
      <c r="J367" s="107">
        <f t="shared" si="426"/>
        <v>46192</v>
      </c>
      <c r="K367" s="107">
        <f t="shared" si="416"/>
        <v>46192</v>
      </c>
      <c r="L367" s="108">
        <v>46184</v>
      </c>
      <c r="M367" s="108">
        <f t="shared" si="417"/>
        <v>46234</v>
      </c>
      <c r="N367" s="107">
        <f t="shared" si="418"/>
        <v>46234</v>
      </c>
      <c r="O367" s="108">
        <v>46213</v>
      </c>
      <c r="P367" s="108">
        <f t="shared" si="427"/>
        <v>46276</v>
      </c>
      <c r="Q367" s="107">
        <f t="shared" si="419"/>
        <v>46276</v>
      </c>
      <c r="R367" s="108"/>
      <c r="S367" s="107">
        <f t="shared" si="421"/>
        <v>46290</v>
      </c>
      <c r="T367" s="107">
        <f t="shared" si="420"/>
        <v>46290</v>
      </c>
      <c r="U367" s="108"/>
      <c r="W367" s="174" t="str">
        <f t="shared" ca="1" si="422"/>
        <v>Completed</v>
      </c>
      <c r="X367" s="174" t="str">
        <f t="shared" ca="1" si="423"/>
        <v>Completed</v>
      </c>
      <c r="Y367" s="174" t="str">
        <f t="shared" ca="1" si="424"/>
        <v/>
      </c>
      <c r="Z367" s="175" t="str">
        <f t="shared" ca="1" si="425"/>
        <v/>
      </c>
    </row>
    <row r="368" spans="1:26" s="70" customFormat="1" ht="11.5" x14ac:dyDescent="0.25">
      <c r="A368" s="102" t="s">
        <v>65</v>
      </c>
      <c r="B368" s="102" t="s">
        <v>14</v>
      </c>
      <c r="C368" s="102" t="s">
        <v>464</v>
      </c>
      <c r="D368" s="102" t="s">
        <v>465</v>
      </c>
      <c r="E368" s="105">
        <f t="shared" si="412"/>
        <v>0.7</v>
      </c>
      <c r="F368" s="105">
        <f t="shared" si="413"/>
        <v>0.7</v>
      </c>
      <c r="G368" s="105">
        <f t="shared" si="413"/>
        <v>0</v>
      </c>
      <c r="H368" s="105">
        <f t="shared" si="414"/>
        <v>-0.7</v>
      </c>
      <c r="I368" s="106"/>
      <c r="J368" s="107">
        <f t="shared" si="426"/>
        <v>46192</v>
      </c>
      <c r="K368" s="107">
        <f t="shared" si="416"/>
        <v>46192</v>
      </c>
      <c r="L368" s="108"/>
      <c r="M368" s="108">
        <f t="shared" si="417"/>
        <v>46234</v>
      </c>
      <c r="N368" s="107">
        <f t="shared" si="418"/>
        <v>46234</v>
      </c>
      <c r="O368" s="108"/>
      <c r="P368" s="108">
        <f t="shared" si="427"/>
        <v>46276</v>
      </c>
      <c r="Q368" s="107">
        <f t="shared" si="419"/>
        <v>46276</v>
      </c>
      <c r="R368" s="108"/>
      <c r="S368" s="107">
        <f t="shared" si="421"/>
        <v>46290</v>
      </c>
      <c r="T368" s="107">
        <f t="shared" si="420"/>
        <v>46290</v>
      </c>
      <c r="U368" s="108"/>
      <c r="W368" s="174" t="str">
        <f t="shared" ca="1" si="422"/>
        <v>Overdue</v>
      </c>
      <c r="X368" s="174" t="str">
        <f t="shared" ca="1" si="423"/>
        <v>Overdue</v>
      </c>
      <c r="Y368" s="174" t="str">
        <f t="shared" ca="1" si="424"/>
        <v/>
      </c>
      <c r="Z368" s="175" t="str">
        <f t="shared" ca="1" si="425"/>
        <v/>
      </c>
    </row>
    <row r="369" spans="1:26" s="70" customFormat="1" ht="11.5" x14ac:dyDescent="0.25">
      <c r="A369" s="102" t="s">
        <v>65</v>
      </c>
      <c r="B369" s="102" t="s">
        <v>14</v>
      </c>
      <c r="C369" s="102" t="s">
        <v>466</v>
      </c>
      <c r="D369" s="103" t="s">
        <v>467</v>
      </c>
      <c r="E369" s="105">
        <f t="shared" si="412"/>
        <v>0.7</v>
      </c>
      <c r="F369" s="105">
        <f t="shared" si="413"/>
        <v>0.7</v>
      </c>
      <c r="G369" s="105">
        <f t="shared" si="413"/>
        <v>0</v>
      </c>
      <c r="H369" s="105">
        <f t="shared" si="414"/>
        <v>-0.7</v>
      </c>
      <c r="I369" s="106">
        <v>4.7E-2</v>
      </c>
      <c r="J369" s="107">
        <f t="shared" si="426"/>
        <v>46192</v>
      </c>
      <c r="K369" s="107">
        <f t="shared" si="416"/>
        <v>46192</v>
      </c>
      <c r="L369" s="108"/>
      <c r="M369" s="108">
        <f t="shared" si="417"/>
        <v>46234</v>
      </c>
      <c r="N369" s="107">
        <f t="shared" si="418"/>
        <v>46234</v>
      </c>
      <c r="O369" s="108"/>
      <c r="P369" s="108">
        <f t="shared" si="427"/>
        <v>46276</v>
      </c>
      <c r="Q369" s="107">
        <f t="shared" si="419"/>
        <v>46276</v>
      </c>
      <c r="R369" s="108"/>
      <c r="S369" s="107">
        <f t="shared" si="421"/>
        <v>46290</v>
      </c>
      <c r="T369" s="107">
        <f t="shared" si="420"/>
        <v>46290</v>
      </c>
      <c r="U369" s="108"/>
      <c r="W369" s="174" t="str">
        <f t="shared" ca="1" si="422"/>
        <v>Overdue</v>
      </c>
      <c r="X369" s="174" t="str">
        <f t="shared" ca="1" si="423"/>
        <v>Overdue</v>
      </c>
      <c r="Y369" s="174" t="str">
        <f t="shared" ca="1" si="424"/>
        <v/>
      </c>
      <c r="Z369" s="175" t="str">
        <f t="shared" ca="1" si="425"/>
        <v/>
      </c>
    </row>
    <row r="370" spans="1:26" s="70" customFormat="1" ht="11.5" x14ac:dyDescent="0.25">
      <c r="A370" s="102" t="s">
        <v>65</v>
      </c>
      <c r="B370" s="102" t="s">
        <v>14</v>
      </c>
      <c r="C370" s="102" t="s">
        <v>468</v>
      </c>
      <c r="D370" s="103" t="s">
        <v>469</v>
      </c>
      <c r="E370" s="105">
        <f t="shared" si="412"/>
        <v>0.7</v>
      </c>
      <c r="F370" s="105">
        <f t="shared" si="413"/>
        <v>0.7</v>
      </c>
      <c r="G370" s="105">
        <f t="shared" si="413"/>
        <v>0</v>
      </c>
      <c r="H370" s="105">
        <f t="shared" si="414"/>
        <v>-0.7</v>
      </c>
      <c r="I370" s="106">
        <v>4.7E-2</v>
      </c>
      <c r="J370" s="107">
        <f t="shared" si="426"/>
        <v>46192</v>
      </c>
      <c r="K370" s="107">
        <f t="shared" si="416"/>
        <v>46192</v>
      </c>
      <c r="L370" s="108"/>
      <c r="M370" s="108">
        <f t="shared" si="417"/>
        <v>46234</v>
      </c>
      <c r="N370" s="107">
        <f t="shared" si="418"/>
        <v>46234</v>
      </c>
      <c r="O370" s="108"/>
      <c r="P370" s="108">
        <f t="shared" si="427"/>
        <v>46276</v>
      </c>
      <c r="Q370" s="107">
        <f t="shared" si="419"/>
        <v>46276</v>
      </c>
      <c r="R370" s="108"/>
      <c r="S370" s="107">
        <f t="shared" si="421"/>
        <v>46290</v>
      </c>
      <c r="T370" s="107">
        <f t="shared" si="420"/>
        <v>46290</v>
      </c>
      <c r="U370" s="108"/>
      <c r="W370" s="174" t="str">
        <f t="shared" ca="1" si="422"/>
        <v>Overdue</v>
      </c>
      <c r="X370" s="174" t="str">
        <f t="shared" ca="1" si="423"/>
        <v>Overdue</v>
      </c>
      <c r="Y370" s="174" t="str">
        <f t="shared" ca="1" si="424"/>
        <v/>
      </c>
      <c r="Z370" s="175" t="str">
        <f t="shared" ca="1" si="425"/>
        <v/>
      </c>
    </row>
    <row r="371" spans="1:26" s="70" customFormat="1" ht="11.5" x14ac:dyDescent="0.25">
      <c r="A371" s="102" t="s">
        <v>65</v>
      </c>
      <c r="B371" s="102" t="s">
        <v>14</v>
      </c>
      <c r="C371" s="102" t="s">
        <v>470</v>
      </c>
      <c r="D371" s="103" t="s">
        <v>471</v>
      </c>
      <c r="E371" s="105">
        <f t="shared" si="412"/>
        <v>0.5</v>
      </c>
      <c r="F371" s="105">
        <f t="shared" si="413"/>
        <v>0.5</v>
      </c>
      <c r="G371" s="105">
        <f t="shared" si="413"/>
        <v>0.5</v>
      </c>
      <c r="H371" s="105">
        <f t="shared" si="414"/>
        <v>0</v>
      </c>
      <c r="I371" s="106">
        <v>4.7E-2</v>
      </c>
      <c r="J371" s="107">
        <f t="shared" si="426"/>
        <v>46213</v>
      </c>
      <c r="K371" s="107">
        <f t="shared" si="416"/>
        <v>46213</v>
      </c>
      <c r="L371" s="107">
        <v>46142</v>
      </c>
      <c r="M371" s="108">
        <f t="shared" si="417"/>
        <v>46255</v>
      </c>
      <c r="N371" s="107">
        <f t="shared" si="418"/>
        <v>46255</v>
      </c>
      <c r="O371" s="108"/>
      <c r="P371" s="108">
        <f t="shared" si="427"/>
        <v>46297</v>
      </c>
      <c r="Q371" s="107">
        <f t="shared" si="419"/>
        <v>46297</v>
      </c>
      <c r="R371" s="108"/>
      <c r="S371" s="107">
        <f t="shared" si="421"/>
        <v>46311</v>
      </c>
      <c r="T371" s="107">
        <f t="shared" si="420"/>
        <v>46311</v>
      </c>
      <c r="U371" s="108"/>
      <c r="W371" s="174" t="str">
        <f t="shared" ca="1" si="422"/>
        <v>Completed</v>
      </c>
      <c r="X371" s="174" t="str">
        <f t="shared" ca="1" si="423"/>
        <v>Follow-Next Week</v>
      </c>
      <c r="Y371" s="174" t="str">
        <f t="shared" ca="1" si="424"/>
        <v/>
      </c>
      <c r="Z371" s="175" t="str">
        <f t="shared" ca="1" si="425"/>
        <v/>
      </c>
    </row>
    <row r="372" spans="1:26" s="70" customFormat="1" ht="11.5" x14ac:dyDescent="0.25">
      <c r="A372" s="103" t="s">
        <v>65</v>
      </c>
      <c r="B372" s="103" t="s">
        <v>14</v>
      </c>
      <c r="C372" s="103" t="s">
        <v>1072</v>
      </c>
      <c r="D372" s="103" t="s">
        <v>472</v>
      </c>
      <c r="E372" s="104">
        <f t="shared" si="412"/>
        <v>0.5</v>
      </c>
      <c r="F372" s="104">
        <f t="shared" si="413"/>
        <v>0.5</v>
      </c>
      <c r="G372" s="104">
        <f t="shared" si="413"/>
        <v>0.5</v>
      </c>
      <c r="H372" s="104">
        <f t="shared" si="414"/>
        <v>0</v>
      </c>
      <c r="I372" s="110">
        <v>4.7E-2</v>
      </c>
      <c r="J372" s="107">
        <f t="shared" si="426"/>
        <v>46213</v>
      </c>
      <c r="K372" s="107">
        <f t="shared" si="416"/>
        <v>46213</v>
      </c>
      <c r="L372" s="107">
        <v>46142</v>
      </c>
      <c r="M372" s="108">
        <f t="shared" si="417"/>
        <v>46255</v>
      </c>
      <c r="N372" s="107">
        <f t="shared" si="418"/>
        <v>46255</v>
      </c>
      <c r="O372" s="108"/>
      <c r="P372" s="108">
        <f t="shared" si="427"/>
        <v>46297</v>
      </c>
      <c r="Q372" s="107">
        <f t="shared" si="419"/>
        <v>46297</v>
      </c>
      <c r="R372" s="108"/>
      <c r="S372" s="107">
        <f t="shared" si="421"/>
        <v>46311</v>
      </c>
      <c r="T372" s="107">
        <f t="shared" si="420"/>
        <v>46311</v>
      </c>
      <c r="U372" s="108"/>
      <c r="W372" s="174" t="str">
        <f t="shared" ca="1" si="422"/>
        <v>Completed</v>
      </c>
      <c r="X372" s="174" t="str">
        <f t="shared" ca="1" si="423"/>
        <v>Follow-Next Week</v>
      </c>
      <c r="Y372" s="174" t="str">
        <f t="shared" ca="1" si="424"/>
        <v/>
      </c>
      <c r="Z372" s="175" t="str">
        <f t="shared" ca="1" si="425"/>
        <v/>
      </c>
    </row>
    <row r="373" spans="1:26" s="70" customFormat="1" ht="11.5" x14ac:dyDescent="0.25">
      <c r="A373" s="103" t="s">
        <v>65</v>
      </c>
      <c r="B373" s="103" t="s">
        <v>14</v>
      </c>
      <c r="C373" s="103" t="s">
        <v>1073</v>
      </c>
      <c r="D373" s="103" t="s">
        <v>473</v>
      </c>
      <c r="E373" s="104">
        <f t="shared" si="412"/>
        <v>0.5</v>
      </c>
      <c r="F373" s="104">
        <f t="shared" si="413"/>
        <v>0.5</v>
      </c>
      <c r="G373" s="104">
        <f t="shared" si="413"/>
        <v>0.5</v>
      </c>
      <c r="H373" s="104">
        <f t="shared" si="414"/>
        <v>0</v>
      </c>
      <c r="I373" s="110">
        <v>4.7E-2</v>
      </c>
      <c r="J373" s="107">
        <f t="shared" si="426"/>
        <v>46213</v>
      </c>
      <c r="K373" s="107">
        <f t="shared" si="416"/>
        <v>46213</v>
      </c>
      <c r="L373" s="107">
        <v>46142</v>
      </c>
      <c r="M373" s="108">
        <f t="shared" si="417"/>
        <v>46255</v>
      </c>
      <c r="N373" s="107">
        <f t="shared" si="418"/>
        <v>46255</v>
      </c>
      <c r="O373" s="108"/>
      <c r="P373" s="108">
        <f t="shared" si="427"/>
        <v>46297</v>
      </c>
      <c r="Q373" s="107">
        <f t="shared" si="419"/>
        <v>46297</v>
      </c>
      <c r="R373" s="108"/>
      <c r="S373" s="107">
        <f t="shared" si="421"/>
        <v>46311</v>
      </c>
      <c r="T373" s="107">
        <f t="shared" si="420"/>
        <v>46311</v>
      </c>
      <c r="U373" s="108"/>
      <c r="W373" s="174" t="str">
        <f t="shared" ca="1" si="422"/>
        <v>Completed</v>
      </c>
      <c r="X373" s="174" t="str">
        <f t="shared" ca="1" si="423"/>
        <v>Follow-Next Week</v>
      </c>
      <c r="Y373" s="174" t="str">
        <f t="shared" ca="1" si="424"/>
        <v/>
      </c>
      <c r="Z373" s="175" t="str">
        <f t="shared" ca="1" si="425"/>
        <v/>
      </c>
    </row>
    <row r="374" spans="1:26" s="70" customFormat="1" ht="11.5" x14ac:dyDescent="0.25">
      <c r="A374" s="103" t="s">
        <v>65</v>
      </c>
      <c r="B374" s="103" t="s">
        <v>14</v>
      </c>
      <c r="C374" s="103" t="s">
        <v>1074</v>
      </c>
      <c r="D374" s="103" t="s">
        <v>474</v>
      </c>
      <c r="E374" s="104">
        <f t="shared" ref="E374" si="428">(COUNTIFS(J374,"&lt;="&amp;$C$1)*50%)+(COUNTIFS(M374,"&lt;="&amp;$C$1)*20%)+(COUNTIFS(P374,"&lt;="&amp;$C$1)*10%)+(COUNTIFS(S374,"&lt;="&amp;$C$1)*20%)</f>
        <v>0.5</v>
      </c>
      <c r="F374" s="104">
        <f t="shared" ref="F374" si="429">(COUNTIFS(K374,"&lt;="&amp;$C$1)*50%)+(COUNTIFS(N374,"&lt;="&amp;$C$1)*20%)+(COUNTIFS(Q374,"&lt;="&amp;$C$1)*10%)+(COUNTIFS(T374,"&lt;="&amp;$C$1)*20%)</f>
        <v>0.5</v>
      </c>
      <c r="G374" s="104">
        <f t="shared" ref="G374" si="430">(COUNTIFS(L374,"&lt;="&amp;$C$1)*50%)+(COUNTIFS(O374,"&lt;="&amp;$C$1)*20%)+(COUNTIFS(R374,"&lt;="&amp;$C$1)*10%)+(COUNTIFS(U374,"&lt;="&amp;$C$1)*20%)</f>
        <v>0.5</v>
      </c>
      <c r="H374" s="104">
        <f t="shared" ref="H374" si="431">G374-E374</f>
        <v>0</v>
      </c>
      <c r="I374" s="110">
        <v>4.7E-2</v>
      </c>
      <c r="J374" s="107">
        <f t="shared" si="426"/>
        <v>46213</v>
      </c>
      <c r="K374" s="107">
        <f t="shared" si="416"/>
        <v>46213</v>
      </c>
      <c r="L374" s="107">
        <v>46142</v>
      </c>
      <c r="M374" s="108">
        <f t="shared" si="417"/>
        <v>46255</v>
      </c>
      <c r="N374" s="107">
        <f t="shared" si="418"/>
        <v>46255</v>
      </c>
      <c r="O374" s="108"/>
      <c r="P374" s="108">
        <f t="shared" si="427"/>
        <v>46297</v>
      </c>
      <c r="Q374" s="107">
        <f t="shared" si="419"/>
        <v>46297</v>
      </c>
      <c r="R374" s="108"/>
      <c r="S374" s="107">
        <f t="shared" si="421"/>
        <v>46311</v>
      </c>
      <c r="T374" s="107">
        <f t="shared" si="420"/>
        <v>46311</v>
      </c>
      <c r="U374" s="108"/>
      <c r="W374" s="174" t="str">
        <f t="shared" ca="1" si="422"/>
        <v>Completed</v>
      </c>
      <c r="X374" s="174" t="str">
        <f t="shared" ca="1" si="423"/>
        <v>Follow-Next Week</v>
      </c>
      <c r="Y374" s="174" t="str">
        <f t="shared" ca="1" si="424"/>
        <v/>
      </c>
      <c r="Z374" s="175" t="str">
        <f t="shared" ca="1" si="425"/>
        <v/>
      </c>
    </row>
    <row r="375" spans="1:26" s="70" customFormat="1" ht="11.5" x14ac:dyDescent="0.25">
      <c r="A375" s="103" t="s">
        <v>65</v>
      </c>
      <c r="B375" s="103" t="s">
        <v>14</v>
      </c>
      <c r="C375" s="103" t="s">
        <v>1075</v>
      </c>
      <c r="D375" s="103" t="s">
        <v>475</v>
      </c>
      <c r="E375" s="104">
        <f t="shared" si="412"/>
        <v>0.5</v>
      </c>
      <c r="F375" s="104">
        <f t="shared" si="413"/>
        <v>0.5</v>
      </c>
      <c r="G375" s="104">
        <f t="shared" si="413"/>
        <v>0.5</v>
      </c>
      <c r="H375" s="104">
        <f t="shared" si="414"/>
        <v>0</v>
      </c>
      <c r="I375" s="110">
        <v>4.7E-2</v>
      </c>
      <c r="J375" s="107">
        <f t="shared" si="426"/>
        <v>46213</v>
      </c>
      <c r="K375" s="107">
        <f t="shared" si="416"/>
        <v>46213</v>
      </c>
      <c r="L375" s="107">
        <v>46142</v>
      </c>
      <c r="M375" s="108">
        <f t="shared" si="417"/>
        <v>46255</v>
      </c>
      <c r="N375" s="107">
        <f t="shared" si="418"/>
        <v>46255</v>
      </c>
      <c r="O375" s="108"/>
      <c r="P375" s="108">
        <f t="shared" si="427"/>
        <v>46297</v>
      </c>
      <c r="Q375" s="107">
        <f t="shared" si="419"/>
        <v>46297</v>
      </c>
      <c r="R375" s="108"/>
      <c r="S375" s="107">
        <f t="shared" si="421"/>
        <v>46311</v>
      </c>
      <c r="T375" s="107">
        <f t="shared" si="420"/>
        <v>46311</v>
      </c>
      <c r="U375" s="108"/>
      <c r="W375" s="174" t="str">
        <f t="shared" ca="1" si="422"/>
        <v>Completed</v>
      </c>
      <c r="X375" s="174" t="str">
        <f t="shared" ca="1" si="423"/>
        <v>Follow-Next Week</v>
      </c>
      <c r="Y375" s="174" t="str">
        <f t="shared" ca="1" si="424"/>
        <v/>
      </c>
      <c r="Z375" s="175" t="str">
        <f t="shared" ca="1" si="425"/>
        <v/>
      </c>
    </row>
    <row r="376" spans="1:26" s="70" customFormat="1" ht="11.5" x14ac:dyDescent="0.25">
      <c r="A376" s="103" t="s">
        <v>65</v>
      </c>
      <c r="B376" s="103" t="s">
        <v>14</v>
      </c>
      <c r="C376" s="103" t="s">
        <v>1076</v>
      </c>
      <c r="D376" s="103" t="s">
        <v>476</v>
      </c>
      <c r="E376" s="104">
        <f t="shared" ref="E376:E441" si="432">(COUNTIFS(J376,"&lt;="&amp;$C$1)*50%)+(COUNTIFS(M376,"&lt;="&amp;$C$1)*20%)+(COUNTIFS(P376,"&lt;="&amp;$C$1)*10%)+(COUNTIFS(S376,"&lt;="&amp;$C$1)*20%)</f>
        <v>0.5</v>
      </c>
      <c r="F376" s="104">
        <f t="shared" ref="F376:G441" si="433">(COUNTIFS(K376,"&lt;="&amp;$C$1)*50%)+(COUNTIFS(N376,"&lt;="&amp;$C$1)*20%)+(COUNTIFS(Q376,"&lt;="&amp;$C$1)*10%)+(COUNTIFS(T376,"&lt;="&amp;$C$1)*20%)</f>
        <v>0.5</v>
      </c>
      <c r="G376" s="104">
        <f t="shared" si="433"/>
        <v>0.5</v>
      </c>
      <c r="H376" s="104">
        <f t="shared" ref="H376:H441" si="434">G376-E376</f>
        <v>0</v>
      </c>
      <c r="I376" s="110">
        <v>4.7E-2</v>
      </c>
      <c r="J376" s="107">
        <f t="shared" si="426"/>
        <v>46213</v>
      </c>
      <c r="K376" s="107">
        <f t="shared" si="416"/>
        <v>46213</v>
      </c>
      <c r="L376" s="107">
        <v>46142</v>
      </c>
      <c r="M376" s="108">
        <f t="shared" si="417"/>
        <v>46255</v>
      </c>
      <c r="N376" s="107">
        <f t="shared" si="418"/>
        <v>46255</v>
      </c>
      <c r="O376" s="108"/>
      <c r="P376" s="108">
        <f t="shared" si="427"/>
        <v>46297</v>
      </c>
      <c r="Q376" s="107">
        <f t="shared" si="419"/>
        <v>46297</v>
      </c>
      <c r="R376" s="108"/>
      <c r="S376" s="107">
        <f t="shared" si="421"/>
        <v>46311</v>
      </c>
      <c r="T376" s="107">
        <f t="shared" si="420"/>
        <v>46311</v>
      </c>
      <c r="U376" s="108"/>
      <c r="W376" s="174" t="str">
        <f t="shared" ca="1" si="422"/>
        <v>Completed</v>
      </c>
      <c r="X376" s="174" t="str">
        <f t="shared" ca="1" si="423"/>
        <v>Follow-Next Week</v>
      </c>
      <c r="Y376" s="174" t="str">
        <f t="shared" ca="1" si="424"/>
        <v/>
      </c>
      <c r="Z376" s="175" t="str">
        <f t="shared" ca="1" si="425"/>
        <v/>
      </c>
    </row>
    <row r="377" spans="1:26" s="70" customFormat="1" ht="11.5" x14ac:dyDescent="0.25">
      <c r="A377" s="103" t="s">
        <v>65</v>
      </c>
      <c r="B377" s="103" t="s">
        <v>14</v>
      </c>
      <c r="C377" s="103" t="s">
        <v>1077</v>
      </c>
      <c r="D377" s="103" t="s">
        <v>477</v>
      </c>
      <c r="E377" s="104">
        <f t="shared" si="432"/>
        <v>0.5</v>
      </c>
      <c r="F377" s="104">
        <f t="shared" si="433"/>
        <v>0.5</v>
      </c>
      <c r="G377" s="104">
        <f t="shared" si="433"/>
        <v>0.5</v>
      </c>
      <c r="H377" s="104">
        <f t="shared" si="434"/>
        <v>0</v>
      </c>
      <c r="I377" s="110">
        <v>4.7E-2</v>
      </c>
      <c r="J377" s="107">
        <f t="shared" si="426"/>
        <v>46213</v>
      </c>
      <c r="K377" s="107">
        <f t="shared" si="416"/>
        <v>46213</v>
      </c>
      <c r="L377" s="107">
        <v>46142</v>
      </c>
      <c r="M377" s="108">
        <f t="shared" si="417"/>
        <v>46255</v>
      </c>
      <c r="N377" s="107">
        <f t="shared" si="418"/>
        <v>46255</v>
      </c>
      <c r="O377" s="108"/>
      <c r="P377" s="108">
        <f t="shared" si="427"/>
        <v>46297</v>
      </c>
      <c r="Q377" s="107">
        <f t="shared" si="419"/>
        <v>46297</v>
      </c>
      <c r="R377" s="108"/>
      <c r="S377" s="107">
        <f t="shared" si="421"/>
        <v>46311</v>
      </c>
      <c r="T377" s="107">
        <f t="shared" si="420"/>
        <v>46311</v>
      </c>
      <c r="U377" s="108"/>
      <c r="W377" s="174" t="str">
        <f t="shared" ca="1" si="422"/>
        <v>Completed</v>
      </c>
      <c r="X377" s="174" t="str">
        <f t="shared" ca="1" si="423"/>
        <v>Follow-Next Week</v>
      </c>
      <c r="Y377" s="174" t="str">
        <f t="shared" ca="1" si="424"/>
        <v/>
      </c>
      <c r="Z377" s="175" t="str">
        <f t="shared" ca="1" si="425"/>
        <v/>
      </c>
    </row>
    <row r="378" spans="1:26" s="70" customFormat="1" ht="11.5" x14ac:dyDescent="0.25">
      <c r="A378" s="103" t="s">
        <v>65</v>
      </c>
      <c r="B378" s="103" t="s">
        <v>14</v>
      </c>
      <c r="C378" s="103" t="s">
        <v>1078</v>
      </c>
      <c r="D378" s="103" t="s">
        <v>478</v>
      </c>
      <c r="E378" s="104">
        <f t="shared" si="432"/>
        <v>0.5</v>
      </c>
      <c r="F378" s="104">
        <f t="shared" si="433"/>
        <v>0.5</v>
      </c>
      <c r="G378" s="104">
        <f t="shared" si="433"/>
        <v>0.5</v>
      </c>
      <c r="H378" s="104">
        <f t="shared" si="434"/>
        <v>0</v>
      </c>
      <c r="I378" s="110">
        <v>4.7E-2</v>
      </c>
      <c r="J378" s="107">
        <f t="shared" ref="J378:J391" si="435">J255+28</f>
        <v>46213</v>
      </c>
      <c r="K378" s="107">
        <f t="shared" si="416"/>
        <v>46213</v>
      </c>
      <c r="L378" s="107">
        <v>46142</v>
      </c>
      <c r="M378" s="108">
        <f t="shared" si="417"/>
        <v>46255</v>
      </c>
      <c r="N378" s="107">
        <f t="shared" si="418"/>
        <v>46255</v>
      </c>
      <c r="O378" s="108"/>
      <c r="P378" s="108">
        <f t="shared" si="427"/>
        <v>46297</v>
      </c>
      <c r="Q378" s="107">
        <f t="shared" si="419"/>
        <v>46297</v>
      </c>
      <c r="R378" s="108"/>
      <c r="S378" s="107">
        <f t="shared" si="421"/>
        <v>46311</v>
      </c>
      <c r="T378" s="107">
        <f t="shared" si="420"/>
        <v>46311</v>
      </c>
      <c r="U378" s="108"/>
      <c r="W378" s="174" t="str">
        <f t="shared" ca="1" si="422"/>
        <v>Completed</v>
      </c>
      <c r="X378" s="174" t="str">
        <f t="shared" ca="1" si="423"/>
        <v>Follow-Next Week</v>
      </c>
      <c r="Y378" s="174" t="str">
        <f t="shared" ca="1" si="424"/>
        <v/>
      </c>
      <c r="Z378" s="175" t="str">
        <f t="shared" ca="1" si="425"/>
        <v/>
      </c>
    </row>
    <row r="379" spans="1:26" s="70" customFormat="1" ht="11.5" x14ac:dyDescent="0.25">
      <c r="A379" s="103" t="s">
        <v>65</v>
      </c>
      <c r="B379" s="103" t="s">
        <v>14</v>
      </c>
      <c r="C379" s="103" t="s">
        <v>1079</v>
      </c>
      <c r="D379" s="103" t="s">
        <v>479</v>
      </c>
      <c r="E379" s="104">
        <f t="shared" si="432"/>
        <v>0.5</v>
      </c>
      <c r="F379" s="104">
        <f t="shared" si="433"/>
        <v>0.5</v>
      </c>
      <c r="G379" s="104">
        <f t="shared" si="433"/>
        <v>0.5</v>
      </c>
      <c r="H379" s="104">
        <f t="shared" si="434"/>
        <v>0</v>
      </c>
      <c r="I379" s="110">
        <v>4.7E-2</v>
      </c>
      <c r="J379" s="107">
        <f t="shared" si="435"/>
        <v>46213</v>
      </c>
      <c r="K379" s="107">
        <f t="shared" si="416"/>
        <v>46213</v>
      </c>
      <c r="L379" s="107">
        <v>46142</v>
      </c>
      <c r="M379" s="108">
        <f t="shared" si="417"/>
        <v>46255</v>
      </c>
      <c r="N379" s="107">
        <f t="shared" si="418"/>
        <v>46255</v>
      </c>
      <c r="O379" s="108"/>
      <c r="P379" s="108">
        <f t="shared" si="427"/>
        <v>46297</v>
      </c>
      <c r="Q379" s="107">
        <f t="shared" si="419"/>
        <v>46297</v>
      </c>
      <c r="R379" s="108"/>
      <c r="S379" s="107">
        <f t="shared" si="421"/>
        <v>46311</v>
      </c>
      <c r="T379" s="107">
        <f t="shared" si="420"/>
        <v>46311</v>
      </c>
      <c r="U379" s="108"/>
      <c r="W379" s="174" t="str">
        <f t="shared" ca="1" si="422"/>
        <v>Completed</v>
      </c>
      <c r="X379" s="174" t="str">
        <f t="shared" ca="1" si="423"/>
        <v>Follow-Next Week</v>
      </c>
      <c r="Y379" s="174" t="str">
        <f t="shared" ca="1" si="424"/>
        <v/>
      </c>
      <c r="Z379" s="175" t="str">
        <f t="shared" ca="1" si="425"/>
        <v/>
      </c>
    </row>
    <row r="380" spans="1:26" s="70" customFormat="1" ht="11.5" x14ac:dyDescent="0.25">
      <c r="A380" s="103" t="s">
        <v>65</v>
      </c>
      <c r="B380" s="103" t="s">
        <v>14</v>
      </c>
      <c r="C380" s="103" t="s">
        <v>1080</v>
      </c>
      <c r="D380" s="103" t="s">
        <v>480</v>
      </c>
      <c r="E380" s="104">
        <f t="shared" si="432"/>
        <v>0.5</v>
      </c>
      <c r="F380" s="104">
        <f t="shared" si="433"/>
        <v>0.5</v>
      </c>
      <c r="G380" s="104">
        <f t="shared" si="433"/>
        <v>0.5</v>
      </c>
      <c r="H380" s="104">
        <f t="shared" si="434"/>
        <v>0</v>
      </c>
      <c r="I380" s="110">
        <v>4.7E-2</v>
      </c>
      <c r="J380" s="107">
        <f t="shared" si="435"/>
        <v>46213</v>
      </c>
      <c r="K380" s="107">
        <f t="shared" si="416"/>
        <v>46213</v>
      </c>
      <c r="L380" s="107">
        <v>46142</v>
      </c>
      <c r="M380" s="108">
        <f t="shared" si="417"/>
        <v>46255</v>
      </c>
      <c r="N380" s="107">
        <f t="shared" si="418"/>
        <v>46255</v>
      </c>
      <c r="O380" s="108"/>
      <c r="P380" s="108">
        <f t="shared" si="427"/>
        <v>46297</v>
      </c>
      <c r="Q380" s="107">
        <f t="shared" si="419"/>
        <v>46297</v>
      </c>
      <c r="R380" s="108"/>
      <c r="S380" s="107">
        <f t="shared" si="421"/>
        <v>46311</v>
      </c>
      <c r="T380" s="107">
        <f t="shared" si="420"/>
        <v>46311</v>
      </c>
      <c r="U380" s="108"/>
      <c r="W380" s="174" t="str">
        <f t="shared" ca="1" si="422"/>
        <v>Completed</v>
      </c>
      <c r="X380" s="174" t="str">
        <f t="shared" ca="1" si="423"/>
        <v>Follow-Next Week</v>
      </c>
      <c r="Y380" s="174" t="str">
        <f t="shared" ca="1" si="424"/>
        <v/>
      </c>
      <c r="Z380" s="175" t="str">
        <f t="shared" ca="1" si="425"/>
        <v/>
      </c>
    </row>
    <row r="381" spans="1:26" s="70" customFormat="1" ht="11.5" x14ac:dyDescent="0.25">
      <c r="A381" s="103" t="s">
        <v>65</v>
      </c>
      <c r="B381" s="103" t="s">
        <v>14</v>
      </c>
      <c r="C381" s="103" t="s">
        <v>1081</v>
      </c>
      <c r="D381" s="103" t="s">
        <v>481</v>
      </c>
      <c r="E381" s="104">
        <f t="shared" si="432"/>
        <v>0.5</v>
      </c>
      <c r="F381" s="104">
        <f t="shared" si="433"/>
        <v>0.5</v>
      </c>
      <c r="G381" s="104">
        <f t="shared" si="433"/>
        <v>0.5</v>
      </c>
      <c r="H381" s="104">
        <f t="shared" si="434"/>
        <v>0</v>
      </c>
      <c r="I381" s="110">
        <v>4.7E-2</v>
      </c>
      <c r="J381" s="107">
        <f t="shared" si="435"/>
        <v>46213</v>
      </c>
      <c r="K381" s="107">
        <f t="shared" si="416"/>
        <v>46213</v>
      </c>
      <c r="L381" s="107">
        <v>46142</v>
      </c>
      <c r="M381" s="108">
        <f t="shared" si="417"/>
        <v>46255</v>
      </c>
      <c r="N381" s="107">
        <f t="shared" si="418"/>
        <v>46255</v>
      </c>
      <c r="O381" s="108"/>
      <c r="P381" s="108">
        <f t="shared" si="427"/>
        <v>46297</v>
      </c>
      <c r="Q381" s="107">
        <f t="shared" si="419"/>
        <v>46297</v>
      </c>
      <c r="R381" s="108"/>
      <c r="S381" s="107">
        <f t="shared" si="421"/>
        <v>46311</v>
      </c>
      <c r="T381" s="107">
        <f t="shared" si="420"/>
        <v>46311</v>
      </c>
      <c r="U381" s="108"/>
      <c r="W381" s="174" t="str">
        <f t="shared" ca="1" si="422"/>
        <v>Completed</v>
      </c>
      <c r="X381" s="174" t="str">
        <f t="shared" ca="1" si="423"/>
        <v>Follow-Next Week</v>
      </c>
      <c r="Y381" s="174" t="str">
        <f t="shared" ca="1" si="424"/>
        <v/>
      </c>
      <c r="Z381" s="175" t="str">
        <f t="shared" ca="1" si="425"/>
        <v/>
      </c>
    </row>
    <row r="382" spans="1:26" s="70" customFormat="1" ht="11.5" x14ac:dyDescent="0.25">
      <c r="A382" s="103" t="s">
        <v>65</v>
      </c>
      <c r="B382" s="103" t="s">
        <v>14</v>
      </c>
      <c r="C382" s="103" t="s">
        <v>1082</v>
      </c>
      <c r="D382" s="103" t="s">
        <v>482</v>
      </c>
      <c r="E382" s="104">
        <f t="shared" si="432"/>
        <v>0.5</v>
      </c>
      <c r="F382" s="104">
        <f t="shared" si="433"/>
        <v>0.5</v>
      </c>
      <c r="G382" s="104">
        <f t="shared" si="433"/>
        <v>0.5</v>
      </c>
      <c r="H382" s="104">
        <f t="shared" si="434"/>
        <v>0</v>
      </c>
      <c r="I382" s="110">
        <v>4.7E-2</v>
      </c>
      <c r="J382" s="107">
        <f t="shared" si="435"/>
        <v>46213</v>
      </c>
      <c r="K382" s="107">
        <f t="shared" si="416"/>
        <v>46213</v>
      </c>
      <c r="L382" s="107">
        <v>46142</v>
      </c>
      <c r="M382" s="108">
        <f t="shared" si="417"/>
        <v>46255</v>
      </c>
      <c r="N382" s="107">
        <f t="shared" si="418"/>
        <v>46255</v>
      </c>
      <c r="O382" s="108"/>
      <c r="P382" s="108">
        <f t="shared" si="427"/>
        <v>46297</v>
      </c>
      <c r="Q382" s="107">
        <f t="shared" si="419"/>
        <v>46297</v>
      </c>
      <c r="R382" s="108"/>
      <c r="S382" s="107">
        <f t="shared" si="421"/>
        <v>46311</v>
      </c>
      <c r="T382" s="107">
        <f t="shared" si="420"/>
        <v>46311</v>
      </c>
      <c r="U382" s="108"/>
      <c r="W382" s="174" t="str">
        <f t="shared" ca="1" si="422"/>
        <v>Completed</v>
      </c>
      <c r="X382" s="174" t="str">
        <f t="shared" ca="1" si="423"/>
        <v>Follow-Next Week</v>
      </c>
      <c r="Y382" s="174" t="str">
        <f t="shared" ca="1" si="424"/>
        <v/>
      </c>
      <c r="Z382" s="175" t="str">
        <f t="shared" ca="1" si="425"/>
        <v/>
      </c>
    </row>
    <row r="383" spans="1:26" s="70" customFormat="1" ht="11.5" x14ac:dyDescent="0.25">
      <c r="A383" s="103" t="s">
        <v>65</v>
      </c>
      <c r="B383" s="103" t="s">
        <v>14</v>
      </c>
      <c r="C383" s="103" t="s">
        <v>1083</v>
      </c>
      <c r="D383" s="103" t="s">
        <v>483</v>
      </c>
      <c r="E383" s="104">
        <f t="shared" si="432"/>
        <v>0.5</v>
      </c>
      <c r="F383" s="104">
        <f t="shared" si="433"/>
        <v>0.5</v>
      </c>
      <c r="G383" s="104">
        <f t="shared" si="433"/>
        <v>0.5</v>
      </c>
      <c r="H383" s="104">
        <f t="shared" si="434"/>
        <v>0</v>
      </c>
      <c r="I383" s="110">
        <v>4.7E-2</v>
      </c>
      <c r="J383" s="107">
        <f t="shared" si="435"/>
        <v>46213</v>
      </c>
      <c r="K383" s="107">
        <f t="shared" si="416"/>
        <v>46213</v>
      </c>
      <c r="L383" s="107">
        <v>46142</v>
      </c>
      <c r="M383" s="108">
        <f t="shared" si="417"/>
        <v>46255</v>
      </c>
      <c r="N383" s="107">
        <f t="shared" si="418"/>
        <v>46255</v>
      </c>
      <c r="O383" s="108"/>
      <c r="P383" s="108">
        <f t="shared" si="427"/>
        <v>46297</v>
      </c>
      <c r="Q383" s="107">
        <f t="shared" si="419"/>
        <v>46297</v>
      </c>
      <c r="R383" s="108"/>
      <c r="S383" s="107">
        <f t="shared" si="421"/>
        <v>46311</v>
      </c>
      <c r="T383" s="107">
        <f t="shared" si="420"/>
        <v>46311</v>
      </c>
      <c r="U383" s="108"/>
      <c r="W383" s="174" t="str">
        <f t="shared" ca="1" si="422"/>
        <v>Completed</v>
      </c>
      <c r="X383" s="174" t="str">
        <f t="shared" ca="1" si="423"/>
        <v>Follow-Next Week</v>
      </c>
      <c r="Y383" s="174" t="str">
        <f t="shared" ca="1" si="424"/>
        <v/>
      </c>
      <c r="Z383" s="175" t="str">
        <f t="shared" ca="1" si="425"/>
        <v/>
      </c>
    </row>
    <row r="384" spans="1:26" s="70" customFormat="1" ht="11.5" x14ac:dyDescent="0.25">
      <c r="A384" s="103" t="s">
        <v>65</v>
      </c>
      <c r="B384" s="103" t="s">
        <v>14</v>
      </c>
      <c r="C384" s="103" t="s">
        <v>1084</v>
      </c>
      <c r="D384" s="103" t="s">
        <v>484</v>
      </c>
      <c r="E384" s="104">
        <f t="shared" si="432"/>
        <v>0.5</v>
      </c>
      <c r="F384" s="104">
        <f t="shared" si="433"/>
        <v>0.5</v>
      </c>
      <c r="G384" s="104">
        <f t="shared" si="433"/>
        <v>0.5</v>
      </c>
      <c r="H384" s="104">
        <f t="shared" si="434"/>
        <v>0</v>
      </c>
      <c r="I384" s="110">
        <v>4.7E-2</v>
      </c>
      <c r="J384" s="107">
        <f t="shared" si="435"/>
        <v>46213</v>
      </c>
      <c r="K384" s="107">
        <f t="shared" si="416"/>
        <v>46213</v>
      </c>
      <c r="L384" s="107">
        <v>46142</v>
      </c>
      <c r="M384" s="108">
        <f t="shared" si="417"/>
        <v>46255</v>
      </c>
      <c r="N384" s="107">
        <f t="shared" si="418"/>
        <v>46255</v>
      </c>
      <c r="O384" s="108"/>
      <c r="P384" s="108">
        <f t="shared" si="427"/>
        <v>46297</v>
      </c>
      <c r="Q384" s="107">
        <f t="shared" si="419"/>
        <v>46297</v>
      </c>
      <c r="R384" s="108"/>
      <c r="S384" s="107">
        <f t="shared" si="421"/>
        <v>46311</v>
      </c>
      <c r="T384" s="107">
        <f t="shared" si="420"/>
        <v>46311</v>
      </c>
      <c r="U384" s="108"/>
      <c r="W384" s="174" t="str">
        <f t="shared" ca="1" si="422"/>
        <v>Completed</v>
      </c>
      <c r="X384" s="174" t="str">
        <f t="shared" ca="1" si="423"/>
        <v>Follow-Next Week</v>
      </c>
      <c r="Y384" s="174" t="str">
        <f t="shared" ca="1" si="424"/>
        <v/>
      </c>
      <c r="Z384" s="175" t="str">
        <f t="shared" ca="1" si="425"/>
        <v/>
      </c>
    </row>
    <row r="385" spans="1:26" s="70" customFormat="1" ht="11.5" x14ac:dyDescent="0.25">
      <c r="A385" s="103" t="s">
        <v>65</v>
      </c>
      <c r="B385" s="103" t="s">
        <v>14</v>
      </c>
      <c r="C385" s="103" t="s">
        <v>1085</v>
      </c>
      <c r="D385" s="103" t="s">
        <v>485</v>
      </c>
      <c r="E385" s="104">
        <f t="shared" si="432"/>
        <v>0.5</v>
      </c>
      <c r="F385" s="104">
        <f t="shared" si="433"/>
        <v>0.5</v>
      </c>
      <c r="G385" s="104">
        <f t="shared" si="433"/>
        <v>0.5</v>
      </c>
      <c r="H385" s="104">
        <f t="shared" si="434"/>
        <v>0</v>
      </c>
      <c r="I385" s="110">
        <v>4.7E-2</v>
      </c>
      <c r="J385" s="107">
        <f t="shared" si="435"/>
        <v>46213</v>
      </c>
      <c r="K385" s="108">
        <f t="shared" si="416"/>
        <v>46213</v>
      </c>
      <c r="L385" s="107">
        <v>46142</v>
      </c>
      <c r="M385" s="108">
        <f t="shared" si="417"/>
        <v>46255</v>
      </c>
      <c r="N385" s="108">
        <f t="shared" si="418"/>
        <v>46255</v>
      </c>
      <c r="O385" s="108"/>
      <c r="P385" s="108">
        <f t="shared" si="427"/>
        <v>46297</v>
      </c>
      <c r="Q385" s="108">
        <f t="shared" si="419"/>
        <v>46297</v>
      </c>
      <c r="R385" s="108"/>
      <c r="S385" s="107">
        <f t="shared" si="421"/>
        <v>46311</v>
      </c>
      <c r="T385" s="108">
        <f t="shared" si="420"/>
        <v>46311</v>
      </c>
      <c r="U385" s="108"/>
      <c r="W385" s="174" t="str">
        <f t="shared" ca="1" si="422"/>
        <v>Completed</v>
      </c>
      <c r="X385" s="174" t="str">
        <f t="shared" ca="1" si="423"/>
        <v>Follow-Next Week</v>
      </c>
      <c r="Y385" s="174" t="str">
        <f t="shared" ca="1" si="424"/>
        <v/>
      </c>
      <c r="Z385" s="175" t="str">
        <f t="shared" ca="1" si="425"/>
        <v/>
      </c>
    </row>
    <row r="386" spans="1:26" s="70" customFormat="1" ht="11.5" x14ac:dyDescent="0.25">
      <c r="A386" s="103" t="s">
        <v>65</v>
      </c>
      <c r="B386" s="103" t="s">
        <v>14</v>
      </c>
      <c r="C386" s="103" t="s">
        <v>1086</v>
      </c>
      <c r="D386" s="103" t="s">
        <v>486</v>
      </c>
      <c r="E386" s="104">
        <f t="shared" si="432"/>
        <v>0.5</v>
      </c>
      <c r="F386" s="104">
        <f t="shared" si="433"/>
        <v>0.5</v>
      </c>
      <c r="G386" s="104">
        <f t="shared" si="433"/>
        <v>0.5</v>
      </c>
      <c r="H386" s="104">
        <f t="shared" si="434"/>
        <v>0</v>
      </c>
      <c r="I386" s="110">
        <v>4.7E-2</v>
      </c>
      <c r="J386" s="107">
        <f t="shared" si="435"/>
        <v>46213</v>
      </c>
      <c r="K386" s="108">
        <f t="shared" si="416"/>
        <v>46213</v>
      </c>
      <c r="L386" s="107">
        <v>46142</v>
      </c>
      <c r="M386" s="108">
        <f t="shared" si="417"/>
        <v>46255</v>
      </c>
      <c r="N386" s="108">
        <f t="shared" si="418"/>
        <v>46255</v>
      </c>
      <c r="O386" s="108"/>
      <c r="P386" s="108">
        <f t="shared" si="427"/>
        <v>46297</v>
      </c>
      <c r="Q386" s="108">
        <f t="shared" si="419"/>
        <v>46297</v>
      </c>
      <c r="R386" s="108"/>
      <c r="S386" s="107">
        <f t="shared" si="421"/>
        <v>46311</v>
      </c>
      <c r="T386" s="108">
        <f t="shared" si="420"/>
        <v>46311</v>
      </c>
      <c r="U386" s="108"/>
      <c r="W386" s="174" t="str">
        <f t="shared" ca="1" si="422"/>
        <v>Completed</v>
      </c>
      <c r="X386" s="174" t="str">
        <f t="shared" ca="1" si="423"/>
        <v>Follow-Next Week</v>
      </c>
      <c r="Y386" s="174" t="str">
        <f t="shared" ca="1" si="424"/>
        <v/>
      </c>
      <c r="Z386" s="175" t="str">
        <f t="shared" ca="1" si="425"/>
        <v/>
      </c>
    </row>
    <row r="387" spans="1:26" s="70" customFormat="1" ht="11.5" x14ac:dyDescent="0.25">
      <c r="A387" s="103" t="s">
        <v>65</v>
      </c>
      <c r="B387" s="103" t="s">
        <v>14</v>
      </c>
      <c r="C387" s="103" t="s">
        <v>1087</v>
      </c>
      <c r="D387" s="103" t="s">
        <v>487</v>
      </c>
      <c r="E387" s="104">
        <f t="shared" ref="E387:E391" si="436">(COUNTIFS(J387,"&lt;="&amp;$C$1)*50%)+(COUNTIFS(M387,"&lt;="&amp;$C$1)*20%)+(COUNTIFS(P387,"&lt;="&amp;$C$1)*10%)+(COUNTIFS(S387,"&lt;="&amp;$C$1)*20%)</f>
        <v>0.5</v>
      </c>
      <c r="F387" s="104">
        <f t="shared" ref="F387:F391" si="437">(COUNTIFS(K387,"&lt;="&amp;$C$1)*50%)+(COUNTIFS(N387,"&lt;="&amp;$C$1)*20%)+(COUNTIFS(Q387,"&lt;="&amp;$C$1)*10%)+(COUNTIFS(T387,"&lt;="&amp;$C$1)*20%)</f>
        <v>0.5</v>
      </c>
      <c r="G387" s="104">
        <f t="shared" ref="G387:G391" si="438">(COUNTIFS(L387,"&lt;="&amp;$C$1)*50%)+(COUNTIFS(O387,"&lt;="&amp;$C$1)*20%)+(COUNTIFS(R387,"&lt;="&amp;$C$1)*10%)+(COUNTIFS(U387,"&lt;="&amp;$C$1)*20%)</f>
        <v>0.5</v>
      </c>
      <c r="H387" s="104">
        <f t="shared" ref="H387:H391" si="439">G387-E387</f>
        <v>0</v>
      </c>
      <c r="I387" s="110">
        <v>4.7E-2</v>
      </c>
      <c r="J387" s="107">
        <f t="shared" si="435"/>
        <v>46213</v>
      </c>
      <c r="K387" s="108">
        <f t="shared" si="416"/>
        <v>46213</v>
      </c>
      <c r="L387" s="107">
        <v>46142</v>
      </c>
      <c r="M387" s="108">
        <f t="shared" si="417"/>
        <v>46255</v>
      </c>
      <c r="N387" s="108">
        <f t="shared" si="418"/>
        <v>46255</v>
      </c>
      <c r="O387" s="108"/>
      <c r="P387" s="108">
        <f t="shared" si="427"/>
        <v>46297</v>
      </c>
      <c r="Q387" s="108">
        <f t="shared" si="419"/>
        <v>46297</v>
      </c>
      <c r="R387" s="108"/>
      <c r="S387" s="107">
        <f t="shared" si="421"/>
        <v>46311</v>
      </c>
      <c r="T387" s="108">
        <f t="shared" si="420"/>
        <v>46311</v>
      </c>
      <c r="U387" s="108"/>
      <c r="W387" s="174" t="str">
        <f t="shared" ca="1" si="422"/>
        <v>Completed</v>
      </c>
      <c r="X387" s="174" t="str">
        <f t="shared" ca="1" si="423"/>
        <v>Follow-Next Week</v>
      </c>
      <c r="Y387" s="174" t="str">
        <f t="shared" ca="1" si="424"/>
        <v/>
      </c>
      <c r="Z387" s="175" t="str">
        <f t="shared" ca="1" si="425"/>
        <v/>
      </c>
    </row>
    <row r="388" spans="1:26" s="70" customFormat="1" ht="11.5" x14ac:dyDescent="0.25">
      <c r="A388" s="103" t="s">
        <v>65</v>
      </c>
      <c r="B388" s="103" t="s">
        <v>14</v>
      </c>
      <c r="C388" s="103" t="s">
        <v>1088</v>
      </c>
      <c r="D388" s="103" t="s">
        <v>488</v>
      </c>
      <c r="E388" s="104">
        <f t="shared" si="436"/>
        <v>0.5</v>
      </c>
      <c r="F388" s="104">
        <f t="shared" si="437"/>
        <v>0.5</v>
      </c>
      <c r="G388" s="104">
        <f t="shared" si="438"/>
        <v>0.5</v>
      </c>
      <c r="H388" s="104">
        <f t="shared" si="439"/>
        <v>0</v>
      </c>
      <c r="I388" s="110">
        <v>4.7E-2</v>
      </c>
      <c r="J388" s="107">
        <f t="shared" si="435"/>
        <v>46213</v>
      </c>
      <c r="K388" s="108">
        <f t="shared" si="416"/>
        <v>46213</v>
      </c>
      <c r="L388" s="107">
        <v>46142</v>
      </c>
      <c r="M388" s="108">
        <f t="shared" si="417"/>
        <v>46255</v>
      </c>
      <c r="N388" s="108">
        <f t="shared" si="418"/>
        <v>46255</v>
      </c>
      <c r="O388" s="108"/>
      <c r="P388" s="108">
        <f t="shared" si="427"/>
        <v>46297</v>
      </c>
      <c r="Q388" s="108">
        <f t="shared" si="419"/>
        <v>46297</v>
      </c>
      <c r="R388" s="108"/>
      <c r="S388" s="107">
        <f t="shared" si="421"/>
        <v>46311</v>
      </c>
      <c r="T388" s="108">
        <f t="shared" si="420"/>
        <v>46311</v>
      </c>
      <c r="U388" s="108"/>
      <c r="W388" s="174" t="str">
        <f t="shared" ca="1" si="422"/>
        <v>Completed</v>
      </c>
      <c r="X388" s="174" t="str">
        <f t="shared" ca="1" si="423"/>
        <v>Follow-Next Week</v>
      </c>
      <c r="Y388" s="174" t="str">
        <f t="shared" ca="1" si="424"/>
        <v/>
      </c>
      <c r="Z388" s="175" t="str">
        <f t="shared" ca="1" si="425"/>
        <v/>
      </c>
    </row>
    <row r="389" spans="1:26" s="70" customFormat="1" ht="11.5" x14ac:dyDescent="0.25">
      <c r="A389" s="103" t="s">
        <v>65</v>
      </c>
      <c r="B389" s="103" t="s">
        <v>14</v>
      </c>
      <c r="C389" s="103" t="s">
        <v>1089</v>
      </c>
      <c r="D389" s="103" t="s">
        <v>489</v>
      </c>
      <c r="E389" s="104">
        <f t="shared" si="436"/>
        <v>0.5</v>
      </c>
      <c r="F389" s="104">
        <f t="shared" si="437"/>
        <v>0.5</v>
      </c>
      <c r="G389" s="104">
        <f t="shared" si="438"/>
        <v>0.5</v>
      </c>
      <c r="H389" s="104">
        <f t="shared" si="439"/>
        <v>0</v>
      </c>
      <c r="I389" s="110">
        <v>4.7E-2</v>
      </c>
      <c r="J389" s="107">
        <f t="shared" si="435"/>
        <v>46213</v>
      </c>
      <c r="K389" s="108">
        <f t="shared" si="416"/>
        <v>46213</v>
      </c>
      <c r="L389" s="107">
        <v>46142</v>
      </c>
      <c r="M389" s="108">
        <f t="shared" si="417"/>
        <v>46255</v>
      </c>
      <c r="N389" s="108">
        <f t="shared" si="418"/>
        <v>46255</v>
      </c>
      <c r="O389" s="108"/>
      <c r="P389" s="108">
        <f t="shared" si="427"/>
        <v>46297</v>
      </c>
      <c r="Q389" s="108">
        <f t="shared" si="419"/>
        <v>46297</v>
      </c>
      <c r="R389" s="108"/>
      <c r="S389" s="107">
        <f t="shared" si="421"/>
        <v>46311</v>
      </c>
      <c r="T389" s="108">
        <f t="shared" si="420"/>
        <v>46311</v>
      </c>
      <c r="U389" s="108"/>
      <c r="W389" s="174" t="str">
        <f t="shared" ca="1" si="422"/>
        <v>Completed</v>
      </c>
      <c r="X389" s="174" t="str">
        <f t="shared" ca="1" si="423"/>
        <v>Follow-Next Week</v>
      </c>
      <c r="Y389" s="174" t="str">
        <f t="shared" ca="1" si="424"/>
        <v/>
      </c>
      <c r="Z389" s="175" t="str">
        <f t="shared" ca="1" si="425"/>
        <v/>
      </c>
    </row>
    <row r="390" spans="1:26" s="70" customFormat="1" ht="11.5" x14ac:dyDescent="0.25">
      <c r="A390" s="103" t="s">
        <v>65</v>
      </c>
      <c r="B390" s="103" t="s">
        <v>14</v>
      </c>
      <c r="C390" s="103" t="s">
        <v>490</v>
      </c>
      <c r="D390" s="103" t="s">
        <v>491</v>
      </c>
      <c r="E390" s="104">
        <f t="shared" si="436"/>
        <v>0.5</v>
      </c>
      <c r="F390" s="104">
        <f t="shared" si="437"/>
        <v>0.5</v>
      </c>
      <c r="G390" s="104">
        <f t="shared" si="438"/>
        <v>0</v>
      </c>
      <c r="H390" s="104">
        <f t="shared" si="439"/>
        <v>-0.5</v>
      </c>
      <c r="I390" s="110">
        <v>4.7E-2</v>
      </c>
      <c r="J390" s="107">
        <f t="shared" si="435"/>
        <v>46220</v>
      </c>
      <c r="K390" s="108">
        <f t="shared" si="416"/>
        <v>46220</v>
      </c>
      <c r="L390" s="108"/>
      <c r="M390" s="108">
        <f t="shared" si="417"/>
        <v>46262</v>
      </c>
      <c r="N390" s="108">
        <f t="shared" si="418"/>
        <v>46262</v>
      </c>
      <c r="O390" s="108"/>
      <c r="P390" s="108">
        <f t="shared" si="427"/>
        <v>46304</v>
      </c>
      <c r="Q390" s="108">
        <f t="shared" si="419"/>
        <v>46304</v>
      </c>
      <c r="R390" s="108"/>
      <c r="S390" s="107">
        <f t="shared" si="421"/>
        <v>46318</v>
      </c>
      <c r="T390" s="108">
        <f t="shared" si="420"/>
        <v>46318</v>
      </c>
      <c r="U390" s="108"/>
      <c r="W390" s="174" t="str">
        <f t="shared" ca="1" si="422"/>
        <v>Overdue</v>
      </c>
      <c r="X390" s="174" t="str">
        <f t="shared" ca="1" si="423"/>
        <v/>
      </c>
      <c r="Y390" s="174" t="str">
        <f t="shared" ca="1" si="424"/>
        <v/>
      </c>
      <c r="Z390" s="175" t="str">
        <f t="shared" ca="1" si="425"/>
        <v/>
      </c>
    </row>
    <row r="391" spans="1:26" s="70" customFormat="1" ht="11.5" x14ac:dyDescent="0.25">
      <c r="A391" s="103" t="s">
        <v>65</v>
      </c>
      <c r="B391" s="103" t="s">
        <v>14</v>
      </c>
      <c r="C391" s="103" t="s">
        <v>492</v>
      </c>
      <c r="D391" s="103" t="s">
        <v>493</v>
      </c>
      <c r="E391" s="104">
        <f t="shared" si="436"/>
        <v>0.5</v>
      </c>
      <c r="F391" s="104">
        <f t="shared" si="437"/>
        <v>0.5</v>
      </c>
      <c r="G391" s="104">
        <f t="shared" si="438"/>
        <v>0</v>
      </c>
      <c r="H391" s="104">
        <f t="shared" si="439"/>
        <v>-0.5</v>
      </c>
      <c r="I391" s="110">
        <v>4.7E-2</v>
      </c>
      <c r="J391" s="107">
        <f t="shared" si="435"/>
        <v>46220</v>
      </c>
      <c r="K391" s="108">
        <f t="shared" si="416"/>
        <v>46220</v>
      </c>
      <c r="L391" s="108"/>
      <c r="M391" s="108">
        <f t="shared" si="417"/>
        <v>46262</v>
      </c>
      <c r="N391" s="108">
        <f t="shared" si="418"/>
        <v>46262</v>
      </c>
      <c r="O391" s="108"/>
      <c r="P391" s="108">
        <f t="shared" si="427"/>
        <v>46304</v>
      </c>
      <c r="Q391" s="108">
        <f t="shared" si="419"/>
        <v>46304</v>
      </c>
      <c r="R391" s="108"/>
      <c r="S391" s="107">
        <f t="shared" si="421"/>
        <v>46318</v>
      </c>
      <c r="T391" s="108">
        <f t="shared" si="420"/>
        <v>46318</v>
      </c>
      <c r="U391" s="108"/>
      <c r="W391" s="174" t="str">
        <f t="shared" ca="1" si="422"/>
        <v>Overdue</v>
      </c>
      <c r="X391" s="174" t="str">
        <f t="shared" ca="1" si="423"/>
        <v/>
      </c>
      <c r="Y391" s="174" t="str">
        <f t="shared" ca="1" si="424"/>
        <v/>
      </c>
      <c r="Z391" s="175" t="str">
        <f t="shared" ca="1" si="425"/>
        <v/>
      </c>
    </row>
    <row r="392" spans="1:26" s="70" customFormat="1" ht="11.5" x14ac:dyDescent="0.25">
      <c r="A392" s="103" t="s">
        <v>65</v>
      </c>
      <c r="B392" s="103" t="s">
        <v>14</v>
      </c>
      <c r="C392" s="103" t="s">
        <v>958</v>
      </c>
      <c r="D392" s="103" t="s">
        <v>959</v>
      </c>
      <c r="E392" s="104">
        <f t="shared" ref="E392:E396" si="440">(COUNTIFS(J392,"&lt;="&amp;$C$1)*50%)+(COUNTIFS(M392,"&lt;="&amp;$C$1)*20%)+(COUNTIFS(P392,"&lt;="&amp;$C$1)*10%)+(COUNTIFS(S392,"&lt;="&amp;$C$1)*20%)</f>
        <v>0.5</v>
      </c>
      <c r="F392" s="104">
        <f t="shared" ref="F392:F396" si="441">(COUNTIFS(K392,"&lt;="&amp;$C$1)*50%)+(COUNTIFS(N392,"&lt;="&amp;$C$1)*20%)+(COUNTIFS(Q392,"&lt;="&amp;$C$1)*10%)+(COUNTIFS(T392,"&lt;="&amp;$C$1)*20%)</f>
        <v>0.5</v>
      </c>
      <c r="G392" s="104">
        <f t="shared" ref="G392:G396" si="442">(COUNTIFS(L392,"&lt;="&amp;$C$1)*50%)+(COUNTIFS(O392,"&lt;="&amp;$C$1)*20%)+(COUNTIFS(R392,"&lt;="&amp;$C$1)*10%)+(COUNTIFS(U392,"&lt;="&amp;$C$1)*20%)</f>
        <v>0.5</v>
      </c>
      <c r="H392" s="104">
        <f t="shared" ref="H392:H396" si="443">G392-E392</f>
        <v>0</v>
      </c>
      <c r="I392" s="110"/>
      <c r="J392" s="107">
        <f t="shared" ref="J392:J396" si="444">J271+28</f>
        <v>46227</v>
      </c>
      <c r="K392" s="108">
        <f t="shared" ref="K392:K396" si="445">J392</f>
        <v>46227</v>
      </c>
      <c r="L392" s="107">
        <v>46190</v>
      </c>
      <c r="M392" s="108">
        <f t="shared" ref="M392:M396" si="446">J392+42</f>
        <v>46269</v>
      </c>
      <c r="N392" s="108">
        <f t="shared" ref="N392:N396" si="447">M392</f>
        <v>46269</v>
      </c>
      <c r="O392" s="108"/>
      <c r="P392" s="108">
        <f t="shared" ref="P392:P396" si="448">M392+42</f>
        <v>46311</v>
      </c>
      <c r="Q392" s="108">
        <f t="shared" ref="Q392:Q396" si="449">P392</f>
        <v>46311</v>
      </c>
      <c r="R392" s="108"/>
      <c r="S392" s="107">
        <f t="shared" ref="S392:S396" si="450">P392+14</f>
        <v>46325</v>
      </c>
      <c r="T392" s="108">
        <f t="shared" ref="T392:T396" si="451">S392</f>
        <v>46325</v>
      </c>
      <c r="U392" s="108"/>
      <c r="W392" s="174" t="str">
        <f t="shared" ca="1" si="422"/>
        <v>Completed</v>
      </c>
      <c r="X392" s="174" t="str">
        <f t="shared" ca="1" si="423"/>
        <v/>
      </c>
      <c r="Y392" s="174" t="str">
        <f t="shared" ca="1" si="424"/>
        <v/>
      </c>
      <c r="Z392" s="175" t="str">
        <f t="shared" ca="1" si="425"/>
        <v/>
      </c>
    </row>
    <row r="393" spans="1:26" s="70" customFormat="1" ht="11.5" x14ac:dyDescent="0.25">
      <c r="A393" s="103" t="s">
        <v>65</v>
      </c>
      <c r="B393" s="103" t="s">
        <v>14</v>
      </c>
      <c r="C393" s="103" t="s">
        <v>960</v>
      </c>
      <c r="D393" s="103" t="s">
        <v>961</v>
      </c>
      <c r="E393" s="104">
        <f t="shared" si="440"/>
        <v>0</v>
      </c>
      <c r="F393" s="104">
        <f t="shared" si="441"/>
        <v>0</v>
      </c>
      <c r="G393" s="104">
        <f t="shared" si="442"/>
        <v>0</v>
      </c>
      <c r="H393" s="104">
        <f t="shared" si="443"/>
        <v>0</v>
      </c>
      <c r="I393" s="110"/>
      <c r="J393" s="107">
        <f t="shared" si="444"/>
        <v>46293</v>
      </c>
      <c r="K393" s="108">
        <f t="shared" si="445"/>
        <v>46293</v>
      </c>
      <c r="L393" s="108"/>
      <c r="M393" s="108">
        <f t="shared" si="446"/>
        <v>46335</v>
      </c>
      <c r="N393" s="108">
        <f t="shared" si="447"/>
        <v>46335</v>
      </c>
      <c r="O393" s="108"/>
      <c r="P393" s="108">
        <f t="shared" si="448"/>
        <v>46377</v>
      </c>
      <c r="Q393" s="108">
        <f t="shared" si="449"/>
        <v>46377</v>
      </c>
      <c r="R393" s="108"/>
      <c r="S393" s="107">
        <f t="shared" si="450"/>
        <v>46391</v>
      </c>
      <c r="T393" s="108">
        <f t="shared" si="451"/>
        <v>46391</v>
      </c>
      <c r="U393" s="108"/>
      <c r="W393" s="174" t="str">
        <f t="shared" ca="1" si="422"/>
        <v/>
      </c>
      <c r="X393" s="174" t="str">
        <f t="shared" ca="1" si="423"/>
        <v/>
      </c>
      <c r="Y393" s="174" t="str">
        <f t="shared" ca="1" si="424"/>
        <v/>
      </c>
      <c r="Z393" s="175" t="str">
        <f t="shared" ca="1" si="425"/>
        <v/>
      </c>
    </row>
    <row r="394" spans="1:26" s="70" customFormat="1" ht="11.5" x14ac:dyDescent="0.25">
      <c r="A394" s="103" t="s">
        <v>65</v>
      </c>
      <c r="B394" s="103" t="s">
        <v>14</v>
      </c>
      <c r="C394" s="103" t="s">
        <v>962</v>
      </c>
      <c r="D394" s="103" t="s">
        <v>963</v>
      </c>
      <c r="E394" s="104">
        <f t="shared" si="440"/>
        <v>0</v>
      </c>
      <c r="F394" s="104">
        <f t="shared" si="441"/>
        <v>0</v>
      </c>
      <c r="G394" s="104">
        <f t="shared" si="442"/>
        <v>0</v>
      </c>
      <c r="H394" s="104">
        <f t="shared" si="443"/>
        <v>0</v>
      </c>
      <c r="I394" s="110"/>
      <c r="J394" s="107">
        <f t="shared" si="444"/>
        <v>46293</v>
      </c>
      <c r="K394" s="108">
        <f t="shared" si="445"/>
        <v>46293</v>
      </c>
      <c r="L394" s="108"/>
      <c r="M394" s="108">
        <f t="shared" si="446"/>
        <v>46335</v>
      </c>
      <c r="N394" s="108">
        <f t="shared" si="447"/>
        <v>46335</v>
      </c>
      <c r="O394" s="108"/>
      <c r="P394" s="108">
        <f t="shared" si="448"/>
        <v>46377</v>
      </c>
      <c r="Q394" s="108">
        <f t="shared" si="449"/>
        <v>46377</v>
      </c>
      <c r="R394" s="108"/>
      <c r="S394" s="107">
        <f t="shared" si="450"/>
        <v>46391</v>
      </c>
      <c r="T394" s="108">
        <f t="shared" si="451"/>
        <v>46391</v>
      </c>
      <c r="U394" s="108"/>
      <c r="W394" s="174" t="str">
        <f t="shared" ca="1" si="422"/>
        <v/>
      </c>
      <c r="X394" s="174" t="str">
        <f t="shared" ca="1" si="423"/>
        <v/>
      </c>
      <c r="Y394" s="174" t="str">
        <f t="shared" ca="1" si="424"/>
        <v/>
      </c>
      <c r="Z394" s="175" t="str">
        <f t="shared" ca="1" si="425"/>
        <v/>
      </c>
    </row>
    <row r="395" spans="1:26" s="70" customFormat="1" ht="11.5" x14ac:dyDescent="0.25">
      <c r="A395" s="103" t="s">
        <v>65</v>
      </c>
      <c r="B395" s="103" t="s">
        <v>14</v>
      </c>
      <c r="C395" s="103" t="s">
        <v>964</v>
      </c>
      <c r="D395" s="103" t="s">
        <v>965</v>
      </c>
      <c r="E395" s="104">
        <f t="shared" si="440"/>
        <v>0</v>
      </c>
      <c r="F395" s="104">
        <f t="shared" si="441"/>
        <v>0</v>
      </c>
      <c r="G395" s="104">
        <f t="shared" si="442"/>
        <v>0</v>
      </c>
      <c r="H395" s="104">
        <f t="shared" si="443"/>
        <v>0</v>
      </c>
      <c r="I395" s="110"/>
      <c r="J395" s="107">
        <f t="shared" si="444"/>
        <v>46293</v>
      </c>
      <c r="K395" s="108">
        <f t="shared" si="445"/>
        <v>46293</v>
      </c>
      <c r="L395" s="108"/>
      <c r="M395" s="108">
        <f t="shared" si="446"/>
        <v>46335</v>
      </c>
      <c r="N395" s="108">
        <f t="shared" si="447"/>
        <v>46335</v>
      </c>
      <c r="O395" s="108"/>
      <c r="P395" s="108">
        <f t="shared" si="448"/>
        <v>46377</v>
      </c>
      <c r="Q395" s="108">
        <f t="shared" si="449"/>
        <v>46377</v>
      </c>
      <c r="R395" s="108"/>
      <c r="S395" s="107">
        <f t="shared" si="450"/>
        <v>46391</v>
      </c>
      <c r="T395" s="108">
        <f t="shared" si="451"/>
        <v>46391</v>
      </c>
      <c r="U395" s="108"/>
      <c r="W395" s="174" t="str">
        <f t="shared" ca="1" si="422"/>
        <v/>
      </c>
      <c r="X395" s="174" t="str">
        <f t="shared" ca="1" si="423"/>
        <v/>
      </c>
      <c r="Y395" s="174" t="str">
        <f t="shared" ca="1" si="424"/>
        <v/>
      </c>
      <c r="Z395" s="175" t="str">
        <f t="shared" ca="1" si="425"/>
        <v/>
      </c>
    </row>
    <row r="396" spans="1:26" s="70" customFormat="1" ht="11.5" x14ac:dyDescent="0.25">
      <c r="A396" s="103" t="s">
        <v>65</v>
      </c>
      <c r="B396" s="103" t="s">
        <v>14</v>
      </c>
      <c r="C396" s="103" t="s">
        <v>966</v>
      </c>
      <c r="D396" s="103" t="s">
        <v>967</v>
      </c>
      <c r="E396" s="104">
        <f t="shared" si="440"/>
        <v>0</v>
      </c>
      <c r="F396" s="104">
        <f t="shared" si="441"/>
        <v>0</v>
      </c>
      <c r="G396" s="104">
        <f t="shared" si="442"/>
        <v>0</v>
      </c>
      <c r="H396" s="104">
        <f t="shared" si="443"/>
        <v>0</v>
      </c>
      <c r="I396" s="110"/>
      <c r="J396" s="107">
        <f t="shared" si="444"/>
        <v>46293</v>
      </c>
      <c r="K396" s="108">
        <f t="shared" si="445"/>
        <v>46293</v>
      </c>
      <c r="L396" s="108"/>
      <c r="M396" s="108">
        <f t="shared" si="446"/>
        <v>46335</v>
      </c>
      <c r="N396" s="108">
        <f t="shared" si="447"/>
        <v>46335</v>
      </c>
      <c r="O396" s="108"/>
      <c r="P396" s="108">
        <f t="shared" si="448"/>
        <v>46377</v>
      </c>
      <c r="Q396" s="108">
        <f t="shared" si="449"/>
        <v>46377</v>
      </c>
      <c r="R396" s="108"/>
      <c r="S396" s="107">
        <f t="shared" si="450"/>
        <v>46391</v>
      </c>
      <c r="T396" s="108">
        <f t="shared" si="451"/>
        <v>46391</v>
      </c>
      <c r="U396" s="108"/>
      <c r="W396" s="174" t="str">
        <f t="shared" ca="1" si="422"/>
        <v/>
      </c>
      <c r="X396" s="174" t="str">
        <f t="shared" ca="1" si="423"/>
        <v/>
      </c>
      <c r="Y396" s="174" t="str">
        <f t="shared" ca="1" si="424"/>
        <v/>
      </c>
      <c r="Z396" s="175" t="str">
        <f t="shared" ca="1" si="425"/>
        <v/>
      </c>
    </row>
    <row r="397" spans="1:26" s="70" customFormat="1" ht="11.5" x14ac:dyDescent="0.25">
      <c r="A397" s="103" t="s">
        <v>65</v>
      </c>
      <c r="B397" s="103" t="s">
        <v>14</v>
      </c>
      <c r="C397" s="103" t="s">
        <v>494</v>
      </c>
      <c r="D397" s="103" t="s">
        <v>495</v>
      </c>
      <c r="E397" s="104">
        <f t="shared" si="432"/>
        <v>0.5</v>
      </c>
      <c r="F397" s="104">
        <f t="shared" si="433"/>
        <v>0.5</v>
      </c>
      <c r="G397" s="104">
        <f t="shared" si="433"/>
        <v>0.5</v>
      </c>
      <c r="H397" s="104">
        <f t="shared" si="434"/>
        <v>0</v>
      </c>
      <c r="I397" s="110">
        <v>4.7E-2</v>
      </c>
      <c r="J397" s="107">
        <f t="shared" ref="J397:J426" si="452">J282+28</f>
        <v>46220</v>
      </c>
      <c r="K397" s="107">
        <f t="shared" si="416"/>
        <v>46220</v>
      </c>
      <c r="L397" s="108">
        <v>46184</v>
      </c>
      <c r="M397" s="108">
        <f t="shared" si="417"/>
        <v>46262</v>
      </c>
      <c r="N397" s="107">
        <f t="shared" si="418"/>
        <v>46262</v>
      </c>
      <c r="O397" s="108"/>
      <c r="P397" s="108">
        <f t="shared" si="427"/>
        <v>46304</v>
      </c>
      <c r="Q397" s="107">
        <f t="shared" si="419"/>
        <v>46304</v>
      </c>
      <c r="R397" s="108"/>
      <c r="S397" s="107">
        <f t="shared" si="421"/>
        <v>46318</v>
      </c>
      <c r="T397" s="107">
        <f t="shared" si="420"/>
        <v>46318</v>
      </c>
      <c r="U397" s="108"/>
      <c r="W397" s="174" t="str">
        <f t="shared" ca="1" si="422"/>
        <v>Completed</v>
      </c>
      <c r="X397" s="174" t="str">
        <f t="shared" ca="1" si="423"/>
        <v/>
      </c>
      <c r="Y397" s="174" t="str">
        <f t="shared" ca="1" si="424"/>
        <v/>
      </c>
      <c r="Z397" s="175" t="str">
        <f t="shared" ca="1" si="425"/>
        <v/>
      </c>
    </row>
    <row r="398" spans="1:26" s="70" customFormat="1" ht="11.5" x14ac:dyDescent="0.25">
      <c r="A398" s="103" t="s">
        <v>65</v>
      </c>
      <c r="B398" s="103" t="s">
        <v>14</v>
      </c>
      <c r="C398" s="103" t="s">
        <v>496</v>
      </c>
      <c r="D398" s="103" t="s">
        <v>497</v>
      </c>
      <c r="E398" s="104">
        <f t="shared" si="432"/>
        <v>0.5</v>
      </c>
      <c r="F398" s="104">
        <f t="shared" si="433"/>
        <v>0.5</v>
      </c>
      <c r="G398" s="104">
        <f t="shared" si="433"/>
        <v>0.5</v>
      </c>
      <c r="H398" s="104">
        <f t="shared" si="434"/>
        <v>0</v>
      </c>
      <c r="I398" s="110">
        <v>4.7E-2</v>
      </c>
      <c r="J398" s="107">
        <f t="shared" si="452"/>
        <v>46220</v>
      </c>
      <c r="K398" s="107">
        <f t="shared" ref="K398:K461" si="453">J398</f>
        <v>46220</v>
      </c>
      <c r="L398" s="108">
        <v>46184</v>
      </c>
      <c r="M398" s="108">
        <f t="shared" ref="M398:M461" si="454">J398+42</f>
        <v>46262</v>
      </c>
      <c r="N398" s="107">
        <f t="shared" ref="N398:N461" si="455">M398</f>
        <v>46262</v>
      </c>
      <c r="O398" s="108"/>
      <c r="P398" s="108">
        <f t="shared" ref="P398:P434" si="456">M398+42</f>
        <v>46304</v>
      </c>
      <c r="Q398" s="107">
        <f t="shared" ref="Q398:Q461" si="457">P398</f>
        <v>46304</v>
      </c>
      <c r="R398" s="108"/>
      <c r="S398" s="107">
        <f t="shared" si="421"/>
        <v>46318</v>
      </c>
      <c r="T398" s="107">
        <f t="shared" ref="T398:T461" si="458">S398</f>
        <v>46318</v>
      </c>
      <c r="U398" s="108"/>
      <c r="W398" s="174" t="str">
        <f t="shared" ca="1" si="422"/>
        <v>Completed</v>
      </c>
      <c r="X398" s="174" t="str">
        <f t="shared" ca="1" si="423"/>
        <v/>
      </c>
      <c r="Y398" s="174" t="str">
        <f t="shared" ca="1" si="424"/>
        <v/>
      </c>
      <c r="Z398" s="175" t="str">
        <f t="shared" ca="1" si="425"/>
        <v/>
      </c>
    </row>
    <row r="399" spans="1:26" s="70" customFormat="1" ht="11.5" x14ac:dyDescent="0.25">
      <c r="A399" s="103" t="s">
        <v>65</v>
      </c>
      <c r="B399" s="103" t="s">
        <v>14</v>
      </c>
      <c r="C399" s="103" t="s">
        <v>498</v>
      </c>
      <c r="D399" s="103" t="s">
        <v>499</v>
      </c>
      <c r="E399" s="104">
        <f t="shared" si="432"/>
        <v>0.5</v>
      </c>
      <c r="F399" s="104">
        <f t="shared" si="433"/>
        <v>0.5</v>
      </c>
      <c r="G399" s="104">
        <f t="shared" si="433"/>
        <v>0.5</v>
      </c>
      <c r="H399" s="104">
        <f t="shared" si="434"/>
        <v>0</v>
      </c>
      <c r="I399" s="110">
        <v>4.7E-2</v>
      </c>
      <c r="J399" s="107">
        <f t="shared" si="452"/>
        <v>46220</v>
      </c>
      <c r="K399" s="107">
        <f t="shared" si="453"/>
        <v>46220</v>
      </c>
      <c r="L399" s="108">
        <v>46184</v>
      </c>
      <c r="M399" s="108">
        <f t="shared" si="454"/>
        <v>46262</v>
      </c>
      <c r="N399" s="107">
        <f t="shared" si="455"/>
        <v>46262</v>
      </c>
      <c r="O399" s="108"/>
      <c r="P399" s="108">
        <f t="shared" si="456"/>
        <v>46304</v>
      </c>
      <c r="Q399" s="107">
        <f t="shared" si="457"/>
        <v>46304</v>
      </c>
      <c r="R399" s="108"/>
      <c r="S399" s="107">
        <f t="shared" ref="S399:S462" si="459">P399+14</f>
        <v>46318</v>
      </c>
      <c r="T399" s="107">
        <f t="shared" si="458"/>
        <v>46318</v>
      </c>
      <c r="U399" s="108"/>
      <c r="W399" s="174" t="str">
        <f t="shared" ca="1" si="422"/>
        <v>Completed</v>
      </c>
      <c r="X399" s="174" t="str">
        <f t="shared" ca="1" si="423"/>
        <v/>
      </c>
      <c r="Y399" s="174" t="str">
        <f t="shared" ca="1" si="424"/>
        <v/>
      </c>
      <c r="Z399" s="175" t="str">
        <f t="shared" ca="1" si="425"/>
        <v/>
      </c>
    </row>
    <row r="400" spans="1:26" s="70" customFormat="1" ht="11.5" x14ac:dyDescent="0.25">
      <c r="A400" s="103" t="s">
        <v>65</v>
      </c>
      <c r="B400" s="103" t="s">
        <v>14</v>
      </c>
      <c r="C400" s="103" t="s">
        <v>500</v>
      </c>
      <c r="D400" s="103" t="s">
        <v>501</v>
      </c>
      <c r="E400" s="104">
        <f t="shared" si="432"/>
        <v>0.5</v>
      </c>
      <c r="F400" s="104">
        <f t="shared" si="433"/>
        <v>0.5</v>
      </c>
      <c r="G400" s="104">
        <f t="shared" si="433"/>
        <v>0</v>
      </c>
      <c r="H400" s="104">
        <f t="shared" si="434"/>
        <v>-0.5</v>
      </c>
      <c r="I400" s="110">
        <v>4.7E-2</v>
      </c>
      <c r="J400" s="107">
        <f t="shared" si="452"/>
        <v>46220</v>
      </c>
      <c r="K400" s="107">
        <f t="shared" si="453"/>
        <v>46220</v>
      </c>
      <c r="L400" s="108"/>
      <c r="M400" s="108">
        <f t="shared" si="454"/>
        <v>46262</v>
      </c>
      <c r="N400" s="107">
        <f t="shared" si="455"/>
        <v>46262</v>
      </c>
      <c r="O400" s="108"/>
      <c r="P400" s="108">
        <f t="shared" si="456"/>
        <v>46304</v>
      </c>
      <c r="Q400" s="107">
        <f t="shared" si="457"/>
        <v>46304</v>
      </c>
      <c r="R400" s="108"/>
      <c r="S400" s="107">
        <f t="shared" si="459"/>
        <v>46318</v>
      </c>
      <c r="T400" s="107">
        <f t="shared" si="458"/>
        <v>46318</v>
      </c>
      <c r="U400" s="108"/>
      <c r="W400" s="174" t="str">
        <f t="shared" ca="1" si="422"/>
        <v>Overdue</v>
      </c>
      <c r="X400" s="174" t="str">
        <f t="shared" ca="1" si="423"/>
        <v/>
      </c>
      <c r="Y400" s="174" t="str">
        <f t="shared" ca="1" si="424"/>
        <v/>
      </c>
      <c r="Z400" s="175" t="str">
        <f t="shared" ca="1" si="425"/>
        <v/>
      </c>
    </row>
    <row r="401" spans="1:26" s="70" customFormat="1" ht="11.5" x14ac:dyDescent="0.25">
      <c r="A401" s="103" t="s">
        <v>65</v>
      </c>
      <c r="B401" s="103" t="s">
        <v>14</v>
      </c>
      <c r="C401" s="103" t="s">
        <v>502</v>
      </c>
      <c r="D401" s="103" t="s">
        <v>503</v>
      </c>
      <c r="E401" s="104">
        <f t="shared" ref="E401" si="460">(COUNTIFS(J401,"&lt;="&amp;$C$1)*50%)+(COUNTIFS(M401,"&lt;="&amp;$C$1)*20%)+(COUNTIFS(P401,"&lt;="&amp;$C$1)*10%)+(COUNTIFS(S401,"&lt;="&amp;$C$1)*20%)</f>
        <v>0.5</v>
      </c>
      <c r="F401" s="104">
        <f t="shared" ref="F401" si="461">(COUNTIFS(K401,"&lt;="&amp;$C$1)*50%)+(COUNTIFS(N401,"&lt;="&amp;$C$1)*20%)+(COUNTIFS(Q401,"&lt;="&amp;$C$1)*10%)+(COUNTIFS(T401,"&lt;="&amp;$C$1)*20%)</f>
        <v>0.5</v>
      </c>
      <c r="G401" s="104">
        <f t="shared" ref="G401" si="462">(COUNTIFS(L401,"&lt;="&amp;$C$1)*50%)+(COUNTIFS(O401,"&lt;="&amp;$C$1)*20%)+(COUNTIFS(R401,"&lt;="&amp;$C$1)*10%)+(COUNTIFS(U401,"&lt;="&amp;$C$1)*20%)</f>
        <v>0.5</v>
      </c>
      <c r="H401" s="104">
        <f t="shared" ref="H401" si="463">G401-E401</f>
        <v>0</v>
      </c>
      <c r="I401" s="110">
        <v>4.7E-2</v>
      </c>
      <c r="J401" s="107">
        <f t="shared" si="452"/>
        <v>46227</v>
      </c>
      <c r="K401" s="108">
        <f t="shared" si="453"/>
        <v>46227</v>
      </c>
      <c r="L401" s="107">
        <v>46142</v>
      </c>
      <c r="M401" s="108">
        <f t="shared" si="454"/>
        <v>46269</v>
      </c>
      <c r="N401" s="108">
        <f t="shared" si="455"/>
        <v>46269</v>
      </c>
      <c r="O401" s="108"/>
      <c r="P401" s="108">
        <f t="shared" si="456"/>
        <v>46311</v>
      </c>
      <c r="Q401" s="108">
        <f t="shared" si="457"/>
        <v>46311</v>
      </c>
      <c r="R401" s="108"/>
      <c r="S401" s="107">
        <f t="shared" si="459"/>
        <v>46325</v>
      </c>
      <c r="T401" s="108">
        <f t="shared" si="458"/>
        <v>46325</v>
      </c>
      <c r="U401" s="108"/>
      <c r="W401" s="174" t="str">
        <f t="shared" ca="1" si="422"/>
        <v>Completed</v>
      </c>
      <c r="X401" s="174" t="str">
        <f t="shared" ca="1" si="423"/>
        <v/>
      </c>
      <c r="Y401" s="174" t="str">
        <f t="shared" ca="1" si="424"/>
        <v/>
      </c>
      <c r="Z401" s="175" t="str">
        <f t="shared" ca="1" si="425"/>
        <v/>
      </c>
    </row>
    <row r="402" spans="1:26" s="70" customFormat="1" ht="11.5" x14ac:dyDescent="0.25">
      <c r="A402" s="103" t="s">
        <v>65</v>
      </c>
      <c r="B402" s="103" t="s">
        <v>14</v>
      </c>
      <c r="C402" s="103" t="s">
        <v>504</v>
      </c>
      <c r="D402" s="103" t="s">
        <v>505</v>
      </c>
      <c r="E402" s="104">
        <f t="shared" si="432"/>
        <v>0.5</v>
      </c>
      <c r="F402" s="104">
        <f t="shared" si="433"/>
        <v>0.5</v>
      </c>
      <c r="G402" s="104">
        <f t="shared" si="433"/>
        <v>0.5</v>
      </c>
      <c r="H402" s="104">
        <f t="shared" si="434"/>
        <v>0</v>
      </c>
      <c r="I402" s="110">
        <v>4.7E-2</v>
      </c>
      <c r="J402" s="107">
        <f t="shared" si="452"/>
        <v>46227</v>
      </c>
      <c r="K402" s="108">
        <f t="shared" si="453"/>
        <v>46227</v>
      </c>
      <c r="L402" s="107">
        <v>46142</v>
      </c>
      <c r="M402" s="108">
        <f t="shared" si="454"/>
        <v>46269</v>
      </c>
      <c r="N402" s="108">
        <f t="shared" si="455"/>
        <v>46269</v>
      </c>
      <c r="O402" s="108"/>
      <c r="P402" s="108">
        <f t="shared" si="456"/>
        <v>46311</v>
      </c>
      <c r="Q402" s="108">
        <f t="shared" si="457"/>
        <v>46311</v>
      </c>
      <c r="R402" s="108"/>
      <c r="S402" s="107">
        <f t="shared" si="459"/>
        <v>46325</v>
      </c>
      <c r="T402" s="108">
        <f t="shared" si="458"/>
        <v>46325</v>
      </c>
      <c r="U402" s="108"/>
      <c r="W402" s="174" t="str">
        <f t="shared" ca="1" si="422"/>
        <v>Completed</v>
      </c>
      <c r="X402" s="174" t="str">
        <f t="shared" ca="1" si="423"/>
        <v/>
      </c>
      <c r="Y402" s="174" t="str">
        <f t="shared" ca="1" si="424"/>
        <v/>
      </c>
      <c r="Z402" s="175" t="str">
        <f t="shared" ca="1" si="425"/>
        <v/>
      </c>
    </row>
    <row r="403" spans="1:26" s="70" customFormat="1" ht="11.5" x14ac:dyDescent="0.25">
      <c r="A403" s="103" t="s">
        <v>65</v>
      </c>
      <c r="B403" s="103" t="s">
        <v>14</v>
      </c>
      <c r="C403" s="103" t="s">
        <v>1090</v>
      </c>
      <c r="D403" s="103" t="s">
        <v>506</v>
      </c>
      <c r="E403" s="104">
        <f t="shared" si="432"/>
        <v>0.5</v>
      </c>
      <c r="F403" s="104">
        <f t="shared" si="433"/>
        <v>0.5</v>
      </c>
      <c r="G403" s="104">
        <f t="shared" si="433"/>
        <v>0.7</v>
      </c>
      <c r="H403" s="104">
        <f t="shared" si="434"/>
        <v>0.19999999999999996</v>
      </c>
      <c r="I403" s="110">
        <v>4.7E-2</v>
      </c>
      <c r="J403" s="107">
        <f t="shared" si="452"/>
        <v>46227</v>
      </c>
      <c r="K403" s="108">
        <f t="shared" si="453"/>
        <v>46227</v>
      </c>
      <c r="L403" s="108">
        <v>46224</v>
      </c>
      <c r="M403" s="108">
        <f t="shared" si="454"/>
        <v>46269</v>
      </c>
      <c r="N403" s="108">
        <f t="shared" si="455"/>
        <v>46269</v>
      </c>
      <c r="O403" s="107">
        <v>46233</v>
      </c>
      <c r="P403" s="108">
        <f t="shared" si="456"/>
        <v>46311</v>
      </c>
      <c r="Q403" s="108">
        <f t="shared" si="457"/>
        <v>46311</v>
      </c>
      <c r="R403" s="108"/>
      <c r="S403" s="107">
        <f t="shared" si="459"/>
        <v>46325</v>
      </c>
      <c r="T403" s="108">
        <f t="shared" si="458"/>
        <v>46325</v>
      </c>
      <c r="U403" s="108"/>
      <c r="W403" s="174" t="str">
        <f t="shared" ref="W403:W466" ca="1" si="464">IF(OR(L403&lt;&gt;""),"Completed",
IF(K403="","",IF(K403&lt;TODAY(),"Overdue",
IF(AND(K403&gt;=TODAY()-WEEKDAY(TODAY(),2)+1,K403&lt;=TODAY()-WEEKDAY(TODAY(),2)+7),"Follow-This Week",
IF(AND(K403&gt;=TODAY()-WEEKDAY(TODAY(),2)+8,K403&lt;=TODAY()-WEEKDAY(TODAY(),2)+14),"Follow-Next Week","")))))</f>
        <v>Completed</v>
      </c>
      <c r="X403" s="174" t="str">
        <f t="shared" ref="X403:X466" ca="1" si="465">IF(OR(O403&lt;&gt;""),"Completed",IF(N403="","",
IF(N403&lt;TODAY(),"Overdue",
IF(AND(N403&gt;=TODAY()-WEEKDAY(TODAY(),2)+1,N403&lt;=TODAY()-WEEKDAY(TODAY(),2)+7),"Follow-This Week",
IF(AND(N403&gt;=TODAY()-WEEKDAY(TODAY(),2)+8,N403&lt;=TODAY()-WEEKDAY(TODAY(),2)+14),"Follow-Next Week","")))))</f>
        <v>Completed</v>
      </c>
      <c r="Y403" s="174" t="str">
        <f t="shared" ref="Y403:Y466" ca="1" si="466">IF(OR(R403&lt;&gt;""),"Completed",IF(Q403="","",
IF(Q403&lt;TODAY(),"Overdue",
IF(AND(Q403&gt;=TODAY()-WEEKDAY(TODAY(),2)+1,Q403&lt;=TODAY()-WEEKDAY(TODAY(),2)+7),"Follow-This Week",
IF(AND(Q403&gt;=TODAY()-WEEKDAY(TODAY(),2)+8,Q403&lt;=TODAY()-WEEKDAY(TODAY(),2)+14),"Follow-Next Week","")))))</f>
        <v/>
      </c>
      <c r="Z403" s="175" t="str">
        <f t="shared" ref="Z403:Z466" ca="1" si="467">IF(OR(U403&lt;&gt;""),"Completed",IF(T403="","",
IF(T403&lt;TODAY(),"Overdue",
IF(AND(T403&gt;=TODAY()-WEEKDAY(TODAY(),2)+1,T403&lt;=TODAY()-WEEKDAY(TODAY(),2)+7),"Follow-This Week",
IF(AND(T403&gt;=TODAY()-WEEKDAY(TODAY(),2)+8,T403&lt;=TODAY()-WEEKDAY(TODAY(),2)+14),"Follow-Next Week","")))))</f>
        <v/>
      </c>
    </row>
    <row r="404" spans="1:26" s="70" customFormat="1" ht="11.5" x14ac:dyDescent="0.25">
      <c r="A404" s="103" t="s">
        <v>65</v>
      </c>
      <c r="B404" s="103" t="s">
        <v>14</v>
      </c>
      <c r="C404" s="103" t="s">
        <v>1091</v>
      </c>
      <c r="D404" s="103" t="s">
        <v>507</v>
      </c>
      <c r="E404" s="104">
        <f t="shared" si="432"/>
        <v>0.5</v>
      </c>
      <c r="F404" s="104">
        <f t="shared" si="433"/>
        <v>0.5</v>
      </c>
      <c r="G404" s="104">
        <f t="shared" si="433"/>
        <v>0.7</v>
      </c>
      <c r="H404" s="104">
        <f t="shared" si="434"/>
        <v>0.19999999999999996</v>
      </c>
      <c r="I404" s="110">
        <v>4.7E-2</v>
      </c>
      <c r="J404" s="107">
        <f t="shared" si="452"/>
        <v>46227</v>
      </c>
      <c r="K404" s="108">
        <f t="shared" si="453"/>
        <v>46227</v>
      </c>
      <c r="L404" s="108">
        <v>46224</v>
      </c>
      <c r="M404" s="108">
        <f t="shared" si="454"/>
        <v>46269</v>
      </c>
      <c r="N404" s="108">
        <f t="shared" si="455"/>
        <v>46269</v>
      </c>
      <c r="O404" s="107">
        <v>46233</v>
      </c>
      <c r="P404" s="108">
        <f t="shared" si="456"/>
        <v>46311</v>
      </c>
      <c r="Q404" s="108">
        <f t="shared" si="457"/>
        <v>46311</v>
      </c>
      <c r="R404" s="108"/>
      <c r="S404" s="107">
        <f t="shared" si="459"/>
        <v>46325</v>
      </c>
      <c r="T404" s="108">
        <f t="shared" si="458"/>
        <v>46325</v>
      </c>
      <c r="U404" s="108"/>
      <c r="W404" s="174" t="str">
        <f t="shared" ca="1" si="464"/>
        <v>Completed</v>
      </c>
      <c r="X404" s="174" t="str">
        <f t="shared" ca="1" si="465"/>
        <v>Completed</v>
      </c>
      <c r="Y404" s="174" t="str">
        <f t="shared" ca="1" si="466"/>
        <v/>
      </c>
      <c r="Z404" s="175" t="str">
        <f t="shared" ca="1" si="467"/>
        <v/>
      </c>
    </row>
    <row r="405" spans="1:26" s="70" customFormat="1" ht="11.5" x14ac:dyDescent="0.25">
      <c r="A405" s="103" t="s">
        <v>65</v>
      </c>
      <c r="B405" s="103" t="s">
        <v>14</v>
      </c>
      <c r="C405" s="103" t="s">
        <v>1092</v>
      </c>
      <c r="D405" s="103" t="s">
        <v>508</v>
      </c>
      <c r="E405" s="104">
        <f t="shared" si="432"/>
        <v>0.5</v>
      </c>
      <c r="F405" s="104">
        <f t="shared" si="433"/>
        <v>0.5</v>
      </c>
      <c r="G405" s="104">
        <f t="shared" si="433"/>
        <v>0.5</v>
      </c>
      <c r="H405" s="104">
        <f t="shared" si="434"/>
        <v>0</v>
      </c>
      <c r="I405" s="110">
        <v>4.7E-2</v>
      </c>
      <c r="J405" s="107">
        <f t="shared" si="452"/>
        <v>46227</v>
      </c>
      <c r="K405" s="108">
        <f t="shared" si="453"/>
        <v>46227</v>
      </c>
      <c r="L405" s="108">
        <v>46224</v>
      </c>
      <c r="M405" s="108">
        <f t="shared" si="454"/>
        <v>46269</v>
      </c>
      <c r="N405" s="108">
        <f t="shared" si="455"/>
        <v>46269</v>
      </c>
      <c r="O405" s="108"/>
      <c r="P405" s="108">
        <f t="shared" si="456"/>
        <v>46311</v>
      </c>
      <c r="Q405" s="108">
        <f t="shared" si="457"/>
        <v>46311</v>
      </c>
      <c r="R405" s="108"/>
      <c r="S405" s="107">
        <f t="shared" si="459"/>
        <v>46325</v>
      </c>
      <c r="T405" s="108">
        <f t="shared" si="458"/>
        <v>46325</v>
      </c>
      <c r="U405" s="108"/>
      <c r="W405" s="174" t="str">
        <f t="shared" ca="1" si="464"/>
        <v>Completed</v>
      </c>
      <c r="X405" s="174" t="str">
        <f t="shared" ca="1" si="465"/>
        <v/>
      </c>
      <c r="Y405" s="174" t="str">
        <f t="shared" ca="1" si="466"/>
        <v/>
      </c>
      <c r="Z405" s="175" t="str">
        <f t="shared" ca="1" si="467"/>
        <v/>
      </c>
    </row>
    <row r="406" spans="1:26" s="70" customFormat="1" ht="11.5" x14ac:dyDescent="0.25">
      <c r="A406" s="103" t="s">
        <v>65</v>
      </c>
      <c r="B406" s="103" t="s">
        <v>14</v>
      </c>
      <c r="C406" s="103" t="s">
        <v>1093</v>
      </c>
      <c r="D406" s="103" t="s">
        <v>509</v>
      </c>
      <c r="E406" s="104">
        <f t="shared" si="432"/>
        <v>0.5</v>
      </c>
      <c r="F406" s="104">
        <f t="shared" si="433"/>
        <v>0.5</v>
      </c>
      <c r="G406" s="104">
        <f t="shared" si="433"/>
        <v>0.5</v>
      </c>
      <c r="H406" s="104">
        <f t="shared" si="434"/>
        <v>0</v>
      </c>
      <c r="I406" s="110">
        <v>4.7E-2</v>
      </c>
      <c r="J406" s="107">
        <f t="shared" si="452"/>
        <v>46227</v>
      </c>
      <c r="K406" s="108">
        <f t="shared" si="453"/>
        <v>46227</v>
      </c>
      <c r="L406" s="108">
        <v>46224</v>
      </c>
      <c r="M406" s="108">
        <f t="shared" si="454"/>
        <v>46269</v>
      </c>
      <c r="N406" s="108">
        <f t="shared" si="455"/>
        <v>46269</v>
      </c>
      <c r="O406" s="108"/>
      <c r="P406" s="108">
        <f t="shared" si="456"/>
        <v>46311</v>
      </c>
      <c r="Q406" s="108">
        <f t="shared" si="457"/>
        <v>46311</v>
      </c>
      <c r="R406" s="108"/>
      <c r="S406" s="107">
        <f t="shared" si="459"/>
        <v>46325</v>
      </c>
      <c r="T406" s="108">
        <f t="shared" si="458"/>
        <v>46325</v>
      </c>
      <c r="U406" s="108"/>
      <c r="W406" s="174" t="str">
        <f t="shared" ca="1" si="464"/>
        <v>Completed</v>
      </c>
      <c r="X406" s="174" t="str">
        <f t="shared" ca="1" si="465"/>
        <v/>
      </c>
      <c r="Y406" s="174" t="str">
        <f t="shared" ca="1" si="466"/>
        <v/>
      </c>
      <c r="Z406" s="175" t="str">
        <f t="shared" ca="1" si="467"/>
        <v/>
      </c>
    </row>
    <row r="407" spans="1:26" s="70" customFormat="1" ht="11.5" x14ac:dyDescent="0.25">
      <c r="A407" s="103" t="s">
        <v>65</v>
      </c>
      <c r="B407" s="103" t="s">
        <v>14</v>
      </c>
      <c r="C407" s="103" t="s">
        <v>1094</v>
      </c>
      <c r="D407" s="103" t="s">
        <v>510</v>
      </c>
      <c r="E407" s="104">
        <f t="shared" si="432"/>
        <v>0.5</v>
      </c>
      <c r="F407" s="104">
        <f t="shared" si="433"/>
        <v>0.5</v>
      </c>
      <c r="G407" s="104">
        <f t="shared" si="433"/>
        <v>0.5</v>
      </c>
      <c r="H407" s="104">
        <f t="shared" si="434"/>
        <v>0</v>
      </c>
      <c r="I407" s="110">
        <v>4.7E-2</v>
      </c>
      <c r="J407" s="107">
        <f t="shared" si="452"/>
        <v>46227</v>
      </c>
      <c r="K407" s="108">
        <f t="shared" si="453"/>
        <v>46227</v>
      </c>
      <c r="L407" s="108">
        <v>46224</v>
      </c>
      <c r="M407" s="108">
        <f t="shared" si="454"/>
        <v>46269</v>
      </c>
      <c r="N407" s="108">
        <f t="shared" si="455"/>
        <v>46269</v>
      </c>
      <c r="O407" s="108"/>
      <c r="P407" s="108">
        <f t="shared" si="456"/>
        <v>46311</v>
      </c>
      <c r="Q407" s="108">
        <f t="shared" si="457"/>
        <v>46311</v>
      </c>
      <c r="R407" s="108"/>
      <c r="S407" s="107">
        <f t="shared" si="459"/>
        <v>46325</v>
      </c>
      <c r="T407" s="108">
        <f t="shared" si="458"/>
        <v>46325</v>
      </c>
      <c r="U407" s="108"/>
      <c r="W407" s="174" t="str">
        <f t="shared" ca="1" si="464"/>
        <v>Completed</v>
      </c>
      <c r="X407" s="174" t="str">
        <f t="shared" ca="1" si="465"/>
        <v/>
      </c>
      <c r="Y407" s="174" t="str">
        <f t="shared" ca="1" si="466"/>
        <v/>
      </c>
      <c r="Z407" s="175" t="str">
        <f t="shared" ca="1" si="467"/>
        <v/>
      </c>
    </row>
    <row r="408" spans="1:26" s="70" customFormat="1" ht="11.5" x14ac:dyDescent="0.25">
      <c r="A408" s="102" t="s">
        <v>65</v>
      </c>
      <c r="B408" s="103" t="s">
        <v>14</v>
      </c>
      <c r="C408" s="103" t="s">
        <v>1095</v>
      </c>
      <c r="D408" s="103" t="s">
        <v>511</v>
      </c>
      <c r="E408" s="105">
        <f t="shared" si="432"/>
        <v>0.5</v>
      </c>
      <c r="F408" s="105">
        <f t="shared" si="433"/>
        <v>0.5</v>
      </c>
      <c r="G408" s="105">
        <f t="shared" si="433"/>
        <v>0.5</v>
      </c>
      <c r="H408" s="105">
        <f t="shared" si="434"/>
        <v>0</v>
      </c>
      <c r="I408" s="106">
        <v>4.7E-2</v>
      </c>
      <c r="J408" s="107">
        <f t="shared" si="452"/>
        <v>46227</v>
      </c>
      <c r="K408" s="108">
        <f t="shared" si="453"/>
        <v>46227</v>
      </c>
      <c r="L408" s="108">
        <v>46224</v>
      </c>
      <c r="M408" s="108">
        <f t="shared" si="454"/>
        <v>46269</v>
      </c>
      <c r="N408" s="108">
        <f t="shared" si="455"/>
        <v>46269</v>
      </c>
      <c r="O408" s="108"/>
      <c r="P408" s="108">
        <f t="shared" si="456"/>
        <v>46311</v>
      </c>
      <c r="Q408" s="108">
        <f t="shared" si="457"/>
        <v>46311</v>
      </c>
      <c r="R408" s="108"/>
      <c r="S408" s="107">
        <f t="shared" si="459"/>
        <v>46325</v>
      </c>
      <c r="T408" s="108">
        <f t="shared" si="458"/>
        <v>46325</v>
      </c>
      <c r="U408" s="108"/>
      <c r="W408" s="174" t="str">
        <f t="shared" ca="1" si="464"/>
        <v>Completed</v>
      </c>
      <c r="X408" s="174" t="str">
        <f t="shared" ca="1" si="465"/>
        <v/>
      </c>
      <c r="Y408" s="174" t="str">
        <f t="shared" ca="1" si="466"/>
        <v/>
      </c>
      <c r="Z408" s="175" t="str">
        <f t="shared" ca="1" si="467"/>
        <v/>
      </c>
    </row>
    <row r="409" spans="1:26" s="70" customFormat="1" ht="11.5" x14ac:dyDescent="0.25">
      <c r="A409" s="102" t="s">
        <v>65</v>
      </c>
      <c r="B409" s="103" t="s">
        <v>14</v>
      </c>
      <c r="C409" s="103" t="s">
        <v>1096</v>
      </c>
      <c r="D409" s="103" t="s">
        <v>512</v>
      </c>
      <c r="E409" s="105">
        <f t="shared" si="432"/>
        <v>0.5</v>
      </c>
      <c r="F409" s="105">
        <f t="shared" si="433"/>
        <v>0.5</v>
      </c>
      <c r="G409" s="105">
        <f t="shared" si="433"/>
        <v>0.5</v>
      </c>
      <c r="H409" s="105">
        <f t="shared" si="434"/>
        <v>0</v>
      </c>
      <c r="I409" s="106">
        <v>4.7E-2</v>
      </c>
      <c r="J409" s="107">
        <f t="shared" si="452"/>
        <v>46227</v>
      </c>
      <c r="K409" s="108">
        <f t="shared" si="453"/>
        <v>46227</v>
      </c>
      <c r="L409" s="108">
        <v>46224</v>
      </c>
      <c r="M409" s="108">
        <f t="shared" si="454"/>
        <v>46269</v>
      </c>
      <c r="N409" s="108">
        <f t="shared" si="455"/>
        <v>46269</v>
      </c>
      <c r="O409" s="108"/>
      <c r="P409" s="108">
        <f t="shared" si="456"/>
        <v>46311</v>
      </c>
      <c r="Q409" s="108">
        <f t="shared" si="457"/>
        <v>46311</v>
      </c>
      <c r="R409" s="108"/>
      <c r="S409" s="107">
        <f t="shared" si="459"/>
        <v>46325</v>
      </c>
      <c r="T409" s="108">
        <f t="shared" si="458"/>
        <v>46325</v>
      </c>
      <c r="U409" s="108"/>
      <c r="W409" s="174" t="str">
        <f t="shared" ca="1" si="464"/>
        <v>Completed</v>
      </c>
      <c r="X409" s="174" t="str">
        <f t="shared" ca="1" si="465"/>
        <v/>
      </c>
      <c r="Y409" s="174" t="str">
        <f t="shared" ca="1" si="466"/>
        <v/>
      </c>
      <c r="Z409" s="175" t="str">
        <f t="shared" ca="1" si="467"/>
        <v/>
      </c>
    </row>
    <row r="410" spans="1:26" s="70" customFormat="1" ht="11.5" x14ac:dyDescent="0.25">
      <c r="A410" s="102" t="s">
        <v>65</v>
      </c>
      <c r="B410" s="103" t="s">
        <v>14</v>
      </c>
      <c r="C410" s="103" t="s">
        <v>1097</v>
      </c>
      <c r="D410" s="103" t="s">
        <v>513</v>
      </c>
      <c r="E410" s="105">
        <f t="shared" si="432"/>
        <v>0.5</v>
      </c>
      <c r="F410" s="105">
        <f t="shared" si="433"/>
        <v>0.5</v>
      </c>
      <c r="G410" s="105">
        <f t="shared" si="433"/>
        <v>0.5</v>
      </c>
      <c r="H410" s="105">
        <f t="shared" si="434"/>
        <v>0</v>
      </c>
      <c r="I410" s="106">
        <v>4.7E-2</v>
      </c>
      <c r="J410" s="107">
        <f t="shared" si="452"/>
        <v>46227</v>
      </c>
      <c r="K410" s="108">
        <f t="shared" si="453"/>
        <v>46227</v>
      </c>
      <c r="L410" s="108">
        <v>46224</v>
      </c>
      <c r="M410" s="108">
        <f t="shared" si="454"/>
        <v>46269</v>
      </c>
      <c r="N410" s="108">
        <f t="shared" si="455"/>
        <v>46269</v>
      </c>
      <c r="O410" s="108"/>
      <c r="P410" s="108">
        <f t="shared" si="456"/>
        <v>46311</v>
      </c>
      <c r="Q410" s="108">
        <f t="shared" si="457"/>
        <v>46311</v>
      </c>
      <c r="R410" s="108"/>
      <c r="S410" s="107">
        <f t="shared" si="459"/>
        <v>46325</v>
      </c>
      <c r="T410" s="108">
        <f t="shared" si="458"/>
        <v>46325</v>
      </c>
      <c r="U410" s="108"/>
      <c r="W410" s="174" t="str">
        <f t="shared" ca="1" si="464"/>
        <v>Completed</v>
      </c>
      <c r="X410" s="174" t="str">
        <f t="shared" ca="1" si="465"/>
        <v/>
      </c>
      <c r="Y410" s="174" t="str">
        <f t="shared" ca="1" si="466"/>
        <v/>
      </c>
      <c r="Z410" s="175" t="str">
        <f t="shared" ca="1" si="467"/>
        <v/>
      </c>
    </row>
    <row r="411" spans="1:26" s="70" customFormat="1" ht="11.5" x14ac:dyDescent="0.25">
      <c r="A411" s="102" t="s">
        <v>65</v>
      </c>
      <c r="B411" s="103" t="s">
        <v>14</v>
      </c>
      <c r="C411" s="103" t="s">
        <v>1098</v>
      </c>
      <c r="D411" s="103" t="s">
        <v>514</v>
      </c>
      <c r="E411" s="105">
        <f t="shared" si="432"/>
        <v>0.5</v>
      </c>
      <c r="F411" s="105">
        <f t="shared" si="433"/>
        <v>0.5</v>
      </c>
      <c r="G411" s="105">
        <f t="shared" si="433"/>
        <v>0.5</v>
      </c>
      <c r="H411" s="105">
        <f t="shared" si="434"/>
        <v>0</v>
      </c>
      <c r="I411" s="106">
        <v>4.7E-2</v>
      </c>
      <c r="J411" s="107">
        <f t="shared" si="452"/>
        <v>46227</v>
      </c>
      <c r="K411" s="108">
        <f t="shared" si="453"/>
        <v>46227</v>
      </c>
      <c r="L411" s="108">
        <v>46224</v>
      </c>
      <c r="M411" s="108">
        <f t="shared" si="454"/>
        <v>46269</v>
      </c>
      <c r="N411" s="108">
        <f t="shared" si="455"/>
        <v>46269</v>
      </c>
      <c r="O411" s="108"/>
      <c r="P411" s="108">
        <f t="shared" si="456"/>
        <v>46311</v>
      </c>
      <c r="Q411" s="108">
        <f t="shared" si="457"/>
        <v>46311</v>
      </c>
      <c r="R411" s="108"/>
      <c r="S411" s="107">
        <f t="shared" si="459"/>
        <v>46325</v>
      </c>
      <c r="T411" s="108">
        <f t="shared" si="458"/>
        <v>46325</v>
      </c>
      <c r="U411" s="108"/>
      <c r="W411" s="174" t="str">
        <f t="shared" ca="1" si="464"/>
        <v>Completed</v>
      </c>
      <c r="X411" s="174" t="str">
        <f t="shared" ca="1" si="465"/>
        <v/>
      </c>
      <c r="Y411" s="174" t="str">
        <f t="shared" ca="1" si="466"/>
        <v/>
      </c>
      <c r="Z411" s="175" t="str">
        <f t="shared" ca="1" si="467"/>
        <v/>
      </c>
    </row>
    <row r="412" spans="1:26" s="70" customFormat="1" ht="11.5" x14ac:dyDescent="0.25">
      <c r="A412" s="102" t="s">
        <v>65</v>
      </c>
      <c r="B412" s="103" t="s">
        <v>14</v>
      </c>
      <c r="C412" s="103" t="s">
        <v>515</v>
      </c>
      <c r="D412" s="103" t="s">
        <v>516</v>
      </c>
      <c r="E412" s="105">
        <f t="shared" si="432"/>
        <v>0.5</v>
      </c>
      <c r="F412" s="105">
        <f t="shared" si="433"/>
        <v>0.5</v>
      </c>
      <c r="G412" s="105">
        <f t="shared" si="433"/>
        <v>0</v>
      </c>
      <c r="H412" s="105">
        <f t="shared" si="434"/>
        <v>-0.5</v>
      </c>
      <c r="I412" s="106">
        <v>4.7E-2</v>
      </c>
      <c r="J412" s="107">
        <f t="shared" si="452"/>
        <v>46234</v>
      </c>
      <c r="K412" s="108">
        <f t="shared" si="453"/>
        <v>46234</v>
      </c>
      <c r="L412" s="108"/>
      <c r="M412" s="108">
        <f t="shared" si="454"/>
        <v>46276</v>
      </c>
      <c r="N412" s="108">
        <f t="shared" si="455"/>
        <v>46276</v>
      </c>
      <c r="O412" s="108"/>
      <c r="P412" s="108">
        <f t="shared" si="456"/>
        <v>46318</v>
      </c>
      <c r="Q412" s="108">
        <f t="shared" si="457"/>
        <v>46318</v>
      </c>
      <c r="R412" s="108"/>
      <c r="S412" s="107">
        <f t="shared" si="459"/>
        <v>46332</v>
      </c>
      <c r="T412" s="108">
        <f t="shared" si="458"/>
        <v>46332</v>
      </c>
      <c r="U412" s="108"/>
      <c r="W412" s="174" t="str">
        <f t="shared" ca="1" si="464"/>
        <v>Overdue</v>
      </c>
      <c r="X412" s="174" t="str">
        <f t="shared" ca="1" si="465"/>
        <v/>
      </c>
      <c r="Y412" s="174" t="str">
        <f t="shared" ca="1" si="466"/>
        <v/>
      </c>
      <c r="Z412" s="175" t="str">
        <f t="shared" ca="1" si="467"/>
        <v/>
      </c>
    </row>
    <row r="413" spans="1:26" s="70" customFormat="1" ht="11.5" x14ac:dyDescent="0.25">
      <c r="A413" s="102" t="s">
        <v>65</v>
      </c>
      <c r="B413" s="103" t="s">
        <v>14</v>
      </c>
      <c r="C413" s="103" t="s">
        <v>517</v>
      </c>
      <c r="D413" s="103" t="s">
        <v>518</v>
      </c>
      <c r="E413" s="105">
        <f t="shared" si="432"/>
        <v>0.5</v>
      </c>
      <c r="F413" s="105">
        <f t="shared" si="433"/>
        <v>0.5</v>
      </c>
      <c r="G413" s="105">
        <f t="shared" si="433"/>
        <v>0</v>
      </c>
      <c r="H413" s="105">
        <f t="shared" si="434"/>
        <v>-0.5</v>
      </c>
      <c r="I413" s="106">
        <v>4.7E-2</v>
      </c>
      <c r="J413" s="107">
        <f t="shared" si="452"/>
        <v>46234</v>
      </c>
      <c r="K413" s="108">
        <f t="shared" si="453"/>
        <v>46234</v>
      </c>
      <c r="L413" s="108"/>
      <c r="M413" s="108">
        <f t="shared" si="454"/>
        <v>46276</v>
      </c>
      <c r="N413" s="108">
        <f t="shared" si="455"/>
        <v>46276</v>
      </c>
      <c r="O413" s="108"/>
      <c r="P413" s="108">
        <f t="shared" si="456"/>
        <v>46318</v>
      </c>
      <c r="Q413" s="108">
        <f t="shared" si="457"/>
        <v>46318</v>
      </c>
      <c r="R413" s="108"/>
      <c r="S413" s="107">
        <f t="shared" si="459"/>
        <v>46332</v>
      </c>
      <c r="T413" s="108">
        <f t="shared" si="458"/>
        <v>46332</v>
      </c>
      <c r="U413" s="108"/>
      <c r="W413" s="174" t="str">
        <f t="shared" ca="1" si="464"/>
        <v>Overdue</v>
      </c>
      <c r="X413" s="174" t="str">
        <f t="shared" ca="1" si="465"/>
        <v/>
      </c>
      <c r="Y413" s="174" t="str">
        <f t="shared" ca="1" si="466"/>
        <v/>
      </c>
      <c r="Z413" s="175" t="str">
        <f t="shared" ca="1" si="467"/>
        <v/>
      </c>
    </row>
    <row r="414" spans="1:26" s="84" customFormat="1" ht="11.5" x14ac:dyDescent="0.25">
      <c r="A414" s="102" t="s">
        <v>65</v>
      </c>
      <c r="B414" s="103" t="s">
        <v>14</v>
      </c>
      <c r="C414" s="103" t="s">
        <v>519</v>
      </c>
      <c r="D414" s="103" t="s">
        <v>520</v>
      </c>
      <c r="E414" s="105">
        <f t="shared" si="432"/>
        <v>0.5</v>
      </c>
      <c r="F414" s="105">
        <f t="shared" si="433"/>
        <v>0.5</v>
      </c>
      <c r="G414" s="105">
        <f t="shared" si="433"/>
        <v>0</v>
      </c>
      <c r="H414" s="105">
        <f t="shared" si="434"/>
        <v>-0.5</v>
      </c>
      <c r="I414" s="106">
        <v>4.7E-2</v>
      </c>
      <c r="J414" s="107">
        <f t="shared" si="452"/>
        <v>46234</v>
      </c>
      <c r="K414" s="108">
        <f t="shared" si="453"/>
        <v>46234</v>
      </c>
      <c r="L414" s="111"/>
      <c r="M414" s="108">
        <f t="shared" si="454"/>
        <v>46276</v>
      </c>
      <c r="N414" s="108">
        <f t="shared" si="455"/>
        <v>46276</v>
      </c>
      <c r="O414" s="111"/>
      <c r="P414" s="108">
        <f t="shared" si="456"/>
        <v>46318</v>
      </c>
      <c r="Q414" s="108">
        <f t="shared" si="457"/>
        <v>46318</v>
      </c>
      <c r="R414" s="111"/>
      <c r="S414" s="107">
        <f t="shared" si="459"/>
        <v>46332</v>
      </c>
      <c r="T414" s="108">
        <f t="shared" si="458"/>
        <v>46332</v>
      </c>
      <c r="U414" s="103"/>
      <c r="W414" s="174" t="str">
        <f t="shared" ca="1" si="464"/>
        <v>Overdue</v>
      </c>
      <c r="X414" s="174" t="str">
        <f t="shared" ca="1" si="465"/>
        <v/>
      </c>
      <c r="Y414" s="174" t="str">
        <f t="shared" ca="1" si="466"/>
        <v/>
      </c>
      <c r="Z414" s="175" t="str">
        <f t="shared" ca="1" si="467"/>
        <v/>
      </c>
    </row>
    <row r="415" spans="1:26" s="70" customFormat="1" ht="11.5" x14ac:dyDescent="0.25">
      <c r="A415" s="102" t="s">
        <v>65</v>
      </c>
      <c r="B415" s="103" t="s">
        <v>14</v>
      </c>
      <c r="C415" s="103" t="s">
        <v>1099</v>
      </c>
      <c r="D415" s="103" t="s">
        <v>521</v>
      </c>
      <c r="E415" s="105">
        <f t="shared" si="432"/>
        <v>0.5</v>
      </c>
      <c r="F415" s="105">
        <f t="shared" si="433"/>
        <v>0.5</v>
      </c>
      <c r="G415" s="105">
        <f t="shared" si="433"/>
        <v>0.5</v>
      </c>
      <c r="H415" s="105">
        <f t="shared" si="434"/>
        <v>0</v>
      </c>
      <c r="I415" s="106">
        <v>4.7E-2</v>
      </c>
      <c r="J415" s="107">
        <f t="shared" si="452"/>
        <v>46234</v>
      </c>
      <c r="K415" s="107">
        <f t="shared" si="453"/>
        <v>46234</v>
      </c>
      <c r="L415" s="166">
        <v>46247</v>
      </c>
      <c r="M415" s="108">
        <f t="shared" si="454"/>
        <v>46276</v>
      </c>
      <c r="N415" s="107">
        <f t="shared" si="455"/>
        <v>46276</v>
      </c>
      <c r="O415" s="108"/>
      <c r="P415" s="108">
        <f t="shared" si="456"/>
        <v>46318</v>
      </c>
      <c r="Q415" s="107">
        <f t="shared" si="457"/>
        <v>46318</v>
      </c>
      <c r="R415" s="108"/>
      <c r="S415" s="107">
        <f t="shared" si="459"/>
        <v>46332</v>
      </c>
      <c r="T415" s="107">
        <f t="shared" si="458"/>
        <v>46332</v>
      </c>
      <c r="U415" s="108"/>
      <c r="W415" s="174" t="str">
        <f t="shared" ca="1" si="464"/>
        <v>Completed</v>
      </c>
      <c r="X415" s="174" t="str">
        <f t="shared" ca="1" si="465"/>
        <v/>
      </c>
      <c r="Y415" s="174" t="str">
        <f t="shared" ca="1" si="466"/>
        <v/>
      </c>
      <c r="Z415" s="175" t="str">
        <f t="shared" ca="1" si="467"/>
        <v/>
      </c>
    </row>
    <row r="416" spans="1:26" s="70" customFormat="1" ht="11.5" x14ac:dyDescent="0.25">
      <c r="A416" s="102" t="s">
        <v>65</v>
      </c>
      <c r="B416" s="103" t="s">
        <v>14</v>
      </c>
      <c r="C416" s="103" t="s">
        <v>1100</v>
      </c>
      <c r="D416" s="103" t="s">
        <v>522</v>
      </c>
      <c r="E416" s="105">
        <f t="shared" si="432"/>
        <v>0.5</v>
      </c>
      <c r="F416" s="105">
        <f t="shared" si="433"/>
        <v>0.5</v>
      </c>
      <c r="G416" s="105">
        <f t="shared" si="433"/>
        <v>0.5</v>
      </c>
      <c r="H416" s="105">
        <f t="shared" si="434"/>
        <v>0</v>
      </c>
      <c r="I416" s="106">
        <v>4.7E-2</v>
      </c>
      <c r="J416" s="107">
        <f t="shared" si="452"/>
        <v>46234</v>
      </c>
      <c r="K416" s="107">
        <f t="shared" si="453"/>
        <v>46234</v>
      </c>
      <c r="L416" s="166">
        <v>46247</v>
      </c>
      <c r="M416" s="108">
        <f t="shared" si="454"/>
        <v>46276</v>
      </c>
      <c r="N416" s="107">
        <f t="shared" si="455"/>
        <v>46276</v>
      </c>
      <c r="O416" s="108"/>
      <c r="P416" s="108">
        <f t="shared" si="456"/>
        <v>46318</v>
      </c>
      <c r="Q416" s="107">
        <f t="shared" si="457"/>
        <v>46318</v>
      </c>
      <c r="R416" s="108"/>
      <c r="S416" s="107">
        <f t="shared" si="459"/>
        <v>46332</v>
      </c>
      <c r="T416" s="107">
        <f t="shared" si="458"/>
        <v>46332</v>
      </c>
      <c r="U416" s="108"/>
      <c r="W416" s="174" t="str">
        <f t="shared" ca="1" si="464"/>
        <v>Completed</v>
      </c>
      <c r="X416" s="174" t="str">
        <f t="shared" ca="1" si="465"/>
        <v/>
      </c>
      <c r="Y416" s="174" t="str">
        <f t="shared" ca="1" si="466"/>
        <v/>
      </c>
      <c r="Z416" s="175" t="str">
        <f t="shared" ca="1" si="467"/>
        <v/>
      </c>
    </row>
    <row r="417" spans="1:26" s="70" customFormat="1" ht="11.5" x14ac:dyDescent="0.25">
      <c r="A417" s="102" t="s">
        <v>65</v>
      </c>
      <c r="B417" s="103" t="s">
        <v>14</v>
      </c>
      <c r="C417" s="103" t="s">
        <v>1101</v>
      </c>
      <c r="D417" s="103" t="s">
        <v>523</v>
      </c>
      <c r="E417" s="105">
        <f t="shared" si="432"/>
        <v>0.5</v>
      </c>
      <c r="F417" s="105">
        <f t="shared" si="433"/>
        <v>0.5</v>
      </c>
      <c r="G417" s="105">
        <f t="shared" si="433"/>
        <v>0.5</v>
      </c>
      <c r="H417" s="105">
        <f t="shared" si="434"/>
        <v>0</v>
      </c>
      <c r="I417" s="106">
        <v>4.7E-2</v>
      </c>
      <c r="J417" s="107">
        <f t="shared" si="452"/>
        <v>46234</v>
      </c>
      <c r="K417" s="107">
        <f t="shared" si="453"/>
        <v>46234</v>
      </c>
      <c r="L417" s="166">
        <v>46247</v>
      </c>
      <c r="M417" s="108">
        <f t="shared" si="454"/>
        <v>46276</v>
      </c>
      <c r="N417" s="107">
        <f t="shared" si="455"/>
        <v>46276</v>
      </c>
      <c r="O417" s="108"/>
      <c r="P417" s="108">
        <f t="shared" si="456"/>
        <v>46318</v>
      </c>
      <c r="Q417" s="107">
        <f t="shared" si="457"/>
        <v>46318</v>
      </c>
      <c r="R417" s="108"/>
      <c r="S417" s="107">
        <f t="shared" si="459"/>
        <v>46332</v>
      </c>
      <c r="T417" s="107">
        <f t="shared" si="458"/>
        <v>46332</v>
      </c>
      <c r="U417" s="108"/>
      <c r="W417" s="174" t="str">
        <f t="shared" ca="1" si="464"/>
        <v>Completed</v>
      </c>
      <c r="X417" s="174" t="str">
        <f t="shared" ca="1" si="465"/>
        <v/>
      </c>
      <c r="Y417" s="174" t="str">
        <f t="shared" ca="1" si="466"/>
        <v/>
      </c>
      <c r="Z417" s="175" t="str">
        <f t="shared" ca="1" si="467"/>
        <v/>
      </c>
    </row>
    <row r="418" spans="1:26" s="70" customFormat="1" ht="11.5" x14ac:dyDescent="0.25">
      <c r="A418" s="102" t="s">
        <v>65</v>
      </c>
      <c r="B418" s="103" t="s">
        <v>14</v>
      </c>
      <c r="C418" s="103" t="s">
        <v>1102</v>
      </c>
      <c r="D418" s="103" t="s">
        <v>524</v>
      </c>
      <c r="E418" s="105">
        <f t="shared" si="432"/>
        <v>0.5</v>
      </c>
      <c r="F418" s="105">
        <f t="shared" si="433"/>
        <v>0.5</v>
      </c>
      <c r="G418" s="105">
        <f t="shared" si="433"/>
        <v>0.5</v>
      </c>
      <c r="H418" s="105">
        <f t="shared" si="434"/>
        <v>0</v>
      </c>
      <c r="I418" s="106">
        <v>4.7E-2</v>
      </c>
      <c r="J418" s="107">
        <f t="shared" si="452"/>
        <v>46234</v>
      </c>
      <c r="K418" s="107">
        <f t="shared" si="453"/>
        <v>46234</v>
      </c>
      <c r="L418" s="166">
        <v>46247</v>
      </c>
      <c r="M418" s="108">
        <f t="shared" si="454"/>
        <v>46276</v>
      </c>
      <c r="N418" s="107">
        <f t="shared" si="455"/>
        <v>46276</v>
      </c>
      <c r="O418" s="108"/>
      <c r="P418" s="108">
        <f t="shared" si="456"/>
        <v>46318</v>
      </c>
      <c r="Q418" s="107">
        <f t="shared" si="457"/>
        <v>46318</v>
      </c>
      <c r="R418" s="108"/>
      <c r="S418" s="107">
        <f t="shared" si="459"/>
        <v>46332</v>
      </c>
      <c r="T418" s="107">
        <f t="shared" si="458"/>
        <v>46332</v>
      </c>
      <c r="U418" s="108"/>
      <c r="W418" s="174" t="str">
        <f t="shared" ca="1" si="464"/>
        <v>Completed</v>
      </c>
      <c r="X418" s="174" t="str">
        <f t="shared" ca="1" si="465"/>
        <v/>
      </c>
      <c r="Y418" s="174" t="str">
        <f t="shared" ca="1" si="466"/>
        <v/>
      </c>
      <c r="Z418" s="175" t="str">
        <f t="shared" ca="1" si="467"/>
        <v/>
      </c>
    </row>
    <row r="419" spans="1:26" s="70" customFormat="1" ht="11.5" x14ac:dyDescent="0.25">
      <c r="A419" s="102" t="s">
        <v>65</v>
      </c>
      <c r="B419" s="103" t="s">
        <v>14</v>
      </c>
      <c r="C419" s="103" t="s">
        <v>1103</v>
      </c>
      <c r="D419" s="103" t="s">
        <v>525</v>
      </c>
      <c r="E419" s="105">
        <f t="shared" ref="E419:E421" si="468">(COUNTIFS(J419,"&lt;="&amp;$C$1)*50%)+(COUNTIFS(M419,"&lt;="&amp;$C$1)*20%)+(COUNTIFS(P419,"&lt;="&amp;$C$1)*10%)+(COUNTIFS(S419,"&lt;="&amp;$C$1)*20%)</f>
        <v>0.5</v>
      </c>
      <c r="F419" s="105">
        <f t="shared" ref="F419:F421" si="469">(COUNTIFS(K419,"&lt;="&amp;$C$1)*50%)+(COUNTIFS(N419,"&lt;="&amp;$C$1)*20%)+(COUNTIFS(Q419,"&lt;="&amp;$C$1)*10%)+(COUNTIFS(T419,"&lt;="&amp;$C$1)*20%)</f>
        <v>0.5</v>
      </c>
      <c r="G419" s="105">
        <f t="shared" ref="G419:G421" si="470">(COUNTIFS(L419,"&lt;="&amp;$C$1)*50%)+(COUNTIFS(O419,"&lt;="&amp;$C$1)*20%)+(COUNTIFS(R419,"&lt;="&amp;$C$1)*10%)+(COUNTIFS(U419,"&lt;="&amp;$C$1)*20%)</f>
        <v>0.5</v>
      </c>
      <c r="H419" s="105">
        <f t="shared" ref="H419:H421" si="471">G419-E419</f>
        <v>0</v>
      </c>
      <c r="I419" s="106">
        <v>4.7E-2</v>
      </c>
      <c r="J419" s="107">
        <f t="shared" si="452"/>
        <v>46234</v>
      </c>
      <c r="K419" s="107">
        <f t="shared" si="453"/>
        <v>46234</v>
      </c>
      <c r="L419" s="166">
        <v>46247</v>
      </c>
      <c r="M419" s="108">
        <f t="shared" si="454"/>
        <v>46276</v>
      </c>
      <c r="N419" s="107">
        <f t="shared" si="455"/>
        <v>46276</v>
      </c>
      <c r="O419" s="108"/>
      <c r="P419" s="108">
        <f t="shared" si="456"/>
        <v>46318</v>
      </c>
      <c r="Q419" s="107">
        <f t="shared" si="457"/>
        <v>46318</v>
      </c>
      <c r="R419" s="108"/>
      <c r="S419" s="107">
        <f t="shared" si="459"/>
        <v>46332</v>
      </c>
      <c r="T419" s="107">
        <f t="shared" si="458"/>
        <v>46332</v>
      </c>
      <c r="U419" s="108"/>
      <c r="W419" s="174" t="str">
        <f t="shared" ca="1" si="464"/>
        <v>Completed</v>
      </c>
      <c r="X419" s="174" t="str">
        <f t="shared" ca="1" si="465"/>
        <v/>
      </c>
      <c r="Y419" s="174" t="str">
        <f t="shared" ca="1" si="466"/>
        <v/>
      </c>
      <c r="Z419" s="175" t="str">
        <f t="shared" ca="1" si="467"/>
        <v/>
      </c>
    </row>
    <row r="420" spans="1:26" s="70" customFormat="1" ht="11.5" x14ac:dyDescent="0.25">
      <c r="A420" s="102" t="s">
        <v>65</v>
      </c>
      <c r="B420" s="102" t="s">
        <v>14</v>
      </c>
      <c r="C420" s="102" t="s">
        <v>1104</v>
      </c>
      <c r="D420" s="102" t="s">
        <v>526</v>
      </c>
      <c r="E420" s="105">
        <f t="shared" si="468"/>
        <v>0.5</v>
      </c>
      <c r="F420" s="105">
        <f t="shared" si="469"/>
        <v>0.5</v>
      </c>
      <c r="G420" s="105">
        <f t="shared" si="470"/>
        <v>0.5</v>
      </c>
      <c r="H420" s="105">
        <f t="shared" si="471"/>
        <v>0</v>
      </c>
      <c r="I420" s="106">
        <v>4.7E-2</v>
      </c>
      <c r="J420" s="107">
        <f t="shared" si="452"/>
        <v>46234</v>
      </c>
      <c r="K420" s="107">
        <f t="shared" si="453"/>
        <v>46234</v>
      </c>
      <c r="L420" s="166">
        <v>46247</v>
      </c>
      <c r="M420" s="108">
        <f t="shared" si="454"/>
        <v>46276</v>
      </c>
      <c r="N420" s="107">
        <f t="shared" si="455"/>
        <v>46276</v>
      </c>
      <c r="O420" s="108"/>
      <c r="P420" s="108">
        <f t="shared" si="456"/>
        <v>46318</v>
      </c>
      <c r="Q420" s="107">
        <f t="shared" si="457"/>
        <v>46318</v>
      </c>
      <c r="R420" s="108"/>
      <c r="S420" s="107">
        <f t="shared" si="459"/>
        <v>46332</v>
      </c>
      <c r="T420" s="107">
        <f t="shared" si="458"/>
        <v>46332</v>
      </c>
      <c r="U420" s="108"/>
      <c r="W420" s="174" t="str">
        <f t="shared" ca="1" si="464"/>
        <v>Completed</v>
      </c>
      <c r="X420" s="174" t="str">
        <f t="shared" ca="1" si="465"/>
        <v/>
      </c>
      <c r="Y420" s="174" t="str">
        <f t="shared" ca="1" si="466"/>
        <v/>
      </c>
      <c r="Z420" s="175" t="str">
        <f t="shared" ca="1" si="467"/>
        <v/>
      </c>
    </row>
    <row r="421" spans="1:26" s="70" customFormat="1" ht="11.5" x14ac:dyDescent="0.25">
      <c r="A421" s="102" t="s">
        <v>65</v>
      </c>
      <c r="B421" s="102" t="s">
        <v>14</v>
      </c>
      <c r="C421" s="102" t="s">
        <v>527</v>
      </c>
      <c r="D421" s="102" t="s">
        <v>528</v>
      </c>
      <c r="E421" s="105">
        <f t="shared" si="468"/>
        <v>0.5</v>
      </c>
      <c r="F421" s="105">
        <f t="shared" si="469"/>
        <v>0.5</v>
      </c>
      <c r="G421" s="105">
        <f t="shared" si="470"/>
        <v>0</v>
      </c>
      <c r="H421" s="105">
        <f t="shared" si="471"/>
        <v>-0.5</v>
      </c>
      <c r="I421" s="106">
        <v>4.7E-2</v>
      </c>
      <c r="J421" s="107">
        <f t="shared" si="452"/>
        <v>46234</v>
      </c>
      <c r="K421" s="107">
        <f t="shared" si="453"/>
        <v>46234</v>
      </c>
      <c r="L421" s="108"/>
      <c r="M421" s="108">
        <f t="shared" si="454"/>
        <v>46276</v>
      </c>
      <c r="N421" s="107">
        <f t="shared" si="455"/>
        <v>46276</v>
      </c>
      <c r="O421" s="108"/>
      <c r="P421" s="108">
        <f t="shared" si="456"/>
        <v>46318</v>
      </c>
      <c r="Q421" s="107">
        <f t="shared" si="457"/>
        <v>46318</v>
      </c>
      <c r="R421" s="108"/>
      <c r="S421" s="107">
        <f t="shared" si="459"/>
        <v>46332</v>
      </c>
      <c r="T421" s="107">
        <f t="shared" si="458"/>
        <v>46332</v>
      </c>
      <c r="U421" s="108"/>
      <c r="W421" s="174" t="str">
        <f t="shared" ca="1" si="464"/>
        <v>Overdue</v>
      </c>
      <c r="X421" s="174" t="str">
        <f t="shared" ca="1" si="465"/>
        <v/>
      </c>
      <c r="Y421" s="174" t="str">
        <f t="shared" ca="1" si="466"/>
        <v/>
      </c>
      <c r="Z421" s="175" t="str">
        <f t="shared" ca="1" si="467"/>
        <v/>
      </c>
    </row>
    <row r="422" spans="1:26" s="70" customFormat="1" ht="11.5" x14ac:dyDescent="0.25">
      <c r="A422" s="102" t="s">
        <v>65</v>
      </c>
      <c r="B422" s="102" t="s">
        <v>14</v>
      </c>
      <c r="C422" s="102" t="s">
        <v>529</v>
      </c>
      <c r="D422" s="102" t="s">
        <v>530</v>
      </c>
      <c r="E422" s="105">
        <f t="shared" si="432"/>
        <v>0.5</v>
      </c>
      <c r="F422" s="105">
        <f t="shared" si="433"/>
        <v>0.5</v>
      </c>
      <c r="G422" s="105">
        <f t="shared" si="433"/>
        <v>0</v>
      </c>
      <c r="H422" s="105">
        <f t="shared" si="434"/>
        <v>-0.5</v>
      </c>
      <c r="I422" s="106">
        <v>4.7E-2</v>
      </c>
      <c r="J422" s="107">
        <f t="shared" si="452"/>
        <v>46234</v>
      </c>
      <c r="K422" s="108">
        <f t="shared" si="453"/>
        <v>46234</v>
      </c>
      <c r="L422" s="108"/>
      <c r="M422" s="108">
        <f t="shared" si="454"/>
        <v>46276</v>
      </c>
      <c r="N422" s="108">
        <f t="shared" si="455"/>
        <v>46276</v>
      </c>
      <c r="O422" s="108"/>
      <c r="P422" s="108">
        <f t="shared" si="456"/>
        <v>46318</v>
      </c>
      <c r="Q422" s="108">
        <f t="shared" si="457"/>
        <v>46318</v>
      </c>
      <c r="R422" s="108"/>
      <c r="S422" s="107">
        <f t="shared" si="459"/>
        <v>46332</v>
      </c>
      <c r="T422" s="108">
        <f t="shared" si="458"/>
        <v>46332</v>
      </c>
      <c r="U422" s="108"/>
      <c r="W422" s="174" t="str">
        <f t="shared" ca="1" si="464"/>
        <v>Overdue</v>
      </c>
      <c r="X422" s="174" t="str">
        <f t="shared" ca="1" si="465"/>
        <v/>
      </c>
      <c r="Y422" s="174" t="str">
        <f t="shared" ca="1" si="466"/>
        <v/>
      </c>
      <c r="Z422" s="175" t="str">
        <f t="shared" ca="1" si="467"/>
        <v/>
      </c>
    </row>
    <row r="423" spans="1:26" s="70" customFormat="1" ht="11.5" x14ac:dyDescent="0.25">
      <c r="A423" s="102" t="s">
        <v>65</v>
      </c>
      <c r="B423" s="102" t="s">
        <v>14</v>
      </c>
      <c r="C423" s="102" t="s">
        <v>531</v>
      </c>
      <c r="D423" s="102" t="s">
        <v>532</v>
      </c>
      <c r="E423" s="105">
        <f t="shared" si="432"/>
        <v>0.5</v>
      </c>
      <c r="F423" s="105">
        <f t="shared" si="433"/>
        <v>0.5</v>
      </c>
      <c r="G423" s="105">
        <f t="shared" si="433"/>
        <v>0.7</v>
      </c>
      <c r="H423" s="105">
        <f t="shared" si="434"/>
        <v>0.19999999999999996</v>
      </c>
      <c r="I423" s="106">
        <v>4.7E-2</v>
      </c>
      <c r="J423" s="107">
        <f t="shared" si="452"/>
        <v>46234</v>
      </c>
      <c r="K423" s="108">
        <f t="shared" si="453"/>
        <v>46234</v>
      </c>
      <c r="L423" s="108">
        <v>46220</v>
      </c>
      <c r="M423" s="108">
        <f t="shared" si="454"/>
        <v>46276</v>
      </c>
      <c r="N423" s="108">
        <f t="shared" si="455"/>
        <v>46276</v>
      </c>
      <c r="O423" s="107">
        <v>46233</v>
      </c>
      <c r="P423" s="108">
        <f t="shared" si="456"/>
        <v>46318</v>
      </c>
      <c r="Q423" s="108">
        <f t="shared" si="457"/>
        <v>46318</v>
      </c>
      <c r="R423" s="108"/>
      <c r="S423" s="107">
        <f t="shared" si="459"/>
        <v>46332</v>
      </c>
      <c r="T423" s="108">
        <f t="shared" si="458"/>
        <v>46332</v>
      </c>
      <c r="U423" s="108"/>
      <c r="W423" s="174" t="str">
        <f t="shared" ca="1" si="464"/>
        <v>Completed</v>
      </c>
      <c r="X423" s="174" t="str">
        <f t="shared" ca="1" si="465"/>
        <v>Completed</v>
      </c>
      <c r="Y423" s="174" t="str">
        <f t="shared" ca="1" si="466"/>
        <v/>
      </c>
      <c r="Z423" s="175" t="str">
        <f t="shared" ca="1" si="467"/>
        <v/>
      </c>
    </row>
    <row r="424" spans="1:26" s="70" customFormat="1" ht="11.5" x14ac:dyDescent="0.25">
      <c r="A424" s="102" t="s">
        <v>65</v>
      </c>
      <c r="B424" s="102" t="s">
        <v>14</v>
      </c>
      <c r="C424" s="102" t="s">
        <v>1105</v>
      </c>
      <c r="D424" s="102" t="s">
        <v>533</v>
      </c>
      <c r="E424" s="105">
        <f t="shared" si="432"/>
        <v>0.5</v>
      </c>
      <c r="F424" s="105">
        <f t="shared" si="433"/>
        <v>0.5</v>
      </c>
      <c r="G424" s="105">
        <f t="shared" si="433"/>
        <v>0</v>
      </c>
      <c r="H424" s="105">
        <f t="shared" si="434"/>
        <v>-0.5</v>
      </c>
      <c r="I424" s="106">
        <v>4.7E-2</v>
      </c>
      <c r="J424" s="107">
        <f t="shared" si="452"/>
        <v>46234</v>
      </c>
      <c r="K424" s="108">
        <f t="shared" si="453"/>
        <v>46234</v>
      </c>
      <c r="L424" s="108"/>
      <c r="M424" s="108">
        <f t="shared" si="454"/>
        <v>46276</v>
      </c>
      <c r="N424" s="108">
        <f t="shared" si="455"/>
        <v>46276</v>
      </c>
      <c r="O424" s="108"/>
      <c r="P424" s="108">
        <f t="shared" si="456"/>
        <v>46318</v>
      </c>
      <c r="Q424" s="108">
        <f t="shared" si="457"/>
        <v>46318</v>
      </c>
      <c r="R424" s="108"/>
      <c r="S424" s="107">
        <f t="shared" si="459"/>
        <v>46332</v>
      </c>
      <c r="T424" s="108">
        <f t="shared" si="458"/>
        <v>46332</v>
      </c>
      <c r="U424" s="108"/>
      <c r="W424" s="174" t="str">
        <f t="shared" ca="1" si="464"/>
        <v>Overdue</v>
      </c>
      <c r="X424" s="174" t="str">
        <f t="shared" ca="1" si="465"/>
        <v/>
      </c>
      <c r="Y424" s="174" t="str">
        <f t="shared" ca="1" si="466"/>
        <v/>
      </c>
      <c r="Z424" s="175" t="str">
        <f t="shared" ca="1" si="467"/>
        <v/>
      </c>
    </row>
    <row r="425" spans="1:26" s="70" customFormat="1" ht="11.5" x14ac:dyDescent="0.25">
      <c r="A425" s="102" t="s">
        <v>65</v>
      </c>
      <c r="B425" s="102" t="s">
        <v>14</v>
      </c>
      <c r="C425" s="102" t="s">
        <v>534</v>
      </c>
      <c r="D425" s="102" t="s">
        <v>535</v>
      </c>
      <c r="E425" s="105">
        <f t="shared" si="432"/>
        <v>0.5</v>
      </c>
      <c r="F425" s="105">
        <f t="shared" si="433"/>
        <v>0.5</v>
      </c>
      <c r="G425" s="105">
        <f t="shared" si="433"/>
        <v>0</v>
      </c>
      <c r="H425" s="105">
        <f t="shared" si="434"/>
        <v>-0.5</v>
      </c>
      <c r="I425" s="106">
        <v>4.7E-2</v>
      </c>
      <c r="J425" s="107">
        <f t="shared" si="452"/>
        <v>46234</v>
      </c>
      <c r="K425" s="108">
        <f t="shared" si="453"/>
        <v>46234</v>
      </c>
      <c r="L425" s="108"/>
      <c r="M425" s="108">
        <f t="shared" si="454"/>
        <v>46276</v>
      </c>
      <c r="N425" s="108">
        <f t="shared" si="455"/>
        <v>46276</v>
      </c>
      <c r="O425" s="108"/>
      <c r="P425" s="108">
        <f t="shared" si="456"/>
        <v>46318</v>
      </c>
      <c r="Q425" s="108">
        <f t="shared" si="457"/>
        <v>46318</v>
      </c>
      <c r="R425" s="108"/>
      <c r="S425" s="107">
        <f t="shared" si="459"/>
        <v>46332</v>
      </c>
      <c r="T425" s="108">
        <f t="shared" si="458"/>
        <v>46332</v>
      </c>
      <c r="U425" s="108"/>
      <c r="W425" s="174" t="str">
        <f t="shared" ca="1" si="464"/>
        <v>Overdue</v>
      </c>
      <c r="X425" s="174" t="str">
        <f t="shared" ca="1" si="465"/>
        <v/>
      </c>
      <c r="Y425" s="174" t="str">
        <f t="shared" ca="1" si="466"/>
        <v/>
      </c>
      <c r="Z425" s="175" t="str">
        <f t="shared" ca="1" si="467"/>
        <v/>
      </c>
    </row>
    <row r="426" spans="1:26" s="70" customFormat="1" ht="11.5" x14ac:dyDescent="0.25">
      <c r="A426" s="102" t="s">
        <v>65</v>
      </c>
      <c r="B426" s="102" t="s">
        <v>14</v>
      </c>
      <c r="C426" s="102" t="s">
        <v>536</v>
      </c>
      <c r="D426" s="102" t="s">
        <v>537</v>
      </c>
      <c r="E426" s="105">
        <f t="shared" si="432"/>
        <v>0.5</v>
      </c>
      <c r="F426" s="105">
        <f t="shared" si="433"/>
        <v>0.5</v>
      </c>
      <c r="G426" s="105">
        <f t="shared" si="433"/>
        <v>0</v>
      </c>
      <c r="H426" s="105">
        <f t="shared" si="434"/>
        <v>-0.5</v>
      </c>
      <c r="I426" s="106">
        <v>4.7E-2</v>
      </c>
      <c r="J426" s="107">
        <f t="shared" si="452"/>
        <v>46234</v>
      </c>
      <c r="K426" s="107">
        <f t="shared" si="453"/>
        <v>46234</v>
      </c>
      <c r="L426" s="108"/>
      <c r="M426" s="108">
        <f t="shared" si="454"/>
        <v>46276</v>
      </c>
      <c r="N426" s="107">
        <f t="shared" si="455"/>
        <v>46276</v>
      </c>
      <c r="O426" s="108"/>
      <c r="P426" s="108">
        <f t="shared" si="456"/>
        <v>46318</v>
      </c>
      <c r="Q426" s="107">
        <f t="shared" si="457"/>
        <v>46318</v>
      </c>
      <c r="R426" s="108"/>
      <c r="S426" s="107">
        <f t="shared" si="459"/>
        <v>46332</v>
      </c>
      <c r="T426" s="107">
        <f t="shared" si="458"/>
        <v>46332</v>
      </c>
      <c r="U426" s="108"/>
      <c r="W426" s="174" t="str">
        <f t="shared" ca="1" si="464"/>
        <v>Overdue</v>
      </c>
      <c r="X426" s="174" t="str">
        <f t="shared" ca="1" si="465"/>
        <v/>
      </c>
      <c r="Y426" s="174" t="str">
        <f t="shared" ca="1" si="466"/>
        <v/>
      </c>
      <c r="Z426" s="175" t="str">
        <f t="shared" ca="1" si="467"/>
        <v/>
      </c>
    </row>
    <row r="427" spans="1:26" s="70" customFormat="1" ht="11.5" x14ac:dyDescent="0.25">
      <c r="A427" s="102" t="s">
        <v>65</v>
      </c>
      <c r="B427" s="102" t="s">
        <v>14</v>
      </c>
      <c r="C427" s="102" t="s">
        <v>42</v>
      </c>
      <c r="D427" s="102" t="s">
        <v>538</v>
      </c>
      <c r="E427" s="105">
        <f t="shared" si="432"/>
        <v>0</v>
      </c>
      <c r="F427" s="105">
        <f t="shared" si="433"/>
        <v>0</v>
      </c>
      <c r="G427" s="105">
        <f t="shared" si="433"/>
        <v>0</v>
      </c>
      <c r="H427" s="105">
        <f t="shared" si="434"/>
        <v>0</v>
      </c>
      <c r="I427" s="110">
        <v>1.5</v>
      </c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W427" s="174" t="str">
        <f t="shared" ca="1" si="464"/>
        <v/>
      </c>
      <c r="X427" s="174" t="str">
        <f t="shared" ca="1" si="465"/>
        <v/>
      </c>
      <c r="Y427" s="174" t="str">
        <f t="shared" ca="1" si="466"/>
        <v/>
      </c>
      <c r="Z427" s="175" t="str">
        <f t="shared" ca="1" si="467"/>
        <v/>
      </c>
    </row>
    <row r="428" spans="1:26" s="70" customFormat="1" ht="11.5" x14ac:dyDescent="0.25">
      <c r="A428" s="73"/>
      <c r="B428" s="73"/>
      <c r="C428" s="73"/>
      <c r="D428" s="73"/>
      <c r="E428" s="74"/>
      <c r="F428" s="74"/>
      <c r="G428" s="74"/>
      <c r="H428" s="74"/>
      <c r="I428" s="75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W428" s="174" t="str">
        <f t="shared" ca="1" si="464"/>
        <v/>
      </c>
      <c r="X428" s="174" t="str">
        <f t="shared" ca="1" si="465"/>
        <v/>
      </c>
      <c r="Y428" s="174" t="str">
        <f t="shared" ca="1" si="466"/>
        <v/>
      </c>
      <c r="Z428" s="175" t="str">
        <f t="shared" ca="1" si="467"/>
        <v/>
      </c>
    </row>
    <row r="429" spans="1:26" s="70" customFormat="1" ht="11.5" x14ac:dyDescent="0.25">
      <c r="A429" s="112" t="s">
        <v>68</v>
      </c>
      <c r="B429" s="112" t="s">
        <v>14</v>
      </c>
      <c r="C429" s="112" t="s">
        <v>895</v>
      </c>
      <c r="D429" s="112" t="s">
        <v>891</v>
      </c>
      <c r="E429" s="113">
        <f t="shared" si="432"/>
        <v>0.7</v>
      </c>
      <c r="F429" s="113">
        <f t="shared" si="433"/>
        <v>0.7</v>
      </c>
      <c r="G429" s="113">
        <f t="shared" si="433"/>
        <v>0.79999999999999993</v>
      </c>
      <c r="H429" s="113">
        <f t="shared" si="434"/>
        <v>9.9999999999999978E-2</v>
      </c>
      <c r="I429" s="114">
        <v>8.9999999999999993E-3</v>
      </c>
      <c r="J429" s="115">
        <f t="shared" ref="J429:J460" si="472">J314+28</f>
        <v>46206</v>
      </c>
      <c r="K429" s="115">
        <f t="shared" si="453"/>
        <v>46206</v>
      </c>
      <c r="L429" s="115">
        <v>46175</v>
      </c>
      <c r="M429" s="116">
        <f t="shared" si="454"/>
        <v>46248</v>
      </c>
      <c r="N429" s="115">
        <f t="shared" si="455"/>
        <v>46248</v>
      </c>
      <c r="O429" s="115">
        <v>46191</v>
      </c>
      <c r="P429" s="116">
        <f t="shared" si="456"/>
        <v>46290</v>
      </c>
      <c r="Q429" s="115">
        <f t="shared" si="457"/>
        <v>46290</v>
      </c>
      <c r="R429" s="166">
        <v>46245</v>
      </c>
      <c r="S429" s="115">
        <f t="shared" si="459"/>
        <v>46304</v>
      </c>
      <c r="T429" s="115">
        <f t="shared" si="458"/>
        <v>46304</v>
      </c>
      <c r="U429" s="115"/>
      <c r="W429" s="174" t="str">
        <f t="shared" ca="1" si="464"/>
        <v>Completed</v>
      </c>
      <c r="X429" s="174" t="str">
        <f t="shared" ca="1" si="465"/>
        <v>Completed</v>
      </c>
      <c r="Y429" s="174" t="str">
        <f t="shared" ca="1" si="466"/>
        <v>Completed</v>
      </c>
      <c r="Z429" s="175" t="str">
        <f t="shared" ca="1" si="467"/>
        <v/>
      </c>
    </row>
    <row r="430" spans="1:26" s="70" customFormat="1" ht="11.5" x14ac:dyDescent="0.25">
      <c r="A430" s="112" t="s">
        <v>68</v>
      </c>
      <c r="B430" s="112" t="s">
        <v>14</v>
      </c>
      <c r="C430" s="112" t="s">
        <v>896</v>
      </c>
      <c r="D430" s="112" t="s">
        <v>892</v>
      </c>
      <c r="E430" s="113">
        <f t="shared" si="432"/>
        <v>0.7</v>
      </c>
      <c r="F430" s="113">
        <f t="shared" si="433"/>
        <v>0.7</v>
      </c>
      <c r="G430" s="113">
        <f t="shared" si="433"/>
        <v>0.79999999999999993</v>
      </c>
      <c r="H430" s="113">
        <f t="shared" si="434"/>
        <v>9.9999999999999978E-2</v>
      </c>
      <c r="I430" s="114">
        <v>8.9999999999999993E-3</v>
      </c>
      <c r="J430" s="115">
        <f t="shared" si="472"/>
        <v>46206</v>
      </c>
      <c r="K430" s="115">
        <f t="shared" si="453"/>
        <v>46206</v>
      </c>
      <c r="L430" s="115">
        <v>46175</v>
      </c>
      <c r="M430" s="116">
        <f t="shared" si="454"/>
        <v>46248</v>
      </c>
      <c r="N430" s="115">
        <f t="shared" si="455"/>
        <v>46248</v>
      </c>
      <c r="O430" s="115">
        <v>46191</v>
      </c>
      <c r="P430" s="116">
        <f t="shared" si="456"/>
        <v>46290</v>
      </c>
      <c r="Q430" s="115">
        <f t="shared" si="457"/>
        <v>46290</v>
      </c>
      <c r="R430" s="166">
        <v>46245</v>
      </c>
      <c r="S430" s="115">
        <f t="shared" si="459"/>
        <v>46304</v>
      </c>
      <c r="T430" s="115">
        <f t="shared" si="458"/>
        <v>46304</v>
      </c>
      <c r="U430" s="115"/>
      <c r="W430" s="174" t="str">
        <f t="shared" ca="1" si="464"/>
        <v>Completed</v>
      </c>
      <c r="X430" s="174" t="str">
        <f t="shared" ca="1" si="465"/>
        <v>Completed</v>
      </c>
      <c r="Y430" s="174" t="str">
        <f t="shared" ca="1" si="466"/>
        <v>Completed</v>
      </c>
      <c r="Z430" s="175" t="str">
        <f t="shared" ca="1" si="467"/>
        <v/>
      </c>
    </row>
    <row r="431" spans="1:26" s="70" customFormat="1" ht="11.5" x14ac:dyDescent="0.25">
      <c r="A431" s="112" t="s">
        <v>68</v>
      </c>
      <c r="B431" s="112" t="s">
        <v>14</v>
      </c>
      <c r="C431" s="112" t="s">
        <v>897</v>
      </c>
      <c r="D431" s="112" t="s">
        <v>893</v>
      </c>
      <c r="E431" s="113">
        <f t="shared" si="432"/>
        <v>0.7</v>
      </c>
      <c r="F431" s="113">
        <f t="shared" si="433"/>
        <v>0.7</v>
      </c>
      <c r="G431" s="113">
        <f t="shared" si="433"/>
        <v>0.79999999999999993</v>
      </c>
      <c r="H431" s="113">
        <f t="shared" si="434"/>
        <v>9.9999999999999978E-2</v>
      </c>
      <c r="I431" s="114">
        <v>4.7E-2</v>
      </c>
      <c r="J431" s="115">
        <f t="shared" si="472"/>
        <v>46206</v>
      </c>
      <c r="K431" s="115">
        <f t="shared" si="453"/>
        <v>46206</v>
      </c>
      <c r="L431" s="115">
        <v>46175</v>
      </c>
      <c r="M431" s="116">
        <f t="shared" si="454"/>
        <v>46248</v>
      </c>
      <c r="N431" s="115">
        <f t="shared" si="455"/>
        <v>46248</v>
      </c>
      <c r="O431" s="115">
        <v>46191</v>
      </c>
      <c r="P431" s="116">
        <f t="shared" si="456"/>
        <v>46290</v>
      </c>
      <c r="Q431" s="115">
        <f t="shared" si="457"/>
        <v>46290</v>
      </c>
      <c r="R431" s="166">
        <v>46245</v>
      </c>
      <c r="S431" s="115">
        <f t="shared" si="459"/>
        <v>46304</v>
      </c>
      <c r="T431" s="115">
        <f t="shared" si="458"/>
        <v>46304</v>
      </c>
      <c r="U431" s="115"/>
      <c r="W431" s="174" t="str">
        <f t="shared" ca="1" si="464"/>
        <v>Completed</v>
      </c>
      <c r="X431" s="174" t="str">
        <f t="shared" ca="1" si="465"/>
        <v>Completed</v>
      </c>
      <c r="Y431" s="174" t="str">
        <f t="shared" ca="1" si="466"/>
        <v>Completed</v>
      </c>
      <c r="Z431" s="175" t="str">
        <f t="shared" ca="1" si="467"/>
        <v/>
      </c>
    </row>
    <row r="432" spans="1:26" s="70" customFormat="1" ht="11.5" x14ac:dyDescent="0.25">
      <c r="A432" s="112" t="s">
        <v>68</v>
      </c>
      <c r="B432" s="112" t="s">
        <v>14</v>
      </c>
      <c r="C432" s="112" t="s">
        <v>898</v>
      </c>
      <c r="D432" s="112" t="s">
        <v>894</v>
      </c>
      <c r="E432" s="113">
        <f t="shared" si="432"/>
        <v>0.7</v>
      </c>
      <c r="F432" s="113">
        <f t="shared" si="433"/>
        <v>0.7</v>
      </c>
      <c r="G432" s="119">
        <f t="shared" si="433"/>
        <v>0.79999999999999993</v>
      </c>
      <c r="H432" s="119">
        <f t="shared" si="434"/>
        <v>9.9999999999999978E-2</v>
      </c>
      <c r="I432" s="120">
        <v>4.7E-2</v>
      </c>
      <c r="J432" s="115">
        <f t="shared" si="472"/>
        <v>46206</v>
      </c>
      <c r="K432" s="115">
        <f t="shared" si="453"/>
        <v>46206</v>
      </c>
      <c r="L432" s="115">
        <v>46175</v>
      </c>
      <c r="M432" s="116">
        <f t="shared" si="454"/>
        <v>46248</v>
      </c>
      <c r="N432" s="115">
        <f t="shared" si="455"/>
        <v>46248</v>
      </c>
      <c r="O432" s="115">
        <v>46191</v>
      </c>
      <c r="P432" s="116">
        <f t="shared" si="456"/>
        <v>46290</v>
      </c>
      <c r="Q432" s="115">
        <f t="shared" si="457"/>
        <v>46290</v>
      </c>
      <c r="R432" s="166">
        <v>46245</v>
      </c>
      <c r="S432" s="115">
        <f t="shared" si="459"/>
        <v>46304</v>
      </c>
      <c r="T432" s="115">
        <f t="shared" si="458"/>
        <v>46304</v>
      </c>
      <c r="U432" s="115"/>
      <c r="W432" s="174" t="str">
        <f t="shared" ca="1" si="464"/>
        <v>Completed</v>
      </c>
      <c r="X432" s="174" t="str">
        <f t="shared" ca="1" si="465"/>
        <v>Completed</v>
      </c>
      <c r="Y432" s="174" t="str">
        <f t="shared" ca="1" si="466"/>
        <v>Completed</v>
      </c>
      <c r="Z432" s="175" t="str">
        <f t="shared" ca="1" si="467"/>
        <v/>
      </c>
    </row>
    <row r="433" spans="1:26" s="70" customFormat="1" ht="11.5" x14ac:dyDescent="0.25">
      <c r="A433" s="112" t="s">
        <v>68</v>
      </c>
      <c r="B433" s="112" t="s">
        <v>14</v>
      </c>
      <c r="C433" s="112" t="s">
        <v>539</v>
      </c>
      <c r="D433" s="112" t="s">
        <v>540</v>
      </c>
      <c r="E433" s="113">
        <f t="shared" si="432"/>
        <v>0.7</v>
      </c>
      <c r="F433" s="113">
        <f t="shared" si="433"/>
        <v>0.7</v>
      </c>
      <c r="G433" s="119">
        <f t="shared" si="433"/>
        <v>0</v>
      </c>
      <c r="H433" s="119">
        <f t="shared" si="434"/>
        <v>-0.7</v>
      </c>
      <c r="I433" s="120">
        <v>4.7E-2</v>
      </c>
      <c r="J433" s="115">
        <f t="shared" si="472"/>
        <v>46206</v>
      </c>
      <c r="K433" s="115">
        <f t="shared" si="453"/>
        <v>46206</v>
      </c>
      <c r="L433" s="115"/>
      <c r="M433" s="116">
        <f t="shared" si="454"/>
        <v>46248</v>
      </c>
      <c r="N433" s="115">
        <f t="shared" si="455"/>
        <v>46248</v>
      </c>
      <c r="O433" s="115"/>
      <c r="P433" s="116">
        <f t="shared" si="456"/>
        <v>46290</v>
      </c>
      <c r="Q433" s="115">
        <f t="shared" si="457"/>
        <v>46290</v>
      </c>
      <c r="R433" s="115"/>
      <c r="S433" s="115">
        <f t="shared" si="459"/>
        <v>46304</v>
      </c>
      <c r="T433" s="115">
        <f t="shared" si="458"/>
        <v>46304</v>
      </c>
      <c r="U433" s="115"/>
      <c r="W433" s="174" t="str">
        <f t="shared" ca="1" si="464"/>
        <v>Overdue</v>
      </c>
      <c r="X433" s="174" t="str">
        <f t="shared" ca="1" si="465"/>
        <v>Overdue</v>
      </c>
      <c r="Y433" s="174" t="str">
        <f t="shared" ca="1" si="466"/>
        <v/>
      </c>
      <c r="Z433" s="175" t="str">
        <f t="shared" ca="1" si="467"/>
        <v/>
      </c>
    </row>
    <row r="434" spans="1:26" s="70" customFormat="1" ht="11.5" x14ac:dyDescent="0.25">
      <c r="A434" s="112" t="s">
        <v>68</v>
      </c>
      <c r="B434" s="112" t="s">
        <v>14</v>
      </c>
      <c r="C434" s="112" t="s">
        <v>541</v>
      </c>
      <c r="D434" s="112" t="s">
        <v>542</v>
      </c>
      <c r="E434" s="113">
        <f t="shared" si="432"/>
        <v>0.7</v>
      </c>
      <c r="F434" s="113">
        <f t="shared" si="433"/>
        <v>0.7</v>
      </c>
      <c r="G434" s="119">
        <f t="shared" si="433"/>
        <v>0</v>
      </c>
      <c r="H434" s="119">
        <f t="shared" si="434"/>
        <v>-0.7</v>
      </c>
      <c r="I434" s="120">
        <v>4.7E-2</v>
      </c>
      <c r="J434" s="115">
        <f t="shared" si="472"/>
        <v>46206</v>
      </c>
      <c r="K434" s="115">
        <f t="shared" si="453"/>
        <v>46206</v>
      </c>
      <c r="L434" s="115"/>
      <c r="M434" s="116">
        <f t="shared" si="454"/>
        <v>46248</v>
      </c>
      <c r="N434" s="115">
        <f t="shared" si="455"/>
        <v>46248</v>
      </c>
      <c r="O434" s="115"/>
      <c r="P434" s="116">
        <f t="shared" si="456"/>
        <v>46290</v>
      </c>
      <c r="Q434" s="115">
        <f t="shared" si="457"/>
        <v>46290</v>
      </c>
      <c r="R434" s="115"/>
      <c r="S434" s="115">
        <f t="shared" si="459"/>
        <v>46304</v>
      </c>
      <c r="T434" s="115">
        <f t="shared" si="458"/>
        <v>46304</v>
      </c>
      <c r="U434" s="115"/>
      <c r="W434" s="174" t="str">
        <f t="shared" ca="1" si="464"/>
        <v>Overdue</v>
      </c>
      <c r="X434" s="174" t="str">
        <f t="shared" ca="1" si="465"/>
        <v>Overdue</v>
      </c>
      <c r="Y434" s="174" t="str">
        <f t="shared" ca="1" si="466"/>
        <v/>
      </c>
      <c r="Z434" s="175" t="str">
        <f t="shared" ca="1" si="467"/>
        <v/>
      </c>
    </row>
    <row r="435" spans="1:26" s="70" customFormat="1" ht="11.5" x14ac:dyDescent="0.25">
      <c r="A435" s="112" t="s">
        <v>68</v>
      </c>
      <c r="B435" s="112" t="s">
        <v>14</v>
      </c>
      <c r="C435" s="112" t="s">
        <v>543</v>
      </c>
      <c r="D435" s="112" t="s">
        <v>544</v>
      </c>
      <c r="E435" s="113">
        <f t="shared" si="432"/>
        <v>0.7</v>
      </c>
      <c r="F435" s="113">
        <f t="shared" si="433"/>
        <v>0.7</v>
      </c>
      <c r="G435" s="119">
        <f t="shared" si="433"/>
        <v>0.7</v>
      </c>
      <c r="H435" s="119">
        <f t="shared" si="434"/>
        <v>0</v>
      </c>
      <c r="I435" s="120">
        <v>4.7E-2</v>
      </c>
      <c r="J435" s="115">
        <f t="shared" si="472"/>
        <v>46206</v>
      </c>
      <c r="K435" s="115">
        <f t="shared" si="453"/>
        <v>46206</v>
      </c>
      <c r="L435" s="115">
        <v>46130</v>
      </c>
      <c r="M435" s="116">
        <f t="shared" si="454"/>
        <v>46248</v>
      </c>
      <c r="N435" s="115">
        <f t="shared" si="455"/>
        <v>46248</v>
      </c>
      <c r="O435" s="115">
        <v>46225</v>
      </c>
      <c r="P435" s="116">
        <f>M435+38</f>
        <v>46286</v>
      </c>
      <c r="Q435" s="115">
        <f t="shared" si="457"/>
        <v>46286</v>
      </c>
      <c r="R435" s="115"/>
      <c r="S435" s="115">
        <f t="shared" si="459"/>
        <v>46300</v>
      </c>
      <c r="T435" s="115">
        <f t="shared" si="458"/>
        <v>46300</v>
      </c>
      <c r="U435" s="115"/>
      <c r="W435" s="174" t="str">
        <f t="shared" ca="1" si="464"/>
        <v>Completed</v>
      </c>
      <c r="X435" s="174" t="str">
        <f t="shared" ca="1" si="465"/>
        <v>Completed</v>
      </c>
      <c r="Y435" s="174" t="str">
        <f t="shared" ca="1" si="466"/>
        <v/>
      </c>
      <c r="Z435" s="175" t="str">
        <f t="shared" ca="1" si="467"/>
        <v/>
      </c>
    </row>
    <row r="436" spans="1:26" s="70" customFormat="1" ht="11.5" x14ac:dyDescent="0.25">
      <c r="A436" s="112" t="s">
        <v>68</v>
      </c>
      <c r="B436" s="112" t="s">
        <v>14</v>
      </c>
      <c r="C436" s="112" t="s">
        <v>545</v>
      </c>
      <c r="D436" s="112" t="s">
        <v>546</v>
      </c>
      <c r="E436" s="113">
        <f t="shared" si="432"/>
        <v>0.7</v>
      </c>
      <c r="F436" s="113">
        <f t="shared" si="433"/>
        <v>0.7</v>
      </c>
      <c r="G436" s="119">
        <f t="shared" si="433"/>
        <v>0.7</v>
      </c>
      <c r="H436" s="119">
        <f t="shared" si="434"/>
        <v>0</v>
      </c>
      <c r="I436" s="120">
        <v>4.7E-2</v>
      </c>
      <c r="J436" s="115">
        <f t="shared" si="472"/>
        <v>46206</v>
      </c>
      <c r="K436" s="115">
        <f t="shared" si="453"/>
        <v>46206</v>
      </c>
      <c r="L436" s="115">
        <v>46130</v>
      </c>
      <c r="M436" s="116">
        <f t="shared" si="454"/>
        <v>46248</v>
      </c>
      <c r="N436" s="115">
        <f t="shared" si="455"/>
        <v>46248</v>
      </c>
      <c r="O436" s="115">
        <v>46225</v>
      </c>
      <c r="P436" s="116">
        <f t="shared" ref="P436:P461" si="473">M436+38</f>
        <v>46286</v>
      </c>
      <c r="Q436" s="115">
        <f t="shared" si="457"/>
        <v>46286</v>
      </c>
      <c r="R436" s="115"/>
      <c r="S436" s="115">
        <f t="shared" si="459"/>
        <v>46300</v>
      </c>
      <c r="T436" s="115">
        <f t="shared" si="458"/>
        <v>46300</v>
      </c>
      <c r="U436" s="115"/>
      <c r="W436" s="174" t="str">
        <f t="shared" ca="1" si="464"/>
        <v>Completed</v>
      </c>
      <c r="X436" s="174" t="str">
        <f t="shared" ca="1" si="465"/>
        <v>Completed</v>
      </c>
      <c r="Y436" s="174" t="str">
        <f t="shared" ca="1" si="466"/>
        <v/>
      </c>
      <c r="Z436" s="175" t="str">
        <f t="shared" ca="1" si="467"/>
        <v/>
      </c>
    </row>
    <row r="437" spans="1:26" s="70" customFormat="1" ht="11.5" x14ac:dyDescent="0.25">
      <c r="A437" s="112" t="s">
        <v>68</v>
      </c>
      <c r="B437" s="112" t="s">
        <v>14</v>
      </c>
      <c r="C437" s="112" t="s">
        <v>547</v>
      </c>
      <c r="D437" s="112" t="s">
        <v>548</v>
      </c>
      <c r="E437" s="113">
        <f t="shared" si="432"/>
        <v>0.7</v>
      </c>
      <c r="F437" s="113">
        <f t="shared" si="433"/>
        <v>0.7</v>
      </c>
      <c r="G437" s="119">
        <f t="shared" si="433"/>
        <v>0.7</v>
      </c>
      <c r="H437" s="119">
        <f t="shared" si="434"/>
        <v>0</v>
      </c>
      <c r="I437" s="120">
        <v>4.7E-2</v>
      </c>
      <c r="J437" s="115">
        <f t="shared" si="472"/>
        <v>46206</v>
      </c>
      <c r="K437" s="115">
        <f t="shared" si="453"/>
        <v>46206</v>
      </c>
      <c r="L437" s="115">
        <v>46130</v>
      </c>
      <c r="M437" s="116">
        <f t="shared" si="454"/>
        <v>46248</v>
      </c>
      <c r="N437" s="115">
        <f t="shared" si="455"/>
        <v>46248</v>
      </c>
      <c r="O437" s="115">
        <v>46225</v>
      </c>
      <c r="P437" s="116">
        <f t="shared" si="473"/>
        <v>46286</v>
      </c>
      <c r="Q437" s="115">
        <f t="shared" si="457"/>
        <v>46286</v>
      </c>
      <c r="R437" s="115"/>
      <c r="S437" s="115">
        <f t="shared" si="459"/>
        <v>46300</v>
      </c>
      <c r="T437" s="115">
        <f t="shared" si="458"/>
        <v>46300</v>
      </c>
      <c r="U437" s="115"/>
      <c r="W437" s="174" t="str">
        <f t="shared" ca="1" si="464"/>
        <v>Completed</v>
      </c>
      <c r="X437" s="174" t="str">
        <f t="shared" ca="1" si="465"/>
        <v>Completed</v>
      </c>
      <c r="Y437" s="174" t="str">
        <f t="shared" ca="1" si="466"/>
        <v/>
      </c>
      <c r="Z437" s="175" t="str">
        <f t="shared" ca="1" si="467"/>
        <v/>
      </c>
    </row>
    <row r="438" spans="1:26" s="70" customFormat="1" ht="11.5" x14ac:dyDescent="0.25">
      <c r="A438" s="112" t="s">
        <v>68</v>
      </c>
      <c r="B438" s="112" t="s">
        <v>14</v>
      </c>
      <c r="C438" s="112" t="s">
        <v>549</v>
      </c>
      <c r="D438" s="112" t="s">
        <v>550</v>
      </c>
      <c r="E438" s="113">
        <f t="shared" si="432"/>
        <v>0.7</v>
      </c>
      <c r="F438" s="113">
        <f t="shared" si="433"/>
        <v>0.7</v>
      </c>
      <c r="G438" s="119">
        <f t="shared" si="433"/>
        <v>0.7</v>
      </c>
      <c r="H438" s="119">
        <f t="shared" si="434"/>
        <v>0</v>
      </c>
      <c r="I438" s="120">
        <v>4.7E-2</v>
      </c>
      <c r="J438" s="115">
        <f t="shared" si="472"/>
        <v>46206</v>
      </c>
      <c r="K438" s="115">
        <f t="shared" si="453"/>
        <v>46206</v>
      </c>
      <c r="L438" s="115">
        <v>46130</v>
      </c>
      <c r="M438" s="116">
        <f t="shared" si="454"/>
        <v>46248</v>
      </c>
      <c r="N438" s="115">
        <f t="shared" si="455"/>
        <v>46248</v>
      </c>
      <c r="O438" s="115">
        <v>46225</v>
      </c>
      <c r="P438" s="116">
        <f t="shared" si="473"/>
        <v>46286</v>
      </c>
      <c r="Q438" s="115">
        <f t="shared" si="457"/>
        <v>46286</v>
      </c>
      <c r="R438" s="115"/>
      <c r="S438" s="115">
        <f t="shared" si="459"/>
        <v>46300</v>
      </c>
      <c r="T438" s="115">
        <f t="shared" si="458"/>
        <v>46300</v>
      </c>
      <c r="U438" s="115"/>
      <c r="W438" s="174" t="str">
        <f t="shared" ca="1" si="464"/>
        <v>Completed</v>
      </c>
      <c r="X438" s="174" t="str">
        <f t="shared" ca="1" si="465"/>
        <v>Completed</v>
      </c>
      <c r="Y438" s="174" t="str">
        <f t="shared" ca="1" si="466"/>
        <v/>
      </c>
      <c r="Z438" s="175" t="str">
        <f t="shared" ca="1" si="467"/>
        <v/>
      </c>
    </row>
    <row r="439" spans="1:26" s="70" customFormat="1" ht="11.5" x14ac:dyDescent="0.25">
      <c r="A439" s="112" t="s">
        <v>68</v>
      </c>
      <c r="B439" s="112" t="s">
        <v>14</v>
      </c>
      <c r="C439" s="112" t="s">
        <v>551</v>
      </c>
      <c r="D439" s="112" t="s">
        <v>552</v>
      </c>
      <c r="E439" s="113">
        <f t="shared" si="432"/>
        <v>0.7</v>
      </c>
      <c r="F439" s="113">
        <f t="shared" si="433"/>
        <v>0.7</v>
      </c>
      <c r="G439" s="119">
        <f t="shared" si="433"/>
        <v>0.7</v>
      </c>
      <c r="H439" s="119">
        <f t="shared" si="434"/>
        <v>0</v>
      </c>
      <c r="I439" s="120">
        <v>4.7E-2</v>
      </c>
      <c r="J439" s="115">
        <f t="shared" si="472"/>
        <v>46206</v>
      </c>
      <c r="K439" s="115">
        <f t="shared" si="453"/>
        <v>46206</v>
      </c>
      <c r="L439" s="115">
        <v>46130</v>
      </c>
      <c r="M439" s="116">
        <f t="shared" si="454"/>
        <v>46248</v>
      </c>
      <c r="N439" s="115">
        <f t="shared" si="455"/>
        <v>46248</v>
      </c>
      <c r="O439" s="115">
        <v>46225</v>
      </c>
      <c r="P439" s="116">
        <f t="shared" si="473"/>
        <v>46286</v>
      </c>
      <c r="Q439" s="115">
        <f t="shared" si="457"/>
        <v>46286</v>
      </c>
      <c r="R439" s="115"/>
      <c r="S439" s="115">
        <f t="shared" si="459"/>
        <v>46300</v>
      </c>
      <c r="T439" s="115">
        <f t="shared" si="458"/>
        <v>46300</v>
      </c>
      <c r="U439" s="115"/>
      <c r="W439" s="174" t="str">
        <f t="shared" ca="1" si="464"/>
        <v>Completed</v>
      </c>
      <c r="X439" s="174" t="str">
        <f t="shared" ca="1" si="465"/>
        <v>Completed</v>
      </c>
      <c r="Y439" s="174" t="str">
        <f t="shared" ca="1" si="466"/>
        <v/>
      </c>
      <c r="Z439" s="175" t="str">
        <f t="shared" ca="1" si="467"/>
        <v/>
      </c>
    </row>
    <row r="440" spans="1:26" s="70" customFormat="1" ht="11.5" x14ac:dyDescent="0.25">
      <c r="A440" s="112" t="s">
        <v>68</v>
      </c>
      <c r="B440" s="112" t="s">
        <v>14</v>
      </c>
      <c r="C440" s="112" t="s">
        <v>553</v>
      </c>
      <c r="D440" s="112" t="s">
        <v>554</v>
      </c>
      <c r="E440" s="113">
        <f t="shared" si="432"/>
        <v>0.7</v>
      </c>
      <c r="F440" s="113">
        <f t="shared" si="433"/>
        <v>0.7</v>
      </c>
      <c r="G440" s="119">
        <f t="shared" si="433"/>
        <v>0.7</v>
      </c>
      <c r="H440" s="119">
        <f t="shared" si="434"/>
        <v>0</v>
      </c>
      <c r="I440" s="120">
        <v>4.7E-2</v>
      </c>
      <c r="J440" s="115">
        <f t="shared" si="472"/>
        <v>46206</v>
      </c>
      <c r="K440" s="115">
        <f t="shared" si="453"/>
        <v>46206</v>
      </c>
      <c r="L440" s="115">
        <v>46130</v>
      </c>
      <c r="M440" s="116">
        <f t="shared" si="454"/>
        <v>46248</v>
      </c>
      <c r="N440" s="115">
        <f t="shared" si="455"/>
        <v>46248</v>
      </c>
      <c r="O440" s="115">
        <v>46225</v>
      </c>
      <c r="P440" s="116">
        <f t="shared" si="473"/>
        <v>46286</v>
      </c>
      <c r="Q440" s="115">
        <f t="shared" si="457"/>
        <v>46286</v>
      </c>
      <c r="R440" s="115"/>
      <c r="S440" s="115">
        <f t="shared" si="459"/>
        <v>46300</v>
      </c>
      <c r="T440" s="115">
        <f t="shared" si="458"/>
        <v>46300</v>
      </c>
      <c r="U440" s="115"/>
      <c r="W440" s="174" t="str">
        <f t="shared" ca="1" si="464"/>
        <v>Completed</v>
      </c>
      <c r="X440" s="174" t="str">
        <f t="shared" ca="1" si="465"/>
        <v>Completed</v>
      </c>
      <c r="Y440" s="174" t="str">
        <f t="shared" ca="1" si="466"/>
        <v/>
      </c>
      <c r="Z440" s="175" t="str">
        <f t="shared" ca="1" si="467"/>
        <v/>
      </c>
    </row>
    <row r="441" spans="1:26" s="70" customFormat="1" ht="11.5" x14ac:dyDescent="0.25">
      <c r="A441" s="112" t="s">
        <v>68</v>
      </c>
      <c r="B441" s="112" t="s">
        <v>14</v>
      </c>
      <c r="C441" s="112" t="s">
        <v>555</v>
      </c>
      <c r="D441" s="112" t="s">
        <v>556</v>
      </c>
      <c r="E441" s="113">
        <f t="shared" si="432"/>
        <v>0.7</v>
      </c>
      <c r="F441" s="113">
        <f t="shared" si="433"/>
        <v>0.7</v>
      </c>
      <c r="G441" s="119">
        <f t="shared" si="433"/>
        <v>0.7</v>
      </c>
      <c r="H441" s="119">
        <f t="shared" si="434"/>
        <v>0</v>
      </c>
      <c r="I441" s="120">
        <v>4.7E-2</v>
      </c>
      <c r="J441" s="115">
        <f t="shared" si="472"/>
        <v>46206</v>
      </c>
      <c r="K441" s="115">
        <f t="shared" si="453"/>
        <v>46206</v>
      </c>
      <c r="L441" s="115">
        <v>46130</v>
      </c>
      <c r="M441" s="116">
        <f t="shared" si="454"/>
        <v>46248</v>
      </c>
      <c r="N441" s="115">
        <f t="shared" si="455"/>
        <v>46248</v>
      </c>
      <c r="O441" s="115">
        <v>46225</v>
      </c>
      <c r="P441" s="116">
        <f t="shared" si="473"/>
        <v>46286</v>
      </c>
      <c r="Q441" s="115">
        <f t="shared" si="457"/>
        <v>46286</v>
      </c>
      <c r="R441" s="115"/>
      <c r="S441" s="115">
        <f t="shared" si="459"/>
        <v>46300</v>
      </c>
      <c r="T441" s="115">
        <f t="shared" si="458"/>
        <v>46300</v>
      </c>
      <c r="U441" s="115"/>
      <c r="W441" s="174" t="str">
        <f t="shared" ca="1" si="464"/>
        <v>Completed</v>
      </c>
      <c r="X441" s="174" t="str">
        <f t="shared" ca="1" si="465"/>
        <v>Completed</v>
      </c>
      <c r="Y441" s="174" t="str">
        <f t="shared" ca="1" si="466"/>
        <v/>
      </c>
      <c r="Z441" s="175" t="str">
        <f t="shared" ca="1" si="467"/>
        <v/>
      </c>
    </row>
    <row r="442" spans="1:26" s="70" customFormat="1" ht="11.5" x14ac:dyDescent="0.25">
      <c r="A442" s="112" t="s">
        <v>68</v>
      </c>
      <c r="B442" s="112" t="s">
        <v>14</v>
      </c>
      <c r="C442" s="112" t="s">
        <v>557</v>
      </c>
      <c r="D442" s="112" t="s">
        <v>558</v>
      </c>
      <c r="E442" s="113">
        <f t="shared" ref="E442:E499" si="474">(COUNTIFS(J442,"&lt;="&amp;$C$1)*50%)+(COUNTIFS(M442,"&lt;="&amp;$C$1)*20%)+(COUNTIFS(P442,"&lt;="&amp;$C$1)*10%)+(COUNTIFS(S442,"&lt;="&amp;$C$1)*20%)</f>
        <v>0.7</v>
      </c>
      <c r="F442" s="113">
        <f t="shared" ref="F442:G499" si="475">(COUNTIFS(K442,"&lt;="&amp;$C$1)*50%)+(COUNTIFS(N442,"&lt;="&amp;$C$1)*20%)+(COUNTIFS(Q442,"&lt;="&amp;$C$1)*10%)+(COUNTIFS(T442,"&lt;="&amp;$C$1)*20%)</f>
        <v>0.7</v>
      </c>
      <c r="G442" s="119">
        <f t="shared" si="475"/>
        <v>0.7</v>
      </c>
      <c r="H442" s="119">
        <f t="shared" ref="H442:H499" si="476">G442-E442</f>
        <v>0</v>
      </c>
      <c r="I442" s="120">
        <v>4.7E-2</v>
      </c>
      <c r="J442" s="115">
        <f t="shared" si="472"/>
        <v>46206</v>
      </c>
      <c r="K442" s="115">
        <f t="shared" si="453"/>
        <v>46206</v>
      </c>
      <c r="L442" s="115">
        <v>46130</v>
      </c>
      <c r="M442" s="116">
        <f t="shared" si="454"/>
        <v>46248</v>
      </c>
      <c r="N442" s="115">
        <f t="shared" si="455"/>
        <v>46248</v>
      </c>
      <c r="O442" s="115">
        <v>46225</v>
      </c>
      <c r="P442" s="116">
        <f t="shared" si="473"/>
        <v>46286</v>
      </c>
      <c r="Q442" s="115">
        <f t="shared" si="457"/>
        <v>46286</v>
      </c>
      <c r="R442" s="115"/>
      <c r="S442" s="115">
        <f t="shared" si="459"/>
        <v>46300</v>
      </c>
      <c r="T442" s="115">
        <f t="shared" si="458"/>
        <v>46300</v>
      </c>
      <c r="U442" s="115"/>
      <c r="W442" s="174" t="str">
        <f t="shared" ca="1" si="464"/>
        <v>Completed</v>
      </c>
      <c r="X442" s="174" t="str">
        <f t="shared" ca="1" si="465"/>
        <v>Completed</v>
      </c>
      <c r="Y442" s="174" t="str">
        <f t="shared" ca="1" si="466"/>
        <v/>
      </c>
      <c r="Z442" s="175" t="str">
        <f t="shared" ca="1" si="467"/>
        <v/>
      </c>
    </row>
    <row r="443" spans="1:26" s="70" customFormat="1" ht="11.5" x14ac:dyDescent="0.25">
      <c r="A443" s="112" t="s">
        <v>68</v>
      </c>
      <c r="B443" s="112" t="s">
        <v>14</v>
      </c>
      <c r="C443" s="112" t="s">
        <v>559</v>
      </c>
      <c r="D443" s="112" t="s">
        <v>560</v>
      </c>
      <c r="E443" s="113">
        <f t="shared" si="474"/>
        <v>0.7</v>
      </c>
      <c r="F443" s="113">
        <f t="shared" si="475"/>
        <v>0.7</v>
      </c>
      <c r="G443" s="119">
        <f t="shared" si="475"/>
        <v>0.7</v>
      </c>
      <c r="H443" s="119">
        <f t="shared" si="476"/>
        <v>0</v>
      </c>
      <c r="I443" s="120">
        <v>4.7E-2</v>
      </c>
      <c r="J443" s="115">
        <f t="shared" si="472"/>
        <v>46206</v>
      </c>
      <c r="K443" s="115">
        <f t="shared" si="453"/>
        <v>46206</v>
      </c>
      <c r="L443" s="115">
        <v>46130</v>
      </c>
      <c r="M443" s="116">
        <f t="shared" si="454"/>
        <v>46248</v>
      </c>
      <c r="N443" s="115">
        <f t="shared" si="455"/>
        <v>46248</v>
      </c>
      <c r="O443" s="115">
        <v>46225</v>
      </c>
      <c r="P443" s="116">
        <f t="shared" si="473"/>
        <v>46286</v>
      </c>
      <c r="Q443" s="115">
        <f t="shared" si="457"/>
        <v>46286</v>
      </c>
      <c r="R443" s="115"/>
      <c r="S443" s="115">
        <f t="shared" si="459"/>
        <v>46300</v>
      </c>
      <c r="T443" s="115">
        <f t="shared" si="458"/>
        <v>46300</v>
      </c>
      <c r="U443" s="115"/>
      <c r="W443" s="174" t="str">
        <f t="shared" ca="1" si="464"/>
        <v>Completed</v>
      </c>
      <c r="X443" s="174" t="str">
        <f t="shared" ca="1" si="465"/>
        <v>Completed</v>
      </c>
      <c r="Y443" s="174" t="str">
        <f t="shared" ca="1" si="466"/>
        <v/>
      </c>
      <c r="Z443" s="175" t="str">
        <f t="shared" ca="1" si="467"/>
        <v/>
      </c>
    </row>
    <row r="444" spans="1:26" s="70" customFormat="1" ht="11.5" x14ac:dyDescent="0.25">
      <c r="A444" s="112" t="s">
        <v>68</v>
      </c>
      <c r="B444" s="112" t="s">
        <v>14</v>
      </c>
      <c r="C444" s="112" t="s">
        <v>561</v>
      </c>
      <c r="D444" s="112" t="s">
        <v>562</v>
      </c>
      <c r="E444" s="113">
        <f t="shared" si="474"/>
        <v>0.7</v>
      </c>
      <c r="F444" s="113">
        <f t="shared" si="475"/>
        <v>0.7</v>
      </c>
      <c r="G444" s="119">
        <f t="shared" si="475"/>
        <v>0.7</v>
      </c>
      <c r="H444" s="119">
        <f t="shared" si="476"/>
        <v>0</v>
      </c>
      <c r="I444" s="120">
        <v>4.7E-2</v>
      </c>
      <c r="J444" s="115">
        <f t="shared" si="472"/>
        <v>46206</v>
      </c>
      <c r="K444" s="115">
        <f t="shared" si="453"/>
        <v>46206</v>
      </c>
      <c r="L444" s="115">
        <v>46130</v>
      </c>
      <c r="M444" s="116">
        <f t="shared" si="454"/>
        <v>46248</v>
      </c>
      <c r="N444" s="115">
        <f t="shared" si="455"/>
        <v>46248</v>
      </c>
      <c r="O444" s="115">
        <v>46225</v>
      </c>
      <c r="P444" s="116">
        <f t="shared" si="473"/>
        <v>46286</v>
      </c>
      <c r="Q444" s="115">
        <f t="shared" si="457"/>
        <v>46286</v>
      </c>
      <c r="R444" s="115"/>
      <c r="S444" s="115">
        <f t="shared" si="459"/>
        <v>46300</v>
      </c>
      <c r="T444" s="115">
        <f t="shared" si="458"/>
        <v>46300</v>
      </c>
      <c r="U444" s="115"/>
      <c r="W444" s="174" t="str">
        <f t="shared" ca="1" si="464"/>
        <v>Completed</v>
      </c>
      <c r="X444" s="174" t="str">
        <f t="shared" ca="1" si="465"/>
        <v>Completed</v>
      </c>
      <c r="Y444" s="174" t="str">
        <f t="shared" ca="1" si="466"/>
        <v/>
      </c>
      <c r="Z444" s="175" t="str">
        <f t="shared" ca="1" si="467"/>
        <v/>
      </c>
    </row>
    <row r="445" spans="1:26" s="70" customFormat="1" ht="11.5" x14ac:dyDescent="0.25">
      <c r="A445" s="112" t="s">
        <v>68</v>
      </c>
      <c r="B445" s="112" t="s">
        <v>14</v>
      </c>
      <c r="C445" s="112" t="s">
        <v>563</v>
      </c>
      <c r="D445" s="112" t="s">
        <v>564</v>
      </c>
      <c r="E445" s="113">
        <f t="shared" si="474"/>
        <v>0.7</v>
      </c>
      <c r="F445" s="113">
        <f t="shared" si="475"/>
        <v>0.7</v>
      </c>
      <c r="G445" s="119">
        <f t="shared" si="475"/>
        <v>0.7</v>
      </c>
      <c r="H445" s="119">
        <f t="shared" si="476"/>
        <v>0</v>
      </c>
      <c r="I445" s="120">
        <v>4.7E-2</v>
      </c>
      <c r="J445" s="115">
        <f t="shared" si="472"/>
        <v>46206</v>
      </c>
      <c r="K445" s="115">
        <f t="shared" si="453"/>
        <v>46206</v>
      </c>
      <c r="L445" s="115">
        <v>46130</v>
      </c>
      <c r="M445" s="116">
        <f t="shared" si="454"/>
        <v>46248</v>
      </c>
      <c r="N445" s="115">
        <f t="shared" si="455"/>
        <v>46248</v>
      </c>
      <c r="O445" s="115">
        <v>46225</v>
      </c>
      <c r="P445" s="116">
        <f t="shared" si="473"/>
        <v>46286</v>
      </c>
      <c r="Q445" s="115">
        <f t="shared" si="457"/>
        <v>46286</v>
      </c>
      <c r="R445" s="115"/>
      <c r="S445" s="115">
        <f t="shared" si="459"/>
        <v>46300</v>
      </c>
      <c r="T445" s="115">
        <f t="shared" si="458"/>
        <v>46300</v>
      </c>
      <c r="U445" s="115"/>
      <c r="W445" s="174" t="str">
        <f t="shared" ca="1" si="464"/>
        <v>Completed</v>
      </c>
      <c r="X445" s="174" t="str">
        <f t="shared" ca="1" si="465"/>
        <v>Completed</v>
      </c>
      <c r="Y445" s="174" t="str">
        <f t="shared" ca="1" si="466"/>
        <v/>
      </c>
      <c r="Z445" s="175" t="str">
        <f t="shared" ca="1" si="467"/>
        <v/>
      </c>
    </row>
    <row r="446" spans="1:26" s="70" customFormat="1" ht="11.5" x14ac:dyDescent="0.25">
      <c r="A446" s="112" t="s">
        <v>68</v>
      </c>
      <c r="B446" s="112" t="s">
        <v>14</v>
      </c>
      <c r="C446" s="112" t="s">
        <v>565</v>
      </c>
      <c r="D446" s="112" t="s">
        <v>566</v>
      </c>
      <c r="E446" s="113">
        <f t="shared" si="474"/>
        <v>0.7</v>
      </c>
      <c r="F446" s="113">
        <f t="shared" si="475"/>
        <v>0.7</v>
      </c>
      <c r="G446" s="119">
        <f t="shared" si="475"/>
        <v>0.7</v>
      </c>
      <c r="H446" s="119">
        <f t="shared" si="476"/>
        <v>0</v>
      </c>
      <c r="I446" s="120">
        <v>4.7E-2</v>
      </c>
      <c r="J446" s="115">
        <f t="shared" si="472"/>
        <v>46206</v>
      </c>
      <c r="K446" s="115">
        <f t="shared" si="453"/>
        <v>46206</v>
      </c>
      <c r="L446" s="115">
        <v>46130</v>
      </c>
      <c r="M446" s="116">
        <f t="shared" si="454"/>
        <v>46248</v>
      </c>
      <c r="N446" s="115">
        <f t="shared" si="455"/>
        <v>46248</v>
      </c>
      <c r="O446" s="115">
        <v>46225</v>
      </c>
      <c r="P446" s="116">
        <f t="shared" si="473"/>
        <v>46286</v>
      </c>
      <c r="Q446" s="115">
        <f t="shared" si="457"/>
        <v>46286</v>
      </c>
      <c r="R446" s="115"/>
      <c r="S446" s="115">
        <f t="shared" si="459"/>
        <v>46300</v>
      </c>
      <c r="T446" s="115">
        <f t="shared" si="458"/>
        <v>46300</v>
      </c>
      <c r="U446" s="115"/>
      <c r="W446" s="174" t="str">
        <f t="shared" ca="1" si="464"/>
        <v>Completed</v>
      </c>
      <c r="X446" s="174" t="str">
        <f t="shared" ca="1" si="465"/>
        <v>Completed</v>
      </c>
      <c r="Y446" s="174" t="str">
        <f t="shared" ca="1" si="466"/>
        <v/>
      </c>
      <c r="Z446" s="175" t="str">
        <f t="shared" ca="1" si="467"/>
        <v/>
      </c>
    </row>
    <row r="447" spans="1:26" s="70" customFormat="1" ht="11.5" x14ac:dyDescent="0.25">
      <c r="A447" s="112" t="s">
        <v>68</v>
      </c>
      <c r="B447" s="112" t="s">
        <v>14</v>
      </c>
      <c r="C447" s="112" t="s">
        <v>567</v>
      </c>
      <c r="D447" s="112" t="s">
        <v>568</v>
      </c>
      <c r="E447" s="113">
        <f t="shared" si="474"/>
        <v>0.7</v>
      </c>
      <c r="F447" s="113">
        <f t="shared" si="475"/>
        <v>0.7</v>
      </c>
      <c r="G447" s="119">
        <f t="shared" si="475"/>
        <v>0.7</v>
      </c>
      <c r="H447" s="119">
        <f t="shared" si="476"/>
        <v>0</v>
      </c>
      <c r="I447" s="120">
        <v>4.7E-2</v>
      </c>
      <c r="J447" s="115">
        <f t="shared" si="472"/>
        <v>46206</v>
      </c>
      <c r="K447" s="115">
        <f t="shared" si="453"/>
        <v>46206</v>
      </c>
      <c r="L447" s="115">
        <v>46130</v>
      </c>
      <c r="M447" s="116">
        <f t="shared" si="454"/>
        <v>46248</v>
      </c>
      <c r="N447" s="115">
        <f t="shared" si="455"/>
        <v>46248</v>
      </c>
      <c r="O447" s="115">
        <v>46225</v>
      </c>
      <c r="P447" s="116">
        <f t="shared" si="473"/>
        <v>46286</v>
      </c>
      <c r="Q447" s="115">
        <f t="shared" si="457"/>
        <v>46286</v>
      </c>
      <c r="R447" s="115"/>
      <c r="S447" s="115">
        <f t="shared" si="459"/>
        <v>46300</v>
      </c>
      <c r="T447" s="115">
        <f t="shared" si="458"/>
        <v>46300</v>
      </c>
      <c r="U447" s="115"/>
      <c r="W447" s="174" t="str">
        <f t="shared" ca="1" si="464"/>
        <v>Completed</v>
      </c>
      <c r="X447" s="174" t="str">
        <f t="shared" ca="1" si="465"/>
        <v>Completed</v>
      </c>
      <c r="Y447" s="174" t="str">
        <f t="shared" ca="1" si="466"/>
        <v/>
      </c>
      <c r="Z447" s="175" t="str">
        <f t="shared" ca="1" si="467"/>
        <v/>
      </c>
    </row>
    <row r="448" spans="1:26" s="70" customFormat="1" ht="11.5" x14ac:dyDescent="0.25">
      <c r="A448" s="112" t="s">
        <v>68</v>
      </c>
      <c r="B448" s="112" t="s">
        <v>14</v>
      </c>
      <c r="C448" s="112" t="s">
        <v>569</v>
      </c>
      <c r="D448" s="112" t="s">
        <v>570</v>
      </c>
      <c r="E448" s="113">
        <f t="shared" si="474"/>
        <v>0.7</v>
      </c>
      <c r="F448" s="113">
        <f t="shared" si="475"/>
        <v>0.7</v>
      </c>
      <c r="G448" s="119">
        <f t="shared" si="475"/>
        <v>0.7</v>
      </c>
      <c r="H448" s="119">
        <f t="shared" si="476"/>
        <v>0</v>
      </c>
      <c r="I448" s="120">
        <v>4.7E-2</v>
      </c>
      <c r="J448" s="115">
        <f t="shared" si="472"/>
        <v>46206</v>
      </c>
      <c r="K448" s="115">
        <f t="shared" si="453"/>
        <v>46206</v>
      </c>
      <c r="L448" s="115">
        <v>46130</v>
      </c>
      <c r="M448" s="116">
        <f t="shared" si="454"/>
        <v>46248</v>
      </c>
      <c r="N448" s="115">
        <f t="shared" si="455"/>
        <v>46248</v>
      </c>
      <c r="O448" s="115">
        <v>46225</v>
      </c>
      <c r="P448" s="116">
        <f t="shared" si="473"/>
        <v>46286</v>
      </c>
      <c r="Q448" s="115">
        <f t="shared" si="457"/>
        <v>46286</v>
      </c>
      <c r="R448" s="115"/>
      <c r="S448" s="115">
        <f t="shared" si="459"/>
        <v>46300</v>
      </c>
      <c r="T448" s="115">
        <f t="shared" si="458"/>
        <v>46300</v>
      </c>
      <c r="U448" s="115"/>
      <c r="W448" s="174" t="str">
        <f t="shared" ca="1" si="464"/>
        <v>Completed</v>
      </c>
      <c r="X448" s="174" t="str">
        <f t="shared" ca="1" si="465"/>
        <v>Completed</v>
      </c>
      <c r="Y448" s="174" t="str">
        <f t="shared" ca="1" si="466"/>
        <v/>
      </c>
      <c r="Z448" s="175" t="str">
        <f t="shared" ca="1" si="467"/>
        <v/>
      </c>
    </row>
    <row r="449" spans="1:26" s="70" customFormat="1" ht="11.5" x14ac:dyDescent="0.25">
      <c r="A449" s="112" t="s">
        <v>68</v>
      </c>
      <c r="B449" s="112" t="s">
        <v>14</v>
      </c>
      <c r="C449" s="112" t="s">
        <v>571</v>
      </c>
      <c r="D449" s="112" t="s">
        <v>572</v>
      </c>
      <c r="E449" s="113">
        <f t="shared" si="474"/>
        <v>0.7</v>
      </c>
      <c r="F449" s="113">
        <f t="shared" si="475"/>
        <v>0.7</v>
      </c>
      <c r="G449" s="119">
        <f t="shared" si="475"/>
        <v>0.7</v>
      </c>
      <c r="H449" s="119">
        <f t="shared" si="476"/>
        <v>0</v>
      </c>
      <c r="I449" s="120">
        <v>4.7E-2</v>
      </c>
      <c r="J449" s="115">
        <f t="shared" si="472"/>
        <v>46206</v>
      </c>
      <c r="K449" s="115">
        <f t="shared" si="453"/>
        <v>46206</v>
      </c>
      <c r="L449" s="115">
        <v>46130</v>
      </c>
      <c r="M449" s="116">
        <f t="shared" si="454"/>
        <v>46248</v>
      </c>
      <c r="N449" s="115">
        <f t="shared" si="455"/>
        <v>46248</v>
      </c>
      <c r="O449" s="115">
        <v>46225</v>
      </c>
      <c r="P449" s="116">
        <f t="shared" si="473"/>
        <v>46286</v>
      </c>
      <c r="Q449" s="115">
        <f t="shared" si="457"/>
        <v>46286</v>
      </c>
      <c r="R449" s="115"/>
      <c r="S449" s="115">
        <f t="shared" si="459"/>
        <v>46300</v>
      </c>
      <c r="T449" s="115">
        <f t="shared" si="458"/>
        <v>46300</v>
      </c>
      <c r="U449" s="115"/>
      <c r="W449" s="174" t="str">
        <f t="shared" ca="1" si="464"/>
        <v>Completed</v>
      </c>
      <c r="X449" s="174" t="str">
        <f t="shared" ca="1" si="465"/>
        <v>Completed</v>
      </c>
      <c r="Y449" s="174" t="str">
        <f t="shared" ca="1" si="466"/>
        <v/>
      </c>
      <c r="Z449" s="175" t="str">
        <f t="shared" ca="1" si="467"/>
        <v/>
      </c>
    </row>
    <row r="450" spans="1:26" s="70" customFormat="1" ht="11.5" x14ac:dyDescent="0.25">
      <c r="A450" s="112" t="s">
        <v>68</v>
      </c>
      <c r="B450" s="112" t="s">
        <v>14</v>
      </c>
      <c r="C450" s="112" t="s">
        <v>573</v>
      </c>
      <c r="D450" s="112" t="s">
        <v>574</v>
      </c>
      <c r="E450" s="113">
        <f t="shared" si="474"/>
        <v>0.7</v>
      </c>
      <c r="F450" s="113">
        <f t="shared" si="475"/>
        <v>0.7</v>
      </c>
      <c r="G450" s="119">
        <f t="shared" si="475"/>
        <v>0.7</v>
      </c>
      <c r="H450" s="119">
        <f t="shared" si="476"/>
        <v>0</v>
      </c>
      <c r="I450" s="120">
        <v>4.7E-2</v>
      </c>
      <c r="J450" s="115">
        <f t="shared" si="472"/>
        <v>46206</v>
      </c>
      <c r="K450" s="115">
        <f t="shared" si="453"/>
        <v>46206</v>
      </c>
      <c r="L450" s="115">
        <v>46130</v>
      </c>
      <c r="M450" s="116">
        <f t="shared" si="454"/>
        <v>46248</v>
      </c>
      <c r="N450" s="115">
        <f t="shared" si="455"/>
        <v>46248</v>
      </c>
      <c r="O450" s="115">
        <v>46225</v>
      </c>
      <c r="P450" s="116">
        <f t="shared" si="473"/>
        <v>46286</v>
      </c>
      <c r="Q450" s="115">
        <f t="shared" si="457"/>
        <v>46286</v>
      </c>
      <c r="R450" s="115"/>
      <c r="S450" s="115">
        <f t="shared" si="459"/>
        <v>46300</v>
      </c>
      <c r="T450" s="115">
        <f t="shared" si="458"/>
        <v>46300</v>
      </c>
      <c r="U450" s="115"/>
      <c r="W450" s="174" t="str">
        <f t="shared" ca="1" si="464"/>
        <v>Completed</v>
      </c>
      <c r="X450" s="174" t="str">
        <f t="shared" ca="1" si="465"/>
        <v>Completed</v>
      </c>
      <c r="Y450" s="174" t="str">
        <f t="shared" ca="1" si="466"/>
        <v/>
      </c>
      <c r="Z450" s="175" t="str">
        <f t="shared" ca="1" si="467"/>
        <v/>
      </c>
    </row>
    <row r="451" spans="1:26" s="70" customFormat="1" ht="11.5" x14ac:dyDescent="0.25">
      <c r="A451" s="112" t="s">
        <v>68</v>
      </c>
      <c r="B451" s="112" t="s">
        <v>14</v>
      </c>
      <c r="C451" s="112" t="s">
        <v>575</v>
      </c>
      <c r="D451" s="112" t="s">
        <v>576</v>
      </c>
      <c r="E451" s="113">
        <f t="shared" si="474"/>
        <v>0.7</v>
      </c>
      <c r="F451" s="113">
        <f t="shared" si="475"/>
        <v>0.7</v>
      </c>
      <c r="G451" s="119">
        <f t="shared" si="475"/>
        <v>0.7</v>
      </c>
      <c r="H451" s="119">
        <f t="shared" si="476"/>
        <v>0</v>
      </c>
      <c r="I451" s="120">
        <v>4.7E-2</v>
      </c>
      <c r="J451" s="115">
        <f t="shared" si="472"/>
        <v>46206</v>
      </c>
      <c r="K451" s="115">
        <f t="shared" si="453"/>
        <v>46206</v>
      </c>
      <c r="L451" s="115">
        <v>46130</v>
      </c>
      <c r="M451" s="116">
        <f t="shared" si="454"/>
        <v>46248</v>
      </c>
      <c r="N451" s="115">
        <f t="shared" si="455"/>
        <v>46248</v>
      </c>
      <c r="O451" s="115">
        <v>46225</v>
      </c>
      <c r="P451" s="116">
        <f t="shared" si="473"/>
        <v>46286</v>
      </c>
      <c r="Q451" s="115">
        <f t="shared" si="457"/>
        <v>46286</v>
      </c>
      <c r="R451" s="115"/>
      <c r="S451" s="115">
        <f t="shared" si="459"/>
        <v>46300</v>
      </c>
      <c r="T451" s="115">
        <f t="shared" si="458"/>
        <v>46300</v>
      </c>
      <c r="U451" s="115"/>
      <c r="W451" s="174" t="str">
        <f t="shared" ca="1" si="464"/>
        <v>Completed</v>
      </c>
      <c r="X451" s="174" t="str">
        <f t="shared" ca="1" si="465"/>
        <v>Completed</v>
      </c>
      <c r="Y451" s="174" t="str">
        <f t="shared" ca="1" si="466"/>
        <v/>
      </c>
      <c r="Z451" s="175" t="str">
        <f t="shared" ca="1" si="467"/>
        <v/>
      </c>
    </row>
    <row r="452" spans="1:26" s="70" customFormat="1" ht="11.5" x14ac:dyDescent="0.25">
      <c r="A452" s="112" t="s">
        <v>68</v>
      </c>
      <c r="B452" s="112" t="s">
        <v>14</v>
      </c>
      <c r="C452" s="112" t="s">
        <v>577</v>
      </c>
      <c r="D452" s="112" t="s">
        <v>578</v>
      </c>
      <c r="E452" s="113">
        <f t="shared" si="474"/>
        <v>0.7</v>
      </c>
      <c r="F452" s="113">
        <f t="shared" si="475"/>
        <v>0.7</v>
      </c>
      <c r="G452" s="119">
        <f t="shared" si="475"/>
        <v>0.7</v>
      </c>
      <c r="H452" s="119">
        <f t="shared" si="476"/>
        <v>0</v>
      </c>
      <c r="I452" s="120">
        <v>4.7E-2</v>
      </c>
      <c r="J452" s="115">
        <f t="shared" si="472"/>
        <v>46206</v>
      </c>
      <c r="K452" s="115">
        <f t="shared" si="453"/>
        <v>46206</v>
      </c>
      <c r="L452" s="115">
        <v>46130</v>
      </c>
      <c r="M452" s="116">
        <f t="shared" si="454"/>
        <v>46248</v>
      </c>
      <c r="N452" s="115">
        <f t="shared" si="455"/>
        <v>46248</v>
      </c>
      <c r="O452" s="115">
        <v>46225</v>
      </c>
      <c r="P452" s="116">
        <f t="shared" si="473"/>
        <v>46286</v>
      </c>
      <c r="Q452" s="115">
        <f t="shared" si="457"/>
        <v>46286</v>
      </c>
      <c r="R452" s="115"/>
      <c r="S452" s="115">
        <f t="shared" si="459"/>
        <v>46300</v>
      </c>
      <c r="T452" s="115">
        <f t="shared" si="458"/>
        <v>46300</v>
      </c>
      <c r="U452" s="115"/>
      <c r="W452" s="174" t="str">
        <f t="shared" ca="1" si="464"/>
        <v>Completed</v>
      </c>
      <c r="X452" s="174" t="str">
        <f t="shared" ca="1" si="465"/>
        <v>Completed</v>
      </c>
      <c r="Y452" s="174" t="str">
        <f t="shared" ca="1" si="466"/>
        <v/>
      </c>
      <c r="Z452" s="175" t="str">
        <f t="shared" ca="1" si="467"/>
        <v/>
      </c>
    </row>
    <row r="453" spans="1:26" s="70" customFormat="1" ht="11.5" x14ac:dyDescent="0.25">
      <c r="A453" s="112" t="s">
        <v>68</v>
      </c>
      <c r="B453" s="112" t="s">
        <v>14</v>
      </c>
      <c r="C453" s="112" t="s">
        <v>579</v>
      </c>
      <c r="D453" s="152" t="s">
        <v>1010</v>
      </c>
      <c r="E453" s="113">
        <f t="shared" si="474"/>
        <v>0.7</v>
      </c>
      <c r="F453" s="113">
        <f t="shared" si="475"/>
        <v>0.7</v>
      </c>
      <c r="G453" s="119">
        <f t="shared" si="475"/>
        <v>0.7</v>
      </c>
      <c r="H453" s="119">
        <f t="shared" si="476"/>
        <v>0</v>
      </c>
      <c r="I453" s="120">
        <v>4.7E-2</v>
      </c>
      <c r="J453" s="115">
        <f t="shared" si="472"/>
        <v>46206</v>
      </c>
      <c r="K453" s="115">
        <f t="shared" si="453"/>
        <v>46206</v>
      </c>
      <c r="L453" s="115">
        <v>46130</v>
      </c>
      <c r="M453" s="116">
        <f t="shared" si="454"/>
        <v>46248</v>
      </c>
      <c r="N453" s="115">
        <f t="shared" si="455"/>
        <v>46248</v>
      </c>
      <c r="O453" s="115">
        <v>46225</v>
      </c>
      <c r="P453" s="116">
        <f t="shared" si="473"/>
        <v>46286</v>
      </c>
      <c r="Q453" s="115">
        <f t="shared" si="457"/>
        <v>46286</v>
      </c>
      <c r="R453" s="115"/>
      <c r="S453" s="115">
        <f t="shared" si="459"/>
        <v>46300</v>
      </c>
      <c r="T453" s="115">
        <f t="shared" si="458"/>
        <v>46300</v>
      </c>
      <c r="U453" s="115"/>
      <c r="W453" s="174" t="str">
        <f t="shared" ca="1" si="464"/>
        <v>Completed</v>
      </c>
      <c r="X453" s="174" t="str">
        <f t="shared" ca="1" si="465"/>
        <v>Completed</v>
      </c>
      <c r="Y453" s="174" t="str">
        <f t="shared" ca="1" si="466"/>
        <v/>
      </c>
      <c r="Z453" s="175" t="str">
        <f t="shared" ca="1" si="467"/>
        <v/>
      </c>
    </row>
    <row r="454" spans="1:26" s="70" customFormat="1" ht="11.5" x14ac:dyDescent="0.25">
      <c r="A454" s="112" t="s">
        <v>68</v>
      </c>
      <c r="B454" s="112" t="s">
        <v>14</v>
      </c>
      <c r="C454" s="112" t="s">
        <v>580</v>
      </c>
      <c r="D454" s="112" t="s">
        <v>581</v>
      </c>
      <c r="E454" s="113">
        <f t="shared" si="474"/>
        <v>0.7</v>
      </c>
      <c r="F454" s="113">
        <f t="shared" si="475"/>
        <v>0.7</v>
      </c>
      <c r="G454" s="119">
        <f t="shared" si="475"/>
        <v>0.7</v>
      </c>
      <c r="H454" s="119">
        <f t="shared" si="476"/>
        <v>0</v>
      </c>
      <c r="I454" s="120">
        <v>4.7E-2</v>
      </c>
      <c r="J454" s="115">
        <f t="shared" si="472"/>
        <v>46206</v>
      </c>
      <c r="K454" s="115">
        <f t="shared" si="453"/>
        <v>46206</v>
      </c>
      <c r="L454" s="115">
        <v>46130</v>
      </c>
      <c r="M454" s="116">
        <f t="shared" si="454"/>
        <v>46248</v>
      </c>
      <c r="N454" s="115">
        <f t="shared" si="455"/>
        <v>46248</v>
      </c>
      <c r="O454" s="115">
        <v>46225</v>
      </c>
      <c r="P454" s="116">
        <f t="shared" si="473"/>
        <v>46286</v>
      </c>
      <c r="Q454" s="115">
        <f t="shared" si="457"/>
        <v>46286</v>
      </c>
      <c r="R454" s="116"/>
      <c r="S454" s="115">
        <f t="shared" si="459"/>
        <v>46300</v>
      </c>
      <c r="T454" s="115">
        <f t="shared" si="458"/>
        <v>46300</v>
      </c>
      <c r="U454" s="116"/>
      <c r="W454" s="174" t="str">
        <f t="shared" ca="1" si="464"/>
        <v>Completed</v>
      </c>
      <c r="X454" s="174" t="str">
        <f t="shared" ca="1" si="465"/>
        <v>Completed</v>
      </c>
      <c r="Y454" s="174" t="str">
        <f t="shared" ca="1" si="466"/>
        <v/>
      </c>
      <c r="Z454" s="175" t="str">
        <f t="shared" ca="1" si="467"/>
        <v/>
      </c>
    </row>
    <row r="455" spans="1:26" s="70" customFormat="1" ht="11.5" x14ac:dyDescent="0.25">
      <c r="A455" s="112" t="s">
        <v>68</v>
      </c>
      <c r="B455" s="112" t="s">
        <v>14</v>
      </c>
      <c r="C455" s="112" t="s">
        <v>582</v>
      </c>
      <c r="D455" s="112" t="s">
        <v>583</v>
      </c>
      <c r="E455" s="113">
        <f t="shared" si="474"/>
        <v>0.7</v>
      </c>
      <c r="F455" s="113">
        <f t="shared" si="475"/>
        <v>0.7</v>
      </c>
      <c r="G455" s="119">
        <f t="shared" si="475"/>
        <v>0.7</v>
      </c>
      <c r="H455" s="119">
        <f t="shared" si="476"/>
        <v>0</v>
      </c>
      <c r="I455" s="120">
        <v>4.7E-2</v>
      </c>
      <c r="J455" s="115">
        <f t="shared" si="472"/>
        <v>46206</v>
      </c>
      <c r="K455" s="115">
        <f t="shared" si="453"/>
        <v>46206</v>
      </c>
      <c r="L455" s="115">
        <v>46150</v>
      </c>
      <c r="M455" s="116">
        <f t="shared" si="454"/>
        <v>46248</v>
      </c>
      <c r="N455" s="115">
        <f t="shared" si="455"/>
        <v>46248</v>
      </c>
      <c r="O455" s="115">
        <v>46205</v>
      </c>
      <c r="P455" s="116">
        <f t="shared" si="473"/>
        <v>46286</v>
      </c>
      <c r="Q455" s="115">
        <f t="shared" si="457"/>
        <v>46286</v>
      </c>
      <c r="R455" s="116"/>
      <c r="S455" s="115">
        <f t="shared" si="459"/>
        <v>46300</v>
      </c>
      <c r="T455" s="115">
        <f t="shared" si="458"/>
        <v>46300</v>
      </c>
      <c r="U455" s="116"/>
      <c r="W455" s="174" t="str">
        <f t="shared" ca="1" si="464"/>
        <v>Completed</v>
      </c>
      <c r="X455" s="174" t="str">
        <f t="shared" ca="1" si="465"/>
        <v>Completed</v>
      </c>
      <c r="Y455" s="174" t="str">
        <f t="shared" ca="1" si="466"/>
        <v/>
      </c>
      <c r="Z455" s="175" t="str">
        <f t="shared" ca="1" si="467"/>
        <v/>
      </c>
    </row>
    <row r="456" spans="1:26" s="70" customFormat="1" ht="11.5" x14ac:dyDescent="0.25">
      <c r="A456" s="112" t="s">
        <v>68</v>
      </c>
      <c r="B456" s="112" t="s">
        <v>14</v>
      </c>
      <c r="C456" s="112" t="s">
        <v>584</v>
      </c>
      <c r="D456" s="112" t="s">
        <v>585</v>
      </c>
      <c r="E456" s="113">
        <f t="shared" si="474"/>
        <v>0.7</v>
      </c>
      <c r="F456" s="113">
        <f t="shared" si="475"/>
        <v>0.7</v>
      </c>
      <c r="G456" s="119">
        <f t="shared" si="475"/>
        <v>0.7</v>
      </c>
      <c r="H456" s="119">
        <f t="shared" si="476"/>
        <v>0</v>
      </c>
      <c r="I456" s="120">
        <v>4.7E-2</v>
      </c>
      <c r="J456" s="115">
        <f t="shared" si="472"/>
        <v>46206</v>
      </c>
      <c r="K456" s="115">
        <f t="shared" si="453"/>
        <v>46206</v>
      </c>
      <c r="L456" s="115">
        <v>46150</v>
      </c>
      <c r="M456" s="116">
        <f t="shared" si="454"/>
        <v>46248</v>
      </c>
      <c r="N456" s="115">
        <f t="shared" si="455"/>
        <v>46248</v>
      </c>
      <c r="O456" s="115">
        <v>46205</v>
      </c>
      <c r="P456" s="116">
        <f t="shared" si="473"/>
        <v>46286</v>
      </c>
      <c r="Q456" s="115">
        <f t="shared" si="457"/>
        <v>46286</v>
      </c>
      <c r="R456" s="116"/>
      <c r="S456" s="115">
        <f t="shared" si="459"/>
        <v>46300</v>
      </c>
      <c r="T456" s="115">
        <f t="shared" si="458"/>
        <v>46300</v>
      </c>
      <c r="U456" s="116"/>
      <c r="W456" s="174" t="str">
        <f t="shared" ca="1" si="464"/>
        <v>Completed</v>
      </c>
      <c r="X456" s="174" t="str">
        <f t="shared" ca="1" si="465"/>
        <v>Completed</v>
      </c>
      <c r="Y456" s="174" t="str">
        <f t="shared" ca="1" si="466"/>
        <v/>
      </c>
      <c r="Z456" s="175" t="str">
        <f t="shared" ca="1" si="467"/>
        <v/>
      </c>
    </row>
    <row r="457" spans="1:26" s="70" customFormat="1" ht="11.5" x14ac:dyDescent="0.25">
      <c r="A457" s="112" t="s">
        <v>68</v>
      </c>
      <c r="B457" s="112" t="s">
        <v>14</v>
      </c>
      <c r="C457" s="112" t="s">
        <v>586</v>
      </c>
      <c r="D457" s="112" t="s">
        <v>587</v>
      </c>
      <c r="E457" s="113">
        <f t="shared" si="474"/>
        <v>0.7</v>
      </c>
      <c r="F457" s="113">
        <f t="shared" si="475"/>
        <v>0.7</v>
      </c>
      <c r="G457" s="119">
        <f t="shared" si="475"/>
        <v>0.79999999999999993</v>
      </c>
      <c r="H457" s="119">
        <f t="shared" si="476"/>
        <v>9.9999999999999978E-2</v>
      </c>
      <c r="I457" s="120">
        <v>4.7E-2</v>
      </c>
      <c r="J457" s="115">
        <f t="shared" si="472"/>
        <v>46206</v>
      </c>
      <c r="K457" s="115">
        <f t="shared" si="453"/>
        <v>46206</v>
      </c>
      <c r="L457" s="115">
        <v>46150</v>
      </c>
      <c r="M457" s="116">
        <f t="shared" si="454"/>
        <v>46248</v>
      </c>
      <c r="N457" s="115">
        <f t="shared" si="455"/>
        <v>46248</v>
      </c>
      <c r="O457" s="115">
        <v>46205</v>
      </c>
      <c r="P457" s="116">
        <f t="shared" si="473"/>
        <v>46286</v>
      </c>
      <c r="Q457" s="115">
        <f t="shared" si="457"/>
        <v>46286</v>
      </c>
      <c r="R457" s="193">
        <v>46248</v>
      </c>
      <c r="S457" s="115">
        <f t="shared" si="459"/>
        <v>46300</v>
      </c>
      <c r="T457" s="115">
        <f t="shared" si="458"/>
        <v>46300</v>
      </c>
      <c r="U457" s="115"/>
      <c r="W457" s="174" t="str">
        <f t="shared" ca="1" si="464"/>
        <v>Completed</v>
      </c>
      <c r="X457" s="174" t="str">
        <f t="shared" ca="1" si="465"/>
        <v>Completed</v>
      </c>
      <c r="Y457" s="174" t="str">
        <f t="shared" ca="1" si="466"/>
        <v>Completed</v>
      </c>
      <c r="Z457" s="175" t="str">
        <f t="shared" ca="1" si="467"/>
        <v/>
      </c>
    </row>
    <row r="458" spans="1:26" s="70" customFormat="1" ht="11.5" x14ac:dyDescent="0.25">
      <c r="A458" s="112" t="s">
        <v>68</v>
      </c>
      <c r="B458" s="112" t="s">
        <v>14</v>
      </c>
      <c r="C458" s="112" t="s">
        <v>588</v>
      </c>
      <c r="D458" s="112" t="s">
        <v>589</v>
      </c>
      <c r="E458" s="113">
        <f t="shared" si="474"/>
        <v>0.7</v>
      </c>
      <c r="F458" s="113">
        <f t="shared" si="475"/>
        <v>0.7</v>
      </c>
      <c r="G458" s="119">
        <f t="shared" si="475"/>
        <v>0.5</v>
      </c>
      <c r="H458" s="119">
        <f t="shared" si="476"/>
        <v>-0.19999999999999996</v>
      </c>
      <c r="I458" s="120">
        <v>4.7E-2</v>
      </c>
      <c r="J458" s="115">
        <f t="shared" si="472"/>
        <v>46206</v>
      </c>
      <c r="K458" s="115">
        <f t="shared" si="453"/>
        <v>46206</v>
      </c>
      <c r="L458" s="144">
        <v>46157</v>
      </c>
      <c r="M458" s="116">
        <f t="shared" si="454"/>
        <v>46248</v>
      </c>
      <c r="N458" s="115">
        <f t="shared" si="455"/>
        <v>46248</v>
      </c>
      <c r="O458" s="115"/>
      <c r="P458" s="116">
        <f t="shared" si="473"/>
        <v>46286</v>
      </c>
      <c r="Q458" s="115">
        <f t="shared" si="457"/>
        <v>46286</v>
      </c>
      <c r="R458" s="115"/>
      <c r="S458" s="115">
        <f t="shared" si="459"/>
        <v>46300</v>
      </c>
      <c r="T458" s="115">
        <f t="shared" si="458"/>
        <v>46300</v>
      </c>
      <c r="U458" s="115"/>
      <c r="W458" s="174" t="str">
        <f t="shared" ca="1" si="464"/>
        <v>Completed</v>
      </c>
      <c r="X458" s="174" t="str">
        <f t="shared" ca="1" si="465"/>
        <v>Overdue</v>
      </c>
      <c r="Y458" s="174" t="str">
        <f t="shared" ca="1" si="466"/>
        <v/>
      </c>
      <c r="Z458" s="175" t="str">
        <f t="shared" ca="1" si="467"/>
        <v/>
      </c>
    </row>
    <row r="459" spans="1:26" s="70" customFormat="1" ht="11.5" x14ac:dyDescent="0.25">
      <c r="A459" s="112" t="s">
        <v>68</v>
      </c>
      <c r="B459" s="112" t="s">
        <v>14</v>
      </c>
      <c r="C459" s="112" t="s">
        <v>590</v>
      </c>
      <c r="D459" s="112" t="s">
        <v>591</v>
      </c>
      <c r="E459" s="113">
        <f t="shared" si="474"/>
        <v>0.7</v>
      </c>
      <c r="F459" s="113">
        <f t="shared" si="475"/>
        <v>0.7</v>
      </c>
      <c r="G459" s="119">
        <f t="shared" si="475"/>
        <v>0.5</v>
      </c>
      <c r="H459" s="119">
        <f t="shared" si="476"/>
        <v>-0.19999999999999996</v>
      </c>
      <c r="I459" s="120">
        <v>4.7E-2</v>
      </c>
      <c r="J459" s="115">
        <f t="shared" si="472"/>
        <v>46206</v>
      </c>
      <c r="K459" s="115">
        <f t="shared" si="453"/>
        <v>46206</v>
      </c>
      <c r="L459" s="144">
        <v>46157</v>
      </c>
      <c r="M459" s="116">
        <f t="shared" si="454"/>
        <v>46248</v>
      </c>
      <c r="N459" s="115">
        <f t="shared" si="455"/>
        <v>46248</v>
      </c>
      <c r="O459" s="115"/>
      <c r="P459" s="116">
        <f t="shared" si="473"/>
        <v>46286</v>
      </c>
      <c r="Q459" s="115">
        <f t="shared" si="457"/>
        <v>46286</v>
      </c>
      <c r="R459" s="115"/>
      <c r="S459" s="115">
        <f t="shared" si="459"/>
        <v>46300</v>
      </c>
      <c r="T459" s="115">
        <f t="shared" si="458"/>
        <v>46300</v>
      </c>
      <c r="U459" s="115"/>
      <c r="W459" s="174" t="str">
        <f t="shared" ca="1" si="464"/>
        <v>Completed</v>
      </c>
      <c r="X459" s="174" t="str">
        <f t="shared" ca="1" si="465"/>
        <v>Overdue</v>
      </c>
      <c r="Y459" s="174" t="str">
        <f t="shared" ca="1" si="466"/>
        <v/>
      </c>
      <c r="Z459" s="175" t="str">
        <f t="shared" ca="1" si="467"/>
        <v/>
      </c>
    </row>
    <row r="460" spans="1:26" s="70" customFormat="1" ht="11.5" x14ac:dyDescent="0.25">
      <c r="A460" s="112" t="s">
        <v>68</v>
      </c>
      <c r="B460" s="112" t="s">
        <v>14</v>
      </c>
      <c r="C460" s="112" t="s">
        <v>592</v>
      </c>
      <c r="D460" s="112" t="s">
        <v>593</v>
      </c>
      <c r="E460" s="113">
        <f t="shared" si="474"/>
        <v>0.7</v>
      </c>
      <c r="F460" s="113">
        <f t="shared" si="475"/>
        <v>0.7</v>
      </c>
      <c r="G460" s="119">
        <f t="shared" si="475"/>
        <v>0.5</v>
      </c>
      <c r="H460" s="119">
        <f t="shared" si="476"/>
        <v>-0.19999999999999996</v>
      </c>
      <c r="I460" s="120">
        <v>4.7E-2</v>
      </c>
      <c r="J460" s="115">
        <f t="shared" si="472"/>
        <v>46206</v>
      </c>
      <c r="K460" s="115">
        <f t="shared" si="453"/>
        <v>46206</v>
      </c>
      <c r="L460" s="144">
        <v>46157</v>
      </c>
      <c r="M460" s="116">
        <f t="shared" si="454"/>
        <v>46248</v>
      </c>
      <c r="N460" s="115">
        <f t="shared" si="455"/>
        <v>46248</v>
      </c>
      <c r="O460" s="115"/>
      <c r="P460" s="116">
        <f t="shared" si="473"/>
        <v>46286</v>
      </c>
      <c r="Q460" s="115">
        <f t="shared" si="457"/>
        <v>46286</v>
      </c>
      <c r="R460" s="115"/>
      <c r="S460" s="115">
        <f t="shared" si="459"/>
        <v>46300</v>
      </c>
      <c r="T460" s="115">
        <f t="shared" si="458"/>
        <v>46300</v>
      </c>
      <c r="U460" s="115"/>
      <c r="W460" s="174" t="str">
        <f t="shared" ca="1" si="464"/>
        <v>Completed</v>
      </c>
      <c r="X460" s="174" t="str">
        <f t="shared" ca="1" si="465"/>
        <v>Overdue</v>
      </c>
      <c r="Y460" s="174" t="str">
        <f t="shared" ca="1" si="466"/>
        <v/>
      </c>
      <c r="Z460" s="175" t="str">
        <f t="shared" ca="1" si="467"/>
        <v/>
      </c>
    </row>
    <row r="461" spans="1:26" s="70" customFormat="1" ht="11.5" x14ac:dyDescent="0.25">
      <c r="A461" s="112" t="s">
        <v>68</v>
      </c>
      <c r="B461" s="112" t="s">
        <v>14</v>
      </c>
      <c r="C461" s="112" t="s">
        <v>594</v>
      </c>
      <c r="D461" s="112" t="s">
        <v>595</v>
      </c>
      <c r="E461" s="113">
        <f t="shared" si="474"/>
        <v>0.7</v>
      </c>
      <c r="F461" s="113">
        <f t="shared" si="475"/>
        <v>0.7</v>
      </c>
      <c r="G461" s="119">
        <f t="shared" si="475"/>
        <v>0.7</v>
      </c>
      <c r="H461" s="119">
        <f t="shared" si="476"/>
        <v>0</v>
      </c>
      <c r="I461" s="120">
        <v>4.7E-2</v>
      </c>
      <c r="J461" s="115">
        <f t="shared" ref="J461:J492" si="477">J346+28</f>
        <v>46206</v>
      </c>
      <c r="K461" s="115">
        <f t="shared" si="453"/>
        <v>46206</v>
      </c>
      <c r="L461" s="144">
        <v>46157</v>
      </c>
      <c r="M461" s="116">
        <f t="shared" si="454"/>
        <v>46248</v>
      </c>
      <c r="N461" s="115">
        <f t="shared" si="455"/>
        <v>46248</v>
      </c>
      <c r="O461" s="115">
        <v>46205</v>
      </c>
      <c r="P461" s="116">
        <f t="shared" si="473"/>
        <v>46286</v>
      </c>
      <c r="Q461" s="115">
        <f t="shared" si="457"/>
        <v>46286</v>
      </c>
      <c r="R461" s="115"/>
      <c r="S461" s="115">
        <f t="shared" si="459"/>
        <v>46300</v>
      </c>
      <c r="T461" s="115">
        <f t="shared" si="458"/>
        <v>46300</v>
      </c>
      <c r="U461" s="115"/>
      <c r="W461" s="174" t="str">
        <f t="shared" ca="1" si="464"/>
        <v>Completed</v>
      </c>
      <c r="X461" s="174" t="str">
        <f t="shared" ca="1" si="465"/>
        <v>Completed</v>
      </c>
      <c r="Y461" s="174" t="str">
        <f t="shared" ca="1" si="466"/>
        <v/>
      </c>
      <c r="Z461" s="175" t="str">
        <f t="shared" ca="1" si="467"/>
        <v/>
      </c>
    </row>
    <row r="462" spans="1:26" s="70" customFormat="1" ht="11.5" x14ac:dyDescent="0.25">
      <c r="A462" s="112" t="s">
        <v>68</v>
      </c>
      <c r="B462" s="112" t="s">
        <v>14</v>
      </c>
      <c r="C462" s="112" t="s">
        <v>596</v>
      </c>
      <c r="D462" s="112" t="s">
        <v>597</v>
      </c>
      <c r="E462" s="113">
        <f t="shared" si="474"/>
        <v>0.5</v>
      </c>
      <c r="F462" s="113">
        <f t="shared" si="475"/>
        <v>0.5</v>
      </c>
      <c r="G462" s="119">
        <f t="shared" si="475"/>
        <v>0.5</v>
      </c>
      <c r="H462" s="119">
        <f t="shared" si="476"/>
        <v>0</v>
      </c>
      <c r="I462" s="120">
        <v>4.7E-2</v>
      </c>
      <c r="J462" s="115">
        <f t="shared" si="477"/>
        <v>46227</v>
      </c>
      <c r="K462" s="115">
        <f t="shared" ref="K462:K536" si="478">J462</f>
        <v>46227</v>
      </c>
      <c r="L462" s="115">
        <v>46156</v>
      </c>
      <c r="M462" s="116">
        <f t="shared" ref="M462:M536" si="479">J462+42</f>
        <v>46269</v>
      </c>
      <c r="N462" s="115">
        <f t="shared" ref="N462:N536" si="480">M462</f>
        <v>46269</v>
      </c>
      <c r="O462" s="115"/>
      <c r="P462" s="115">
        <f t="shared" ref="P462:P536" si="481">M462+42</f>
        <v>46311</v>
      </c>
      <c r="Q462" s="115">
        <f t="shared" ref="Q462:Q536" si="482">P462</f>
        <v>46311</v>
      </c>
      <c r="R462" s="115"/>
      <c r="S462" s="115">
        <f t="shared" si="459"/>
        <v>46325</v>
      </c>
      <c r="T462" s="115">
        <f t="shared" ref="T462:T536" si="483">S462</f>
        <v>46325</v>
      </c>
      <c r="U462" s="115"/>
      <c r="W462" s="174" t="str">
        <f t="shared" ca="1" si="464"/>
        <v>Completed</v>
      </c>
      <c r="X462" s="174" t="str">
        <f t="shared" ca="1" si="465"/>
        <v/>
      </c>
      <c r="Y462" s="174" t="str">
        <f t="shared" ca="1" si="466"/>
        <v/>
      </c>
      <c r="Z462" s="175" t="str">
        <f t="shared" ca="1" si="467"/>
        <v/>
      </c>
    </row>
    <row r="463" spans="1:26" s="70" customFormat="1" ht="11.5" x14ac:dyDescent="0.25">
      <c r="A463" s="112" t="s">
        <v>68</v>
      </c>
      <c r="B463" s="112" t="s">
        <v>14</v>
      </c>
      <c r="C463" s="112" t="s">
        <v>598</v>
      </c>
      <c r="D463" s="112" t="s">
        <v>599</v>
      </c>
      <c r="E463" s="113">
        <f t="shared" si="474"/>
        <v>0.5</v>
      </c>
      <c r="F463" s="113">
        <f t="shared" si="475"/>
        <v>0.5</v>
      </c>
      <c r="G463" s="119">
        <f t="shared" si="475"/>
        <v>0.5</v>
      </c>
      <c r="H463" s="119">
        <f t="shared" si="476"/>
        <v>0</v>
      </c>
      <c r="I463" s="120">
        <v>4.7E-2</v>
      </c>
      <c r="J463" s="115">
        <f t="shared" si="477"/>
        <v>46227</v>
      </c>
      <c r="K463" s="115">
        <f t="shared" si="478"/>
        <v>46227</v>
      </c>
      <c r="L463" s="115">
        <v>46156</v>
      </c>
      <c r="M463" s="116">
        <f t="shared" si="479"/>
        <v>46269</v>
      </c>
      <c r="N463" s="115">
        <f t="shared" si="480"/>
        <v>46269</v>
      </c>
      <c r="O463" s="115"/>
      <c r="P463" s="115">
        <f t="shared" si="481"/>
        <v>46311</v>
      </c>
      <c r="Q463" s="115">
        <f t="shared" si="482"/>
        <v>46311</v>
      </c>
      <c r="R463" s="115"/>
      <c r="S463" s="115">
        <f t="shared" ref="S463:S537" si="484">P463+14</f>
        <v>46325</v>
      </c>
      <c r="T463" s="115">
        <f t="shared" si="483"/>
        <v>46325</v>
      </c>
      <c r="U463" s="115"/>
      <c r="W463" s="174" t="str">
        <f t="shared" ca="1" si="464"/>
        <v>Completed</v>
      </c>
      <c r="X463" s="174" t="str">
        <f t="shared" ca="1" si="465"/>
        <v/>
      </c>
      <c r="Y463" s="174" t="str">
        <f t="shared" ca="1" si="466"/>
        <v/>
      </c>
      <c r="Z463" s="175" t="str">
        <f t="shared" ca="1" si="467"/>
        <v/>
      </c>
    </row>
    <row r="464" spans="1:26" s="70" customFormat="1" ht="11.5" x14ac:dyDescent="0.25">
      <c r="A464" s="112" t="s">
        <v>68</v>
      </c>
      <c r="B464" s="112" t="s">
        <v>14</v>
      </c>
      <c r="C464" s="112" t="s">
        <v>600</v>
      </c>
      <c r="D464" s="112" t="s">
        <v>601</v>
      </c>
      <c r="E464" s="113">
        <f t="shared" si="474"/>
        <v>0.5</v>
      </c>
      <c r="F464" s="113">
        <f t="shared" si="475"/>
        <v>0.5</v>
      </c>
      <c r="G464" s="119">
        <f t="shared" si="475"/>
        <v>0.7</v>
      </c>
      <c r="H464" s="119">
        <f t="shared" si="476"/>
        <v>0.19999999999999996</v>
      </c>
      <c r="I464" s="120">
        <v>4.7E-2</v>
      </c>
      <c r="J464" s="115">
        <f t="shared" si="477"/>
        <v>46227</v>
      </c>
      <c r="K464" s="115">
        <f t="shared" si="478"/>
        <v>46227</v>
      </c>
      <c r="L464" s="115">
        <v>46156</v>
      </c>
      <c r="M464" s="116">
        <f t="shared" si="479"/>
        <v>46269</v>
      </c>
      <c r="N464" s="115">
        <f t="shared" si="480"/>
        <v>46269</v>
      </c>
      <c r="O464" s="115">
        <v>46191</v>
      </c>
      <c r="P464" s="115">
        <f t="shared" si="481"/>
        <v>46311</v>
      </c>
      <c r="Q464" s="115">
        <f t="shared" si="482"/>
        <v>46311</v>
      </c>
      <c r="R464" s="115"/>
      <c r="S464" s="115">
        <f t="shared" si="484"/>
        <v>46325</v>
      </c>
      <c r="T464" s="115">
        <f t="shared" si="483"/>
        <v>46325</v>
      </c>
      <c r="U464" s="115"/>
      <c r="W464" s="174" t="str">
        <f t="shared" ca="1" si="464"/>
        <v>Completed</v>
      </c>
      <c r="X464" s="174" t="str">
        <f t="shared" ca="1" si="465"/>
        <v>Completed</v>
      </c>
      <c r="Y464" s="174" t="str">
        <f t="shared" ca="1" si="466"/>
        <v/>
      </c>
      <c r="Z464" s="175" t="str">
        <f t="shared" ca="1" si="467"/>
        <v/>
      </c>
    </row>
    <row r="465" spans="1:26" s="70" customFormat="1" ht="11.5" x14ac:dyDescent="0.25">
      <c r="A465" s="112" t="s">
        <v>68</v>
      </c>
      <c r="B465" s="112" t="s">
        <v>14</v>
      </c>
      <c r="C465" s="112" t="s">
        <v>602</v>
      </c>
      <c r="D465" s="112" t="s">
        <v>603</v>
      </c>
      <c r="E465" s="113">
        <f t="shared" si="474"/>
        <v>0.5</v>
      </c>
      <c r="F465" s="113">
        <f t="shared" si="475"/>
        <v>0.5</v>
      </c>
      <c r="G465" s="119">
        <f t="shared" si="475"/>
        <v>0.5</v>
      </c>
      <c r="H465" s="119">
        <f t="shared" si="476"/>
        <v>0</v>
      </c>
      <c r="I465" s="120">
        <v>4.7E-2</v>
      </c>
      <c r="J465" s="115">
        <f t="shared" si="477"/>
        <v>46220</v>
      </c>
      <c r="K465" s="115">
        <f t="shared" si="478"/>
        <v>46220</v>
      </c>
      <c r="L465" s="115">
        <v>46178</v>
      </c>
      <c r="M465" s="116">
        <f t="shared" si="479"/>
        <v>46262</v>
      </c>
      <c r="N465" s="115">
        <f t="shared" si="480"/>
        <v>46262</v>
      </c>
      <c r="O465" s="115"/>
      <c r="P465" s="115">
        <f t="shared" si="481"/>
        <v>46304</v>
      </c>
      <c r="Q465" s="115">
        <f t="shared" si="482"/>
        <v>46304</v>
      </c>
      <c r="R465" s="115"/>
      <c r="S465" s="115">
        <f t="shared" si="484"/>
        <v>46318</v>
      </c>
      <c r="T465" s="115">
        <f t="shared" si="483"/>
        <v>46318</v>
      </c>
      <c r="U465" s="115"/>
      <c r="W465" s="174" t="str">
        <f t="shared" ca="1" si="464"/>
        <v>Completed</v>
      </c>
      <c r="X465" s="174" t="str">
        <f t="shared" ca="1" si="465"/>
        <v/>
      </c>
      <c r="Y465" s="174" t="str">
        <f t="shared" ca="1" si="466"/>
        <v/>
      </c>
      <c r="Z465" s="175" t="str">
        <f t="shared" ca="1" si="467"/>
        <v/>
      </c>
    </row>
    <row r="466" spans="1:26" s="70" customFormat="1" ht="11.5" x14ac:dyDescent="0.25">
      <c r="A466" s="112" t="s">
        <v>68</v>
      </c>
      <c r="B466" s="112" t="s">
        <v>14</v>
      </c>
      <c r="C466" s="112" t="s">
        <v>604</v>
      </c>
      <c r="D466" s="112" t="s">
        <v>605</v>
      </c>
      <c r="E466" s="113">
        <f t="shared" si="474"/>
        <v>0.5</v>
      </c>
      <c r="F466" s="113">
        <f t="shared" si="475"/>
        <v>0.5</v>
      </c>
      <c r="G466" s="113">
        <f t="shared" si="475"/>
        <v>0</v>
      </c>
      <c r="H466" s="113">
        <f t="shared" si="476"/>
        <v>-0.5</v>
      </c>
      <c r="I466" s="114">
        <v>4.7E-2</v>
      </c>
      <c r="J466" s="117">
        <f t="shared" si="477"/>
        <v>46227</v>
      </c>
      <c r="K466" s="117">
        <f t="shared" si="478"/>
        <v>46227</v>
      </c>
      <c r="L466" s="115"/>
      <c r="M466" s="116">
        <f t="shared" si="479"/>
        <v>46269</v>
      </c>
      <c r="N466" s="117">
        <f t="shared" si="480"/>
        <v>46269</v>
      </c>
      <c r="O466" s="115"/>
      <c r="P466" s="115">
        <f t="shared" si="481"/>
        <v>46311</v>
      </c>
      <c r="Q466" s="117">
        <f t="shared" si="482"/>
        <v>46311</v>
      </c>
      <c r="R466" s="115"/>
      <c r="S466" s="115">
        <f t="shared" si="484"/>
        <v>46325</v>
      </c>
      <c r="T466" s="117">
        <f t="shared" si="483"/>
        <v>46325</v>
      </c>
      <c r="U466" s="115"/>
      <c r="W466" s="174" t="str">
        <f t="shared" ca="1" si="464"/>
        <v>Overdue</v>
      </c>
      <c r="X466" s="174" t="str">
        <f t="shared" ca="1" si="465"/>
        <v/>
      </c>
      <c r="Y466" s="174" t="str">
        <f t="shared" ca="1" si="466"/>
        <v/>
      </c>
      <c r="Z466" s="175" t="str">
        <f t="shared" ca="1" si="467"/>
        <v/>
      </c>
    </row>
    <row r="467" spans="1:26" s="70" customFormat="1" ht="11.5" x14ac:dyDescent="0.25">
      <c r="A467" s="112" t="s">
        <v>68</v>
      </c>
      <c r="B467" s="112" t="s">
        <v>14</v>
      </c>
      <c r="C467" s="112" t="s">
        <v>606</v>
      </c>
      <c r="D467" s="112" t="s">
        <v>607</v>
      </c>
      <c r="E467" s="113">
        <f t="shared" si="474"/>
        <v>0.5</v>
      </c>
      <c r="F467" s="113">
        <f t="shared" si="475"/>
        <v>0.5</v>
      </c>
      <c r="G467" s="113">
        <f t="shared" si="475"/>
        <v>0.5</v>
      </c>
      <c r="H467" s="113">
        <f t="shared" si="476"/>
        <v>0</v>
      </c>
      <c r="I467" s="114">
        <v>4.7E-2</v>
      </c>
      <c r="J467" s="117">
        <f t="shared" si="477"/>
        <v>46220</v>
      </c>
      <c r="K467" s="117">
        <f t="shared" si="478"/>
        <v>46220</v>
      </c>
      <c r="L467" s="115">
        <v>46205</v>
      </c>
      <c r="M467" s="116">
        <f t="shared" si="479"/>
        <v>46262</v>
      </c>
      <c r="N467" s="117">
        <f t="shared" si="480"/>
        <v>46262</v>
      </c>
      <c r="O467" s="115"/>
      <c r="P467" s="115">
        <f t="shared" si="481"/>
        <v>46304</v>
      </c>
      <c r="Q467" s="117">
        <f t="shared" si="482"/>
        <v>46304</v>
      </c>
      <c r="R467" s="115"/>
      <c r="S467" s="115">
        <f t="shared" si="484"/>
        <v>46318</v>
      </c>
      <c r="T467" s="117">
        <f t="shared" si="483"/>
        <v>46318</v>
      </c>
      <c r="U467" s="115"/>
      <c r="W467" s="174" t="str">
        <f t="shared" ref="W467:W530" ca="1" si="485">IF(OR(L467&lt;&gt;""),"Completed",
IF(K467="","",IF(K467&lt;TODAY(),"Overdue",
IF(AND(K467&gt;=TODAY()-WEEKDAY(TODAY(),2)+1,K467&lt;=TODAY()-WEEKDAY(TODAY(),2)+7),"Follow-This Week",
IF(AND(K467&gt;=TODAY()-WEEKDAY(TODAY(),2)+8,K467&lt;=TODAY()-WEEKDAY(TODAY(),2)+14),"Follow-Next Week","")))))</f>
        <v>Completed</v>
      </c>
      <c r="X467" s="174" t="str">
        <f t="shared" ref="X467:X530" ca="1" si="486">IF(OR(O467&lt;&gt;""),"Completed",IF(N467="","",
IF(N467&lt;TODAY(),"Overdue",
IF(AND(N467&gt;=TODAY()-WEEKDAY(TODAY(),2)+1,N467&lt;=TODAY()-WEEKDAY(TODAY(),2)+7),"Follow-This Week",
IF(AND(N467&gt;=TODAY()-WEEKDAY(TODAY(),2)+8,N467&lt;=TODAY()-WEEKDAY(TODAY(),2)+14),"Follow-Next Week","")))))</f>
        <v/>
      </c>
      <c r="Y467" s="174" t="str">
        <f t="shared" ref="Y467:Y530" ca="1" si="487">IF(OR(R467&lt;&gt;""),"Completed",IF(Q467="","",
IF(Q467&lt;TODAY(),"Overdue",
IF(AND(Q467&gt;=TODAY()-WEEKDAY(TODAY(),2)+1,Q467&lt;=TODAY()-WEEKDAY(TODAY(),2)+7),"Follow-This Week",
IF(AND(Q467&gt;=TODAY()-WEEKDAY(TODAY(),2)+8,Q467&lt;=TODAY()-WEEKDAY(TODAY(),2)+14),"Follow-Next Week","")))))</f>
        <v/>
      </c>
      <c r="Z467" s="175" t="str">
        <f t="shared" ref="Z467:Z530" ca="1" si="488">IF(OR(U467&lt;&gt;""),"Completed",IF(T467="","",
IF(T467&lt;TODAY(),"Overdue",
IF(AND(T467&gt;=TODAY()-WEEKDAY(TODAY(),2)+1,T467&lt;=TODAY()-WEEKDAY(TODAY(),2)+7),"Follow-This Week",
IF(AND(T467&gt;=TODAY()-WEEKDAY(TODAY(),2)+8,T467&lt;=TODAY()-WEEKDAY(TODAY(),2)+14),"Follow-Next Week","")))))</f>
        <v/>
      </c>
    </row>
    <row r="468" spans="1:26" s="70" customFormat="1" ht="11.5" x14ac:dyDescent="0.25">
      <c r="A468" s="112" t="s">
        <v>68</v>
      </c>
      <c r="B468" s="112" t="s">
        <v>14</v>
      </c>
      <c r="C468" s="112" t="s">
        <v>608</v>
      </c>
      <c r="D468" s="112" t="s">
        <v>609</v>
      </c>
      <c r="E468" s="113">
        <f t="shared" si="474"/>
        <v>0.5</v>
      </c>
      <c r="F468" s="113">
        <f t="shared" si="475"/>
        <v>0.5</v>
      </c>
      <c r="G468" s="113">
        <f t="shared" si="475"/>
        <v>0.5</v>
      </c>
      <c r="H468" s="113">
        <f t="shared" si="476"/>
        <v>0</v>
      </c>
      <c r="I468" s="114">
        <v>4.7E-2</v>
      </c>
      <c r="J468" s="115">
        <f t="shared" si="477"/>
        <v>46220</v>
      </c>
      <c r="K468" s="115">
        <f t="shared" si="478"/>
        <v>46220</v>
      </c>
      <c r="L468" s="115">
        <v>46205</v>
      </c>
      <c r="M468" s="116">
        <f t="shared" si="479"/>
        <v>46262</v>
      </c>
      <c r="N468" s="115">
        <f t="shared" si="480"/>
        <v>46262</v>
      </c>
      <c r="O468" s="115"/>
      <c r="P468" s="115">
        <f t="shared" si="481"/>
        <v>46304</v>
      </c>
      <c r="Q468" s="115">
        <f t="shared" si="482"/>
        <v>46304</v>
      </c>
      <c r="R468" s="115"/>
      <c r="S468" s="115">
        <f t="shared" si="484"/>
        <v>46318</v>
      </c>
      <c r="T468" s="115">
        <f t="shared" si="483"/>
        <v>46318</v>
      </c>
      <c r="U468" s="115"/>
      <c r="W468" s="174" t="str">
        <f t="shared" ca="1" si="485"/>
        <v>Completed</v>
      </c>
      <c r="X468" s="174" t="str">
        <f t="shared" ca="1" si="486"/>
        <v/>
      </c>
      <c r="Y468" s="174" t="str">
        <f t="shared" ca="1" si="487"/>
        <v/>
      </c>
      <c r="Z468" s="175" t="str">
        <f t="shared" ca="1" si="488"/>
        <v/>
      </c>
    </row>
    <row r="469" spans="1:26" s="70" customFormat="1" ht="11.5" x14ac:dyDescent="0.25">
      <c r="A469" s="112" t="s">
        <v>68</v>
      </c>
      <c r="B469" s="112" t="s">
        <v>14</v>
      </c>
      <c r="C469" s="112" t="s">
        <v>899</v>
      </c>
      <c r="D469" s="112" t="s">
        <v>878</v>
      </c>
      <c r="E469" s="113">
        <f t="shared" si="474"/>
        <v>0.5</v>
      </c>
      <c r="F469" s="113">
        <f t="shared" si="475"/>
        <v>0.5</v>
      </c>
      <c r="G469" s="113">
        <f t="shared" si="475"/>
        <v>0.7</v>
      </c>
      <c r="H469" s="113">
        <f t="shared" si="476"/>
        <v>0.19999999999999996</v>
      </c>
      <c r="I469" s="114">
        <v>4.7E-2</v>
      </c>
      <c r="J469" s="115">
        <f t="shared" si="477"/>
        <v>46234</v>
      </c>
      <c r="K469" s="115">
        <f t="shared" si="478"/>
        <v>46234</v>
      </c>
      <c r="L469" s="115">
        <v>46182</v>
      </c>
      <c r="M469" s="116">
        <f t="shared" si="479"/>
        <v>46276</v>
      </c>
      <c r="N469" s="115">
        <f t="shared" si="480"/>
        <v>46276</v>
      </c>
      <c r="O469" s="115">
        <v>46191</v>
      </c>
      <c r="P469" s="115">
        <f t="shared" si="481"/>
        <v>46318</v>
      </c>
      <c r="Q469" s="115">
        <f t="shared" si="482"/>
        <v>46318</v>
      </c>
      <c r="R469" s="115"/>
      <c r="S469" s="115">
        <f t="shared" si="484"/>
        <v>46332</v>
      </c>
      <c r="T469" s="115">
        <f t="shared" si="483"/>
        <v>46332</v>
      </c>
      <c r="U469" s="115"/>
      <c r="W469" s="174" t="str">
        <f t="shared" ca="1" si="485"/>
        <v>Completed</v>
      </c>
      <c r="X469" s="174" t="str">
        <f t="shared" ca="1" si="486"/>
        <v>Completed</v>
      </c>
      <c r="Y469" s="174" t="str">
        <f t="shared" ca="1" si="487"/>
        <v/>
      </c>
      <c r="Z469" s="175" t="str">
        <f t="shared" ca="1" si="488"/>
        <v/>
      </c>
    </row>
    <row r="470" spans="1:26" s="70" customFormat="1" ht="11.5" x14ac:dyDescent="0.25">
      <c r="A470" s="112" t="s">
        <v>68</v>
      </c>
      <c r="B470" s="112" t="s">
        <v>14</v>
      </c>
      <c r="C470" s="112" t="s">
        <v>900</v>
      </c>
      <c r="D470" s="112" t="s">
        <v>879</v>
      </c>
      <c r="E470" s="113">
        <f t="shared" si="474"/>
        <v>0.5</v>
      </c>
      <c r="F470" s="113">
        <f t="shared" si="475"/>
        <v>0.5</v>
      </c>
      <c r="G470" s="113">
        <f t="shared" si="475"/>
        <v>0.7</v>
      </c>
      <c r="H470" s="113">
        <f t="shared" si="476"/>
        <v>0.19999999999999996</v>
      </c>
      <c r="I470" s="114">
        <v>4.7E-2</v>
      </c>
      <c r="J470" s="115">
        <f t="shared" si="477"/>
        <v>46234</v>
      </c>
      <c r="K470" s="115">
        <f t="shared" si="478"/>
        <v>46234</v>
      </c>
      <c r="L470" s="115">
        <v>46182</v>
      </c>
      <c r="M470" s="116">
        <f t="shared" si="479"/>
        <v>46276</v>
      </c>
      <c r="N470" s="115">
        <f t="shared" si="480"/>
        <v>46276</v>
      </c>
      <c r="O470" s="115">
        <v>46191</v>
      </c>
      <c r="P470" s="115">
        <f t="shared" si="481"/>
        <v>46318</v>
      </c>
      <c r="Q470" s="115">
        <f t="shared" si="482"/>
        <v>46318</v>
      </c>
      <c r="R470" s="115"/>
      <c r="S470" s="115">
        <f t="shared" si="484"/>
        <v>46332</v>
      </c>
      <c r="T470" s="115">
        <f t="shared" si="483"/>
        <v>46332</v>
      </c>
      <c r="U470" s="115"/>
      <c r="W470" s="174" t="str">
        <f t="shared" ca="1" si="485"/>
        <v>Completed</v>
      </c>
      <c r="X470" s="174" t="str">
        <f t="shared" ca="1" si="486"/>
        <v>Completed</v>
      </c>
      <c r="Y470" s="174" t="str">
        <f t="shared" ca="1" si="487"/>
        <v/>
      </c>
      <c r="Z470" s="175" t="str">
        <f t="shared" ca="1" si="488"/>
        <v/>
      </c>
    </row>
    <row r="471" spans="1:26" s="70" customFormat="1" ht="11.5" x14ac:dyDescent="0.25">
      <c r="A471" s="112" t="s">
        <v>68</v>
      </c>
      <c r="B471" s="112" t="s">
        <v>14</v>
      </c>
      <c r="C471" s="112" t="s">
        <v>901</v>
      </c>
      <c r="D471" s="112" t="s">
        <v>880</v>
      </c>
      <c r="E471" s="113">
        <f t="shared" si="474"/>
        <v>0.5</v>
      </c>
      <c r="F471" s="113">
        <f t="shared" si="475"/>
        <v>0.5</v>
      </c>
      <c r="G471" s="113">
        <f t="shared" si="475"/>
        <v>0.7</v>
      </c>
      <c r="H471" s="113">
        <f t="shared" si="476"/>
        <v>0.19999999999999996</v>
      </c>
      <c r="I471" s="114">
        <v>4.7E-2</v>
      </c>
      <c r="J471" s="115">
        <f t="shared" si="477"/>
        <v>46234</v>
      </c>
      <c r="K471" s="115">
        <f t="shared" si="478"/>
        <v>46234</v>
      </c>
      <c r="L471" s="115">
        <v>46182</v>
      </c>
      <c r="M471" s="116">
        <f t="shared" si="479"/>
        <v>46276</v>
      </c>
      <c r="N471" s="115">
        <f t="shared" si="480"/>
        <v>46276</v>
      </c>
      <c r="O471" s="115">
        <v>46191</v>
      </c>
      <c r="P471" s="115">
        <f t="shared" si="481"/>
        <v>46318</v>
      </c>
      <c r="Q471" s="115">
        <f t="shared" si="482"/>
        <v>46318</v>
      </c>
      <c r="R471" s="115"/>
      <c r="S471" s="115">
        <f t="shared" si="484"/>
        <v>46332</v>
      </c>
      <c r="T471" s="115">
        <f t="shared" si="483"/>
        <v>46332</v>
      </c>
      <c r="U471" s="115"/>
      <c r="W471" s="174" t="str">
        <f t="shared" ca="1" si="485"/>
        <v>Completed</v>
      </c>
      <c r="X471" s="174" t="str">
        <f t="shared" ca="1" si="486"/>
        <v>Completed</v>
      </c>
      <c r="Y471" s="174" t="str">
        <f t="shared" ca="1" si="487"/>
        <v/>
      </c>
      <c r="Z471" s="175" t="str">
        <f t="shared" ca="1" si="488"/>
        <v/>
      </c>
    </row>
    <row r="472" spans="1:26" s="70" customFormat="1" ht="11.5" x14ac:dyDescent="0.25">
      <c r="A472" s="112" t="s">
        <v>68</v>
      </c>
      <c r="B472" s="112" t="s">
        <v>14</v>
      </c>
      <c r="C472" s="112" t="s">
        <v>902</v>
      </c>
      <c r="D472" s="112" t="s">
        <v>881</v>
      </c>
      <c r="E472" s="113">
        <f t="shared" si="474"/>
        <v>0.5</v>
      </c>
      <c r="F472" s="113">
        <f t="shared" si="475"/>
        <v>0.5</v>
      </c>
      <c r="G472" s="113">
        <f t="shared" si="475"/>
        <v>0.7</v>
      </c>
      <c r="H472" s="113">
        <f t="shared" si="476"/>
        <v>0.19999999999999996</v>
      </c>
      <c r="I472" s="114">
        <v>4.7E-2</v>
      </c>
      <c r="J472" s="115">
        <f t="shared" si="477"/>
        <v>46234</v>
      </c>
      <c r="K472" s="115">
        <f t="shared" si="478"/>
        <v>46234</v>
      </c>
      <c r="L472" s="115">
        <v>46182</v>
      </c>
      <c r="M472" s="116">
        <f t="shared" si="479"/>
        <v>46276</v>
      </c>
      <c r="N472" s="115">
        <f t="shared" si="480"/>
        <v>46276</v>
      </c>
      <c r="O472" s="115">
        <v>46191</v>
      </c>
      <c r="P472" s="115">
        <f t="shared" si="481"/>
        <v>46318</v>
      </c>
      <c r="Q472" s="115">
        <f t="shared" si="482"/>
        <v>46318</v>
      </c>
      <c r="R472" s="115"/>
      <c r="S472" s="115">
        <f t="shared" si="484"/>
        <v>46332</v>
      </c>
      <c r="T472" s="115">
        <f t="shared" si="483"/>
        <v>46332</v>
      </c>
      <c r="U472" s="115"/>
      <c r="W472" s="174" t="str">
        <f t="shared" ca="1" si="485"/>
        <v>Completed</v>
      </c>
      <c r="X472" s="174" t="str">
        <f t="shared" ca="1" si="486"/>
        <v>Completed</v>
      </c>
      <c r="Y472" s="174" t="str">
        <f t="shared" ca="1" si="487"/>
        <v/>
      </c>
      <c r="Z472" s="175" t="str">
        <f t="shared" ca="1" si="488"/>
        <v/>
      </c>
    </row>
    <row r="473" spans="1:26" s="70" customFormat="1" ht="11.5" x14ac:dyDescent="0.25">
      <c r="A473" s="112" t="s">
        <v>68</v>
      </c>
      <c r="B473" s="112" t="s">
        <v>14</v>
      </c>
      <c r="C473" s="112" t="s">
        <v>903</v>
      </c>
      <c r="D473" s="112" t="s">
        <v>882</v>
      </c>
      <c r="E473" s="113">
        <f t="shared" si="474"/>
        <v>0.5</v>
      </c>
      <c r="F473" s="113">
        <f t="shared" si="475"/>
        <v>0.5</v>
      </c>
      <c r="G473" s="113">
        <f t="shared" si="475"/>
        <v>0.7</v>
      </c>
      <c r="H473" s="113">
        <f t="shared" si="476"/>
        <v>0.19999999999999996</v>
      </c>
      <c r="I473" s="114">
        <v>4.7E-2</v>
      </c>
      <c r="J473" s="115">
        <f t="shared" si="477"/>
        <v>46234</v>
      </c>
      <c r="K473" s="115">
        <f t="shared" si="478"/>
        <v>46234</v>
      </c>
      <c r="L473" s="115">
        <v>46182</v>
      </c>
      <c r="M473" s="116">
        <f t="shared" si="479"/>
        <v>46276</v>
      </c>
      <c r="N473" s="115">
        <f t="shared" si="480"/>
        <v>46276</v>
      </c>
      <c r="O473" s="115">
        <v>46191</v>
      </c>
      <c r="P473" s="115">
        <f t="shared" si="481"/>
        <v>46318</v>
      </c>
      <c r="Q473" s="115">
        <f t="shared" si="482"/>
        <v>46318</v>
      </c>
      <c r="R473" s="115"/>
      <c r="S473" s="115">
        <f t="shared" si="484"/>
        <v>46332</v>
      </c>
      <c r="T473" s="115">
        <f t="shared" si="483"/>
        <v>46332</v>
      </c>
      <c r="U473" s="115"/>
      <c r="W473" s="174" t="str">
        <f t="shared" ca="1" si="485"/>
        <v>Completed</v>
      </c>
      <c r="X473" s="174" t="str">
        <f t="shared" ca="1" si="486"/>
        <v>Completed</v>
      </c>
      <c r="Y473" s="174" t="str">
        <f t="shared" ca="1" si="487"/>
        <v/>
      </c>
      <c r="Z473" s="175" t="str">
        <f t="shared" ca="1" si="488"/>
        <v/>
      </c>
    </row>
    <row r="474" spans="1:26" s="70" customFormat="1" ht="11.5" x14ac:dyDescent="0.25">
      <c r="A474" s="112" t="s">
        <v>68</v>
      </c>
      <c r="B474" s="112" t="s">
        <v>14</v>
      </c>
      <c r="C474" s="112" t="s">
        <v>904</v>
      </c>
      <c r="D474" s="112" t="s">
        <v>883</v>
      </c>
      <c r="E474" s="113">
        <f t="shared" si="474"/>
        <v>0.5</v>
      </c>
      <c r="F474" s="113">
        <f t="shared" si="475"/>
        <v>0.5</v>
      </c>
      <c r="G474" s="113">
        <f t="shared" si="475"/>
        <v>0.7</v>
      </c>
      <c r="H474" s="113">
        <f t="shared" si="476"/>
        <v>0.19999999999999996</v>
      </c>
      <c r="I474" s="114">
        <v>4.7E-2</v>
      </c>
      <c r="J474" s="115">
        <f t="shared" si="477"/>
        <v>46234</v>
      </c>
      <c r="K474" s="115">
        <f t="shared" si="478"/>
        <v>46234</v>
      </c>
      <c r="L474" s="144">
        <v>46162</v>
      </c>
      <c r="M474" s="116">
        <f t="shared" si="479"/>
        <v>46276</v>
      </c>
      <c r="N474" s="115">
        <f t="shared" si="480"/>
        <v>46276</v>
      </c>
      <c r="O474" s="115">
        <v>46191</v>
      </c>
      <c r="P474" s="115">
        <f t="shared" si="481"/>
        <v>46318</v>
      </c>
      <c r="Q474" s="115">
        <f t="shared" si="482"/>
        <v>46318</v>
      </c>
      <c r="R474" s="115"/>
      <c r="S474" s="115">
        <f t="shared" si="484"/>
        <v>46332</v>
      </c>
      <c r="T474" s="115">
        <f t="shared" si="483"/>
        <v>46332</v>
      </c>
      <c r="U474" s="115"/>
      <c r="W474" s="174" t="str">
        <f t="shared" ca="1" si="485"/>
        <v>Completed</v>
      </c>
      <c r="X474" s="174" t="str">
        <f t="shared" ca="1" si="486"/>
        <v>Completed</v>
      </c>
      <c r="Y474" s="174" t="str">
        <f t="shared" ca="1" si="487"/>
        <v/>
      </c>
      <c r="Z474" s="175" t="str">
        <f t="shared" ca="1" si="488"/>
        <v/>
      </c>
    </row>
    <row r="475" spans="1:26" s="70" customFormat="1" ht="11.5" x14ac:dyDescent="0.25">
      <c r="A475" s="112" t="s">
        <v>68</v>
      </c>
      <c r="B475" s="112" t="s">
        <v>14</v>
      </c>
      <c r="C475" s="112" t="s">
        <v>905</v>
      </c>
      <c r="D475" s="112" t="s">
        <v>884</v>
      </c>
      <c r="E475" s="113">
        <f t="shared" si="474"/>
        <v>0.5</v>
      </c>
      <c r="F475" s="113">
        <f t="shared" si="475"/>
        <v>0.5</v>
      </c>
      <c r="G475" s="113">
        <f t="shared" si="475"/>
        <v>0.7</v>
      </c>
      <c r="H475" s="113">
        <f t="shared" si="476"/>
        <v>0.19999999999999996</v>
      </c>
      <c r="I475" s="114">
        <v>4.7E-2</v>
      </c>
      <c r="J475" s="115">
        <f t="shared" si="477"/>
        <v>46234</v>
      </c>
      <c r="K475" s="115">
        <f t="shared" si="478"/>
        <v>46234</v>
      </c>
      <c r="L475" s="144">
        <v>46162</v>
      </c>
      <c r="M475" s="116">
        <f t="shared" si="479"/>
        <v>46276</v>
      </c>
      <c r="N475" s="115">
        <f t="shared" si="480"/>
        <v>46276</v>
      </c>
      <c r="O475" s="115">
        <v>46191</v>
      </c>
      <c r="P475" s="115">
        <f t="shared" si="481"/>
        <v>46318</v>
      </c>
      <c r="Q475" s="115">
        <f t="shared" si="482"/>
        <v>46318</v>
      </c>
      <c r="R475" s="115"/>
      <c r="S475" s="115">
        <f t="shared" si="484"/>
        <v>46332</v>
      </c>
      <c r="T475" s="115">
        <f t="shared" si="483"/>
        <v>46332</v>
      </c>
      <c r="U475" s="115"/>
      <c r="W475" s="174" t="str">
        <f t="shared" ca="1" si="485"/>
        <v>Completed</v>
      </c>
      <c r="X475" s="174" t="str">
        <f t="shared" ca="1" si="486"/>
        <v>Completed</v>
      </c>
      <c r="Y475" s="174" t="str">
        <f t="shared" ca="1" si="487"/>
        <v/>
      </c>
      <c r="Z475" s="175" t="str">
        <f t="shared" ca="1" si="488"/>
        <v/>
      </c>
    </row>
    <row r="476" spans="1:26" s="70" customFormat="1" ht="11.5" x14ac:dyDescent="0.25">
      <c r="A476" s="112" t="s">
        <v>68</v>
      </c>
      <c r="B476" s="112" t="s">
        <v>14</v>
      </c>
      <c r="C476" s="112" t="s">
        <v>906</v>
      </c>
      <c r="D476" s="112" t="s">
        <v>885</v>
      </c>
      <c r="E476" s="113">
        <f t="shared" si="474"/>
        <v>0.5</v>
      </c>
      <c r="F476" s="113">
        <f t="shared" si="475"/>
        <v>0.5</v>
      </c>
      <c r="G476" s="113">
        <f t="shared" si="475"/>
        <v>0.7</v>
      </c>
      <c r="H476" s="113">
        <f t="shared" si="476"/>
        <v>0.19999999999999996</v>
      </c>
      <c r="I476" s="114">
        <v>4.7E-2</v>
      </c>
      <c r="J476" s="115">
        <f t="shared" si="477"/>
        <v>46234</v>
      </c>
      <c r="K476" s="115">
        <f t="shared" si="478"/>
        <v>46234</v>
      </c>
      <c r="L476" s="144">
        <v>46162</v>
      </c>
      <c r="M476" s="116">
        <f t="shared" si="479"/>
        <v>46276</v>
      </c>
      <c r="N476" s="115">
        <f t="shared" si="480"/>
        <v>46276</v>
      </c>
      <c r="O476" s="115">
        <v>46191</v>
      </c>
      <c r="P476" s="115">
        <f t="shared" si="481"/>
        <v>46318</v>
      </c>
      <c r="Q476" s="115">
        <f t="shared" si="482"/>
        <v>46318</v>
      </c>
      <c r="R476" s="115"/>
      <c r="S476" s="115">
        <f t="shared" si="484"/>
        <v>46332</v>
      </c>
      <c r="T476" s="115">
        <f t="shared" si="483"/>
        <v>46332</v>
      </c>
      <c r="U476" s="115"/>
      <c r="W476" s="174" t="str">
        <f t="shared" ca="1" si="485"/>
        <v>Completed</v>
      </c>
      <c r="X476" s="174" t="str">
        <f t="shared" ca="1" si="486"/>
        <v>Completed</v>
      </c>
      <c r="Y476" s="174" t="str">
        <f t="shared" ca="1" si="487"/>
        <v/>
      </c>
      <c r="Z476" s="175" t="str">
        <f t="shared" ca="1" si="488"/>
        <v/>
      </c>
    </row>
    <row r="477" spans="1:26" s="70" customFormat="1" ht="11.5" x14ac:dyDescent="0.25">
      <c r="A477" s="112" t="s">
        <v>68</v>
      </c>
      <c r="B477" s="112" t="s">
        <v>14</v>
      </c>
      <c r="C477" s="112" t="s">
        <v>907</v>
      </c>
      <c r="D477" s="112" t="s">
        <v>886</v>
      </c>
      <c r="E477" s="113">
        <f t="shared" si="474"/>
        <v>0.5</v>
      </c>
      <c r="F477" s="113">
        <f t="shared" si="475"/>
        <v>0.5</v>
      </c>
      <c r="G477" s="113">
        <f t="shared" si="475"/>
        <v>0.7</v>
      </c>
      <c r="H477" s="113">
        <f t="shared" si="476"/>
        <v>0.19999999999999996</v>
      </c>
      <c r="I477" s="114">
        <v>4.7E-2</v>
      </c>
      <c r="J477" s="115">
        <f t="shared" si="477"/>
        <v>46234</v>
      </c>
      <c r="K477" s="115">
        <f t="shared" si="478"/>
        <v>46234</v>
      </c>
      <c r="L477" s="144">
        <v>46162</v>
      </c>
      <c r="M477" s="116">
        <f t="shared" si="479"/>
        <v>46276</v>
      </c>
      <c r="N477" s="115">
        <f t="shared" si="480"/>
        <v>46276</v>
      </c>
      <c r="O477" s="115">
        <v>46191</v>
      </c>
      <c r="P477" s="115">
        <f t="shared" si="481"/>
        <v>46318</v>
      </c>
      <c r="Q477" s="115">
        <f t="shared" si="482"/>
        <v>46318</v>
      </c>
      <c r="R477" s="115"/>
      <c r="S477" s="115">
        <f t="shared" si="484"/>
        <v>46332</v>
      </c>
      <c r="T477" s="115">
        <f t="shared" si="483"/>
        <v>46332</v>
      </c>
      <c r="U477" s="115"/>
      <c r="W477" s="174" t="str">
        <f t="shared" ca="1" si="485"/>
        <v>Completed</v>
      </c>
      <c r="X477" s="174" t="str">
        <f t="shared" ca="1" si="486"/>
        <v>Completed</v>
      </c>
      <c r="Y477" s="174" t="str">
        <f t="shared" ca="1" si="487"/>
        <v/>
      </c>
      <c r="Z477" s="175" t="str">
        <f t="shared" ca="1" si="488"/>
        <v/>
      </c>
    </row>
    <row r="478" spans="1:26" s="70" customFormat="1" ht="11.5" x14ac:dyDescent="0.25">
      <c r="A478" s="112" t="s">
        <v>68</v>
      </c>
      <c r="B478" s="112" t="s">
        <v>14</v>
      </c>
      <c r="C478" s="112" t="s">
        <v>908</v>
      </c>
      <c r="D478" s="112" t="s">
        <v>887</v>
      </c>
      <c r="E478" s="113">
        <f t="shared" si="474"/>
        <v>0.5</v>
      </c>
      <c r="F478" s="113">
        <f t="shared" si="475"/>
        <v>0.5</v>
      </c>
      <c r="G478" s="113">
        <f t="shared" si="475"/>
        <v>0.7</v>
      </c>
      <c r="H478" s="113">
        <f t="shared" si="476"/>
        <v>0.19999999999999996</v>
      </c>
      <c r="I478" s="114">
        <v>4.7E-2</v>
      </c>
      <c r="J478" s="115">
        <f t="shared" si="477"/>
        <v>46234</v>
      </c>
      <c r="K478" s="115">
        <f t="shared" si="478"/>
        <v>46234</v>
      </c>
      <c r="L478" s="144">
        <v>46162</v>
      </c>
      <c r="M478" s="116">
        <f t="shared" si="479"/>
        <v>46276</v>
      </c>
      <c r="N478" s="115">
        <f t="shared" si="480"/>
        <v>46276</v>
      </c>
      <c r="O478" s="115">
        <v>46191</v>
      </c>
      <c r="P478" s="115">
        <f t="shared" si="481"/>
        <v>46318</v>
      </c>
      <c r="Q478" s="115">
        <f t="shared" si="482"/>
        <v>46318</v>
      </c>
      <c r="R478" s="115"/>
      <c r="S478" s="115">
        <f t="shared" si="484"/>
        <v>46332</v>
      </c>
      <c r="T478" s="115">
        <f t="shared" si="483"/>
        <v>46332</v>
      </c>
      <c r="U478" s="115"/>
      <c r="W478" s="174" t="str">
        <f t="shared" ca="1" si="485"/>
        <v>Completed</v>
      </c>
      <c r="X478" s="174" t="str">
        <f t="shared" ca="1" si="486"/>
        <v>Completed</v>
      </c>
      <c r="Y478" s="174" t="str">
        <f t="shared" ca="1" si="487"/>
        <v/>
      </c>
      <c r="Z478" s="175" t="str">
        <f t="shared" ca="1" si="488"/>
        <v/>
      </c>
    </row>
    <row r="479" spans="1:26" s="70" customFormat="1" ht="11.5" x14ac:dyDescent="0.25">
      <c r="A479" s="112" t="s">
        <v>68</v>
      </c>
      <c r="B479" s="112" t="s">
        <v>14</v>
      </c>
      <c r="C479" s="112" t="s">
        <v>909</v>
      </c>
      <c r="D479" s="112" t="s">
        <v>888</v>
      </c>
      <c r="E479" s="113">
        <f t="shared" si="474"/>
        <v>0.5</v>
      </c>
      <c r="F479" s="113">
        <f t="shared" si="475"/>
        <v>0.5</v>
      </c>
      <c r="G479" s="113">
        <f t="shared" si="475"/>
        <v>0.7</v>
      </c>
      <c r="H479" s="113">
        <f t="shared" si="476"/>
        <v>0.19999999999999996</v>
      </c>
      <c r="I479" s="114">
        <v>4.7E-2</v>
      </c>
      <c r="J479" s="115">
        <f t="shared" si="477"/>
        <v>46234</v>
      </c>
      <c r="K479" s="115">
        <f t="shared" si="478"/>
        <v>46234</v>
      </c>
      <c r="L479" s="144">
        <v>46162</v>
      </c>
      <c r="M479" s="116">
        <f t="shared" si="479"/>
        <v>46276</v>
      </c>
      <c r="N479" s="115">
        <f t="shared" si="480"/>
        <v>46276</v>
      </c>
      <c r="O479" s="115">
        <v>46191</v>
      </c>
      <c r="P479" s="115">
        <f t="shared" si="481"/>
        <v>46318</v>
      </c>
      <c r="Q479" s="115">
        <f t="shared" si="482"/>
        <v>46318</v>
      </c>
      <c r="R479" s="115"/>
      <c r="S479" s="115">
        <f t="shared" si="484"/>
        <v>46332</v>
      </c>
      <c r="T479" s="115">
        <f t="shared" si="483"/>
        <v>46332</v>
      </c>
      <c r="U479" s="115"/>
      <c r="W479" s="174" t="str">
        <f t="shared" ca="1" si="485"/>
        <v>Completed</v>
      </c>
      <c r="X479" s="174" t="str">
        <f t="shared" ca="1" si="486"/>
        <v>Completed</v>
      </c>
      <c r="Y479" s="174" t="str">
        <f t="shared" ca="1" si="487"/>
        <v/>
      </c>
      <c r="Z479" s="175" t="str">
        <f t="shared" ca="1" si="488"/>
        <v/>
      </c>
    </row>
    <row r="480" spans="1:26" s="70" customFormat="1" ht="11.5" x14ac:dyDescent="0.25">
      <c r="A480" s="112" t="s">
        <v>68</v>
      </c>
      <c r="B480" s="112" t="s">
        <v>14</v>
      </c>
      <c r="C480" s="112" t="s">
        <v>910</v>
      </c>
      <c r="D480" s="112" t="s">
        <v>889</v>
      </c>
      <c r="E480" s="113">
        <f t="shared" si="474"/>
        <v>0.5</v>
      </c>
      <c r="F480" s="113">
        <f t="shared" si="475"/>
        <v>0.5</v>
      </c>
      <c r="G480" s="113">
        <f t="shared" si="475"/>
        <v>0.7</v>
      </c>
      <c r="H480" s="113">
        <f t="shared" si="476"/>
        <v>0.19999999999999996</v>
      </c>
      <c r="I480" s="114">
        <v>4.7E-2</v>
      </c>
      <c r="J480" s="115">
        <f t="shared" si="477"/>
        <v>46234</v>
      </c>
      <c r="K480" s="115">
        <f t="shared" si="478"/>
        <v>46234</v>
      </c>
      <c r="L480" s="144">
        <v>46162</v>
      </c>
      <c r="M480" s="116">
        <f t="shared" si="479"/>
        <v>46276</v>
      </c>
      <c r="N480" s="115">
        <f t="shared" si="480"/>
        <v>46276</v>
      </c>
      <c r="O480" s="115">
        <v>46191</v>
      </c>
      <c r="P480" s="115">
        <f t="shared" si="481"/>
        <v>46318</v>
      </c>
      <c r="Q480" s="115">
        <f t="shared" si="482"/>
        <v>46318</v>
      </c>
      <c r="R480" s="115"/>
      <c r="S480" s="115">
        <f t="shared" si="484"/>
        <v>46332</v>
      </c>
      <c r="T480" s="115">
        <f t="shared" si="483"/>
        <v>46332</v>
      </c>
      <c r="U480" s="115"/>
      <c r="W480" s="174" t="str">
        <f t="shared" ca="1" si="485"/>
        <v>Completed</v>
      </c>
      <c r="X480" s="174" t="str">
        <f t="shared" ca="1" si="486"/>
        <v>Completed</v>
      </c>
      <c r="Y480" s="174" t="str">
        <f t="shared" ca="1" si="487"/>
        <v/>
      </c>
      <c r="Z480" s="175" t="str">
        <f t="shared" ca="1" si="488"/>
        <v/>
      </c>
    </row>
    <row r="481" spans="1:26" s="70" customFormat="1" ht="11.5" x14ac:dyDescent="0.25">
      <c r="A481" s="112" t="s">
        <v>68</v>
      </c>
      <c r="B481" s="112" t="s">
        <v>14</v>
      </c>
      <c r="C481" s="112" t="s">
        <v>911</v>
      </c>
      <c r="D481" s="112" t="s">
        <v>890</v>
      </c>
      <c r="E481" s="113">
        <f t="shared" si="474"/>
        <v>0.5</v>
      </c>
      <c r="F481" s="113">
        <f t="shared" si="475"/>
        <v>0.5</v>
      </c>
      <c r="G481" s="113">
        <f t="shared" si="475"/>
        <v>0.7</v>
      </c>
      <c r="H481" s="113">
        <f t="shared" si="476"/>
        <v>0.19999999999999996</v>
      </c>
      <c r="I481" s="114">
        <v>4.7E-2</v>
      </c>
      <c r="J481" s="115">
        <f t="shared" si="477"/>
        <v>46234</v>
      </c>
      <c r="K481" s="115">
        <f t="shared" si="478"/>
        <v>46234</v>
      </c>
      <c r="L481" s="144">
        <v>46162</v>
      </c>
      <c r="M481" s="116">
        <f t="shared" si="479"/>
        <v>46276</v>
      </c>
      <c r="N481" s="115">
        <f t="shared" si="480"/>
        <v>46276</v>
      </c>
      <c r="O481" s="115">
        <v>46191</v>
      </c>
      <c r="P481" s="115">
        <f t="shared" si="481"/>
        <v>46318</v>
      </c>
      <c r="Q481" s="115">
        <f t="shared" si="482"/>
        <v>46318</v>
      </c>
      <c r="R481" s="115"/>
      <c r="S481" s="115">
        <f t="shared" si="484"/>
        <v>46332</v>
      </c>
      <c r="T481" s="115">
        <f t="shared" si="483"/>
        <v>46332</v>
      </c>
      <c r="U481" s="115"/>
      <c r="W481" s="174" t="str">
        <f t="shared" ca="1" si="485"/>
        <v>Completed</v>
      </c>
      <c r="X481" s="174" t="str">
        <f t="shared" ca="1" si="486"/>
        <v>Completed</v>
      </c>
      <c r="Y481" s="174" t="str">
        <f t="shared" ca="1" si="487"/>
        <v/>
      </c>
      <c r="Z481" s="175" t="str">
        <f t="shared" ca="1" si="488"/>
        <v/>
      </c>
    </row>
    <row r="482" spans="1:26" s="70" customFormat="1" ht="11.5" x14ac:dyDescent="0.25">
      <c r="A482" s="112" t="s">
        <v>68</v>
      </c>
      <c r="B482" s="112" t="s">
        <v>14</v>
      </c>
      <c r="C482" s="112" t="s">
        <v>610</v>
      </c>
      <c r="D482" s="112" t="s">
        <v>611</v>
      </c>
      <c r="E482" s="113">
        <f t="shared" si="474"/>
        <v>0.5</v>
      </c>
      <c r="F482" s="113">
        <f t="shared" si="475"/>
        <v>0.5</v>
      </c>
      <c r="G482" s="113">
        <f t="shared" si="475"/>
        <v>0.7</v>
      </c>
      <c r="H482" s="113">
        <f t="shared" si="476"/>
        <v>0.19999999999999996</v>
      </c>
      <c r="I482" s="114">
        <f>0.047*2</f>
        <v>9.4E-2</v>
      </c>
      <c r="J482" s="115">
        <f t="shared" si="477"/>
        <v>46220</v>
      </c>
      <c r="K482" s="115">
        <f t="shared" si="478"/>
        <v>46220</v>
      </c>
      <c r="L482" s="116">
        <v>46184</v>
      </c>
      <c r="M482" s="116">
        <f t="shared" si="479"/>
        <v>46262</v>
      </c>
      <c r="N482" s="115">
        <f t="shared" si="480"/>
        <v>46262</v>
      </c>
      <c r="O482" s="115">
        <v>46213</v>
      </c>
      <c r="P482" s="115">
        <f t="shared" si="481"/>
        <v>46304</v>
      </c>
      <c r="Q482" s="115">
        <f t="shared" si="482"/>
        <v>46304</v>
      </c>
      <c r="R482" s="115"/>
      <c r="S482" s="115">
        <f t="shared" si="484"/>
        <v>46318</v>
      </c>
      <c r="T482" s="115">
        <f t="shared" si="483"/>
        <v>46318</v>
      </c>
      <c r="U482" s="115"/>
      <c r="W482" s="174" t="str">
        <f t="shared" ca="1" si="485"/>
        <v>Completed</v>
      </c>
      <c r="X482" s="174" t="str">
        <f t="shared" ca="1" si="486"/>
        <v>Completed</v>
      </c>
      <c r="Y482" s="174" t="str">
        <f t="shared" ca="1" si="487"/>
        <v/>
      </c>
      <c r="Z482" s="175" t="str">
        <f t="shared" ca="1" si="488"/>
        <v/>
      </c>
    </row>
    <row r="483" spans="1:26" s="70" customFormat="1" ht="11.5" x14ac:dyDescent="0.25">
      <c r="A483" s="112" t="s">
        <v>68</v>
      </c>
      <c r="B483" s="112" t="s">
        <v>14</v>
      </c>
      <c r="C483" s="112" t="s">
        <v>612</v>
      </c>
      <c r="D483" s="112" t="s">
        <v>613</v>
      </c>
      <c r="E483" s="113">
        <f t="shared" si="474"/>
        <v>0.5</v>
      </c>
      <c r="F483" s="113">
        <f t="shared" si="475"/>
        <v>0.5</v>
      </c>
      <c r="G483" s="113">
        <f t="shared" si="475"/>
        <v>0</v>
      </c>
      <c r="H483" s="113">
        <f t="shared" si="476"/>
        <v>-0.5</v>
      </c>
      <c r="I483" s="114"/>
      <c r="J483" s="115">
        <f t="shared" si="477"/>
        <v>46220</v>
      </c>
      <c r="K483" s="115">
        <f t="shared" si="478"/>
        <v>46220</v>
      </c>
      <c r="L483" s="115"/>
      <c r="M483" s="116">
        <f t="shared" si="479"/>
        <v>46262</v>
      </c>
      <c r="N483" s="115">
        <f t="shared" si="480"/>
        <v>46262</v>
      </c>
      <c r="O483" s="115"/>
      <c r="P483" s="115">
        <f t="shared" si="481"/>
        <v>46304</v>
      </c>
      <c r="Q483" s="115">
        <f t="shared" si="482"/>
        <v>46304</v>
      </c>
      <c r="R483" s="115"/>
      <c r="S483" s="115">
        <f t="shared" si="484"/>
        <v>46318</v>
      </c>
      <c r="T483" s="115">
        <f t="shared" si="483"/>
        <v>46318</v>
      </c>
      <c r="U483" s="115"/>
      <c r="W483" s="174" t="str">
        <f t="shared" ca="1" si="485"/>
        <v>Overdue</v>
      </c>
      <c r="X483" s="174" t="str">
        <f t="shared" ca="1" si="486"/>
        <v/>
      </c>
      <c r="Y483" s="174" t="str">
        <f t="shared" ca="1" si="487"/>
        <v/>
      </c>
      <c r="Z483" s="175" t="str">
        <f t="shared" ca="1" si="488"/>
        <v/>
      </c>
    </row>
    <row r="484" spans="1:26" s="70" customFormat="1" ht="11.5" x14ac:dyDescent="0.25">
      <c r="A484" s="118" t="s">
        <v>68</v>
      </c>
      <c r="B484" s="118" t="s">
        <v>14</v>
      </c>
      <c r="C484" s="118" t="s">
        <v>614</v>
      </c>
      <c r="D484" s="118" t="s">
        <v>615</v>
      </c>
      <c r="E484" s="119">
        <f t="shared" si="474"/>
        <v>0.5</v>
      </c>
      <c r="F484" s="119">
        <f t="shared" si="475"/>
        <v>0.5</v>
      </c>
      <c r="G484" s="119">
        <f t="shared" si="475"/>
        <v>0</v>
      </c>
      <c r="H484" s="119">
        <f t="shared" si="476"/>
        <v>-0.5</v>
      </c>
      <c r="I484" s="120">
        <v>4.7E-2</v>
      </c>
      <c r="J484" s="115">
        <f t="shared" si="477"/>
        <v>46220</v>
      </c>
      <c r="K484" s="115">
        <f t="shared" si="478"/>
        <v>46220</v>
      </c>
      <c r="L484" s="116"/>
      <c r="M484" s="116">
        <f t="shared" si="479"/>
        <v>46262</v>
      </c>
      <c r="N484" s="115">
        <f t="shared" si="480"/>
        <v>46262</v>
      </c>
      <c r="O484" s="116"/>
      <c r="P484" s="115">
        <f t="shared" si="481"/>
        <v>46304</v>
      </c>
      <c r="Q484" s="115">
        <f t="shared" si="482"/>
        <v>46304</v>
      </c>
      <c r="R484" s="116"/>
      <c r="S484" s="115">
        <f t="shared" si="484"/>
        <v>46318</v>
      </c>
      <c r="T484" s="115">
        <f t="shared" si="483"/>
        <v>46318</v>
      </c>
      <c r="U484" s="116"/>
      <c r="W484" s="174" t="str">
        <f t="shared" ca="1" si="485"/>
        <v>Overdue</v>
      </c>
      <c r="X484" s="174" t="str">
        <f t="shared" ca="1" si="486"/>
        <v/>
      </c>
      <c r="Y484" s="174" t="str">
        <f t="shared" ca="1" si="487"/>
        <v/>
      </c>
      <c r="Z484" s="175" t="str">
        <f t="shared" ca="1" si="488"/>
        <v/>
      </c>
    </row>
    <row r="485" spans="1:26" s="70" customFormat="1" ht="11.5" x14ac:dyDescent="0.25">
      <c r="A485" s="118" t="s">
        <v>68</v>
      </c>
      <c r="B485" s="118" t="s">
        <v>14</v>
      </c>
      <c r="C485" s="118" t="s">
        <v>616</v>
      </c>
      <c r="D485" s="118" t="s">
        <v>617</v>
      </c>
      <c r="E485" s="119">
        <f t="shared" si="474"/>
        <v>0.5</v>
      </c>
      <c r="F485" s="119">
        <f t="shared" si="475"/>
        <v>0.5</v>
      </c>
      <c r="G485" s="119">
        <f t="shared" si="475"/>
        <v>0</v>
      </c>
      <c r="H485" s="119">
        <f t="shared" si="476"/>
        <v>-0.5</v>
      </c>
      <c r="I485" s="120">
        <v>4.7E-2</v>
      </c>
      <c r="J485" s="115">
        <f t="shared" si="477"/>
        <v>46220</v>
      </c>
      <c r="K485" s="115">
        <f t="shared" si="478"/>
        <v>46220</v>
      </c>
      <c r="L485" s="116"/>
      <c r="M485" s="116">
        <f t="shared" si="479"/>
        <v>46262</v>
      </c>
      <c r="N485" s="115">
        <f t="shared" si="480"/>
        <v>46262</v>
      </c>
      <c r="O485" s="116"/>
      <c r="P485" s="115">
        <f t="shared" si="481"/>
        <v>46304</v>
      </c>
      <c r="Q485" s="115">
        <f t="shared" si="482"/>
        <v>46304</v>
      </c>
      <c r="R485" s="116"/>
      <c r="S485" s="115">
        <f t="shared" si="484"/>
        <v>46318</v>
      </c>
      <c r="T485" s="115">
        <f t="shared" si="483"/>
        <v>46318</v>
      </c>
      <c r="U485" s="116"/>
      <c r="W485" s="174" t="str">
        <f t="shared" ca="1" si="485"/>
        <v>Overdue</v>
      </c>
      <c r="X485" s="174" t="str">
        <f t="shared" ca="1" si="486"/>
        <v/>
      </c>
      <c r="Y485" s="174" t="str">
        <f t="shared" ca="1" si="487"/>
        <v/>
      </c>
      <c r="Z485" s="175" t="str">
        <f t="shared" ca="1" si="488"/>
        <v/>
      </c>
    </row>
    <row r="486" spans="1:26" s="70" customFormat="1" ht="11.5" x14ac:dyDescent="0.25">
      <c r="A486" s="118" t="s">
        <v>68</v>
      </c>
      <c r="B486" s="118" t="s">
        <v>14</v>
      </c>
      <c r="C486" s="118" t="s">
        <v>618</v>
      </c>
      <c r="D486" s="118" t="s">
        <v>619</v>
      </c>
      <c r="E486" s="119">
        <f t="shared" si="474"/>
        <v>0.5</v>
      </c>
      <c r="F486" s="119">
        <f t="shared" si="475"/>
        <v>0.5</v>
      </c>
      <c r="G486" s="119">
        <f t="shared" si="475"/>
        <v>0.5</v>
      </c>
      <c r="H486" s="119">
        <f t="shared" si="476"/>
        <v>0</v>
      </c>
      <c r="I486" s="120">
        <v>4.7E-2</v>
      </c>
      <c r="J486" s="115">
        <f t="shared" si="477"/>
        <v>46241</v>
      </c>
      <c r="K486" s="115">
        <f t="shared" si="478"/>
        <v>46241</v>
      </c>
      <c r="L486" s="115">
        <v>46142</v>
      </c>
      <c r="M486" s="116">
        <f t="shared" si="479"/>
        <v>46283</v>
      </c>
      <c r="N486" s="115">
        <f t="shared" si="480"/>
        <v>46283</v>
      </c>
      <c r="O486" s="116"/>
      <c r="P486" s="115">
        <f t="shared" si="481"/>
        <v>46325</v>
      </c>
      <c r="Q486" s="115">
        <f t="shared" si="482"/>
        <v>46325</v>
      </c>
      <c r="R486" s="116"/>
      <c r="S486" s="115">
        <f t="shared" si="484"/>
        <v>46339</v>
      </c>
      <c r="T486" s="115">
        <f t="shared" si="483"/>
        <v>46339</v>
      </c>
      <c r="U486" s="116"/>
      <c r="W486" s="174" t="str">
        <f t="shared" ca="1" si="485"/>
        <v>Completed</v>
      </c>
      <c r="X486" s="174" t="str">
        <f t="shared" ca="1" si="486"/>
        <v/>
      </c>
      <c r="Y486" s="174" t="str">
        <f t="shared" ca="1" si="487"/>
        <v/>
      </c>
      <c r="Z486" s="175" t="str">
        <f t="shared" ca="1" si="488"/>
        <v/>
      </c>
    </row>
    <row r="487" spans="1:26" s="70" customFormat="1" ht="11.5" x14ac:dyDescent="0.25">
      <c r="A487" s="118" t="s">
        <v>68</v>
      </c>
      <c r="B487" s="118" t="s">
        <v>14</v>
      </c>
      <c r="C487" s="118" t="s">
        <v>1106</v>
      </c>
      <c r="D487" s="118" t="s">
        <v>620</v>
      </c>
      <c r="E487" s="119">
        <f t="shared" si="474"/>
        <v>0.5</v>
      </c>
      <c r="F487" s="119">
        <f t="shared" si="475"/>
        <v>0.5</v>
      </c>
      <c r="G487" s="119">
        <f t="shared" si="475"/>
        <v>0.5</v>
      </c>
      <c r="H487" s="119">
        <f t="shared" si="476"/>
        <v>0</v>
      </c>
      <c r="I487" s="120">
        <v>4.7E-2</v>
      </c>
      <c r="J487" s="115">
        <f t="shared" si="477"/>
        <v>46241</v>
      </c>
      <c r="K487" s="115">
        <f t="shared" si="478"/>
        <v>46241</v>
      </c>
      <c r="L487" s="115">
        <v>46142</v>
      </c>
      <c r="M487" s="116">
        <f t="shared" si="479"/>
        <v>46283</v>
      </c>
      <c r="N487" s="115">
        <f t="shared" si="480"/>
        <v>46283</v>
      </c>
      <c r="O487" s="116"/>
      <c r="P487" s="115">
        <f t="shared" si="481"/>
        <v>46325</v>
      </c>
      <c r="Q487" s="115">
        <f t="shared" si="482"/>
        <v>46325</v>
      </c>
      <c r="R487" s="116"/>
      <c r="S487" s="115">
        <f t="shared" si="484"/>
        <v>46339</v>
      </c>
      <c r="T487" s="115">
        <f t="shared" si="483"/>
        <v>46339</v>
      </c>
      <c r="U487" s="116"/>
      <c r="W487" s="174" t="str">
        <f t="shared" ca="1" si="485"/>
        <v>Completed</v>
      </c>
      <c r="X487" s="174" t="str">
        <f t="shared" ca="1" si="486"/>
        <v/>
      </c>
      <c r="Y487" s="174" t="str">
        <f t="shared" ca="1" si="487"/>
        <v/>
      </c>
      <c r="Z487" s="175" t="str">
        <f t="shared" ca="1" si="488"/>
        <v/>
      </c>
    </row>
    <row r="488" spans="1:26" s="70" customFormat="1" ht="11.5" x14ac:dyDescent="0.25">
      <c r="A488" s="118" t="s">
        <v>68</v>
      </c>
      <c r="B488" s="118" t="s">
        <v>14</v>
      </c>
      <c r="C488" s="118" t="s">
        <v>1107</v>
      </c>
      <c r="D488" s="118" t="s">
        <v>621</v>
      </c>
      <c r="E488" s="119">
        <f t="shared" si="474"/>
        <v>0.5</v>
      </c>
      <c r="F488" s="119">
        <f t="shared" si="475"/>
        <v>0.5</v>
      </c>
      <c r="G488" s="119">
        <f t="shared" si="475"/>
        <v>0.5</v>
      </c>
      <c r="H488" s="119">
        <f t="shared" si="476"/>
        <v>0</v>
      </c>
      <c r="I488" s="120">
        <v>4.7E-2</v>
      </c>
      <c r="J488" s="115">
        <f t="shared" si="477"/>
        <v>46241</v>
      </c>
      <c r="K488" s="115">
        <f t="shared" si="478"/>
        <v>46241</v>
      </c>
      <c r="L488" s="115">
        <v>46142</v>
      </c>
      <c r="M488" s="116">
        <f t="shared" si="479"/>
        <v>46283</v>
      </c>
      <c r="N488" s="115">
        <f t="shared" si="480"/>
        <v>46283</v>
      </c>
      <c r="O488" s="116"/>
      <c r="P488" s="115">
        <f t="shared" si="481"/>
        <v>46325</v>
      </c>
      <c r="Q488" s="115">
        <f t="shared" si="482"/>
        <v>46325</v>
      </c>
      <c r="R488" s="116"/>
      <c r="S488" s="115">
        <f t="shared" si="484"/>
        <v>46339</v>
      </c>
      <c r="T488" s="115">
        <f t="shared" si="483"/>
        <v>46339</v>
      </c>
      <c r="U488" s="116"/>
      <c r="W488" s="174" t="str">
        <f t="shared" ca="1" si="485"/>
        <v>Completed</v>
      </c>
      <c r="X488" s="174" t="str">
        <f t="shared" ca="1" si="486"/>
        <v/>
      </c>
      <c r="Y488" s="174" t="str">
        <f t="shared" ca="1" si="487"/>
        <v/>
      </c>
      <c r="Z488" s="175" t="str">
        <f t="shared" ca="1" si="488"/>
        <v/>
      </c>
    </row>
    <row r="489" spans="1:26" s="70" customFormat="1" ht="9" customHeight="1" x14ac:dyDescent="0.25">
      <c r="A489" s="118" t="s">
        <v>68</v>
      </c>
      <c r="B489" s="118" t="s">
        <v>14</v>
      </c>
      <c r="C489" s="118" t="s">
        <v>1108</v>
      </c>
      <c r="D489" s="118" t="s">
        <v>622</v>
      </c>
      <c r="E489" s="119">
        <f t="shared" si="474"/>
        <v>0.5</v>
      </c>
      <c r="F489" s="119">
        <f t="shared" si="475"/>
        <v>0.5</v>
      </c>
      <c r="G489" s="119">
        <f t="shared" si="475"/>
        <v>0.5</v>
      </c>
      <c r="H489" s="119">
        <f t="shared" si="476"/>
        <v>0</v>
      </c>
      <c r="I489" s="120">
        <v>4.7E-2</v>
      </c>
      <c r="J489" s="115">
        <f t="shared" si="477"/>
        <v>46241</v>
      </c>
      <c r="K489" s="115">
        <f t="shared" si="478"/>
        <v>46241</v>
      </c>
      <c r="L489" s="115">
        <v>46142</v>
      </c>
      <c r="M489" s="116">
        <f t="shared" si="479"/>
        <v>46283</v>
      </c>
      <c r="N489" s="115">
        <f t="shared" si="480"/>
        <v>46283</v>
      </c>
      <c r="O489" s="116"/>
      <c r="P489" s="115">
        <f t="shared" si="481"/>
        <v>46325</v>
      </c>
      <c r="Q489" s="115">
        <f t="shared" si="482"/>
        <v>46325</v>
      </c>
      <c r="R489" s="116"/>
      <c r="S489" s="115">
        <f t="shared" si="484"/>
        <v>46339</v>
      </c>
      <c r="T489" s="115">
        <f t="shared" si="483"/>
        <v>46339</v>
      </c>
      <c r="U489" s="116"/>
      <c r="W489" s="174" t="str">
        <f t="shared" ca="1" si="485"/>
        <v>Completed</v>
      </c>
      <c r="X489" s="174" t="str">
        <f t="shared" ca="1" si="486"/>
        <v/>
      </c>
      <c r="Y489" s="174" t="str">
        <f t="shared" ca="1" si="487"/>
        <v/>
      </c>
      <c r="Z489" s="175" t="str">
        <f t="shared" ca="1" si="488"/>
        <v/>
      </c>
    </row>
    <row r="490" spans="1:26" s="70" customFormat="1" ht="9" customHeight="1" x14ac:dyDescent="0.25">
      <c r="A490" s="118" t="s">
        <v>68</v>
      </c>
      <c r="B490" s="118" t="s">
        <v>14</v>
      </c>
      <c r="C490" s="118" t="s">
        <v>1109</v>
      </c>
      <c r="D490" s="118" t="s">
        <v>623</v>
      </c>
      <c r="E490" s="119">
        <f t="shared" ref="E490" si="489">(COUNTIFS(J490,"&lt;="&amp;$C$1)*50%)+(COUNTIFS(M490,"&lt;="&amp;$C$1)*20%)+(COUNTIFS(P490,"&lt;="&amp;$C$1)*10%)+(COUNTIFS(S490,"&lt;="&amp;$C$1)*20%)</f>
        <v>0.5</v>
      </c>
      <c r="F490" s="119">
        <f t="shared" ref="F490" si="490">(COUNTIFS(K490,"&lt;="&amp;$C$1)*50%)+(COUNTIFS(N490,"&lt;="&amp;$C$1)*20%)+(COUNTIFS(Q490,"&lt;="&amp;$C$1)*10%)+(COUNTIFS(T490,"&lt;="&amp;$C$1)*20%)</f>
        <v>0.5</v>
      </c>
      <c r="G490" s="119">
        <f t="shared" ref="G490" si="491">(COUNTIFS(L490,"&lt;="&amp;$C$1)*50%)+(COUNTIFS(O490,"&lt;="&amp;$C$1)*20%)+(COUNTIFS(R490,"&lt;="&amp;$C$1)*10%)+(COUNTIFS(U490,"&lt;="&amp;$C$1)*20%)</f>
        <v>0.5</v>
      </c>
      <c r="H490" s="119">
        <f t="shared" ref="H490" si="492">G490-E490</f>
        <v>0</v>
      </c>
      <c r="I490" s="120">
        <v>4.7E-2</v>
      </c>
      <c r="J490" s="115">
        <f t="shared" si="477"/>
        <v>46241</v>
      </c>
      <c r="K490" s="115">
        <f t="shared" si="478"/>
        <v>46241</v>
      </c>
      <c r="L490" s="115">
        <v>46142</v>
      </c>
      <c r="M490" s="116">
        <f t="shared" si="479"/>
        <v>46283</v>
      </c>
      <c r="N490" s="115">
        <f t="shared" si="480"/>
        <v>46283</v>
      </c>
      <c r="O490" s="116"/>
      <c r="P490" s="115">
        <f t="shared" si="481"/>
        <v>46325</v>
      </c>
      <c r="Q490" s="115">
        <f t="shared" si="482"/>
        <v>46325</v>
      </c>
      <c r="R490" s="116"/>
      <c r="S490" s="115">
        <f t="shared" si="484"/>
        <v>46339</v>
      </c>
      <c r="T490" s="115">
        <f t="shared" si="483"/>
        <v>46339</v>
      </c>
      <c r="U490" s="116"/>
      <c r="W490" s="174" t="str">
        <f t="shared" ca="1" si="485"/>
        <v>Completed</v>
      </c>
      <c r="X490" s="174" t="str">
        <f t="shared" ca="1" si="486"/>
        <v/>
      </c>
      <c r="Y490" s="174" t="str">
        <f t="shared" ca="1" si="487"/>
        <v/>
      </c>
      <c r="Z490" s="175" t="str">
        <f t="shared" ca="1" si="488"/>
        <v/>
      </c>
    </row>
    <row r="491" spans="1:26" s="70" customFormat="1" ht="11.5" x14ac:dyDescent="0.25">
      <c r="A491" s="118" t="s">
        <v>68</v>
      </c>
      <c r="B491" s="118" t="s">
        <v>14</v>
      </c>
      <c r="C491" s="118" t="s">
        <v>1110</v>
      </c>
      <c r="D491" s="118" t="s">
        <v>624</v>
      </c>
      <c r="E491" s="119">
        <f t="shared" si="474"/>
        <v>0.5</v>
      </c>
      <c r="F491" s="119">
        <f t="shared" si="475"/>
        <v>0.5</v>
      </c>
      <c r="G491" s="119">
        <f t="shared" si="475"/>
        <v>0.5</v>
      </c>
      <c r="H491" s="119">
        <f t="shared" si="476"/>
        <v>0</v>
      </c>
      <c r="I491" s="120">
        <v>4.7E-2</v>
      </c>
      <c r="J491" s="115">
        <f t="shared" si="477"/>
        <v>46241</v>
      </c>
      <c r="K491" s="115">
        <f t="shared" si="478"/>
        <v>46241</v>
      </c>
      <c r="L491" s="115">
        <v>46142</v>
      </c>
      <c r="M491" s="116">
        <f t="shared" si="479"/>
        <v>46283</v>
      </c>
      <c r="N491" s="115">
        <f t="shared" si="480"/>
        <v>46283</v>
      </c>
      <c r="O491" s="116"/>
      <c r="P491" s="115">
        <f t="shared" si="481"/>
        <v>46325</v>
      </c>
      <c r="Q491" s="115">
        <f t="shared" si="482"/>
        <v>46325</v>
      </c>
      <c r="R491" s="116"/>
      <c r="S491" s="115">
        <f t="shared" si="484"/>
        <v>46339</v>
      </c>
      <c r="T491" s="115">
        <f t="shared" si="483"/>
        <v>46339</v>
      </c>
      <c r="U491" s="116"/>
      <c r="W491" s="174" t="str">
        <f t="shared" ca="1" si="485"/>
        <v>Completed</v>
      </c>
      <c r="X491" s="174" t="str">
        <f t="shared" ca="1" si="486"/>
        <v/>
      </c>
      <c r="Y491" s="174" t="str">
        <f t="shared" ca="1" si="487"/>
        <v/>
      </c>
      <c r="Z491" s="175" t="str">
        <f t="shared" ca="1" si="488"/>
        <v/>
      </c>
    </row>
    <row r="492" spans="1:26" s="70" customFormat="1" ht="11.5" x14ac:dyDescent="0.25">
      <c r="A492" s="118" t="s">
        <v>68</v>
      </c>
      <c r="B492" s="118" t="s">
        <v>14</v>
      </c>
      <c r="C492" s="118" t="s">
        <v>1111</v>
      </c>
      <c r="D492" s="118" t="s">
        <v>625</v>
      </c>
      <c r="E492" s="119">
        <f t="shared" si="474"/>
        <v>0.5</v>
      </c>
      <c r="F492" s="119">
        <f t="shared" si="475"/>
        <v>0.5</v>
      </c>
      <c r="G492" s="119">
        <f t="shared" si="475"/>
        <v>0.5</v>
      </c>
      <c r="H492" s="119">
        <f t="shared" si="476"/>
        <v>0</v>
      </c>
      <c r="I492" s="120">
        <v>4.7E-2</v>
      </c>
      <c r="J492" s="115">
        <f t="shared" si="477"/>
        <v>46241</v>
      </c>
      <c r="K492" s="115">
        <f t="shared" si="478"/>
        <v>46241</v>
      </c>
      <c r="L492" s="115">
        <v>46142</v>
      </c>
      <c r="M492" s="116">
        <f t="shared" si="479"/>
        <v>46283</v>
      </c>
      <c r="N492" s="115">
        <f t="shared" si="480"/>
        <v>46283</v>
      </c>
      <c r="O492" s="116"/>
      <c r="P492" s="115">
        <f t="shared" si="481"/>
        <v>46325</v>
      </c>
      <c r="Q492" s="115">
        <f t="shared" si="482"/>
        <v>46325</v>
      </c>
      <c r="R492" s="116"/>
      <c r="S492" s="115">
        <f t="shared" si="484"/>
        <v>46339</v>
      </c>
      <c r="T492" s="115">
        <f t="shared" si="483"/>
        <v>46339</v>
      </c>
      <c r="U492" s="116"/>
      <c r="W492" s="174" t="str">
        <f t="shared" ca="1" si="485"/>
        <v>Completed</v>
      </c>
      <c r="X492" s="174" t="str">
        <f t="shared" ca="1" si="486"/>
        <v/>
      </c>
      <c r="Y492" s="174" t="str">
        <f t="shared" ca="1" si="487"/>
        <v/>
      </c>
      <c r="Z492" s="175" t="str">
        <f t="shared" ca="1" si="488"/>
        <v/>
      </c>
    </row>
    <row r="493" spans="1:26" s="70" customFormat="1" ht="11.5" x14ac:dyDescent="0.25">
      <c r="A493" s="118" t="s">
        <v>68</v>
      </c>
      <c r="B493" s="118" t="s">
        <v>14</v>
      </c>
      <c r="C493" s="118" t="s">
        <v>1112</v>
      </c>
      <c r="D493" s="118" t="s">
        <v>626</v>
      </c>
      <c r="E493" s="119">
        <f t="shared" si="474"/>
        <v>0.5</v>
      </c>
      <c r="F493" s="119">
        <f t="shared" si="475"/>
        <v>0.5</v>
      </c>
      <c r="G493" s="119">
        <f t="shared" si="475"/>
        <v>0.5</v>
      </c>
      <c r="H493" s="119">
        <f t="shared" si="476"/>
        <v>0</v>
      </c>
      <c r="I493" s="120">
        <v>4.7E-2</v>
      </c>
      <c r="J493" s="115">
        <f t="shared" ref="J493:J506" si="493">J378+28</f>
        <v>46241</v>
      </c>
      <c r="K493" s="115">
        <f t="shared" si="478"/>
        <v>46241</v>
      </c>
      <c r="L493" s="115">
        <v>46142</v>
      </c>
      <c r="M493" s="116">
        <f t="shared" si="479"/>
        <v>46283</v>
      </c>
      <c r="N493" s="115">
        <f t="shared" si="480"/>
        <v>46283</v>
      </c>
      <c r="O493" s="116"/>
      <c r="P493" s="115">
        <f t="shared" si="481"/>
        <v>46325</v>
      </c>
      <c r="Q493" s="115">
        <f t="shared" si="482"/>
        <v>46325</v>
      </c>
      <c r="R493" s="116"/>
      <c r="S493" s="115">
        <f t="shared" si="484"/>
        <v>46339</v>
      </c>
      <c r="T493" s="115">
        <f t="shared" si="483"/>
        <v>46339</v>
      </c>
      <c r="U493" s="116"/>
      <c r="W493" s="174" t="str">
        <f t="shared" ca="1" si="485"/>
        <v>Completed</v>
      </c>
      <c r="X493" s="174" t="str">
        <f t="shared" ca="1" si="486"/>
        <v/>
      </c>
      <c r="Y493" s="174" t="str">
        <f t="shared" ca="1" si="487"/>
        <v/>
      </c>
      <c r="Z493" s="175" t="str">
        <f t="shared" ca="1" si="488"/>
        <v/>
      </c>
    </row>
    <row r="494" spans="1:26" s="70" customFormat="1" ht="11.5" x14ac:dyDescent="0.25">
      <c r="A494" s="118" t="s">
        <v>68</v>
      </c>
      <c r="B494" s="118" t="s">
        <v>14</v>
      </c>
      <c r="C494" s="118" t="s">
        <v>1113</v>
      </c>
      <c r="D494" s="118" t="s">
        <v>627</v>
      </c>
      <c r="E494" s="119">
        <f t="shared" si="474"/>
        <v>0.5</v>
      </c>
      <c r="F494" s="119">
        <f t="shared" si="475"/>
        <v>0.5</v>
      </c>
      <c r="G494" s="119">
        <f t="shared" si="475"/>
        <v>0.5</v>
      </c>
      <c r="H494" s="119">
        <f t="shared" si="476"/>
        <v>0</v>
      </c>
      <c r="I494" s="120">
        <v>4.7E-2</v>
      </c>
      <c r="J494" s="115">
        <f t="shared" si="493"/>
        <v>46241</v>
      </c>
      <c r="K494" s="115">
        <f t="shared" si="478"/>
        <v>46241</v>
      </c>
      <c r="L494" s="115">
        <v>46142</v>
      </c>
      <c r="M494" s="116">
        <f t="shared" si="479"/>
        <v>46283</v>
      </c>
      <c r="N494" s="115">
        <f t="shared" si="480"/>
        <v>46283</v>
      </c>
      <c r="O494" s="116"/>
      <c r="P494" s="115">
        <f t="shared" si="481"/>
        <v>46325</v>
      </c>
      <c r="Q494" s="115">
        <f t="shared" si="482"/>
        <v>46325</v>
      </c>
      <c r="R494" s="116"/>
      <c r="S494" s="115">
        <f t="shared" si="484"/>
        <v>46339</v>
      </c>
      <c r="T494" s="115">
        <f t="shared" si="483"/>
        <v>46339</v>
      </c>
      <c r="U494" s="116"/>
      <c r="W494" s="174" t="str">
        <f t="shared" ca="1" si="485"/>
        <v>Completed</v>
      </c>
      <c r="X494" s="174" t="str">
        <f t="shared" ca="1" si="486"/>
        <v/>
      </c>
      <c r="Y494" s="174" t="str">
        <f t="shared" ca="1" si="487"/>
        <v/>
      </c>
      <c r="Z494" s="175" t="str">
        <f t="shared" ca="1" si="488"/>
        <v/>
      </c>
    </row>
    <row r="495" spans="1:26" s="70" customFormat="1" ht="11.5" x14ac:dyDescent="0.25">
      <c r="A495" s="118" t="s">
        <v>68</v>
      </c>
      <c r="B495" s="118" t="s">
        <v>14</v>
      </c>
      <c r="C495" s="118" t="s">
        <v>1114</v>
      </c>
      <c r="D495" s="118" t="s">
        <v>628</v>
      </c>
      <c r="E495" s="119">
        <f t="shared" si="474"/>
        <v>0.5</v>
      </c>
      <c r="F495" s="119">
        <f t="shared" si="475"/>
        <v>0.5</v>
      </c>
      <c r="G495" s="119">
        <f t="shared" si="475"/>
        <v>0.5</v>
      </c>
      <c r="H495" s="119">
        <f t="shared" si="476"/>
        <v>0</v>
      </c>
      <c r="I495" s="120">
        <v>4.7E-2</v>
      </c>
      <c r="J495" s="115">
        <f t="shared" si="493"/>
        <v>46241</v>
      </c>
      <c r="K495" s="115">
        <f t="shared" si="478"/>
        <v>46241</v>
      </c>
      <c r="L495" s="115">
        <v>46142</v>
      </c>
      <c r="M495" s="116">
        <f t="shared" si="479"/>
        <v>46283</v>
      </c>
      <c r="N495" s="115">
        <f t="shared" si="480"/>
        <v>46283</v>
      </c>
      <c r="O495" s="116"/>
      <c r="P495" s="115">
        <f t="shared" si="481"/>
        <v>46325</v>
      </c>
      <c r="Q495" s="115">
        <f t="shared" si="482"/>
        <v>46325</v>
      </c>
      <c r="R495" s="116"/>
      <c r="S495" s="115">
        <f t="shared" si="484"/>
        <v>46339</v>
      </c>
      <c r="T495" s="115">
        <f t="shared" si="483"/>
        <v>46339</v>
      </c>
      <c r="U495" s="116"/>
      <c r="W495" s="174" t="str">
        <f t="shared" ca="1" si="485"/>
        <v>Completed</v>
      </c>
      <c r="X495" s="174" t="str">
        <f t="shared" ca="1" si="486"/>
        <v/>
      </c>
      <c r="Y495" s="174" t="str">
        <f t="shared" ca="1" si="487"/>
        <v/>
      </c>
      <c r="Z495" s="175" t="str">
        <f t="shared" ca="1" si="488"/>
        <v/>
      </c>
    </row>
    <row r="496" spans="1:26" s="70" customFormat="1" ht="11.5" x14ac:dyDescent="0.25">
      <c r="A496" s="118" t="s">
        <v>68</v>
      </c>
      <c r="B496" s="118" t="s">
        <v>14</v>
      </c>
      <c r="C496" s="118" t="s">
        <v>1115</v>
      </c>
      <c r="D496" s="118" t="s">
        <v>629</v>
      </c>
      <c r="E496" s="119">
        <f t="shared" si="474"/>
        <v>0.5</v>
      </c>
      <c r="F496" s="119">
        <f t="shared" si="475"/>
        <v>0.5</v>
      </c>
      <c r="G496" s="119">
        <f t="shared" si="475"/>
        <v>0.5</v>
      </c>
      <c r="H496" s="119">
        <f t="shared" si="476"/>
        <v>0</v>
      </c>
      <c r="I496" s="120">
        <v>4.7E-2</v>
      </c>
      <c r="J496" s="115">
        <f t="shared" si="493"/>
        <v>46241</v>
      </c>
      <c r="K496" s="115">
        <f t="shared" si="478"/>
        <v>46241</v>
      </c>
      <c r="L496" s="115">
        <v>46142</v>
      </c>
      <c r="M496" s="116">
        <f t="shared" si="479"/>
        <v>46283</v>
      </c>
      <c r="N496" s="115">
        <f t="shared" si="480"/>
        <v>46283</v>
      </c>
      <c r="O496" s="116"/>
      <c r="P496" s="115">
        <f t="shared" si="481"/>
        <v>46325</v>
      </c>
      <c r="Q496" s="115">
        <f t="shared" si="482"/>
        <v>46325</v>
      </c>
      <c r="R496" s="116"/>
      <c r="S496" s="115">
        <f t="shared" si="484"/>
        <v>46339</v>
      </c>
      <c r="T496" s="115">
        <f t="shared" si="483"/>
        <v>46339</v>
      </c>
      <c r="U496" s="116"/>
      <c r="W496" s="174" t="str">
        <f t="shared" ca="1" si="485"/>
        <v>Completed</v>
      </c>
      <c r="X496" s="174" t="str">
        <f t="shared" ca="1" si="486"/>
        <v/>
      </c>
      <c r="Y496" s="174" t="str">
        <f t="shared" ca="1" si="487"/>
        <v/>
      </c>
      <c r="Z496" s="175" t="str">
        <f t="shared" ca="1" si="488"/>
        <v/>
      </c>
    </row>
    <row r="497" spans="1:26" s="70" customFormat="1" ht="11.5" x14ac:dyDescent="0.25">
      <c r="A497" s="118" t="s">
        <v>68</v>
      </c>
      <c r="B497" s="118" t="s">
        <v>14</v>
      </c>
      <c r="C497" s="118" t="s">
        <v>1116</v>
      </c>
      <c r="D497" s="118" t="s">
        <v>630</v>
      </c>
      <c r="E497" s="119">
        <f t="shared" si="474"/>
        <v>0.5</v>
      </c>
      <c r="F497" s="119">
        <f t="shared" si="475"/>
        <v>0.5</v>
      </c>
      <c r="G497" s="119">
        <f t="shared" si="475"/>
        <v>0.5</v>
      </c>
      <c r="H497" s="119">
        <f t="shared" si="476"/>
        <v>0</v>
      </c>
      <c r="I497" s="120">
        <v>4.7E-2</v>
      </c>
      <c r="J497" s="115">
        <f t="shared" si="493"/>
        <v>46241</v>
      </c>
      <c r="K497" s="115">
        <f t="shared" si="478"/>
        <v>46241</v>
      </c>
      <c r="L497" s="115">
        <v>46142</v>
      </c>
      <c r="M497" s="116">
        <f t="shared" si="479"/>
        <v>46283</v>
      </c>
      <c r="N497" s="115">
        <f t="shared" si="480"/>
        <v>46283</v>
      </c>
      <c r="O497" s="116"/>
      <c r="P497" s="115">
        <f t="shared" si="481"/>
        <v>46325</v>
      </c>
      <c r="Q497" s="115">
        <f t="shared" si="482"/>
        <v>46325</v>
      </c>
      <c r="R497" s="116"/>
      <c r="S497" s="115">
        <f t="shared" si="484"/>
        <v>46339</v>
      </c>
      <c r="T497" s="115">
        <f t="shared" si="483"/>
        <v>46339</v>
      </c>
      <c r="U497" s="116"/>
      <c r="W497" s="174" t="str">
        <f t="shared" ca="1" si="485"/>
        <v>Completed</v>
      </c>
      <c r="X497" s="174" t="str">
        <f t="shared" ca="1" si="486"/>
        <v/>
      </c>
      <c r="Y497" s="174" t="str">
        <f t="shared" ca="1" si="487"/>
        <v/>
      </c>
      <c r="Z497" s="175" t="str">
        <f t="shared" ca="1" si="488"/>
        <v/>
      </c>
    </row>
    <row r="498" spans="1:26" s="70" customFormat="1" ht="11.5" x14ac:dyDescent="0.25">
      <c r="A498" s="118" t="s">
        <v>68</v>
      </c>
      <c r="B498" s="118" t="s">
        <v>14</v>
      </c>
      <c r="C498" s="118" t="s">
        <v>1117</v>
      </c>
      <c r="D498" s="118" t="s">
        <v>631</v>
      </c>
      <c r="E498" s="119">
        <f t="shared" si="474"/>
        <v>0.5</v>
      </c>
      <c r="F498" s="119">
        <f t="shared" si="475"/>
        <v>0.5</v>
      </c>
      <c r="G498" s="119">
        <f t="shared" si="475"/>
        <v>0.5</v>
      </c>
      <c r="H498" s="119">
        <f t="shared" si="476"/>
        <v>0</v>
      </c>
      <c r="I498" s="120">
        <v>4.7E-2</v>
      </c>
      <c r="J498" s="115">
        <f t="shared" si="493"/>
        <v>46241</v>
      </c>
      <c r="K498" s="115">
        <f t="shared" si="478"/>
        <v>46241</v>
      </c>
      <c r="L498" s="115">
        <v>46142</v>
      </c>
      <c r="M498" s="116">
        <f t="shared" si="479"/>
        <v>46283</v>
      </c>
      <c r="N498" s="115">
        <f t="shared" si="480"/>
        <v>46283</v>
      </c>
      <c r="O498" s="116"/>
      <c r="P498" s="115">
        <f t="shared" si="481"/>
        <v>46325</v>
      </c>
      <c r="Q498" s="115">
        <f t="shared" si="482"/>
        <v>46325</v>
      </c>
      <c r="R498" s="116"/>
      <c r="S498" s="115">
        <f t="shared" si="484"/>
        <v>46339</v>
      </c>
      <c r="T498" s="115">
        <f t="shared" si="483"/>
        <v>46339</v>
      </c>
      <c r="U498" s="116"/>
      <c r="W498" s="174" t="str">
        <f t="shared" ca="1" si="485"/>
        <v>Completed</v>
      </c>
      <c r="X498" s="174" t="str">
        <f t="shared" ca="1" si="486"/>
        <v/>
      </c>
      <c r="Y498" s="174" t="str">
        <f t="shared" ca="1" si="487"/>
        <v/>
      </c>
      <c r="Z498" s="175" t="str">
        <f t="shared" ca="1" si="488"/>
        <v/>
      </c>
    </row>
    <row r="499" spans="1:26" s="70" customFormat="1" ht="11.5" x14ac:dyDescent="0.25">
      <c r="A499" s="118" t="s">
        <v>68</v>
      </c>
      <c r="B499" s="118" t="s">
        <v>14</v>
      </c>
      <c r="C499" s="118" t="s">
        <v>1118</v>
      </c>
      <c r="D499" s="118" t="s">
        <v>632</v>
      </c>
      <c r="E499" s="119">
        <f t="shared" si="474"/>
        <v>0.5</v>
      </c>
      <c r="F499" s="119">
        <f t="shared" si="475"/>
        <v>0.5</v>
      </c>
      <c r="G499" s="119">
        <f t="shared" si="475"/>
        <v>0.5</v>
      </c>
      <c r="H499" s="119">
        <f t="shared" si="476"/>
        <v>0</v>
      </c>
      <c r="I499" s="120">
        <v>4.7E-2</v>
      </c>
      <c r="J499" s="115">
        <f t="shared" si="493"/>
        <v>46241</v>
      </c>
      <c r="K499" s="115">
        <f t="shared" si="478"/>
        <v>46241</v>
      </c>
      <c r="L499" s="115">
        <v>46142</v>
      </c>
      <c r="M499" s="116">
        <f t="shared" si="479"/>
        <v>46283</v>
      </c>
      <c r="N499" s="115">
        <f t="shared" si="480"/>
        <v>46283</v>
      </c>
      <c r="O499" s="116"/>
      <c r="P499" s="115">
        <f t="shared" si="481"/>
        <v>46325</v>
      </c>
      <c r="Q499" s="115">
        <f t="shared" si="482"/>
        <v>46325</v>
      </c>
      <c r="R499" s="116"/>
      <c r="S499" s="115">
        <f t="shared" si="484"/>
        <v>46339</v>
      </c>
      <c r="T499" s="115">
        <f t="shared" si="483"/>
        <v>46339</v>
      </c>
      <c r="U499" s="116"/>
      <c r="W499" s="174" t="str">
        <f t="shared" ca="1" si="485"/>
        <v>Completed</v>
      </c>
      <c r="X499" s="174" t="str">
        <f t="shared" ca="1" si="486"/>
        <v/>
      </c>
      <c r="Y499" s="174" t="str">
        <f t="shared" ca="1" si="487"/>
        <v/>
      </c>
      <c r="Z499" s="175" t="str">
        <f t="shared" ca="1" si="488"/>
        <v/>
      </c>
    </row>
    <row r="500" spans="1:26" s="70" customFormat="1" ht="11.5" x14ac:dyDescent="0.25">
      <c r="A500" s="118" t="s">
        <v>68</v>
      </c>
      <c r="B500" s="118" t="s">
        <v>14</v>
      </c>
      <c r="C500" s="118" t="s">
        <v>1119</v>
      </c>
      <c r="D500" s="118" t="s">
        <v>633</v>
      </c>
      <c r="E500" s="119">
        <f t="shared" ref="E500:E570" si="494">(COUNTIFS(J500,"&lt;="&amp;$C$1)*50%)+(COUNTIFS(M500,"&lt;="&amp;$C$1)*20%)+(COUNTIFS(P500,"&lt;="&amp;$C$1)*10%)+(COUNTIFS(S500,"&lt;="&amp;$C$1)*20%)</f>
        <v>0.5</v>
      </c>
      <c r="F500" s="119">
        <f t="shared" ref="F500:G570" si="495">(COUNTIFS(K500,"&lt;="&amp;$C$1)*50%)+(COUNTIFS(N500,"&lt;="&amp;$C$1)*20%)+(COUNTIFS(Q500,"&lt;="&amp;$C$1)*10%)+(COUNTIFS(T500,"&lt;="&amp;$C$1)*20%)</f>
        <v>0.5</v>
      </c>
      <c r="G500" s="119">
        <f t="shared" si="495"/>
        <v>0.5</v>
      </c>
      <c r="H500" s="119">
        <f t="shared" ref="H500:H570" si="496">G500-E500</f>
        <v>0</v>
      </c>
      <c r="I500" s="120">
        <v>4.7E-2</v>
      </c>
      <c r="J500" s="115">
        <f t="shared" si="493"/>
        <v>46241</v>
      </c>
      <c r="K500" s="115">
        <f t="shared" si="478"/>
        <v>46241</v>
      </c>
      <c r="L500" s="115">
        <v>46142</v>
      </c>
      <c r="M500" s="116">
        <f t="shared" si="479"/>
        <v>46283</v>
      </c>
      <c r="N500" s="115">
        <f t="shared" si="480"/>
        <v>46283</v>
      </c>
      <c r="O500" s="116"/>
      <c r="P500" s="115">
        <f t="shared" si="481"/>
        <v>46325</v>
      </c>
      <c r="Q500" s="115">
        <f t="shared" si="482"/>
        <v>46325</v>
      </c>
      <c r="R500" s="116"/>
      <c r="S500" s="115">
        <f t="shared" si="484"/>
        <v>46339</v>
      </c>
      <c r="T500" s="115">
        <f t="shared" si="483"/>
        <v>46339</v>
      </c>
      <c r="U500" s="116"/>
      <c r="W500" s="174" t="str">
        <f t="shared" ca="1" si="485"/>
        <v>Completed</v>
      </c>
      <c r="X500" s="174" t="str">
        <f t="shared" ca="1" si="486"/>
        <v/>
      </c>
      <c r="Y500" s="174" t="str">
        <f t="shared" ca="1" si="487"/>
        <v/>
      </c>
      <c r="Z500" s="175" t="str">
        <f t="shared" ca="1" si="488"/>
        <v/>
      </c>
    </row>
    <row r="501" spans="1:26" s="70" customFormat="1" ht="11.5" x14ac:dyDescent="0.25">
      <c r="A501" s="118" t="s">
        <v>68</v>
      </c>
      <c r="B501" s="118" t="s">
        <v>14</v>
      </c>
      <c r="C501" s="118" t="s">
        <v>1120</v>
      </c>
      <c r="D501" s="118" t="s">
        <v>634</v>
      </c>
      <c r="E501" s="119">
        <f t="shared" si="494"/>
        <v>0.5</v>
      </c>
      <c r="F501" s="119">
        <f t="shared" si="495"/>
        <v>0.5</v>
      </c>
      <c r="G501" s="119">
        <f t="shared" si="495"/>
        <v>0.5</v>
      </c>
      <c r="H501" s="119">
        <f t="shared" si="496"/>
        <v>0</v>
      </c>
      <c r="I501" s="120">
        <v>4.7E-2</v>
      </c>
      <c r="J501" s="115">
        <f t="shared" si="493"/>
        <v>46241</v>
      </c>
      <c r="K501" s="115">
        <f t="shared" si="478"/>
        <v>46241</v>
      </c>
      <c r="L501" s="115">
        <v>46142</v>
      </c>
      <c r="M501" s="116">
        <f t="shared" si="479"/>
        <v>46283</v>
      </c>
      <c r="N501" s="115">
        <f t="shared" si="480"/>
        <v>46283</v>
      </c>
      <c r="O501" s="116"/>
      <c r="P501" s="115">
        <f t="shared" si="481"/>
        <v>46325</v>
      </c>
      <c r="Q501" s="115">
        <f t="shared" si="482"/>
        <v>46325</v>
      </c>
      <c r="R501" s="116"/>
      <c r="S501" s="115">
        <f t="shared" si="484"/>
        <v>46339</v>
      </c>
      <c r="T501" s="115">
        <f t="shared" si="483"/>
        <v>46339</v>
      </c>
      <c r="U501" s="116"/>
      <c r="W501" s="174" t="str">
        <f t="shared" ca="1" si="485"/>
        <v>Completed</v>
      </c>
      <c r="X501" s="174" t="str">
        <f t="shared" ca="1" si="486"/>
        <v/>
      </c>
      <c r="Y501" s="174" t="str">
        <f t="shared" ca="1" si="487"/>
        <v/>
      </c>
      <c r="Z501" s="175" t="str">
        <f t="shared" ca="1" si="488"/>
        <v/>
      </c>
    </row>
    <row r="502" spans="1:26" s="70" customFormat="1" ht="11.5" x14ac:dyDescent="0.25">
      <c r="A502" s="118" t="s">
        <v>68</v>
      </c>
      <c r="B502" s="118" t="s">
        <v>14</v>
      </c>
      <c r="C502" s="118" t="s">
        <v>1121</v>
      </c>
      <c r="D502" s="118" t="s">
        <v>635</v>
      </c>
      <c r="E502" s="119">
        <f t="shared" si="494"/>
        <v>0.5</v>
      </c>
      <c r="F502" s="119">
        <f t="shared" si="495"/>
        <v>0.5</v>
      </c>
      <c r="G502" s="119">
        <f t="shared" si="495"/>
        <v>0.5</v>
      </c>
      <c r="H502" s="119">
        <f t="shared" si="496"/>
        <v>0</v>
      </c>
      <c r="I502" s="120">
        <v>4.7E-2</v>
      </c>
      <c r="J502" s="115">
        <f t="shared" si="493"/>
        <v>46241</v>
      </c>
      <c r="K502" s="115">
        <f t="shared" si="478"/>
        <v>46241</v>
      </c>
      <c r="L502" s="115">
        <v>46142</v>
      </c>
      <c r="M502" s="116">
        <f t="shared" si="479"/>
        <v>46283</v>
      </c>
      <c r="N502" s="115">
        <f t="shared" si="480"/>
        <v>46283</v>
      </c>
      <c r="O502" s="116"/>
      <c r="P502" s="115">
        <f t="shared" si="481"/>
        <v>46325</v>
      </c>
      <c r="Q502" s="115">
        <f t="shared" si="482"/>
        <v>46325</v>
      </c>
      <c r="R502" s="115"/>
      <c r="S502" s="115">
        <f t="shared" si="484"/>
        <v>46339</v>
      </c>
      <c r="T502" s="115">
        <f t="shared" si="483"/>
        <v>46339</v>
      </c>
      <c r="U502" s="115"/>
      <c r="W502" s="174" t="str">
        <f t="shared" ca="1" si="485"/>
        <v>Completed</v>
      </c>
      <c r="X502" s="174" t="str">
        <f t="shared" ca="1" si="486"/>
        <v/>
      </c>
      <c r="Y502" s="174" t="str">
        <f t="shared" ca="1" si="487"/>
        <v/>
      </c>
      <c r="Z502" s="175" t="str">
        <f t="shared" ca="1" si="488"/>
        <v/>
      </c>
    </row>
    <row r="503" spans="1:26" s="70" customFormat="1" ht="11.5" x14ac:dyDescent="0.25">
      <c r="A503" s="118" t="s">
        <v>68</v>
      </c>
      <c r="B503" s="118" t="s">
        <v>14</v>
      </c>
      <c r="C503" s="118" t="s">
        <v>1122</v>
      </c>
      <c r="D503" s="118" t="s">
        <v>636</v>
      </c>
      <c r="E503" s="119">
        <f t="shared" si="494"/>
        <v>0.5</v>
      </c>
      <c r="F503" s="119">
        <f t="shared" si="495"/>
        <v>0.5</v>
      </c>
      <c r="G503" s="119">
        <f t="shared" si="495"/>
        <v>0.5</v>
      </c>
      <c r="H503" s="119">
        <f t="shared" si="496"/>
        <v>0</v>
      </c>
      <c r="I503" s="120">
        <v>4.7E-2</v>
      </c>
      <c r="J503" s="115">
        <f t="shared" si="493"/>
        <v>46241</v>
      </c>
      <c r="K503" s="115">
        <f t="shared" si="478"/>
        <v>46241</v>
      </c>
      <c r="L503" s="115">
        <v>46142</v>
      </c>
      <c r="M503" s="116">
        <f t="shared" si="479"/>
        <v>46283</v>
      </c>
      <c r="N503" s="115">
        <f t="shared" si="480"/>
        <v>46283</v>
      </c>
      <c r="O503" s="116"/>
      <c r="P503" s="115">
        <f t="shared" si="481"/>
        <v>46325</v>
      </c>
      <c r="Q503" s="115">
        <f t="shared" si="482"/>
        <v>46325</v>
      </c>
      <c r="R503" s="115"/>
      <c r="S503" s="115">
        <f t="shared" si="484"/>
        <v>46339</v>
      </c>
      <c r="T503" s="115">
        <f t="shared" si="483"/>
        <v>46339</v>
      </c>
      <c r="U503" s="115"/>
      <c r="W503" s="174" t="str">
        <f t="shared" ca="1" si="485"/>
        <v>Completed</v>
      </c>
      <c r="X503" s="174" t="str">
        <f t="shared" ca="1" si="486"/>
        <v/>
      </c>
      <c r="Y503" s="174" t="str">
        <f t="shared" ca="1" si="487"/>
        <v/>
      </c>
      <c r="Z503" s="175" t="str">
        <f t="shared" ca="1" si="488"/>
        <v/>
      </c>
    </row>
    <row r="504" spans="1:26" s="70" customFormat="1" ht="11.5" x14ac:dyDescent="0.25">
      <c r="A504" s="118" t="s">
        <v>68</v>
      </c>
      <c r="B504" s="118" t="s">
        <v>14</v>
      </c>
      <c r="C504" s="118" t="s">
        <v>1123</v>
      </c>
      <c r="D504" s="118" t="s">
        <v>637</v>
      </c>
      <c r="E504" s="119">
        <f t="shared" si="494"/>
        <v>0.5</v>
      </c>
      <c r="F504" s="119">
        <f t="shared" si="495"/>
        <v>0.5</v>
      </c>
      <c r="G504" s="119">
        <f t="shared" si="495"/>
        <v>0.5</v>
      </c>
      <c r="H504" s="119">
        <f t="shared" si="496"/>
        <v>0</v>
      </c>
      <c r="I504" s="120">
        <v>4.7E-2</v>
      </c>
      <c r="J504" s="116">
        <f t="shared" si="493"/>
        <v>46241</v>
      </c>
      <c r="K504" s="116">
        <f t="shared" si="478"/>
        <v>46241</v>
      </c>
      <c r="L504" s="115">
        <v>46142</v>
      </c>
      <c r="M504" s="116">
        <f t="shared" si="479"/>
        <v>46283</v>
      </c>
      <c r="N504" s="116">
        <f t="shared" si="480"/>
        <v>46283</v>
      </c>
      <c r="O504" s="116"/>
      <c r="P504" s="116">
        <f t="shared" si="481"/>
        <v>46325</v>
      </c>
      <c r="Q504" s="116">
        <f t="shared" si="482"/>
        <v>46325</v>
      </c>
      <c r="R504" s="116"/>
      <c r="S504" s="115">
        <f t="shared" si="484"/>
        <v>46339</v>
      </c>
      <c r="T504" s="116">
        <f t="shared" si="483"/>
        <v>46339</v>
      </c>
      <c r="U504" s="116"/>
      <c r="W504" s="174" t="str">
        <f t="shared" ca="1" si="485"/>
        <v>Completed</v>
      </c>
      <c r="X504" s="174" t="str">
        <f t="shared" ca="1" si="486"/>
        <v/>
      </c>
      <c r="Y504" s="174" t="str">
        <f t="shared" ca="1" si="487"/>
        <v/>
      </c>
      <c r="Z504" s="175" t="str">
        <f t="shared" ca="1" si="488"/>
        <v/>
      </c>
    </row>
    <row r="505" spans="1:26" s="70" customFormat="1" ht="11.5" x14ac:dyDescent="0.25">
      <c r="A505" s="118" t="s">
        <v>68</v>
      </c>
      <c r="B505" s="118" t="s">
        <v>14</v>
      </c>
      <c r="C505" s="118" t="s">
        <v>638</v>
      </c>
      <c r="D505" s="118" t="s">
        <v>639</v>
      </c>
      <c r="E505" s="119">
        <f t="shared" si="494"/>
        <v>0.5</v>
      </c>
      <c r="F505" s="119">
        <f t="shared" si="495"/>
        <v>0.5</v>
      </c>
      <c r="G505" s="119">
        <f t="shared" si="495"/>
        <v>0</v>
      </c>
      <c r="H505" s="119">
        <f t="shared" si="496"/>
        <v>-0.5</v>
      </c>
      <c r="I505" s="120">
        <v>4.7E-2</v>
      </c>
      <c r="J505" s="116">
        <f t="shared" si="493"/>
        <v>46248</v>
      </c>
      <c r="K505" s="116">
        <f t="shared" si="478"/>
        <v>46248</v>
      </c>
      <c r="L505" s="116"/>
      <c r="M505" s="116">
        <f t="shared" si="479"/>
        <v>46290</v>
      </c>
      <c r="N505" s="116">
        <f t="shared" si="480"/>
        <v>46290</v>
      </c>
      <c r="O505" s="116"/>
      <c r="P505" s="116">
        <f t="shared" si="481"/>
        <v>46332</v>
      </c>
      <c r="Q505" s="116">
        <f t="shared" si="482"/>
        <v>46332</v>
      </c>
      <c r="R505" s="116"/>
      <c r="S505" s="115">
        <f t="shared" si="484"/>
        <v>46346</v>
      </c>
      <c r="T505" s="116">
        <f t="shared" si="483"/>
        <v>46346</v>
      </c>
      <c r="U505" s="116"/>
      <c r="W505" s="174" t="str">
        <f t="shared" ca="1" si="485"/>
        <v>Overdue</v>
      </c>
      <c r="X505" s="174" t="str">
        <f t="shared" ca="1" si="486"/>
        <v/>
      </c>
      <c r="Y505" s="174" t="str">
        <f t="shared" ca="1" si="487"/>
        <v/>
      </c>
      <c r="Z505" s="175" t="str">
        <f t="shared" ca="1" si="488"/>
        <v/>
      </c>
    </row>
    <row r="506" spans="1:26" s="70" customFormat="1" ht="11.5" x14ac:dyDescent="0.25">
      <c r="A506" s="118" t="s">
        <v>68</v>
      </c>
      <c r="B506" s="118" t="s">
        <v>14</v>
      </c>
      <c r="C506" s="118" t="s">
        <v>640</v>
      </c>
      <c r="D506" s="118" t="s">
        <v>641</v>
      </c>
      <c r="E506" s="119">
        <f t="shared" si="494"/>
        <v>0.5</v>
      </c>
      <c r="F506" s="119">
        <f t="shared" si="495"/>
        <v>0.5</v>
      </c>
      <c r="G506" s="119">
        <f t="shared" si="495"/>
        <v>0</v>
      </c>
      <c r="H506" s="119">
        <f t="shared" si="496"/>
        <v>-0.5</v>
      </c>
      <c r="I506" s="120">
        <v>4.7E-2</v>
      </c>
      <c r="J506" s="116">
        <f t="shared" si="493"/>
        <v>46248</v>
      </c>
      <c r="K506" s="116">
        <f t="shared" si="478"/>
        <v>46248</v>
      </c>
      <c r="L506" s="116"/>
      <c r="M506" s="116">
        <f t="shared" si="479"/>
        <v>46290</v>
      </c>
      <c r="N506" s="116">
        <f t="shared" si="480"/>
        <v>46290</v>
      </c>
      <c r="O506" s="116"/>
      <c r="P506" s="116">
        <f t="shared" si="481"/>
        <v>46332</v>
      </c>
      <c r="Q506" s="116">
        <f t="shared" si="482"/>
        <v>46332</v>
      </c>
      <c r="R506" s="116"/>
      <c r="S506" s="115">
        <f t="shared" si="484"/>
        <v>46346</v>
      </c>
      <c r="T506" s="116">
        <f t="shared" si="483"/>
        <v>46346</v>
      </c>
      <c r="U506" s="116"/>
      <c r="W506" s="174" t="str">
        <f t="shared" ca="1" si="485"/>
        <v>Overdue</v>
      </c>
      <c r="X506" s="174" t="str">
        <f t="shared" ca="1" si="486"/>
        <v/>
      </c>
      <c r="Y506" s="174" t="str">
        <f t="shared" ca="1" si="487"/>
        <v/>
      </c>
      <c r="Z506" s="175" t="str">
        <f t="shared" ca="1" si="488"/>
        <v/>
      </c>
    </row>
    <row r="507" spans="1:26" s="70" customFormat="1" ht="11.5" x14ac:dyDescent="0.25">
      <c r="A507" s="118" t="s">
        <v>68</v>
      </c>
      <c r="B507" s="118" t="s">
        <v>14</v>
      </c>
      <c r="C507" s="118" t="s">
        <v>968</v>
      </c>
      <c r="D507" s="118" t="s">
        <v>969</v>
      </c>
      <c r="E507" s="119">
        <f t="shared" ref="E507:E517" si="497">(COUNTIFS(J507,"&lt;="&amp;$C$1)*50%)+(COUNTIFS(M507,"&lt;="&amp;$C$1)*20%)+(COUNTIFS(P507,"&lt;="&amp;$C$1)*10%)+(COUNTIFS(S507,"&lt;="&amp;$C$1)*20%)</f>
        <v>0</v>
      </c>
      <c r="F507" s="119">
        <f t="shared" ref="F507:F517" si="498">(COUNTIFS(K507,"&lt;="&amp;$C$1)*50%)+(COUNTIFS(N507,"&lt;="&amp;$C$1)*20%)+(COUNTIFS(Q507,"&lt;="&amp;$C$1)*10%)+(COUNTIFS(T507,"&lt;="&amp;$C$1)*20%)</f>
        <v>0</v>
      </c>
      <c r="G507" s="119">
        <f t="shared" ref="G507:G517" si="499">(COUNTIFS(L507,"&lt;="&amp;$C$1)*50%)+(COUNTIFS(O507,"&lt;="&amp;$C$1)*20%)+(COUNTIFS(R507,"&lt;="&amp;$C$1)*10%)+(COUNTIFS(U507,"&lt;="&amp;$C$1)*20%)</f>
        <v>0.5</v>
      </c>
      <c r="H507" s="119">
        <f t="shared" ref="H507:H517" si="500">G507-E507</f>
        <v>0.5</v>
      </c>
      <c r="I507" s="120"/>
      <c r="J507" s="116">
        <f t="shared" ref="J507:J511" si="501">J392+28</f>
        <v>46255</v>
      </c>
      <c r="K507" s="116">
        <f t="shared" ref="K507:K513" si="502">J507</f>
        <v>46255</v>
      </c>
      <c r="L507" s="115">
        <v>46190</v>
      </c>
      <c r="M507" s="116">
        <f t="shared" ref="M507:M513" si="503">J507+42</f>
        <v>46297</v>
      </c>
      <c r="N507" s="116">
        <f t="shared" ref="N507:N513" si="504">M507</f>
        <v>46297</v>
      </c>
      <c r="O507" s="116"/>
      <c r="P507" s="116">
        <f t="shared" ref="P507:P513" si="505">M507+42</f>
        <v>46339</v>
      </c>
      <c r="Q507" s="116">
        <f t="shared" ref="Q507:Q513" si="506">P507</f>
        <v>46339</v>
      </c>
      <c r="R507" s="116"/>
      <c r="S507" s="115">
        <f t="shared" ref="S507:S513" si="507">P507+14</f>
        <v>46353</v>
      </c>
      <c r="T507" s="116">
        <f t="shared" ref="T507:T513" si="508">S507</f>
        <v>46353</v>
      </c>
      <c r="U507" s="116"/>
      <c r="W507" s="174" t="str">
        <f t="shared" ca="1" si="485"/>
        <v>Completed</v>
      </c>
      <c r="X507" s="174" t="str">
        <f t="shared" ca="1" si="486"/>
        <v/>
      </c>
      <c r="Y507" s="174" t="str">
        <f t="shared" ca="1" si="487"/>
        <v/>
      </c>
      <c r="Z507" s="175" t="str">
        <f t="shared" ca="1" si="488"/>
        <v/>
      </c>
    </row>
    <row r="508" spans="1:26" s="70" customFormat="1" ht="11.5" x14ac:dyDescent="0.25">
      <c r="A508" s="118" t="s">
        <v>68</v>
      </c>
      <c r="B508" s="118" t="s">
        <v>14</v>
      </c>
      <c r="C508" s="118" t="s">
        <v>970</v>
      </c>
      <c r="D508" s="118" t="s">
        <v>971</v>
      </c>
      <c r="E508" s="119">
        <f t="shared" si="497"/>
        <v>0</v>
      </c>
      <c r="F508" s="119">
        <f t="shared" si="498"/>
        <v>0</v>
      </c>
      <c r="G508" s="119">
        <f t="shared" si="499"/>
        <v>0</v>
      </c>
      <c r="H508" s="119">
        <f t="shared" si="500"/>
        <v>0</v>
      </c>
      <c r="I508" s="120"/>
      <c r="J508" s="116">
        <f t="shared" si="501"/>
        <v>46321</v>
      </c>
      <c r="K508" s="116">
        <f t="shared" si="502"/>
        <v>46321</v>
      </c>
      <c r="L508" s="116"/>
      <c r="M508" s="116">
        <f t="shared" si="503"/>
        <v>46363</v>
      </c>
      <c r="N508" s="116">
        <f t="shared" si="504"/>
        <v>46363</v>
      </c>
      <c r="O508" s="116"/>
      <c r="P508" s="116">
        <f t="shared" si="505"/>
        <v>46405</v>
      </c>
      <c r="Q508" s="116">
        <f t="shared" si="506"/>
        <v>46405</v>
      </c>
      <c r="R508" s="116"/>
      <c r="S508" s="115">
        <f t="shared" si="507"/>
        <v>46419</v>
      </c>
      <c r="T508" s="116">
        <f t="shared" si="508"/>
        <v>46419</v>
      </c>
      <c r="U508" s="116"/>
      <c r="W508" s="174" t="str">
        <f t="shared" ca="1" si="485"/>
        <v/>
      </c>
      <c r="X508" s="174" t="str">
        <f t="shared" ca="1" si="486"/>
        <v/>
      </c>
      <c r="Y508" s="174" t="str">
        <f t="shared" ca="1" si="487"/>
        <v/>
      </c>
      <c r="Z508" s="175" t="str">
        <f t="shared" ca="1" si="488"/>
        <v/>
      </c>
    </row>
    <row r="509" spans="1:26" s="70" customFormat="1" ht="11.5" x14ac:dyDescent="0.25">
      <c r="A509" s="118" t="s">
        <v>68</v>
      </c>
      <c r="B509" s="118" t="s">
        <v>14</v>
      </c>
      <c r="C509" s="118" t="s">
        <v>972</v>
      </c>
      <c r="D509" s="118" t="s">
        <v>973</v>
      </c>
      <c r="E509" s="119">
        <f t="shared" si="497"/>
        <v>0</v>
      </c>
      <c r="F509" s="119">
        <f t="shared" si="498"/>
        <v>0</v>
      </c>
      <c r="G509" s="119">
        <f t="shared" si="499"/>
        <v>0</v>
      </c>
      <c r="H509" s="119">
        <f t="shared" si="500"/>
        <v>0</v>
      </c>
      <c r="I509" s="120"/>
      <c r="J509" s="116">
        <f t="shared" si="501"/>
        <v>46321</v>
      </c>
      <c r="K509" s="116">
        <f t="shared" si="502"/>
        <v>46321</v>
      </c>
      <c r="L509" s="116"/>
      <c r="M509" s="116">
        <f t="shared" si="503"/>
        <v>46363</v>
      </c>
      <c r="N509" s="116">
        <f t="shared" si="504"/>
        <v>46363</v>
      </c>
      <c r="O509" s="116"/>
      <c r="P509" s="116">
        <f t="shared" si="505"/>
        <v>46405</v>
      </c>
      <c r="Q509" s="116">
        <f t="shared" si="506"/>
        <v>46405</v>
      </c>
      <c r="R509" s="116"/>
      <c r="S509" s="115">
        <f t="shared" si="507"/>
        <v>46419</v>
      </c>
      <c r="T509" s="116">
        <f t="shared" si="508"/>
        <v>46419</v>
      </c>
      <c r="U509" s="116"/>
      <c r="W509" s="174" t="str">
        <f t="shared" ca="1" si="485"/>
        <v/>
      </c>
      <c r="X509" s="174" t="str">
        <f t="shared" ca="1" si="486"/>
        <v/>
      </c>
      <c r="Y509" s="174" t="str">
        <f t="shared" ca="1" si="487"/>
        <v/>
      </c>
      <c r="Z509" s="175" t="str">
        <f t="shared" ca="1" si="488"/>
        <v/>
      </c>
    </row>
    <row r="510" spans="1:26" s="70" customFormat="1" ht="11.5" x14ac:dyDescent="0.25">
      <c r="A510" s="118" t="s">
        <v>68</v>
      </c>
      <c r="B510" s="118" t="s">
        <v>14</v>
      </c>
      <c r="C510" s="118" t="s">
        <v>974</v>
      </c>
      <c r="D510" s="118" t="s">
        <v>975</v>
      </c>
      <c r="E510" s="119">
        <f t="shared" si="497"/>
        <v>0</v>
      </c>
      <c r="F510" s="119">
        <f t="shared" si="498"/>
        <v>0</v>
      </c>
      <c r="G510" s="119">
        <f t="shared" si="499"/>
        <v>0</v>
      </c>
      <c r="H510" s="119">
        <f t="shared" si="500"/>
        <v>0</v>
      </c>
      <c r="I510" s="120"/>
      <c r="J510" s="116">
        <f t="shared" si="501"/>
        <v>46321</v>
      </c>
      <c r="K510" s="116">
        <f t="shared" si="502"/>
        <v>46321</v>
      </c>
      <c r="L510" s="116"/>
      <c r="M510" s="116">
        <f t="shared" si="503"/>
        <v>46363</v>
      </c>
      <c r="N510" s="116">
        <f t="shared" si="504"/>
        <v>46363</v>
      </c>
      <c r="O510" s="116"/>
      <c r="P510" s="116">
        <f t="shared" si="505"/>
        <v>46405</v>
      </c>
      <c r="Q510" s="116">
        <f t="shared" si="506"/>
        <v>46405</v>
      </c>
      <c r="R510" s="116"/>
      <c r="S510" s="115">
        <f t="shared" si="507"/>
        <v>46419</v>
      </c>
      <c r="T510" s="116">
        <f t="shared" si="508"/>
        <v>46419</v>
      </c>
      <c r="U510" s="116"/>
      <c r="W510" s="174" t="str">
        <f t="shared" ca="1" si="485"/>
        <v/>
      </c>
      <c r="X510" s="174" t="str">
        <f t="shared" ca="1" si="486"/>
        <v/>
      </c>
      <c r="Y510" s="174" t="str">
        <f t="shared" ca="1" si="487"/>
        <v/>
      </c>
      <c r="Z510" s="175" t="str">
        <f t="shared" ca="1" si="488"/>
        <v/>
      </c>
    </row>
    <row r="511" spans="1:26" s="70" customFormat="1" ht="11.5" x14ac:dyDescent="0.25">
      <c r="A511" s="118" t="s">
        <v>68</v>
      </c>
      <c r="B511" s="118" t="s">
        <v>14</v>
      </c>
      <c r="C511" s="118" t="s">
        <v>976</v>
      </c>
      <c r="D511" s="118" t="s">
        <v>977</v>
      </c>
      <c r="E511" s="119">
        <f t="shared" si="497"/>
        <v>0</v>
      </c>
      <c r="F511" s="119">
        <f t="shared" si="498"/>
        <v>0</v>
      </c>
      <c r="G511" s="119">
        <f t="shared" si="499"/>
        <v>0</v>
      </c>
      <c r="H511" s="119">
        <f t="shared" si="500"/>
        <v>0</v>
      </c>
      <c r="I511" s="120"/>
      <c r="J511" s="116">
        <f t="shared" si="501"/>
        <v>46321</v>
      </c>
      <c r="K511" s="116">
        <f t="shared" si="502"/>
        <v>46321</v>
      </c>
      <c r="L511" s="116"/>
      <c r="M511" s="116">
        <f t="shared" si="503"/>
        <v>46363</v>
      </c>
      <c r="N511" s="116">
        <f t="shared" si="504"/>
        <v>46363</v>
      </c>
      <c r="O511" s="116"/>
      <c r="P511" s="116">
        <f t="shared" si="505"/>
        <v>46405</v>
      </c>
      <c r="Q511" s="116">
        <f t="shared" si="506"/>
        <v>46405</v>
      </c>
      <c r="R511" s="116"/>
      <c r="S511" s="115">
        <f t="shared" si="507"/>
        <v>46419</v>
      </c>
      <c r="T511" s="116">
        <f t="shared" si="508"/>
        <v>46419</v>
      </c>
      <c r="U511" s="116"/>
      <c r="W511" s="174" t="str">
        <f t="shared" ca="1" si="485"/>
        <v/>
      </c>
      <c r="X511" s="174" t="str">
        <f t="shared" ca="1" si="486"/>
        <v/>
      </c>
      <c r="Y511" s="174" t="str">
        <f t="shared" ca="1" si="487"/>
        <v/>
      </c>
      <c r="Z511" s="175" t="str">
        <f t="shared" ca="1" si="488"/>
        <v/>
      </c>
    </row>
    <row r="512" spans="1:26" s="70" customFormat="1" ht="11.5" x14ac:dyDescent="0.25">
      <c r="A512" s="118" t="s">
        <v>68</v>
      </c>
      <c r="B512" s="118" t="s">
        <v>14</v>
      </c>
      <c r="C512" s="118" t="s">
        <v>978</v>
      </c>
      <c r="D512" s="118" t="s">
        <v>979</v>
      </c>
      <c r="E512" s="119">
        <f t="shared" si="497"/>
        <v>0</v>
      </c>
      <c r="F512" s="119">
        <f t="shared" si="498"/>
        <v>0</v>
      </c>
      <c r="G512" s="119">
        <f t="shared" si="499"/>
        <v>0</v>
      </c>
      <c r="H512" s="119">
        <f t="shared" si="500"/>
        <v>0</v>
      </c>
      <c r="I512" s="120"/>
      <c r="J512" s="116">
        <f t="shared" ref="J512:J517" si="509">J511</f>
        <v>46321</v>
      </c>
      <c r="K512" s="116">
        <f t="shared" si="502"/>
        <v>46321</v>
      </c>
      <c r="L512" s="116"/>
      <c r="M512" s="116">
        <f t="shared" si="503"/>
        <v>46363</v>
      </c>
      <c r="N512" s="116">
        <f t="shared" si="504"/>
        <v>46363</v>
      </c>
      <c r="O512" s="116"/>
      <c r="P512" s="116">
        <f t="shared" si="505"/>
        <v>46405</v>
      </c>
      <c r="Q512" s="116">
        <f t="shared" si="506"/>
        <v>46405</v>
      </c>
      <c r="R512" s="116"/>
      <c r="S512" s="115">
        <f t="shared" si="507"/>
        <v>46419</v>
      </c>
      <c r="T512" s="116">
        <f t="shared" si="508"/>
        <v>46419</v>
      </c>
      <c r="U512" s="116"/>
      <c r="W512" s="174" t="str">
        <f t="shared" ca="1" si="485"/>
        <v/>
      </c>
      <c r="X512" s="174" t="str">
        <f t="shared" ca="1" si="486"/>
        <v/>
      </c>
      <c r="Y512" s="174" t="str">
        <f t="shared" ca="1" si="487"/>
        <v/>
      </c>
      <c r="Z512" s="175" t="str">
        <f t="shared" ca="1" si="488"/>
        <v/>
      </c>
    </row>
    <row r="513" spans="1:26" s="70" customFormat="1" ht="11.5" x14ac:dyDescent="0.25">
      <c r="A513" s="118" t="s">
        <v>68</v>
      </c>
      <c r="B513" s="118" t="s">
        <v>14</v>
      </c>
      <c r="C513" s="118" t="s">
        <v>980</v>
      </c>
      <c r="D513" s="118" t="s">
        <v>981</v>
      </c>
      <c r="E513" s="119">
        <f t="shared" si="497"/>
        <v>0</v>
      </c>
      <c r="F513" s="119">
        <f t="shared" si="498"/>
        <v>0</v>
      </c>
      <c r="G513" s="119">
        <f t="shared" si="499"/>
        <v>0</v>
      </c>
      <c r="H513" s="119">
        <f t="shared" si="500"/>
        <v>0</v>
      </c>
      <c r="I513" s="120"/>
      <c r="J513" s="116">
        <f t="shared" si="509"/>
        <v>46321</v>
      </c>
      <c r="K513" s="116">
        <f t="shared" si="502"/>
        <v>46321</v>
      </c>
      <c r="L513" s="116"/>
      <c r="M513" s="116">
        <f t="shared" si="503"/>
        <v>46363</v>
      </c>
      <c r="N513" s="116">
        <f t="shared" si="504"/>
        <v>46363</v>
      </c>
      <c r="O513" s="116"/>
      <c r="P513" s="116">
        <f t="shared" si="505"/>
        <v>46405</v>
      </c>
      <c r="Q513" s="116">
        <f t="shared" si="506"/>
        <v>46405</v>
      </c>
      <c r="R513" s="116"/>
      <c r="S513" s="115">
        <f t="shared" si="507"/>
        <v>46419</v>
      </c>
      <c r="T513" s="116">
        <f t="shared" si="508"/>
        <v>46419</v>
      </c>
      <c r="U513" s="116"/>
      <c r="W513" s="174" t="str">
        <f t="shared" ca="1" si="485"/>
        <v/>
      </c>
      <c r="X513" s="174" t="str">
        <f t="shared" ca="1" si="486"/>
        <v/>
      </c>
      <c r="Y513" s="174" t="str">
        <f t="shared" ca="1" si="487"/>
        <v/>
      </c>
      <c r="Z513" s="175" t="str">
        <f t="shared" ca="1" si="488"/>
        <v/>
      </c>
    </row>
    <row r="514" spans="1:26" s="70" customFormat="1" ht="11.5" x14ac:dyDescent="0.25">
      <c r="A514" s="118" t="s">
        <v>68</v>
      </c>
      <c r="B514" s="118" t="s">
        <v>14</v>
      </c>
      <c r="C514" s="118" t="s">
        <v>982</v>
      </c>
      <c r="D514" s="118" t="s">
        <v>983</v>
      </c>
      <c r="E514" s="119">
        <f t="shared" si="497"/>
        <v>0</v>
      </c>
      <c r="F514" s="119">
        <f t="shared" si="498"/>
        <v>0</v>
      </c>
      <c r="G514" s="119">
        <f t="shared" si="499"/>
        <v>0</v>
      </c>
      <c r="H514" s="119">
        <f t="shared" si="500"/>
        <v>0</v>
      </c>
      <c r="I514" s="120"/>
      <c r="J514" s="116">
        <f t="shared" si="509"/>
        <v>46321</v>
      </c>
      <c r="K514" s="116">
        <f t="shared" ref="K514:K517" si="510">J514</f>
        <v>46321</v>
      </c>
      <c r="L514" s="116"/>
      <c r="M514" s="116">
        <f t="shared" ref="M514:M517" si="511">J514+42</f>
        <v>46363</v>
      </c>
      <c r="N514" s="116">
        <f t="shared" ref="N514:N517" si="512">M514</f>
        <v>46363</v>
      </c>
      <c r="O514" s="116"/>
      <c r="P514" s="116">
        <f t="shared" ref="P514:P517" si="513">M514+42</f>
        <v>46405</v>
      </c>
      <c r="Q514" s="116">
        <f t="shared" ref="Q514:Q517" si="514">P514</f>
        <v>46405</v>
      </c>
      <c r="R514" s="116"/>
      <c r="S514" s="115">
        <f t="shared" ref="S514:S517" si="515">P514+14</f>
        <v>46419</v>
      </c>
      <c r="T514" s="116">
        <f t="shared" ref="T514:T517" si="516">S514</f>
        <v>46419</v>
      </c>
      <c r="U514" s="116"/>
      <c r="W514" s="174" t="str">
        <f t="shared" ca="1" si="485"/>
        <v/>
      </c>
      <c r="X514" s="174" t="str">
        <f t="shared" ca="1" si="486"/>
        <v/>
      </c>
      <c r="Y514" s="174" t="str">
        <f t="shared" ca="1" si="487"/>
        <v/>
      </c>
      <c r="Z514" s="175" t="str">
        <f t="shared" ca="1" si="488"/>
        <v/>
      </c>
    </row>
    <row r="515" spans="1:26" s="70" customFormat="1" ht="11.5" x14ac:dyDescent="0.25">
      <c r="A515" s="118" t="s">
        <v>68</v>
      </c>
      <c r="B515" s="118" t="s">
        <v>14</v>
      </c>
      <c r="C515" s="118" t="s">
        <v>984</v>
      </c>
      <c r="D515" s="118" t="s">
        <v>985</v>
      </c>
      <c r="E515" s="119">
        <f t="shared" si="497"/>
        <v>0</v>
      </c>
      <c r="F515" s="119">
        <f t="shared" si="498"/>
        <v>0</v>
      </c>
      <c r="G515" s="119">
        <f t="shared" si="499"/>
        <v>0</v>
      </c>
      <c r="H515" s="119">
        <f t="shared" si="500"/>
        <v>0</v>
      </c>
      <c r="I515" s="120"/>
      <c r="J515" s="116">
        <f t="shared" si="509"/>
        <v>46321</v>
      </c>
      <c r="K515" s="116">
        <f t="shared" si="510"/>
        <v>46321</v>
      </c>
      <c r="L515" s="116"/>
      <c r="M515" s="116">
        <f t="shared" si="511"/>
        <v>46363</v>
      </c>
      <c r="N515" s="116">
        <f t="shared" si="512"/>
        <v>46363</v>
      </c>
      <c r="O515" s="116"/>
      <c r="P515" s="116">
        <f t="shared" si="513"/>
        <v>46405</v>
      </c>
      <c r="Q515" s="116">
        <f t="shared" si="514"/>
        <v>46405</v>
      </c>
      <c r="R515" s="116"/>
      <c r="S515" s="115">
        <f t="shared" si="515"/>
        <v>46419</v>
      </c>
      <c r="T515" s="116">
        <f t="shared" si="516"/>
        <v>46419</v>
      </c>
      <c r="U515" s="116"/>
      <c r="W515" s="174" t="str">
        <f t="shared" ca="1" si="485"/>
        <v/>
      </c>
      <c r="X515" s="174" t="str">
        <f t="shared" ca="1" si="486"/>
        <v/>
      </c>
      <c r="Y515" s="174" t="str">
        <f t="shared" ca="1" si="487"/>
        <v/>
      </c>
      <c r="Z515" s="175" t="str">
        <f t="shared" ca="1" si="488"/>
        <v/>
      </c>
    </row>
    <row r="516" spans="1:26" s="70" customFormat="1" ht="11.5" x14ac:dyDescent="0.25">
      <c r="A516" s="118" t="s">
        <v>68</v>
      </c>
      <c r="B516" s="118" t="s">
        <v>14</v>
      </c>
      <c r="C516" s="118" t="s">
        <v>986</v>
      </c>
      <c r="D516" s="118" t="s">
        <v>987</v>
      </c>
      <c r="E516" s="119">
        <f t="shared" si="497"/>
        <v>0</v>
      </c>
      <c r="F516" s="119">
        <f t="shared" si="498"/>
        <v>0</v>
      </c>
      <c r="G516" s="119">
        <f t="shared" si="499"/>
        <v>0</v>
      </c>
      <c r="H516" s="119">
        <f t="shared" si="500"/>
        <v>0</v>
      </c>
      <c r="I516" s="120"/>
      <c r="J516" s="116">
        <f t="shared" si="509"/>
        <v>46321</v>
      </c>
      <c r="K516" s="116">
        <f t="shared" si="510"/>
        <v>46321</v>
      </c>
      <c r="L516" s="116"/>
      <c r="M516" s="116">
        <f t="shared" si="511"/>
        <v>46363</v>
      </c>
      <c r="N516" s="116">
        <f t="shared" si="512"/>
        <v>46363</v>
      </c>
      <c r="O516" s="116"/>
      <c r="P516" s="116">
        <f t="shared" si="513"/>
        <v>46405</v>
      </c>
      <c r="Q516" s="116">
        <f t="shared" si="514"/>
        <v>46405</v>
      </c>
      <c r="R516" s="116"/>
      <c r="S516" s="115">
        <f t="shared" si="515"/>
        <v>46419</v>
      </c>
      <c r="T516" s="116">
        <f t="shared" si="516"/>
        <v>46419</v>
      </c>
      <c r="U516" s="116"/>
      <c r="W516" s="174" t="str">
        <f t="shared" ca="1" si="485"/>
        <v/>
      </c>
      <c r="X516" s="174" t="str">
        <f t="shared" ca="1" si="486"/>
        <v/>
      </c>
      <c r="Y516" s="174" t="str">
        <f t="shared" ca="1" si="487"/>
        <v/>
      </c>
      <c r="Z516" s="175" t="str">
        <f t="shared" ca="1" si="488"/>
        <v/>
      </c>
    </row>
    <row r="517" spans="1:26" s="70" customFormat="1" ht="11.5" x14ac:dyDescent="0.25">
      <c r="A517" s="118" t="s">
        <v>68</v>
      </c>
      <c r="B517" s="118" t="s">
        <v>14</v>
      </c>
      <c r="C517" s="118" t="s">
        <v>988</v>
      </c>
      <c r="D517" s="118" t="s">
        <v>989</v>
      </c>
      <c r="E517" s="119">
        <f t="shared" si="497"/>
        <v>0</v>
      </c>
      <c r="F517" s="119">
        <f t="shared" si="498"/>
        <v>0</v>
      </c>
      <c r="G517" s="119">
        <f t="shared" si="499"/>
        <v>0</v>
      </c>
      <c r="H517" s="119">
        <f t="shared" si="500"/>
        <v>0</v>
      </c>
      <c r="I517" s="120"/>
      <c r="J517" s="116">
        <f t="shared" si="509"/>
        <v>46321</v>
      </c>
      <c r="K517" s="116">
        <f t="shared" si="510"/>
        <v>46321</v>
      </c>
      <c r="L517" s="116"/>
      <c r="M517" s="116">
        <f t="shared" si="511"/>
        <v>46363</v>
      </c>
      <c r="N517" s="116">
        <f t="shared" si="512"/>
        <v>46363</v>
      </c>
      <c r="O517" s="116"/>
      <c r="P517" s="116">
        <f t="shared" si="513"/>
        <v>46405</v>
      </c>
      <c r="Q517" s="116">
        <f t="shared" si="514"/>
        <v>46405</v>
      </c>
      <c r="R517" s="116"/>
      <c r="S517" s="115">
        <f t="shared" si="515"/>
        <v>46419</v>
      </c>
      <c r="T517" s="116">
        <f t="shared" si="516"/>
        <v>46419</v>
      </c>
      <c r="U517" s="116"/>
      <c r="W517" s="174" t="str">
        <f t="shared" ca="1" si="485"/>
        <v/>
      </c>
      <c r="X517" s="174" t="str">
        <f t="shared" ca="1" si="486"/>
        <v/>
      </c>
      <c r="Y517" s="174" t="str">
        <f t="shared" ca="1" si="487"/>
        <v/>
      </c>
      <c r="Z517" s="175" t="str">
        <f t="shared" ca="1" si="488"/>
        <v/>
      </c>
    </row>
    <row r="518" spans="1:26" s="70" customFormat="1" ht="11.5" x14ac:dyDescent="0.25">
      <c r="A518" s="118" t="s">
        <v>68</v>
      </c>
      <c r="B518" s="118" t="s">
        <v>14</v>
      </c>
      <c r="C518" s="118" t="s">
        <v>642</v>
      </c>
      <c r="D518" s="118" t="s">
        <v>643</v>
      </c>
      <c r="E518" s="119">
        <f t="shared" si="494"/>
        <v>0.5</v>
      </c>
      <c r="F518" s="119">
        <f t="shared" si="495"/>
        <v>0.5</v>
      </c>
      <c r="G518" s="119">
        <f t="shared" si="495"/>
        <v>0.5</v>
      </c>
      <c r="H518" s="119">
        <f t="shared" si="496"/>
        <v>0</v>
      </c>
      <c r="I518" s="120">
        <v>4.7E-2</v>
      </c>
      <c r="J518" s="116">
        <f t="shared" ref="J518:J547" si="517">J397+28</f>
        <v>46248</v>
      </c>
      <c r="K518" s="116">
        <f t="shared" si="478"/>
        <v>46248</v>
      </c>
      <c r="L518" s="116">
        <v>46184</v>
      </c>
      <c r="M518" s="116">
        <f t="shared" si="479"/>
        <v>46290</v>
      </c>
      <c r="N518" s="116">
        <f t="shared" si="480"/>
        <v>46290</v>
      </c>
      <c r="O518" s="116"/>
      <c r="P518" s="116">
        <f t="shared" si="481"/>
        <v>46332</v>
      </c>
      <c r="Q518" s="116">
        <f t="shared" si="482"/>
        <v>46332</v>
      </c>
      <c r="R518" s="116"/>
      <c r="S518" s="115">
        <f t="shared" si="484"/>
        <v>46346</v>
      </c>
      <c r="T518" s="116">
        <f t="shared" si="483"/>
        <v>46346</v>
      </c>
      <c r="U518" s="116"/>
      <c r="W518" s="174" t="str">
        <f t="shared" ca="1" si="485"/>
        <v>Completed</v>
      </c>
      <c r="X518" s="174" t="str">
        <f t="shared" ca="1" si="486"/>
        <v/>
      </c>
      <c r="Y518" s="174" t="str">
        <f t="shared" ca="1" si="487"/>
        <v/>
      </c>
      <c r="Z518" s="175" t="str">
        <f t="shared" ca="1" si="488"/>
        <v/>
      </c>
    </row>
    <row r="519" spans="1:26" s="70" customFormat="1" ht="11.5" x14ac:dyDescent="0.25">
      <c r="A519" s="118" t="s">
        <v>68</v>
      </c>
      <c r="B519" s="118" t="s">
        <v>14</v>
      </c>
      <c r="C519" s="118" t="s">
        <v>644</v>
      </c>
      <c r="D519" s="118" t="s">
        <v>645</v>
      </c>
      <c r="E519" s="119">
        <f t="shared" si="494"/>
        <v>0.5</v>
      </c>
      <c r="F519" s="119">
        <f t="shared" si="495"/>
        <v>0.5</v>
      </c>
      <c r="G519" s="119">
        <f t="shared" si="495"/>
        <v>0.5</v>
      </c>
      <c r="H519" s="119">
        <f t="shared" si="496"/>
        <v>0</v>
      </c>
      <c r="I519" s="120">
        <v>4.7E-2</v>
      </c>
      <c r="J519" s="116">
        <f t="shared" si="517"/>
        <v>46248</v>
      </c>
      <c r="K519" s="116">
        <f t="shared" si="478"/>
        <v>46248</v>
      </c>
      <c r="L519" s="116">
        <v>46184</v>
      </c>
      <c r="M519" s="116">
        <f t="shared" si="479"/>
        <v>46290</v>
      </c>
      <c r="N519" s="116">
        <f t="shared" si="480"/>
        <v>46290</v>
      </c>
      <c r="O519" s="116"/>
      <c r="P519" s="116">
        <f t="shared" si="481"/>
        <v>46332</v>
      </c>
      <c r="Q519" s="116">
        <f t="shared" si="482"/>
        <v>46332</v>
      </c>
      <c r="R519" s="116"/>
      <c r="S519" s="115">
        <f t="shared" si="484"/>
        <v>46346</v>
      </c>
      <c r="T519" s="116">
        <f t="shared" si="483"/>
        <v>46346</v>
      </c>
      <c r="U519" s="116"/>
      <c r="W519" s="174" t="str">
        <f t="shared" ca="1" si="485"/>
        <v>Completed</v>
      </c>
      <c r="X519" s="174" t="str">
        <f t="shared" ca="1" si="486"/>
        <v/>
      </c>
      <c r="Y519" s="174" t="str">
        <f t="shared" ca="1" si="487"/>
        <v/>
      </c>
      <c r="Z519" s="175" t="str">
        <f t="shared" ca="1" si="488"/>
        <v/>
      </c>
    </row>
    <row r="520" spans="1:26" s="70" customFormat="1" ht="11.5" x14ac:dyDescent="0.25">
      <c r="A520" s="112" t="s">
        <v>68</v>
      </c>
      <c r="B520" s="112" t="s">
        <v>14</v>
      </c>
      <c r="C520" s="112" t="s">
        <v>646</v>
      </c>
      <c r="D520" s="112" t="s">
        <v>647</v>
      </c>
      <c r="E520" s="113">
        <f t="shared" si="494"/>
        <v>0.5</v>
      </c>
      <c r="F520" s="113">
        <f t="shared" si="495"/>
        <v>0.5</v>
      </c>
      <c r="G520" s="113">
        <f t="shared" si="495"/>
        <v>0.5</v>
      </c>
      <c r="H520" s="113">
        <f t="shared" si="496"/>
        <v>0</v>
      </c>
      <c r="I520" s="114">
        <v>4.7E-2</v>
      </c>
      <c r="J520" s="115">
        <f t="shared" si="517"/>
        <v>46248</v>
      </c>
      <c r="K520" s="115">
        <f t="shared" si="478"/>
        <v>46248</v>
      </c>
      <c r="L520" s="116">
        <v>46184</v>
      </c>
      <c r="M520" s="116">
        <f t="shared" si="479"/>
        <v>46290</v>
      </c>
      <c r="N520" s="115">
        <f t="shared" si="480"/>
        <v>46290</v>
      </c>
      <c r="O520" s="115"/>
      <c r="P520" s="115">
        <f t="shared" si="481"/>
        <v>46332</v>
      </c>
      <c r="Q520" s="115">
        <f t="shared" si="482"/>
        <v>46332</v>
      </c>
      <c r="R520" s="115"/>
      <c r="S520" s="115">
        <f t="shared" si="484"/>
        <v>46346</v>
      </c>
      <c r="T520" s="115">
        <f t="shared" si="483"/>
        <v>46346</v>
      </c>
      <c r="U520" s="115"/>
      <c r="W520" s="174" t="str">
        <f t="shared" ca="1" si="485"/>
        <v>Completed</v>
      </c>
      <c r="X520" s="174" t="str">
        <f t="shared" ca="1" si="486"/>
        <v/>
      </c>
      <c r="Y520" s="174" t="str">
        <f t="shared" ca="1" si="487"/>
        <v/>
      </c>
      <c r="Z520" s="175" t="str">
        <f t="shared" ca="1" si="488"/>
        <v/>
      </c>
    </row>
    <row r="521" spans="1:26" s="70" customFormat="1" ht="11.5" x14ac:dyDescent="0.25">
      <c r="A521" s="112" t="s">
        <v>68</v>
      </c>
      <c r="B521" s="112" t="s">
        <v>14</v>
      </c>
      <c r="C521" s="112" t="s">
        <v>648</v>
      </c>
      <c r="D521" s="112" t="s">
        <v>649</v>
      </c>
      <c r="E521" s="113">
        <f t="shared" si="494"/>
        <v>0.5</v>
      </c>
      <c r="F521" s="113">
        <f t="shared" si="495"/>
        <v>0.5</v>
      </c>
      <c r="G521" s="113">
        <f t="shared" si="495"/>
        <v>0</v>
      </c>
      <c r="H521" s="113">
        <f t="shared" si="496"/>
        <v>-0.5</v>
      </c>
      <c r="I521" s="114">
        <v>4.7E-2</v>
      </c>
      <c r="J521" s="115">
        <f t="shared" si="517"/>
        <v>46248</v>
      </c>
      <c r="K521" s="115">
        <f t="shared" si="478"/>
        <v>46248</v>
      </c>
      <c r="L521" s="115"/>
      <c r="M521" s="116">
        <f t="shared" si="479"/>
        <v>46290</v>
      </c>
      <c r="N521" s="115">
        <f t="shared" si="480"/>
        <v>46290</v>
      </c>
      <c r="O521" s="115"/>
      <c r="P521" s="115">
        <f t="shared" si="481"/>
        <v>46332</v>
      </c>
      <c r="Q521" s="115">
        <f t="shared" si="482"/>
        <v>46332</v>
      </c>
      <c r="R521" s="115"/>
      <c r="S521" s="115">
        <f t="shared" si="484"/>
        <v>46346</v>
      </c>
      <c r="T521" s="115">
        <f t="shared" si="483"/>
        <v>46346</v>
      </c>
      <c r="U521" s="115"/>
      <c r="W521" s="174" t="str">
        <f t="shared" ca="1" si="485"/>
        <v>Overdue</v>
      </c>
      <c r="X521" s="174" t="str">
        <f t="shared" ca="1" si="486"/>
        <v/>
      </c>
      <c r="Y521" s="174" t="str">
        <f t="shared" ca="1" si="487"/>
        <v/>
      </c>
      <c r="Z521" s="175" t="str">
        <f t="shared" ca="1" si="488"/>
        <v/>
      </c>
    </row>
    <row r="522" spans="1:26" s="70" customFormat="1" ht="11.5" x14ac:dyDescent="0.25">
      <c r="A522" s="112" t="s">
        <v>68</v>
      </c>
      <c r="B522" s="112" t="s">
        <v>14</v>
      </c>
      <c r="C522" s="118" t="s">
        <v>650</v>
      </c>
      <c r="D522" s="118" t="s">
        <v>651</v>
      </c>
      <c r="E522" s="113">
        <f t="shared" si="494"/>
        <v>0</v>
      </c>
      <c r="F522" s="113">
        <f t="shared" si="495"/>
        <v>0</v>
      </c>
      <c r="G522" s="113">
        <f t="shared" si="495"/>
        <v>0.5</v>
      </c>
      <c r="H522" s="113">
        <f t="shared" si="496"/>
        <v>0.5</v>
      </c>
      <c r="I522" s="114">
        <v>4.7E-2</v>
      </c>
      <c r="J522" s="115">
        <f t="shared" si="517"/>
        <v>46255</v>
      </c>
      <c r="K522" s="115">
        <f t="shared" si="478"/>
        <v>46255</v>
      </c>
      <c r="L522" s="115">
        <v>46142</v>
      </c>
      <c r="M522" s="116">
        <f t="shared" si="479"/>
        <v>46297</v>
      </c>
      <c r="N522" s="115">
        <f t="shared" si="480"/>
        <v>46297</v>
      </c>
      <c r="O522" s="115"/>
      <c r="P522" s="115">
        <f t="shared" si="481"/>
        <v>46339</v>
      </c>
      <c r="Q522" s="115">
        <f t="shared" si="482"/>
        <v>46339</v>
      </c>
      <c r="R522" s="115"/>
      <c r="S522" s="115">
        <f t="shared" si="484"/>
        <v>46353</v>
      </c>
      <c r="T522" s="115">
        <f t="shared" si="483"/>
        <v>46353</v>
      </c>
      <c r="U522" s="115"/>
      <c r="W522" s="174" t="str">
        <f t="shared" ca="1" si="485"/>
        <v>Completed</v>
      </c>
      <c r="X522" s="174" t="str">
        <f t="shared" ca="1" si="486"/>
        <v/>
      </c>
      <c r="Y522" s="174" t="str">
        <f t="shared" ca="1" si="487"/>
        <v/>
      </c>
      <c r="Z522" s="175" t="str">
        <f t="shared" ca="1" si="488"/>
        <v/>
      </c>
    </row>
    <row r="523" spans="1:26" s="70" customFormat="1" ht="11.5" x14ac:dyDescent="0.25">
      <c r="A523" s="112" t="s">
        <v>68</v>
      </c>
      <c r="B523" s="112" t="s">
        <v>14</v>
      </c>
      <c r="C523" s="118" t="s">
        <v>652</v>
      </c>
      <c r="D523" s="118" t="s">
        <v>653</v>
      </c>
      <c r="E523" s="113">
        <f t="shared" si="494"/>
        <v>0</v>
      </c>
      <c r="F523" s="113">
        <f t="shared" si="495"/>
        <v>0</v>
      </c>
      <c r="G523" s="113">
        <f t="shared" si="495"/>
        <v>0.5</v>
      </c>
      <c r="H523" s="113">
        <f t="shared" si="496"/>
        <v>0.5</v>
      </c>
      <c r="I523" s="114">
        <v>4.7E-2</v>
      </c>
      <c r="J523" s="115">
        <f t="shared" si="517"/>
        <v>46255</v>
      </c>
      <c r="K523" s="115">
        <f t="shared" si="478"/>
        <v>46255</v>
      </c>
      <c r="L523" s="115">
        <v>46142</v>
      </c>
      <c r="M523" s="116">
        <f t="shared" si="479"/>
        <v>46297</v>
      </c>
      <c r="N523" s="115">
        <f t="shared" si="480"/>
        <v>46297</v>
      </c>
      <c r="O523" s="115"/>
      <c r="P523" s="115">
        <f t="shared" si="481"/>
        <v>46339</v>
      </c>
      <c r="Q523" s="115">
        <f t="shared" si="482"/>
        <v>46339</v>
      </c>
      <c r="R523" s="115"/>
      <c r="S523" s="115">
        <f t="shared" si="484"/>
        <v>46353</v>
      </c>
      <c r="T523" s="115">
        <f t="shared" si="483"/>
        <v>46353</v>
      </c>
      <c r="U523" s="115"/>
      <c r="W523" s="174" t="str">
        <f t="shared" ca="1" si="485"/>
        <v>Completed</v>
      </c>
      <c r="X523" s="174" t="str">
        <f t="shared" ca="1" si="486"/>
        <v/>
      </c>
      <c r="Y523" s="174" t="str">
        <f t="shared" ca="1" si="487"/>
        <v/>
      </c>
      <c r="Z523" s="175" t="str">
        <f t="shared" ca="1" si="488"/>
        <v/>
      </c>
    </row>
    <row r="524" spans="1:26" s="70" customFormat="1" ht="11.5" x14ac:dyDescent="0.25">
      <c r="A524" s="118" t="s">
        <v>68</v>
      </c>
      <c r="B524" s="118" t="s">
        <v>14</v>
      </c>
      <c r="C524" s="118" t="s">
        <v>1124</v>
      </c>
      <c r="D524" s="118" t="s">
        <v>654</v>
      </c>
      <c r="E524" s="113">
        <f t="shared" ref="E524" si="518">(COUNTIFS(J524,"&lt;="&amp;$C$1)*50%)+(COUNTIFS(M524,"&lt;="&amp;$C$1)*20%)+(COUNTIFS(P524,"&lt;="&amp;$C$1)*10%)+(COUNTIFS(S524,"&lt;="&amp;$C$1)*20%)</f>
        <v>0</v>
      </c>
      <c r="F524" s="113">
        <f t="shared" ref="F524" si="519">(COUNTIFS(K524,"&lt;="&amp;$C$1)*50%)+(COUNTIFS(N524,"&lt;="&amp;$C$1)*20%)+(COUNTIFS(Q524,"&lt;="&amp;$C$1)*10%)+(COUNTIFS(T524,"&lt;="&amp;$C$1)*20%)</f>
        <v>0</v>
      </c>
      <c r="G524" s="113">
        <f t="shared" ref="G524" si="520">(COUNTIFS(L524,"&lt;="&amp;$C$1)*50%)+(COUNTIFS(O524,"&lt;="&amp;$C$1)*20%)+(COUNTIFS(R524,"&lt;="&amp;$C$1)*10%)+(COUNTIFS(U524,"&lt;="&amp;$C$1)*20%)</f>
        <v>0</v>
      </c>
      <c r="H524" s="113">
        <f t="shared" ref="H524" si="521">G524-E524</f>
        <v>0</v>
      </c>
      <c r="I524" s="114">
        <v>4.7E-2</v>
      </c>
      <c r="J524" s="115">
        <f t="shared" si="517"/>
        <v>46255</v>
      </c>
      <c r="K524" s="115">
        <f t="shared" si="478"/>
        <v>46255</v>
      </c>
      <c r="L524" s="115"/>
      <c r="M524" s="116">
        <f t="shared" si="479"/>
        <v>46297</v>
      </c>
      <c r="N524" s="115">
        <f t="shared" si="480"/>
        <v>46297</v>
      </c>
      <c r="O524" s="115"/>
      <c r="P524" s="115">
        <f t="shared" si="481"/>
        <v>46339</v>
      </c>
      <c r="Q524" s="115">
        <f t="shared" si="482"/>
        <v>46339</v>
      </c>
      <c r="R524" s="115"/>
      <c r="S524" s="115">
        <f t="shared" si="484"/>
        <v>46353</v>
      </c>
      <c r="T524" s="115">
        <f t="shared" si="483"/>
        <v>46353</v>
      </c>
      <c r="U524" s="115"/>
      <c r="W524" s="174" t="str">
        <f t="shared" ca="1" si="485"/>
        <v>Follow-Next Week</v>
      </c>
      <c r="X524" s="174" t="str">
        <f t="shared" ca="1" si="486"/>
        <v/>
      </c>
      <c r="Y524" s="174" t="str">
        <f t="shared" ca="1" si="487"/>
        <v/>
      </c>
      <c r="Z524" s="175" t="str">
        <f t="shared" ca="1" si="488"/>
        <v/>
      </c>
    </row>
    <row r="525" spans="1:26" s="70" customFormat="1" ht="11.5" x14ac:dyDescent="0.25">
      <c r="A525" s="112" t="s">
        <v>68</v>
      </c>
      <c r="B525" s="112" t="s">
        <v>14</v>
      </c>
      <c r="C525" s="118" t="s">
        <v>1125</v>
      </c>
      <c r="D525" s="118" t="s">
        <v>655</v>
      </c>
      <c r="E525" s="113">
        <f t="shared" si="494"/>
        <v>0</v>
      </c>
      <c r="F525" s="113">
        <f t="shared" si="495"/>
        <v>0</v>
      </c>
      <c r="G525" s="113">
        <f t="shared" si="495"/>
        <v>0</v>
      </c>
      <c r="H525" s="113">
        <f t="shared" si="496"/>
        <v>0</v>
      </c>
      <c r="I525" s="114">
        <v>4.7E-2</v>
      </c>
      <c r="J525" s="115">
        <f t="shared" si="517"/>
        <v>46255</v>
      </c>
      <c r="K525" s="115">
        <f t="shared" si="478"/>
        <v>46255</v>
      </c>
      <c r="L525" s="115"/>
      <c r="M525" s="116">
        <f t="shared" si="479"/>
        <v>46297</v>
      </c>
      <c r="N525" s="115">
        <f t="shared" si="480"/>
        <v>46297</v>
      </c>
      <c r="O525" s="115"/>
      <c r="P525" s="115">
        <f t="shared" si="481"/>
        <v>46339</v>
      </c>
      <c r="Q525" s="115">
        <f t="shared" si="482"/>
        <v>46339</v>
      </c>
      <c r="R525" s="115"/>
      <c r="S525" s="115">
        <f t="shared" si="484"/>
        <v>46353</v>
      </c>
      <c r="T525" s="115">
        <f t="shared" si="483"/>
        <v>46353</v>
      </c>
      <c r="U525" s="115"/>
      <c r="W525" s="174" t="str">
        <f t="shared" ca="1" si="485"/>
        <v>Follow-Next Week</v>
      </c>
      <c r="X525" s="174" t="str">
        <f t="shared" ca="1" si="486"/>
        <v/>
      </c>
      <c r="Y525" s="174" t="str">
        <f t="shared" ca="1" si="487"/>
        <v/>
      </c>
      <c r="Z525" s="175" t="str">
        <f t="shared" ca="1" si="488"/>
        <v/>
      </c>
    </row>
    <row r="526" spans="1:26" s="70" customFormat="1" ht="11.5" x14ac:dyDescent="0.25">
      <c r="A526" s="112" t="s">
        <v>68</v>
      </c>
      <c r="B526" s="112" t="s">
        <v>14</v>
      </c>
      <c r="C526" s="118" t="s">
        <v>1126</v>
      </c>
      <c r="D526" s="118" t="s">
        <v>656</v>
      </c>
      <c r="E526" s="113">
        <f t="shared" si="494"/>
        <v>0</v>
      </c>
      <c r="F526" s="113">
        <f t="shared" si="495"/>
        <v>0</v>
      </c>
      <c r="G526" s="113">
        <f t="shared" si="495"/>
        <v>0</v>
      </c>
      <c r="H526" s="113">
        <f t="shared" si="496"/>
        <v>0</v>
      </c>
      <c r="I526" s="114">
        <v>4.7E-2</v>
      </c>
      <c r="J526" s="115">
        <f t="shared" si="517"/>
        <v>46255</v>
      </c>
      <c r="K526" s="115">
        <f t="shared" si="478"/>
        <v>46255</v>
      </c>
      <c r="L526" s="115"/>
      <c r="M526" s="116">
        <f t="shared" si="479"/>
        <v>46297</v>
      </c>
      <c r="N526" s="115">
        <f t="shared" si="480"/>
        <v>46297</v>
      </c>
      <c r="O526" s="115"/>
      <c r="P526" s="115">
        <f t="shared" si="481"/>
        <v>46339</v>
      </c>
      <c r="Q526" s="115">
        <f t="shared" si="482"/>
        <v>46339</v>
      </c>
      <c r="R526" s="115"/>
      <c r="S526" s="115">
        <f t="shared" si="484"/>
        <v>46353</v>
      </c>
      <c r="T526" s="115">
        <f t="shared" si="483"/>
        <v>46353</v>
      </c>
      <c r="U526" s="115"/>
      <c r="W526" s="174" t="str">
        <f t="shared" ca="1" si="485"/>
        <v>Follow-Next Week</v>
      </c>
      <c r="X526" s="174" t="str">
        <f t="shared" ca="1" si="486"/>
        <v/>
      </c>
      <c r="Y526" s="174" t="str">
        <f t="shared" ca="1" si="487"/>
        <v/>
      </c>
      <c r="Z526" s="175" t="str">
        <f t="shared" ca="1" si="488"/>
        <v/>
      </c>
    </row>
    <row r="527" spans="1:26" s="70" customFormat="1" ht="11.5" x14ac:dyDescent="0.25">
      <c r="A527" s="112" t="s">
        <v>68</v>
      </c>
      <c r="B527" s="112" t="s">
        <v>14</v>
      </c>
      <c r="C527" s="118" t="s">
        <v>1127</v>
      </c>
      <c r="D527" s="118" t="s">
        <v>657</v>
      </c>
      <c r="E527" s="113">
        <f t="shared" si="494"/>
        <v>0</v>
      </c>
      <c r="F527" s="113">
        <f t="shared" si="495"/>
        <v>0</v>
      </c>
      <c r="G527" s="113">
        <f t="shared" si="495"/>
        <v>0</v>
      </c>
      <c r="H527" s="113">
        <f t="shared" si="496"/>
        <v>0</v>
      </c>
      <c r="I527" s="114">
        <v>4.7E-2</v>
      </c>
      <c r="J527" s="115">
        <f t="shared" si="517"/>
        <v>46255</v>
      </c>
      <c r="K527" s="115">
        <f t="shared" si="478"/>
        <v>46255</v>
      </c>
      <c r="L527" s="115"/>
      <c r="M527" s="116">
        <f t="shared" si="479"/>
        <v>46297</v>
      </c>
      <c r="N527" s="115">
        <f t="shared" si="480"/>
        <v>46297</v>
      </c>
      <c r="O527" s="115"/>
      <c r="P527" s="115">
        <f t="shared" si="481"/>
        <v>46339</v>
      </c>
      <c r="Q527" s="115">
        <f t="shared" si="482"/>
        <v>46339</v>
      </c>
      <c r="R527" s="115"/>
      <c r="S527" s="115">
        <f t="shared" si="484"/>
        <v>46353</v>
      </c>
      <c r="T527" s="115">
        <f t="shared" si="483"/>
        <v>46353</v>
      </c>
      <c r="U527" s="115"/>
      <c r="W527" s="174" t="str">
        <f t="shared" ca="1" si="485"/>
        <v>Follow-Next Week</v>
      </c>
      <c r="X527" s="174" t="str">
        <f t="shared" ca="1" si="486"/>
        <v/>
      </c>
      <c r="Y527" s="174" t="str">
        <f t="shared" ca="1" si="487"/>
        <v/>
      </c>
      <c r="Z527" s="175" t="str">
        <f t="shared" ca="1" si="488"/>
        <v/>
      </c>
    </row>
    <row r="528" spans="1:26" s="70" customFormat="1" ht="11.5" x14ac:dyDescent="0.25">
      <c r="A528" s="112" t="s">
        <v>68</v>
      </c>
      <c r="B528" s="112" t="s">
        <v>14</v>
      </c>
      <c r="C528" s="118" t="s">
        <v>1128</v>
      </c>
      <c r="D528" s="118" t="s">
        <v>658</v>
      </c>
      <c r="E528" s="113">
        <f t="shared" si="494"/>
        <v>0</v>
      </c>
      <c r="F528" s="113">
        <f t="shared" si="495"/>
        <v>0</v>
      </c>
      <c r="G528" s="113">
        <f t="shared" si="495"/>
        <v>0</v>
      </c>
      <c r="H528" s="113">
        <f t="shared" si="496"/>
        <v>0</v>
      </c>
      <c r="I528" s="114">
        <v>4.7E-2</v>
      </c>
      <c r="J528" s="115">
        <f t="shared" si="517"/>
        <v>46255</v>
      </c>
      <c r="K528" s="115">
        <f t="shared" si="478"/>
        <v>46255</v>
      </c>
      <c r="L528" s="115"/>
      <c r="M528" s="116">
        <f t="shared" si="479"/>
        <v>46297</v>
      </c>
      <c r="N528" s="115">
        <f t="shared" si="480"/>
        <v>46297</v>
      </c>
      <c r="O528" s="115"/>
      <c r="P528" s="115">
        <f t="shared" si="481"/>
        <v>46339</v>
      </c>
      <c r="Q528" s="115">
        <f t="shared" si="482"/>
        <v>46339</v>
      </c>
      <c r="R528" s="115"/>
      <c r="S528" s="115">
        <f t="shared" si="484"/>
        <v>46353</v>
      </c>
      <c r="T528" s="115">
        <f t="shared" si="483"/>
        <v>46353</v>
      </c>
      <c r="U528" s="115"/>
      <c r="W528" s="174" t="str">
        <f t="shared" ca="1" si="485"/>
        <v>Follow-Next Week</v>
      </c>
      <c r="X528" s="174" t="str">
        <f t="shared" ca="1" si="486"/>
        <v/>
      </c>
      <c r="Y528" s="174" t="str">
        <f t="shared" ca="1" si="487"/>
        <v/>
      </c>
      <c r="Z528" s="175" t="str">
        <f t="shared" ca="1" si="488"/>
        <v/>
      </c>
    </row>
    <row r="529" spans="1:26" s="70" customFormat="1" ht="11.5" x14ac:dyDescent="0.25">
      <c r="A529" s="112" t="s">
        <v>68</v>
      </c>
      <c r="B529" s="112" t="s">
        <v>14</v>
      </c>
      <c r="C529" s="118" t="s">
        <v>1129</v>
      </c>
      <c r="D529" s="118" t="s">
        <v>659</v>
      </c>
      <c r="E529" s="113">
        <f t="shared" si="494"/>
        <v>0</v>
      </c>
      <c r="F529" s="113">
        <f t="shared" si="495"/>
        <v>0</v>
      </c>
      <c r="G529" s="113">
        <f t="shared" si="495"/>
        <v>0</v>
      </c>
      <c r="H529" s="113">
        <f t="shared" si="496"/>
        <v>0</v>
      </c>
      <c r="I529" s="114">
        <v>4.7E-2</v>
      </c>
      <c r="J529" s="115">
        <f t="shared" si="517"/>
        <v>46255</v>
      </c>
      <c r="K529" s="115">
        <f t="shared" si="478"/>
        <v>46255</v>
      </c>
      <c r="L529" s="115"/>
      <c r="M529" s="116">
        <f t="shared" si="479"/>
        <v>46297</v>
      </c>
      <c r="N529" s="115">
        <f t="shared" si="480"/>
        <v>46297</v>
      </c>
      <c r="O529" s="115"/>
      <c r="P529" s="115">
        <f t="shared" si="481"/>
        <v>46339</v>
      </c>
      <c r="Q529" s="115">
        <f t="shared" si="482"/>
        <v>46339</v>
      </c>
      <c r="R529" s="115"/>
      <c r="S529" s="115">
        <f t="shared" si="484"/>
        <v>46353</v>
      </c>
      <c r="T529" s="115">
        <f t="shared" si="483"/>
        <v>46353</v>
      </c>
      <c r="U529" s="115"/>
      <c r="W529" s="174" t="str">
        <f t="shared" ca="1" si="485"/>
        <v>Follow-Next Week</v>
      </c>
      <c r="X529" s="174" t="str">
        <f t="shared" ca="1" si="486"/>
        <v/>
      </c>
      <c r="Y529" s="174" t="str">
        <f t="shared" ca="1" si="487"/>
        <v/>
      </c>
      <c r="Z529" s="175" t="str">
        <f t="shared" ca="1" si="488"/>
        <v/>
      </c>
    </row>
    <row r="530" spans="1:26" s="70" customFormat="1" ht="11.5" x14ac:dyDescent="0.25">
      <c r="A530" s="112" t="s">
        <v>68</v>
      </c>
      <c r="B530" s="112" t="s">
        <v>14</v>
      </c>
      <c r="C530" s="118" t="s">
        <v>1130</v>
      </c>
      <c r="D530" s="118" t="s">
        <v>660</v>
      </c>
      <c r="E530" s="113">
        <f t="shared" si="494"/>
        <v>0</v>
      </c>
      <c r="F530" s="113">
        <f t="shared" si="495"/>
        <v>0</v>
      </c>
      <c r="G530" s="113">
        <f t="shared" si="495"/>
        <v>0</v>
      </c>
      <c r="H530" s="113">
        <f t="shared" si="496"/>
        <v>0</v>
      </c>
      <c r="I530" s="114">
        <v>4.7E-2</v>
      </c>
      <c r="J530" s="115">
        <f t="shared" si="517"/>
        <v>46255</v>
      </c>
      <c r="K530" s="115">
        <f t="shared" si="478"/>
        <v>46255</v>
      </c>
      <c r="L530" s="115"/>
      <c r="M530" s="116">
        <f t="shared" si="479"/>
        <v>46297</v>
      </c>
      <c r="N530" s="115">
        <f t="shared" si="480"/>
        <v>46297</v>
      </c>
      <c r="O530" s="115"/>
      <c r="P530" s="115">
        <f t="shared" si="481"/>
        <v>46339</v>
      </c>
      <c r="Q530" s="115">
        <f t="shared" si="482"/>
        <v>46339</v>
      </c>
      <c r="R530" s="115"/>
      <c r="S530" s="115">
        <f t="shared" si="484"/>
        <v>46353</v>
      </c>
      <c r="T530" s="115">
        <f t="shared" si="483"/>
        <v>46353</v>
      </c>
      <c r="U530" s="115"/>
      <c r="W530" s="174" t="str">
        <f t="shared" ca="1" si="485"/>
        <v>Follow-Next Week</v>
      </c>
      <c r="X530" s="174" t="str">
        <f t="shared" ca="1" si="486"/>
        <v/>
      </c>
      <c r="Y530" s="174" t="str">
        <f t="shared" ca="1" si="487"/>
        <v/>
      </c>
      <c r="Z530" s="175" t="str">
        <f t="shared" ca="1" si="488"/>
        <v/>
      </c>
    </row>
    <row r="531" spans="1:26" s="70" customFormat="1" ht="11.5" x14ac:dyDescent="0.25">
      <c r="A531" s="112" t="s">
        <v>68</v>
      </c>
      <c r="B531" s="112" t="s">
        <v>14</v>
      </c>
      <c r="C531" s="118" t="s">
        <v>1131</v>
      </c>
      <c r="D531" s="118" t="s">
        <v>661</v>
      </c>
      <c r="E531" s="113">
        <f t="shared" si="494"/>
        <v>0</v>
      </c>
      <c r="F531" s="113">
        <f t="shared" si="495"/>
        <v>0</v>
      </c>
      <c r="G531" s="113">
        <f t="shared" si="495"/>
        <v>0</v>
      </c>
      <c r="H531" s="113">
        <f t="shared" si="496"/>
        <v>0</v>
      </c>
      <c r="I531" s="114">
        <v>4.7E-2</v>
      </c>
      <c r="J531" s="115">
        <f t="shared" si="517"/>
        <v>46255</v>
      </c>
      <c r="K531" s="115">
        <f t="shared" si="478"/>
        <v>46255</v>
      </c>
      <c r="L531" s="115"/>
      <c r="M531" s="116">
        <f t="shared" si="479"/>
        <v>46297</v>
      </c>
      <c r="N531" s="115">
        <f t="shared" si="480"/>
        <v>46297</v>
      </c>
      <c r="O531" s="115"/>
      <c r="P531" s="115">
        <f t="shared" si="481"/>
        <v>46339</v>
      </c>
      <c r="Q531" s="115">
        <f t="shared" si="482"/>
        <v>46339</v>
      </c>
      <c r="R531" s="115"/>
      <c r="S531" s="115">
        <f t="shared" si="484"/>
        <v>46353</v>
      </c>
      <c r="T531" s="115">
        <f t="shared" si="483"/>
        <v>46353</v>
      </c>
      <c r="U531" s="115"/>
      <c r="W531" s="174" t="str">
        <f t="shared" ref="W531:W594" ca="1" si="522">IF(OR(L531&lt;&gt;""),"Completed",
IF(K531="","",IF(K531&lt;TODAY(),"Overdue",
IF(AND(K531&gt;=TODAY()-WEEKDAY(TODAY(),2)+1,K531&lt;=TODAY()-WEEKDAY(TODAY(),2)+7),"Follow-This Week",
IF(AND(K531&gt;=TODAY()-WEEKDAY(TODAY(),2)+8,K531&lt;=TODAY()-WEEKDAY(TODAY(),2)+14),"Follow-Next Week","")))))</f>
        <v>Follow-Next Week</v>
      </c>
      <c r="X531" s="174" t="str">
        <f t="shared" ref="X531:X594" ca="1" si="523">IF(OR(O531&lt;&gt;""),"Completed",IF(N531="","",
IF(N531&lt;TODAY(),"Overdue",
IF(AND(N531&gt;=TODAY()-WEEKDAY(TODAY(),2)+1,N531&lt;=TODAY()-WEEKDAY(TODAY(),2)+7),"Follow-This Week",
IF(AND(N531&gt;=TODAY()-WEEKDAY(TODAY(),2)+8,N531&lt;=TODAY()-WEEKDAY(TODAY(),2)+14),"Follow-Next Week","")))))</f>
        <v/>
      </c>
      <c r="Y531" s="174" t="str">
        <f t="shared" ref="Y531:Y594" ca="1" si="524">IF(OR(R531&lt;&gt;""),"Completed",IF(Q531="","",
IF(Q531&lt;TODAY(),"Overdue",
IF(AND(Q531&gt;=TODAY()-WEEKDAY(TODAY(),2)+1,Q531&lt;=TODAY()-WEEKDAY(TODAY(),2)+7),"Follow-This Week",
IF(AND(Q531&gt;=TODAY()-WEEKDAY(TODAY(),2)+8,Q531&lt;=TODAY()-WEEKDAY(TODAY(),2)+14),"Follow-Next Week","")))))</f>
        <v/>
      </c>
      <c r="Z531" s="175" t="str">
        <f t="shared" ref="Z531:Z594" ca="1" si="525">IF(OR(U531&lt;&gt;""),"Completed",IF(T531="","",
IF(T531&lt;TODAY(),"Overdue",
IF(AND(T531&gt;=TODAY()-WEEKDAY(TODAY(),2)+1,T531&lt;=TODAY()-WEEKDAY(TODAY(),2)+7),"Follow-This Week",
IF(AND(T531&gt;=TODAY()-WEEKDAY(TODAY(),2)+8,T531&lt;=TODAY()-WEEKDAY(TODAY(),2)+14),"Follow-Next Week","")))))</f>
        <v/>
      </c>
    </row>
    <row r="532" spans="1:26" s="70" customFormat="1" ht="11.5" x14ac:dyDescent="0.25">
      <c r="A532" s="112" t="s">
        <v>68</v>
      </c>
      <c r="B532" s="112" t="s">
        <v>14</v>
      </c>
      <c r="C532" s="118" t="s">
        <v>1132</v>
      </c>
      <c r="D532" s="118" t="s">
        <v>662</v>
      </c>
      <c r="E532" s="113">
        <f t="shared" si="494"/>
        <v>0</v>
      </c>
      <c r="F532" s="113">
        <f t="shared" si="495"/>
        <v>0</v>
      </c>
      <c r="G532" s="113">
        <f t="shared" si="495"/>
        <v>0</v>
      </c>
      <c r="H532" s="113">
        <f t="shared" si="496"/>
        <v>0</v>
      </c>
      <c r="I532" s="114">
        <v>4.7E-2</v>
      </c>
      <c r="J532" s="115">
        <f t="shared" si="517"/>
        <v>46255</v>
      </c>
      <c r="K532" s="115">
        <f t="shared" si="478"/>
        <v>46255</v>
      </c>
      <c r="L532" s="115"/>
      <c r="M532" s="116">
        <f t="shared" si="479"/>
        <v>46297</v>
      </c>
      <c r="N532" s="115">
        <f t="shared" si="480"/>
        <v>46297</v>
      </c>
      <c r="O532" s="115"/>
      <c r="P532" s="115">
        <f t="shared" si="481"/>
        <v>46339</v>
      </c>
      <c r="Q532" s="115">
        <f t="shared" si="482"/>
        <v>46339</v>
      </c>
      <c r="R532" s="115"/>
      <c r="S532" s="115">
        <f t="shared" si="484"/>
        <v>46353</v>
      </c>
      <c r="T532" s="115">
        <f t="shared" si="483"/>
        <v>46353</v>
      </c>
      <c r="U532" s="115"/>
      <c r="W532" s="174" t="str">
        <f t="shared" ca="1" si="522"/>
        <v>Follow-Next Week</v>
      </c>
      <c r="X532" s="174" t="str">
        <f t="shared" ca="1" si="523"/>
        <v/>
      </c>
      <c r="Y532" s="174" t="str">
        <f t="shared" ca="1" si="524"/>
        <v/>
      </c>
      <c r="Z532" s="175" t="str">
        <f t="shared" ca="1" si="525"/>
        <v/>
      </c>
    </row>
    <row r="533" spans="1:26" s="70" customFormat="1" ht="11.5" x14ac:dyDescent="0.25">
      <c r="A533" s="112" t="s">
        <v>68</v>
      </c>
      <c r="B533" s="112" t="s">
        <v>14</v>
      </c>
      <c r="C533" s="118" t="s">
        <v>663</v>
      </c>
      <c r="D533" s="118" t="s">
        <v>664</v>
      </c>
      <c r="E533" s="113">
        <f t="shared" si="494"/>
        <v>0</v>
      </c>
      <c r="F533" s="113">
        <f t="shared" si="495"/>
        <v>0</v>
      </c>
      <c r="G533" s="113">
        <f t="shared" si="495"/>
        <v>0</v>
      </c>
      <c r="H533" s="113">
        <f t="shared" si="496"/>
        <v>0</v>
      </c>
      <c r="I533" s="114">
        <v>4.7E-2</v>
      </c>
      <c r="J533" s="115">
        <f t="shared" si="517"/>
        <v>46262</v>
      </c>
      <c r="K533" s="115">
        <f t="shared" si="478"/>
        <v>46262</v>
      </c>
      <c r="L533" s="115"/>
      <c r="M533" s="116">
        <f t="shared" si="479"/>
        <v>46304</v>
      </c>
      <c r="N533" s="115">
        <f t="shared" si="480"/>
        <v>46304</v>
      </c>
      <c r="O533" s="115"/>
      <c r="P533" s="115">
        <f t="shared" si="481"/>
        <v>46346</v>
      </c>
      <c r="Q533" s="115">
        <f t="shared" si="482"/>
        <v>46346</v>
      </c>
      <c r="R533" s="115"/>
      <c r="S533" s="115">
        <f t="shared" si="484"/>
        <v>46360</v>
      </c>
      <c r="T533" s="115">
        <f t="shared" si="483"/>
        <v>46360</v>
      </c>
      <c r="U533" s="115"/>
      <c r="W533" s="174" t="str">
        <f t="shared" ca="1" si="522"/>
        <v/>
      </c>
      <c r="X533" s="174" t="str">
        <f t="shared" ca="1" si="523"/>
        <v/>
      </c>
      <c r="Y533" s="174" t="str">
        <f t="shared" ca="1" si="524"/>
        <v/>
      </c>
      <c r="Z533" s="175" t="str">
        <f t="shared" ca="1" si="525"/>
        <v/>
      </c>
    </row>
    <row r="534" spans="1:26" s="70" customFormat="1" ht="11.5" x14ac:dyDescent="0.25">
      <c r="A534" s="112" t="s">
        <v>68</v>
      </c>
      <c r="B534" s="112" t="s">
        <v>14</v>
      </c>
      <c r="C534" s="118" t="s">
        <v>665</v>
      </c>
      <c r="D534" s="118" t="s">
        <v>666</v>
      </c>
      <c r="E534" s="113">
        <f t="shared" si="494"/>
        <v>0</v>
      </c>
      <c r="F534" s="113">
        <f t="shared" si="495"/>
        <v>0</v>
      </c>
      <c r="G534" s="113">
        <f t="shared" si="495"/>
        <v>0</v>
      </c>
      <c r="H534" s="113">
        <f t="shared" si="496"/>
        <v>0</v>
      </c>
      <c r="I534" s="114">
        <v>4.7E-2</v>
      </c>
      <c r="J534" s="115">
        <f t="shared" si="517"/>
        <v>46262</v>
      </c>
      <c r="K534" s="115">
        <f t="shared" si="478"/>
        <v>46262</v>
      </c>
      <c r="L534" s="115"/>
      <c r="M534" s="116">
        <f t="shared" si="479"/>
        <v>46304</v>
      </c>
      <c r="N534" s="115">
        <f t="shared" si="480"/>
        <v>46304</v>
      </c>
      <c r="O534" s="115"/>
      <c r="P534" s="115">
        <f t="shared" si="481"/>
        <v>46346</v>
      </c>
      <c r="Q534" s="115">
        <f t="shared" si="482"/>
        <v>46346</v>
      </c>
      <c r="R534" s="115"/>
      <c r="S534" s="115">
        <f t="shared" si="484"/>
        <v>46360</v>
      </c>
      <c r="T534" s="115">
        <f t="shared" si="483"/>
        <v>46360</v>
      </c>
      <c r="U534" s="115"/>
      <c r="W534" s="174" t="str">
        <f t="shared" ca="1" si="522"/>
        <v/>
      </c>
      <c r="X534" s="174" t="str">
        <f t="shared" ca="1" si="523"/>
        <v/>
      </c>
      <c r="Y534" s="174" t="str">
        <f t="shared" ca="1" si="524"/>
        <v/>
      </c>
      <c r="Z534" s="175" t="str">
        <f t="shared" ca="1" si="525"/>
        <v/>
      </c>
    </row>
    <row r="535" spans="1:26" s="70" customFormat="1" ht="11.5" x14ac:dyDescent="0.25">
      <c r="A535" s="112" t="s">
        <v>68</v>
      </c>
      <c r="B535" s="112" t="s">
        <v>14</v>
      </c>
      <c r="C535" s="118" t="s">
        <v>667</v>
      </c>
      <c r="D535" s="118" t="s">
        <v>668</v>
      </c>
      <c r="E535" s="113">
        <f t="shared" si="494"/>
        <v>0</v>
      </c>
      <c r="F535" s="113">
        <f t="shared" si="495"/>
        <v>0</v>
      </c>
      <c r="G535" s="113">
        <f t="shared" si="495"/>
        <v>0</v>
      </c>
      <c r="H535" s="113">
        <f t="shared" si="496"/>
        <v>0</v>
      </c>
      <c r="I535" s="114">
        <v>4.7E-2</v>
      </c>
      <c r="J535" s="115">
        <f t="shared" si="517"/>
        <v>46262</v>
      </c>
      <c r="K535" s="115">
        <f t="shared" si="478"/>
        <v>46262</v>
      </c>
      <c r="L535" s="115"/>
      <c r="M535" s="116">
        <f t="shared" si="479"/>
        <v>46304</v>
      </c>
      <c r="N535" s="115">
        <f t="shared" si="480"/>
        <v>46304</v>
      </c>
      <c r="O535" s="115"/>
      <c r="P535" s="115">
        <f t="shared" si="481"/>
        <v>46346</v>
      </c>
      <c r="Q535" s="115">
        <f t="shared" si="482"/>
        <v>46346</v>
      </c>
      <c r="R535" s="115"/>
      <c r="S535" s="115">
        <f t="shared" si="484"/>
        <v>46360</v>
      </c>
      <c r="T535" s="115">
        <f t="shared" si="483"/>
        <v>46360</v>
      </c>
      <c r="U535" s="115"/>
      <c r="W535" s="174" t="str">
        <f t="shared" ca="1" si="522"/>
        <v/>
      </c>
      <c r="X535" s="174" t="str">
        <f t="shared" ca="1" si="523"/>
        <v/>
      </c>
      <c r="Y535" s="174" t="str">
        <f t="shared" ca="1" si="524"/>
        <v/>
      </c>
      <c r="Z535" s="175" t="str">
        <f t="shared" ca="1" si="525"/>
        <v/>
      </c>
    </row>
    <row r="536" spans="1:26" s="70" customFormat="1" ht="11.5" x14ac:dyDescent="0.25">
      <c r="A536" s="112" t="s">
        <v>68</v>
      </c>
      <c r="B536" s="112" t="s">
        <v>14</v>
      </c>
      <c r="C536" s="118" t="s">
        <v>1133</v>
      </c>
      <c r="D536" s="118" t="s">
        <v>669</v>
      </c>
      <c r="E536" s="113">
        <f t="shared" si="494"/>
        <v>0</v>
      </c>
      <c r="F536" s="113">
        <f t="shared" si="495"/>
        <v>0</v>
      </c>
      <c r="G536" s="113">
        <f t="shared" si="495"/>
        <v>0</v>
      </c>
      <c r="H536" s="113">
        <f t="shared" si="496"/>
        <v>0</v>
      </c>
      <c r="I536" s="114">
        <v>4.7E-2</v>
      </c>
      <c r="J536" s="115">
        <f t="shared" si="517"/>
        <v>46262</v>
      </c>
      <c r="K536" s="115">
        <f t="shared" si="478"/>
        <v>46262</v>
      </c>
      <c r="L536" s="115"/>
      <c r="M536" s="116">
        <f t="shared" si="479"/>
        <v>46304</v>
      </c>
      <c r="N536" s="115">
        <f t="shared" si="480"/>
        <v>46304</v>
      </c>
      <c r="O536" s="115"/>
      <c r="P536" s="115">
        <f t="shared" si="481"/>
        <v>46346</v>
      </c>
      <c r="Q536" s="115">
        <f t="shared" si="482"/>
        <v>46346</v>
      </c>
      <c r="R536" s="115"/>
      <c r="S536" s="115">
        <f t="shared" si="484"/>
        <v>46360</v>
      </c>
      <c r="T536" s="115">
        <f t="shared" si="483"/>
        <v>46360</v>
      </c>
      <c r="U536" s="115"/>
      <c r="W536" s="174" t="str">
        <f t="shared" ca="1" si="522"/>
        <v/>
      </c>
      <c r="X536" s="174" t="str">
        <f t="shared" ca="1" si="523"/>
        <v/>
      </c>
      <c r="Y536" s="174" t="str">
        <f t="shared" ca="1" si="524"/>
        <v/>
      </c>
      <c r="Z536" s="175" t="str">
        <f t="shared" ca="1" si="525"/>
        <v/>
      </c>
    </row>
    <row r="537" spans="1:26" s="70" customFormat="1" ht="11.5" x14ac:dyDescent="0.25">
      <c r="A537" s="112" t="s">
        <v>68</v>
      </c>
      <c r="B537" s="112" t="s">
        <v>14</v>
      </c>
      <c r="C537" s="118" t="s">
        <v>1134</v>
      </c>
      <c r="D537" s="118" t="s">
        <v>670</v>
      </c>
      <c r="E537" s="113">
        <f t="shared" si="494"/>
        <v>0</v>
      </c>
      <c r="F537" s="113">
        <f t="shared" si="495"/>
        <v>0</v>
      </c>
      <c r="G537" s="113">
        <f t="shared" si="495"/>
        <v>0</v>
      </c>
      <c r="H537" s="113">
        <f t="shared" si="496"/>
        <v>0</v>
      </c>
      <c r="I537" s="114">
        <v>4.7E-2</v>
      </c>
      <c r="J537" s="115">
        <f t="shared" si="517"/>
        <v>46262</v>
      </c>
      <c r="K537" s="115">
        <f t="shared" ref="K537:K600" si="526">J537</f>
        <v>46262</v>
      </c>
      <c r="L537" s="115"/>
      <c r="M537" s="116">
        <f t="shared" ref="M537:M600" si="527">J537+42</f>
        <v>46304</v>
      </c>
      <c r="N537" s="115">
        <f t="shared" ref="N537:N600" si="528">M537</f>
        <v>46304</v>
      </c>
      <c r="O537" s="115"/>
      <c r="P537" s="115">
        <f t="shared" ref="P537:P600" si="529">M537+42</f>
        <v>46346</v>
      </c>
      <c r="Q537" s="115">
        <f t="shared" ref="Q537:Q600" si="530">P537</f>
        <v>46346</v>
      </c>
      <c r="R537" s="115"/>
      <c r="S537" s="115">
        <f t="shared" si="484"/>
        <v>46360</v>
      </c>
      <c r="T537" s="115">
        <f t="shared" ref="T537:T600" si="531">S537</f>
        <v>46360</v>
      </c>
      <c r="U537" s="115"/>
      <c r="W537" s="174" t="str">
        <f t="shared" ca="1" si="522"/>
        <v/>
      </c>
      <c r="X537" s="174" t="str">
        <f t="shared" ca="1" si="523"/>
        <v/>
      </c>
      <c r="Y537" s="174" t="str">
        <f t="shared" ca="1" si="524"/>
        <v/>
      </c>
      <c r="Z537" s="175" t="str">
        <f t="shared" ca="1" si="525"/>
        <v/>
      </c>
    </row>
    <row r="538" spans="1:26" s="70" customFormat="1" ht="11.5" x14ac:dyDescent="0.25">
      <c r="A538" s="112" t="s">
        <v>68</v>
      </c>
      <c r="B538" s="112" t="s">
        <v>14</v>
      </c>
      <c r="C538" s="118" t="s">
        <v>1135</v>
      </c>
      <c r="D538" s="118" t="s">
        <v>671</v>
      </c>
      <c r="E538" s="113">
        <f t="shared" si="494"/>
        <v>0</v>
      </c>
      <c r="F538" s="113">
        <f t="shared" si="495"/>
        <v>0</v>
      </c>
      <c r="G538" s="113">
        <f t="shared" si="495"/>
        <v>0</v>
      </c>
      <c r="H538" s="113">
        <f t="shared" si="496"/>
        <v>0</v>
      </c>
      <c r="I538" s="114">
        <v>4.7E-2</v>
      </c>
      <c r="J538" s="115">
        <f t="shared" si="517"/>
        <v>46262</v>
      </c>
      <c r="K538" s="115">
        <f t="shared" si="526"/>
        <v>46262</v>
      </c>
      <c r="L538" s="115"/>
      <c r="M538" s="115">
        <f t="shared" si="527"/>
        <v>46304</v>
      </c>
      <c r="N538" s="115">
        <f t="shared" si="528"/>
        <v>46304</v>
      </c>
      <c r="O538" s="115"/>
      <c r="P538" s="115">
        <f t="shared" si="529"/>
        <v>46346</v>
      </c>
      <c r="Q538" s="115">
        <f t="shared" si="530"/>
        <v>46346</v>
      </c>
      <c r="R538" s="115"/>
      <c r="S538" s="115">
        <f t="shared" ref="S538:S601" si="532">P538+14</f>
        <v>46360</v>
      </c>
      <c r="T538" s="115">
        <f t="shared" si="531"/>
        <v>46360</v>
      </c>
      <c r="U538" s="115"/>
      <c r="W538" s="174" t="str">
        <f t="shared" ca="1" si="522"/>
        <v/>
      </c>
      <c r="X538" s="174" t="str">
        <f t="shared" ca="1" si="523"/>
        <v/>
      </c>
      <c r="Y538" s="174" t="str">
        <f t="shared" ca="1" si="524"/>
        <v/>
      </c>
      <c r="Z538" s="175" t="str">
        <f t="shared" ca="1" si="525"/>
        <v/>
      </c>
    </row>
    <row r="539" spans="1:26" s="70" customFormat="1" ht="11.5" x14ac:dyDescent="0.25">
      <c r="A539" s="112" t="s">
        <v>68</v>
      </c>
      <c r="B539" s="112" t="s">
        <v>14</v>
      </c>
      <c r="C539" s="118" t="s">
        <v>1136</v>
      </c>
      <c r="D539" s="118" t="s">
        <v>672</v>
      </c>
      <c r="E539" s="113">
        <f t="shared" si="494"/>
        <v>0</v>
      </c>
      <c r="F539" s="113">
        <f t="shared" si="495"/>
        <v>0</v>
      </c>
      <c r="G539" s="113">
        <f t="shared" si="495"/>
        <v>0</v>
      </c>
      <c r="H539" s="113">
        <f t="shared" si="496"/>
        <v>0</v>
      </c>
      <c r="I539" s="114">
        <v>4.7E-2</v>
      </c>
      <c r="J539" s="115">
        <f t="shared" si="517"/>
        <v>46262</v>
      </c>
      <c r="K539" s="115">
        <f t="shared" si="526"/>
        <v>46262</v>
      </c>
      <c r="L539" s="115"/>
      <c r="M539" s="115">
        <f t="shared" si="527"/>
        <v>46304</v>
      </c>
      <c r="N539" s="115">
        <f t="shared" si="528"/>
        <v>46304</v>
      </c>
      <c r="O539" s="115"/>
      <c r="P539" s="115">
        <f t="shared" si="529"/>
        <v>46346</v>
      </c>
      <c r="Q539" s="115">
        <f t="shared" si="530"/>
        <v>46346</v>
      </c>
      <c r="R539" s="115"/>
      <c r="S539" s="115">
        <f t="shared" si="532"/>
        <v>46360</v>
      </c>
      <c r="T539" s="115">
        <f t="shared" si="531"/>
        <v>46360</v>
      </c>
      <c r="U539" s="115"/>
      <c r="W539" s="174" t="str">
        <f t="shared" ca="1" si="522"/>
        <v/>
      </c>
      <c r="X539" s="174" t="str">
        <f t="shared" ca="1" si="523"/>
        <v/>
      </c>
      <c r="Y539" s="174" t="str">
        <f t="shared" ca="1" si="524"/>
        <v/>
      </c>
      <c r="Z539" s="175" t="str">
        <f t="shared" ca="1" si="525"/>
        <v/>
      </c>
    </row>
    <row r="540" spans="1:26" s="70" customFormat="1" ht="11.5" x14ac:dyDescent="0.25">
      <c r="A540" s="112" t="s">
        <v>68</v>
      </c>
      <c r="B540" s="112" t="s">
        <v>14</v>
      </c>
      <c r="C540" s="112" t="s">
        <v>1137</v>
      </c>
      <c r="D540" s="112" t="s">
        <v>673</v>
      </c>
      <c r="E540" s="113">
        <f t="shared" si="494"/>
        <v>0</v>
      </c>
      <c r="F540" s="113">
        <f t="shared" si="495"/>
        <v>0</v>
      </c>
      <c r="G540" s="113">
        <f t="shared" si="495"/>
        <v>0</v>
      </c>
      <c r="H540" s="113">
        <f t="shared" si="496"/>
        <v>0</v>
      </c>
      <c r="I540" s="114">
        <v>4.7E-2</v>
      </c>
      <c r="J540" s="115">
        <f t="shared" si="517"/>
        <v>46262</v>
      </c>
      <c r="K540" s="115">
        <f t="shared" si="526"/>
        <v>46262</v>
      </c>
      <c r="L540" s="115"/>
      <c r="M540" s="115">
        <f t="shared" si="527"/>
        <v>46304</v>
      </c>
      <c r="N540" s="115">
        <f t="shared" si="528"/>
        <v>46304</v>
      </c>
      <c r="O540" s="115"/>
      <c r="P540" s="115">
        <f t="shared" si="529"/>
        <v>46346</v>
      </c>
      <c r="Q540" s="115">
        <f t="shared" si="530"/>
        <v>46346</v>
      </c>
      <c r="R540" s="115"/>
      <c r="S540" s="115">
        <f t="shared" si="532"/>
        <v>46360</v>
      </c>
      <c r="T540" s="115">
        <f t="shared" si="531"/>
        <v>46360</v>
      </c>
      <c r="U540" s="115"/>
      <c r="W540" s="174" t="str">
        <f t="shared" ca="1" si="522"/>
        <v/>
      </c>
      <c r="X540" s="174" t="str">
        <f t="shared" ca="1" si="523"/>
        <v/>
      </c>
      <c r="Y540" s="174" t="str">
        <f t="shared" ca="1" si="524"/>
        <v/>
      </c>
      <c r="Z540" s="175" t="str">
        <f t="shared" ca="1" si="525"/>
        <v/>
      </c>
    </row>
    <row r="541" spans="1:26" s="70" customFormat="1" ht="11.5" x14ac:dyDescent="0.25">
      <c r="A541" s="112" t="s">
        <v>68</v>
      </c>
      <c r="B541" s="112" t="s">
        <v>14</v>
      </c>
      <c r="C541" s="112" t="s">
        <v>1138</v>
      </c>
      <c r="D541" s="112" t="s">
        <v>674</v>
      </c>
      <c r="E541" s="113">
        <f t="shared" si="494"/>
        <v>0</v>
      </c>
      <c r="F541" s="113">
        <f t="shared" si="495"/>
        <v>0</v>
      </c>
      <c r="G541" s="113">
        <f t="shared" si="495"/>
        <v>0</v>
      </c>
      <c r="H541" s="113">
        <f t="shared" si="496"/>
        <v>0</v>
      </c>
      <c r="I541" s="114">
        <v>4.7E-2</v>
      </c>
      <c r="J541" s="115">
        <f t="shared" si="517"/>
        <v>46262</v>
      </c>
      <c r="K541" s="115">
        <f t="shared" si="526"/>
        <v>46262</v>
      </c>
      <c r="L541" s="115"/>
      <c r="M541" s="115">
        <f t="shared" si="527"/>
        <v>46304</v>
      </c>
      <c r="N541" s="115">
        <f t="shared" si="528"/>
        <v>46304</v>
      </c>
      <c r="O541" s="115"/>
      <c r="P541" s="115">
        <f t="shared" si="529"/>
        <v>46346</v>
      </c>
      <c r="Q541" s="115">
        <f t="shared" si="530"/>
        <v>46346</v>
      </c>
      <c r="R541" s="115"/>
      <c r="S541" s="115">
        <f t="shared" si="532"/>
        <v>46360</v>
      </c>
      <c r="T541" s="115">
        <f t="shared" si="531"/>
        <v>46360</v>
      </c>
      <c r="U541" s="115"/>
      <c r="W541" s="174" t="str">
        <f t="shared" ca="1" si="522"/>
        <v/>
      </c>
      <c r="X541" s="174" t="str">
        <f t="shared" ca="1" si="523"/>
        <v/>
      </c>
      <c r="Y541" s="174" t="str">
        <f t="shared" ca="1" si="524"/>
        <v/>
      </c>
      <c r="Z541" s="175" t="str">
        <f t="shared" ca="1" si="525"/>
        <v/>
      </c>
    </row>
    <row r="542" spans="1:26" s="70" customFormat="1" ht="11.5" x14ac:dyDescent="0.25">
      <c r="A542" s="112" t="s">
        <v>68</v>
      </c>
      <c r="B542" s="112" t="s">
        <v>14</v>
      </c>
      <c r="C542" s="112" t="s">
        <v>675</v>
      </c>
      <c r="D542" s="112" t="s">
        <v>676</v>
      </c>
      <c r="E542" s="113">
        <f t="shared" ref="E542" si="533">(COUNTIFS(J542,"&lt;="&amp;$C$1)*50%)+(COUNTIFS(M542,"&lt;="&amp;$C$1)*20%)+(COUNTIFS(P542,"&lt;="&amp;$C$1)*10%)+(COUNTIFS(S542,"&lt;="&amp;$C$1)*20%)</f>
        <v>0</v>
      </c>
      <c r="F542" s="113">
        <f t="shared" ref="F542" si="534">(COUNTIFS(K542,"&lt;="&amp;$C$1)*50%)+(COUNTIFS(N542,"&lt;="&amp;$C$1)*20%)+(COUNTIFS(Q542,"&lt;="&amp;$C$1)*10%)+(COUNTIFS(T542,"&lt;="&amp;$C$1)*20%)</f>
        <v>0</v>
      </c>
      <c r="G542" s="113">
        <f t="shared" ref="G542" si="535">(COUNTIFS(L542,"&lt;="&amp;$C$1)*50%)+(COUNTIFS(O542,"&lt;="&amp;$C$1)*20%)+(COUNTIFS(R542,"&lt;="&amp;$C$1)*10%)+(COUNTIFS(U542,"&lt;="&amp;$C$1)*20%)</f>
        <v>0</v>
      </c>
      <c r="H542" s="113">
        <f t="shared" ref="H542" si="536">G542-E542</f>
        <v>0</v>
      </c>
      <c r="I542" s="114">
        <v>4.7E-2</v>
      </c>
      <c r="J542" s="115">
        <f t="shared" si="517"/>
        <v>46262</v>
      </c>
      <c r="K542" s="115">
        <f t="shared" si="526"/>
        <v>46262</v>
      </c>
      <c r="L542" s="115"/>
      <c r="M542" s="115">
        <f t="shared" si="527"/>
        <v>46304</v>
      </c>
      <c r="N542" s="115">
        <f t="shared" si="528"/>
        <v>46304</v>
      </c>
      <c r="O542" s="115"/>
      <c r="P542" s="115">
        <f t="shared" si="529"/>
        <v>46346</v>
      </c>
      <c r="Q542" s="115">
        <f t="shared" si="530"/>
        <v>46346</v>
      </c>
      <c r="R542" s="115"/>
      <c r="S542" s="115">
        <f t="shared" si="532"/>
        <v>46360</v>
      </c>
      <c r="T542" s="115">
        <f t="shared" si="531"/>
        <v>46360</v>
      </c>
      <c r="U542" s="115"/>
      <c r="W542" s="174" t="str">
        <f t="shared" ca="1" si="522"/>
        <v/>
      </c>
      <c r="X542" s="174" t="str">
        <f t="shared" ca="1" si="523"/>
        <v/>
      </c>
      <c r="Y542" s="174" t="str">
        <f t="shared" ca="1" si="524"/>
        <v/>
      </c>
      <c r="Z542" s="175" t="str">
        <f t="shared" ca="1" si="525"/>
        <v/>
      </c>
    </row>
    <row r="543" spans="1:26" s="70" customFormat="1" ht="11.5" x14ac:dyDescent="0.25">
      <c r="A543" s="112" t="s">
        <v>68</v>
      </c>
      <c r="B543" s="112" t="s">
        <v>14</v>
      </c>
      <c r="C543" s="112" t="s">
        <v>677</v>
      </c>
      <c r="D543" s="112" t="s">
        <v>678</v>
      </c>
      <c r="E543" s="113">
        <f t="shared" si="494"/>
        <v>0</v>
      </c>
      <c r="F543" s="113">
        <f t="shared" si="495"/>
        <v>0</v>
      </c>
      <c r="G543" s="113">
        <f t="shared" si="495"/>
        <v>0</v>
      </c>
      <c r="H543" s="113">
        <f t="shared" si="496"/>
        <v>0</v>
      </c>
      <c r="I543" s="114">
        <v>4.7E-2</v>
      </c>
      <c r="J543" s="115">
        <f t="shared" si="517"/>
        <v>46262</v>
      </c>
      <c r="K543" s="115">
        <f t="shared" si="526"/>
        <v>46262</v>
      </c>
      <c r="L543" s="115"/>
      <c r="M543" s="116">
        <f t="shared" si="527"/>
        <v>46304</v>
      </c>
      <c r="N543" s="115">
        <f t="shared" si="528"/>
        <v>46304</v>
      </c>
      <c r="O543" s="115"/>
      <c r="P543" s="115">
        <f t="shared" si="529"/>
        <v>46346</v>
      </c>
      <c r="Q543" s="115">
        <f t="shared" si="530"/>
        <v>46346</v>
      </c>
      <c r="R543" s="115"/>
      <c r="S543" s="115">
        <f t="shared" si="532"/>
        <v>46360</v>
      </c>
      <c r="T543" s="115">
        <f t="shared" si="531"/>
        <v>46360</v>
      </c>
      <c r="U543" s="115"/>
      <c r="W543" s="174" t="str">
        <f t="shared" ca="1" si="522"/>
        <v/>
      </c>
      <c r="X543" s="174" t="str">
        <f t="shared" ca="1" si="523"/>
        <v/>
      </c>
      <c r="Y543" s="174" t="str">
        <f t="shared" ca="1" si="524"/>
        <v/>
      </c>
      <c r="Z543" s="175" t="str">
        <f t="shared" ca="1" si="525"/>
        <v/>
      </c>
    </row>
    <row r="544" spans="1:26" s="70" customFormat="1" ht="11.5" x14ac:dyDescent="0.25">
      <c r="A544" s="112" t="s">
        <v>68</v>
      </c>
      <c r="B544" s="112" t="s">
        <v>14</v>
      </c>
      <c r="C544" s="112" t="s">
        <v>679</v>
      </c>
      <c r="D544" s="112" t="s">
        <v>680</v>
      </c>
      <c r="E544" s="113">
        <f t="shared" si="494"/>
        <v>0</v>
      </c>
      <c r="F544" s="113">
        <f t="shared" si="495"/>
        <v>0</v>
      </c>
      <c r="G544" s="113">
        <f t="shared" si="495"/>
        <v>0</v>
      </c>
      <c r="H544" s="113">
        <f t="shared" si="496"/>
        <v>0</v>
      </c>
      <c r="I544" s="114">
        <v>4.7E-2</v>
      </c>
      <c r="J544" s="115">
        <f t="shared" si="517"/>
        <v>46262</v>
      </c>
      <c r="K544" s="115">
        <f t="shared" si="526"/>
        <v>46262</v>
      </c>
      <c r="L544" s="115"/>
      <c r="M544" s="116">
        <f t="shared" si="527"/>
        <v>46304</v>
      </c>
      <c r="N544" s="115">
        <f t="shared" si="528"/>
        <v>46304</v>
      </c>
      <c r="O544" s="115"/>
      <c r="P544" s="115">
        <f t="shared" si="529"/>
        <v>46346</v>
      </c>
      <c r="Q544" s="115">
        <f t="shared" si="530"/>
        <v>46346</v>
      </c>
      <c r="R544" s="115"/>
      <c r="S544" s="115">
        <f t="shared" si="532"/>
        <v>46360</v>
      </c>
      <c r="T544" s="115">
        <f t="shared" si="531"/>
        <v>46360</v>
      </c>
      <c r="U544" s="115"/>
      <c r="W544" s="174" t="str">
        <f t="shared" ca="1" si="522"/>
        <v/>
      </c>
      <c r="X544" s="174" t="str">
        <f t="shared" ca="1" si="523"/>
        <v/>
      </c>
      <c r="Y544" s="174" t="str">
        <f t="shared" ca="1" si="524"/>
        <v/>
      </c>
      <c r="Z544" s="175" t="str">
        <f t="shared" ca="1" si="525"/>
        <v/>
      </c>
    </row>
    <row r="545" spans="1:26" s="70" customFormat="1" ht="11.5" x14ac:dyDescent="0.25">
      <c r="A545" s="112" t="s">
        <v>68</v>
      </c>
      <c r="B545" s="112" t="s">
        <v>14</v>
      </c>
      <c r="C545" s="112" t="s">
        <v>1139</v>
      </c>
      <c r="D545" s="112" t="s">
        <v>681</v>
      </c>
      <c r="E545" s="113">
        <f t="shared" si="494"/>
        <v>0</v>
      </c>
      <c r="F545" s="113">
        <f t="shared" si="495"/>
        <v>0</v>
      </c>
      <c r="G545" s="113">
        <f t="shared" si="495"/>
        <v>0</v>
      </c>
      <c r="H545" s="113">
        <f t="shared" si="496"/>
        <v>0</v>
      </c>
      <c r="I545" s="114">
        <v>4.7E-2</v>
      </c>
      <c r="J545" s="115">
        <f t="shared" si="517"/>
        <v>46262</v>
      </c>
      <c r="K545" s="115">
        <f t="shared" si="526"/>
        <v>46262</v>
      </c>
      <c r="L545" s="115"/>
      <c r="M545" s="116">
        <f t="shared" si="527"/>
        <v>46304</v>
      </c>
      <c r="N545" s="115">
        <f t="shared" si="528"/>
        <v>46304</v>
      </c>
      <c r="O545" s="115"/>
      <c r="P545" s="115">
        <f t="shared" si="529"/>
        <v>46346</v>
      </c>
      <c r="Q545" s="115">
        <f t="shared" si="530"/>
        <v>46346</v>
      </c>
      <c r="R545" s="115"/>
      <c r="S545" s="115">
        <f t="shared" si="532"/>
        <v>46360</v>
      </c>
      <c r="T545" s="115">
        <f t="shared" si="531"/>
        <v>46360</v>
      </c>
      <c r="U545" s="115"/>
      <c r="W545" s="174" t="str">
        <f t="shared" ca="1" si="522"/>
        <v/>
      </c>
      <c r="X545" s="174" t="str">
        <f t="shared" ca="1" si="523"/>
        <v/>
      </c>
      <c r="Y545" s="174" t="str">
        <f t="shared" ca="1" si="524"/>
        <v/>
      </c>
      <c r="Z545" s="175" t="str">
        <f t="shared" ca="1" si="525"/>
        <v/>
      </c>
    </row>
    <row r="546" spans="1:26" s="70" customFormat="1" ht="11.5" x14ac:dyDescent="0.25">
      <c r="A546" s="112" t="s">
        <v>68</v>
      </c>
      <c r="B546" s="112" t="s">
        <v>14</v>
      </c>
      <c r="C546" s="112" t="s">
        <v>682</v>
      </c>
      <c r="D546" s="112" t="s">
        <v>683</v>
      </c>
      <c r="E546" s="113">
        <f t="shared" si="494"/>
        <v>0</v>
      </c>
      <c r="F546" s="113">
        <f t="shared" si="495"/>
        <v>0</v>
      </c>
      <c r="G546" s="113">
        <f t="shared" si="495"/>
        <v>0</v>
      </c>
      <c r="H546" s="113">
        <f t="shared" si="496"/>
        <v>0</v>
      </c>
      <c r="I546" s="114">
        <v>4.7E-2</v>
      </c>
      <c r="J546" s="115">
        <f t="shared" si="517"/>
        <v>46262</v>
      </c>
      <c r="K546" s="115">
        <f t="shared" si="526"/>
        <v>46262</v>
      </c>
      <c r="L546" s="116"/>
      <c r="M546" s="116">
        <f t="shared" si="527"/>
        <v>46304</v>
      </c>
      <c r="N546" s="115">
        <f t="shared" si="528"/>
        <v>46304</v>
      </c>
      <c r="O546" s="116"/>
      <c r="P546" s="115">
        <f t="shared" si="529"/>
        <v>46346</v>
      </c>
      <c r="Q546" s="115">
        <f t="shared" si="530"/>
        <v>46346</v>
      </c>
      <c r="R546" s="116"/>
      <c r="S546" s="115">
        <f t="shared" si="532"/>
        <v>46360</v>
      </c>
      <c r="T546" s="115">
        <f t="shared" si="531"/>
        <v>46360</v>
      </c>
      <c r="U546" s="116"/>
      <c r="W546" s="174" t="str">
        <f t="shared" ca="1" si="522"/>
        <v/>
      </c>
      <c r="X546" s="174" t="str">
        <f t="shared" ca="1" si="523"/>
        <v/>
      </c>
      <c r="Y546" s="174" t="str">
        <f t="shared" ca="1" si="524"/>
        <v/>
      </c>
      <c r="Z546" s="175" t="str">
        <f t="shared" ca="1" si="525"/>
        <v/>
      </c>
    </row>
    <row r="547" spans="1:26" s="70" customFormat="1" ht="11.5" x14ac:dyDescent="0.25">
      <c r="A547" s="112" t="s">
        <v>68</v>
      </c>
      <c r="B547" s="112" t="s">
        <v>14</v>
      </c>
      <c r="C547" s="112" t="s">
        <v>684</v>
      </c>
      <c r="D547" s="112" t="s">
        <v>685</v>
      </c>
      <c r="E547" s="113">
        <f t="shared" si="494"/>
        <v>0</v>
      </c>
      <c r="F547" s="113">
        <f t="shared" si="495"/>
        <v>0</v>
      </c>
      <c r="G547" s="113">
        <f t="shared" si="495"/>
        <v>0</v>
      </c>
      <c r="H547" s="113">
        <f t="shared" si="496"/>
        <v>0</v>
      </c>
      <c r="I547" s="114">
        <v>4.7E-2</v>
      </c>
      <c r="J547" s="115">
        <f t="shared" si="517"/>
        <v>46262</v>
      </c>
      <c r="K547" s="115">
        <f t="shared" si="526"/>
        <v>46262</v>
      </c>
      <c r="L547" s="116"/>
      <c r="M547" s="116">
        <f t="shared" si="527"/>
        <v>46304</v>
      </c>
      <c r="N547" s="115">
        <f t="shared" si="528"/>
        <v>46304</v>
      </c>
      <c r="O547" s="116"/>
      <c r="P547" s="115">
        <f t="shared" si="529"/>
        <v>46346</v>
      </c>
      <c r="Q547" s="115">
        <f t="shared" si="530"/>
        <v>46346</v>
      </c>
      <c r="R547" s="116"/>
      <c r="S547" s="115">
        <f t="shared" si="532"/>
        <v>46360</v>
      </c>
      <c r="T547" s="115">
        <f t="shared" si="531"/>
        <v>46360</v>
      </c>
      <c r="U547" s="116"/>
      <c r="W547" s="174" t="str">
        <f t="shared" ca="1" si="522"/>
        <v/>
      </c>
      <c r="X547" s="174" t="str">
        <f t="shared" ca="1" si="523"/>
        <v/>
      </c>
      <c r="Y547" s="174" t="str">
        <f t="shared" ca="1" si="524"/>
        <v/>
      </c>
      <c r="Z547" s="175" t="str">
        <f t="shared" ca="1" si="525"/>
        <v/>
      </c>
    </row>
    <row r="548" spans="1:26" s="70" customFormat="1" ht="11.5" x14ac:dyDescent="0.25">
      <c r="A548" s="112" t="s">
        <v>68</v>
      </c>
      <c r="B548" s="112" t="s">
        <v>14</v>
      </c>
      <c r="C548" s="112" t="s">
        <v>42</v>
      </c>
      <c r="D548" s="112" t="s">
        <v>686</v>
      </c>
      <c r="E548" s="113">
        <f t="shared" si="494"/>
        <v>0</v>
      </c>
      <c r="F548" s="113">
        <f t="shared" si="495"/>
        <v>0</v>
      </c>
      <c r="G548" s="113">
        <f t="shared" si="495"/>
        <v>0</v>
      </c>
      <c r="H548" s="113">
        <f t="shared" si="496"/>
        <v>0</v>
      </c>
      <c r="I548" s="120">
        <v>1.5</v>
      </c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W548" s="174" t="str">
        <f t="shared" ca="1" si="522"/>
        <v/>
      </c>
      <c r="X548" s="174" t="str">
        <f t="shared" ca="1" si="523"/>
        <v/>
      </c>
      <c r="Y548" s="174" t="str">
        <f t="shared" ca="1" si="524"/>
        <v/>
      </c>
      <c r="Z548" s="175" t="str">
        <f t="shared" ca="1" si="525"/>
        <v/>
      </c>
    </row>
    <row r="549" spans="1:26" s="70" customFormat="1" ht="11.5" x14ac:dyDescent="0.25">
      <c r="A549" s="73"/>
      <c r="B549" s="73"/>
      <c r="C549" s="73"/>
      <c r="D549" s="73"/>
      <c r="E549" s="74"/>
      <c r="F549" s="74"/>
      <c r="G549" s="74"/>
      <c r="H549" s="74"/>
      <c r="I549" s="75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W549" s="174" t="str">
        <f t="shared" ca="1" si="522"/>
        <v/>
      </c>
      <c r="X549" s="174" t="str">
        <f t="shared" ca="1" si="523"/>
        <v/>
      </c>
      <c r="Y549" s="174" t="str">
        <f t="shared" ca="1" si="524"/>
        <v/>
      </c>
      <c r="Z549" s="175" t="str">
        <f t="shared" ca="1" si="525"/>
        <v/>
      </c>
    </row>
    <row r="550" spans="1:26" s="70" customFormat="1" ht="11.5" x14ac:dyDescent="0.25">
      <c r="A550" s="121" t="s">
        <v>66</v>
      </c>
      <c r="B550" s="121" t="s">
        <v>14</v>
      </c>
      <c r="C550" s="121" t="s">
        <v>895</v>
      </c>
      <c r="D550" s="121" t="s">
        <v>891</v>
      </c>
      <c r="E550" s="123">
        <f t="shared" si="494"/>
        <v>0.5</v>
      </c>
      <c r="F550" s="123">
        <f t="shared" si="495"/>
        <v>0.5</v>
      </c>
      <c r="G550" s="123">
        <f t="shared" si="495"/>
        <v>0.79999999999999993</v>
      </c>
      <c r="H550" s="123">
        <f t="shared" si="496"/>
        <v>0.29999999999999993</v>
      </c>
      <c r="I550" s="124">
        <v>8.9999999999999993E-3</v>
      </c>
      <c r="J550" s="125">
        <f t="shared" ref="J550:J581" si="537">J429+28</f>
        <v>46234</v>
      </c>
      <c r="K550" s="125">
        <f t="shared" si="526"/>
        <v>46234</v>
      </c>
      <c r="L550" s="125">
        <v>46175</v>
      </c>
      <c r="M550" s="125">
        <f t="shared" si="527"/>
        <v>46276</v>
      </c>
      <c r="N550" s="125">
        <f t="shared" si="528"/>
        <v>46276</v>
      </c>
      <c r="O550" s="125">
        <v>46191</v>
      </c>
      <c r="P550" s="125">
        <f t="shared" si="529"/>
        <v>46318</v>
      </c>
      <c r="Q550" s="125">
        <f t="shared" si="530"/>
        <v>46318</v>
      </c>
      <c r="R550" s="166">
        <v>46245</v>
      </c>
      <c r="S550" s="125">
        <f t="shared" si="532"/>
        <v>46332</v>
      </c>
      <c r="T550" s="125">
        <f t="shared" si="531"/>
        <v>46332</v>
      </c>
      <c r="U550" s="125"/>
      <c r="W550" s="174" t="str">
        <f t="shared" ca="1" si="522"/>
        <v>Completed</v>
      </c>
      <c r="X550" s="174" t="str">
        <f t="shared" ca="1" si="523"/>
        <v>Completed</v>
      </c>
      <c r="Y550" s="174" t="str">
        <f t="shared" ca="1" si="524"/>
        <v>Completed</v>
      </c>
      <c r="Z550" s="175" t="str">
        <f t="shared" ca="1" si="525"/>
        <v/>
      </c>
    </row>
    <row r="551" spans="1:26" s="70" customFormat="1" ht="11.5" x14ac:dyDescent="0.25">
      <c r="A551" s="121" t="s">
        <v>66</v>
      </c>
      <c r="B551" s="121" t="s">
        <v>14</v>
      </c>
      <c r="C551" s="121" t="s">
        <v>896</v>
      </c>
      <c r="D551" s="121" t="s">
        <v>892</v>
      </c>
      <c r="E551" s="123">
        <f t="shared" si="494"/>
        <v>0.5</v>
      </c>
      <c r="F551" s="123">
        <f t="shared" si="495"/>
        <v>0.5</v>
      </c>
      <c r="G551" s="123">
        <f t="shared" si="495"/>
        <v>0.79999999999999993</v>
      </c>
      <c r="H551" s="123">
        <f t="shared" si="496"/>
        <v>0.29999999999999993</v>
      </c>
      <c r="I551" s="124">
        <v>8.9999999999999993E-3</v>
      </c>
      <c r="J551" s="125">
        <f t="shared" si="537"/>
        <v>46234</v>
      </c>
      <c r="K551" s="125">
        <f t="shared" si="526"/>
        <v>46234</v>
      </c>
      <c r="L551" s="125">
        <v>46175</v>
      </c>
      <c r="M551" s="125">
        <f t="shared" si="527"/>
        <v>46276</v>
      </c>
      <c r="N551" s="125">
        <f t="shared" si="528"/>
        <v>46276</v>
      </c>
      <c r="O551" s="125">
        <v>46191</v>
      </c>
      <c r="P551" s="125">
        <f t="shared" si="529"/>
        <v>46318</v>
      </c>
      <c r="Q551" s="125">
        <f t="shared" si="530"/>
        <v>46318</v>
      </c>
      <c r="R551" s="166">
        <v>46245</v>
      </c>
      <c r="S551" s="125">
        <f t="shared" si="532"/>
        <v>46332</v>
      </c>
      <c r="T551" s="125">
        <f t="shared" si="531"/>
        <v>46332</v>
      </c>
      <c r="U551" s="125"/>
      <c r="W551" s="174" t="str">
        <f t="shared" ca="1" si="522"/>
        <v>Completed</v>
      </c>
      <c r="X551" s="174" t="str">
        <f t="shared" ca="1" si="523"/>
        <v>Completed</v>
      </c>
      <c r="Y551" s="174" t="str">
        <f t="shared" ca="1" si="524"/>
        <v>Completed</v>
      </c>
      <c r="Z551" s="175" t="str">
        <f t="shared" ca="1" si="525"/>
        <v/>
      </c>
    </row>
    <row r="552" spans="1:26" s="70" customFormat="1" ht="11.5" x14ac:dyDescent="0.25">
      <c r="A552" s="121" t="s">
        <v>66</v>
      </c>
      <c r="B552" s="121" t="s">
        <v>14</v>
      </c>
      <c r="C552" s="121" t="s">
        <v>897</v>
      </c>
      <c r="D552" s="121" t="s">
        <v>893</v>
      </c>
      <c r="E552" s="123">
        <f t="shared" si="494"/>
        <v>0.5</v>
      </c>
      <c r="F552" s="123">
        <f t="shared" si="495"/>
        <v>0.5</v>
      </c>
      <c r="G552" s="123">
        <f t="shared" si="495"/>
        <v>0.79999999999999993</v>
      </c>
      <c r="H552" s="123">
        <f t="shared" si="496"/>
        <v>0.29999999999999993</v>
      </c>
      <c r="I552" s="124">
        <v>4.7E-2</v>
      </c>
      <c r="J552" s="125">
        <f t="shared" si="537"/>
        <v>46234</v>
      </c>
      <c r="K552" s="125">
        <f t="shared" si="526"/>
        <v>46234</v>
      </c>
      <c r="L552" s="125">
        <v>46175</v>
      </c>
      <c r="M552" s="125">
        <f t="shared" si="527"/>
        <v>46276</v>
      </c>
      <c r="N552" s="125">
        <f t="shared" si="528"/>
        <v>46276</v>
      </c>
      <c r="O552" s="125">
        <v>46191</v>
      </c>
      <c r="P552" s="125">
        <f t="shared" si="529"/>
        <v>46318</v>
      </c>
      <c r="Q552" s="125">
        <f t="shared" si="530"/>
        <v>46318</v>
      </c>
      <c r="R552" s="166">
        <v>46245</v>
      </c>
      <c r="S552" s="125">
        <f t="shared" si="532"/>
        <v>46332</v>
      </c>
      <c r="T552" s="125">
        <f t="shared" si="531"/>
        <v>46332</v>
      </c>
      <c r="U552" s="125"/>
      <c r="W552" s="174" t="str">
        <f t="shared" ca="1" si="522"/>
        <v>Completed</v>
      </c>
      <c r="X552" s="174" t="str">
        <f t="shared" ca="1" si="523"/>
        <v>Completed</v>
      </c>
      <c r="Y552" s="174" t="str">
        <f t="shared" ca="1" si="524"/>
        <v>Completed</v>
      </c>
      <c r="Z552" s="175" t="str">
        <f t="shared" ca="1" si="525"/>
        <v/>
      </c>
    </row>
    <row r="553" spans="1:26" s="70" customFormat="1" ht="11.5" x14ac:dyDescent="0.25">
      <c r="A553" s="121" t="s">
        <v>66</v>
      </c>
      <c r="B553" s="121" t="s">
        <v>14</v>
      </c>
      <c r="C553" s="121" t="s">
        <v>898</v>
      </c>
      <c r="D553" s="121" t="s">
        <v>894</v>
      </c>
      <c r="E553" s="123">
        <f t="shared" si="494"/>
        <v>0.5</v>
      </c>
      <c r="F553" s="123">
        <f t="shared" si="495"/>
        <v>0.5</v>
      </c>
      <c r="G553" s="123">
        <f t="shared" si="495"/>
        <v>0.79999999999999993</v>
      </c>
      <c r="H553" s="123">
        <f t="shared" si="496"/>
        <v>0.29999999999999993</v>
      </c>
      <c r="I553" s="124">
        <v>4.7E-2</v>
      </c>
      <c r="J553" s="125">
        <f t="shared" si="537"/>
        <v>46234</v>
      </c>
      <c r="K553" s="125">
        <f t="shared" si="526"/>
        <v>46234</v>
      </c>
      <c r="L553" s="125">
        <v>46175</v>
      </c>
      <c r="M553" s="125">
        <f t="shared" si="527"/>
        <v>46276</v>
      </c>
      <c r="N553" s="125">
        <f t="shared" si="528"/>
        <v>46276</v>
      </c>
      <c r="O553" s="125">
        <v>46191</v>
      </c>
      <c r="P553" s="125">
        <f t="shared" si="529"/>
        <v>46318</v>
      </c>
      <c r="Q553" s="125">
        <f t="shared" si="530"/>
        <v>46318</v>
      </c>
      <c r="R553" s="166">
        <v>46245</v>
      </c>
      <c r="S553" s="125">
        <f t="shared" si="532"/>
        <v>46332</v>
      </c>
      <c r="T553" s="125">
        <f t="shared" si="531"/>
        <v>46332</v>
      </c>
      <c r="U553" s="125"/>
      <c r="W553" s="174" t="str">
        <f t="shared" ca="1" si="522"/>
        <v>Completed</v>
      </c>
      <c r="X553" s="174" t="str">
        <f t="shared" ca="1" si="523"/>
        <v>Completed</v>
      </c>
      <c r="Y553" s="174" t="str">
        <f t="shared" ca="1" si="524"/>
        <v>Completed</v>
      </c>
      <c r="Z553" s="175" t="str">
        <f t="shared" ca="1" si="525"/>
        <v/>
      </c>
    </row>
    <row r="554" spans="1:26" s="70" customFormat="1" ht="11.5" x14ac:dyDescent="0.25">
      <c r="A554" s="121" t="s">
        <v>66</v>
      </c>
      <c r="B554" s="121" t="s">
        <v>14</v>
      </c>
      <c r="C554" s="121" t="s">
        <v>687</v>
      </c>
      <c r="D554" s="121" t="s">
        <v>688</v>
      </c>
      <c r="E554" s="123">
        <f t="shared" si="494"/>
        <v>0.5</v>
      </c>
      <c r="F554" s="123">
        <f t="shared" si="495"/>
        <v>0.5</v>
      </c>
      <c r="G554" s="123">
        <f t="shared" si="495"/>
        <v>0</v>
      </c>
      <c r="H554" s="128">
        <f t="shared" si="496"/>
        <v>-0.5</v>
      </c>
      <c r="I554" s="126">
        <v>4.7E-2</v>
      </c>
      <c r="J554" s="125">
        <f t="shared" si="537"/>
        <v>46234</v>
      </c>
      <c r="K554" s="125">
        <f t="shared" si="526"/>
        <v>46234</v>
      </c>
      <c r="L554" s="125"/>
      <c r="M554" s="125">
        <f t="shared" si="527"/>
        <v>46276</v>
      </c>
      <c r="N554" s="125">
        <f t="shared" si="528"/>
        <v>46276</v>
      </c>
      <c r="O554" s="125"/>
      <c r="P554" s="125">
        <f t="shared" si="529"/>
        <v>46318</v>
      </c>
      <c r="Q554" s="125">
        <f t="shared" si="530"/>
        <v>46318</v>
      </c>
      <c r="R554" s="125"/>
      <c r="S554" s="125">
        <f t="shared" si="532"/>
        <v>46332</v>
      </c>
      <c r="T554" s="125">
        <f t="shared" si="531"/>
        <v>46332</v>
      </c>
      <c r="U554" s="125"/>
      <c r="W554" s="174" t="str">
        <f t="shared" ca="1" si="522"/>
        <v>Overdue</v>
      </c>
      <c r="X554" s="174" t="str">
        <f t="shared" ca="1" si="523"/>
        <v/>
      </c>
      <c r="Y554" s="174" t="str">
        <f t="shared" ca="1" si="524"/>
        <v/>
      </c>
      <c r="Z554" s="175" t="str">
        <f t="shared" ca="1" si="525"/>
        <v/>
      </c>
    </row>
    <row r="555" spans="1:26" s="70" customFormat="1" ht="11.5" x14ac:dyDescent="0.25">
      <c r="A555" s="121" t="s">
        <v>66</v>
      </c>
      <c r="B555" s="121" t="s">
        <v>14</v>
      </c>
      <c r="C555" s="121" t="s">
        <v>689</v>
      </c>
      <c r="D555" s="121" t="s">
        <v>690</v>
      </c>
      <c r="E555" s="123">
        <f t="shared" si="494"/>
        <v>0.5</v>
      </c>
      <c r="F555" s="123">
        <f t="shared" si="495"/>
        <v>0.5</v>
      </c>
      <c r="G555" s="123">
        <f t="shared" si="495"/>
        <v>0</v>
      </c>
      <c r="H555" s="128">
        <f t="shared" si="496"/>
        <v>-0.5</v>
      </c>
      <c r="I555" s="126">
        <v>4.7E-2</v>
      </c>
      <c r="J555" s="125">
        <f t="shared" si="537"/>
        <v>46234</v>
      </c>
      <c r="K555" s="125">
        <f t="shared" si="526"/>
        <v>46234</v>
      </c>
      <c r="L555" s="125"/>
      <c r="M555" s="125">
        <f t="shared" si="527"/>
        <v>46276</v>
      </c>
      <c r="N555" s="125">
        <f t="shared" si="528"/>
        <v>46276</v>
      </c>
      <c r="O555" s="125"/>
      <c r="P555" s="125">
        <f t="shared" si="529"/>
        <v>46318</v>
      </c>
      <c r="Q555" s="125">
        <f t="shared" si="530"/>
        <v>46318</v>
      </c>
      <c r="R555" s="125"/>
      <c r="S555" s="125">
        <f t="shared" si="532"/>
        <v>46332</v>
      </c>
      <c r="T555" s="125">
        <f t="shared" si="531"/>
        <v>46332</v>
      </c>
      <c r="U555" s="125"/>
      <c r="W555" s="174" t="str">
        <f t="shared" ca="1" si="522"/>
        <v>Overdue</v>
      </c>
      <c r="X555" s="174" t="str">
        <f t="shared" ca="1" si="523"/>
        <v/>
      </c>
      <c r="Y555" s="174" t="str">
        <f t="shared" ca="1" si="524"/>
        <v/>
      </c>
      <c r="Z555" s="175" t="str">
        <f t="shared" ca="1" si="525"/>
        <v/>
      </c>
    </row>
    <row r="556" spans="1:26" s="70" customFormat="1" ht="11.5" x14ac:dyDescent="0.25">
      <c r="A556" s="121" t="s">
        <v>66</v>
      </c>
      <c r="B556" s="121" t="s">
        <v>14</v>
      </c>
      <c r="C556" s="121" t="s">
        <v>691</v>
      </c>
      <c r="D556" s="121" t="s">
        <v>692</v>
      </c>
      <c r="E556" s="123">
        <f t="shared" si="494"/>
        <v>0.5</v>
      </c>
      <c r="F556" s="123">
        <f t="shared" si="495"/>
        <v>0.5</v>
      </c>
      <c r="G556" s="123">
        <f t="shared" si="495"/>
        <v>0.5</v>
      </c>
      <c r="H556" s="128">
        <f t="shared" si="496"/>
        <v>0</v>
      </c>
      <c r="I556" s="126">
        <v>4.7E-2</v>
      </c>
      <c r="J556" s="125">
        <f t="shared" si="537"/>
        <v>46234</v>
      </c>
      <c r="K556" s="125">
        <f t="shared" si="526"/>
        <v>46234</v>
      </c>
      <c r="L556" s="125">
        <v>46130</v>
      </c>
      <c r="M556" s="125">
        <f>J556+35</f>
        <v>46269</v>
      </c>
      <c r="N556" s="125">
        <f t="shared" si="528"/>
        <v>46269</v>
      </c>
      <c r="O556" s="125"/>
      <c r="P556" s="125">
        <f>M556+38</f>
        <v>46307</v>
      </c>
      <c r="Q556" s="125">
        <f t="shared" si="530"/>
        <v>46307</v>
      </c>
      <c r="R556" s="125"/>
      <c r="S556" s="125">
        <f t="shared" si="532"/>
        <v>46321</v>
      </c>
      <c r="T556" s="125">
        <f t="shared" si="531"/>
        <v>46321</v>
      </c>
      <c r="U556" s="125"/>
      <c r="W556" s="174" t="str">
        <f t="shared" ca="1" si="522"/>
        <v>Completed</v>
      </c>
      <c r="X556" s="174" t="str">
        <f t="shared" ca="1" si="523"/>
        <v/>
      </c>
      <c r="Y556" s="174" t="str">
        <f t="shared" ca="1" si="524"/>
        <v/>
      </c>
      <c r="Z556" s="175" t="str">
        <f t="shared" ca="1" si="525"/>
        <v/>
      </c>
    </row>
    <row r="557" spans="1:26" s="70" customFormat="1" ht="11.5" x14ac:dyDescent="0.25">
      <c r="A557" s="121" t="s">
        <v>66</v>
      </c>
      <c r="B557" s="121" t="s">
        <v>14</v>
      </c>
      <c r="C557" s="121" t="s">
        <v>693</v>
      </c>
      <c r="D557" s="121" t="s">
        <v>694</v>
      </c>
      <c r="E557" s="123">
        <f t="shared" si="494"/>
        <v>0.5</v>
      </c>
      <c r="F557" s="123">
        <f t="shared" si="495"/>
        <v>0.5</v>
      </c>
      <c r="G557" s="123">
        <f t="shared" si="495"/>
        <v>0.5</v>
      </c>
      <c r="H557" s="128">
        <f t="shared" si="496"/>
        <v>0</v>
      </c>
      <c r="I557" s="126">
        <v>4.7E-2</v>
      </c>
      <c r="J557" s="125">
        <f t="shared" si="537"/>
        <v>46234</v>
      </c>
      <c r="K557" s="125">
        <f t="shared" si="526"/>
        <v>46234</v>
      </c>
      <c r="L557" s="125">
        <v>46130</v>
      </c>
      <c r="M557" s="125">
        <f t="shared" ref="M557:M582" si="538">J557+35</f>
        <v>46269</v>
      </c>
      <c r="N557" s="125">
        <f t="shared" si="528"/>
        <v>46269</v>
      </c>
      <c r="O557" s="125"/>
      <c r="P557" s="125">
        <f t="shared" ref="P557:P582" si="539">M557+38</f>
        <v>46307</v>
      </c>
      <c r="Q557" s="125">
        <f t="shared" si="530"/>
        <v>46307</v>
      </c>
      <c r="R557" s="125"/>
      <c r="S557" s="125">
        <f t="shared" si="532"/>
        <v>46321</v>
      </c>
      <c r="T557" s="125">
        <f t="shared" si="531"/>
        <v>46321</v>
      </c>
      <c r="U557" s="125"/>
      <c r="W557" s="174" t="str">
        <f t="shared" ca="1" si="522"/>
        <v>Completed</v>
      </c>
      <c r="X557" s="174" t="str">
        <f t="shared" ca="1" si="523"/>
        <v/>
      </c>
      <c r="Y557" s="174" t="str">
        <f t="shared" ca="1" si="524"/>
        <v/>
      </c>
      <c r="Z557" s="175" t="str">
        <f t="shared" ca="1" si="525"/>
        <v/>
      </c>
    </row>
    <row r="558" spans="1:26" s="70" customFormat="1" ht="11.5" x14ac:dyDescent="0.25">
      <c r="A558" s="121" t="s">
        <v>66</v>
      </c>
      <c r="B558" s="121" t="s">
        <v>14</v>
      </c>
      <c r="C558" s="121" t="s">
        <v>695</v>
      </c>
      <c r="D558" s="121" t="s">
        <v>696</v>
      </c>
      <c r="E558" s="123">
        <f t="shared" si="494"/>
        <v>0.5</v>
      </c>
      <c r="F558" s="123">
        <f t="shared" si="495"/>
        <v>0.5</v>
      </c>
      <c r="G558" s="123">
        <f t="shared" si="495"/>
        <v>0.5</v>
      </c>
      <c r="H558" s="128">
        <f t="shared" si="496"/>
        <v>0</v>
      </c>
      <c r="I558" s="126">
        <v>4.7E-2</v>
      </c>
      <c r="J558" s="125">
        <f t="shared" si="537"/>
        <v>46234</v>
      </c>
      <c r="K558" s="125">
        <f t="shared" si="526"/>
        <v>46234</v>
      </c>
      <c r="L558" s="125">
        <v>46130</v>
      </c>
      <c r="M558" s="125">
        <f t="shared" si="538"/>
        <v>46269</v>
      </c>
      <c r="N558" s="125">
        <f t="shared" si="528"/>
        <v>46269</v>
      </c>
      <c r="O558" s="125"/>
      <c r="P558" s="125">
        <f t="shared" si="539"/>
        <v>46307</v>
      </c>
      <c r="Q558" s="125">
        <f t="shared" si="530"/>
        <v>46307</v>
      </c>
      <c r="R558" s="125"/>
      <c r="S558" s="125">
        <f t="shared" si="532"/>
        <v>46321</v>
      </c>
      <c r="T558" s="125">
        <f t="shared" si="531"/>
        <v>46321</v>
      </c>
      <c r="U558" s="125"/>
      <c r="W558" s="174" t="str">
        <f t="shared" ca="1" si="522"/>
        <v>Completed</v>
      </c>
      <c r="X558" s="174" t="str">
        <f t="shared" ca="1" si="523"/>
        <v/>
      </c>
      <c r="Y558" s="174" t="str">
        <f t="shared" ca="1" si="524"/>
        <v/>
      </c>
      <c r="Z558" s="175" t="str">
        <f t="shared" ca="1" si="525"/>
        <v/>
      </c>
    </row>
    <row r="559" spans="1:26" s="70" customFormat="1" ht="11.5" x14ac:dyDescent="0.25">
      <c r="A559" s="121" t="s">
        <v>66</v>
      </c>
      <c r="B559" s="121" t="s">
        <v>14</v>
      </c>
      <c r="C559" s="121" t="s">
        <v>697</v>
      </c>
      <c r="D559" s="121" t="s">
        <v>698</v>
      </c>
      <c r="E559" s="123">
        <f t="shared" si="494"/>
        <v>0.5</v>
      </c>
      <c r="F559" s="123">
        <f t="shared" si="495"/>
        <v>0.5</v>
      </c>
      <c r="G559" s="123">
        <f t="shared" si="495"/>
        <v>0.5</v>
      </c>
      <c r="H559" s="128">
        <f t="shared" si="496"/>
        <v>0</v>
      </c>
      <c r="I559" s="126">
        <v>4.7E-2</v>
      </c>
      <c r="J559" s="125">
        <f t="shared" si="537"/>
        <v>46234</v>
      </c>
      <c r="K559" s="125">
        <f t="shared" si="526"/>
        <v>46234</v>
      </c>
      <c r="L559" s="125">
        <v>46130</v>
      </c>
      <c r="M559" s="125">
        <f t="shared" si="538"/>
        <v>46269</v>
      </c>
      <c r="N559" s="125">
        <f t="shared" si="528"/>
        <v>46269</v>
      </c>
      <c r="O559" s="125"/>
      <c r="P559" s="125">
        <f t="shared" si="539"/>
        <v>46307</v>
      </c>
      <c r="Q559" s="125">
        <f t="shared" si="530"/>
        <v>46307</v>
      </c>
      <c r="R559" s="125"/>
      <c r="S559" s="125">
        <f t="shared" si="532"/>
        <v>46321</v>
      </c>
      <c r="T559" s="125">
        <f t="shared" si="531"/>
        <v>46321</v>
      </c>
      <c r="U559" s="125"/>
      <c r="W559" s="174" t="str">
        <f t="shared" ca="1" si="522"/>
        <v>Completed</v>
      </c>
      <c r="X559" s="174" t="str">
        <f t="shared" ca="1" si="523"/>
        <v/>
      </c>
      <c r="Y559" s="174" t="str">
        <f t="shared" ca="1" si="524"/>
        <v/>
      </c>
      <c r="Z559" s="175" t="str">
        <f t="shared" ca="1" si="525"/>
        <v/>
      </c>
    </row>
    <row r="560" spans="1:26" s="70" customFormat="1" ht="11.5" x14ac:dyDescent="0.25">
      <c r="A560" s="121" t="s">
        <v>66</v>
      </c>
      <c r="B560" s="121" t="s">
        <v>14</v>
      </c>
      <c r="C560" s="121" t="s">
        <v>699</v>
      </c>
      <c r="D560" s="121" t="s">
        <v>700</v>
      </c>
      <c r="E560" s="123">
        <f t="shared" si="494"/>
        <v>0.5</v>
      </c>
      <c r="F560" s="123">
        <f t="shared" si="495"/>
        <v>0.5</v>
      </c>
      <c r="G560" s="123">
        <f t="shared" si="495"/>
        <v>0.5</v>
      </c>
      <c r="H560" s="128">
        <f t="shared" si="496"/>
        <v>0</v>
      </c>
      <c r="I560" s="126">
        <v>4.7E-2</v>
      </c>
      <c r="J560" s="125">
        <f t="shared" si="537"/>
        <v>46234</v>
      </c>
      <c r="K560" s="125">
        <f t="shared" si="526"/>
        <v>46234</v>
      </c>
      <c r="L560" s="125">
        <v>46130</v>
      </c>
      <c r="M560" s="125">
        <f t="shared" si="538"/>
        <v>46269</v>
      </c>
      <c r="N560" s="125">
        <f t="shared" si="528"/>
        <v>46269</v>
      </c>
      <c r="O560" s="125"/>
      <c r="P560" s="125">
        <f t="shared" si="539"/>
        <v>46307</v>
      </c>
      <c r="Q560" s="125">
        <f t="shared" si="530"/>
        <v>46307</v>
      </c>
      <c r="R560" s="125"/>
      <c r="S560" s="125">
        <f t="shared" si="532"/>
        <v>46321</v>
      </c>
      <c r="T560" s="125">
        <f t="shared" si="531"/>
        <v>46321</v>
      </c>
      <c r="U560" s="125"/>
      <c r="W560" s="174" t="str">
        <f t="shared" ca="1" si="522"/>
        <v>Completed</v>
      </c>
      <c r="X560" s="174" t="str">
        <f t="shared" ca="1" si="523"/>
        <v/>
      </c>
      <c r="Y560" s="174" t="str">
        <f t="shared" ca="1" si="524"/>
        <v/>
      </c>
      <c r="Z560" s="175" t="str">
        <f t="shared" ca="1" si="525"/>
        <v/>
      </c>
    </row>
    <row r="561" spans="1:26" s="70" customFormat="1" ht="11.5" x14ac:dyDescent="0.25">
      <c r="A561" s="121" t="s">
        <v>66</v>
      </c>
      <c r="B561" s="121" t="s">
        <v>14</v>
      </c>
      <c r="C561" s="121" t="s">
        <v>701</v>
      </c>
      <c r="D561" s="121" t="s">
        <v>702</v>
      </c>
      <c r="E561" s="123">
        <f t="shared" si="494"/>
        <v>0.5</v>
      </c>
      <c r="F561" s="123">
        <f t="shared" si="495"/>
        <v>0.5</v>
      </c>
      <c r="G561" s="123">
        <f t="shared" si="495"/>
        <v>0.5</v>
      </c>
      <c r="H561" s="128">
        <f t="shared" si="496"/>
        <v>0</v>
      </c>
      <c r="I561" s="126">
        <v>4.7E-2</v>
      </c>
      <c r="J561" s="125">
        <f t="shared" si="537"/>
        <v>46234</v>
      </c>
      <c r="K561" s="125">
        <f t="shared" si="526"/>
        <v>46234</v>
      </c>
      <c r="L561" s="125">
        <v>46130</v>
      </c>
      <c r="M561" s="125">
        <f t="shared" si="538"/>
        <v>46269</v>
      </c>
      <c r="N561" s="125">
        <f t="shared" si="528"/>
        <v>46269</v>
      </c>
      <c r="O561" s="125"/>
      <c r="P561" s="125">
        <f t="shared" si="539"/>
        <v>46307</v>
      </c>
      <c r="Q561" s="125">
        <f t="shared" si="530"/>
        <v>46307</v>
      </c>
      <c r="R561" s="125"/>
      <c r="S561" s="125">
        <f t="shared" si="532"/>
        <v>46321</v>
      </c>
      <c r="T561" s="125">
        <f t="shared" si="531"/>
        <v>46321</v>
      </c>
      <c r="U561" s="125"/>
      <c r="W561" s="174" t="str">
        <f t="shared" ca="1" si="522"/>
        <v>Completed</v>
      </c>
      <c r="X561" s="174" t="str">
        <f t="shared" ca="1" si="523"/>
        <v/>
      </c>
      <c r="Y561" s="174" t="str">
        <f t="shared" ca="1" si="524"/>
        <v/>
      </c>
      <c r="Z561" s="175" t="str">
        <f t="shared" ca="1" si="525"/>
        <v/>
      </c>
    </row>
    <row r="562" spans="1:26" s="70" customFormat="1" ht="11.5" x14ac:dyDescent="0.25">
      <c r="A562" s="121" t="s">
        <v>66</v>
      </c>
      <c r="B562" s="121" t="s">
        <v>14</v>
      </c>
      <c r="C562" s="121" t="s">
        <v>703</v>
      </c>
      <c r="D562" s="121" t="s">
        <v>704</v>
      </c>
      <c r="E562" s="123">
        <f t="shared" si="494"/>
        <v>0.5</v>
      </c>
      <c r="F562" s="123">
        <f t="shared" si="495"/>
        <v>0.5</v>
      </c>
      <c r="G562" s="123">
        <f t="shared" si="495"/>
        <v>0.5</v>
      </c>
      <c r="H562" s="128">
        <f t="shared" si="496"/>
        <v>0</v>
      </c>
      <c r="I562" s="126">
        <v>4.7E-2</v>
      </c>
      <c r="J562" s="125">
        <f t="shared" si="537"/>
        <v>46234</v>
      </c>
      <c r="K562" s="125">
        <f t="shared" si="526"/>
        <v>46234</v>
      </c>
      <c r="L562" s="125">
        <v>46130</v>
      </c>
      <c r="M562" s="125">
        <f t="shared" si="538"/>
        <v>46269</v>
      </c>
      <c r="N562" s="125">
        <f t="shared" si="528"/>
        <v>46269</v>
      </c>
      <c r="O562" s="125"/>
      <c r="P562" s="125">
        <f t="shared" si="539"/>
        <v>46307</v>
      </c>
      <c r="Q562" s="125">
        <f t="shared" si="530"/>
        <v>46307</v>
      </c>
      <c r="R562" s="125"/>
      <c r="S562" s="125">
        <f t="shared" si="532"/>
        <v>46321</v>
      </c>
      <c r="T562" s="125">
        <f t="shared" si="531"/>
        <v>46321</v>
      </c>
      <c r="U562" s="125"/>
      <c r="W562" s="174" t="str">
        <f t="shared" ca="1" si="522"/>
        <v>Completed</v>
      </c>
      <c r="X562" s="174" t="str">
        <f t="shared" ca="1" si="523"/>
        <v/>
      </c>
      <c r="Y562" s="174" t="str">
        <f t="shared" ca="1" si="524"/>
        <v/>
      </c>
      <c r="Z562" s="175" t="str">
        <f t="shared" ca="1" si="525"/>
        <v/>
      </c>
    </row>
    <row r="563" spans="1:26" s="70" customFormat="1" ht="11.5" x14ac:dyDescent="0.25">
      <c r="A563" s="121" t="s">
        <v>66</v>
      </c>
      <c r="B563" s="121" t="s">
        <v>14</v>
      </c>
      <c r="C563" s="121" t="s">
        <v>705</v>
      </c>
      <c r="D563" s="121" t="s">
        <v>706</v>
      </c>
      <c r="E563" s="123">
        <f t="shared" si="494"/>
        <v>0.5</v>
      </c>
      <c r="F563" s="123">
        <f t="shared" si="495"/>
        <v>0.5</v>
      </c>
      <c r="G563" s="123">
        <f t="shared" si="495"/>
        <v>0.5</v>
      </c>
      <c r="H563" s="128">
        <f t="shared" si="496"/>
        <v>0</v>
      </c>
      <c r="I563" s="126">
        <v>4.7E-2</v>
      </c>
      <c r="J563" s="125">
        <f t="shared" si="537"/>
        <v>46234</v>
      </c>
      <c r="K563" s="125">
        <f t="shared" si="526"/>
        <v>46234</v>
      </c>
      <c r="L563" s="125">
        <v>46130</v>
      </c>
      <c r="M563" s="125">
        <f t="shared" si="538"/>
        <v>46269</v>
      </c>
      <c r="N563" s="125">
        <f t="shared" si="528"/>
        <v>46269</v>
      </c>
      <c r="O563" s="125"/>
      <c r="P563" s="125">
        <f t="shared" si="539"/>
        <v>46307</v>
      </c>
      <c r="Q563" s="125">
        <f t="shared" si="530"/>
        <v>46307</v>
      </c>
      <c r="R563" s="125"/>
      <c r="S563" s="125">
        <f t="shared" si="532"/>
        <v>46321</v>
      </c>
      <c r="T563" s="125">
        <f t="shared" si="531"/>
        <v>46321</v>
      </c>
      <c r="U563" s="125"/>
      <c r="W563" s="174" t="str">
        <f t="shared" ca="1" si="522"/>
        <v>Completed</v>
      </c>
      <c r="X563" s="174" t="str">
        <f t="shared" ca="1" si="523"/>
        <v/>
      </c>
      <c r="Y563" s="174" t="str">
        <f t="shared" ca="1" si="524"/>
        <v/>
      </c>
      <c r="Z563" s="175" t="str">
        <f t="shared" ca="1" si="525"/>
        <v/>
      </c>
    </row>
    <row r="564" spans="1:26" s="70" customFormat="1" ht="11.5" x14ac:dyDescent="0.25">
      <c r="A564" s="121" t="s">
        <v>66</v>
      </c>
      <c r="B564" s="121" t="s">
        <v>14</v>
      </c>
      <c r="C564" s="121" t="s">
        <v>707</v>
      </c>
      <c r="D564" s="121" t="s">
        <v>708</v>
      </c>
      <c r="E564" s="123">
        <f t="shared" si="494"/>
        <v>0.5</v>
      </c>
      <c r="F564" s="123">
        <f t="shared" si="495"/>
        <v>0.5</v>
      </c>
      <c r="G564" s="123">
        <f t="shared" si="495"/>
        <v>0.5</v>
      </c>
      <c r="H564" s="128">
        <f t="shared" si="496"/>
        <v>0</v>
      </c>
      <c r="I564" s="126">
        <v>4.7E-2</v>
      </c>
      <c r="J564" s="125">
        <f t="shared" si="537"/>
        <v>46234</v>
      </c>
      <c r="K564" s="125">
        <f t="shared" si="526"/>
        <v>46234</v>
      </c>
      <c r="L564" s="125">
        <v>46130</v>
      </c>
      <c r="M564" s="125">
        <f t="shared" si="538"/>
        <v>46269</v>
      </c>
      <c r="N564" s="125">
        <f t="shared" si="528"/>
        <v>46269</v>
      </c>
      <c r="O564" s="125"/>
      <c r="P564" s="125">
        <f t="shared" si="539"/>
        <v>46307</v>
      </c>
      <c r="Q564" s="125">
        <f t="shared" si="530"/>
        <v>46307</v>
      </c>
      <c r="R564" s="125"/>
      <c r="S564" s="125">
        <f t="shared" si="532"/>
        <v>46321</v>
      </c>
      <c r="T564" s="125">
        <f t="shared" si="531"/>
        <v>46321</v>
      </c>
      <c r="U564" s="125"/>
      <c r="W564" s="174" t="str">
        <f t="shared" ca="1" si="522"/>
        <v>Completed</v>
      </c>
      <c r="X564" s="174" t="str">
        <f t="shared" ca="1" si="523"/>
        <v/>
      </c>
      <c r="Y564" s="174" t="str">
        <f t="shared" ca="1" si="524"/>
        <v/>
      </c>
      <c r="Z564" s="175" t="str">
        <f t="shared" ca="1" si="525"/>
        <v/>
      </c>
    </row>
    <row r="565" spans="1:26" s="70" customFormat="1" ht="11.5" x14ac:dyDescent="0.25">
      <c r="A565" s="121" t="s">
        <v>66</v>
      </c>
      <c r="B565" s="121" t="s">
        <v>14</v>
      </c>
      <c r="C565" s="121" t="s">
        <v>709</v>
      </c>
      <c r="D565" s="121" t="s">
        <v>710</v>
      </c>
      <c r="E565" s="123">
        <f t="shared" si="494"/>
        <v>0.5</v>
      </c>
      <c r="F565" s="123">
        <f t="shared" si="495"/>
        <v>0.5</v>
      </c>
      <c r="G565" s="123">
        <f t="shared" si="495"/>
        <v>0.5</v>
      </c>
      <c r="H565" s="128">
        <f t="shared" si="496"/>
        <v>0</v>
      </c>
      <c r="I565" s="126">
        <v>4.7E-2</v>
      </c>
      <c r="J565" s="125">
        <f t="shared" si="537"/>
        <v>46234</v>
      </c>
      <c r="K565" s="125">
        <f t="shared" si="526"/>
        <v>46234</v>
      </c>
      <c r="L565" s="125">
        <v>46130</v>
      </c>
      <c r="M565" s="125">
        <f t="shared" si="538"/>
        <v>46269</v>
      </c>
      <c r="N565" s="125">
        <f t="shared" si="528"/>
        <v>46269</v>
      </c>
      <c r="O565" s="125"/>
      <c r="P565" s="125">
        <f t="shared" si="539"/>
        <v>46307</v>
      </c>
      <c r="Q565" s="125">
        <f t="shared" si="530"/>
        <v>46307</v>
      </c>
      <c r="R565" s="125"/>
      <c r="S565" s="125">
        <f t="shared" si="532"/>
        <v>46321</v>
      </c>
      <c r="T565" s="125">
        <f t="shared" si="531"/>
        <v>46321</v>
      </c>
      <c r="U565" s="125"/>
      <c r="W565" s="174" t="str">
        <f t="shared" ca="1" si="522"/>
        <v>Completed</v>
      </c>
      <c r="X565" s="174" t="str">
        <f t="shared" ca="1" si="523"/>
        <v/>
      </c>
      <c r="Y565" s="174" t="str">
        <f t="shared" ca="1" si="524"/>
        <v/>
      </c>
      <c r="Z565" s="175" t="str">
        <f t="shared" ca="1" si="525"/>
        <v/>
      </c>
    </row>
    <row r="566" spans="1:26" s="70" customFormat="1" ht="11.5" x14ac:dyDescent="0.25">
      <c r="A566" s="121" t="s">
        <v>66</v>
      </c>
      <c r="B566" s="121" t="s">
        <v>14</v>
      </c>
      <c r="C566" s="121" t="s">
        <v>711</v>
      </c>
      <c r="D566" s="121" t="s">
        <v>712</v>
      </c>
      <c r="E566" s="123">
        <f t="shared" si="494"/>
        <v>0.5</v>
      </c>
      <c r="F566" s="123">
        <f t="shared" si="495"/>
        <v>0.5</v>
      </c>
      <c r="G566" s="123">
        <f t="shared" si="495"/>
        <v>0.5</v>
      </c>
      <c r="H566" s="128">
        <f t="shared" si="496"/>
        <v>0</v>
      </c>
      <c r="I566" s="126">
        <v>4.7E-2</v>
      </c>
      <c r="J566" s="125">
        <f t="shared" si="537"/>
        <v>46234</v>
      </c>
      <c r="K566" s="125">
        <f t="shared" si="526"/>
        <v>46234</v>
      </c>
      <c r="L566" s="125">
        <v>46130</v>
      </c>
      <c r="M566" s="125">
        <f t="shared" si="538"/>
        <v>46269</v>
      </c>
      <c r="N566" s="125">
        <f t="shared" si="528"/>
        <v>46269</v>
      </c>
      <c r="O566" s="125"/>
      <c r="P566" s="125">
        <f t="shared" si="539"/>
        <v>46307</v>
      </c>
      <c r="Q566" s="125">
        <f t="shared" si="530"/>
        <v>46307</v>
      </c>
      <c r="R566" s="125"/>
      <c r="S566" s="125">
        <f t="shared" si="532"/>
        <v>46321</v>
      </c>
      <c r="T566" s="125">
        <f t="shared" si="531"/>
        <v>46321</v>
      </c>
      <c r="U566" s="125"/>
      <c r="W566" s="174" t="str">
        <f t="shared" ca="1" si="522"/>
        <v>Completed</v>
      </c>
      <c r="X566" s="174" t="str">
        <f t="shared" ca="1" si="523"/>
        <v/>
      </c>
      <c r="Y566" s="174" t="str">
        <f t="shared" ca="1" si="524"/>
        <v/>
      </c>
      <c r="Z566" s="175" t="str">
        <f t="shared" ca="1" si="525"/>
        <v/>
      </c>
    </row>
    <row r="567" spans="1:26" s="70" customFormat="1" ht="11.5" x14ac:dyDescent="0.25">
      <c r="A567" s="121" t="s">
        <v>66</v>
      </c>
      <c r="B567" s="121" t="s">
        <v>14</v>
      </c>
      <c r="C567" s="121" t="s">
        <v>713</v>
      </c>
      <c r="D567" s="121" t="s">
        <v>714</v>
      </c>
      <c r="E567" s="123">
        <f t="shared" si="494"/>
        <v>0.5</v>
      </c>
      <c r="F567" s="123">
        <f t="shared" si="495"/>
        <v>0.5</v>
      </c>
      <c r="G567" s="123">
        <f t="shared" si="495"/>
        <v>0.5</v>
      </c>
      <c r="H567" s="128">
        <f t="shared" si="496"/>
        <v>0</v>
      </c>
      <c r="I567" s="126">
        <v>4.7E-2</v>
      </c>
      <c r="J567" s="125">
        <f t="shared" si="537"/>
        <v>46234</v>
      </c>
      <c r="K567" s="125">
        <f t="shared" si="526"/>
        <v>46234</v>
      </c>
      <c r="L567" s="125">
        <v>46130</v>
      </c>
      <c r="M567" s="125">
        <f t="shared" si="538"/>
        <v>46269</v>
      </c>
      <c r="N567" s="125">
        <f t="shared" si="528"/>
        <v>46269</v>
      </c>
      <c r="O567" s="125"/>
      <c r="P567" s="125">
        <f t="shared" si="539"/>
        <v>46307</v>
      </c>
      <c r="Q567" s="125">
        <f t="shared" si="530"/>
        <v>46307</v>
      </c>
      <c r="R567" s="125"/>
      <c r="S567" s="125">
        <f t="shared" si="532"/>
        <v>46321</v>
      </c>
      <c r="T567" s="125">
        <f t="shared" si="531"/>
        <v>46321</v>
      </c>
      <c r="U567" s="125"/>
      <c r="W567" s="174" t="str">
        <f t="shared" ca="1" si="522"/>
        <v>Completed</v>
      </c>
      <c r="X567" s="174" t="str">
        <f t="shared" ca="1" si="523"/>
        <v/>
      </c>
      <c r="Y567" s="174" t="str">
        <f t="shared" ca="1" si="524"/>
        <v/>
      </c>
      <c r="Z567" s="175" t="str">
        <f t="shared" ca="1" si="525"/>
        <v/>
      </c>
    </row>
    <row r="568" spans="1:26" s="70" customFormat="1" ht="11.5" x14ac:dyDescent="0.25">
      <c r="A568" s="121" t="s">
        <v>66</v>
      </c>
      <c r="B568" s="121" t="s">
        <v>14</v>
      </c>
      <c r="C568" s="121" t="s">
        <v>715</v>
      </c>
      <c r="D568" s="121" t="s">
        <v>716</v>
      </c>
      <c r="E568" s="123">
        <f t="shared" si="494"/>
        <v>0.5</v>
      </c>
      <c r="F568" s="123">
        <f t="shared" si="495"/>
        <v>0.5</v>
      </c>
      <c r="G568" s="123">
        <f t="shared" si="495"/>
        <v>0.5</v>
      </c>
      <c r="H568" s="128">
        <f t="shared" si="496"/>
        <v>0</v>
      </c>
      <c r="I568" s="126">
        <v>4.7E-2</v>
      </c>
      <c r="J568" s="125">
        <f t="shared" si="537"/>
        <v>46234</v>
      </c>
      <c r="K568" s="125">
        <f t="shared" si="526"/>
        <v>46234</v>
      </c>
      <c r="L568" s="125">
        <v>46130</v>
      </c>
      <c r="M568" s="125">
        <f t="shared" si="538"/>
        <v>46269</v>
      </c>
      <c r="N568" s="125">
        <f t="shared" si="528"/>
        <v>46269</v>
      </c>
      <c r="O568" s="125"/>
      <c r="P568" s="125">
        <f t="shared" si="539"/>
        <v>46307</v>
      </c>
      <c r="Q568" s="125">
        <f t="shared" si="530"/>
        <v>46307</v>
      </c>
      <c r="R568" s="125"/>
      <c r="S568" s="125">
        <f t="shared" si="532"/>
        <v>46321</v>
      </c>
      <c r="T568" s="125">
        <f t="shared" si="531"/>
        <v>46321</v>
      </c>
      <c r="U568" s="125"/>
      <c r="W568" s="174" t="str">
        <f t="shared" ca="1" si="522"/>
        <v>Completed</v>
      </c>
      <c r="X568" s="174" t="str">
        <f t="shared" ca="1" si="523"/>
        <v/>
      </c>
      <c r="Y568" s="174" t="str">
        <f t="shared" ca="1" si="524"/>
        <v/>
      </c>
      <c r="Z568" s="175" t="str">
        <f t="shared" ca="1" si="525"/>
        <v/>
      </c>
    </row>
    <row r="569" spans="1:26" s="70" customFormat="1" ht="11.5" x14ac:dyDescent="0.25">
      <c r="A569" s="121" t="s">
        <v>66</v>
      </c>
      <c r="B569" s="121" t="s">
        <v>14</v>
      </c>
      <c r="C569" s="121" t="s">
        <v>717</v>
      </c>
      <c r="D569" s="121" t="s">
        <v>718</v>
      </c>
      <c r="E569" s="123">
        <f t="shared" si="494"/>
        <v>0.5</v>
      </c>
      <c r="F569" s="123">
        <f t="shared" si="495"/>
        <v>0.5</v>
      </c>
      <c r="G569" s="123">
        <f t="shared" si="495"/>
        <v>0.5</v>
      </c>
      <c r="H569" s="128">
        <f t="shared" si="496"/>
        <v>0</v>
      </c>
      <c r="I569" s="126">
        <v>4.7E-2</v>
      </c>
      <c r="J569" s="125">
        <f t="shared" si="537"/>
        <v>46234</v>
      </c>
      <c r="K569" s="125">
        <f t="shared" si="526"/>
        <v>46234</v>
      </c>
      <c r="L569" s="125">
        <v>46130</v>
      </c>
      <c r="M569" s="125">
        <f t="shared" si="538"/>
        <v>46269</v>
      </c>
      <c r="N569" s="125">
        <f t="shared" si="528"/>
        <v>46269</v>
      </c>
      <c r="O569" s="125"/>
      <c r="P569" s="125">
        <f t="shared" si="539"/>
        <v>46307</v>
      </c>
      <c r="Q569" s="125">
        <f t="shared" si="530"/>
        <v>46307</v>
      </c>
      <c r="R569" s="125"/>
      <c r="S569" s="125">
        <f t="shared" si="532"/>
        <v>46321</v>
      </c>
      <c r="T569" s="125">
        <f t="shared" si="531"/>
        <v>46321</v>
      </c>
      <c r="U569" s="125"/>
      <c r="W569" s="174" t="str">
        <f t="shared" ca="1" si="522"/>
        <v>Completed</v>
      </c>
      <c r="X569" s="174" t="str">
        <f t="shared" ca="1" si="523"/>
        <v/>
      </c>
      <c r="Y569" s="174" t="str">
        <f t="shared" ca="1" si="524"/>
        <v/>
      </c>
      <c r="Z569" s="175" t="str">
        <f t="shared" ca="1" si="525"/>
        <v/>
      </c>
    </row>
    <row r="570" spans="1:26" s="70" customFormat="1" ht="11.5" x14ac:dyDescent="0.25">
      <c r="A570" s="121" t="s">
        <v>66</v>
      </c>
      <c r="B570" s="121" t="s">
        <v>14</v>
      </c>
      <c r="C570" s="121" t="s">
        <v>719</v>
      </c>
      <c r="D570" s="121" t="s">
        <v>720</v>
      </c>
      <c r="E570" s="123">
        <f t="shared" si="494"/>
        <v>0.5</v>
      </c>
      <c r="F570" s="123">
        <f t="shared" si="495"/>
        <v>0.5</v>
      </c>
      <c r="G570" s="123">
        <f t="shared" si="495"/>
        <v>0.5</v>
      </c>
      <c r="H570" s="128">
        <f t="shared" si="496"/>
        <v>0</v>
      </c>
      <c r="I570" s="126">
        <v>4.7E-2</v>
      </c>
      <c r="J570" s="125">
        <f t="shared" si="537"/>
        <v>46234</v>
      </c>
      <c r="K570" s="125">
        <f t="shared" si="526"/>
        <v>46234</v>
      </c>
      <c r="L570" s="125">
        <v>46130</v>
      </c>
      <c r="M570" s="125">
        <f t="shared" si="538"/>
        <v>46269</v>
      </c>
      <c r="N570" s="125">
        <f t="shared" si="528"/>
        <v>46269</v>
      </c>
      <c r="O570" s="125"/>
      <c r="P570" s="125">
        <f t="shared" si="539"/>
        <v>46307</v>
      </c>
      <c r="Q570" s="125">
        <f t="shared" si="530"/>
        <v>46307</v>
      </c>
      <c r="R570" s="125"/>
      <c r="S570" s="125">
        <f t="shared" si="532"/>
        <v>46321</v>
      </c>
      <c r="T570" s="125">
        <f t="shared" si="531"/>
        <v>46321</v>
      </c>
      <c r="U570" s="125"/>
      <c r="W570" s="174" t="str">
        <f t="shared" ca="1" si="522"/>
        <v>Completed</v>
      </c>
      <c r="X570" s="174" t="str">
        <f t="shared" ca="1" si="523"/>
        <v/>
      </c>
      <c r="Y570" s="174" t="str">
        <f t="shared" ca="1" si="524"/>
        <v/>
      </c>
      <c r="Z570" s="175" t="str">
        <f t="shared" ca="1" si="525"/>
        <v/>
      </c>
    </row>
    <row r="571" spans="1:26" s="70" customFormat="1" ht="11.5" x14ac:dyDescent="0.25">
      <c r="A571" s="121" t="s">
        <v>66</v>
      </c>
      <c r="B571" s="121" t="s">
        <v>14</v>
      </c>
      <c r="C571" s="121" t="s">
        <v>721</v>
      </c>
      <c r="D571" s="121" t="s">
        <v>722</v>
      </c>
      <c r="E571" s="123">
        <f t="shared" ref="E571:E642" si="540">(COUNTIFS(J571,"&lt;="&amp;$C$1)*50%)+(COUNTIFS(M571,"&lt;="&amp;$C$1)*20%)+(COUNTIFS(P571,"&lt;="&amp;$C$1)*10%)+(COUNTIFS(S571,"&lt;="&amp;$C$1)*20%)</f>
        <v>0.5</v>
      </c>
      <c r="F571" s="123">
        <f t="shared" ref="F571:G642" si="541">(COUNTIFS(K571,"&lt;="&amp;$C$1)*50%)+(COUNTIFS(N571,"&lt;="&amp;$C$1)*20%)+(COUNTIFS(Q571,"&lt;="&amp;$C$1)*10%)+(COUNTIFS(T571,"&lt;="&amp;$C$1)*20%)</f>
        <v>0.5</v>
      </c>
      <c r="G571" s="123">
        <f t="shared" si="541"/>
        <v>0.5</v>
      </c>
      <c r="H571" s="128">
        <f t="shared" ref="H571:H642" si="542">G571-E571</f>
        <v>0</v>
      </c>
      <c r="I571" s="126">
        <v>4.7E-2</v>
      </c>
      <c r="J571" s="125">
        <f t="shared" si="537"/>
        <v>46234</v>
      </c>
      <c r="K571" s="125">
        <f t="shared" si="526"/>
        <v>46234</v>
      </c>
      <c r="L571" s="125">
        <v>46130</v>
      </c>
      <c r="M571" s="125">
        <f t="shared" si="538"/>
        <v>46269</v>
      </c>
      <c r="N571" s="125">
        <f t="shared" si="528"/>
        <v>46269</v>
      </c>
      <c r="O571" s="125"/>
      <c r="P571" s="125">
        <f t="shared" si="539"/>
        <v>46307</v>
      </c>
      <c r="Q571" s="125">
        <f t="shared" si="530"/>
        <v>46307</v>
      </c>
      <c r="R571" s="125"/>
      <c r="S571" s="125">
        <f t="shared" si="532"/>
        <v>46321</v>
      </c>
      <c r="T571" s="125">
        <f t="shared" si="531"/>
        <v>46321</v>
      </c>
      <c r="U571" s="125"/>
      <c r="W571" s="174" t="str">
        <f t="shared" ca="1" si="522"/>
        <v>Completed</v>
      </c>
      <c r="X571" s="174" t="str">
        <f t="shared" ca="1" si="523"/>
        <v/>
      </c>
      <c r="Y571" s="174" t="str">
        <f t="shared" ca="1" si="524"/>
        <v/>
      </c>
      <c r="Z571" s="175" t="str">
        <f t="shared" ca="1" si="525"/>
        <v/>
      </c>
    </row>
    <row r="572" spans="1:26" s="70" customFormat="1" ht="11.5" x14ac:dyDescent="0.25">
      <c r="A572" s="121" t="s">
        <v>66</v>
      </c>
      <c r="B572" s="121" t="s">
        <v>14</v>
      </c>
      <c r="C572" s="121" t="s">
        <v>723</v>
      </c>
      <c r="D572" s="121" t="s">
        <v>724</v>
      </c>
      <c r="E572" s="123">
        <f t="shared" si="540"/>
        <v>0.5</v>
      </c>
      <c r="F572" s="123">
        <f t="shared" si="541"/>
        <v>0.5</v>
      </c>
      <c r="G572" s="123">
        <f t="shared" si="541"/>
        <v>0.5</v>
      </c>
      <c r="H572" s="128">
        <f t="shared" si="542"/>
        <v>0</v>
      </c>
      <c r="I572" s="126">
        <v>4.7E-2</v>
      </c>
      <c r="J572" s="125">
        <f t="shared" si="537"/>
        <v>46234</v>
      </c>
      <c r="K572" s="125">
        <f t="shared" si="526"/>
        <v>46234</v>
      </c>
      <c r="L572" s="125">
        <v>46130</v>
      </c>
      <c r="M572" s="125">
        <f t="shared" si="538"/>
        <v>46269</v>
      </c>
      <c r="N572" s="125">
        <f t="shared" si="528"/>
        <v>46269</v>
      </c>
      <c r="O572" s="125"/>
      <c r="P572" s="125">
        <f t="shared" si="539"/>
        <v>46307</v>
      </c>
      <c r="Q572" s="125">
        <f t="shared" si="530"/>
        <v>46307</v>
      </c>
      <c r="R572" s="125"/>
      <c r="S572" s="125">
        <f t="shared" si="532"/>
        <v>46321</v>
      </c>
      <c r="T572" s="125">
        <f t="shared" si="531"/>
        <v>46321</v>
      </c>
      <c r="U572" s="125"/>
      <c r="W572" s="174" t="str">
        <f t="shared" ca="1" si="522"/>
        <v>Completed</v>
      </c>
      <c r="X572" s="174" t="str">
        <f t="shared" ca="1" si="523"/>
        <v/>
      </c>
      <c r="Y572" s="174" t="str">
        <f t="shared" ca="1" si="524"/>
        <v/>
      </c>
      <c r="Z572" s="175" t="str">
        <f t="shared" ca="1" si="525"/>
        <v/>
      </c>
    </row>
    <row r="573" spans="1:26" s="70" customFormat="1" ht="11.5" x14ac:dyDescent="0.25">
      <c r="A573" s="121" t="s">
        <v>66</v>
      </c>
      <c r="B573" s="121" t="s">
        <v>14</v>
      </c>
      <c r="C573" s="121" t="s">
        <v>725</v>
      </c>
      <c r="D573" s="121" t="s">
        <v>726</v>
      </c>
      <c r="E573" s="123">
        <f t="shared" si="540"/>
        <v>0.5</v>
      </c>
      <c r="F573" s="123">
        <f t="shared" si="541"/>
        <v>0.5</v>
      </c>
      <c r="G573" s="123">
        <f t="shared" si="541"/>
        <v>0.5</v>
      </c>
      <c r="H573" s="128">
        <f t="shared" si="542"/>
        <v>0</v>
      </c>
      <c r="I573" s="126">
        <v>4.7E-2</v>
      </c>
      <c r="J573" s="125">
        <f t="shared" si="537"/>
        <v>46234</v>
      </c>
      <c r="K573" s="125">
        <f t="shared" si="526"/>
        <v>46234</v>
      </c>
      <c r="L573" s="125">
        <v>46130</v>
      </c>
      <c r="M573" s="125">
        <f t="shared" si="538"/>
        <v>46269</v>
      </c>
      <c r="N573" s="125">
        <f t="shared" si="528"/>
        <v>46269</v>
      </c>
      <c r="O573" s="125"/>
      <c r="P573" s="125">
        <f t="shared" si="539"/>
        <v>46307</v>
      </c>
      <c r="Q573" s="125">
        <f t="shared" si="530"/>
        <v>46307</v>
      </c>
      <c r="R573" s="125"/>
      <c r="S573" s="125">
        <f t="shared" si="532"/>
        <v>46321</v>
      </c>
      <c r="T573" s="125">
        <f t="shared" si="531"/>
        <v>46321</v>
      </c>
      <c r="U573" s="125"/>
      <c r="W573" s="174" t="str">
        <f t="shared" ca="1" si="522"/>
        <v>Completed</v>
      </c>
      <c r="X573" s="174" t="str">
        <f t="shared" ca="1" si="523"/>
        <v/>
      </c>
      <c r="Y573" s="174" t="str">
        <f t="shared" ca="1" si="524"/>
        <v/>
      </c>
      <c r="Z573" s="175" t="str">
        <f t="shared" ca="1" si="525"/>
        <v/>
      </c>
    </row>
    <row r="574" spans="1:26" s="70" customFormat="1" ht="11.5" x14ac:dyDescent="0.25">
      <c r="A574" s="121" t="s">
        <v>66</v>
      </c>
      <c r="B574" s="121" t="s">
        <v>14</v>
      </c>
      <c r="C574" s="121" t="s">
        <v>727</v>
      </c>
      <c r="D574" s="153" t="s">
        <v>1011</v>
      </c>
      <c r="E574" s="123">
        <f t="shared" si="540"/>
        <v>0.5</v>
      </c>
      <c r="F574" s="123">
        <f t="shared" si="541"/>
        <v>0.5</v>
      </c>
      <c r="G574" s="123">
        <f t="shared" si="541"/>
        <v>0.7</v>
      </c>
      <c r="H574" s="128">
        <f t="shared" si="542"/>
        <v>0.19999999999999996</v>
      </c>
      <c r="I574" s="126">
        <v>4.7E-2</v>
      </c>
      <c r="J574" s="125">
        <f t="shared" si="537"/>
        <v>46234</v>
      </c>
      <c r="K574" s="125">
        <f t="shared" si="526"/>
        <v>46234</v>
      </c>
      <c r="L574" s="125">
        <v>46130</v>
      </c>
      <c r="M574" s="125">
        <f t="shared" si="538"/>
        <v>46269</v>
      </c>
      <c r="N574" s="125">
        <f t="shared" si="528"/>
        <v>46269</v>
      </c>
      <c r="O574" s="125">
        <v>46191</v>
      </c>
      <c r="P574" s="125">
        <f t="shared" si="539"/>
        <v>46307</v>
      </c>
      <c r="Q574" s="125">
        <f t="shared" si="530"/>
        <v>46307</v>
      </c>
      <c r="R574" s="125"/>
      <c r="S574" s="125">
        <f t="shared" si="532"/>
        <v>46321</v>
      </c>
      <c r="T574" s="125">
        <f t="shared" si="531"/>
        <v>46321</v>
      </c>
      <c r="U574" s="125"/>
      <c r="W574" s="174" t="str">
        <f t="shared" ca="1" si="522"/>
        <v>Completed</v>
      </c>
      <c r="X574" s="174" t="str">
        <f t="shared" ca="1" si="523"/>
        <v>Completed</v>
      </c>
      <c r="Y574" s="174" t="str">
        <f t="shared" ca="1" si="524"/>
        <v/>
      </c>
      <c r="Z574" s="175" t="str">
        <f t="shared" ca="1" si="525"/>
        <v/>
      </c>
    </row>
    <row r="575" spans="1:26" s="70" customFormat="1" ht="11.5" x14ac:dyDescent="0.25">
      <c r="A575" s="121" t="s">
        <v>66</v>
      </c>
      <c r="B575" s="121" t="s">
        <v>14</v>
      </c>
      <c r="C575" s="121" t="s">
        <v>728</v>
      </c>
      <c r="D575" s="121" t="s">
        <v>729</v>
      </c>
      <c r="E575" s="123">
        <f t="shared" si="540"/>
        <v>0.5</v>
      </c>
      <c r="F575" s="123">
        <f t="shared" si="541"/>
        <v>0.5</v>
      </c>
      <c r="G575" s="123">
        <f t="shared" si="541"/>
        <v>0.5</v>
      </c>
      <c r="H575" s="128">
        <f t="shared" si="542"/>
        <v>0</v>
      </c>
      <c r="I575" s="126">
        <v>4.7E-2</v>
      </c>
      <c r="J575" s="125">
        <f t="shared" si="537"/>
        <v>46234</v>
      </c>
      <c r="K575" s="125">
        <f t="shared" si="526"/>
        <v>46234</v>
      </c>
      <c r="L575" s="125">
        <v>46130</v>
      </c>
      <c r="M575" s="125">
        <f t="shared" si="538"/>
        <v>46269</v>
      </c>
      <c r="N575" s="125">
        <f t="shared" si="528"/>
        <v>46269</v>
      </c>
      <c r="O575" s="125"/>
      <c r="P575" s="125">
        <f t="shared" si="539"/>
        <v>46307</v>
      </c>
      <c r="Q575" s="125">
        <f t="shared" si="530"/>
        <v>46307</v>
      </c>
      <c r="R575" s="125"/>
      <c r="S575" s="125">
        <f t="shared" si="532"/>
        <v>46321</v>
      </c>
      <c r="T575" s="125">
        <f t="shared" si="531"/>
        <v>46321</v>
      </c>
      <c r="U575" s="125"/>
      <c r="W575" s="174" t="str">
        <f t="shared" ca="1" si="522"/>
        <v>Completed</v>
      </c>
      <c r="X575" s="174" t="str">
        <f t="shared" ca="1" si="523"/>
        <v/>
      </c>
      <c r="Y575" s="174" t="str">
        <f t="shared" ca="1" si="524"/>
        <v/>
      </c>
      <c r="Z575" s="175" t="str">
        <f t="shared" ca="1" si="525"/>
        <v/>
      </c>
    </row>
    <row r="576" spans="1:26" s="70" customFormat="1" ht="11.5" x14ac:dyDescent="0.25">
      <c r="A576" s="121" t="s">
        <v>66</v>
      </c>
      <c r="B576" s="121" t="s">
        <v>14</v>
      </c>
      <c r="C576" s="121" t="s">
        <v>730</v>
      </c>
      <c r="D576" s="121" t="s">
        <v>731</v>
      </c>
      <c r="E576" s="123">
        <f t="shared" si="540"/>
        <v>0.5</v>
      </c>
      <c r="F576" s="123">
        <f t="shared" si="541"/>
        <v>0.5</v>
      </c>
      <c r="G576" s="123">
        <f t="shared" si="541"/>
        <v>0.7</v>
      </c>
      <c r="H576" s="128">
        <f t="shared" si="542"/>
        <v>0.19999999999999996</v>
      </c>
      <c r="I576" s="126">
        <v>4.7E-2</v>
      </c>
      <c r="J576" s="125">
        <f t="shared" si="537"/>
        <v>46234</v>
      </c>
      <c r="K576" s="125">
        <f t="shared" si="526"/>
        <v>46234</v>
      </c>
      <c r="L576" s="125">
        <v>46150</v>
      </c>
      <c r="M576" s="125">
        <f t="shared" si="538"/>
        <v>46269</v>
      </c>
      <c r="N576" s="125">
        <f t="shared" si="528"/>
        <v>46269</v>
      </c>
      <c r="O576" s="125">
        <v>46205</v>
      </c>
      <c r="P576" s="125">
        <f t="shared" si="539"/>
        <v>46307</v>
      </c>
      <c r="Q576" s="125">
        <f t="shared" si="530"/>
        <v>46307</v>
      </c>
      <c r="R576" s="125"/>
      <c r="S576" s="125">
        <f t="shared" si="532"/>
        <v>46321</v>
      </c>
      <c r="T576" s="125">
        <f t="shared" si="531"/>
        <v>46321</v>
      </c>
      <c r="U576" s="125"/>
      <c r="W576" s="174" t="str">
        <f t="shared" ca="1" si="522"/>
        <v>Completed</v>
      </c>
      <c r="X576" s="174" t="str">
        <f t="shared" ca="1" si="523"/>
        <v>Completed</v>
      </c>
      <c r="Y576" s="174" t="str">
        <f t="shared" ca="1" si="524"/>
        <v/>
      </c>
      <c r="Z576" s="175" t="str">
        <f t="shared" ca="1" si="525"/>
        <v/>
      </c>
    </row>
    <row r="577" spans="1:26" s="70" customFormat="1" ht="11.5" x14ac:dyDescent="0.25">
      <c r="A577" s="121" t="s">
        <v>66</v>
      </c>
      <c r="B577" s="121" t="s">
        <v>14</v>
      </c>
      <c r="C577" s="121" t="s">
        <v>732</v>
      </c>
      <c r="D577" s="121" t="s">
        <v>733</v>
      </c>
      <c r="E577" s="123">
        <f t="shared" si="540"/>
        <v>0.5</v>
      </c>
      <c r="F577" s="123">
        <f t="shared" si="541"/>
        <v>0.5</v>
      </c>
      <c r="G577" s="123">
        <f t="shared" si="541"/>
        <v>0.7</v>
      </c>
      <c r="H577" s="128">
        <f t="shared" si="542"/>
        <v>0.19999999999999996</v>
      </c>
      <c r="I577" s="126">
        <v>4.7E-2</v>
      </c>
      <c r="J577" s="125">
        <f t="shared" si="537"/>
        <v>46234</v>
      </c>
      <c r="K577" s="125">
        <f t="shared" si="526"/>
        <v>46234</v>
      </c>
      <c r="L577" s="125">
        <v>46150</v>
      </c>
      <c r="M577" s="125">
        <f t="shared" si="538"/>
        <v>46269</v>
      </c>
      <c r="N577" s="125">
        <f t="shared" si="528"/>
        <v>46269</v>
      </c>
      <c r="O577" s="125">
        <v>46205</v>
      </c>
      <c r="P577" s="125">
        <f t="shared" si="539"/>
        <v>46307</v>
      </c>
      <c r="Q577" s="125">
        <f t="shared" si="530"/>
        <v>46307</v>
      </c>
      <c r="R577" s="125"/>
      <c r="S577" s="125">
        <f t="shared" si="532"/>
        <v>46321</v>
      </c>
      <c r="T577" s="125">
        <f t="shared" si="531"/>
        <v>46321</v>
      </c>
      <c r="U577" s="125"/>
      <c r="W577" s="174" t="str">
        <f t="shared" ca="1" si="522"/>
        <v>Completed</v>
      </c>
      <c r="X577" s="174" t="str">
        <f t="shared" ca="1" si="523"/>
        <v>Completed</v>
      </c>
      <c r="Y577" s="174" t="str">
        <f t="shared" ca="1" si="524"/>
        <v/>
      </c>
      <c r="Z577" s="175" t="str">
        <f t="shared" ca="1" si="525"/>
        <v/>
      </c>
    </row>
    <row r="578" spans="1:26" s="70" customFormat="1" ht="11.5" x14ac:dyDescent="0.25">
      <c r="A578" s="121" t="s">
        <v>66</v>
      </c>
      <c r="B578" s="121" t="s">
        <v>14</v>
      </c>
      <c r="C578" s="121" t="s">
        <v>734</v>
      </c>
      <c r="D578" s="121" t="s">
        <v>735</v>
      </c>
      <c r="E578" s="123">
        <f t="shared" si="540"/>
        <v>0.5</v>
      </c>
      <c r="F578" s="123">
        <f t="shared" si="541"/>
        <v>0.5</v>
      </c>
      <c r="G578" s="123">
        <f t="shared" si="541"/>
        <v>0.79999999999999993</v>
      </c>
      <c r="H578" s="128">
        <f t="shared" si="542"/>
        <v>0.29999999999999993</v>
      </c>
      <c r="I578" s="126">
        <v>4.7E-2</v>
      </c>
      <c r="J578" s="125">
        <f t="shared" si="537"/>
        <v>46234</v>
      </c>
      <c r="K578" s="125">
        <f t="shared" si="526"/>
        <v>46234</v>
      </c>
      <c r="L578" s="125">
        <v>46150</v>
      </c>
      <c r="M578" s="125">
        <f t="shared" si="538"/>
        <v>46269</v>
      </c>
      <c r="N578" s="125">
        <f t="shared" si="528"/>
        <v>46269</v>
      </c>
      <c r="O578" s="125">
        <v>46205</v>
      </c>
      <c r="P578" s="125">
        <f t="shared" si="539"/>
        <v>46307</v>
      </c>
      <c r="Q578" s="125">
        <f t="shared" si="530"/>
        <v>46307</v>
      </c>
      <c r="R578" s="193">
        <v>46248</v>
      </c>
      <c r="S578" s="125">
        <f t="shared" si="532"/>
        <v>46321</v>
      </c>
      <c r="T578" s="125">
        <f t="shared" si="531"/>
        <v>46321</v>
      </c>
      <c r="U578" s="125"/>
      <c r="W578" s="174" t="str">
        <f t="shared" ca="1" si="522"/>
        <v>Completed</v>
      </c>
      <c r="X578" s="174" t="str">
        <f t="shared" ca="1" si="523"/>
        <v>Completed</v>
      </c>
      <c r="Y578" s="174" t="str">
        <f t="shared" ca="1" si="524"/>
        <v>Completed</v>
      </c>
      <c r="Z578" s="175" t="str">
        <f t="shared" ca="1" si="525"/>
        <v/>
      </c>
    </row>
    <row r="579" spans="1:26" s="70" customFormat="1" ht="11.5" x14ac:dyDescent="0.25">
      <c r="A579" s="121" t="s">
        <v>66</v>
      </c>
      <c r="B579" s="121" t="s">
        <v>14</v>
      </c>
      <c r="C579" s="121" t="s">
        <v>736</v>
      </c>
      <c r="D579" s="121" t="s">
        <v>737</v>
      </c>
      <c r="E579" s="123">
        <f t="shared" si="540"/>
        <v>0.5</v>
      </c>
      <c r="F579" s="123">
        <f t="shared" si="541"/>
        <v>0.5</v>
      </c>
      <c r="G579" s="123">
        <f t="shared" si="541"/>
        <v>0.5</v>
      </c>
      <c r="H579" s="128">
        <f t="shared" si="542"/>
        <v>0</v>
      </c>
      <c r="I579" s="126">
        <v>4.7E-2</v>
      </c>
      <c r="J579" s="125">
        <f t="shared" si="537"/>
        <v>46234</v>
      </c>
      <c r="K579" s="125">
        <f t="shared" si="526"/>
        <v>46234</v>
      </c>
      <c r="L579" s="145">
        <v>46157</v>
      </c>
      <c r="M579" s="125">
        <f t="shared" si="538"/>
        <v>46269</v>
      </c>
      <c r="N579" s="125">
        <f t="shared" si="528"/>
        <v>46269</v>
      </c>
      <c r="O579" s="125"/>
      <c r="P579" s="125">
        <f t="shared" si="539"/>
        <v>46307</v>
      </c>
      <c r="Q579" s="125">
        <f t="shared" si="530"/>
        <v>46307</v>
      </c>
      <c r="R579" s="125"/>
      <c r="S579" s="125">
        <f t="shared" si="532"/>
        <v>46321</v>
      </c>
      <c r="T579" s="125">
        <f t="shared" si="531"/>
        <v>46321</v>
      </c>
      <c r="U579" s="125"/>
      <c r="W579" s="174" t="str">
        <f t="shared" ca="1" si="522"/>
        <v>Completed</v>
      </c>
      <c r="X579" s="174" t="str">
        <f t="shared" ca="1" si="523"/>
        <v/>
      </c>
      <c r="Y579" s="174" t="str">
        <f t="shared" ca="1" si="524"/>
        <v/>
      </c>
      <c r="Z579" s="175" t="str">
        <f t="shared" ca="1" si="525"/>
        <v/>
      </c>
    </row>
    <row r="580" spans="1:26" s="70" customFormat="1" ht="11.5" x14ac:dyDescent="0.25">
      <c r="A580" s="121" t="s">
        <v>66</v>
      </c>
      <c r="B580" s="121" t="s">
        <v>14</v>
      </c>
      <c r="C580" s="121" t="s">
        <v>738</v>
      </c>
      <c r="D580" s="121" t="s">
        <v>739</v>
      </c>
      <c r="E580" s="123">
        <f t="shared" si="540"/>
        <v>0.5</v>
      </c>
      <c r="F580" s="123">
        <f t="shared" si="541"/>
        <v>0.5</v>
      </c>
      <c r="G580" s="123">
        <f t="shared" si="541"/>
        <v>0.5</v>
      </c>
      <c r="H580" s="128">
        <f t="shared" si="542"/>
        <v>0</v>
      </c>
      <c r="I580" s="126">
        <v>4.7E-2</v>
      </c>
      <c r="J580" s="125">
        <f t="shared" si="537"/>
        <v>46234</v>
      </c>
      <c r="K580" s="125">
        <f t="shared" si="526"/>
        <v>46234</v>
      </c>
      <c r="L580" s="145">
        <v>46157</v>
      </c>
      <c r="M580" s="125">
        <f t="shared" si="538"/>
        <v>46269</v>
      </c>
      <c r="N580" s="125">
        <f t="shared" si="528"/>
        <v>46269</v>
      </c>
      <c r="O580" s="125"/>
      <c r="P580" s="125">
        <f t="shared" si="539"/>
        <v>46307</v>
      </c>
      <c r="Q580" s="125">
        <f t="shared" si="530"/>
        <v>46307</v>
      </c>
      <c r="R580" s="125"/>
      <c r="S580" s="125">
        <f t="shared" si="532"/>
        <v>46321</v>
      </c>
      <c r="T580" s="125">
        <f t="shared" si="531"/>
        <v>46321</v>
      </c>
      <c r="U580" s="125"/>
      <c r="W580" s="174" t="str">
        <f t="shared" ca="1" si="522"/>
        <v>Completed</v>
      </c>
      <c r="X580" s="174" t="str">
        <f t="shared" ca="1" si="523"/>
        <v/>
      </c>
      <c r="Y580" s="174" t="str">
        <f t="shared" ca="1" si="524"/>
        <v/>
      </c>
      <c r="Z580" s="175" t="str">
        <f t="shared" ca="1" si="525"/>
        <v/>
      </c>
    </row>
    <row r="581" spans="1:26" s="70" customFormat="1" ht="11.5" x14ac:dyDescent="0.25">
      <c r="A581" s="121" t="s">
        <v>66</v>
      </c>
      <c r="B581" s="121" t="s">
        <v>14</v>
      </c>
      <c r="C581" s="121" t="s">
        <v>740</v>
      </c>
      <c r="D581" s="121" t="s">
        <v>741</v>
      </c>
      <c r="E581" s="123">
        <f t="shared" si="540"/>
        <v>0.5</v>
      </c>
      <c r="F581" s="123">
        <f t="shared" si="541"/>
        <v>0.5</v>
      </c>
      <c r="G581" s="123">
        <f t="shared" si="541"/>
        <v>0.5</v>
      </c>
      <c r="H581" s="128">
        <f t="shared" si="542"/>
        <v>0</v>
      </c>
      <c r="I581" s="126">
        <v>4.7E-2</v>
      </c>
      <c r="J581" s="125">
        <f t="shared" si="537"/>
        <v>46234</v>
      </c>
      <c r="K581" s="125">
        <f t="shared" si="526"/>
        <v>46234</v>
      </c>
      <c r="L581" s="145">
        <v>46157</v>
      </c>
      <c r="M581" s="125">
        <f t="shared" si="538"/>
        <v>46269</v>
      </c>
      <c r="N581" s="125">
        <f t="shared" si="528"/>
        <v>46269</v>
      </c>
      <c r="O581" s="125"/>
      <c r="P581" s="125">
        <f t="shared" si="539"/>
        <v>46307</v>
      </c>
      <c r="Q581" s="125">
        <f t="shared" si="530"/>
        <v>46307</v>
      </c>
      <c r="R581" s="125"/>
      <c r="S581" s="125">
        <f t="shared" si="532"/>
        <v>46321</v>
      </c>
      <c r="T581" s="125">
        <f t="shared" si="531"/>
        <v>46321</v>
      </c>
      <c r="U581" s="125"/>
      <c r="W581" s="174" t="str">
        <f t="shared" ca="1" si="522"/>
        <v>Completed</v>
      </c>
      <c r="X581" s="174" t="str">
        <f t="shared" ca="1" si="523"/>
        <v/>
      </c>
      <c r="Y581" s="174" t="str">
        <f t="shared" ca="1" si="524"/>
        <v/>
      </c>
      <c r="Z581" s="175" t="str">
        <f t="shared" ca="1" si="525"/>
        <v/>
      </c>
    </row>
    <row r="582" spans="1:26" s="70" customFormat="1" ht="11.5" x14ac:dyDescent="0.25">
      <c r="A582" s="121" t="s">
        <v>66</v>
      </c>
      <c r="B582" s="121" t="s">
        <v>14</v>
      </c>
      <c r="C582" s="121" t="s">
        <v>742</v>
      </c>
      <c r="D582" s="121" t="s">
        <v>743</v>
      </c>
      <c r="E582" s="123">
        <f t="shared" si="540"/>
        <v>0.5</v>
      </c>
      <c r="F582" s="123">
        <f t="shared" si="541"/>
        <v>0.5</v>
      </c>
      <c r="G582" s="123">
        <f t="shared" si="541"/>
        <v>0.7</v>
      </c>
      <c r="H582" s="128">
        <f t="shared" si="542"/>
        <v>0.19999999999999996</v>
      </c>
      <c r="I582" s="126">
        <v>4.7E-2</v>
      </c>
      <c r="J582" s="125">
        <f t="shared" ref="J582:J613" si="543">J461+28</f>
        <v>46234</v>
      </c>
      <c r="K582" s="125">
        <f t="shared" si="526"/>
        <v>46234</v>
      </c>
      <c r="L582" s="145">
        <v>46157</v>
      </c>
      <c r="M582" s="125">
        <f t="shared" si="538"/>
        <v>46269</v>
      </c>
      <c r="N582" s="125">
        <f t="shared" si="528"/>
        <v>46269</v>
      </c>
      <c r="O582" s="125">
        <v>46205</v>
      </c>
      <c r="P582" s="125">
        <f t="shared" si="539"/>
        <v>46307</v>
      </c>
      <c r="Q582" s="125">
        <f t="shared" si="530"/>
        <v>46307</v>
      </c>
      <c r="R582" s="125"/>
      <c r="S582" s="125">
        <f t="shared" si="532"/>
        <v>46321</v>
      </c>
      <c r="T582" s="125">
        <f t="shared" si="531"/>
        <v>46321</v>
      </c>
      <c r="U582" s="125"/>
      <c r="W582" s="174" t="str">
        <f t="shared" ca="1" si="522"/>
        <v>Completed</v>
      </c>
      <c r="X582" s="174" t="str">
        <f t="shared" ca="1" si="523"/>
        <v>Completed</v>
      </c>
      <c r="Y582" s="174" t="str">
        <f t="shared" ca="1" si="524"/>
        <v/>
      </c>
      <c r="Z582" s="175" t="str">
        <f t="shared" ca="1" si="525"/>
        <v/>
      </c>
    </row>
    <row r="583" spans="1:26" s="70" customFormat="1" ht="11.5" x14ac:dyDescent="0.25">
      <c r="A583" s="121" t="s">
        <v>66</v>
      </c>
      <c r="B583" s="121" t="s">
        <v>14</v>
      </c>
      <c r="C583" s="121" t="s">
        <v>744</v>
      </c>
      <c r="D583" s="121" t="s">
        <v>745</v>
      </c>
      <c r="E583" s="123">
        <f t="shared" si="540"/>
        <v>0</v>
      </c>
      <c r="F583" s="123">
        <f t="shared" si="541"/>
        <v>0</v>
      </c>
      <c r="G583" s="123">
        <f t="shared" si="541"/>
        <v>0.5</v>
      </c>
      <c r="H583" s="128">
        <f t="shared" si="542"/>
        <v>0.5</v>
      </c>
      <c r="I583" s="126">
        <v>4.7E-2</v>
      </c>
      <c r="J583" s="125">
        <f t="shared" si="543"/>
        <v>46255</v>
      </c>
      <c r="K583" s="125">
        <f t="shared" si="526"/>
        <v>46255</v>
      </c>
      <c r="L583" s="125">
        <v>46156</v>
      </c>
      <c r="M583" s="125">
        <f t="shared" si="527"/>
        <v>46297</v>
      </c>
      <c r="N583" s="125">
        <f t="shared" si="528"/>
        <v>46297</v>
      </c>
      <c r="O583" s="125"/>
      <c r="P583" s="125">
        <f t="shared" si="529"/>
        <v>46339</v>
      </c>
      <c r="Q583" s="125">
        <f t="shared" si="530"/>
        <v>46339</v>
      </c>
      <c r="R583" s="125"/>
      <c r="S583" s="125">
        <f t="shared" si="532"/>
        <v>46353</v>
      </c>
      <c r="T583" s="125">
        <f t="shared" si="531"/>
        <v>46353</v>
      </c>
      <c r="U583" s="125"/>
      <c r="W583" s="174" t="str">
        <f t="shared" ca="1" si="522"/>
        <v>Completed</v>
      </c>
      <c r="X583" s="174" t="str">
        <f t="shared" ca="1" si="523"/>
        <v/>
      </c>
      <c r="Y583" s="174" t="str">
        <f t="shared" ca="1" si="524"/>
        <v/>
      </c>
      <c r="Z583" s="175" t="str">
        <f t="shared" ca="1" si="525"/>
        <v/>
      </c>
    </row>
    <row r="584" spans="1:26" s="70" customFormat="1" ht="11.5" x14ac:dyDescent="0.25">
      <c r="A584" s="121" t="s">
        <v>66</v>
      </c>
      <c r="B584" s="121" t="s">
        <v>14</v>
      </c>
      <c r="C584" s="121" t="s">
        <v>746</v>
      </c>
      <c r="D584" s="121" t="s">
        <v>747</v>
      </c>
      <c r="E584" s="123">
        <f t="shared" si="540"/>
        <v>0</v>
      </c>
      <c r="F584" s="123">
        <f t="shared" si="541"/>
        <v>0</v>
      </c>
      <c r="G584" s="123">
        <f t="shared" si="541"/>
        <v>0.5</v>
      </c>
      <c r="H584" s="128">
        <f t="shared" si="542"/>
        <v>0.5</v>
      </c>
      <c r="I584" s="126">
        <v>4.7E-2</v>
      </c>
      <c r="J584" s="125">
        <f t="shared" si="543"/>
        <v>46255</v>
      </c>
      <c r="K584" s="125">
        <f t="shared" si="526"/>
        <v>46255</v>
      </c>
      <c r="L584" s="125">
        <v>46156</v>
      </c>
      <c r="M584" s="125">
        <f t="shared" si="527"/>
        <v>46297</v>
      </c>
      <c r="N584" s="125">
        <f t="shared" si="528"/>
        <v>46297</v>
      </c>
      <c r="O584" s="125"/>
      <c r="P584" s="125">
        <f t="shared" si="529"/>
        <v>46339</v>
      </c>
      <c r="Q584" s="125">
        <f t="shared" si="530"/>
        <v>46339</v>
      </c>
      <c r="R584" s="125"/>
      <c r="S584" s="125">
        <f t="shared" si="532"/>
        <v>46353</v>
      </c>
      <c r="T584" s="125">
        <f t="shared" si="531"/>
        <v>46353</v>
      </c>
      <c r="U584" s="125"/>
      <c r="W584" s="174" t="str">
        <f t="shared" ca="1" si="522"/>
        <v>Completed</v>
      </c>
      <c r="X584" s="174" t="str">
        <f t="shared" ca="1" si="523"/>
        <v/>
      </c>
      <c r="Y584" s="174" t="str">
        <f t="shared" ca="1" si="524"/>
        <v/>
      </c>
      <c r="Z584" s="175" t="str">
        <f t="shared" ca="1" si="525"/>
        <v/>
      </c>
    </row>
    <row r="585" spans="1:26" s="70" customFormat="1" ht="11.5" x14ac:dyDescent="0.25">
      <c r="A585" s="121" t="s">
        <v>66</v>
      </c>
      <c r="B585" s="121" t="s">
        <v>14</v>
      </c>
      <c r="C585" s="121" t="s">
        <v>748</v>
      </c>
      <c r="D585" s="121" t="s">
        <v>749</v>
      </c>
      <c r="E585" s="123">
        <f t="shared" si="540"/>
        <v>0</v>
      </c>
      <c r="F585" s="123">
        <f t="shared" si="541"/>
        <v>0</v>
      </c>
      <c r="G585" s="123">
        <f t="shared" si="541"/>
        <v>0.5</v>
      </c>
      <c r="H585" s="128">
        <f t="shared" si="542"/>
        <v>0.5</v>
      </c>
      <c r="I585" s="126">
        <v>4.7E-2</v>
      </c>
      <c r="J585" s="125">
        <f t="shared" si="543"/>
        <v>46255</v>
      </c>
      <c r="K585" s="125">
        <f t="shared" si="526"/>
        <v>46255</v>
      </c>
      <c r="L585" s="125">
        <v>46156</v>
      </c>
      <c r="M585" s="125">
        <f t="shared" si="527"/>
        <v>46297</v>
      </c>
      <c r="N585" s="125">
        <f t="shared" si="528"/>
        <v>46297</v>
      </c>
      <c r="O585" s="125"/>
      <c r="P585" s="125">
        <f t="shared" si="529"/>
        <v>46339</v>
      </c>
      <c r="Q585" s="125">
        <f t="shared" si="530"/>
        <v>46339</v>
      </c>
      <c r="R585" s="125"/>
      <c r="S585" s="125">
        <f t="shared" si="532"/>
        <v>46353</v>
      </c>
      <c r="T585" s="125">
        <f t="shared" si="531"/>
        <v>46353</v>
      </c>
      <c r="U585" s="125"/>
      <c r="W585" s="174" t="str">
        <f t="shared" ca="1" si="522"/>
        <v>Completed</v>
      </c>
      <c r="X585" s="174" t="str">
        <f t="shared" ca="1" si="523"/>
        <v/>
      </c>
      <c r="Y585" s="174" t="str">
        <f t="shared" ca="1" si="524"/>
        <v/>
      </c>
      <c r="Z585" s="175" t="str">
        <f t="shared" ca="1" si="525"/>
        <v/>
      </c>
    </row>
    <row r="586" spans="1:26" s="70" customFormat="1" ht="11.5" x14ac:dyDescent="0.25">
      <c r="A586" s="121" t="s">
        <v>66</v>
      </c>
      <c r="B586" s="121" t="s">
        <v>14</v>
      </c>
      <c r="C586" s="121" t="s">
        <v>750</v>
      </c>
      <c r="D586" s="121" t="s">
        <v>751</v>
      </c>
      <c r="E586" s="123">
        <f t="shared" si="540"/>
        <v>0.5</v>
      </c>
      <c r="F586" s="123">
        <f t="shared" si="541"/>
        <v>0.5</v>
      </c>
      <c r="G586" s="123">
        <f t="shared" si="541"/>
        <v>0.5</v>
      </c>
      <c r="H586" s="123">
        <f t="shared" si="542"/>
        <v>0</v>
      </c>
      <c r="I586" s="124">
        <v>4.7E-2</v>
      </c>
      <c r="J586" s="125">
        <f t="shared" si="543"/>
        <v>46248</v>
      </c>
      <c r="K586" s="125">
        <f t="shared" si="526"/>
        <v>46248</v>
      </c>
      <c r="L586" s="125">
        <v>46178</v>
      </c>
      <c r="M586" s="125">
        <f t="shared" si="527"/>
        <v>46290</v>
      </c>
      <c r="N586" s="125">
        <f t="shared" si="528"/>
        <v>46290</v>
      </c>
      <c r="O586" s="125"/>
      <c r="P586" s="125">
        <f t="shared" si="529"/>
        <v>46332</v>
      </c>
      <c r="Q586" s="125">
        <f t="shared" si="530"/>
        <v>46332</v>
      </c>
      <c r="R586" s="125"/>
      <c r="S586" s="125">
        <f t="shared" si="532"/>
        <v>46346</v>
      </c>
      <c r="T586" s="125">
        <f t="shared" si="531"/>
        <v>46346</v>
      </c>
      <c r="U586" s="125"/>
      <c r="W586" s="174" t="str">
        <f t="shared" ca="1" si="522"/>
        <v>Completed</v>
      </c>
      <c r="X586" s="174" t="str">
        <f t="shared" ca="1" si="523"/>
        <v/>
      </c>
      <c r="Y586" s="174" t="str">
        <f t="shared" ca="1" si="524"/>
        <v/>
      </c>
      <c r="Z586" s="175" t="str">
        <f t="shared" ca="1" si="525"/>
        <v/>
      </c>
    </row>
    <row r="587" spans="1:26" s="70" customFormat="1" ht="11.5" x14ac:dyDescent="0.25">
      <c r="A587" s="121" t="s">
        <v>66</v>
      </c>
      <c r="B587" s="121" t="s">
        <v>14</v>
      </c>
      <c r="C587" s="121" t="s">
        <v>752</v>
      </c>
      <c r="D587" s="121" t="s">
        <v>753</v>
      </c>
      <c r="E587" s="123">
        <f t="shared" si="540"/>
        <v>0</v>
      </c>
      <c r="F587" s="123">
        <f t="shared" si="541"/>
        <v>0</v>
      </c>
      <c r="G587" s="123">
        <f t="shared" si="541"/>
        <v>0</v>
      </c>
      <c r="H587" s="123">
        <f t="shared" si="542"/>
        <v>0</v>
      </c>
      <c r="I587" s="124">
        <v>4.7E-2</v>
      </c>
      <c r="J587" s="125">
        <f t="shared" si="543"/>
        <v>46255</v>
      </c>
      <c r="K587" s="125">
        <f t="shared" si="526"/>
        <v>46255</v>
      </c>
      <c r="L587" s="125"/>
      <c r="M587" s="125">
        <f t="shared" si="527"/>
        <v>46297</v>
      </c>
      <c r="N587" s="125">
        <f t="shared" si="528"/>
        <v>46297</v>
      </c>
      <c r="O587" s="125"/>
      <c r="P587" s="125">
        <f t="shared" si="529"/>
        <v>46339</v>
      </c>
      <c r="Q587" s="125">
        <f t="shared" si="530"/>
        <v>46339</v>
      </c>
      <c r="R587" s="125"/>
      <c r="S587" s="125">
        <f t="shared" si="532"/>
        <v>46353</v>
      </c>
      <c r="T587" s="125">
        <f t="shared" si="531"/>
        <v>46353</v>
      </c>
      <c r="U587" s="125"/>
      <c r="W587" s="174" t="str">
        <f t="shared" ca="1" si="522"/>
        <v>Follow-Next Week</v>
      </c>
      <c r="X587" s="174" t="str">
        <f t="shared" ca="1" si="523"/>
        <v/>
      </c>
      <c r="Y587" s="174" t="str">
        <f t="shared" ca="1" si="524"/>
        <v/>
      </c>
      <c r="Z587" s="175" t="str">
        <f t="shared" ca="1" si="525"/>
        <v/>
      </c>
    </row>
    <row r="588" spans="1:26" s="70" customFormat="1" ht="11.5" x14ac:dyDescent="0.25">
      <c r="A588" s="121" t="s">
        <v>66</v>
      </c>
      <c r="B588" s="121" t="s">
        <v>14</v>
      </c>
      <c r="C588" s="121" t="s">
        <v>754</v>
      </c>
      <c r="D588" s="121" t="s">
        <v>755</v>
      </c>
      <c r="E588" s="123">
        <f t="shared" si="540"/>
        <v>0.5</v>
      </c>
      <c r="F588" s="123">
        <f t="shared" si="541"/>
        <v>0.5</v>
      </c>
      <c r="G588" s="123">
        <f t="shared" si="541"/>
        <v>0.5</v>
      </c>
      <c r="H588" s="123">
        <f t="shared" si="542"/>
        <v>0</v>
      </c>
      <c r="I588" s="124">
        <v>4.7E-2</v>
      </c>
      <c r="J588" s="125">
        <f t="shared" si="543"/>
        <v>46248</v>
      </c>
      <c r="K588" s="125">
        <f t="shared" si="526"/>
        <v>46248</v>
      </c>
      <c r="L588" s="125">
        <v>46205</v>
      </c>
      <c r="M588" s="125">
        <f t="shared" si="527"/>
        <v>46290</v>
      </c>
      <c r="N588" s="125">
        <f t="shared" si="528"/>
        <v>46290</v>
      </c>
      <c r="O588" s="125"/>
      <c r="P588" s="125">
        <f t="shared" si="529"/>
        <v>46332</v>
      </c>
      <c r="Q588" s="125">
        <f t="shared" si="530"/>
        <v>46332</v>
      </c>
      <c r="R588" s="125"/>
      <c r="S588" s="125">
        <f t="shared" si="532"/>
        <v>46346</v>
      </c>
      <c r="T588" s="125">
        <f t="shared" si="531"/>
        <v>46346</v>
      </c>
      <c r="U588" s="125"/>
      <c r="W588" s="174" t="str">
        <f t="shared" ca="1" si="522"/>
        <v>Completed</v>
      </c>
      <c r="X588" s="174" t="str">
        <f t="shared" ca="1" si="523"/>
        <v/>
      </c>
      <c r="Y588" s="174" t="str">
        <f t="shared" ca="1" si="524"/>
        <v/>
      </c>
      <c r="Z588" s="175" t="str">
        <f t="shared" ca="1" si="525"/>
        <v/>
      </c>
    </row>
    <row r="589" spans="1:26" s="70" customFormat="1" ht="11.5" x14ac:dyDescent="0.25">
      <c r="A589" s="121" t="s">
        <v>66</v>
      </c>
      <c r="B589" s="121" t="s">
        <v>14</v>
      </c>
      <c r="C589" s="121" t="s">
        <v>756</v>
      </c>
      <c r="D589" s="121" t="s">
        <v>757</v>
      </c>
      <c r="E589" s="123">
        <f t="shared" si="540"/>
        <v>0.5</v>
      </c>
      <c r="F589" s="123">
        <f t="shared" si="541"/>
        <v>0.5</v>
      </c>
      <c r="G589" s="123">
        <f t="shared" si="541"/>
        <v>0.5</v>
      </c>
      <c r="H589" s="123">
        <f t="shared" si="542"/>
        <v>0</v>
      </c>
      <c r="I589" s="124">
        <v>4.7E-2</v>
      </c>
      <c r="J589" s="125">
        <f t="shared" si="543"/>
        <v>46248</v>
      </c>
      <c r="K589" s="125">
        <f t="shared" si="526"/>
        <v>46248</v>
      </c>
      <c r="L589" s="125">
        <v>46205</v>
      </c>
      <c r="M589" s="125">
        <f t="shared" si="527"/>
        <v>46290</v>
      </c>
      <c r="N589" s="125">
        <f t="shared" si="528"/>
        <v>46290</v>
      </c>
      <c r="O589" s="125"/>
      <c r="P589" s="125">
        <f t="shared" si="529"/>
        <v>46332</v>
      </c>
      <c r="Q589" s="125">
        <f t="shared" si="530"/>
        <v>46332</v>
      </c>
      <c r="R589" s="125"/>
      <c r="S589" s="125">
        <f t="shared" si="532"/>
        <v>46346</v>
      </c>
      <c r="T589" s="125">
        <f t="shared" si="531"/>
        <v>46346</v>
      </c>
      <c r="U589" s="125"/>
      <c r="W589" s="174" t="str">
        <f t="shared" ca="1" si="522"/>
        <v>Completed</v>
      </c>
      <c r="X589" s="174" t="str">
        <f t="shared" ca="1" si="523"/>
        <v/>
      </c>
      <c r="Y589" s="174" t="str">
        <f t="shared" ca="1" si="524"/>
        <v/>
      </c>
      <c r="Z589" s="175" t="str">
        <f t="shared" ca="1" si="525"/>
        <v/>
      </c>
    </row>
    <row r="590" spans="1:26" s="70" customFormat="1" ht="11.5" x14ac:dyDescent="0.25">
      <c r="A590" s="121" t="s">
        <v>66</v>
      </c>
      <c r="B590" s="121" t="s">
        <v>14</v>
      </c>
      <c r="C590" s="121" t="s">
        <v>899</v>
      </c>
      <c r="D590" s="121" t="s">
        <v>878</v>
      </c>
      <c r="E590" s="123">
        <f t="shared" si="540"/>
        <v>0</v>
      </c>
      <c r="F590" s="123">
        <f t="shared" si="541"/>
        <v>0</v>
      </c>
      <c r="G590" s="123">
        <f t="shared" si="541"/>
        <v>0.7</v>
      </c>
      <c r="H590" s="123">
        <f t="shared" si="542"/>
        <v>0.7</v>
      </c>
      <c r="I590" s="124">
        <v>4.7E-2</v>
      </c>
      <c r="J590" s="125">
        <f t="shared" si="543"/>
        <v>46262</v>
      </c>
      <c r="K590" s="125">
        <f t="shared" si="526"/>
        <v>46262</v>
      </c>
      <c r="L590" s="125">
        <v>46182</v>
      </c>
      <c r="M590" s="125">
        <f t="shared" si="527"/>
        <v>46304</v>
      </c>
      <c r="N590" s="125">
        <f t="shared" si="528"/>
        <v>46304</v>
      </c>
      <c r="O590" s="125">
        <v>46191</v>
      </c>
      <c r="P590" s="125">
        <f t="shared" si="529"/>
        <v>46346</v>
      </c>
      <c r="Q590" s="125">
        <f t="shared" si="530"/>
        <v>46346</v>
      </c>
      <c r="R590" s="125"/>
      <c r="S590" s="125">
        <f t="shared" si="532"/>
        <v>46360</v>
      </c>
      <c r="T590" s="125">
        <f t="shared" si="531"/>
        <v>46360</v>
      </c>
      <c r="U590" s="125"/>
      <c r="W590" s="174" t="str">
        <f t="shared" ca="1" si="522"/>
        <v>Completed</v>
      </c>
      <c r="X590" s="174" t="str">
        <f t="shared" ca="1" si="523"/>
        <v>Completed</v>
      </c>
      <c r="Y590" s="174" t="str">
        <f t="shared" ca="1" si="524"/>
        <v/>
      </c>
      <c r="Z590" s="175" t="str">
        <f t="shared" ca="1" si="525"/>
        <v/>
      </c>
    </row>
    <row r="591" spans="1:26" s="70" customFormat="1" ht="11.5" x14ac:dyDescent="0.25">
      <c r="A591" s="121" t="s">
        <v>66</v>
      </c>
      <c r="B591" s="121" t="s">
        <v>14</v>
      </c>
      <c r="C591" s="121" t="s">
        <v>900</v>
      </c>
      <c r="D591" s="121" t="s">
        <v>879</v>
      </c>
      <c r="E591" s="123">
        <f t="shared" si="540"/>
        <v>0</v>
      </c>
      <c r="F591" s="123">
        <f t="shared" si="541"/>
        <v>0</v>
      </c>
      <c r="G591" s="123">
        <f t="shared" si="541"/>
        <v>0.7</v>
      </c>
      <c r="H591" s="123">
        <f t="shared" si="542"/>
        <v>0.7</v>
      </c>
      <c r="I591" s="124">
        <v>4.7E-2</v>
      </c>
      <c r="J591" s="125">
        <f t="shared" si="543"/>
        <v>46262</v>
      </c>
      <c r="K591" s="125">
        <f t="shared" si="526"/>
        <v>46262</v>
      </c>
      <c r="L591" s="125">
        <v>46182</v>
      </c>
      <c r="M591" s="125">
        <f t="shared" si="527"/>
        <v>46304</v>
      </c>
      <c r="N591" s="125">
        <f t="shared" si="528"/>
        <v>46304</v>
      </c>
      <c r="O591" s="125">
        <v>46191</v>
      </c>
      <c r="P591" s="125">
        <f t="shared" si="529"/>
        <v>46346</v>
      </c>
      <c r="Q591" s="125">
        <f t="shared" si="530"/>
        <v>46346</v>
      </c>
      <c r="R591" s="125"/>
      <c r="S591" s="125">
        <f t="shared" si="532"/>
        <v>46360</v>
      </c>
      <c r="T591" s="125">
        <f t="shared" si="531"/>
        <v>46360</v>
      </c>
      <c r="U591" s="125"/>
      <c r="W591" s="174" t="str">
        <f t="shared" ca="1" si="522"/>
        <v>Completed</v>
      </c>
      <c r="X591" s="174" t="str">
        <f t="shared" ca="1" si="523"/>
        <v>Completed</v>
      </c>
      <c r="Y591" s="174" t="str">
        <f t="shared" ca="1" si="524"/>
        <v/>
      </c>
      <c r="Z591" s="175" t="str">
        <f t="shared" ca="1" si="525"/>
        <v/>
      </c>
    </row>
    <row r="592" spans="1:26" s="70" customFormat="1" ht="11.5" x14ac:dyDescent="0.25">
      <c r="A592" s="121" t="s">
        <v>66</v>
      </c>
      <c r="B592" s="121" t="s">
        <v>14</v>
      </c>
      <c r="C592" s="121" t="s">
        <v>901</v>
      </c>
      <c r="D592" s="121" t="s">
        <v>880</v>
      </c>
      <c r="E592" s="123">
        <f t="shared" si="540"/>
        <v>0</v>
      </c>
      <c r="F592" s="123">
        <f t="shared" si="541"/>
        <v>0</v>
      </c>
      <c r="G592" s="123">
        <f t="shared" si="541"/>
        <v>0.7</v>
      </c>
      <c r="H592" s="123">
        <f t="shared" si="542"/>
        <v>0.7</v>
      </c>
      <c r="I592" s="124">
        <v>4.7E-2</v>
      </c>
      <c r="J592" s="125">
        <f t="shared" si="543"/>
        <v>46262</v>
      </c>
      <c r="K592" s="125">
        <f t="shared" si="526"/>
        <v>46262</v>
      </c>
      <c r="L592" s="125">
        <v>46182</v>
      </c>
      <c r="M592" s="125">
        <f t="shared" si="527"/>
        <v>46304</v>
      </c>
      <c r="N592" s="125">
        <f t="shared" si="528"/>
        <v>46304</v>
      </c>
      <c r="O592" s="125">
        <v>46191</v>
      </c>
      <c r="P592" s="125">
        <f t="shared" si="529"/>
        <v>46346</v>
      </c>
      <c r="Q592" s="125">
        <f t="shared" si="530"/>
        <v>46346</v>
      </c>
      <c r="R592" s="125"/>
      <c r="S592" s="125">
        <f t="shared" si="532"/>
        <v>46360</v>
      </c>
      <c r="T592" s="125">
        <f t="shared" si="531"/>
        <v>46360</v>
      </c>
      <c r="U592" s="125"/>
      <c r="W592" s="174" t="str">
        <f t="shared" ca="1" si="522"/>
        <v>Completed</v>
      </c>
      <c r="X592" s="174" t="str">
        <f t="shared" ca="1" si="523"/>
        <v>Completed</v>
      </c>
      <c r="Y592" s="174" t="str">
        <f t="shared" ca="1" si="524"/>
        <v/>
      </c>
      <c r="Z592" s="175" t="str">
        <f t="shared" ca="1" si="525"/>
        <v/>
      </c>
    </row>
    <row r="593" spans="1:26" s="70" customFormat="1" ht="11.5" x14ac:dyDescent="0.25">
      <c r="A593" s="121" t="s">
        <v>66</v>
      </c>
      <c r="B593" s="121" t="s">
        <v>14</v>
      </c>
      <c r="C593" s="121" t="s">
        <v>902</v>
      </c>
      <c r="D593" s="121" t="s">
        <v>881</v>
      </c>
      <c r="E593" s="123">
        <f t="shared" si="540"/>
        <v>0</v>
      </c>
      <c r="F593" s="123">
        <f t="shared" si="541"/>
        <v>0</v>
      </c>
      <c r="G593" s="123">
        <f t="shared" si="541"/>
        <v>0.7</v>
      </c>
      <c r="H593" s="123">
        <f t="shared" si="542"/>
        <v>0.7</v>
      </c>
      <c r="I593" s="124">
        <v>4.7E-2</v>
      </c>
      <c r="J593" s="125">
        <f t="shared" si="543"/>
        <v>46262</v>
      </c>
      <c r="K593" s="125">
        <f t="shared" si="526"/>
        <v>46262</v>
      </c>
      <c r="L593" s="125">
        <v>46182</v>
      </c>
      <c r="M593" s="125">
        <f t="shared" si="527"/>
        <v>46304</v>
      </c>
      <c r="N593" s="125">
        <f t="shared" si="528"/>
        <v>46304</v>
      </c>
      <c r="O593" s="125">
        <v>46191</v>
      </c>
      <c r="P593" s="125">
        <f t="shared" si="529"/>
        <v>46346</v>
      </c>
      <c r="Q593" s="125">
        <f t="shared" si="530"/>
        <v>46346</v>
      </c>
      <c r="R593" s="125"/>
      <c r="S593" s="125">
        <f t="shared" si="532"/>
        <v>46360</v>
      </c>
      <c r="T593" s="125">
        <f t="shared" si="531"/>
        <v>46360</v>
      </c>
      <c r="U593" s="125"/>
      <c r="W593" s="174" t="str">
        <f t="shared" ca="1" si="522"/>
        <v>Completed</v>
      </c>
      <c r="X593" s="174" t="str">
        <f t="shared" ca="1" si="523"/>
        <v>Completed</v>
      </c>
      <c r="Y593" s="174" t="str">
        <f t="shared" ca="1" si="524"/>
        <v/>
      </c>
      <c r="Z593" s="175" t="str">
        <f t="shared" ca="1" si="525"/>
        <v/>
      </c>
    </row>
    <row r="594" spans="1:26" s="70" customFormat="1" ht="11.5" x14ac:dyDescent="0.25">
      <c r="A594" s="121" t="s">
        <v>66</v>
      </c>
      <c r="B594" s="121" t="s">
        <v>14</v>
      </c>
      <c r="C594" s="121" t="s">
        <v>903</v>
      </c>
      <c r="D594" s="121" t="s">
        <v>882</v>
      </c>
      <c r="E594" s="123">
        <f t="shared" si="540"/>
        <v>0</v>
      </c>
      <c r="F594" s="123">
        <f t="shared" si="541"/>
        <v>0</v>
      </c>
      <c r="G594" s="123">
        <f t="shared" si="541"/>
        <v>0.7</v>
      </c>
      <c r="H594" s="123">
        <f t="shared" si="542"/>
        <v>0.7</v>
      </c>
      <c r="I594" s="124">
        <v>4.7E-2</v>
      </c>
      <c r="J594" s="125">
        <f t="shared" si="543"/>
        <v>46262</v>
      </c>
      <c r="K594" s="125">
        <f t="shared" si="526"/>
        <v>46262</v>
      </c>
      <c r="L594" s="125">
        <v>46182</v>
      </c>
      <c r="M594" s="125">
        <f t="shared" si="527"/>
        <v>46304</v>
      </c>
      <c r="N594" s="125">
        <f t="shared" si="528"/>
        <v>46304</v>
      </c>
      <c r="O594" s="125">
        <v>46191</v>
      </c>
      <c r="P594" s="125">
        <f t="shared" si="529"/>
        <v>46346</v>
      </c>
      <c r="Q594" s="125">
        <f t="shared" si="530"/>
        <v>46346</v>
      </c>
      <c r="R594" s="125"/>
      <c r="S594" s="125">
        <f t="shared" si="532"/>
        <v>46360</v>
      </c>
      <c r="T594" s="125">
        <f t="shared" si="531"/>
        <v>46360</v>
      </c>
      <c r="U594" s="125"/>
      <c r="W594" s="174" t="str">
        <f t="shared" ca="1" si="522"/>
        <v>Completed</v>
      </c>
      <c r="X594" s="174" t="str">
        <f t="shared" ca="1" si="523"/>
        <v>Completed</v>
      </c>
      <c r="Y594" s="174" t="str">
        <f t="shared" ca="1" si="524"/>
        <v/>
      </c>
      <c r="Z594" s="175" t="str">
        <f t="shared" ca="1" si="525"/>
        <v/>
      </c>
    </row>
    <row r="595" spans="1:26" s="70" customFormat="1" ht="11.5" x14ac:dyDescent="0.25">
      <c r="A595" s="121" t="s">
        <v>66</v>
      </c>
      <c r="B595" s="121" t="s">
        <v>14</v>
      </c>
      <c r="C595" s="121" t="s">
        <v>904</v>
      </c>
      <c r="D595" s="121" t="s">
        <v>883</v>
      </c>
      <c r="E595" s="123">
        <f t="shared" si="540"/>
        <v>0</v>
      </c>
      <c r="F595" s="123">
        <f t="shared" si="541"/>
        <v>0</v>
      </c>
      <c r="G595" s="123">
        <f t="shared" si="541"/>
        <v>0.7</v>
      </c>
      <c r="H595" s="123">
        <f t="shared" si="542"/>
        <v>0.7</v>
      </c>
      <c r="I595" s="124">
        <v>4.7E-2</v>
      </c>
      <c r="J595" s="125">
        <f t="shared" si="543"/>
        <v>46262</v>
      </c>
      <c r="K595" s="125">
        <f t="shared" si="526"/>
        <v>46262</v>
      </c>
      <c r="L595" s="145">
        <v>46162</v>
      </c>
      <c r="M595" s="125">
        <f t="shared" si="527"/>
        <v>46304</v>
      </c>
      <c r="N595" s="125">
        <f t="shared" si="528"/>
        <v>46304</v>
      </c>
      <c r="O595" s="125">
        <v>46191</v>
      </c>
      <c r="P595" s="125">
        <f t="shared" si="529"/>
        <v>46346</v>
      </c>
      <c r="Q595" s="125">
        <f t="shared" si="530"/>
        <v>46346</v>
      </c>
      <c r="R595" s="125"/>
      <c r="S595" s="125">
        <f t="shared" si="532"/>
        <v>46360</v>
      </c>
      <c r="T595" s="125">
        <f t="shared" si="531"/>
        <v>46360</v>
      </c>
      <c r="U595" s="125"/>
      <c r="W595" s="174" t="str">
        <f t="shared" ref="W595:W658" ca="1" si="544">IF(OR(L595&lt;&gt;""),"Completed",
IF(K595="","",IF(K595&lt;TODAY(),"Overdue",
IF(AND(K595&gt;=TODAY()-WEEKDAY(TODAY(),2)+1,K595&lt;=TODAY()-WEEKDAY(TODAY(),2)+7),"Follow-This Week",
IF(AND(K595&gt;=TODAY()-WEEKDAY(TODAY(),2)+8,K595&lt;=TODAY()-WEEKDAY(TODAY(),2)+14),"Follow-Next Week","")))))</f>
        <v>Completed</v>
      </c>
      <c r="X595" s="174" t="str">
        <f t="shared" ref="X595:X658" ca="1" si="545">IF(OR(O595&lt;&gt;""),"Completed",IF(N595="","",
IF(N595&lt;TODAY(),"Overdue",
IF(AND(N595&gt;=TODAY()-WEEKDAY(TODAY(),2)+1,N595&lt;=TODAY()-WEEKDAY(TODAY(),2)+7),"Follow-This Week",
IF(AND(N595&gt;=TODAY()-WEEKDAY(TODAY(),2)+8,N595&lt;=TODAY()-WEEKDAY(TODAY(),2)+14),"Follow-Next Week","")))))</f>
        <v>Completed</v>
      </c>
      <c r="Y595" s="174" t="str">
        <f t="shared" ref="Y595:Y658" ca="1" si="546">IF(OR(R595&lt;&gt;""),"Completed",IF(Q595="","",
IF(Q595&lt;TODAY(),"Overdue",
IF(AND(Q595&gt;=TODAY()-WEEKDAY(TODAY(),2)+1,Q595&lt;=TODAY()-WEEKDAY(TODAY(),2)+7),"Follow-This Week",
IF(AND(Q595&gt;=TODAY()-WEEKDAY(TODAY(),2)+8,Q595&lt;=TODAY()-WEEKDAY(TODAY(),2)+14),"Follow-Next Week","")))))</f>
        <v/>
      </c>
      <c r="Z595" s="175" t="str">
        <f t="shared" ref="Z595:Z658" ca="1" si="547">IF(OR(U595&lt;&gt;""),"Completed",IF(T595="","",
IF(T595&lt;TODAY(),"Overdue",
IF(AND(T595&gt;=TODAY()-WEEKDAY(TODAY(),2)+1,T595&lt;=TODAY()-WEEKDAY(TODAY(),2)+7),"Follow-This Week",
IF(AND(T595&gt;=TODAY()-WEEKDAY(TODAY(),2)+8,T595&lt;=TODAY()-WEEKDAY(TODAY(),2)+14),"Follow-Next Week","")))))</f>
        <v/>
      </c>
    </row>
    <row r="596" spans="1:26" s="70" customFormat="1" ht="11.5" x14ac:dyDescent="0.25">
      <c r="A596" s="121" t="s">
        <v>66</v>
      </c>
      <c r="B596" s="121" t="s">
        <v>14</v>
      </c>
      <c r="C596" s="121" t="s">
        <v>905</v>
      </c>
      <c r="D596" s="121" t="s">
        <v>884</v>
      </c>
      <c r="E596" s="123">
        <f t="shared" si="540"/>
        <v>0</v>
      </c>
      <c r="F596" s="123">
        <f t="shared" si="541"/>
        <v>0</v>
      </c>
      <c r="G596" s="123">
        <f t="shared" si="541"/>
        <v>0.7</v>
      </c>
      <c r="H596" s="123">
        <f t="shared" si="542"/>
        <v>0.7</v>
      </c>
      <c r="I596" s="124">
        <v>4.7E-2</v>
      </c>
      <c r="J596" s="125">
        <f t="shared" si="543"/>
        <v>46262</v>
      </c>
      <c r="K596" s="125">
        <f t="shared" si="526"/>
        <v>46262</v>
      </c>
      <c r="L596" s="145">
        <v>46162</v>
      </c>
      <c r="M596" s="125">
        <f t="shared" si="527"/>
        <v>46304</v>
      </c>
      <c r="N596" s="125">
        <f t="shared" si="528"/>
        <v>46304</v>
      </c>
      <c r="O596" s="125">
        <v>46191</v>
      </c>
      <c r="P596" s="125">
        <f t="shared" si="529"/>
        <v>46346</v>
      </c>
      <c r="Q596" s="125">
        <f t="shared" si="530"/>
        <v>46346</v>
      </c>
      <c r="R596" s="125"/>
      <c r="S596" s="125">
        <f t="shared" si="532"/>
        <v>46360</v>
      </c>
      <c r="T596" s="125">
        <f t="shared" si="531"/>
        <v>46360</v>
      </c>
      <c r="U596" s="125"/>
      <c r="W596" s="174" t="str">
        <f t="shared" ca="1" si="544"/>
        <v>Completed</v>
      </c>
      <c r="X596" s="174" t="str">
        <f t="shared" ca="1" si="545"/>
        <v>Completed</v>
      </c>
      <c r="Y596" s="174" t="str">
        <f t="shared" ca="1" si="546"/>
        <v/>
      </c>
      <c r="Z596" s="175" t="str">
        <f t="shared" ca="1" si="547"/>
        <v/>
      </c>
    </row>
    <row r="597" spans="1:26" s="70" customFormat="1" ht="11.5" x14ac:dyDescent="0.25">
      <c r="A597" s="121" t="s">
        <v>66</v>
      </c>
      <c r="B597" s="121" t="s">
        <v>14</v>
      </c>
      <c r="C597" s="121" t="s">
        <v>906</v>
      </c>
      <c r="D597" s="121" t="s">
        <v>885</v>
      </c>
      <c r="E597" s="123">
        <f t="shared" si="540"/>
        <v>0</v>
      </c>
      <c r="F597" s="123">
        <f t="shared" si="541"/>
        <v>0</v>
      </c>
      <c r="G597" s="123">
        <f t="shared" si="541"/>
        <v>0.7</v>
      </c>
      <c r="H597" s="123">
        <f t="shared" si="542"/>
        <v>0.7</v>
      </c>
      <c r="I597" s="124">
        <v>4.7E-2</v>
      </c>
      <c r="J597" s="125">
        <f t="shared" si="543"/>
        <v>46262</v>
      </c>
      <c r="K597" s="125">
        <f t="shared" si="526"/>
        <v>46262</v>
      </c>
      <c r="L597" s="145">
        <v>46162</v>
      </c>
      <c r="M597" s="125">
        <f t="shared" si="527"/>
        <v>46304</v>
      </c>
      <c r="N597" s="125">
        <f t="shared" si="528"/>
        <v>46304</v>
      </c>
      <c r="O597" s="125">
        <v>46191</v>
      </c>
      <c r="P597" s="125">
        <f t="shared" si="529"/>
        <v>46346</v>
      </c>
      <c r="Q597" s="125">
        <f t="shared" si="530"/>
        <v>46346</v>
      </c>
      <c r="R597" s="125"/>
      <c r="S597" s="125">
        <f t="shared" si="532"/>
        <v>46360</v>
      </c>
      <c r="T597" s="125">
        <f t="shared" si="531"/>
        <v>46360</v>
      </c>
      <c r="U597" s="125"/>
      <c r="W597" s="174" t="str">
        <f t="shared" ca="1" si="544"/>
        <v>Completed</v>
      </c>
      <c r="X597" s="174" t="str">
        <f t="shared" ca="1" si="545"/>
        <v>Completed</v>
      </c>
      <c r="Y597" s="174" t="str">
        <f t="shared" ca="1" si="546"/>
        <v/>
      </c>
      <c r="Z597" s="175" t="str">
        <f t="shared" ca="1" si="547"/>
        <v/>
      </c>
    </row>
    <row r="598" spans="1:26" s="70" customFormat="1" ht="11.5" x14ac:dyDescent="0.25">
      <c r="A598" s="121" t="s">
        <v>66</v>
      </c>
      <c r="B598" s="121" t="s">
        <v>14</v>
      </c>
      <c r="C598" s="121" t="s">
        <v>907</v>
      </c>
      <c r="D598" s="121" t="s">
        <v>886</v>
      </c>
      <c r="E598" s="123">
        <f t="shared" si="540"/>
        <v>0</v>
      </c>
      <c r="F598" s="123">
        <f t="shared" si="541"/>
        <v>0</v>
      </c>
      <c r="G598" s="123">
        <f t="shared" si="541"/>
        <v>0.7</v>
      </c>
      <c r="H598" s="123">
        <f t="shared" si="542"/>
        <v>0.7</v>
      </c>
      <c r="I598" s="124">
        <v>4.7E-2</v>
      </c>
      <c r="J598" s="125">
        <f t="shared" si="543"/>
        <v>46262</v>
      </c>
      <c r="K598" s="125">
        <f t="shared" si="526"/>
        <v>46262</v>
      </c>
      <c r="L598" s="145">
        <v>46162</v>
      </c>
      <c r="M598" s="125">
        <f t="shared" si="527"/>
        <v>46304</v>
      </c>
      <c r="N598" s="125">
        <f t="shared" si="528"/>
        <v>46304</v>
      </c>
      <c r="O598" s="125">
        <v>46191</v>
      </c>
      <c r="P598" s="125">
        <f t="shared" si="529"/>
        <v>46346</v>
      </c>
      <c r="Q598" s="125">
        <f t="shared" si="530"/>
        <v>46346</v>
      </c>
      <c r="R598" s="125"/>
      <c r="S598" s="125">
        <f t="shared" si="532"/>
        <v>46360</v>
      </c>
      <c r="T598" s="125">
        <f t="shared" si="531"/>
        <v>46360</v>
      </c>
      <c r="U598" s="125"/>
      <c r="W598" s="174" t="str">
        <f t="shared" ca="1" si="544"/>
        <v>Completed</v>
      </c>
      <c r="X598" s="174" t="str">
        <f t="shared" ca="1" si="545"/>
        <v>Completed</v>
      </c>
      <c r="Y598" s="174" t="str">
        <f t="shared" ca="1" si="546"/>
        <v/>
      </c>
      <c r="Z598" s="175" t="str">
        <f t="shared" ca="1" si="547"/>
        <v/>
      </c>
    </row>
    <row r="599" spans="1:26" s="70" customFormat="1" ht="11.5" x14ac:dyDescent="0.25">
      <c r="A599" s="121" t="s">
        <v>66</v>
      </c>
      <c r="B599" s="121" t="s">
        <v>14</v>
      </c>
      <c r="C599" s="121" t="s">
        <v>908</v>
      </c>
      <c r="D599" s="121" t="s">
        <v>887</v>
      </c>
      <c r="E599" s="123">
        <f t="shared" si="540"/>
        <v>0</v>
      </c>
      <c r="F599" s="123">
        <f t="shared" si="541"/>
        <v>0</v>
      </c>
      <c r="G599" s="123">
        <f t="shared" si="541"/>
        <v>0.7</v>
      </c>
      <c r="H599" s="123">
        <f t="shared" si="542"/>
        <v>0.7</v>
      </c>
      <c r="I599" s="124">
        <v>4.7E-2</v>
      </c>
      <c r="J599" s="125">
        <f t="shared" si="543"/>
        <v>46262</v>
      </c>
      <c r="K599" s="125">
        <f t="shared" si="526"/>
        <v>46262</v>
      </c>
      <c r="L599" s="145">
        <v>46162</v>
      </c>
      <c r="M599" s="125">
        <f t="shared" si="527"/>
        <v>46304</v>
      </c>
      <c r="N599" s="125">
        <f t="shared" si="528"/>
        <v>46304</v>
      </c>
      <c r="O599" s="125">
        <v>46191</v>
      </c>
      <c r="P599" s="125">
        <f t="shared" si="529"/>
        <v>46346</v>
      </c>
      <c r="Q599" s="125">
        <f t="shared" si="530"/>
        <v>46346</v>
      </c>
      <c r="R599" s="125"/>
      <c r="S599" s="125">
        <f t="shared" si="532"/>
        <v>46360</v>
      </c>
      <c r="T599" s="125">
        <f t="shared" si="531"/>
        <v>46360</v>
      </c>
      <c r="U599" s="125"/>
      <c r="W599" s="174" t="str">
        <f t="shared" ca="1" si="544"/>
        <v>Completed</v>
      </c>
      <c r="X599" s="174" t="str">
        <f t="shared" ca="1" si="545"/>
        <v>Completed</v>
      </c>
      <c r="Y599" s="174" t="str">
        <f t="shared" ca="1" si="546"/>
        <v/>
      </c>
      <c r="Z599" s="175" t="str">
        <f t="shared" ca="1" si="547"/>
        <v/>
      </c>
    </row>
    <row r="600" spans="1:26" s="70" customFormat="1" ht="11.5" x14ac:dyDescent="0.25">
      <c r="A600" s="121" t="s">
        <v>66</v>
      </c>
      <c r="B600" s="121" t="s">
        <v>14</v>
      </c>
      <c r="C600" s="121" t="s">
        <v>909</v>
      </c>
      <c r="D600" s="121" t="s">
        <v>888</v>
      </c>
      <c r="E600" s="123">
        <f t="shared" si="540"/>
        <v>0</v>
      </c>
      <c r="F600" s="123">
        <f t="shared" si="541"/>
        <v>0</v>
      </c>
      <c r="G600" s="123">
        <f t="shared" si="541"/>
        <v>0.7</v>
      </c>
      <c r="H600" s="123">
        <f t="shared" si="542"/>
        <v>0.7</v>
      </c>
      <c r="I600" s="124">
        <v>4.7E-2</v>
      </c>
      <c r="J600" s="125">
        <f t="shared" si="543"/>
        <v>46262</v>
      </c>
      <c r="K600" s="125">
        <f t="shared" si="526"/>
        <v>46262</v>
      </c>
      <c r="L600" s="145">
        <v>46162</v>
      </c>
      <c r="M600" s="125">
        <f t="shared" si="527"/>
        <v>46304</v>
      </c>
      <c r="N600" s="125">
        <f t="shared" si="528"/>
        <v>46304</v>
      </c>
      <c r="O600" s="125">
        <v>46191</v>
      </c>
      <c r="P600" s="125">
        <f t="shared" si="529"/>
        <v>46346</v>
      </c>
      <c r="Q600" s="125">
        <f t="shared" si="530"/>
        <v>46346</v>
      </c>
      <c r="R600" s="125"/>
      <c r="S600" s="125">
        <f t="shared" si="532"/>
        <v>46360</v>
      </c>
      <c r="T600" s="125">
        <f t="shared" si="531"/>
        <v>46360</v>
      </c>
      <c r="U600" s="125"/>
      <c r="W600" s="174" t="str">
        <f t="shared" ca="1" si="544"/>
        <v>Completed</v>
      </c>
      <c r="X600" s="174" t="str">
        <f t="shared" ca="1" si="545"/>
        <v>Completed</v>
      </c>
      <c r="Y600" s="174" t="str">
        <f t="shared" ca="1" si="546"/>
        <v/>
      </c>
      <c r="Z600" s="175" t="str">
        <f t="shared" ca="1" si="547"/>
        <v/>
      </c>
    </row>
    <row r="601" spans="1:26" s="70" customFormat="1" ht="11.5" x14ac:dyDescent="0.25">
      <c r="A601" s="122" t="s">
        <v>66</v>
      </c>
      <c r="B601" s="122" t="s">
        <v>14</v>
      </c>
      <c r="C601" s="122" t="s">
        <v>910</v>
      </c>
      <c r="D601" s="122" t="s">
        <v>889</v>
      </c>
      <c r="E601" s="128">
        <f t="shared" si="540"/>
        <v>0</v>
      </c>
      <c r="F601" s="123">
        <f t="shared" si="541"/>
        <v>0</v>
      </c>
      <c r="G601" s="123">
        <f t="shared" si="541"/>
        <v>0.7</v>
      </c>
      <c r="H601" s="123">
        <f t="shared" si="542"/>
        <v>0.7</v>
      </c>
      <c r="I601" s="124">
        <v>4.7E-2</v>
      </c>
      <c r="J601" s="125">
        <f t="shared" si="543"/>
        <v>46262</v>
      </c>
      <c r="K601" s="125">
        <f t="shared" ref="K601:K662" si="548">J601</f>
        <v>46262</v>
      </c>
      <c r="L601" s="145">
        <v>46162</v>
      </c>
      <c r="M601" s="125">
        <f t="shared" ref="M601:M662" si="549">J601+42</f>
        <v>46304</v>
      </c>
      <c r="N601" s="125">
        <f t="shared" ref="N601:N662" si="550">M601</f>
        <v>46304</v>
      </c>
      <c r="O601" s="125">
        <v>46191</v>
      </c>
      <c r="P601" s="125">
        <f t="shared" ref="P601:P662" si="551">M601+42</f>
        <v>46346</v>
      </c>
      <c r="Q601" s="125">
        <f t="shared" ref="Q601:Q662" si="552">P601</f>
        <v>46346</v>
      </c>
      <c r="R601" s="125"/>
      <c r="S601" s="125">
        <f t="shared" si="532"/>
        <v>46360</v>
      </c>
      <c r="T601" s="125">
        <f t="shared" ref="T601:T662" si="553">S601</f>
        <v>46360</v>
      </c>
      <c r="U601" s="125"/>
      <c r="W601" s="174" t="str">
        <f t="shared" ca="1" si="544"/>
        <v>Completed</v>
      </c>
      <c r="X601" s="174" t="str">
        <f t="shared" ca="1" si="545"/>
        <v>Completed</v>
      </c>
      <c r="Y601" s="174" t="str">
        <f t="shared" ca="1" si="546"/>
        <v/>
      </c>
      <c r="Z601" s="175" t="str">
        <f t="shared" ca="1" si="547"/>
        <v/>
      </c>
    </row>
    <row r="602" spans="1:26" s="70" customFormat="1" ht="11.5" x14ac:dyDescent="0.25">
      <c r="A602" s="122" t="s">
        <v>66</v>
      </c>
      <c r="B602" s="122" t="s">
        <v>14</v>
      </c>
      <c r="C602" s="122" t="s">
        <v>911</v>
      </c>
      <c r="D602" s="122" t="s">
        <v>890</v>
      </c>
      <c r="E602" s="128">
        <f t="shared" si="540"/>
        <v>0</v>
      </c>
      <c r="F602" s="123">
        <f t="shared" si="541"/>
        <v>0</v>
      </c>
      <c r="G602" s="123">
        <f t="shared" si="541"/>
        <v>0.7</v>
      </c>
      <c r="H602" s="123">
        <f t="shared" si="542"/>
        <v>0.7</v>
      </c>
      <c r="I602" s="124">
        <v>4.7E-2</v>
      </c>
      <c r="J602" s="125">
        <f t="shared" si="543"/>
        <v>46262</v>
      </c>
      <c r="K602" s="125">
        <f t="shared" si="548"/>
        <v>46262</v>
      </c>
      <c r="L602" s="145">
        <v>46162</v>
      </c>
      <c r="M602" s="125">
        <f t="shared" si="549"/>
        <v>46304</v>
      </c>
      <c r="N602" s="125">
        <f t="shared" si="550"/>
        <v>46304</v>
      </c>
      <c r="O602" s="125">
        <v>46191</v>
      </c>
      <c r="P602" s="125">
        <f t="shared" si="551"/>
        <v>46346</v>
      </c>
      <c r="Q602" s="125">
        <f t="shared" si="552"/>
        <v>46346</v>
      </c>
      <c r="R602" s="125"/>
      <c r="S602" s="125">
        <f t="shared" ref="S602:S662" si="554">P602+14</f>
        <v>46360</v>
      </c>
      <c r="T602" s="125">
        <f t="shared" si="553"/>
        <v>46360</v>
      </c>
      <c r="U602" s="125"/>
      <c r="W602" s="174" t="str">
        <f t="shared" ca="1" si="544"/>
        <v>Completed</v>
      </c>
      <c r="X602" s="174" t="str">
        <f t="shared" ca="1" si="545"/>
        <v>Completed</v>
      </c>
      <c r="Y602" s="174" t="str">
        <f t="shared" ca="1" si="546"/>
        <v/>
      </c>
      <c r="Z602" s="175" t="str">
        <f t="shared" ca="1" si="547"/>
        <v/>
      </c>
    </row>
    <row r="603" spans="1:26" s="70" customFormat="1" ht="11.5" x14ac:dyDescent="0.25">
      <c r="A603" s="122" t="s">
        <v>66</v>
      </c>
      <c r="B603" s="122" t="s">
        <v>14</v>
      </c>
      <c r="C603" s="122" t="s">
        <v>758</v>
      </c>
      <c r="D603" s="122" t="s">
        <v>759</v>
      </c>
      <c r="E603" s="128">
        <f t="shared" si="540"/>
        <v>0.5</v>
      </c>
      <c r="F603" s="123">
        <f t="shared" si="541"/>
        <v>0.5</v>
      </c>
      <c r="G603" s="123">
        <f t="shared" si="541"/>
        <v>0.7</v>
      </c>
      <c r="H603" s="123">
        <f t="shared" si="542"/>
        <v>0.19999999999999996</v>
      </c>
      <c r="I603" s="124">
        <f>0.047*2</f>
        <v>9.4E-2</v>
      </c>
      <c r="J603" s="129">
        <f t="shared" si="543"/>
        <v>46248</v>
      </c>
      <c r="K603" s="129">
        <f t="shared" si="548"/>
        <v>46248</v>
      </c>
      <c r="L603" s="127">
        <v>46184</v>
      </c>
      <c r="M603" s="125">
        <f t="shared" si="549"/>
        <v>46290</v>
      </c>
      <c r="N603" s="129">
        <f t="shared" si="550"/>
        <v>46290</v>
      </c>
      <c r="O603" s="125">
        <v>46192</v>
      </c>
      <c r="P603" s="125">
        <f t="shared" si="551"/>
        <v>46332</v>
      </c>
      <c r="Q603" s="129">
        <f t="shared" si="552"/>
        <v>46332</v>
      </c>
      <c r="R603" s="125"/>
      <c r="S603" s="125">
        <f t="shared" si="554"/>
        <v>46346</v>
      </c>
      <c r="T603" s="129">
        <f t="shared" si="553"/>
        <v>46346</v>
      </c>
      <c r="U603" s="125"/>
      <c r="W603" s="174" t="str">
        <f t="shared" ca="1" si="544"/>
        <v>Completed</v>
      </c>
      <c r="X603" s="174" t="str">
        <f t="shared" ca="1" si="545"/>
        <v>Completed</v>
      </c>
      <c r="Y603" s="174" t="str">
        <f t="shared" ca="1" si="546"/>
        <v/>
      </c>
      <c r="Z603" s="175" t="str">
        <f t="shared" ca="1" si="547"/>
        <v/>
      </c>
    </row>
    <row r="604" spans="1:26" s="70" customFormat="1" ht="11.5" x14ac:dyDescent="0.25">
      <c r="A604" s="122" t="s">
        <v>66</v>
      </c>
      <c r="B604" s="122" t="s">
        <v>14</v>
      </c>
      <c r="C604" s="122" t="s">
        <v>760</v>
      </c>
      <c r="D604" s="122" t="s">
        <v>761</v>
      </c>
      <c r="E604" s="128">
        <f t="shared" si="540"/>
        <v>0.5</v>
      </c>
      <c r="F604" s="123">
        <f t="shared" si="541"/>
        <v>0.5</v>
      </c>
      <c r="G604" s="123">
        <f t="shared" si="541"/>
        <v>0</v>
      </c>
      <c r="H604" s="123">
        <f t="shared" si="542"/>
        <v>-0.5</v>
      </c>
      <c r="I604" s="124"/>
      <c r="J604" s="129">
        <f t="shared" si="543"/>
        <v>46248</v>
      </c>
      <c r="K604" s="129">
        <f t="shared" si="548"/>
        <v>46248</v>
      </c>
      <c r="L604" s="125"/>
      <c r="M604" s="125">
        <f t="shared" si="549"/>
        <v>46290</v>
      </c>
      <c r="N604" s="129">
        <f t="shared" si="550"/>
        <v>46290</v>
      </c>
      <c r="O604" s="125"/>
      <c r="P604" s="125">
        <f t="shared" si="551"/>
        <v>46332</v>
      </c>
      <c r="Q604" s="129">
        <f t="shared" si="552"/>
        <v>46332</v>
      </c>
      <c r="R604" s="125"/>
      <c r="S604" s="125">
        <f t="shared" si="554"/>
        <v>46346</v>
      </c>
      <c r="T604" s="129">
        <f t="shared" si="553"/>
        <v>46346</v>
      </c>
      <c r="U604" s="125"/>
      <c r="W604" s="174" t="str">
        <f t="shared" ca="1" si="544"/>
        <v>Overdue</v>
      </c>
      <c r="X604" s="174" t="str">
        <f t="shared" ca="1" si="545"/>
        <v/>
      </c>
      <c r="Y604" s="174" t="str">
        <f t="shared" ca="1" si="546"/>
        <v/>
      </c>
      <c r="Z604" s="175" t="str">
        <f t="shared" ca="1" si="547"/>
        <v/>
      </c>
    </row>
    <row r="605" spans="1:26" s="70" customFormat="1" ht="11.5" x14ac:dyDescent="0.25">
      <c r="A605" s="122" t="s">
        <v>66</v>
      </c>
      <c r="B605" s="122" t="s">
        <v>14</v>
      </c>
      <c r="C605" s="122" t="s">
        <v>762</v>
      </c>
      <c r="D605" s="122" t="s">
        <v>763</v>
      </c>
      <c r="E605" s="128">
        <f t="shared" si="540"/>
        <v>0.5</v>
      </c>
      <c r="F605" s="123">
        <f t="shared" si="541"/>
        <v>0.5</v>
      </c>
      <c r="G605" s="123">
        <f t="shared" si="541"/>
        <v>0</v>
      </c>
      <c r="H605" s="123">
        <f t="shared" si="542"/>
        <v>-0.5</v>
      </c>
      <c r="I605" s="124">
        <v>4.7E-2</v>
      </c>
      <c r="J605" s="129">
        <f t="shared" si="543"/>
        <v>46248</v>
      </c>
      <c r="K605" s="129">
        <f t="shared" si="548"/>
        <v>46248</v>
      </c>
      <c r="L605" s="125"/>
      <c r="M605" s="125">
        <f t="shared" si="549"/>
        <v>46290</v>
      </c>
      <c r="N605" s="129">
        <f t="shared" si="550"/>
        <v>46290</v>
      </c>
      <c r="O605" s="125"/>
      <c r="P605" s="125">
        <f t="shared" si="551"/>
        <v>46332</v>
      </c>
      <c r="Q605" s="129">
        <f t="shared" si="552"/>
        <v>46332</v>
      </c>
      <c r="R605" s="125"/>
      <c r="S605" s="125">
        <f t="shared" si="554"/>
        <v>46346</v>
      </c>
      <c r="T605" s="129">
        <f t="shared" si="553"/>
        <v>46346</v>
      </c>
      <c r="U605" s="125"/>
      <c r="W605" s="174" t="str">
        <f t="shared" ca="1" si="544"/>
        <v>Overdue</v>
      </c>
      <c r="X605" s="174" t="str">
        <f t="shared" ca="1" si="545"/>
        <v/>
      </c>
      <c r="Y605" s="174" t="str">
        <f t="shared" ca="1" si="546"/>
        <v/>
      </c>
      <c r="Z605" s="175" t="str">
        <f t="shared" ca="1" si="547"/>
        <v/>
      </c>
    </row>
    <row r="606" spans="1:26" s="70" customFormat="1" ht="11.5" x14ac:dyDescent="0.25">
      <c r="A606" s="122" t="s">
        <v>66</v>
      </c>
      <c r="B606" s="122" t="s">
        <v>14</v>
      </c>
      <c r="C606" s="122" t="s">
        <v>764</v>
      </c>
      <c r="D606" s="122" t="s">
        <v>765</v>
      </c>
      <c r="E606" s="128">
        <f t="shared" si="540"/>
        <v>0.5</v>
      </c>
      <c r="F606" s="123">
        <f t="shared" si="541"/>
        <v>0.5</v>
      </c>
      <c r="G606" s="123">
        <f t="shared" si="541"/>
        <v>0</v>
      </c>
      <c r="H606" s="123">
        <f t="shared" si="542"/>
        <v>-0.5</v>
      </c>
      <c r="I606" s="124">
        <v>4.7E-2</v>
      </c>
      <c r="J606" s="129">
        <f t="shared" si="543"/>
        <v>46248</v>
      </c>
      <c r="K606" s="129">
        <f t="shared" si="548"/>
        <v>46248</v>
      </c>
      <c r="L606" s="125"/>
      <c r="M606" s="125">
        <f t="shared" si="549"/>
        <v>46290</v>
      </c>
      <c r="N606" s="129">
        <f t="shared" si="550"/>
        <v>46290</v>
      </c>
      <c r="O606" s="125"/>
      <c r="P606" s="125">
        <f t="shared" si="551"/>
        <v>46332</v>
      </c>
      <c r="Q606" s="129">
        <f t="shared" si="552"/>
        <v>46332</v>
      </c>
      <c r="R606" s="125"/>
      <c r="S606" s="125">
        <f t="shared" si="554"/>
        <v>46346</v>
      </c>
      <c r="T606" s="129">
        <f t="shared" si="553"/>
        <v>46346</v>
      </c>
      <c r="U606" s="125"/>
      <c r="W606" s="174" t="str">
        <f t="shared" ca="1" si="544"/>
        <v>Overdue</v>
      </c>
      <c r="X606" s="174" t="str">
        <f t="shared" ca="1" si="545"/>
        <v/>
      </c>
      <c r="Y606" s="174" t="str">
        <f t="shared" ca="1" si="546"/>
        <v/>
      </c>
      <c r="Z606" s="175" t="str">
        <f t="shared" ca="1" si="547"/>
        <v/>
      </c>
    </row>
    <row r="607" spans="1:26" s="70" customFormat="1" ht="11.5" x14ac:dyDescent="0.25">
      <c r="A607" s="122" t="s">
        <v>66</v>
      </c>
      <c r="B607" s="122" t="s">
        <v>14</v>
      </c>
      <c r="C607" s="122" t="s">
        <v>766</v>
      </c>
      <c r="D607" s="122" t="s">
        <v>767</v>
      </c>
      <c r="E607" s="128">
        <f t="shared" si="540"/>
        <v>0</v>
      </c>
      <c r="F607" s="123">
        <f t="shared" si="541"/>
        <v>0</v>
      </c>
      <c r="G607" s="123">
        <f t="shared" si="541"/>
        <v>0.5</v>
      </c>
      <c r="H607" s="123">
        <f t="shared" si="542"/>
        <v>0.5</v>
      </c>
      <c r="I607" s="124">
        <v>4.7E-2</v>
      </c>
      <c r="J607" s="129">
        <f t="shared" si="543"/>
        <v>46269</v>
      </c>
      <c r="K607" s="129">
        <f t="shared" si="548"/>
        <v>46269</v>
      </c>
      <c r="L607" s="125">
        <v>46142</v>
      </c>
      <c r="M607" s="125">
        <f t="shared" si="549"/>
        <v>46311</v>
      </c>
      <c r="N607" s="129">
        <f t="shared" si="550"/>
        <v>46311</v>
      </c>
      <c r="O607" s="125"/>
      <c r="P607" s="125">
        <f t="shared" si="551"/>
        <v>46353</v>
      </c>
      <c r="Q607" s="129">
        <f t="shared" si="552"/>
        <v>46353</v>
      </c>
      <c r="R607" s="125"/>
      <c r="S607" s="125">
        <f t="shared" si="554"/>
        <v>46367</v>
      </c>
      <c r="T607" s="129">
        <f t="shared" si="553"/>
        <v>46367</v>
      </c>
      <c r="U607" s="125"/>
      <c r="W607" s="174" t="str">
        <f t="shared" ca="1" si="544"/>
        <v>Completed</v>
      </c>
      <c r="X607" s="174" t="str">
        <f t="shared" ca="1" si="545"/>
        <v/>
      </c>
      <c r="Y607" s="174" t="str">
        <f t="shared" ca="1" si="546"/>
        <v/>
      </c>
      <c r="Z607" s="175" t="str">
        <f t="shared" ca="1" si="547"/>
        <v/>
      </c>
    </row>
    <row r="608" spans="1:26" s="70" customFormat="1" ht="11.5" x14ac:dyDescent="0.25">
      <c r="A608" s="122" t="s">
        <v>66</v>
      </c>
      <c r="B608" s="122" t="s">
        <v>14</v>
      </c>
      <c r="C608" s="122" t="s">
        <v>1140</v>
      </c>
      <c r="D608" s="122" t="s">
        <v>768</v>
      </c>
      <c r="E608" s="128">
        <f t="shared" si="540"/>
        <v>0</v>
      </c>
      <c r="F608" s="123">
        <f t="shared" si="541"/>
        <v>0</v>
      </c>
      <c r="G608" s="123">
        <f t="shared" si="541"/>
        <v>0.5</v>
      </c>
      <c r="H608" s="123">
        <f t="shared" si="542"/>
        <v>0.5</v>
      </c>
      <c r="I608" s="124">
        <v>4.7E-2</v>
      </c>
      <c r="J608" s="129">
        <f t="shared" si="543"/>
        <v>46269</v>
      </c>
      <c r="K608" s="129">
        <f t="shared" si="548"/>
        <v>46269</v>
      </c>
      <c r="L608" s="125">
        <v>46142</v>
      </c>
      <c r="M608" s="125">
        <f t="shared" si="549"/>
        <v>46311</v>
      </c>
      <c r="N608" s="129">
        <f t="shared" si="550"/>
        <v>46311</v>
      </c>
      <c r="O608" s="125"/>
      <c r="P608" s="125">
        <f t="shared" si="551"/>
        <v>46353</v>
      </c>
      <c r="Q608" s="129">
        <f t="shared" si="552"/>
        <v>46353</v>
      </c>
      <c r="R608" s="125"/>
      <c r="S608" s="125">
        <f t="shared" si="554"/>
        <v>46367</v>
      </c>
      <c r="T608" s="129">
        <f t="shared" si="553"/>
        <v>46367</v>
      </c>
      <c r="U608" s="125"/>
      <c r="W608" s="174" t="str">
        <f t="shared" ca="1" si="544"/>
        <v>Completed</v>
      </c>
      <c r="X608" s="174" t="str">
        <f t="shared" ca="1" si="545"/>
        <v/>
      </c>
      <c r="Y608" s="174" t="str">
        <f t="shared" ca="1" si="546"/>
        <v/>
      </c>
      <c r="Z608" s="175" t="str">
        <f t="shared" ca="1" si="547"/>
        <v/>
      </c>
    </row>
    <row r="609" spans="1:26" s="70" customFormat="1" ht="11.5" x14ac:dyDescent="0.25">
      <c r="A609" s="122" t="s">
        <v>66</v>
      </c>
      <c r="B609" s="122" t="s">
        <v>14</v>
      </c>
      <c r="C609" s="122" t="s">
        <v>1141</v>
      </c>
      <c r="D609" s="122" t="s">
        <v>769</v>
      </c>
      <c r="E609" s="128">
        <f t="shared" ref="E609" si="555">(COUNTIFS(J609,"&lt;="&amp;$C$1)*50%)+(COUNTIFS(M609,"&lt;="&amp;$C$1)*20%)+(COUNTIFS(P609,"&lt;="&amp;$C$1)*10%)+(COUNTIFS(S609,"&lt;="&amp;$C$1)*20%)</f>
        <v>0</v>
      </c>
      <c r="F609" s="123">
        <f t="shared" ref="F609" si="556">(COUNTIFS(K609,"&lt;="&amp;$C$1)*50%)+(COUNTIFS(N609,"&lt;="&amp;$C$1)*20%)+(COUNTIFS(Q609,"&lt;="&amp;$C$1)*10%)+(COUNTIFS(T609,"&lt;="&amp;$C$1)*20%)</f>
        <v>0</v>
      </c>
      <c r="G609" s="123">
        <f t="shared" ref="G609" si="557">(COUNTIFS(L609,"&lt;="&amp;$C$1)*50%)+(COUNTIFS(O609,"&lt;="&amp;$C$1)*20%)+(COUNTIFS(R609,"&lt;="&amp;$C$1)*10%)+(COUNTIFS(U609,"&lt;="&amp;$C$1)*20%)</f>
        <v>0.5</v>
      </c>
      <c r="H609" s="123">
        <f t="shared" ref="H609" si="558">G609-E609</f>
        <v>0.5</v>
      </c>
      <c r="I609" s="124">
        <v>4.7E-2</v>
      </c>
      <c r="J609" s="129">
        <f t="shared" si="543"/>
        <v>46269</v>
      </c>
      <c r="K609" s="129">
        <f t="shared" si="548"/>
        <v>46269</v>
      </c>
      <c r="L609" s="125">
        <v>46142</v>
      </c>
      <c r="M609" s="125">
        <f t="shared" si="549"/>
        <v>46311</v>
      </c>
      <c r="N609" s="129">
        <f t="shared" si="550"/>
        <v>46311</v>
      </c>
      <c r="O609" s="125"/>
      <c r="P609" s="125">
        <f t="shared" si="551"/>
        <v>46353</v>
      </c>
      <c r="Q609" s="129">
        <f t="shared" si="552"/>
        <v>46353</v>
      </c>
      <c r="R609" s="125"/>
      <c r="S609" s="125">
        <f t="shared" si="554"/>
        <v>46367</v>
      </c>
      <c r="T609" s="129">
        <f t="shared" si="553"/>
        <v>46367</v>
      </c>
      <c r="U609" s="125"/>
      <c r="W609" s="174" t="str">
        <f t="shared" ca="1" si="544"/>
        <v>Completed</v>
      </c>
      <c r="X609" s="174" t="str">
        <f t="shared" ca="1" si="545"/>
        <v/>
      </c>
      <c r="Y609" s="174" t="str">
        <f t="shared" ca="1" si="546"/>
        <v/>
      </c>
      <c r="Z609" s="175" t="str">
        <f t="shared" ca="1" si="547"/>
        <v/>
      </c>
    </row>
    <row r="610" spans="1:26" s="70" customFormat="1" ht="11.5" x14ac:dyDescent="0.25">
      <c r="A610" s="122" t="s">
        <v>66</v>
      </c>
      <c r="B610" s="122" t="s">
        <v>14</v>
      </c>
      <c r="C610" s="122" t="s">
        <v>1142</v>
      </c>
      <c r="D610" s="122" t="s">
        <v>770</v>
      </c>
      <c r="E610" s="128">
        <f t="shared" si="540"/>
        <v>0</v>
      </c>
      <c r="F610" s="123">
        <f t="shared" si="541"/>
        <v>0</v>
      </c>
      <c r="G610" s="123">
        <f t="shared" si="541"/>
        <v>0.5</v>
      </c>
      <c r="H610" s="123">
        <f t="shared" si="542"/>
        <v>0.5</v>
      </c>
      <c r="I610" s="124">
        <v>4.7E-2</v>
      </c>
      <c r="J610" s="129">
        <f t="shared" si="543"/>
        <v>46269</v>
      </c>
      <c r="K610" s="129">
        <f t="shared" si="548"/>
        <v>46269</v>
      </c>
      <c r="L610" s="125">
        <v>46142</v>
      </c>
      <c r="M610" s="125">
        <f t="shared" si="549"/>
        <v>46311</v>
      </c>
      <c r="N610" s="129">
        <f t="shared" si="550"/>
        <v>46311</v>
      </c>
      <c r="O610" s="125"/>
      <c r="P610" s="125">
        <f t="shared" si="551"/>
        <v>46353</v>
      </c>
      <c r="Q610" s="129">
        <f t="shared" si="552"/>
        <v>46353</v>
      </c>
      <c r="R610" s="125"/>
      <c r="S610" s="125">
        <f t="shared" si="554"/>
        <v>46367</v>
      </c>
      <c r="T610" s="129">
        <f t="shared" si="553"/>
        <v>46367</v>
      </c>
      <c r="U610" s="125"/>
      <c r="W610" s="174" t="str">
        <f t="shared" ca="1" si="544"/>
        <v>Completed</v>
      </c>
      <c r="X610" s="174" t="str">
        <f t="shared" ca="1" si="545"/>
        <v/>
      </c>
      <c r="Y610" s="174" t="str">
        <f t="shared" ca="1" si="546"/>
        <v/>
      </c>
      <c r="Z610" s="175" t="str">
        <f t="shared" ca="1" si="547"/>
        <v/>
      </c>
    </row>
    <row r="611" spans="1:26" s="70" customFormat="1" ht="11.5" x14ac:dyDescent="0.25">
      <c r="A611" s="122" t="s">
        <v>66</v>
      </c>
      <c r="B611" s="122" t="s">
        <v>14</v>
      </c>
      <c r="C611" s="122" t="s">
        <v>1143</v>
      </c>
      <c r="D611" s="122" t="s">
        <v>771</v>
      </c>
      <c r="E611" s="128">
        <f t="shared" si="540"/>
        <v>0</v>
      </c>
      <c r="F611" s="123">
        <f t="shared" si="541"/>
        <v>0</v>
      </c>
      <c r="G611" s="123">
        <f t="shared" si="541"/>
        <v>0.5</v>
      </c>
      <c r="H611" s="123">
        <f t="shared" si="542"/>
        <v>0.5</v>
      </c>
      <c r="I611" s="124">
        <v>4.7E-2</v>
      </c>
      <c r="J611" s="129">
        <f t="shared" si="543"/>
        <v>46269</v>
      </c>
      <c r="K611" s="129">
        <f t="shared" si="548"/>
        <v>46269</v>
      </c>
      <c r="L611" s="125">
        <v>46142</v>
      </c>
      <c r="M611" s="125">
        <f t="shared" si="549"/>
        <v>46311</v>
      </c>
      <c r="N611" s="129">
        <f t="shared" si="550"/>
        <v>46311</v>
      </c>
      <c r="O611" s="125"/>
      <c r="P611" s="125">
        <f t="shared" si="551"/>
        <v>46353</v>
      </c>
      <c r="Q611" s="129">
        <f t="shared" si="552"/>
        <v>46353</v>
      </c>
      <c r="R611" s="125"/>
      <c r="S611" s="125">
        <f t="shared" si="554"/>
        <v>46367</v>
      </c>
      <c r="T611" s="129">
        <f t="shared" si="553"/>
        <v>46367</v>
      </c>
      <c r="U611" s="125"/>
      <c r="W611" s="174" t="str">
        <f t="shared" ca="1" si="544"/>
        <v>Completed</v>
      </c>
      <c r="X611" s="174" t="str">
        <f t="shared" ca="1" si="545"/>
        <v/>
      </c>
      <c r="Y611" s="174" t="str">
        <f t="shared" ca="1" si="546"/>
        <v/>
      </c>
      <c r="Z611" s="175" t="str">
        <f t="shared" ca="1" si="547"/>
        <v/>
      </c>
    </row>
    <row r="612" spans="1:26" s="70" customFormat="1" ht="11.5" x14ac:dyDescent="0.25">
      <c r="A612" s="122" t="s">
        <v>66</v>
      </c>
      <c r="B612" s="122" t="s">
        <v>14</v>
      </c>
      <c r="C612" s="122" t="s">
        <v>1144</v>
      </c>
      <c r="D612" s="122" t="s">
        <v>772</v>
      </c>
      <c r="E612" s="128">
        <f t="shared" si="540"/>
        <v>0</v>
      </c>
      <c r="F612" s="123">
        <f t="shared" si="541"/>
        <v>0</v>
      </c>
      <c r="G612" s="123">
        <f t="shared" si="541"/>
        <v>0.5</v>
      </c>
      <c r="H612" s="123">
        <f t="shared" si="542"/>
        <v>0.5</v>
      </c>
      <c r="I612" s="124">
        <v>4.7E-2</v>
      </c>
      <c r="J612" s="129">
        <f t="shared" si="543"/>
        <v>46269</v>
      </c>
      <c r="K612" s="129">
        <f t="shared" si="548"/>
        <v>46269</v>
      </c>
      <c r="L612" s="125">
        <v>46142</v>
      </c>
      <c r="M612" s="125">
        <f t="shared" si="549"/>
        <v>46311</v>
      </c>
      <c r="N612" s="129">
        <f t="shared" si="550"/>
        <v>46311</v>
      </c>
      <c r="O612" s="125"/>
      <c r="P612" s="125">
        <f t="shared" si="551"/>
        <v>46353</v>
      </c>
      <c r="Q612" s="129">
        <f t="shared" si="552"/>
        <v>46353</v>
      </c>
      <c r="R612" s="125"/>
      <c r="S612" s="125">
        <f t="shared" si="554"/>
        <v>46367</v>
      </c>
      <c r="T612" s="129">
        <f t="shared" si="553"/>
        <v>46367</v>
      </c>
      <c r="U612" s="125"/>
      <c r="W612" s="174" t="str">
        <f t="shared" ca="1" si="544"/>
        <v>Completed</v>
      </c>
      <c r="X612" s="174" t="str">
        <f t="shared" ca="1" si="545"/>
        <v/>
      </c>
      <c r="Y612" s="174" t="str">
        <f t="shared" ca="1" si="546"/>
        <v/>
      </c>
      <c r="Z612" s="175" t="str">
        <f t="shared" ca="1" si="547"/>
        <v/>
      </c>
    </row>
    <row r="613" spans="1:26" s="70" customFormat="1" ht="11.5" x14ac:dyDescent="0.25">
      <c r="A613" s="122" t="s">
        <v>66</v>
      </c>
      <c r="B613" s="122" t="s">
        <v>14</v>
      </c>
      <c r="C613" s="122" t="s">
        <v>1145</v>
      </c>
      <c r="D613" s="122" t="s">
        <v>773</v>
      </c>
      <c r="E613" s="128">
        <f t="shared" si="540"/>
        <v>0</v>
      </c>
      <c r="F613" s="123">
        <f t="shared" si="541"/>
        <v>0</v>
      </c>
      <c r="G613" s="123">
        <f t="shared" si="541"/>
        <v>0.5</v>
      </c>
      <c r="H613" s="123">
        <f t="shared" si="542"/>
        <v>0.5</v>
      </c>
      <c r="I613" s="124">
        <v>4.7E-2</v>
      </c>
      <c r="J613" s="129">
        <f t="shared" si="543"/>
        <v>46269</v>
      </c>
      <c r="K613" s="129">
        <f t="shared" si="548"/>
        <v>46269</v>
      </c>
      <c r="L613" s="125">
        <v>46142</v>
      </c>
      <c r="M613" s="125">
        <f t="shared" si="549"/>
        <v>46311</v>
      </c>
      <c r="N613" s="129">
        <f t="shared" si="550"/>
        <v>46311</v>
      </c>
      <c r="O613" s="125"/>
      <c r="P613" s="125">
        <f t="shared" si="551"/>
        <v>46353</v>
      </c>
      <c r="Q613" s="129">
        <f t="shared" si="552"/>
        <v>46353</v>
      </c>
      <c r="R613" s="125"/>
      <c r="S613" s="125">
        <f t="shared" si="554"/>
        <v>46367</v>
      </c>
      <c r="T613" s="129">
        <f t="shared" si="553"/>
        <v>46367</v>
      </c>
      <c r="U613" s="125"/>
      <c r="W613" s="174" t="str">
        <f t="shared" ca="1" si="544"/>
        <v>Completed</v>
      </c>
      <c r="X613" s="174" t="str">
        <f t="shared" ca="1" si="545"/>
        <v/>
      </c>
      <c r="Y613" s="174" t="str">
        <f t="shared" ca="1" si="546"/>
        <v/>
      </c>
      <c r="Z613" s="175" t="str">
        <f t="shared" ca="1" si="547"/>
        <v/>
      </c>
    </row>
    <row r="614" spans="1:26" s="70" customFormat="1" ht="11.5" x14ac:dyDescent="0.25">
      <c r="A614" s="122" t="s">
        <v>66</v>
      </c>
      <c r="B614" s="122" t="s">
        <v>14</v>
      </c>
      <c r="C614" s="122" t="s">
        <v>1146</v>
      </c>
      <c r="D614" s="122" t="s">
        <v>774</v>
      </c>
      <c r="E614" s="128">
        <f t="shared" si="540"/>
        <v>0</v>
      </c>
      <c r="F614" s="123">
        <f t="shared" si="541"/>
        <v>0</v>
      </c>
      <c r="G614" s="123">
        <f t="shared" si="541"/>
        <v>0.5</v>
      </c>
      <c r="H614" s="123">
        <f t="shared" si="542"/>
        <v>0.5</v>
      </c>
      <c r="I614" s="124">
        <v>4.7E-2</v>
      </c>
      <c r="J614" s="129">
        <f t="shared" ref="J614:J627" si="559">J493+28</f>
        <v>46269</v>
      </c>
      <c r="K614" s="129">
        <f t="shared" si="548"/>
        <v>46269</v>
      </c>
      <c r="L614" s="125">
        <v>46142</v>
      </c>
      <c r="M614" s="125">
        <f t="shared" si="549"/>
        <v>46311</v>
      </c>
      <c r="N614" s="129">
        <f t="shared" si="550"/>
        <v>46311</v>
      </c>
      <c r="O614" s="125"/>
      <c r="P614" s="125">
        <f t="shared" si="551"/>
        <v>46353</v>
      </c>
      <c r="Q614" s="129">
        <f t="shared" si="552"/>
        <v>46353</v>
      </c>
      <c r="R614" s="125"/>
      <c r="S614" s="125">
        <f t="shared" si="554"/>
        <v>46367</v>
      </c>
      <c r="T614" s="129">
        <f t="shared" si="553"/>
        <v>46367</v>
      </c>
      <c r="U614" s="125"/>
      <c r="W614" s="174" t="str">
        <f t="shared" ca="1" si="544"/>
        <v>Completed</v>
      </c>
      <c r="X614" s="174" t="str">
        <f t="shared" ca="1" si="545"/>
        <v/>
      </c>
      <c r="Y614" s="174" t="str">
        <f t="shared" ca="1" si="546"/>
        <v/>
      </c>
      <c r="Z614" s="175" t="str">
        <f t="shared" ca="1" si="547"/>
        <v/>
      </c>
    </row>
    <row r="615" spans="1:26" s="70" customFormat="1" ht="11.5" x14ac:dyDescent="0.25">
      <c r="A615" s="122" t="s">
        <v>66</v>
      </c>
      <c r="B615" s="122" t="s">
        <v>14</v>
      </c>
      <c r="C615" s="122" t="s">
        <v>1147</v>
      </c>
      <c r="D615" s="122" t="s">
        <v>775</v>
      </c>
      <c r="E615" s="128">
        <f t="shared" si="540"/>
        <v>0</v>
      </c>
      <c r="F615" s="123">
        <f t="shared" si="541"/>
        <v>0</v>
      </c>
      <c r="G615" s="123">
        <f t="shared" si="541"/>
        <v>0.5</v>
      </c>
      <c r="H615" s="123">
        <f t="shared" si="542"/>
        <v>0.5</v>
      </c>
      <c r="I615" s="124">
        <v>4.7E-2</v>
      </c>
      <c r="J615" s="129">
        <f t="shared" si="559"/>
        <v>46269</v>
      </c>
      <c r="K615" s="129">
        <f t="shared" si="548"/>
        <v>46269</v>
      </c>
      <c r="L615" s="125">
        <v>46142</v>
      </c>
      <c r="M615" s="125">
        <f t="shared" si="549"/>
        <v>46311</v>
      </c>
      <c r="N615" s="129">
        <f t="shared" si="550"/>
        <v>46311</v>
      </c>
      <c r="O615" s="125"/>
      <c r="P615" s="125">
        <f t="shared" si="551"/>
        <v>46353</v>
      </c>
      <c r="Q615" s="129">
        <f t="shared" si="552"/>
        <v>46353</v>
      </c>
      <c r="R615" s="125"/>
      <c r="S615" s="125">
        <f t="shared" si="554"/>
        <v>46367</v>
      </c>
      <c r="T615" s="129">
        <f t="shared" si="553"/>
        <v>46367</v>
      </c>
      <c r="U615" s="125"/>
      <c r="W615" s="174" t="str">
        <f t="shared" ca="1" si="544"/>
        <v>Completed</v>
      </c>
      <c r="X615" s="174" t="str">
        <f t="shared" ca="1" si="545"/>
        <v/>
      </c>
      <c r="Y615" s="174" t="str">
        <f t="shared" ca="1" si="546"/>
        <v/>
      </c>
      <c r="Z615" s="175" t="str">
        <f t="shared" ca="1" si="547"/>
        <v/>
      </c>
    </row>
    <row r="616" spans="1:26" s="70" customFormat="1" ht="11.5" x14ac:dyDescent="0.25">
      <c r="A616" s="121" t="s">
        <v>66</v>
      </c>
      <c r="B616" s="121" t="s">
        <v>14</v>
      </c>
      <c r="C616" s="121" t="s">
        <v>1148</v>
      </c>
      <c r="D616" s="121" t="s">
        <v>776</v>
      </c>
      <c r="E616" s="123">
        <f t="shared" si="540"/>
        <v>0</v>
      </c>
      <c r="F616" s="123">
        <f t="shared" si="541"/>
        <v>0</v>
      </c>
      <c r="G616" s="123">
        <f t="shared" si="541"/>
        <v>0.5</v>
      </c>
      <c r="H616" s="123">
        <f t="shared" si="542"/>
        <v>0.5</v>
      </c>
      <c r="I616" s="124">
        <v>4.7E-2</v>
      </c>
      <c r="J616" s="129">
        <f t="shared" si="559"/>
        <v>46269</v>
      </c>
      <c r="K616" s="129">
        <f t="shared" si="548"/>
        <v>46269</v>
      </c>
      <c r="L616" s="125">
        <v>46142</v>
      </c>
      <c r="M616" s="125">
        <f t="shared" si="549"/>
        <v>46311</v>
      </c>
      <c r="N616" s="129">
        <f t="shared" si="550"/>
        <v>46311</v>
      </c>
      <c r="O616" s="125"/>
      <c r="P616" s="125">
        <f t="shared" si="551"/>
        <v>46353</v>
      </c>
      <c r="Q616" s="129">
        <f t="shared" si="552"/>
        <v>46353</v>
      </c>
      <c r="R616" s="125"/>
      <c r="S616" s="125">
        <f t="shared" si="554"/>
        <v>46367</v>
      </c>
      <c r="T616" s="129">
        <f t="shared" si="553"/>
        <v>46367</v>
      </c>
      <c r="U616" s="125"/>
      <c r="W616" s="174" t="str">
        <f t="shared" ca="1" si="544"/>
        <v>Completed</v>
      </c>
      <c r="X616" s="174" t="str">
        <f t="shared" ca="1" si="545"/>
        <v/>
      </c>
      <c r="Y616" s="174" t="str">
        <f t="shared" ca="1" si="546"/>
        <v/>
      </c>
      <c r="Z616" s="175" t="str">
        <f t="shared" ca="1" si="547"/>
        <v/>
      </c>
    </row>
    <row r="617" spans="1:26" s="70" customFormat="1" ht="11.5" x14ac:dyDescent="0.25">
      <c r="A617" s="121" t="s">
        <v>66</v>
      </c>
      <c r="B617" s="121" t="s">
        <v>14</v>
      </c>
      <c r="C617" s="121" t="s">
        <v>1149</v>
      </c>
      <c r="D617" s="121" t="s">
        <v>777</v>
      </c>
      <c r="E617" s="123">
        <f t="shared" si="540"/>
        <v>0</v>
      </c>
      <c r="F617" s="123">
        <f t="shared" si="541"/>
        <v>0</v>
      </c>
      <c r="G617" s="123">
        <f t="shared" si="541"/>
        <v>0.5</v>
      </c>
      <c r="H617" s="123">
        <f t="shared" si="542"/>
        <v>0.5</v>
      </c>
      <c r="I617" s="124">
        <v>4.7E-2</v>
      </c>
      <c r="J617" s="129">
        <f t="shared" si="559"/>
        <v>46269</v>
      </c>
      <c r="K617" s="129">
        <f t="shared" si="548"/>
        <v>46269</v>
      </c>
      <c r="L617" s="125">
        <v>46142</v>
      </c>
      <c r="M617" s="125">
        <f t="shared" si="549"/>
        <v>46311</v>
      </c>
      <c r="N617" s="129">
        <f t="shared" si="550"/>
        <v>46311</v>
      </c>
      <c r="O617" s="125"/>
      <c r="P617" s="125">
        <f t="shared" si="551"/>
        <v>46353</v>
      </c>
      <c r="Q617" s="129">
        <f t="shared" si="552"/>
        <v>46353</v>
      </c>
      <c r="R617" s="125"/>
      <c r="S617" s="125">
        <f t="shared" si="554"/>
        <v>46367</v>
      </c>
      <c r="T617" s="129">
        <f t="shared" si="553"/>
        <v>46367</v>
      </c>
      <c r="U617" s="125"/>
      <c r="W617" s="174" t="str">
        <f t="shared" ca="1" si="544"/>
        <v>Completed</v>
      </c>
      <c r="X617" s="174" t="str">
        <f t="shared" ca="1" si="545"/>
        <v/>
      </c>
      <c r="Y617" s="174" t="str">
        <f t="shared" ca="1" si="546"/>
        <v/>
      </c>
      <c r="Z617" s="175" t="str">
        <f t="shared" ca="1" si="547"/>
        <v/>
      </c>
    </row>
    <row r="618" spans="1:26" s="70" customFormat="1" ht="11.5" x14ac:dyDescent="0.25">
      <c r="A618" s="121" t="s">
        <v>66</v>
      </c>
      <c r="B618" s="121" t="s">
        <v>14</v>
      </c>
      <c r="C618" s="121" t="s">
        <v>1150</v>
      </c>
      <c r="D618" s="121" t="s">
        <v>778</v>
      </c>
      <c r="E618" s="123">
        <f t="shared" ref="E618:E626" si="560">(COUNTIFS(J618,"&lt;="&amp;$C$1)*50%)+(COUNTIFS(M618,"&lt;="&amp;$C$1)*20%)+(COUNTIFS(P618,"&lt;="&amp;$C$1)*10%)+(COUNTIFS(S618,"&lt;="&amp;$C$1)*20%)</f>
        <v>0</v>
      </c>
      <c r="F618" s="123">
        <f t="shared" ref="F618:F626" si="561">(COUNTIFS(K618,"&lt;="&amp;$C$1)*50%)+(COUNTIFS(N618,"&lt;="&amp;$C$1)*20%)+(COUNTIFS(Q618,"&lt;="&amp;$C$1)*10%)+(COUNTIFS(T618,"&lt;="&amp;$C$1)*20%)</f>
        <v>0</v>
      </c>
      <c r="G618" s="123">
        <f t="shared" ref="G618:G626" si="562">(COUNTIFS(L618,"&lt;="&amp;$C$1)*50%)+(COUNTIFS(O618,"&lt;="&amp;$C$1)*20%)+(COUNTIFS(R618,"&lt;="&amp;$C$1)*10%)+(COUNTIFS(U618,"&lt;="&amp;$C$1)*20%)</f>
        <v>0.5</v>
      </c>
      <c r="H618" s="123">
        <f t="shared" ref="H618:H626" si="563">G618-E618</f>
        <v>0.5</v>
      </c>
      <c r="I618" s="124">
        <v>4.7E-2</v>
      </c>
      <c r="J618" s="129">
        <f t="shared" si="559"/>
        <v>46269</v>
      </c>
      <c r="K618" s="129">
        <f t="shared" si="548"/>
        <v>46269</v>
      </c>
      <c r="L618" s="125">
        <v>46142</v>
      </c>
      <c r="M618" s="125">
        <f t="shared" si="549"/>
        <v>46311</v>
      </c>
      <c r="N618" s="129">
        <f t="shared" si="550"/>
        <v>46311</v>
      </c>
      <c r="O618" s="125"/>
      <c r="P618" s="125">
        <f t="shared" si="551"/>
        <v>46353</v>
      </c>
      <c r="Q618" s="129">
        <f t="shared" si="552"/>
        <v>46353</v>
      </c>
      <c r="R618" s="125"/>
      <c r="S618" s="125">
        <f t="shared" si="554"/>
        <v>46367</v>
      </c>
      <c r="T618" s="129">
        <f t="shared" si="553"/>
        <v>46367</v>
      </c>
      <c r="U618" s="125"/>
      <c r="W618" s="174" t="str">
        <f t="shared" ca="1" si="544"/>
        <v>Completed</v>
      </c>
      <c r="X618" s="174" t="str">
        <f t="shared" ca="1" si="545"/>
        <v/>
      </c>
      <c r="Y618" s="174" t="str">
        <f t="shared" ca="1" si="546"/>
        <v/>
      </c>
      <c r="Z618" s="175" t="str">
        <f t="shared" ca="1" si="547"/>
        <v/>
      </c>
    </row>
    <row r="619" spans="1:26" s="70" customFormat="1" ht="11.5" x14ac:dyDescent="0.25">
      <c r="A619" s="121" t="s">
        <v>66</v>
      </c>
      <c r="B619" s="121" t="s">
        <v>14</v>
      </c>
      <c r="C619" s="121" t="s">
        <v>1151</v>
      </c>
      <c r="D619" s="121" t="s">
        <v>779</v>
      </c>
      <c r="E619" s="123">
        <f t="shared" si="560"/>
        <v>0</v>
      </c>
      <c r="F619" s="123">
        <f t="shared" si="561"/>
        <v>0</v>
      </c>
      <c r="G619" s="123">
        <f t="shared" si="562"/>
        <v>0.5</v>
      </c>
      <c r="H619" s="123">
        <f t="shared" si="563"/>
        <v>0.5</v>
      </c>
      <c r="I619" s="124">
        <v>4.7E-2</v>
      </c>
      <c r="J619" s="129">
        <f t="shared" si="559"/>
        <v>46269</v>
      </c>
      <c r="K619" s="129">
        <f t="shared" si="548"/>
        <v>46269</v>
      </c>
      <c r="L619" s="125">
        <v>46142</v>
      </c>
      <c r="M619" s="125">
        <f t="shared" si="549"/>
        <v>46311</v>
      </c>
      <c r="N619" s="129">
        <f t="shared" si="550"/>
        <v>46311</v>
      </c>
      <c r="O619" s="125"/>
      <c r="P619" s="125">
        <f t="shared" si="551"/>
        <v>46353</v>
      </c>
      <c r="Q619" s="129">
        <f t="shared" si="552"/>
        <v>46353</v>
      </c>
      <c r="R619" s="125"/>
      <c r="S619" s="125">
        <f t="shared" si="554"/>
        <v>46367</v>
      </c>
      <c r="T619" s="129">
        <f t="shared" si="553"/>
        <v>46367</v>
      </c>
      <c r="U619" s="125"/>
      <c r="W619" s="174" t="str">
        <f t="shared" ca="1" si="544"/>
        <v>Completed</v>
      </c>
      <c r="X619" s="174" t="str">
        <f t="shared" ca="1" si="545"/>
        <v/>
      </c>
      <c r="Y619" s="174" t="str">
        <f t="shared" ca="1" si="546"/>
        <v/>
      </c>
      <c r="Z619" s="175" t="str">
        <f t="shared" ca="1" si="547"/>
        <v/>
      </c>
    </row>
    <row r="620" spans="1:26" s="70" customFormat="1" ht="11.5" x14ac:dyDescent="0.25">
      <c r="A620" s="121" t="s">
        <v>66</v>
      </c>
      <c r="B620" s="121" t="s">
        <v>14</v>
      </c>
      <c r="C620" s="121" t="s">
        <v>1152</v>
      </c>
      <c r="D620" s="121" t="s">
        <v>780</v>
      </c>
      <c r="E620" s="123">
        <f t="shared" si="560"/>
        <v>0</v>
      </c>
      <c r="F620" s="123">
        <f t="shared" si="561"/>
        <v>0</v>
      </c>
      <c r="G620" s="123">
        <f t="shared" si="562"/>
        <v>0.5</v>
      </c>
      <c r="H620" s="123">
        <f t="shared" si="563"/>
        <v>0.5</v>
      </c>
      <c r="I620" s="124">
        <v>4.7E-2</v>
      </c>
      <c r="J620" s="129">
        <f t="shared" si="559"/>
        <v>46269</v>
      </c>
      <c r="K620" s="129">
        <f t="shared" si="548"/>
        <v>46269</v>
      </c>
      <c r="L620" s="125">
        <v>46142</v>
      </c>
      <c r="M620" s="125">
        <f t="shared" si="549"/>
        <v>46311</v>
      </c>
      <c r="N620" s="129">
        <f t="shared" si="550"/>
        <v>46311</v>
      </c>
      <c r="O620" s="125"/>
      <c r="P620" s="125">
        <f t="shared" si="551"/>
        <v>46353</v>
      </c>
      <c r="Q620" s="129">
        <f t="shared" si="552"/>
        <v>46353</v>
      </c>
      <c r="R620" s="125"/>
      <c r="S620" s="125">
        <f t="shared" si="554"/>
        <v>46367</v>
      </c>
      <c r="T620" s="129">
        <f t="shared" si="553"/>
        <v>46367</v>
      </c>
      <c r="U620" s="125"/>
      <c r="W620" s="174" t="str">
        <f t="shared" ca="1" si="544"/>
        <v>Completed</v>
      </c>
      <c r="X620" s="174" t="str">
        <f t="shared" ca="1" si="545"/>
        <v/>
      </c>
      <c r="Y620" s="174" t="str">
        <f t="shared" ca="1" si="546"/>
        <v/>
      </c>
      <c r="Z620" s="175" t="str">
        <f t="shared" ca="1" si="547"/>
        <v/>
      </c>
    </row>
    <row r="621" spans="1:26" s="70" customFormat="1" ht="11.5" x14ac:dyDescent="0.25">
      <c r="A621" s="121" t="s">
        <v>66</v>
      </c>
      <c r="B621" s="121" t="s">
        <v>14</v>
      </c>
      <c r="C621" s="121" t="s">
        <v>1153</v>
      </c>
      <c r="D621" s="121" t="s">
        <v>781</v>
      </c>
      <c r="E621" s="123">
        <f t="shared" si="560"/>
        <v>0</v>
      </c>
      <c r="F621" s="123">
        <f t="shared" si="561"/>
        <v>0</v>
      </c>
      <c r="G621" s="123">
        <f t="shared" si="562"/>
        <v>0.5</v>
      </c>
      <c r="H621" s="123">
        <f t="shared" si="563"/>
        <v>0.5</v>
      </c>
      <c r="I621" s="124">
        <v>4.7E-2</v>
      </c>
      <c r="J621" s="129">
        <f t="shared" si="559"/>
        <v>46269</v>
      </c>
      <c r="K621" s="129">
        <f t="shared" si="548"/>
        <v>46269</v>
      </c>
      <c r="L621" s="125">
        <v>46142</v>
      </c>
      <c r="M621" s="125">
        <f t="shared" si="549"/>
        <v>46311</v>
      </c>
      <c r="N621" s="129">
        <f t="shared" si="550"/>
        <v>46311</v>
      </c>
      <c r="O621" s="125"/>
      <c r="P621" s="125">
        <f t="shared" si="551"/>
        <v>46353</v>
      </c>
      <c r="Q621" s="129">
        <f t="shared" si="552"/>
        <v>46353</v>
      </c>
      <c r="R621" s="125"/>
      <c r="S621" s="125">
        <f t="shared" si="554"/>
        <v>46367</v>
      </c>
      <c r="T621" s="129">
        <f t="shared" si="553"/>
        <v>46367</v>
      </c>
      <c r="U621" s="125"/>
      <c r="W621" s="174" t="str">
        <f t="shared" ca="1" si="544"/>
        <v>Completed</v>
      </c>
      <c r="X621" s="174" t="str">
        <f t="shared" ca="1" si="545"/>
        <v/>
      </c>
      <c r="Y621" s="174" t="str">
        <f t="shared" ca="1" si="546"/>
        <v/>
      </c>
      <c r="Z621" s="175" t="str">
        <f t="shared" ca="1" si="547"/>
        <v/>
      </c>
    </row>
    <row r="622" spans="1:26" s="70" customFormat="1" ht="11.5" x14ac:dyDescent="0.25">
      <c r="A622" s="121" t="s">
        <v>66</v>
      </c>
      <c r="B622" s="121" t="s">
        <v>14</v>
      </c>
      <c r="C622" s="121" t="s">
        <v>1154</v>
      </c>
      <c r="D622" s="121" t="s">
        <v>782</v>
      </c>
      <c r="E622" s="123">
        <f t="shared" si="560"/>
        <v>0</v>
      </c>
      <c r="F622" s="123">
        <f t="shared" si="561"/>
        <v>0</v>
      </c>
      <c r="G622" s="123">
        <f t="shared" si="562"/>
        <v>0.5</v>
      </c>
      <c r="H622" s="123">
        <f t="shared" si="563"/>
        <v>0.5</v>
      </c>
      <c r="I622" s="124">
        <v>4.7E-2</v>
      </c>
      <c r="J622" s="129">
        <f t="shared" si="559"/>
        <v>46269</v>
      </c>
      <c r="K622" s="129">
        <f t="shared" si="548"/>
        <v>46269</v>
      </c>
      <c r="L622" s="125">
        <v>46142</v>
      </c>
      <c r="M622" s="125">
        <f t="shared" si="549"/>
        <v>46311</v>
      </c>
      <c r="N622" s="129">
        <f t="shared" si="550"/>
        <v>46311</v>
      </c>
      <c r="O622" s="125"/>
      <c r="P622" s="125">
        <f t="shared" si="551"/>
        <v>46353</v>
      </c>
      <c r="Q622" s="129">
        <f t="shared" si="552"/>
        <v>46353</v>
      </c>
      <c r="R622" s="125"/>
      <c r="S622" s="125">
        <f t="shared" si="554"/>
        <v>46367</v>
      </c>
      <c r="T622" s="129">
        <f t="shared" si="553"/>
        <v>46367</v>
      </c>
      <c r="U622" s="125"/>
      <c r="W622" s="174" t="str">
        <f t="shared" ca="1" si="544"/>
        <v>Completed</v>
      </c>
      <c r="X622" s="174" t="str">
        <f t="shared" ca="1" si="545"/>
        <v/>
      </c>
      <c r="Y622" s="174" t="str">
        <f t="shared" ca="1" si="546"/>
        <v/>
      </c>
      <c r="Z622" s="175" t="str">
        <f t="shared" ca="1" si="547"/>
        <v/>
      </c>
    </row>
    <row r="623" spans="1:26" s="70" customFormat="1" ht="11.5" x14ac:dyDescent="0.25">
      <c r="A623" s="121" t="s">
        <v>66</v>
      </c>
      <c r="B623" s="121" t="s">
        <v>14</v>
      </c>
      <c r="C623" s="121" t="s">
        <v>1155</v>
      </c>
      <c r="D623" s="121" t="s">
        <v>783</v>
      </c>
      <c r="E623" s="123">
        <f t="shared" si="560"/>
        <v>0</v>
      </c>
      <c r="F623" s="123">
        <f t="shared" si="561"/>
        <v>0</v>
      </c>
      <c r="G623" s="123">
        <f t="shared" si="562"/>
        <v>0.5</v>
      </c>
      <c r="H623" s="123">
        <f t="shared" si="563"/>
        <v>0.5</v>
      </c>
      <c r="I623" s="124">
        <v>4.7E-2</v>
      </c>
      <c r="J623" s="129">
        <f t="shared" si="559"/>
        <v>46269</v>
      </c>
      <c r="K623" s="129">
        <f t="shared" si="548"/>
        <v>46269</v>
      </c>
      <c r="L623" s="125">
        <v>46142</v>
      </c>
      <c r="M623" s="125">
        <f t="shared" si="549"/>
        <v>46311</v>
      </c>
      <c r="N623" s="129">
        <f t="shared" si="550"/>
        <v>46311</v>
      </c>
      <c r="O623" s="125"/>
      <c r="P623" s="125">
        <f t="shared" si="551"/>
        <v>46353</v>
      </c>
      <c r="Q623" s="129">
        <f t="shared" si="552"/>
        <v>46353</v>
      </c>
      <c r="R623" s="125"/>
      <c r="S623" s="125">
        <f t="shared" si="554"/>
        <v>46367</v>
      </c>
      <c r="T623" s="129">
        <f t="shared" si="553"/>
        <v>46367</v>
      </c>
      <c r="U623" s="125"/>
      <c r="W623" s="174" t="str">
        <f t="shared" ca="1" si="544"/>
        <v>Completed</v>
      </c>
      <c r="X623" s="174" t="str">
        <f t="shared" ca="1" si="545"/>
        <v/>
      </c>
      <c r="Y623" s="174" t="str">
        <f t="shared" ca="1" si="546"/>
        <v/>
      </c>
      <c r="Z623" s="175" t="str">
        <f t="shared" ca="1" si="547"/>
        <v/>
      </c>
    </row>
    <row r="624" spans="1:26" s="70" customFormat="1" ht="11.5" x14ac:dyDescent="0.25">
      <c r="A624" s="121" t="s">
        <v>66</v>
      </c>
      <c r="B624" s="121" t="s">
        <v>14</v>
      </c>
      <c r="C624" s="121" t="s">
        <v>1156</v>
      </c>
      <c r="D624" s="121" t="s">
        <v>784</v>
      </c>
      <c r="E624" s="123">
        <f t="shared" si="560"/>
        <v>0</v>
      </c>
      <c r="F624" s="123">
        <f t="shared" si="561"/>
        <v>0</v>
      </c>
      <c r="G624" s="123">
        <f t="shared" si="562"/>
        <v>0.5</v>
      </c>
      <c r="H624" s="123">
        <f t="shared" si="563"/>
        <v>0.5</v>
      </c>
      <c r="I624" s="124">
        <v>4.7E-2</v>
      </c>
      <c r="J624" s="129">
        <f t="shared" si="559"/>
        <v>46269</v>
      </c>
      <c r="K624" s="129">
        <f t="shared" si="548"/>
        <v>46269</v>
      </c>
      <c r="L624" s="125">
        <v>46142</v>
      </c>
      <c r="M624" s="125">
        <f t="shared" si="549"/>
        <v>46311</v>
      </c>
      <c r="N624" s="129">
        <f t="shared" si="550"/>
        <v>46311</v>
      </c>
      <c r="O624" s="125"/>
      <c r="P624" s="125">
        <f t="shared" si="551"/>
        <v>46353</v>
      </c>
      <c r="Q624" s="129">
        <f t="shared" si="552"/>
        <v>46353</v>
      </c>
      <c r="R624" s="125"/>
      <c r="S624" s="125">
        <f t="shared" si="554"/>
        <v>46367</v>
      </c>
      <c r="T624" s="129">
        <f t="shared" si="553"/>
        <v>46367</v>
      </c>
      <c r="U624" s="125"/>
      <c r="W624" s="174" t="str">
        <f t="shared" ca="1" si="544"/>
        <v>Completed</v>
      </c>
      <c r="X624" s="174" t="str">
        <f t="shared" ca="1" si="545"/>
        <v/>
      </c>
      <c r="Y624" s="174" t="str">
        <f t="shared" ca="1" si="546"/>
        <v/>
      </c>
      <c r="Z624" s="175" t="str">
        <f t="shared" ca="1" si="547"/>
        <v/>
      </c>
    </row>
    <row r="625" spans="1:26" s="70" customFormat="1" ht="11.5" x14ac:dyDescent="0.25">
      <c r="A625" s="121" t="s">
        <v>66</v>
      </c>
      <c r="B625" s="121" t="s">
        <v>14</v>
      </c>
      <c r="C625" s="121" t="s">
        <v>1157</v>
      </c>
      <c r="D625" s="121" t="s">
        <v>785</v>
      </c>
      <c r="E625" s="123">
        <f t="shared" si="560"/>
        <v>0</v>
      </c>
      <c r="F625" s="123">
        <f t="shared" si="561"/>
        <v>0</v>
      </c>
      <c r="G625" s="123">
        <f t="shared" si="562"/>
        <v>0.5</v>
      </c>
      <c r="H625" s="123">
        <f t="shared" si="563"/>
        <v>0.5</v>
      </c>
      <c r="I625" s="124">
        <v>4.7E-2</v>
      </c>
      <c r="J625" s="129">
        <f t="shared" si="559"/>
        <v>46269</v>
      </c>
      <c r="K625" s="129">
        <f t="shared" si="548"/>
        <v>46269</v>
      </c>
      <c r="L625" s="125">
        <v>46142</v>
      </c>
      <c r="M625" s="125">
        <f t="shared" si="549"/>
        <v>46311</v>
      </c>
      <c r="N625" s="129">
        <f t="shared" si="550"/>
        <v>46311</v>
      </c>
      <c r="O625" s="125"/>
      <c r="P625" s="125">
        <f t="shared" si="551"/>
        <v>46353</v>
      </c>
      <c r="Q625" s="129">
        <f t="shared" si="552"/>
        <v>46353</v>
      </c>
      <c r="R625" s="125"/>
      <c r="S625" s="125">
        <f t="shared" si="554"/>
        <v>46367</v>
      </c>
      <c r="T625" s="129">
        <f t="shared" si="553"/>
        <v>46367</v>
      </c>
      <c r="U625" s="125"/>
      <c r="W625" s="174" t="str">
        <f t="shared" ca="1" si="544"/>
        <v>Completed</v>
      </c>
      <c r="X625" s="174" t="str">
        <f t="shared" ca="1" si="545"/>
        <v/>
      </c>
      <c r="Y625" s="174" t="str">
        <f t="shared" ca="1" si="546"/>
        <v/>
      </c>
      <c r="Z625" s="175" t="str">
        <f t="shared" ca="1" si="547"/>
        <v/>
      </c>
    </row>
    <row r="626" spans="1:26" s="70" customFormat="1" ht="11.5" x14ac:dyDescent="0.25">
      <c r="A626" s="121" t="s">
        <v>66</v>
      </c>
      <c r="B626" s="121" t="s">
        <v>14</v>
      </c>
      <c r="C626" s="121" t="s">
        <v>786</v>
      </c>
      <c r="D626" s="121" t="s">
        <v>787</v>
      </c>
      <c r="E626" s="123">
        <f t="shared" si="560"/>
        <v>0</v>
      </c>
      <c r="F626" s="123">
        <f t="shared" si="561"/>
        <v>0</v>
      </c>
      <c r="G626" s="123">
        <f t="shared" si="562"/>
        <v>0</v>
      </c>
      <c r="H626" s="123">
        <f t="shared" si="563"/>
        <v>0</v>
      </c>
      <c r="I626" s="124">
        <v>4.7E-2</v>
      </c>
      <c r="J626" s="129">
        <f t="shared" si="559"/>
        <v>46276</v>
      </c>
      <c r="K626" s="129">
        <f t="shared" si="548"/>
        <v>46276</v>
      </c>
      <c r="L626" s="125"/>
      <c r="M626" s="125">
        <f t="shared" si="549"/>
        <v>46318</v>
      </c>
      <c r="N626" s="129">
        <f t="shared" si="550"/>
        <v>46318</v>
      </c>
      <c r="O626" s="125"/>
      <c r="P626" s="125">
        <f t="shared" si="551"/>
        <v>46360</v>
      </c>
      <c r="Q626" s="129">
        <f t="shared" si="552"/>
        <v>46360</v>
      </c>
      <c r="R626" s="125"/>
      <c r="S626" s="125">
        <f t="shared" si="554"/>
        <v>46374</v>
      </c>
      <c r="T626" s="129">
        <f t="shared" si="553"/>
        <v>46374</v>
      </c>
      <c r="U626" s="125"/>
      <c r="W626" s="174" t="str">
        <f t="shared" ca="1" si="544"/>
        <v/>
      </c>
      <c r="X626" s="174" t="str">
        <f t="shared" ca="1" si="545"/>
        <v/>
      </c>
      <c r="Y626" s="174" t="str">
        <f t="shared" ca="1" si="546"/>
        <v/>
      </c>
      <c r="Z626" s="175" t="str">
        <f t="shared" ca="1" si="547"/>
        <v/>
      </c>
    </row>
    <row r="627" spans="1:26" s="70" customFormat="1" ht="11.5" x14ac:dyDescent="0.25">
      <c r="A627" s="121" t="s">
        <v>66</v>
      </c>
      <c r="B627" s="121" t="s">
        <v>14</v>
      </c>
      <c r="C627" s="121" t="s">
        <v>788</v>
      </c>
      <c r="D627" s="121" t="s">
        <v>789</v>
      </c>
      <c r="E627" s="123">
        <f t="shared" si="540"/>
        <v>0</v>
      </c>
      <c r="F627" s="123">
        <f t="shared" si="541"/>
        <v>0</v>
      </c>
      <c r="G627" s="123">
        <f t="shared" si="541"/>
        <v>0</v>
      </c>
      <c r="H627" s="123">
        <f t="shared" si="542"/>
        <v>0</v>
      </c>
      <c r="I627" s="124">
        <v>4.7E-2</v>
      </c>
      <c r="J627" s="129">
        <f t="shared" si="559"/>
        <v>46276</v>
      </c>
      <c r="K627" s="129">
        <f t="shared" si="548"/>
        <v>46276</v>
      </c>
      <c r="L627" s="125"/>
      <c r="M627" s="125">
        <f t="shared" si="549"/>
        <v>46318</v>
      </c>
      <c r="N627" s="129">
        <f t="shared" si="550"/>
        <v>46318</v>
      </c>
      <c r="O627" s="125"/>
      <c r="P627" s="125">
        <f t="shared" si="551"/>
        <v>46360</v>
      </c>
      <c r="Q627" s="129">
        <f t="shared" si="552"/>
        <v>46360</v>
      </c>
      <c r="R627" s="125"/>
      <c r="S627" s="125">
        <f t="shared" si="554"/>
        <v>46374</v>
      </c>
      <c r="T627" s="129">
        <f t="shared" si="553"/>
        <v>46374</v>
      </c>
      <c r="U627" s="125"/>
      <c r="W627" s="174" t="str">
        <f t="shared" ca="1" si="544"/>
        <v/>
      </c>
      <c r="X627" s="174" t="str">
        <f t="shared" ca="1" si="545"/>
        <v/>
      </c>
      <c r="Y627" s="174" t="str">
        <f t="shared" ca="1" si="546"/>
        <v/>
      </c>
      <c r="Z627" s="175" t="str">
        <f t="shared" ca="1" si="547"/>
        <v/>
      </c>
    </row>
    <row r="628" spans="1:26" s="70" customFormat="1" ht="11.5" x14ac:dyDescent="0.25">
      <c r="A628" s="121" t="s">
        <v>66</v>
      </c>
      <c r="B628" s="121" t="s">
        <v>14</v>
      </c>
      <c r="C628" s="121" t="s">
        <v>990</v>
      </c>
      <c r="D628" s="121" t="s">
        <v>991</v>
      </c>
      <c r="E628" s="123">
        <f t="shared" si="540"/>
        <v>0</v>
      </c>
      <c r="F628" s="123">
        <f t="shared" si="541"/>
        <v>0</v>
      </c>
      <c r="G628" s="123">
        <f t="shared" si="541"/>
        <v>0.5</v>
      </c>
      <c r="H628" s="123">
        <f t="shared" si="542"/>
        <v>0.5</v>
      </c>
      <c r="I628" s="124"/>
      <c r="J628" s="129">
        <f t="shared" ref="J628:J632" si="564">J507+28</f>
        <v>46283</v>
      </c>
      <c r="K628" s="129">
        <f t="shared" ref="K628:K632" si="565">J628</f>
        <v>46283</v>
      </c>
      <c r="L628" s="125">
        <v>46190</v>
      </c>
      <c r="M628" s="125">
        <f t="shared" ref="M628:M632" si="566">J628+42</f>
        <v>46325</v>
      </c>
      <c r="N628" s="129">
        <f t="shared" ref="N628:N632" si="567">M628</f>
        <v>46325</v>
      </c>
      <c r="O628" s="125"/>
      <c r="P628" s="125">
        <f t="shared" ref="P628:P632" si="568">M628+42</f>
        <v>46367</v>
      </c>
      <c r="Q628" s="129">
        <f t="shared" ref="Q628:Q632" si="569">P628</f>
        <v>46367</v>
      </c>
      <c r="R628" s="125"/>
      <c r="S628" s="125">
        <f t="shared" ref="S628:S632" si="570">P628+14</f>
        <v>46381</v>
      </c>
      <c r="T628" s="129">
        <f t="shared" ref="T628:T632" si="571">S628</f>
        <v>46381</v>
      </c>
      <c r="U628" s="125"/>
      <c r="W628" s="174" t="str">
        <f t="shared" ca="1" si="544"/>
        <v>Completed</v>
      </c>
      <c r="X628" s="174" t="str">
        <f t="shared" ca="1" si="545"/>
        <v/>
      </c>
      <c r="Y628" s="174" t="str">
        <f t="shared" ca="1" si="546"/>
        <v/>
      </c>
      <c r="Z628" s="175" t="str">
        <f t="shared" ca="1" si="547"/>
        <v/>
      </c>
    </row>
    <row r="629" spans="1:26" s="70" customFormat="1" ht="11.5" x14ac:dyDescent="0.25">
      <c r="A629" s="121" t="s">
        <v>66</v>
      </c>
      <c r="B629" s="121" t="s">
        <v>14</v>
      </c>
      <c r="C629" s="121" t="s">
        <v>992</v>
      </c>
      <c r="D629" s="121" t="s">
        <v>993</v>
      </c>
      <c r="E629" s="123">
        <f t="shared" ref="E629:E632" si="572">(COUNTIFS(J629,"&lt;="&amp;$C$1)*50%)+(COUNTIFS(M629,"&lt;="&amp;$C$1)*20%)+(COUNTIFS(P629,"&lt;="&amp;$C$1)*10%)+(COUNTIFS(S629,"&lt;="&amp;$C$1)*20%)</f>
        <v>0</v>
      </c>
      <c r="F629" s="123">
        <f t="shared" ref="F629:F632" si="573">(COUNTIFS(K629,"&lt;="&amp;$C$1)*50%)+(COUNTIFS(N629,"&lt;="&amp;$C$1)*20%)+(COUNTIFS(Q629,"&lt;="&amp;$C$1)*10%)+(COUNTIFS(T629,"&lt;="&amp;$C$1)*20%)</f>
        <v>0</v>
      </c>
      <c r="G629" s="123">
        <f t="shared" ref="G629:G632" si="574">(COUNTIFS(L629,"&lt;="&amp;$C$1)*50%)+(COUNTIFS(O629,"&lt;="&amp;$C$1)*20%)+(COUNTIFS(R629,"&lt;="&amp;$C$1)*10%)+(COUNTIFS(U629,"&lt;="&amp;$C$1)*20%)</f>
        <v>0</v>
      </c>
      <c r="H629" s="123">
        <f t="shared" ref="H629:H632" si="575">G629-E629</f>
        <v>0</v>
      </c>
      <c r="I629" s="124"/>
      <c r="J629" s="129">
        <f t="shared" si="564"/>
        <v>46349</v>
      </c>
      <c r="K629" s="129">
        <f t="shared" si="565"/>
        <v>46349</v>
      </c>
      <c r="L629" s="125"/>
      <c r="M629" s="125">
        <f t="shared" si="566"/>
        <v>46391</v>
      </c>
      <c r="N629" s="129">
        <f t="shared" si="567"/>
        <v>46391</v>
      </c>
      <c r="O629" s="125"/>
      <c r="P629" s="125">
        <f t="shared" si="568"/>
        <v>46433</v>
      </c>
      <c r="Q629" s="129">
        <f t="shared" si="569"/>
        <v>46433</v>
      </c>
      <c r="R629" s="125"/>
      <c r="S629" s="125">
        <f t="shared" si="570"/>
        <v>46447</v>
      </c>
      <c r="T629" s="129">
        <f t="shared" si="571"/>
        <v>46447</v>
      </c>
      <c r="U629" s="125"/>
      <c r="W629" s="174" t="str">
        <f t="shared" ca="1" si="544"/>
        <v/>
      </c>
      <c r="X629" s="174" t="str">
        <f t="shared" ca="1" si="545"/>
        <v/>
      </c>
      <c r="Y629" s="174" t="str">
        <f t="shared" ca="1" si="546"/>
        <v/>
      </c>
      <c r="Z629" s="175" t="str">
        <f t="shared" ca="1" si="547"/>
        <v/>
      </c>
    </row>
    <row r="630" spans="1:26" s="70" customFormat="1" ht="11.5" x14ac:dyDescent="0.25">
      <c r="A630" s="121" t="s">
        <v>66</v>
      </c>
      <c r="B630" s="121" t="s">
        <v>14</v>
      </c>
      <c r="C630" s="121" t="s">
        <v>994</v>
      </c>
      <c r="D630" s="121" t="s">
        <v>995</v>
      </c>
      <c r="E630" s="123">
        <f t="shared" si="572"/>
        <v>0</v>
      </c>
      <c r="F630" s="123">
        <f t="shared" si="573"/>
        <v>0</v>
      </c>
      <c r="G630" s="123">
        <f t="shared" si="574"/>
        <v>0</v>
      </c>
      <c r="H630" s="123">
        <f t="shared" si="575"/>
        <v>0</v>
      </c>
      <c r="I630" s="124"/>
      <c r="J630" s="129">
        <f t="shared" si="564"/>
        <v>46349</v>
      </c>
      <c r="K630" s="129">
        <f t="shared" si="565"/>
        <v>46349</v>
      </c>
      <c r="L630" s="125"/>
      <c r="M630" s="125">
        <f t="shared" si="566"/>
        <v>46391</v>
      </c>
      <c r="N630" s="129">
        <f t="shared" si="567"/>
        <v>46391</v>
      </c>
      <c r="O630" s="125"/>
      <c r="P630" s="125">
        <f t="shared" si="568"/>
        <v>46433</v>
      </c>
      <c r="Q630" s="129">
        <f t="shared" si="569"/>
        <v>46433</v>
      </c>
      <c r="R630" s="125"/>
      <c r="S630" s="125">
        <f t="shared" si="570"/>
        <v>46447</v>
      </c>
      <c r="T630" s="129">
        <f t="shared" si="571"/>
        <v>46447</v>
      </c>
      <c r="U630" s="125"/>
      <c r="W630" s="174" t="str">
        <f t="shared" ca="1" si="544"/>
        <v/>
      </c>
      <c r="X630" s="174" t="str">
        <f t="shared" ca="1" si="545"/>
        <v/>
      </c>
      <c r="Y630" s="174" t="str">
        <f t="shared" ca="1" si="546"/>
        <v/>
      </c>
      <c r="Z630" s="175" t="str">
        <f t="shared" ca="1" si="547"/>
        <v/>
      </c>
    </row>
    <row r="631" spans="1:26" s="70" customFormat="1" ht="11.5" x14ac:dyDescent="0.25">
      <c r="A631" s="121" t="s">
        <v>66</v>
      </c>
      <c r="B631" s="121" t="s">
        <v>14</v>
      </c>
      <c r="C631" s="121" t="s">
        <v>996</v>
      </c>
      <c r="D631" s="121" t="s">
        <v>997</v>
      </c>
      <c r="E631" s="123">
        <f t="shared" si="572"/>
        <v>0</v>
      </c>
      <c r="F631" s="123">
        <f t="shared" si="573"/>
        <v>0</v>
      </c>
      <c r="G631" s="123">
        <f t="shared" si="574"/>
        <v>0</v>
      </c>
      <c r="H631" s="123">
        <f t="shared" si="575"/>
        <v>0</v>
      </c>
      <c r="I631" s="124"/>
      <c r="J631" s="129">
        <f t="shared" si="564"/>
        <v>46349</v>
      </c>
      <c r="K631" s="129">
        <f t="shared" si="565"/>
        <v>46349</v>
      </c>
      <c r="L631" s="125"/>
      <c r="M631" s="125">
        <f t="shared" si="566"/>
        <v>46391</v>
      </c>
      <c r="N631" s="129">
        <f t="shared" si="567"/>
        <v>46391</v>
      </c>
      <c r="O631" s="125"/>
      <c r="P631" s="125">
        <f t="shared" si="568"/>
        <v>46433</v>
      </c>
      <c r="Q631" s="129">
        <f t="shared" si="569"/>
        <v>46433</v>
      </c>
      <c r="R631" s="125"/>
      <c r="S631" s="125">
        <f t="shared" si="570"/>
        <v>46447</v>
      </c>
      <c r="T631" s="129">
        <f t="shared" si="571"/>
        <v>46447</v>
      </c>
      <c r="U631" s="125"/>
      <c r="W631" s="174" t="str">
        <f t="shared" ca="1" si="544"/>
        <v/>
      </c>
      <c r="X631" s="174" t="str">
        <f t="shared" ca="1" si="545"/>
        <v/>
      </c>
      <c r="Y631" s="174" t="str">
        <f t="shared" ca="1" si="546"/>
        <v/>
      </c>
      <c r="Z631" s="175" t="str">
        <f t="shared" ca="1" si="547"/>
        <v/>
      </c>
    </row>
    <row r="632" spans="1:26" s="70" customFormat="1" ht="11.5" x14ac:dyDescent="0.25">
      <c r="A632" s="121" t="s">
        <v>66</v>
      </c>
      <c r="B632" s="121" t="s">
        <v>14</v>
      </c>
      <c r="C632" s="121" t="s">
        <v>998</v>
      </c>
      <c r="D632" s="121" t="s">
        <v>999</v>
      </c>
      <c r="E632" s="123">
        <f t="shared" si="572"/>
        <v>0</v>
      </c>
      <c r="F632" s="123">
        <f t="shared" si="573"/>
        <v>0</v>
      </c>
      <c r="G632" s="123">
        <f t="shared" si="574"/>
        <v>0</v>
      </c>
      <c r="H632" s="123">
        <f t="shared" si="575"/>
        <v>0</v>
      </c>
      <c r="I632" s="124"/>
      <c r="J632" s="129">
        <f t="shared" si="564"/>
        <v>46349</v>
      </c>
      <c r="K632" s="129">
        <f t="shared" si="565"/>
        <v>46349</v>
      </c>
      <c r="L632" s="125"/>
      <c r="M632" s="125">
        <f t="shared" si="566"/>
        <v>46391</v>
      </c>
      <c r="N632" s="129">
        <f t="shared" si="567"/>
        <v>46391</v>
      </c>
      <c r="O632" s="125"/>
      <c r="P632" s="125">
        <f t="shared" si="568"/>
        <v>46433</v>
      </c>
      <c r="Q632" s="129">
        <f t="shared" si="569"/>
        <v>46433</v>
      </c>
      <c r="R632" s="125"/>
      <c r="S632" s="125">
        <f t="shared" si="570"/>
        <v>46447</v>
      </c>
      <c r="T632" s="129">
        <f t="shared" si="571"/>
        <v>46447</v>
      </c>
      <c r="U632" s="125"/>
      <c r="W632" s="174" t="str">
        <f t="shared" ca="1" si="544"/>
        <v/>
      </c>
      <c r="X632" s="174" t="str">
        <f t="shared" ca="1" si="545"/>
        <v/>
      </c>
      <c r="Y632" s="174" t="str">
        <f t="shared" ca="1" si="546"/>
        <v/>
      </c>
      <c r="Z632" s="175" t="str">
        <f t="shared" ca="1" si="547"/>
        <v/>
      </c>
    </row>
    <row r="633" spans="1:26" s="70" customFormat="1" ht="11.5" x14ac:dyDescent="0.25">
      <c r="A633" s="121" t="s">
        <v>66</v>
      </c>
      <c r="B633" s="121" t="s">
        <v>14</v>
      </c>
      <c r="C633" s="121" t="s">
        <v>790</v>
      </c>
      <c r="D633" s="121" t="s">
        <v>791</v>
      </c>
      <c r="E633" s="123">
        <f t="shared" si="540"/>
        <v>0</v>
      </c>
      <c r="F633" s="123">
        <f t="shared" si="541"/>
        <v>0</v>
      </c>
      <c r="G633" s="123">
        <f t="shared" si="541"/>
        <v>0.5</v>
      </c>
      <c r="H633" s="123">
        <f t="shared" si="542"/>
        <v>0.5</v>
      </c>
      <c r="I633" s="124">
        <v>4.7E-2</v>
      </c>
      <c r="J633" s="125">
        <f t="shared" ref="J633:J662" si="576">J518+28</f>
        <v>46276</v>
      </c>
      <c r="K633" s="125">
        <f t="shared" si="548"/>
        <v>46276</v>
      </c>
      <c r="L633" s="127">
        <v>46184</v>
      </c>
      <c r="M633" s="125">
        <f t="shared" si="549"/>
        <v>46318</v>
      </c>
      <c r="N633" s="125">
        <f t="shared" si="550"/>
        <v>46318</v>
      </c>
      <c r="O633" s="125"/>
      <c r="P633" s="125">
        <f t="shared" si="551"/>
        <v>46360</v>
      </c>
      <c r="Q633" s="125">
        <f t="shared" si="552"/>
        <v>46360</v>
      </c>
      <c r="R633" s="125"/>
      <c r="S633" s="125">
        <f t="shared" si="554"/>
        <v>46374</v>
      </c>
      <c r="T633" s="125">
        <f t="shared" si="553"/>
        <v>46374</v>
      </c>
      <c r="U633" s="125"/>
      <c r="W633" s="174" t="str">
        <f t="shared" ca="1" si="544"/>
        <v>Completed</v>
      </c>
      <c r="X633" s="174" t="str">
        <f t="shared" ca="1" si="545"/>
        <v/>
      </c>
      <c r="Y633" s="174" t="str">
        <f t="shared" ca="1" si="546"/>
        <v/>
      </c>
      <c r="Z633" s="175" t="str">
        <f t="shared" ca="1" si="547"/>
        <v/>
      </c>
    </row>
    <row r="634" spans="1:26" s="70" customFormat="1" ht="11.5" x14ac:dyDescent="0.25">
      <c r="A634" s="122" t="s">
        <v>66</v>
      </c>
      <c r="B634" s="122" t="s">
        <v>14</v>
      </c>
      <c r="C634" s="122" t="s">
        <v>792</v>
      </c>
      <c r="D634" s="122" t="s">
        <v>793</v>
      </c>
      <c r="E634" s="128">
        <f t="shared" si="540"/>
        <v>0</v>
      </c>
      <c r="F634" s="128">
        <f t="shared" si="541"/>
        <v>0</v>
      </c>
      <c r="G634" s="128">
        <f t="shared" si="541"/>
        <v>0.5</v>
      </c>
      <c r="H634" s="128">
        <f t="shared" si="542"/>
        <v>0.5</v>
      </c>
      <c r="I634" s="124">
        <v>4.7E-2</v>
      </c>
      <c r="J634" s="125">
        <f t="shared" si="576"/>
        <v>46276</v>
      </c>
      <c r="K634" s="125">
        <f t="shared" si="548"/>
        <v>46276</v>
      </c>
      <c r="L634" s="127">
        <v>46184</v>
      </c>
      <c r="M634" s="125">
        <f t="shared" si="549"/>
        <v>46318</v>
      </c>
      <c r="N634" s="125">
        <f t="shared" si="550"/>
        <v>46318</v>
      </c>
      <c r="O634" s="125"/>
      <c r="P634" s="125">
        <f t="shared" si="551"/>
        <v>46360</v>
      </c>
      <c r="Q634" s="125">
        <f t="shared" si="552"/>
        <v>46360</v>
      </c>
      <c r="R634" s="125"/>
      <c r="S634" s="125">
        <f t="shared" si="554"/>
        <v>46374</v>
      </c>
      <c r="T634" s="125">
        <f t="shared" si="553"/>
        <v>46374</v>
      </c>
      <c r="U634" s="125"/>
      <c r="W634" s="174" t="str">
        <f t="shared" ca="1" si="544"/>
        <v>Completed</v>
      </c>
      <c r="X634" s="174" t="str">
        <f t="shared" ca="1" si="545"/>
        <v/>
      </c>
      <c r="Y634" s="174" t="str">
        <f t="shared" ca="1" si="546"/>
        <v/>
      </c>
      <c r="Z634" s="175" t="str">
        <f t="shared" ca="1" si="547"/>
        <v/>
      </c>
    </row>
    <row r="635" spans="1:26" s="70" customFormat="1" ht="11.5" x14ac:dyDescent="0.25">
      <c r="A635" s="122" t="s">
        <v>66</v>
      </c>
      <c r="B635" s="122" t="s">
        <v>14</v>
      </c>
      <c r="C635" s="122" t="s">
        <v>794</v>
      </c>
      <c r="D635" s="122" t="s">
        <v>795</v>
      </c>
      <c r="E635" s="128">
        <f t="shared" si="540"/>
        <v>0</v>
      </c>
      <c r="F635" s="128">
        <f t="shared" si="541"/>
        <v>0</v>
      </c>
      <c r="G635" s="128">
        <f t="shared" si="541"/>
        <v>0.5</v>
      </c>
      <c r="H635" s="128">
        <f t="shared" si="542"/>
        <v>0.5</v>
      </c>
      <c r="I635" s="124">
        <v>4.7E-2</v>
      </c>
      <c r="J635" s="127">
        <f t="shared" si="576"/>
        <v>46276</v>
      </c>
      <c r="K635" s="127">
        <f t="shared" si="548"/>
        <v>46276</v>
      </c>
      <c r="L635" s="127">
        <v>46184</v>
      </c>
      <c r="M635" s="127">
        <f t="shared" si="549"/>
        <v>46318</v>
      </c>
      <c r="N635" s="127">
        <f t="shared" si="550"/>
        <v>46318</v>
      </c>
      <c r="O635" s="127"/>
      <c r="P635" s="127">
        <f t="shared" si="551"/>
        <v>46360</v>
      </c>
      <c r="Q635" s="127">
        <f t="shared" si="552"/>
        <v>46360</v>
      </c>
      <c r="R635" s="127"/>
      <c r="S635" s="125">
        <f t="shared" si="554"/>
        <v>46374</v>
      </c>
      <c r="T635" s="127">
        <f t="shared" si="553"/>
        <v>46374</v>
      </c>
      <c r="U635" s="127"/>
      <c r="W635" s="174" t="str">
        <f t="shared" ca="1" si="544"/>
        <v>Completed</v>
      </c>
      <c r="X635" s="174" t="str">
        <f t="shared" ca="1" si="545"/>
        <v/>
      </c>
      <c r="Y635" s="174" t="str">
        <f t="shared" ca="1" si="546"/>
        <v/>
      </c>
      <c r="Z635" s="175" t="str">
        <f t="shared" ca="1" si="547"/>
        <v/>
      </c>
    </row>
    <row r="636" spans="1:26" s="70" customFormat="1" ht="11.5" x14ac:dyDescent="0.25">
      <c r="A636" s="122" t="s">
        <v>66</v>
      </c>
      <c r="B636" s="122" t="s">
        <v>14</v>
      </c>
      <c r="C636" s="122" t="s">
        <v>796</v>
      </c>
      <c r="D636" s="122" t="s">
        <v>797</v>
      </c>
      <c r="E636" s="128">
        <f t="shared" si="540"/>
        <v>0</v>
      </c>
      <c r="F636" s="128">
        <f t="shared" si="541"/>
        <v>0</v>
      </c>
      <c r="G636" s="128">
        <f t="shared" si="541"/>
        <v>0</v>
      </c>
      <c r="H636" s="128">
        <f t="shared" si="542"/>
        <v>0</v>
      </c>
      <c r="I636" s="124">
        <v>4.7E-2</v>
      </c>
      <c r="J636" s="127">
        <f t="shared" si="576"/>
        <v>46276</v>
      </c>
      <c r="K636" s="127">
        <f t="shared" si="548"/>
        <v>46276</v>
      </c>
      <c r="L636" s="127"/>
      <c r="M636" s="127">
        <f t="shared" si="549"/>
        <v>46318</v>
      </c>
      <c r="N636" s="127">
        <f t="shared" si="550"/>
        <v>46318</v>
      </c>
      <c r="O636" s="127"/>
      <c r="P636" s="127">
        <f t="shared" si="551"/>
        <v>46360</v>
      </c>
      <c r="Q636" s="127">
        <f t="shared" si="552"/>
        <v>46360</v>
      </c>
      <c r="R636" s="127"/>
      <c r="S636" s="125">
        <f t="shared" si="554"/>
        <v>46374</v>
      </c>
      <c r="T636" s="127">
        <f t="shared" si="553"/>
        <v>46374</v>
      </c>
      <c r="U636" s="127"/>
      <c r="W636" s="174" t="str">
        <f t="shared" ca="1" si="544"/>
        <v/>
      </c>
      <c r="X636" s="174" t="str">
        <f t="shared" ca="1" si="545"/>
        <v/>
      </c>
      <c r="Y636" s="174" t="str">
        <f t="shared" ca="1" si="546"/>
        <v/>
      </c>
      <c r="Z636" s="175" t="str">
        <f t="shared" ca="1" si="547"/>
        <v/>
      </c>
    </row>
    <row r="637" spans="1:26" s="70" customFormat="1" ht="11.5" x14ac:dyDescent="0.25">
      <c r="A637" s="122" t="s">
        <v>66</v>
      </c>
      <c r="B637" s="122" t="s">
        <v>14</v>
      </c>
      <c r="C637" s="122" t="s">
        <v>798</v>
      </c>
      <c r="D637" s="122" t="s">
        <v>799</v>
      </c>
      <c r="E637" s="128">
        <f t="shared" si="540"/>
        <v>0</v>
      </c>
      <c r="F637" s="128">
        <f t="shared" si="541"/>
        <v>0</v>
      </c>
      <c r="G637" s="128">
        <f t="shared" si="541"/>
        <v>0.5</v>
      </c>
      <c r="H637" s="128">
        <f t="shared" si="542"/>
        <v>0.5</v>
      </c>
      <c r="I637" s="124">
        <v>4.7E-2</v>
      </c>
      <c r="J637" s="127">
        <f t="shared" si="576"/>
        <v>46283</v>
      </c>
      <c r="K637" s="127">
        <f t="shared" si="548"/>
        <v>46283</v>
      </c>
      <c r="L637" s="125">
        <v>46142</v>
      </c>
      <c r="M637" s="127">
        <f t="shared" si="549"/>
        <v>46325</v>
      </c>
      <c r="N637" s="127">
        <f t="shared" si="550"/>
        <v>46325</v>
      </c>
      <c r="O637" s="127"/>
      <c r="P637" s="127">
        <f t="shared" si="551"/>
        <v>46367</v>
      </c>
      <c r="Q637" s="127">
        <f t="shared" si="552"/>
        <v>46367</v>
      </c>
      <c r="R637" s="127"/>
      <c r="S637" s="125">
        <f t="shared" si="554"/>
        <v>46381</v>
      </c>
      <c r="T637" s="127">
        <f t="shared" si="553"/>
        <v>46381</v>
      </c>
      <c r="U637" s="127"/>
      <c r="W637" s="174" t="str">
        <f t="shared" ca="1" si="544"/>
        <v>Completed</v>
      </c>
      <c r="X637" s="174" t="str">
        <f t="shared" ca="1" si="545"/>
        <v/>
      </c>
      <c r="Y637" s="174" t="str">
        <f t="shared" ca="1" si="546"/>
        <v/>
      </c>
      <c r="Z637" s="175" t="str">
        <f t="shared" ca="1" si="547"/>
        <v/>
      </c>
    </row>
    <row r="638" spans="1:26" s="70" customFormat="1" ht="11.5" x14ac:dyDescent="0.25">
      <c r="A638" s="122" t="s">
        <v>66</v>
      </c>
      <c r="B638" s="122" t="s">
        <v>14</v>
      </c>
      <c r="C638" s="122" t="s">
        <v>800</v>
      </c>
      <c r="D638" s="122" t="s">
        <v>801</v>
      </c>
      <c r="E638" s="128">
        <f t="shared" si="540"/>
        <v>0</v>
      </c>
      <c r="F638" s="128">
        <f t="shared" si="541"/>
        <v>0</v>
      </c>
      <c r="G638" s="128">
        <f t="shared" si="541"/>
        <v>0.5</v>
      </c>
      <c r="H638" s="128">
        <f t="shared" si="542"/>
        <v>0.5</v>
      </c>
      <c r="I638" s="124">
        <v>4.7E-2</v>
      </c>
      <c r="J638" s="127">
        <f t="shared" si="576"/>
        <v>46283</v>
      </c>
      <c r="K638" s="127">
        <f t="shared" si="548"/>
        <v>46283</v>
      </c>
      <c r="L638" s="125">
        <v>46142</v>
      </c>
      <c r="M638" s="127">
        <f t="shared" si="549"/>
        <v>46325</v>
      </c>
      <c r="N638" s="127">
        <f t="shared" si="550"/>
        <v>46325</v>
      </c>
      <c r="O638" s="127"/>
      <c r="P638" s="127">
        <f t="shared" si="551"/>
        <v>46367</v>
      </c>
      <c r="Q638" s="127">
        <f t="shared" si="552"/>
        <v>46367</v>
      </c>
      <c r="R638" s="127"/>
      <c r="S638" s="125">
        <f t="shared" si="554"/>
        <v>46381</v>
      </c>
      <c r="T638" s="127">
        <f t="shared" si="553"/>
        <v>46381</v>
      </c>
      <c r="U638" s="127"/>
      <c r="W638" s="174" t="str">
        <f t="shared" ca="1" si="544"/>
        <v>Completed</v>
      </c>
      <c r="X638" s="174" t="str">
        <f t="shared" ca="1" si="545"/>
        <v/>
      </c>
      <c r="Y638" s="174" t="str">
        <f t="shared" ca="1" si="546"/>
        <v/>
      </c>
      <c r="Z638" s="175" t="str">
        <f t="shared" ca="1" si="547"/>
        <v/>
      </c>
    </row>
    <row r="639" spans="1:26" s="70" customFormat="1" ht="11.5" x14ac:dyDescent="0.25">
      <c r="A639" s="122" t="s">
        <v>66</v>
      </c>
      <c r="B639" s="122" t="s">
        <v>14</v>
      </c>
      <c r="C639" s="122" t="s">
        <v>1158</v>
      </c>
      <c r="D639" s="122" t="s">
        <v>802</v>
      </c>
      <c r="E639" s="128">
        <f t="shared" si="540"/>
        <v>0</v>
      </c>
      <c r="F639" s="128">
        <f t="shared" si="541"/>
        <v>0</v>
      </c>
      <c r="G639" s="128">
        <f t="shared" si="541"/>
        <v>0</v>
      </c>
      <c r="H639" s="128">
        <f t="shared" si="542"/>
        <v>0</v>
      </c>
      <c r="I639" s="124">
        <v>4.7E-2</v>
      </c>
      <c r="J639" s="127">
        <f t="shared" si="576"/>
        <v>46283</v>
      </c>
      <c r="K639" s="127">
        <f t="shared" si="548"/>
        <v>46283</v>
      </c>
      <c r="L639" s="127"/>
      <c r="M639" s="127">
        <f t="shared" si="549"/>
        <v>46325</v>
      </c>
      <c r="N639" s="127">
        <f t="shared" si="550"/>
        <v>46325</v>
      </c>
      <c r="O639" s="127"/>
      <c r="P639" s="127">
        <f t="shared" si="551"/>
        <v>46367</v>
      </c>
      <c r="Q639" s="127">
        <f t="shared" si="552"/>
        <v>46367</v>
      </c>
      <c r="R639" s="127"/>
      <c r="S639" s="125">
        <f t="shared" si="554"/>
        <v>46381</v>
      </c>
      <c r="T639" s="127">
        <f t="shared" si="553"/>
        <v>46381</v>
      </c>
      <c r="U639" s="127"/>
      <c r="W639" s="174" t="str">
        <f t="shared" ca="1" si="544"/>
        <v/>
      </c>
      <c r="X639" s="174" t="str">
        <f t="shared" ca="1" si="545"/>
        <v/>
      </c>
      <c r="Y639" s="174" t="str">
        <f t="shared" ca="1" si="546"/>
        <v/>
      </c>
      <c r="Z639" s="175" t="str">
        <f t="shared" ca="1" si="547"/>
        <v/>
      </c>
    </row>
    <row r="640" spans="1:26" s="70" customFormat="1" ht="11.5" x14ac:dyDescent="0.25">
      <c r="A640" s="122" t="s">
        <v>66</v>
      </c>
      <c r="B640" s="122" t="s">
        <v>14</v>
      </c>
      <c r="C640" s="122" t="s">
        <v>1159</v>
      </c>
      <c r="D640" s="122" t="s">
        <v>803</v>
      </c>
      <c r="E640" s="128">
        <f t="shared" si="540"/>
        <v>0</v>
      </c>
      <c r="F640" s="128">
        <f t="shared" si="541"/>
        <v>0</v>
      </c>
      <c r="G640" s="128">
        <f t="shared" si="541"/>
        <v>0</v>
      </c>
      <c r="H640" s="128">
        <f t="shared" si="542"/>
        <v>0</v>
      </c>
      <c r="I640" s="124">
        <v>4.7E-2</v>
      </c>
      <c r="J640" s="125">
        <f t="shared" si="576"/>
        <v>46283</v>
      </c>
      <c r="K640" s="125">
        <f t="shared" si="548"/>
        <v>46283</v>
      </c>
      <c r="L640" s="125"/>
      <c r="M640" s="125">
        <f t="shared" si="549"/>
        <v>46325</v>
      </c>
      <c r="N640" s="125">
        <f t="shared" si="550"/>
        <v>46325</v>
      </c>
      <c r="O640" s="125"/>
      <c r="P640" s="125">
        <f t="shared" si="551"/>
        <v>46367</v>
      </c>
      <c r="Q640" s="125">
        <f t="shared" si="552"/>
        <v>46367</v>
      </c>
      <c r="R640" s="125"/>
      <c r="S640" s="125">
        <f t="shared" si="554"/>
        <v>46381</v>
      </c>
      <c r="T640" s="125">
        <f t="shared" si="553"/>
        <v>46381</v>
      </c>
      <c r="U640" s="125"/>
      <c r="W640" s="174" t="str">
        <f t="shared" ca="1" si="544"/>
        <v/>
      </c>
      <c r="X640" s="174" t="str">
        <f t="shared" ca="1" si="545"/>
        <v/>
      </c>
      <c r="Y640" s="174" t="str">
        <f t="shared" ca="1" si="546"/>
        <v/>
      </c>
      <c r="Z640" s="175" t="str">
        <f t="shared" ca="1" si="547"/>
        <v/>
      </c>
    </row>
    <row r="641" spans="1:26" s="70" customFormat="1" ht="11.5" x14ac:dyDescent="0.25">
      <c r="A641" s="122" t="s">
        <v>66</v>
      </c>
      <c r="B641" s="122" t="s">
        <v>14</v>
      </c>
      <c r="C641" s="122" t="s">
        <v>1160</v>
      </c>
      <c r="D641" s="122" t="s">
        <v>804</v>
      </c>
      <c r="E641" s="128">
        <f t="shared" si="540"/>
        <v>0</v>
      </c>
      <c r="F641" s="128">
        <f t="shared" si="541"/>
        <v>0</v>
      </c>
      <c r="G641" s="128">
        <f t="shared" si="541"/>
        <v>0</v>
      </c>
      <c r="H641" s="128">
        <f t="shared" si="542"/>
        <v>0</v>
      </c>
      <c r="I641" s="124">
        <v>4.7E-2</v>
      </c>
      <c r="J641" s="125">
        <f t="shared" si="576"/>
        <v>46283</v>
      </c>
      <c r="K641" s="125">
        <f t="shared" si="548"/>
        <v>46283</v>
      </c>
      <c r="L641" s="125"/>
      <c r="M641" s="125">
        <f t="shared" si="549"/>
        <v>46325</v>
      </c>
      <c r="N641" s="125">
        <f t="shared" si="550"/>
        <v>46325</v>
      </c>
      <c r="O641" s="125"/>
      <c r="P641" s="125">
        <f t="shared" si="551"/>
        <v>46367</v>
      </c>
      <c r="Q641" s="125">
        <f t="shared" si="552"/>
        <v>46367</v>
      </c>
      <c r="R641" s="125"/>
      <c r="S641" s="125">
        <f t="shared" si="554"/>
        <v>46381</v>
      </c>
      <c r="T641" s="125">
        <f t="shared" si="553"/>
        <v>46381</v>
      </c>
      <c r="U641" s="125"/>
      <c r="W641" s="174" t="str">
        <f t="shared" ca="1" si="544"/>
        <v/>
      </c>
      <c r="X641" s="174" t="str">
        <f t="shared" ca="1" si="545"/>
        <v/>
      </c>
      <c r="Y641" s="174" t="str">
        <f t="shared" ca="1" si="546"/>
        <v/>
      </c>
      <c r="Z641" s="175" t="str">
        <f t="shared" ca="1" si="547"/>
        <v/>
      </c>
    </row>
    <row r="642" spans="1:26" s="70" customFormat="1" ht="11.5" x14ac:dyDescent="0.25">
      <c r="A642" s="122" t="s">
        <v>66</v>
      </c>
      <c r="B642" s="122" t="s">
        <v>14</v>
      </c>
      <c r="C642" s="122" t="s">
        <v>1161</v>
      </c>
      <c r="D642" s="122" t="s">
        <v>805</v>
      </c>
      <c r="E642" s="128">
        <f t="shared" si="540"/>
        <v>0</v>
      </c>
      <c r="F642" s="128">
        <f t="shared" si="541"/>
        <v>0</v>
      </c>
      <c r="G642" s="128">
        <f t="shared" si="541"/>
        <v>0</v>
      </c>
      <c r="H642" s="128">
        <f t="shared" si="542"/>
        <v>0</v>
      </c>
      <c r="I642" s="124">
        <v>4.7E-2</v>
      </c>
      <c r="J642" s="125">
        <f t="shared" si="576"/>
        <v>46283</v>
      </c>
      <c r="K642" s="125">
        <f t="shared" si="548"/>
        <v>46283</v>
      </c>
      <c r="L642" s="125"/>
      <c r="M642" s="125">
        <f t="shared" si="549"/>
        <v>46325</v>
      </c>
      <c r="N642" s="125">
        <f t="shared" si="550"/>
        <v>46325</v>
      </c>
      <c r="O642" s="125"/>
      <c r="P642" s="125">
        <f t="shared" si="551"/>
        <v>46367</v>
      </c>
      <c r="Q642" s="125">
        <f t="shared" si="552"/>
        <v>46367</v>
      </c>
      <c r="R642" s="125"/>
      <c r="S642" s="125">
        <f t="shared" si="554"/>
        <v>46381</v>
      </c>
      <c r="T642" s="125">
        <f t="shared" si="553"/>
        <v>46381</v>
      </c>
      <c r="U642" s="125"/>
      <c r="W642" s="174" t="str">
        <f t="shared" ca="1" si="544"/>
        <v/>
      </c>
      <c r="X642" s="174" t="str">
        <f t="shared" ca="1" si="545"/>
        <v/>
      </c>
      <c r="Y642" s="174" t="str">
        <f t="shared" ca="1" si="546"/>
        <v/>
      </c>
      <c r="Z642" s="175" t="str">
        <f t="shared" ca="1" si="547"/>
        <v/>
      </c>
    </row>
    <row r="643" spans="1:26" s="70" customFormat="1" ht="11.5" x14ac:dyDescent="0.25">
      <c r="A643" s="122" t="s">
        <v>66</v>
      </c>
      <c r="B643" s="122" t="s">
        <v>14</v>
      </c>
      <c r="C643" s="122" t="s">
        <v>1162</v>
      </c>
      <c r="D643" s="122" t="s">
        <v>806</v>
      </c>
      <c r="E643" s="128">
        <f t="shared" ref="E643:E663" si="577">(COUNTIFS(J643,"&lt;="&amp;$C$1)*50%)+(COUNTIFS(M643,"&lt;="&amp;$C$1)*20%)+(COUNTIFS(P643,"&lt;="&amp;$C$1)*10%)+(COUNTIFS(S643,"&lt;="&amp;$C$1)*20%)</f>
        <v>0</v>
      </c>
      <c r="F643" s="128">
        <f t="shared" ref="F643:G663" si="578">(COUNTIFS(K643,"&lt;="&amp;$C$1)*50%)+(COUNTIFS(N643,"&lt;="&amp;$C$1)*20%)+(COUNTIFS(Q643,"&lt;="&amp;$C$1)*10%)+(COUNTIFS(T643,"&lt;="&amp;$C$1)*20%)</f>
        <v>0</v>
      </c>
      <c r="G643" s="128">
        <f t="shared" si="578"/>
        <v>0</v>
      </c>
      <c r="H643" s="128">
        <f t="shared" ref="H643:H663" si="579">G643-E643</f>
        <v>0</v>
      </c>
      <c r="I643" s="124">
        <v>4.7E-2</v>
      </c>
      <c r="J643" s="125">
        <f t="shared" si="576"/>
        <v>46283</v>
      </c>
      <c r="K643" s="125">
        <f t="shared" si="548"/>
        <v>46283</v>
      </c>
      <c r="L643" s="125"/>
      <c r="M643" s="125">
        <f t="shared" si="549"/>
        <v>46325</v>
      </c>
      <c r="N643" s="125">
        <f t="shared" si="550"/>
        <v>46325</v>
      </c>
      <c r="O643" s="125"/>
      <c r="P643" s="125">
        <f t="shared" si="551"/>
        <v>46367</v>
      </c>
      <c r="Q643" s="125">
        <f t="shared" si="552"/>
        <v>46367</v>
      </c>
      <c r="R643" s="125"/>
      <c r="S643" s="125">
        <f t="shared" si="554"/>
        <v>46381</v>
      </c>
      <c r="T643" s="125">
        <f t="shared" si="553"/>
        <v>46381</v>
      </c>
      <c r="U643" s="125"/>
      <c r="W643" s="174" t="str">
        <f t="shared" ca="1" si="544"/>
        <v/>
      </c>
      <c r="X643" s="174" t="str">
        <f t="shared" ca="1" si="545"/>
        <v/>
      </c>
      <c r="Y643" s="174" t="str">
        <f t="shared" ca="1" si="546"/>
        <v/>
      </c>
      <c r="Z643" s="175" t="str">
        <f t="shared" ca="1" si="547"/>
        <v/>
      </c>
    </row>
    <row r="644" spans="1:26" s="70" customFormat="1" ht="11.5" x14ac:dyDescent="0.25">
      <c r="A644" s="122" t="s">
        <v>66</v>
      </c>
      <c r="B644" s="122" t="s">
        <v>14</v>
      </c>
      <c r="C644" s="122" t="s">
        <v>1163</v>
      </c>
      <c r="D644" s="122" t="s">
        <v>807</v>
      </c>
      <c r="E644" s="128">
        <f>(COUNTIFS(J644,"&lt;="&amp;$C$1)*50%)+(COUNTIFS(M644,"&lt;="&amp;$C$1)*20%)+(COUNTIFS(P644,"&lt;="&amp;$C$1)*10%)+(COUNTIFS(S644,"&lt;="&amp;$C$1)*20%)</f>
        <v>0</v>
      </c>
      <c r="F644" s="128">
        <f>(COUNTIFS(K644,"&lt;="&amp;$C$1)*50%)+(COUNTIFS(N644,"&lt;="&amp;$C$1)*20%)+(COUNTIFS(Q644,"&lt;="&amp;$C$1)*10%)+(COUNTIFS(T644,"&lt;="&amp;$C$1)*20%)</f>
        <v>0</v>
      </c>
      <c r="G644" s="128">
        <f>(COUNTIFS(L644,"&lt;="&amp;$C$1)*50%)+(COUNTIFS(O644,"&lt;="&amp;$C$1)*20%)+(COUNTIFS(R644,"&lt;="&amp;$C$1)*10%)+(COUNTIFS(U644,"&lt;="&amp;$C$1)*20%)</f>
        <v>0</v>
      </c>
      <c r="H644" s="128">
        <f>G644-E644</f>
        <v>0</v>
      </c>
      <c r="I644" s="124">
        <v>4.7E-2</v>
      </c>
      <c r="J644" s="125">
        <f t="shared" si="576"/>
        <v>46283</v>
      </c>
      <c r="K644" s="125">
        <f t="shared" si="548"/>
        <v>46283</v>
      </c>
      <c r="L644" s="125"/>
      <c r="M644" s="125">
        <f t="shared" si="549"/>
        <v>46325</v>
      </c>
      <c r="N644" s="125">
        <f t="shared" si="550"/>
        <v>46325</v>
      </c>
      <c r="O644" s="125"/>
      <c r="P644" s="125">
        <f t="shared" si="551"/>
        <v>46367</v>
      </c>
      <c r="Q644" s="125">
        <f t="shared" si="552"/>
        <v>46367</v>
      </c>
      <c r="R644" s="125"/>
      <c r="S644" s="125">
        <f t="shared" si="554"/>
        <v>46381</v>
      </c>
      <c r="T644" s="125">
        <f t="shared" si="553"/>
        <v>46381</v>
      </c>
      <c r="U644" s="125"/>
      <c r="W644" s="174" t="str">
        <f t="shared" ca="1" si="544"/>
        <v/>
      </c>
      <c r="X644" s="174" t="str">
        <f t="shared" ca="1" si="545"/>
        <v/>
      </c>
      <c r="Y644" s="174" t="str">
        <f t="shared" ca="1" si="546"/>
        <v/>
      </c>
      <c r="Z644" s="175" t="str">
        <f t="shared" ca="1" si="547"/>
        <v/>
      </c>
    </row>
    <row r="645" spans="1:26" s="70" customFormat="1" ht="11.5" x14ac:dyDescent="0.25">
      <c r="A645" s="122" t="s">
        <v>66</v>
      </c>
      <c r="B645" s="122" t="s">
        <v>14</v>
      </c>
      <c r="C645" s="122" t="s">
        <v>1164</v>
      </c>
      <c r="D645" s="122" t="s">
        <v>808</v>
      </c>
      <c r="E645" s="128">
        <f t="shared" si="577"/>
        <v>0</v>
      </c>
      <c r="F645" s="128">
        <f t="shared" si="578"/>
        <v>0</v>
      </c>
      <c r="G645" s="128">
        <f t="shared" si="578"/>
        <v>0</v>
      </c>
      <c r="H645" s="128">
        <f t="shared" si="579"/>
        <v>0</v>
      </c>
      <c r="I645" s="124">
        <v>4.7E-2</v>
      </c>
      <c r="J645" s="125">
        <f t="shared" si="576"/>
        <v>46283</v>
      </c>
      <c r="K645" s="125">
        <f t="shared" si="548"/>
        <v>46283</v>
      </c>
      <c r="L645" s="125"/>
      <c r="M645" s="125">
        <f t="shared" si="549"/>
        <v>46325</v>
      </c>
      <c r="N645" s="125">
        <f t="shared" si="550"/>
        <v>46325</v>
      </c>
      <c r="O645" s="125"/>
      <c r="P645" s="125">
        <f t="shared" si="551"/>
        <v>46367</v>
      </c>
      <c r="Q645" s="125">
        <f t="shared" si="552"/>
        <v>46367</v>
      </c>
      <c r="R645" s="125"/>
      <c r="S645" s="125">
        <f t="shared" si="554"/>
        <v>46381</v>
      </c>
      <c r="T645" s="125">
        <f t="shared" si="553"/>
        <v>46381</v>
      </c>
      <c r="U645" s="125"/>
      <c r="W645" s="174" t="str">
        <f t="shared" ca="1" si="544"/>
        <v/>
      </c>
      <c r="X645" s="174" t="str">
        <f t="shared" ca="1" si="545"/>
        <v/>
      </c>
      <c r="Y645" s="174" t="str">
        <f t="shared" ca="1" si="546"/>
        <v/>
      </c>
      <c r="Z645" s="175" t="str">
        <f t="shared" ca="1" si="547"/>
        <v/>
      </c>
    </row>
    <row r="646" spans="1:26" s="70" customFormat="1" ht="11.5" x14ac:dyDescent="0.25">
      <c r="A646" s="122" t="s">
        <v>66</v>
      </c>
      <c r="B646" s="122" t="s">
        <v>14</v>
      </c>
      <c r="C646" s="122" t="s">
        <v>1165</v>
      </c>
      <c r="D646" s="122" t="s">
        <v>809</v>
      </c>
      <c r="E646" s="128">
        <f t="shared" si="577"/>
        <v>0</v>
      </c>
      <c r="F646" s="128">
        <f t="shared" si="578"/>
        <v>0</v>
      </c>
      <c r="G646" s="128">
        <f t="shared" si="578"/>
        <v>0</v>
      </c>
      <c r="H646" s="128">
        <f t="shared" si="579"/>
        <v>0</v>
      </c>
      <c r="I646" s="124">
        <v>4.7E-2</v>
      </c>
      <c r="J646" s="125">
        <f t="shared" si="576"/>
        <v>46283</v>
      </c>
      <c r="K646" s="125">
        <f t="shared" si="548"/>
        <v>46283</v>
      </c>
      <c r="L646" s="125"/>
      <c r="M646" s="125">
        <f t="shared" si="549"/>
        <v>46325</v>
      </c>
      <c r="N646" s="125">
        <f t="shared" si="550"/>
        <v>46325</v>
      </c>
      <c r="O646" s="125"/>
      <c r="P646" s="125">
        <f t="shared" si="551"/>
        <v>46367</v>
      </c>
      <c r="Q646" s="125">
        <f t="shared" si="552"/>
        <v>46367</v>
      </c>
      <c r="R646" s="125"/>
      <c r="S646" s="125">
        <f t="shared" si="554"/>
        <v>46381</v>
      </c>
      <c r="T646" s="125">
        <f t="shared" si="553"/>
        <v>46381</v>
      </c>
      <c r="U646" s="125"/>
      <c r="W646" s="174" t="str">
        <f t="shared" ca="1" si="544"/>
        <v/>
      </c>
      <c r="X646" s="174" t="str">
        <f t="shared" ca="1" si="545"/>
        <v/>
      </c>
      <c r="Y646" s="174" t="str">
        <f t="shared" ca="1" si="546"/>
        <v/>
      </c>
      <c r="Z646" s="175" t="str">
        <f t="shared" ca="1" si="547"/>
        <v/>
      </c>
    </row>
    <row r="647" spans="1:26" s="70" customFormat="1" ht="11.5" x14ac:dyDescent="0.25">
      <c r="A647" s="122" t="s">
        <v>66</v>
      </c>
      <c r="B647" s="122" t="s">
        <v>14</v>
      </c>
      <c r="C647" s="122" t="s">
        <v>1166</v>
      </c>
      <c r="D647" s="122" t="s">
        <v>810</v>
      </c>
      <c r="E647" s="128">
        <f t="shared" si="577"/>
        <v>0</v>
      </c>
      <c r="F647" s="128">
        <f t="shared" si="578"/>
        <v>0</v>
      </c>
      <c r="G647" s="128">
        <f t="shared" si="578"/>
        <v>0</v>
      </c>
      <c r="H647" s="128">
        <f t="shared" si="579"/>
        <v>0</v>
      </c>
      <c r="I647" s="124">
        <v>4.7E-2</v>
      </c>
      <c r="J647" s="125">
        <f t="shared" si="576"/>
        <v>46283</v>
      </c>
      <c r="K647" s="125">
        <f t="shared" si="548"/>
        <v>46283</v>
      </c>
      <c r="L647" s="125"/>
      <c r="M647" s="125">
        <f t="shared" si="549"/>
        <v>46325</v>
      </c>
      <c r="N647" s="125">
        <f t="shared" si="550"/>
        <v>46325</v>
      </c>
      <c r="O647" s="125"/>
      <c r="P647" s="125">
        <f t="shared" si="551"/>
        <v>46367</v>
      </c>
      <c r="Q647" s="125">
        <f t="shared" si="552"/>
        <v>46367</v>
      </c>
      <c r="R647" s="125"/>
      <c r="S647" s="125">
        <f t="shared" si="554"/>
        <v>46381</v>
      </c>
      <c r="T647" s="125">
        <f t="shared" si="553"/>
        <v>46381</v>
      </c>
      <c r="U647" s="125"/>
      <c r="W647" s="174" t="str">
        <f t="shared" ca="1" si="544"/>
        <v/>
      </c>
      <c r="X647" s="174" t="str">
        <f t="shared" ca="1" si="545"/>
        <v/>
      </c>
      <c r="Y647" s="174" t="str">
        <f t="shared" ca="1" si="546"/>
        <v/>
      </c>
      <c r="Z647" s="175" t="str">
        <f t="shared" ca="1" si="547"/>
        <v/>
      </c>
    </row>
    <row r="648" spans="1:26" s="70" customFormat="1" ht="11.5" x14ac:dyDescent="0.25">
      <c r="A648" s="122" t="s">
        <v>66</v>
      </c>
      <c r="B648" s="122" t="s">
        <v>14</v>
      </c>
      <c r="C648" s="122" t="s">
        <v>811</v>
      </c>
      <c r="D648" s="122" t="s">
        <v>812</v>
      </c>
      <c r="E648" s="128">
        <f t="shared" si="577"/>
        <v>0</v>
      </c>
      <c r="F648" s="128">
        <f t="shared" si="578"/>
        <v>0</v>
      </c>
      <c r="G648" s="128">
        <f t="shared" si="578"/>
        <v>0</v>
      </c>
      <c r="H648" s="128">
        <f t="shared" si="579"/>
        <v>0</v>
      </c>
      <c r="I648" s="124">
        <v>4.7E-2</v>
      </c>
      <c r="J648" s="125">
        <f t="shared" si="576"/>
        <v>46290</v>
      </c>
      <c r="K648" s="125">
        <f t="shared" si="548"/>
        <v>46290</v>
      </c>
      <c r="L648" s="125"/>
      <c r="M648" s="125">
        <f t="shared" si="549"/>
        <v>46332</v>
      </c>
      <c r="N648" s="125">
        <f t="shared" si="550"/>
        <v>46332</v>
      </c>
      <c r="O648" s="125"/>
      <c r="P648" s="125">
        <f t="shared" si="551"/>
        <v>46374</v>
      </c>
      <c r="Q648" s="125">
        <f t="shared" si="552"/>
        <v>46374</v>
      </c>
      <c r="R648" s="125"/>
      <c r="S648" s="125">
        <f t="shared" si="554"/>
        <v>46388</v>
      </c>
      <c r="T648" s="125">
        <f t="shared" si="553"/>
        <v>46388</v>
      </c>
      <c r="U648" s="125"/>
      <c r="W648" s="174" t="str">
        <f t="shared" ca="1" si="544"/>
        <v/>
      </c>
      <c r="X648" s="174" t="str">
        <f t="shared" ca="1" si="545"/>
        <v/>
      </c>
      <c r="Y648" s="174" t="str">
        <f t="shared" ca="1" si="546"/>
        <v/>
      </c>
      <c r="Z648" s="175" t="str">
        <f t="shared" ca="1" si="547"/>
        <v/>
      </c>
    </row>
    <row r="649" spans="1:26" s="70" customFormat="1" ht="11.5" x14ac:dyDescent="0.25">
      <c r="A649" s="122" t="s">
        <v>66</v>
      </c>
      <c r="B649" s="122" t="s">
        <v>14</v>
      </c>
      <c r="C649" s="122" t="s">
        <v>813</v>
      </c>
      <c r="D649" s="122" t="s">
        <v>814</v>
      </c>
      <c r="E649" s="128">
        <f t="shared" si="577"/>
        <v>0</v>
      </c>
      <c r="F649" s="128">
        <f t="shared" si="578"/>
        <v>0</v>
      </c>
      <c r="G649" s="128">
        <f t="shared" si="578"/>
        <v>0</v>
      </c>
      <c r="H649" s="128">
        <f t="shared" si="579"/>
        <v>0</v>
      </c>
      <c r="I649" s="124">
        <v>4.7E-2</v>
      </c>
      <c r="J649" s="125">
        <f t="shared" si="576"/>
        <v>46290</v>
      </c>
      <c r="K649" s="125">
        <f t="shared" si="548"/>
        <v>46290</v>
      </c>
      <c r="L649" s="125"/>
      <c r="M649" s="125">
        <f t="shared" si="549"/>
        <v>46332</v>
      </c>
      <c r="N649" s="125">
        <f t="shared" si="550"/>
        <v>46332</v>
      </c>
      <c r="O649" s="125"/>
      <c r="P649" s="125">
        <f t="shared" si="551"/>
        <v>46374</v>
      </c>
      <c r="Q649" s="125">
        <f t="shared" si="552"/>
        <v>46374</v>
      </c>
      <c r="R649" s="125"/>
      <c r="S649" s="125">
        <f t="shared" si="554"/>
        <v>46388</v>
      </c>
      <c r="T649" s="125">
        <f t="shared" si="553"/>
        <v>46388</v>
      </c>
      <c r="U649" s="125"/>
      <c r="W649" s="174" t="str">
        <f t="shared" ca="1" si="544"/>
        <v/>
      </c>
      <c r="X649" s="174" t="str">
        <f t="shared" ca="1" si="545"/>
        <v/>
      </c>
      <c r="Y649" s="174" t="str">
        <f t="shared" ca="1" si="546"/>
        <v/>
      </c>
      <c r="Z649" s="175" t="str">
        <f t="shared" ca="1" si="547"/>
        <v/>
      </c>
    </row>
    <row r="650" spans="1:26" s="70" customFormat="1" ht="11.5" x14ac:dyDescent="0.25">
      <c r="A650" s="121" t="s">
        <v>66</v>
      </c>
      <c r="B650" s="121" t="s">
        <v>14</v>
      </c>
      <c r="C650" s="122" t="s">
        <v>815</v>
      </c>
      <c r="D650" s="122" t="s">
        <v>816</v>
      </c>
      <c r="E650" s="123">
        <f t="shared" si="577"/>
        <v>0</v>
      </c>
      <c r="F650" s="123">
        <f t="shared" si="578"/>
        <v>0</v>
      </c>
      <c r="G650" s="123">
        <f t="shared" si="578"/>
        <v>0</v>
      </c>
      <c r="H650" s="123">
        <f t="shared" si="579"/>
        <v>0</v>
      </c>
      <c r="I650" s="124">
        <v>4.7E-2</v>
      </c>
      <c r="J650" s="125">
        <f t="shared" si="576"/>
        <v>46290</v>
      </c>
      <c r="K650" s="125">
        <f t="shared" si="548"/>
        <v>46290</v>
      </c>
      <c r="L650" s="125"/>
      <c r="M650" s="125">
        <f t="shared" si="549"/>
        <v>46332</v>
      </c>
      <c r="N650" s="125">
        <f t="shared" si="550"/>
        <v>46332</v>
      </c>
      <c r="O650" s="125"/>
      <c r="P650" s="125">
        <f t="shared" si="551"/>
        <v>46374</v>
      </c>
      <c r="Q650" s="125">
        <f t="shared" si="552"/>
        <v>46374</v>
      </c>
      <c r="R650" s="125"/>
      <c r="S650" s="125">
        <f t="shared" si="554"/>
        <v>46388</v>
      </c>
      <c r="T650" s="125">
        <f t="shared" si="553"/>
        <v>46388</v>
      </c>
      <c r="U650" s="125"/>
      <c r="W650" s="174" t="str">
        <f t="shared" ca="1" si="544"/>
        <v/>
      </c>
      <c r="X650" s="174" t="str">
        <f t="shared" ca="1" si="545"/>
        <v/>
      </c>
      <c r="Y650" s="174" t="str">
        <f t="shared" ca="1" si="546"/>
        <v/>
      </c>
      <c r="Z650" s="175" t="str">
        <f t="shared" ca="1" si="547"/>
        <v/>
      </c>
    </row>
    <row r="651" spans="1:26" s="70" customFormat="1" ht="11.5" x14ac:dyDescent="0.25">
      <c r="A651" s="121" t="s">
        <v>66</v>
      </c>
      <c r="B651" s="121" t="s">
        <v>14</v>
      </c>
      <c r="C651" s="122" t="s">
        <v>1167</v>
      </c>
      <c r="D651" s="122" t="s">
        <v>817</v>
      </c>
      <c r="E651" s="123">
        <f t="shared" si="577"/>
        <v>0</v>
      </c>
      <c r="F651" s="123">
        <f t="shared" si="578"/>
        <v>0</v>
      </c>
      <c r="G651" s="123">
        <f t="shared" si="578"/>
        <v>0</v>
      </c>
      <c r="H651" s="123">
        <f t="shared" si="579"/>
        <v>0</v>
      </c>
      <c r="I651" s="124">
        <v>4.7E-2</v>
      </c>
      <c r="J651" s="125">
        <f t="shared" si="576"/>
        <v>46290</v>
      </c>
      <c r="K651" s="125">
        <f t="shared" si="548"/>
        <v>46290</v>
      </c>
      <c r="L651" s="125"/>
      <c r="M651" s="125">
        <f t="shared" si="549"/>
        <v>46332</v>
      </c>
      <c r="N651" s="125">
        <f t="shared" si="550"/>
        <v>46332</v>
      </c>
      <c r="O651" s="125"/>
      <c r="P651" s="125">
        <f t="shared" si="551"/>
        <v>46374</v>
      </c>
      <c r="Q651" s="125">
        <f t="shared" si="552"/>
        <v>46374</v>
      </c>
      <c r="R651" s="125"/>
      <c r="S651" s="125">
        <f t="shared" si="554"/>
        <v>46388</v>
      </c>
      <c r="T651" s="125">
        <f t="shared" si="553"/>
        <v>46388</v>
      </c>
      <c r="U651" s="125"/>
      <c r="W651" s="174" t="str">
        <f t="shared" ca="1" si="544"/>
        <v/>
      </c>
      <c r="X651" s="174" t="str">
        <f t="shared" ca="1" si="545"/>
        <v/>
      </c>
      <c r="Y651" s="174" t="str">
        <f t="shared" ca="1" si="546"/>
        <v/>
      </c>
      <c r="Z651" s="175" t="str">
        <f t="shared" ca="1" si="547"/>
        <v/>
      </c>
    </row>
    <row r="652" spans="1:26" s="70" customFormat="1" ht="11.5" x14ac:dyDescent="0.25">
      <c r="A652" s="121" t="s">
        <v>66</v>
      </c>
      <c r="B652" s="121" t="s">
        <v>14</v>
      </c>
      <c r="C652" s="122" t="s">
        <v>1168</v>
      </c>
      <c r="D652" s="122" t="s">
        <v>818</v>
      </c>
      <c r="E652" s="123">
        <f t="shared" si="577"/>
        <v>0</v>
      </c>
      <c r="F652" s="123">
        <f t="shared" si="578"/>
        <v>0</v>
      </c>
      <c r="G652" s="123">
        <f t="shared" si="578"/>
        <v>0</v>
      </c>
      <c r="H652" s="123">
        <f t="shared" si="579"/>
        <v>0</v>
      </c>
      <c r="I652" s="124">
        <v>4.7E-2</v>
      </c>
      <c r="J652" s="125">
        <f t="shared" si="576"/>
        <v>46290</v>
      </c>
      <c r="K652" s="125">
        <f t="shared" si="548"/>
        <v>46290</v>
      </c>
      <c r="L652" s="125"/>
      <c r="M652" s="125">
        <f t="shared" si="549"/>
        <v>46332</v>
      </c>
      <c r="N652" s="125">
        <f t="shared" si="550"/>
        <v>46332</v>
      </c>
      <c r="O652" s="125"/>
      <c r="P652" s="125">
        <f t="shared" si="551"/>
        <v>46374</v>
      </c>
      <c r="Q652" s="125">
        <f t="shared" si="552"/>
        <v>46374</v>
      </c>
      <c r="R652" s="125"/>
      <c r="S652" s="125">
        <f t="shared" si="554"/>
        <v>46388</v>
      </c>
      <c r="T652" s="125">
        <f t="shared" si="553"/>
        <v>46388</v>
      </c>
      <c r="U652" s="125"/>
      <c r="W652" s="174" t="str">
        <f t="shared" ca="1" si="544"/>
        <v/>
      </c>
      <c r="X652" s="174" t="str">
        <f t="shared" ca="1" si="545"/>
        <v/>
      </c>
      <c r="Y652" s="174" t="str">
        <f t="shared" ca="1" si="546"/>
        <v/>
      </c>
      <c r="Z652" s="175" t="str">
        <f t="shared" ca="1" si="547"/>
        <v/>
      </c>
    </row>
    <row r="653" spans="1:26" s="70" customFormat="1" ht="11.5" x14ac:dyDescent="0.25">
      <c r="A653" s="121" t="s">
        <v>66</v>
      </c>
      <c r="B653" s="121" t="s">
        <v>14</v>
      </c>
      <c r="C653" s="122" t="s">
        <v>1169</v>
      </c>
      <c r="D653" s="122" t="s">
        <v>819</v>
      </c>
      <c r="E653" s="123">
        <f t="shared" si="577"/>
        <v>0</v>
      </c>
      <c r="F653" s="123">
        <f t="shared" si="578"/>
        <v>0</v>
      </c>
      <c r="G653" s="123">
        <f t="shared" si="578"/>
        <v>0</v>
      </c>
      <c r="H653" s="123">
        <f t="shared" si="579"/>
        <v>0</v>
      </c>
      <c r="I653" s="124">
        <v>4.7E-2</v>
      </c>
      <c r="J653" s="125">
        <f t="shared" si="576"/>
        <v>46290</v>
      </c>
      <c r="K653" s="125">
        <f t="shared" si="548"/>
        <v>46290</v>
      </c>
      <c r="L653" s="125"/>
      <c r="M653" s="125">
        <f t="shared" si="549"/>
        <v>46332</v>
      </c>
      <c r="N653" s="125">
        <f t="shared" si="550"/>
        <v>46332</v>
      </c>
      <c r="O653" s="125"/>
      <c r="P653" s="125">
        <f t="shared" si="551"/>
        <v>46374</v>
      </c>
      <c r="Q653" s="125">
        <f t="shared" si="552"/>
        <v>46374</v>
      </c>
      <c r="R653" s="125"/>
      <c r="S653" s="125">
        <f t="shared" si="554"/>
        <v>46388</v>
      </c>
      <c r="T653" s="125">
        <f t="shared" si="553"/>
        <v>46388</v>
      </c>
      <c r="U653" s="125"/>
      <c r="W653" s="174" t="str">
        <f t="shared" ca="1" si="544"/>
        <v/>
      </c>
      <c r="X653" s="174" t="str">
        <f t="shared" ca="1" si="545"/>
        <v/>
      </c>
      <c r="Y653" s="174" t="str">
        <f t="shared" ca="1" si="546"/>
        <v/>
      </c>
      <c r="Z653" s="175" t="str">
        <f t="shared" ca="1" si="547"/>
        <v/>
      </c>
    </row>
    <row r="654" spans="1:26" s="70" customFormat="1" ht="11.5" x14ac:dyDescent="0.25">
      <c r="A654" s="121" t="s">
        <v>66</v>
      </c>
      <c r="B654" s="121" t="s">
        <v>14</v>
      </c>
      <c r="C654" s="122" t="s">
        <v>1170</v>
      </c>
      <c r="D654" s="122" t="s">
        <v>820</v>
      </c>
      <c r="E654" s="123">
        <f t="shared" si="577"/>
        <v>0</v>
      </c>
      <c r="F654" s="123">
        <f t="shared" si="578"/>
        <v>0</v>
      </c>
      <c r="G654" s="123">
        <f t="shared" si="578"/>
        <v>0</v>
      </c>
      <c r="H654" s="123">
        <f t="shared" si="579"/>
        <v>0</v>
      </c>
      <c r="I654" s="124">
        <v>4.7E-2</v>
      </c>
      <c r="J654" s="125">
        <f t="shared" si="576"/>
        <v>46290</v>
      </c>
      <c r="K654" s="125">
        <f t="shared" si="548"/>
        <v>46290</v>
      </c>
      <c r="L654" s="125"/>
      <c r="M654" s="125">
        <f t="shared" si="549"/>
        <v>46332</v>
      </c>
      <c r="N654" s="125">
        <f t="shared" si="550"/>
        <v>46332</v>
      </c>
      <c r="O654" s="125"/>
      <c r="P654" s="125">
        <f t="shared" si="551"/>
        <v>46374</v>
      </c>
      <c r="Q654" s="125">
        <f t="shared" si="552"/>
        <v>46374</v>
      </c>
      <c r="R654" s="125"/>
      <c r="S654" s="125">
        <f t="shared" si="554"/>
        <v>46388</v>
      </c>
      <c r="T654" s="125">
        <f t="shared" si="553"/>
        <v>46388</v>
      </c>
      <c r="U654" s="125"/>
      <c r="W654" s="174" t="str">
        <f t="shared" ca="1" si="544"/>
        <v/>
      </c>
      <c r="X654" s="174" t="str">
        <f t="shared" ca="1" si="545"/>
        <v/>
      </c>
      <c r="Y654" s="174" t="str">
        <f t="shared" ca="1" si="546"/>
        <v/>
      </c>
      <c r="Z654" s="175" t="str">
        <f t="shared" ca="1" si="547"/>
        <v/>
      </c>
    </row>
    <row r="655" spans="1:26" s="70" customFormat="1" ht="11.5" x14ac:dyDescent="0.25">
      <c r="A655" s="121" t="s">
        <v>66</v>
      </c>
      <c r="B655" s="121" t="s">
        <v>14</v>
      </c>
      <c r="C655" s="122" t="s">
        <v>1171</v>
      </c>
      <c r="D655" s="122" t="s">
        <v>821</v>
      </c>
      <c r="E655" s="123">
        <f t="shared" si="577"/>
        <v>0</v>
      </c>
      <c r="F655" s="123">
        <f t="shared" si="578"/>
        <v>0</v>
      </c>
      <c r="G655" s="123">
        <f t="shared" si="578"/>
        <v>0</v>
      </c>
      <c r="H655" s="123">
        <f t="shared" si="579"/>
        <v>0</v>
      </c>
      <c r="I655" s="124">
        <v>4.7E-2</v>
      </c>
      <c r="J655" s="125">
        <f t="shared" si="576"/>
        <v>46290</v>
      </c>
      <c r="K655" s="125">
        <f t="shared" si="548"/>
        <v>46290</v>
      </c>
      <c r="L655" s="125"/>
      <c r="M655" s="125">
        <f t="shared" si="549"/>
        <v>46332</v>
      </c>
      <c r="N655" s="125">
        <f t="shared" si="550"/>
        <v>46332</v>
      </c>
      <c r="O655" s="125"/>
      <c r="P655" s="125">
        <f t="shared" si="551"/>
        <v>46374</v>
      </c>
      <c r="Q655" s="125">
        <f t="shared" si="552"/>
        <v>46374</v>
      </c>
      <c r="R655" s="125"/>
      <c r="S655" s="125">
        <f t="shared" si="554"/>
        <v>46388</v>
      </c>
      <c r="T655" s="125">
        <f t="shared" si="553"/>
        <v>46388</v>
      </c>
      <c r="U655" s="125"/>
      <c r="W655" s="174" t="str">
        <f t="shared" ca="1" si="544"/>
        <v/>
      </c>
      <c r="X655" s="174" t="str">
        <f t="shared" ca="1" si="545"/>
        <v/>
      </c>
      <c r="Y655" s="174" t="str">
        <f t="shared" ca="1" si="546"/>
        <v/>
      </c>
      <c r="Z655" s="175" t="str">
        <f t="shared" ca="1" si="547"/>
        <v/>
      </c>
    </row>
    <row r="656" spans="1:26" s="70" customFormat="1" ht="11.5" x14ac:dyDescent="0.25">
      <c r="A656" s="121" t="s">
        <v>66</v>
      </c>
      <c r="B656" s="121" t="s">
        <v>14</v>
      </c>
      <c r="C656" s="122" t="s">
        <v>1172</v>
      </c>
      <c r="D656" s="122" t="s">
        <v>822</v>
      </c>
      <c r="E656" s="123">
        <f t="shared" si="577"/>
        <v>0</v>
      </c>
      <c r="F656" s="123">
        <f t="shared" si="578"/>
        <v>0</v>
      </c>
      <c r="G656" s="123">
        <f t="shared" si="578"/>
        <v>0</v>
      </c>
      <c r="H656" s="123">
        <f t="shared" si="579"/>
        <v>0</v>
      </c>
      <c r="I656" s="124">
        <v>4.7E-2</v>
      </c>
      <c r="J656" s="125">
        <f t="shared" si="576"/>
        <v>46290</v>
      </c>
      <c r="K656" s="125">
        <f t="shared" si="548"/>
        <v>46290</v>
      </c>
      <c r="L656" s="125"/>
      <c r="M656" s="125">
        <f t="shared" si="549"/>
        <v>46332</v>
      </c>
      <c r="N656" s="125">
        <f t="shared" si="550"/>
        <v>46332</v>
      </c>
      <c r="O656" s="125"/>
      <c r="P656" s="125">
        <f t="shared" si="551"/>
        <v>46374</v>
      </c>
      <c r="Q656" s="125">
        <f t="shared" si="552"/>
        <v>46374</v>
      </c>
      <c r="R656" s="125"/>
      <c r="S656" s="125">
        <f t="shared" si="554"/>
        <v>46388</v>
      </c>
      <c r="T656" s="125">
        <f t="shared" si="553"/>
        <v>46388</v>
      </c>
      <c r="U656" s="125"/>
      <c r="W656" s="174" t="str">
        <f t="shared" ca="1" si="544"/>
        <v/>
      </c>
      <c r="X656" s="174" t="str">
        <f t="shared" ca="1" si="545"/>
        <v/>
      </c>
      <c r="Y656" s="174" t="str">
        <f t="shared" ca="1" si="546"/>
        <v/>
      </c>
      <c r="Z656" s="175" t="str">
        <f t="shared" ca="1" si="547"/>
        <v/>
      </c>
    </row>
    <row r="657" spans="1:26" s="70" customFormat="1" ht="11.5" x14ac:dyDescent="0.25">
      <c r="A657" s="121" t="s">
        <v>66</v>
      </c>
      <c r="B657" s="121" t="s">
        <v>14</v>
      </c>
      <c r="C657" s="122" t="s">
        <v>823</v>
      </c>
      <c r="D657" s="122" t="s">
        <v>824</v>
      </c>
      <c r="E657" s="123">
        <f t="shared" si="577"/>
        <v>0</v>
      </c>
      <c r="F657" s="123">
        <f t="shared" si="578"/>
        <v>0</v>
      </c>
      <c r="G657" s="123">
        <f t="shared" si="578"/>
        <v>0</v>
      </c>
      <c r="H657" s="123">
        <f t="shared" si="579"/>
        <v>0</v>
      </c>
      <c r="I657" s="124">
        <v>4.7E-2</v>
      </c>
      <c r="J657" s="125">
        <f t="shared" si="576"/>
        <v>46290</v>
      </c>
      <c r="K657" s="125">
        <f t="shared" si="548"/>
        <v>46290</v>
      </c>
      <c r="L657" s="125"/>
      <c r="M657" s="125">
        <f t="shared" si="549"/>
        <v>46332</v>
      </c>
      <c r="N657" s="125">
        <f t="shared" si="550"/>
        <v>46332</v>
      </c>
      <c r="O657" s="125"/>
      <c r="P657" s="125">
        <f t="shared" si="551"/>
        <v>46374</v>
      </c>
      <c r="Q657" s="125">
        <f t="shared" si="552"/>
        <v>46374</v>
      </c>
      <c r="R657" s="125"/>
      <c r="S657" s="125">
        <f t="shared" si="554"/>
        <v>46388</v>
      </c>
      <c r="T657" s="125">
        <f t="shared" si="553"/>
        <v>46388</v>
      </c>
      <c r="U657" s="125"/>
      <c r="W657" s="174" t="str">
        <f t="shared" ca="1" si="544"/>
        <v/>
      </c>
      <c r="X657" s="174" t="str">
        <f t="shared" ca="1" si="545"/>
        <v/>
      </c>
      <c r="Y657" s="174" t="str">
        <f t="shared" ca="1" si="546"/>
        <v/>
      </c>
      <c r="Z657" s="175" t="str">
        <f t="shared" ca="1" si="547"/>
        <v/>
      </c>
    </row>
    <row r="658" spans="1:26" s="70" customFormat="1" ht="11.5" x14ac:dyDescent="0.25">
      <c r="A658" s="121" t="s">
        <v>66</v>
      </c>
      <c r="B658" s="121" t="s">
        <v>14</v>
      </c>
      <c r="C658" s="122" t="s">
        <v>825</v>
      </c>
      <c r="D658" s="122" t="s">
        <v>826</v>
      </c>
      <c r="E658" s="123">
        <f t="shared" si="577"/>
        <v>0</v>
      </c>
      <c r="F658" s="123">
        <f t="shared" si="578"/>
        <v>0</v>
      </c>
      <c r="G658" s="123">
        <f t="shared" si="578"/>
        <v>0</v>
      </c>
      <c r="H658" s="123">
        <f t="shared" si="579"/>
        <v>0</v>
      </c>
      <c r="I658" s="124">
        <v>4.7E-2</v>
      </c>
      <c r="J658" s="125">
        <f t="shared" si="576"/>
        <v>46290</v>
      </c>
      <c r="K658" s="125">
        <f t="shared" si="548"/>
        <v>46290</v>
      </c>
      <c r="L658" s="125"/>
      <c r="M658" s="125">
        <f t="shared" si="549"/>
        <v>46332</v>
      </c>
      <c r="N658" s="125">
        <f t="shared" si="550"/>
        <v>46332</v>
      </c>
      <c r="O658" s="125"/>
      <c r="P658" s="125">
        <f t="shared" si="551"/>
        <v>46374</v>
      </c>
      <c r="Q658" s="125">
        <f t="shared" si="552"/>
        <v>46374</v>
      </c>
      <c r="R658" s="125"/>
      <c r="S658" s="125">
        <f t="shared" si="554"/>
        <v>46388</v>
      </c>
      <c r="T658" s="125">
        <f t="shared" si="553"/>
        <v>46388</v>
      </c>
      <c r="U658" s="125"/>
      <c r="W658" s="174" t="str">
        <f t="shared" ca="1" si="544"/>
        <v/>
      </c>
      <c r="X658" s="174" t="str">
        <f t="shared" ca="1" si="545"/>
        <v/>
      </c>
      <c r="Y658" s="174" t="str">
        <f t="shared" ca="1" si="546"/>
        <v/>
      </c>
      <c r="Z658" s="175" t="str">
        <f t="shared" ca="1" si="547"/>
        <v/>
      </c>
    </row>
    <row r="659" spans="1:26" s="70" customFormat="1" ht="11.5" x14ac:dyDescent="0.25">
      <c r="A659" s="121" t="s">
        <v>66</v>
      </c>
      <c r="B659" s="121" t="s">
        <v>14</v>
      </c>
      <c r="C659" s="122" t="s">
        <v>827</v>
      </c>
      <c r="D659" s="122" t="s">
        <v>828</v>
      </c>
      <c r="E659" s="123">
        <f t="shared" si="577"/>
        <v>0</v>
      </c>
      <c r="F659" s="123">
        <f t="shared" si="578"/>
        <v>0</v>
      </c>
      <c r="G659" s="123">
        <f t="shared" si="578"/>
        <v>0</v>
      </c>
      <c r="H659" s="123">
        <f t="shared" si="579"/>
        <v>0</v>
      </c>
      <c r="I659" s="124">
        <v>4.7E-2</v>
      </c>
      <c r="J659" s="125">
        <f t="shared" si="576"/>
        <v>46290</v>
      </c>
      <c r="K659" s="125">
        <f t="shared" si="548"/>
        <v>46290</v>
      </c>
      <c r="L659" s="125"/>
      <c r="M659" s="125">
        <f t="shared" si="549"/>
        <v>46332</v>
      </c>
      <c r="N659" s="125">
        <f t="shared" si="550"/>
        <v>46332</v>
      </c>
      <c r="O659" s="125"/>
      <c r="P659" s="125">
        <f t="shared" si="551"/>
        <v>46374</v>
      </c>
      <c r="Q659" s="125">
        <f t="shared" si="552"/>
        <v>46374</v>
      </c>
      <c r="R659" s="125"/>
      <c r="S659" s="125">
        <f t="shared" si="554"/>
        <v>46388</v>
      </c>
      <c r="T659" s="125">
        <f t="shared" si="553"/>
        <v>46388</v>
      </c>
      <c r="U659" s="125"/>
      <c r="W659" s="174" t="str">
        <f t="shared" ref="W659:W662" ca="1" si="580">IF(OR(L659&lt;&gt;""),"Completed",
IF(K659="","",IF(K659&lt;TODAY(),"Overdue",
IF(AND(K659&gt;=TODAY()-WEEKDAY(TODAY(),2)+1,K659&lt;=TODAY()-WEEKDAY(TODAY(),2)+7),"Follow-This Week",
IF(AND(K659&gt;=TODAY()-WEEKDAY(TODAY(),2)+8,K659&lt;=TODAY()-WEEKDAY(TODAY(),2)+14),"Follow-Next Week","")))))</f>
        <v/>
      </c>
      <c r="X659" s="174" t="str">
        <f t="shared" ref="X659:X662" ca="1" si="581">IF(OR(O659&lt;&gt;""),"Completed",IF(N659="","",
IF(N659&lt;TODAY(),"Overdue",
IF(AND(N659&gt;=TODAY()-WEEKDAY(TODAY(),2)+1,N659&lt;=TODAY()-WEEKDAY(TODAY(),2)+7),"Follow-This Week",
IF(AND(N659&gt;=TODAY()-WEEKDAY(TODAY(),2)+8,N659&lt;=TODAY()-WEEKDAY(TODAY(),2)+14),"Follow-Next Week","")))))</f>
        <v/>
      </c>
      <c r="Y659" s="174" t="str">
        <f t="shared" ref="Y659:Y663" ca="1" si="582">IF(OR(R659&lt;&gt;""),"Completed",IF(Q659="","",
IF(Q659&lt;TODAY(),"Overdue",
IF(AND(Q659&gt;=TODAY()-WEEKDAY(TODAY(),2)+1,Q659&lt;=TODAY()-WEEKDAY(TODAY(),2)+7),"Follow-This Week",
IF(AND(Q659&gt;=TODAY()-WEEKDAY(TODAY(),2)+8,Q659&lt;=TODAY()-WEEKDAY(TODAY(),2)+14),"Follow-Next Week","")))))</f>
        <v/>
      </c>
      <c r="Z659" s="175" t="str">
        <f t="shared" ref="Z659:Z663" ca="1" si="583">IF(OR(U659&lt;&gt;""),"Completed",IF(T659="","",
IF(T659&lt;TODAY(),"Overdue",
IF(AND(T659&gt;=TODAY()-WEEKDAY(TODAY(),2)+1,T659&lt;=TODAY()-WEEKDAY(TODAY(),2)+7),"Follow-This Week",
IF(AND(T659&gt;=TODAY()-WEEKDAY(TODAY(),2)+8,T659&lt;=TODAY()-WEEKDAY(TODAY(),2)+14),"Follow-Next Week","")))))</f>
        <v/>
      </c>
    </row>
    <row r="660" spans="1:26" s="70" customFormat="1" ht="11.5" x14ac:dyDescent="0.25">
      <c r="A660" s="121" t="s">
        <v>66</v>
      </c>
      <c r="B660" s="121" t="s">
        <v>14</v>
      </c>
      <c r="C660" s="121" t="s">
        <v>1173</v>
      </c>
      <c r="D660" s="121" t="s">
        <v>829</v>
      </c>
      <c r="E660" s="123">
        <f t="shared" si="577"/>
        <v>0</v>
      </c>
      <c r="F660" s="123">
        <f t="shared" si="578"/>
        <v>0</v>
      </c>
      <c r="G660" s="123">
        <f t="shared" si="578"/>
        <v>0</v>
      </c>
      <c r="H660" s="123">
        <f t="shared" si="579"/>
        <v>0</v>
      </c>
      <c r="I660" s="124">
        <v>4.7E-2</v>
      </c>
      <c r="J660" s="125">
        <f t="shared" si="576"/>
        <v>46290</v>
      </c>
      <c r="K660" s="125">
        <f t="shared" si="548"/>
        <v>46290</v>
      </c>
      <c r="L660" s="125"/>
      <c r="M660" s="125">
        <f t="shared" si="549"/>
        <v>46332</v>
      </c>
      <c r="N660" s="125">
        <f t="shared" si="550"/>
        <v>46332</v>
      </c>
      <c r="O660" s="125"/>
      <c r="P660" s="125">
        <f t="shared" si="551"/>
        <v>46374</v>
      </c>
      <c r="Q660" s="125">
        <f t="shared" si="552"/>
        <v>46374</v>
      </c>
      <c r="R660" s="125"/>
      <c r="S660" s="125">
        <f t="shared" si="554"/>
        <v>46388</v>
      </c>
      <c r="T660" s="125">
        <f t="shared" si="553"/>
        <v>46388</v>
      </c>
      <c r="U660" s="125"/>
      <c r="W660" s="174" t="str">
        <f t="shared" ca="1" si="580"/>
        <v/>
      </c>
      <c r="X660" s="174" t="str">
        <f t="shared" ca="1" si="581"/>
        <v/>
      </c>
      <c r="Y660" s="174" t="str">
        <f t="shared" ca="1" si="582"/>
        <v/>
      </c>
      <c r="Z660" s="175" t="str">
        <f t="shared" ca="1" si="583"/>
        <v/>
      </c>
    </row>
    <row r="661" spans="1:26" s="70" customFormat="1" ht="11.5" x14ac:dyDescent="0.25">
      <c r="A661" s="121" t="s">
        <v>66</v>
      </c>
      <c r="B661" s="121" t="s">
        <v>14</v>
      </c>
      <c r="C661" s="121" t="s">
        <v>830</v>
      </c>
      <c r="D661" s="121" t="s">
        <v>831</v>
      </c>
      <c r="E661" s="123">
        <f t="shared" si="577"/>
        <v>0</v>
      </c>
      <c r="F661" s="123">
        <f t="shared" si="578"/>
        <v>0</v>
      </c>
      <c r="G661" s="123">
        <f t="shared" si="578"/>
        <v>0</v>
      </c>
      <c r="H661" s="123">
        <f t="shared" si="579"/>
        <v>0</v>
      </c>
      <c r="I661" s="124">
        <v>4.7E-2</v>
      </c>
      <c r="J661" s="125">
        <f t="shared" si="576"/>
        <v>46290</v>
      </c>
      <c r="K661" s="125">
        <f t="shared" si="548"/>
        <v>46290</v>
      </c>
      <c r="L661" s="125"/>
      <c r="M661" s="125">
        <f t="shared" si="549"/>
        <v>46332</v>
      </c>
      <c r="N661" s="125">
        <f t="shared" si="550"/>
        <v>46332</v>
      </c>
      <c r="O661" s="125"/>
      <c r="P661" s="125">
        <f t="shared" si="551"/>
        <v>46374</v>
      </c>
      <c r="Q661" s="125">
        <f t="shared" si="552"/>
        <v>46374</v>
      </c>
      <c r="R661" s="125"/>
      <c r="S661" s="125">
        <f t="shared" si="554"/>
        <v>46388</v>
      </c>
      <c r="T661" s="125">
        <f t="shared" si="553"/>
        <v>46388</v>
      </c>
      <c r="U661" s="125"/>
      <c r="W661" s="174" t="str">
        <f t="shared" ca="1" si="580"/>
        <v/>
      </c>
      <c r="X661" s="174" t="str">
        <f t="shared" ca="1" si="581"/>
        <v/>
      </c>
      <c r="Y661" s="174" t="str">
        <f t="shared" ca="1" si="582"/>
        <v/>
      </c>
      <c r="Z661" s="175" t="str">
        <f t="shared" ca="1" si="583"/>
        <v/>
      </c>
    </row>
    <row r="662" spans="1:26" s="70" customFormat="1" ht="11.5" x14ac:dyDescent="0.25">
      <c r="A662" s="121" t="s">
        <v>66</v>
      </c>
      <c r="B662" s="121" t="s">
        <v>14</v>
      </c>
      <c r="C662" s="121" t="s">
        <v>832</v>
      </c>
      <c r="D662" s="121" t="s">
        <v>833</v>
      </c>
      <c r="E662" s="123">
        <f t="shared" si="577"/>
        <v>0</v>
      </c>
      <c r="F662" s="123">
        <f t="shared" si="578"/>
        <v>0</v>
      </c>
      <c r="G662" s="123">
        <f t="shared" si="578"/>
        <v>0</v>
      </c>
      <c r="H662" s="123">
        <f t="shared" si="579"/>
        <v>0</v>
      </c>
      <c r="I662" s="124">
        <v>4.7E-2</v>
      </c>
      <c r="J662" s="125">
        <f t="shared" si="576"/>
        <v>46290</v>
      </c>
      <c r="K662" s="125">
        <f t="shared" si="548"/>
        <v>46290</v>
      </c>
      <c r="L662" s="125"/>
      <c r="M662" s="125">
        <f t="shared" si="549"/>
        <v>46332</v>
      </c>
      <c r="N662" s="125">
        <f t="shared" si="550"/>
        <v>46332</v>
      </c>
      <c r="O662" s="125"/>
      <c r="P662" s="125">
        <f t="shared" si="551"/>
        <v>46374</v>
      </c>
      <c r="Q662" s="125">
        <f t="shared" si="552"/>
        <v>46374</v>
      </c>
      <c r="R662" s="125"/>
      <c r="S662" s="125">
        <f t="shared" si="554"/>
        <v>46388</v>
      </c>
      <c r="T662" s="125">
        <f t="shared" si="553"/>
        <v>46388</v>
      </c>
      <c r="U662" s="125"/>
      <c r="W662" s="174" t="str">
        <f t="shared" ca="1" si="580"/>
        <v/>
      </c>
      <c r="X662" s="174" t="str">
        <f t="shared" ca="1" si="581"/>
        <v/>
      </c>
      <c r="Y662" s="174" t="str">
        <f t="shared" ca="1" si="582"/>
        <v/>
      </c>
      <c r="Z662" s="175" t="str">
        <f t="shared" ca="1" si="583"/>
        <v/>
      </c>
    </row>
    <row r="663" spans="1:26" s="70" customFormat="1" ht="12" thickBot="1" x14ac:dyDescent="0.3">
      <c r="A663" s="121" t="s">
        <v>66</v>
      </c>
      <c r="B663" s="121" t="s">
        <v>14</v>
      </c>
      <c r="C663" s="121" t="s">
        <v>42</v>
      </c>
      <c r="D663" s="121" t="s">
        <v>834</v>
      </c>
      <c r="E663" s="123">
        <f t="shared" si="577"/>
        <v>0</v>
      </c>
      <c r="F663" s="123">
        <f t="shared" si="578"/>
        <v>0</v>
      </c>
      <c r="G663" s="123">
        <f t="shared" si="578"/>
        <v>0</v>
      </c>
      <c r="H663" s="123">
        <f t="shared" si="579"/>
        <v>0</v>
      </c>
      <c r="I663" s="126">
        <v>1.5</v>
      </c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W663" s="176" t="str">
        <f ca="1">IF(OR(L663&lt;&gt;""),"Completed",
IF(K663="","",IF(K663&lt;TODAY(),"Overdue",
IF(AND(K663&gt;=TODAY()-WEEKDAY(TODAY(),2)+1,K663&lt;=TODAY()-WEEKDAY(TODAY(),2)+7),"Follow-This Week",
IF(AND(K663&gt;=TODAY()-WEEKDAY(TODAY(),2)+8,K663&lt;=TODAY()-WEEKDAY(TODAY(),2)+14),"Follow-Next Week","")))))</f>
        <v/>
      </c>
      <c r="X663" s="176" t="str">
        <f ca="1">IF(OR(O663&lt;&gt;""),"Completed",IF(N663="","",
IF(N663&lt;TODAY(),"Overdue",
IF(AND(N663&gt;=TODAY()-WEEKDAY(TODAY(),2)+1,N663&lt;=TODAY()-WEEKDAY(TODAY(),2)+7),"Follow-This Week",
IF(AND(N663&gt;=TODAY()-WEEKDAY(TODAY(),2)+8,N663&lt;=TODAY()-WEEKDAY(TODAY(),2)+14),"Follow-Next Week","")))))</f>
        <v/>
      </c>
      <c r="Y663" s="176" t="str">
        <f t="shared" ca="1" si="582"/>
        <v/>
      </c>
      <c r="Z663" s="177" t="str">
        <f t="shared" ca="1" si="583"/>
        <v/>
      </c>
    </row>
    <row r="665" spans="1:26" x14ac:dyDescent="0.35">
      <c r="D665" s="89"/>
      <c r="F665" s="2" t="s">
        <v>41</v>
      </c>
      <c r="G665" s="2"/>
      <c r="H665" s="2"/>
      <c r="I665" s="72">
        <f>SUM(I4:I663)</f>
        <v>99.99999999999882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83"/>
      <c r="U665" s="2"/>
    </row>
    <row r="666" spans="1:26" x14ac:dyDescent="0.35">
      <c r="D666" s="88"/>
    </row>
  </sheetData>
  <autoFilter ref="A3:U663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51:K51 J25:K33 N25:N33 Q25:Q33 T25:T33 J63:J93">
    <cfRule type="expression" dxfId="122" priority="124">
      <formula>"if $G$4&gt;$C$1 and $H$4 is ""null"""</formula>
    </cfRule>
  </conditionalFormatting>
  <conditionalFormatting sqref="J51:K54 J15:K35 N15:N35 Q15:Q35 T15:T35 J74:K93 Q74:Q93 T74:T96">
    <cfRule type="expression" dxfId="121" priority="123">
      <formula>"if $C$1&lt;"</formula>
    </cfRule>
  </conditionalFormatting>
  <conditionalFormatting sqref="J102:K102 N15:N20 M21:N28 N74:N93 Q15:Q35 Q74:Q96 T15:T35 T74:T96 K15:K35 N29:N35 K74:K93 M4:M20 M29:M49 K37:K39 K71">
    <cfRule type="cellIs" dxfId="120" priority="347" operator="equal">
      <formula>45443</formula>
    </cfRule>
  </conditionalFormatting>
  <conditionalFormatting sqref="J146:K146">
    <cfRule type="cellIs" dxfId="119" priority="290" operator="equal">
      <formula>45443</formula>
    </cfRule>
  </conditionalFormatting>
  <conditionalFormatting sqref="J187:K232 T43:T50 T52:T63 K233:K240 J233:J266">
    <cfRule type="expression" dxfId="118" priority="333">
      <formula>"if $C$1&lt;"</formula>
    </cfRule>
  </conditionalFormatting>
  <conditionalFormatting sqref="J267:K285 K252:K266">
    <cfRule type="expression" dxfId="117" priority="306">
      <formula>"if $C$1&lt;"</formula>
    </cfRule>
  </conditionalFormatting>
  <conditionalFormatting sqref="J286:K287 K288 K293:K296 J297:K298 K299:K310 J313:K314 K315:K319 J37:K39 K71 J4:K10 J56:K62 K63 J103:K108 J147:K152 K154:K157 K159:K165 J556:K602 J643:K663 J55:L55 K338:K396 J397:K519 J523:K553 K110:K134 J135:K137 J143:K145 K167:K178 J179:K181 J99:K101 J11:J14 J36 J63:J73 J109:J134 J153:J178 J288:J296 J299:J312 J315:J396">
    <cfRule type="expression" dxfId="116" priority="368">
      <formula>"if $C$1&lt;"</formula>
    </cfRule>
  </conditionalFormatting>
  <conditionalFormatting sqref="J554:K555">
    <cfRule type="expression" dxfId="115" priority="216">
      <formula>"if $C$1&lt;"</formula>
    </cfRule>
  </conditionalFormatting>
  <conditionalFormatting sqref="J603:K632">
    <cfRule type="expression" dxfId="114" priority="260">
      <formula>"if $C$1&lt;"</formula>
    </cfRule>
  </conditionalFormatting>
  <conditionalFormatting sqref="J633:K639">
    <cfRule type="expression" dxfId="113" priority="348">
      <formula>"if $C$1&lt;"</formula>
    </cfRule>
  </conditionalFormatting>
  <conditionalFormatting sqref="J102:L102">
    <cfRule type="expression" dxfId="112" priority="282">
      <formula>"if $C$1&lt;"</formula>
    </cfRule>
  </conditionalFormatting>
  <conditionalFormatting sqref="J146:L146">
    <cfRule type="expression" dxfId="111" priority="288">
      <formula>"if $C$1&lt;"</formula>
    </cfRule>
  </conditionalFormatting>
  <conditionalFormatting sqref="K98">
    <cfRule type="expression" dxfId="110" priority="118">
      <formula>"if $C$1&lt;"</formula>
    </cfRule>
    <cfRule type="expression" dxfId="109" priority="119">
      <formula>"if $G$4&gt;$C$1 and $H$4 is ""null"""</formula>
    </cfRule>
  </conditionalFormatting>
  <conditionalFormatting sqref="K154:K165 N4:N10 N103:N108 N147:N152 N154:N165 K1:K10 K56:K63 K103:K108 M103:M110 K147:K152 M286:M300 M397:M426 M429:M480 M482:M503 M520:M537 M543:M547 M550:M634 J601:J602 J643 J657">
    <cfRule type="cellIs" dxfId="108" priority="308" operator="equal">
      <formula>45443</formula>
    </cfRule>
  </conditionalFormatting>
  <conditionalFormatting sqref="K158">
    <cfRule type="expression" dxfId="107" priority="264">
      <formula>"if $C$1&lt;"</formula>
    </cfRule>
  </conditionalFormatting>
  <conditionalFormatting sqref="K252:K265 J286:K287 K288 K293:K296 J297:K298 K299:K300 K304:K310 J314:K314 K315:K317 J15:K22 K71 K75:K79 K81 J4:K10 J56:K62 K63 J103:K108 J147:K152 K155:K157 K159:K160 K164:K165 K338:K384 K397:K400 K415:K421 K426 J429:K432 J435:K456 J473:K481 J484:K501 J538:K542 J547:K547 J550:K553 J556:K572 J592:K600 K111:K113 K115:K116 K120:K123 K126 K167 K170 J191:K232 K233:K240 J11:J14 J109:J137 J153:J181 J233:J266 J288:J296 J299:J311 J315:J426">
    <cfRule type="expression" dxfId="106" priority="369">
      <formula>"if $G$4&gt;$C$1 and $H$4 is ""null"""</formula>
    </cfRule>
  </conditionalFormatting>
  <conditionalFormatting sqref="K252:K288 N252:N288 N293:N310 N313:N319 K293:K310 K313:K319 M314:M386">
    <cfRule type="cellIs" dxfId="105" priority="367" operator="equal">
      <formula>45443</formula>
    </cfRule>
  </conditionalFormatting>
  <conditionalFormatting sqref="K523:K639 N338:N519 N523:N639 N643:N663 J55:L55 J268 J270:J285 K338:K519">
    <cfRule type="cellIs" dxfId="104" priority="305" operator="equal">
      <formula>45443</formula>
    </cfRule>
  </conditionalFormatting>
  <conditionalFormatting sqref="L190">
    <cfRule type="expression" dxfId="103" priority="294">
      <formula>"if $C$1&lt;"</formula>
    </cfRule>
    <cfRule type="cellIs" dxfId="102" priority="273" operator="equal">
      <formula>45443</formula>
    </cfRule>
  </conditionalFormatting>
  <conditionalFormatting sqref="L102:N102 N37:N39 N41 N43:N49 N71">
    <cfRule type="cellIs" dxfId="101" priority="186" operator="equal">
      <formula>45443</formula>
    </cfRule>
  </conditionalFormatting>
  <conditionalFormatting sqref="L146:N146">
    <cfRule type="cellIs" dxfId="100" priority="183" operator="equal">
      <formula>45443</formula>
    </cfRule>
  </conditionalFormatting>
  <conditionalFormatting sqref="M51:M86">
    <cfRule type="cellIs" dxfId="99" priority="121" operator="equal">
      <formula>45443</formula>
    </cfRule>
  </conditionalFormatting>
  <conditionalFormatting sqref="M98">
    <cfRule type="cellIs" dxfId="98" priority="111" operator="equal">
      <formula>45443</formula>
    </cfRule>
  </conditionalFormatting>
  <conditionalFormatting sqref="M114 J190">
    <cfRule type="cellIs" dxfId="97" priority="332" operator="equal">
      <formula>45443</formula>
    </cfRule>
  </conditionalFormatting>
  <conditionalFormatting sqref="M117:M142">
    <cfRule type="cellIs" dxfId="96" priority="109" operator="equal">
      <formula>45443</formula>
    </cfRule>
  </conditionalFormatting>
  <conditionalFormatting sqref="M147:M189">
    <cfRule type="cellIs" dxfId="95" priority="102" operator="equal">
      <formula>45443</formula>
    </cfRule>
  </conditionalFormatting>
  <conditionalFormatting sqref="M191:M223 M227">
    <cfRule type="cellIs" dxfId="94" priority="310" operator="equal">
      <formula>45443</formula>
    </cfRule>
  </conditionalFormatting>
  <conditionalFormatting sqref="M94:N97">
    <cfRule type="cellIs" dxfId="93" priority="143" operator="equal">
      <formula>45443</formula>
    </cfRule>
  </conditionalFormatting>
  <conditionalFormatting sqref="N37:N39 N41 N43:N49 N71 N4:N10 N293:N310 N313:N319 N338:N519 N643:N663">
    <cfRule type="expression" dxfId="92" priority="188">
      <formula>"if $C$1&lt;"</formula>
    </cfRule>
  </conditionalFormatting>
  <conditionalFormatting sqref="N51 K51:K54">
    <cfRule type="cellIs" dxfId="91" priority="122" operator="equal">
      <formula>45443</formula>
    </cfRule>
  </conditionalFormatting>
  <conditionalFormatting sqref="N51">
    <cfRule type="expression" dxfId="90" priority="120">
      <formula>"if $G$4&gt;$C$1 and $H$4 is ""null"""</formula>
    </cfRule>
  </conditionalFormatting>
  <conditionalFormatting sqref="N51:N63">
    <cfRule type="expression" dxfId="89" priority="125">
      <formula>"if $C$1&lt;"</formula>
    </cfRule>
  </conditionalFormatting>
  <conditionalFormatting sqref="N52:N63 N110:N137 N167:N181 N187:N240 M99:N101 M143:N145 M50:N50 K110:K137 K143:K145 K167:K181 K187:K240 M640:M662">
    <cfRule type="cellIs" dxfId="88" priority="263" operator="equal">
      <formula>45443</formula>
    </cfRule>
  </conditionalFormatting>
  <conditionalFormatting sqref="N71 N4:N10 N15:N22 N56:N63 N75:N79 N81 N103:N108 N111:N113 N115:N116 N120:N123 N126 N147:N152 N155:N157 N159:N160 N164:N165 N167 N170 N191:N240 N252:N265 N286:N288 N293:N300 N304:N310 N314:N317 N338:N384 N397:N400 N415:N421 N426 N429:N432 N435:N456 N473:N481 N484:N501 N538:N542 N547 N550:N553 N556:N572 N592:N600">
    <cfRule type="expression" dxfId="87" priority="189">
      <formula>"if $G$4&gt;$C$1 and $H$4 is ""null"""</formula>
    </cfRule>
  </conditionalFormatting>
  <conditionalFormatting sqref="N74:N108">
    <cfRule type="expression" dxfId="86" priority="112">
      <formula>"if $C$1&lt;"</formula>
    </cfRule>
  </conditionalFormatting>
  <conditionalFormatting sqref="N98 K98:K101">
    <cfRule type="cellIs" dxfId="85" priority="117" operator="equal">
      <formula>45443</formula>
    </cfRule>
  </conditionalFormatting>
  <conditionalFormatting sqref="N98">
    <cfRule type="expression" dxfId="84" priority="116">
      <formula>"if $G$4&gt;$C$1 and $H$4 is ""null"""</formula>
    </cfRule>
  </conditionalFormatting>
  <conditionalFormatting sqref="N110:N152">
    <cfRule type="expression" dxfId="83" priority="106">
      <formula>"if $C$1&lt;"</formula>
    </cfRule>
  </conditionalFormatting>
  <conditionalFormatting sqref="N138:N142">
    <cfRule type="cellIs" dxfId="82" priority="105" operator="equal">
      <formula>45443</formula>
    </cfRule>
  </conditionalFormatting>
  <conditionalFormatting sqref="N154:N165">
    <cfRule type="expression" dxfId="81" priority="180">
      <formula>"if $C$1&lt;"</formula>
    </cfRule>
  </conditionalFormatting>
  <conditionalFormatting sqref="N167:N240">
    <cfRule type="expression" dxfId="80" priority="99">
      <formula>"if $C$1&lt;"</formula>
    </cfRule>
  </conditionalFormatting>
  <conditionalFormatting sqref="N182:N186">
    <cfRule type="cellIs" dxfId="79" priority="98" operator="equal">
      <formula>45443</formula>
    </cfRule>
  </conditionalFormatting>
  <conditionalFormatting sqref="N252:N288">
    <cfRule type="expression" dxfId="78" priority="184">
      <formula>"if $C$1&lt;"</formula>
    </cfRule>
  </conditionalFormatting>
  <conditionalFormatting sqref="N523:N639">
    <cfRule type="expression" dxfId="77" priority="178">
      <formula>"if $C$1&lt;"</formula>
    </cfRule>
  </conditionalFormatting>
  <conditionalFormatting sqref="N1:O3">
    <cfRule type="cellIs" dxfId="76" priority="363" operator="equal">
      <formula>45443</formula>
    </cfRule>
  </conditionalFormatting>
  <conditionalFormatting sqref="O1:O3 O664:O1048576">
    <cfRule type="cellIs" dxfId="75" priority="328" operator="equal">
      <formula>45444</formula>
    </cfRule>
  </conditionalFormatting>
  <conditionalFormatting sqref="O41:O42">
    <cfRule type="cellIs" dxfId="74" priority="129" operator="equal">
      <formula>45443</formula>
    </cfRule>
  </conditionalFormatting>
  <conditionalFormatting sqref="O55">
    <cfRule type="expression" dxfId="73" priority="209">
      <formula>"if $C$1&lt;"</formula>
    </cfRule>
    <cfRule type="cellIs" dxfId="72" priority="208" operator="equal">
      <formula>45443</formula>
    </cfRule>
  </conditionalFormatting>
  <conditionalFormatting sqref="O88:O89">
    <cfRule type="cellIs" dxfId="71" priority="128" operator="equal">
      <formula>45443</formula>
    </cfRule>
  </conditionalFormatting>
  <conditionalFormatting sqref="O102">
    <cfRule type="expression" dxfId="70" priority="205">
      <formula>"if $C$1&lt;"</formula>
    </cfRule>
  </conditionalFormatting>
  <conditionalFormatting sqref="O132:O133">
    <cfRule type="cellIs" dxfId="69" priority="126" operator="equal">
      <formula>45443</formula>
    </cfRule>
  </conditionalFormatting>
  <conditionalFormatting sqref="O146 O102">
    <cfRule type="cellIs" dxfId="68" priority="267" operator="equal">
      <formula>45443</formula>
    </cfRule>
  </conditionalFormatting>
  <conditionalFormatting sqref="O146">
    <cfRule type="expression" dxfId="67" priority="206">
      <formula>"if $C$1&lt;"</formula>
    </cfRule>
  </conditionalFormatting>
  <conditionalFormatting sqref="O177">
    <cfRule type="cellIs" dxfId="66" priority="130" operator="equal">
      <formula>45443</formula>
    </cfRule>
  </conditionalFormatting>
  <conditionalFormatting sqref="O190">
    <cfRule type="cellIs" dxfId="65" priority="204" operator="equal">
      <formula>45443</formula>
    </cfRule>
    <cfRule type="expression" dxfId="64" priority="207">
      <formula>"if $C$1&lt;"</formula>
    </cfRule>
  </conditionalFormatting>
  <conditionalFormatting sqref="P98">
    <cfRule type="cellIs" dxfId="63" priority="110" operator="equal">
      <formula>45443</formula>
    </cfRule>
  </conditionalFormatting>
  <conditionalFormatting sqref="P97:Q97">
    <cfRule type="cellIs" dxfId="62" priority="131" operator="equal">
      <formula>45443</formula>
    </cfRule>
  </conditionalFormatting>
  <conditionalFormatting sqref="Q43:Q49 Q52:Q63">
    <cfRule type="cellIs" dxfId="61" priority="164" operator="equal">
      <formula>45443</formula>
    </cfRule>
  </conditionalFormatting>
  <conditionalFormatting sqref="Q94:Q97">
    <cfRule type="expression" dxfId="60" priority="132">
      <formula>"if $C$1&lt;"</formula>
    </cfRule>
  </conditionalFormatting>
  <conditionalFormatting sqref="Q98">
    <cfRule type="expression" dxfId="59" priority="115">
      <formula>"if $G$4&gt;$C$1 and $H$4 is ""null"""</formula>
    </cfRule>
  </conditionalFormatting>
  <conditionalFormatting sqref="Q98:Q101">
    <cfRule type="cellIs" dxfId="58" priority="113" operator="equal">
      <formula>45443</formula>
    </cfRule>
  </conditionalFormatting>
  <conditionalFormatting sqref="Q98:Q102">
    <cfRule type="expression" dxfId="57" priority="114">
      <formula>"if $C$1&lt;"</formula>
    </cfRule>
  </conditionalFormatting>
  <conditionalFormatting sqref="Q110:Q137 Q143:Q146">
    <cfRule type="expression" dxfId="56" priority="167">
      <formula>"if $C$1&lt;"</formula>
    </cfRule>
  </conditionalFormatting>
  <conditionalFormatting sqref="Q110:Q145">
    <cfRule type="cellIs" dxfId="55" priority="108" operator="equal">
      <formula>45443</formula>
    </cfRule>
  </conditionalFormatting>
  <conditionalFormatting sqref="Q138:Q142">
    <cfRule type="expression" dxfId="54" priority="104">
      <formula>"if $C$1&lt;"</formula>
    </cfRule>
  </conditionalFormatting>
  <conditionalFormatting sqref="Q146:Q152">
    <cfRule type="cellIs" dxfId="53" priority="168" operator="equal">
      <formula>45443</formula>
    </cfRule>
  </conditionalFormatting>
  <conditionalFormatting sqref="Q154:Q165 Q4:Q10 Q103:Q108">
    <cfRule type="cellIs" dxfId="52" priority="171" operator="equal">
      <formula>45443</formula>
    </cfRule>
  </conditionalFormatting>
  <conditionalFormatting sqref="Q158">
    <cfRule type="expression" dxfId="51" priority="165">
      <formula>"if $C$1&lt;"</formula>
    </cfRule>
  </conditionalFormatting>
  <conditionalFormatting sqref="Q167:Q181 Q187:Q240">
    <cfRule type="expression" dxfId="50" priority="172">
      <formula>"if $C$1&lt;"</formula>
    </cfRule>
  </conditionalFormatting>
  <conditionalFormatting sqref="Q167:Q240">
    <cfRule type="cellIs" dxfId="49" priority="101" operator="equal">
      <formula>45443</formula>
    </cfRule>
  </conditionalFormatting>
  <conditionalFormatting sqref="Q182:Q186">
    <cfRule type="expression" dxfId="48" priority="97">
      <formula>"if $C$1&lt;"</formula>
    </cfRule>
  </conditionalFormatting>
  <conditionalFormatting sqref="Q252:Q265 Q286:Q288 Q293:Q300 Q304:Q310 Q314:Q317 Q71 Q4:Q10 Q103:Q108 Q155:Q157 Q159:Q160 Q164:Q165 Q338:Q384 Q397:Q400 Q415:Q421 Q426 Q429:Q432 Q435:Q456 Q473:Q481 Q484:Q501 Q538:Q542 Q547 Q550:Q553 Q556:Q572 Q592:Q600 Q147:Q152 Q56:Q63 Q111:Q113 Q115:Q116 Q120:Q123 Q126 Q167 Q170 Q191:Q240 Q15:Q22 Q75:Q79 Q81">
    <cfRule type="expression" dxfId="47" priority="177">
      <formula>"if $G$4&gt;$C$1 and $H$4 is ""null"""</formula>
    </cfRule>
  </conditionalFormatting>
  <conditionalFormatting sqref="Q252:Q285">
    <cfRule type="expression" dxfId="46" priority="170">
      <formula>"if $C$1&lt;"</formula>
    </cfRule>
  </conditionalFormatting>
  <conditionalFormatting sqref="Q252:Q288 Q293:Q310 Q313:Q319">
    <cfRule type="cellIs" dxfId="45" priority="175" operator="equal">
      <formula>45443</formula>
    </cfRule>
  </conditionalFormatting>
  <conditionalFormatting sqref="Q286:Q288 Q293:Q310 Q313:Q319 Q37:Q39 Q41 Q71 Q4:Q10 Q103:Q108 Q154:Q157 Q159:Q165 Q338:Q519 Q523:Q553 Q556:Q602 Q643:Q663 Q147:Q152 Q43:Q49 Q52:Q63">
    <cfRule type="expression" dxfId="44" priority="176">
      <formula>"if $C$1&lt;"</formula>
    </cfRule>
  </conditionalFormatting>
  <conditionalFormatting sqref="Q523:Q639 Q338:Q519 Q643:Q663">
    <cfRule type="cellIs" dxfId="43" priority="169" operator="equal">
      <formula>45443</formula>
    </cfRule>
  </conditionalFormatting>
  <conditionalFormatting sqref="Q554:Q555">
    <cfRule type="expression" dxfId="42" priority="162">
      <formula>"if $C$1&lt;"</formula>
    </cfRule>
  </conditionalFormatting>
  <conditionalFormatting sqref="Q603:Q632">
    <cfRule type="expression" dxfId="41" priority="163">
      <formula>"if $C$1&lt;"</formula>
    </cfRule>
  </conditionalFormatting>
  <conditionalFormatting sqref="Q633:Q639">
    <cfRule type="expression" dxfId="40" priority="174">
      <formula>"if $C$1&lt;"</formula>
    </cfRule>
  </conditionalFormatting>
  <conditionalFormatting sqref="Q102:R102 Q37:Q39 Q41 Q71">
    <cfRule type="cellIs" dxfId="39" priority="173" operator="equal">
      <formula>45443</formula>
    </cfRule>
  </conditionalFormatting>
  <conditionalFormatting sqref="R55">
    <cfRule type="cellIs" dxfId="38" priority="202" operator="equal">
      <formula>45443</formula>
    </cfRule>
    <cfRule type="expression" dxfId="37" priority="203">
      <formula>"if $C$1&lt;"</formula>
    </cfRule>
  </conditionalFormatting>
  <conditionalFormatting sqref="R102">
    <cfRule type="expression" dxfId="36" priority="199">
      <formula>"if $C$1&lt;"</formula>
    </cfRule>
  </conditionalFormatting>
  <conditionalFormatting sqref="R146">
    <cfRule type="expression" dxfId="35" priority="200">
      <formula>"if $C$1&lt;"</formula>
    </cfRule>
    <cfRule type="cellIs" dxfId="34" priority="197" operator="equal">
      <formula>45443</formula>
    </cfRule>
  </conditionalFormatting>
  <conditionalFormatting sqref="R190">
    <cfRule type="expression" dxfId="33" priority="201">
      <formula>"if $C$1&lt;"</formula>
    </cfRule>
    <cfRule type="cellIs" dxfId="32" priority="198" operator="equal">
      <formula>45443</formula>
    </cfRule>
  </conditionalFormatting>
  <conditionalFormatting sqref="T52:T63 T43:T50 J573:J591 K643:K1048576 N664:O1048576">
    <cfRule type="cellIs" dxfId="31" priority="265" operator="equal">
      <formula>45443</formula>
    </cfRule>
  </conditionalFormatting>
  <conditionalFormatting sqref="T99:T101">
    <cfRule type="cellIs" dxfId="30" priority="148" operator="equal">
      <formula>45443</formula>
    </cfRule>
  </conditionalFormatting>
  <conditionalFormatting sqref="T99:T102">
    <cfRule type="expression" dxfId="29" priority="150">
      <formula>"if $C$1&lt;"</formula>
    </cfRule>
  </conditionalFormatting>
  <conditionalFormatting sqref="T110:T137 T143:T146">
    <cfRule type="expression" dxfId="28" priority="151">
      <formula>"if $C$1&lt;"</formula>
    </cfRule>
  </conditionalFormatting>
  <conditionalFormatting sqref="T110:T145">
    <cfRule type="cellIs" dxfId="27" priority="107" operator="equal">
      <formula>45443</formula>
    </cfRule>
  </conditionalFormatting>
  <conditionalFormatting sqref="T138:T142">
    <cfRule type="expression" dxfId="26" priority="103">
      <formula>"if $C$1&lt;"</formula>
    </cfRule>
  </conditionalFormatting>
  <conditionalFormatting sqref="T146:T152">
    <cfRule type="cellIs" dxfId="25" priority="152" operator="equal">
      <formula>45443</formula>
    </cfRule>
  </conditionalFormatting>
  <conditionalFormatting sqref="T154:T165 T4:T10 T103:T108">
    <cfRule type="cellIs" dxfId="24" priority="155" operator="equal">
      <formula>45443</formula>
    </cfRule>
  </conditionalFormatting>
  <conditionalFormatting sqref="T158">
    <cfRule type="expression" dxfId="23" priority="149">
      <formula>"if $C$1&lt;"</formula>
    </cfRule>
  </conditionalFormatting>
  <conditionalFormatting sqref="T167:T181 T187:T240">
    <cfRule type="expression" dxfId="22" priority="156">
      <formula>"if $C$1&lt;"</formula>
    </cfRule>
  </conditionalFormatting>
  <conditionalFormatting sqref="T167:T240">
    <cfRule type="cellIs" dxfId="21" priority="100" operator="equal">
      <formula>45443</formula>
    </cfRule>
  </conditionalFormatting>
  <conditionalFormatting sqref="T182:T186">
    <cfRule type="expression" dxfId="20" priority="96">
      <formula>"if $C$1&lt;"</formula>
    </cfRule>
  </conditionalFormatting>
  <conditionalFormatting sqref="T252:T265 T286:T288 T293:T300 T304:T310 T314:T317 T71 T4:T10 T103:T108 T155:T157 T159:T160 T164:T165 T338:T384 T397:T400 T415:T421 T426 T429:T432 T435:T456 T473:T481 T484:T501 T538:T542 T547 T550:T553 T556:T572 T592:T600 T147:T152 T111:T113 T115:T116 T120:T123 T126 T167 T170 T191:T240 T15:T22 T56:T63 T75:T79 T81">
    <cfRule type="expression" dxfId="19" priority="161">
      <formula>"if $G$4&gt;$C$1 and $H$4 is ""null"""</formula>
    </cfRule>
  </conditionalFormatting>
  <conditionalFormatting sqref="T252:T285">
    <cfRule type="expression" dxfId="18" priority="154">
      <formula>"if $C$1&lt;"</formula>
    </cfRule>
  </conditionalFormatting>
  <conditionalFormatting sqref="T252:T288 T293:T310 T313:T319">
    <cfRule type="cellIs" dxfId="17" priority="159" operator="equal">
      <formula>45443</formula>
    </cfRule>
  </conditionalFormatting>
  <conditionalFormatting sqref="T286:T288 T293:T310 T313:T319 T37:T39 T41 T71 T4:T10 T103:T108 T154:T157 T159:T165 T338:T519 T523:T553 T556:T602 T643:T663 T147:T152">
    <cfRule type="expression" dxfId="16" priority="160">
      <formula>"if $C$1&lt;"</formula>
    </cfRule>
  </conditionalFormatting>
  <conditionalFormatting sqref="T523:T639 T338:T519 T643:T663">
    <cfRule type="cellIs" dxfId="15" priority="153" operator="equal">
      <formula>45443</formula>
    </cfRule>
  </conditionalFormatting>
  <conditionalFormatting sqref="T554:T555">
    <cfRule type="expression" dxfId="14" priority="146">
      <formula>"if $C$1&lt;"</formula>
    </cfRule>
  </conditionalFormatting>
  <conditionalFormatting sqref="T603:T632">
    <cfRule type="expression" dxfId="13" priority="147">
      <formula>"if $C$1&lt;"</formula>
    </cfRule>
  </conditionalFormatting>
  <conditionalFormatting sqref="T633:T639">
    <cfRule type="expression" dxfId="12" priority="158">
      <formula>"if $C$1&lt;"</formula>
    </cfRule>
  </conditionalFormatting>
  <conditionalFormatting sqref="T102:U102 T37:T39 T41 T71">
    <cfRule type="cellIs" dxfId="11" priority="157" operator="equal">
      <formula>45443</formula>
    </cfRule>
  </conditionalFormatting>
  <conditionalFormatting sqref="U55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102">
    <cfRule type="expression" dxfId="8" priority="192">
      <formula>"if $C$1&lt;"</formula>
    </cfRule>
  </conditionalFormatting>
  <conditionalFormatting sqref="U146">
    <cfRule type="expression" dxfId="7" priority="193">
      <formula>"if $C$1&lt;"</formula>
    </cfRule>
    <cfRule type="cellIs" dxfId="6" priority="190" operator="equal">
      <formula>45443</formula>
    </cfRule>
  </conditionalFormatting>
  <conditionalFormatting sqref="U190">
    <cfRule type="expression" dxfId="5" priority="194">
      <formula>"if $C$1&lt;"</formula>
    </cfRule>
    <cfRule type="cellIs" dxfId="4" priority="191" operator="equal">
      <formula>45443</formula>
    </cfRule>
  </conditionalFormatting>
  <conditionalFormatting sqref="W1:W20 X3:Z20 W21:Z179 X180:Z663 W180:W1048576">
    <cfRule type="containsText" dxfId="3" priority="8" operator="containsText" text="completed">
      <formula>NOT(ISERROR(SEARCH("completed",W1)))</formula>
    </cfRule>
    <cfRule type="containsText" dxfId="2" priority="6" operator="containsText" text="Follow-Next Week">
      <formula>NOT(ISERROR(SEARCH("Follow-Next Week",W1)))</formula>
    </cfRule>
    <cfRule type="containsText" dxfId="1" priority="5" operator="containsText" text="Overdue">
      <formula>NOT(ISERROR(SEARCH("Overdue",W1)))</formula>
    </cfRule>
    <cfRule type="containsText" dxfId="0" priority="7" operator="containsText" text="Follow-This week">
      <formula>NOT(ISERROR(SEARCH("Follow-This week",W1)))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2026-08-15T06:34:25Z</cp:lastPrinted>
  <dcterms:created xsi:type="dcterms:W3CDTF">2024-04-23T01:26:48Z</dcterms:created>
  <dcterms:modified xsi:type="dcterms:W3CDTF">2026-08-15T07:52:21Z</dcterms:modified>
</cp:coreProperties>
</file>