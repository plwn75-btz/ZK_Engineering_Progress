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6_cut-off_18Sep26\"/>
    </mc:Choice>
  </mc:AlternateContent>
  <xr:revisionPtr revIDLastSave="0" documentId="13_ncr:1_{83266449-3547-449F-B76A-12E5EA169074}" xr6:coauthVersionLast="47" xr6:coauthVersionMax="47" xr10:uidLastSave="{00000000-0000-0000-0000-000000000000}"/>
  <bookViews>
    <workbookView xWindow="-110" yWindow="-110" windowWidth="25820" windowHeight="15500" activeTab="4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EDSR!$A$3:$U$707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8" i="1" l="1"/>
  <c r="J138" i="1"/>
  <c r="W138" i="1"/>
  <c r="X138" i="1"/>
  <c r="M138" i="1" l="1"/>
  <c r="K138" i="1"/>
  <c r="N138" i="1" l="1"/>
  <c r="P138" i="1"/>
  <c r="Q138" i="1" l="1"/>
  <c r="S138" i="1"/>
  <c r="T138" i="1" l="1"/>
  <c r="Z138" i="1" s="1"/>
  <c r="E138" i="1"/>
  <c r="H138" i="1" s="1"/>
  <c r="Y138" i="1"/>
  <c r="F138" i="1"/>
  <c r="W151" i="1" l="1"/>
  <c r="G151" i="1"/>
  <c r="X325" i="1" l="1"/>
  <c r="W325" i="1"/>
  <c r="M325" i="1"/>
  <c r="K325" i="1"/>
  <c r="G325" i="1"/>
  <c r="X324" i="1"/>
  <c r="W324" i="1"/>
  <c r="M324" i="1"/>
  <c r="P324" i="1" s="1"/>
  <c r="S324" i="1" s="1"/>
  <c r="K324" i="1"/>
  <c r="G324" i="1"/>
  <c r="X323" i="1"/>
  <c r="W323" i="1"/>
  <c r="M323" i="1"/>
  <c r="P323" i="1" s="1"/>
  <c r="K323" i="1"/>
  <c r="G323" i="1"/>
  <c r="X322" i="1"/>
  <c r="W322" i="1"/>
  <c r="M322" i="1"/>
  <c r="P322" i="1" s="1"/>
  <c r="K322" i="1"/>
  <c r="G322" i="1"/>
  <c r="X136" i="1"/>
  <c r="W136" i="1"/>
  <c r="G136" i="1"/>
  <c r="X134" i="1"/>
  <c r="W134" i="1"/>
  <c r="G134" i="1"/>
  <c r="X132" i="1"/>
  <c r="W132" i="1"/>
  <c r="G132" i="1"/>
  <c r="X130" i="1"/>
  <c r="W130" i="1"/>
  <c r="G130" i="1"/>
  <c r="X87" i="1"/>
  <c r="W87" i="1"/>
  <c r="J87" i="1"/>
  <c r="G87" i="1"/>
  <c r="X85" i="1"/>
  <c r="W85" i="1"/>
  <c r="J85" i="1"/>
  <c r="G85" i="1"/>
  <c r="X83" i="1"/>
  <c r="W83" i="1"/>
  <c r="J83" i="1"/>
  <c r="M83" i="1" s="1"/>
  <c r="G83" i="1"/>
  <c r="N324" i="1" l="1"/>
  <c r="Q323" i="1"/>
  <c r="Y323" i="1" s="1"/>
  <c r="S323" i="1"/>
  <c r="T323" i="1" s="1"/>
  <c r="Z323" i="1" s="1"/>
  <c r="E323" i="1"/>
  <c r="S322" i="1"/>
  <c r="T322" i="1" s="1"/>
  <c r="Z322" i="1" s="1"/>
  <c r="Q322" i="1"/>
  <c r="Y322" i="1" s="1"/>
  <c r="E322" i="1"/>
  <c r="H322" i="1" s="1"/>
  <c r="E324" i="1"/>
  <c r="H324" i="1" s="1"/>
  <c r="T324" i="1"/>
  <c r="Z324" i="1" s="1"/>
  <c r="H323" i="1"/>
  <c r="Q324" i="1"/>
  <c r="Y324" i="1" s="1"/>
  <c r="N325" i="1"/>
  <c r="P325" i="1"/>
  <c r="N322" i="1"/>
  <c r="N323" i="1"/>
  <c r="F323" i="1" s="1"/>
  <c r="M87" i="1"/>
  <c r="K87" i="1"/>
  <c r="M85" i="1"/>
  <c r="K85" i="1"/>
  <c r="P83" i="1"/>
  <c r="N83" i="1"/>
  <c r="K83" i="1"/>
  <c r="F322" i="1" l="1"/>
  <c r="S325" i="1"/>
  <c r="T325" i="1" s="1"/>
  <c r="Z325" i="1" s="1"/>
  <c r="Q325" i="1"/>
  <c r="Y325" i="1" s="1"/>
  <c r="E325" i="1"/>
  <c r="H325" i="1" s="1"/>
  <c r="F324" i="1"/>
  <c r="N87" i="1"/>
  <c r="P87" i="1"/>
  <c r="P85" i="1"/>
  <c r="N85" i="1"/>
  <c r="S83" i="1"/>
  <c r="Q83" i="1"/>
  <c r="Y83" i="1" s="1"/>
  <c r="F325" i="1" l="1"/>
  <c r="Q87" i="1"/>
  <c r="Y87" i="1" s="1"/>
  <c r="S87" i="1"/>
  <c r="S85" i="1"/>
  <c r="Q85" i="1"/>
  <c r="Y85" i="1" s="1"/>
  <c r="T83" i="1"/>
  <c r="E83" i="1"/>
  <c r="H83" i="1" s="1"/>
  <c r="T87" i="1" l="1"/>
  <c r="Z87" i="1" s="1"/>
  <c r="E87" i="1"/>
  <c r="H87" i="1" s="1"/>
  <c r="F87" i="1"/>
  <c r="F83" i="1"/>
  <c r="Z83" i="1"/>
  <c r="T85" i="1"/>
  <c r="Z85" i="1" s="1"/>
  <c r="E85" i="1"/>
  <c r="H85" i="1" s="1"/>
  <c r="F85" i="1" l="1"/>
  <c r="X95" i="1" l="1"/>
  <c r="W95" i="1"/>
  <c r="J95" i="1"/>
  <c r="M95" i="1" s="1"/>
  <c r="P95" i="1" s="1"/>
  <c r="G95" i="1"/>
  <c r="X93" i="1"/>
  <c r="W93" i="1"/>
  <c r="J93" i="1"/>
  <c r="G93" i="1"/>
  <c r="Y335" i="1"/>
  <c r="X335" i="1"/>
  <c r="W335" i="1"/>
  <c r="M335" i="1"/>
  <c r="P335" i="1" s="1"/>
  <c r="K335" i="1"/>
  <c r="G335" i="1"/>
  <c r="Y334" i="1"/>
  <c r="X334" i="1"/>
  <c r="W334" i="1"/>
  <c r="M334" i="1"/>
  <c r="P334" i="1" s="1"/>
  <c r="S334" i="1" s="1"/>
  <c r="T334" i="1" s="1"/>
  <c r="Z334" i="1" s="1"/>
  <c r="K334" i="1"/>
  <c r="G334" i="1"/>
  <c r="Y333" i="1"/>
  <c r="X333" i="1"/>
  <c r="W333" i="1"/>
  <c r="M333" i="1"/>
  <c r="P333" i="1" s="1"/>
  <c r="K333" i="1"/>
  <c r="G333" i="1"/>
  <c r="W332" i="1"/>
  <c r="M332" i="1"/>
  <c r="K332" i="1"/>
  <c r="G332" i="1"/>
  <c r="W331" i="1"/>
  <c r="M331" i="1"/>
  <c r="P331" i="1" s="1"/>
  <c r="K331" i="1"/>
  <c r="G331" i="1"/>
  <c r="W330" i="1"/>
  <c r="M330" i="1"/>
  <c r="P330" i="1" s="1"/>
  <c r="K330" i="1"/>
  <c r="G330" i="1"/>
  <c r="W329" i="1"/>
  <c r="M329" i="1"/>
  <c r="P329" i="1" s="1"/>
  <c r="K329" i="1"/>
  <c r="G329" i="1"/>
  <c r="W328" i="1"/>
  <c r="M328" i="1"/>
  <c r="P328" i="1" s="1"/>
  <c r="K328" i="1"/>
  <c r="G328" i="1"/>
  <c r="W327" i="1"/>
  <c r="M327" i="1"/>
  <c r="P327" i="1" s="1"/>
  <c r="K327" i="1"/>
  <c r="G327" i="1"/>
  <c r="W326" i="1"/>
  <c r="M326" i="1"/>
  <c r="P326" i="1" s="1"/>
  <c r="K326" i="1"/>
  <c r="G326" i="1"/>
  <c r="X21" i="1"/>
  <c r="W21" i="1"/>
  <c r="M21" i="1"/>
  <c r="K21" i="1"/>
  <c r="G21" i="1"/>
  <c r="X61" i="1"/>
  <c r="W61" i="1"/>
  <c r="M61" i="1"/>
  <c r="P61" i="1" s="1"/>
  <c r="S61" i="1" s="1"/>
  <c r="K61" i="1"/>
  <c r="N61" i="1" s="1"/>
  <c r="Q61" i="1" s="1"/>
  <c r="G61" i="1"/>
  <c r="K95" i="1" l="1"/>
  <c r="S95" i="1"/>
  <c r="T95" i="1" s="1"/>
  <c r="Z95" i="1" s="1"/>
  <c r="Q95" i="1"/>
  <c r="Y95" i="1" s="1"/>
  <c r="N95" i="1"/>
  <c r="F95" i="1" s="1"/>
  <c r="M93" i="1"/>
  <c r="K93" i="1"/>
  <c r="N335" i="1"/>
  <c r="N333" i="1"/>
  <c r="E334" i="1"/>
  <c r="H334" i="1" s="1"/>
  <c r="N334" i="1"/>
  <c r="Q333" i="1"/>
  <c r="S333" i="1"/>
  <c r="T333" i="1" s="1"/>
  <c r="Z333" i="1" s="1"/>
  <c r="Q334" i="1"/>
  <c r="Q335" i="1"/>
  <c r="S335" i="1"/>
  <c r="T335" i="1" s="1"/>
  <c r="Z335" i="1" s="1"/>
  <c r="N331" i="1"/>
  <c r="X331" i="1" s="1"/>
  <c r="N327" i="1"/>
  <c r="X327" i="1" s="1"/>
  <c r="N332" i="1"/>
  <c r="X332" i="1" s="1"/>
  <c r="P332" i="1"/>
  <c r="S332" i="1" s="1"/>
  <c r="T332" i="1" s="1"/>
  <c r="Z332" i="1" s="1"/>
  <c r="N329" i="1"/>
  <c r="X329" i="1" s="1"/>
  <c r="Q326" i="1"/>
  <c r="Y326" i="1" s="1"/>
  <c r="S326" i="1"/>
  <c r="T326" i="1" s="1"/>
  <c r="Z326" i="1" s="1"/>
  <c r="S328" i="1"/>
  <c r="T328" i="1" s="1"/>
  <c r="Z328" i="1" s="1"/>
  <c r="Q328" i="1"/>
  <c r="Y328" i="1" s="1"/>
  <c r="S329" i="1"/>
  <c r="T329" i="1" s="1"/>
  <c r="Z329" i="1" s="1"/>
  <c r="Q329" i="1"/>
  <c r="Q330" i="1"/>
  <c r="Y330" i="1" s="1"/>
  <c r="S330" i="1"/>
  <c r="T330" i="1" s="1"/>
  <c r="Z330" i="1" s="1"/>
  <c r="Q331" i="1"/>
  <c r="Y331" i="1" s="1"/>
  <c r="S331" i="1"/>
  <c r="T331" i="1" s="1"/>
  <c r="Z331" i="1" s="1"/>
  <c r="N328" i="1"/>
  <c r="X328" i="1" s="1"/>
  <c r="S327" i="1"/>
  <c r="T327" i="1" s="1"/>
  <c r="Z327" i="1" s="1"/>
  <c r="N326" i="1"/>
  <c r="N330" i="1"/>
  <c r="Q327" i="1"/>
  <c r="Y327" i="1" s="1"/>
  <c r="N21" i="1"/>
  <c r="P21" i="1"/>
  <c r="Y61" i="1"/>
  <c r="E61" i="1"/>
  <c r="H61" i="1" s="1"/>
  <c r="T61" i="1"/>
  <c r="Z61" i="1" s="1"/>
  <c r="F334" i="1" l="1"/>
  <c r="Q332" i="1"/>
  <c r="Y332" i="1" s="1"/>
  <c r="E95" i="1"/>
  <c r="H95" i="1" s="1"/>
  <c r="E329" i="1"/>
  <c r="H329" i="1" s="1"/>
  <c r="E331" i="1"/>
  <c r="H331" i="1" s="1"/>
  <c r="P93" i="1"/>
  <c r="N93" i="1"/>
  <c r="F335" i="1"/>
  <c r="E333" i="1"/>
  <c r="H333" i="1" s="1"/>
  <c r="E332" i="1"/>
  <c r="H332" i="1" s="1"/>
  <c r="F333" i="1"/>
  <c r="E326" i="1"/>
  <c r="H326" i="1" s="1"/>
  <c r="E330" i="1"/>
  <c r="H330" i="1" s="1"/>
  <c r="F61" i="1"/>
  <c r="E335" i="1"/>
  <c r="H335" i="1" s="1"/>
  <c r="F328" i="1"/>
  <c r="E328" i="1"/>
  <c r="H328" i="1" s="1"/>
  <c r="E327" i="1"/>
  <c r="H327" i="1" s="1"/>
  <c r="F332" i="1"/>
  <c r="X330" i="1"/>
  <c r="F330" i="1"/>
  <c r="F327" i="1"/>
  <c r="F326" i="1"/>
  <c r="X326" i="1"/>
  <c r="F329" i="1"/>
  <c r="Y329" i="1"/>
  <c r="F331" i="1"/>
  <c r="Q21" i="1"/>
  <c r="S21" i="1"/>
  <c r="T21" i="1" s="1"/>
  <c r="Z21" i="1" s="1"/>
  <c r="E21" i="1" l="1"/>
  <c r="H21" i="1" s="1"/>
  <c r="S93" i="1"/>
  <c r="T93" i="1" s="1"/>
  <c r="Z93" i="1" s="1"/>
  <c r="Q93" i="1"/>
  <c r="E93" i="1"/>
  <c r="H93" i="1" s="1"/>
  <c r="Y21" i="1"/>
  <c r="F21" i="1"/>
  <c r="Y93" i="1" l="1"/>
  <c r="F93" i="1"/>
  <c r="X79" i="1" l="1"/>
  <c r="W79" i="1"/>
  <c r="J79" i="1"/>
  <c r="J136" i="1" s="1"/>
  <c r="G79" i="1"/>
  <c r="X77" i="1"/>
  <c r="W77" i="1"/>
  <c r="J77" i="1"/>
  <c r="J134" i="1" s="1"/>
  <c r="G77" i="1"/>
  <c r="X75" i="1"/>
  <c r="W75" i="1"/>
  <c r="J75" i="1"/>
  <c r="J132" i="1" s="1"/>
  <c r="G75" i="1"/>
  <c r="K136" i="1" l="1"/>
  <c r="M136" i="1"/>
  <c r="M134" i="1"/>
  <c r="K134" i="1"/>
  <c r="K132" i="1"/>
  <c r="M132" i="1"/>
  <c r="K79" i="1"/>
  <c r="M77" i="1"/>
  <c r="M79" i="1"/>
  <c r="N77" i="1"/>
  <c r="P77" i="1"/>
  <c r="K77" i="1"/>
  <c r="K75" i="1"/>
  <c r="M75" i="1"/>
  <c r="P136" i="1" l="1"/>
  <c r="N136" i="1"/>
  <c r="P134" i="1"/>
  <c r="N134" i="1"/>
  <c r="P132" i="1"/>
  <c r="N132" i="1"/>
  <c r="P79" i="1"/>
  <c r="N79" i="1"/>
  <c r="S77" i="1"/>
  <c r="Q77" i="1"/>
  <c r="Y77" i="1" s="1"/>
  <c r="P75" i="1"/>
  <c r="N75" i="1"/>
  <c r="S136" i="1" l="1"/>
  <c r="Q136" i="1"/>
  <c r="Y136" i="1" s="1"/>
  <c r="S134" i="1"/>
  <c r="T134" i="1" s="1"/>
  <c r="Z134" i="1" s="1"/>
  <c r="Q134" i="1"/>
  <c r="E134" i="1"/>
  <c r="H134" i="1" s="1"/>
  <c r="S132" i="1"/>
  <c r="Q132" i="1"/>
  <c r="Y132" i="1" s="1"/>
  <c r="S79" i="1"/>
  <c r="T79" i="1" s="1"/>
  <c r="Z79" i="1" s="1"/>
  <c r="Q79" i="1"/>
  <c r="Y79" i="1" s="1"/>
  <c r="E79" i="1"/>
  <c r="H79" i="1" s="1"/>
  <c r="T77" i="1"/>
  <c r="E77" i="1"/>
  <c r="H77" i="1" s="1"/>
  <c r="S75" i="1"/>
  <c r="Q75" i="1"/>
  <c r="F134" i="1" l="1"/>
  <c r="Y134" i="1"/>
  <c r="F136" i="1"/>
  <c r="T136" i="1"/>
  <c r="Z136" i="1" s="1"/>
  <c r="E136" i="1"/>
  <c r="H136" i="1" s="1"/>
  <c r="F132" i="1"/>
  <c r="T132" i="1"/>
  <c r="Z132" i="1" s="1"/>
  <c r="E132" i="1"/>
  <c r="H132" i="1" s="1"/>
  <c r="F79" i="1"/>
  <c r="Z77" i="1"/>
  <c r="F77" i="1"/>
  <c r="Y75" i="1"/>
  <c r="T75" i="1"/>
  <c r="Z75" i="1" s="1"/>
  <c r="E75" i="1"/>
  <c r="H75" i="1" s="1"/>
  <c r="F75" i="1" l="1"/>
  <c r="G49" i="1"/>
  <c r="G50" i="1"/>
  <c r="G51" i="1"/>
  <c r="G52" i="1"/>
  <c r="G53" i="1"/>
  <c r="G54" i="1"/>
  <c r="G109" i="1"/>
  <c r="G110" i="1"/>
  <c r="G111" i="1"/>
  <c r="G112" i="1"/>
  <c r="G159" i="1"/>
  <c r="G160" i="1"/>
  <c r="G161" i="1"/>
  <c r="G162" i="1"/>
  <c r="G203" i="1"/>
  <c r="G204" i="1"/>
  <c r="G205" i="1"/>
  <c r="G206" i="1"/>
  <c r="X102" i="1"/>
  <c r="W102" i="1"/>
  <c r="J102" i="1"/>
  <c r="G102" i="1"/>
  <c r="G101" i="1"/>
  <c r="J101" i="1"/>
  <c r="K101" i="1" s="1"/>
  <c r="W101" i="1"/>
  <c r="X101" i="1"/>
  <c r="X48" i="1"/>
  <c r="W48" i="1"/>
  <c r="M48" i="1"/>
  <c r="K48" i="1"/>
  <c r="G48" i="1"/>
  <c r="X81" i="1"/>
  <c r="W81" i="1"/>
  <c r="J81" i="1"/>
  <c r="G81" i="1"/>
  <c r="M81" i="1" l="1"/>
  <c r="M101" i="1"/>
  <c r="P101" i="1" s="1"/>
  <c r="K102" i="1"/>
  <c r="M102" i="1"/>
  <c r="P48" i="1"/>
  <c r="N48" i="1"/>
  <c r="N81" i="1"/>
  <c r="P81" i="1"/>
  <c r="K81" i="1"/>
  <c r="N101" i="1" l="1"/>
  <c r="N102" i="1"/>
  <c r="P102" i="1"/>
  <c r="S101" i="1"/>
  <c r="Q101" i="1"/>
  <c r="Y101" i="1" s="1"/>
  <c r="S48" i="1"/>
  <c r="Q48" i="1"/>
  <c r="Y48" i="1" s="1"/>
  <c r="S81" i="1"/>
  <c r="T81" i="1" s="1"/>
  <c r="Z81" i="1" s="1"/>
  <c r="Q81" i="1"/>
  <c r="Y81" i="1" s="1"/>
  <c r="F81" i="1" l="1"/>
  <c r="S102" i="1"/>
  <c r="T102" i="1" s="1"/>
  <c r="Z102" i="1" s="1"/>
  <c r="Q102" i="1"/>
  <c r="E102" i="1"/>
  <c r="H102" i="1" s="1"/>
  <c r="T101" i="1"/>
  <c r="Z101" i="1" s="1"/>
  <c r="E101" i="1"/>
  <c r="H101" i="1" s="1"/>
  <c r="F101" i="1"/>
  <c r="T48" i="1"/>
  <c r="E48" i="1"/>
  <c r="H48" i="1" s="1"/>
  <c r="E81" i="1"/>
  <c r="H81" i="1" s="1"/>
  <c r="Y102" i="1" l="1"/>
  <c r="F102" i="1"/>
  <c r="Z48" i="1"/>
  <c r="F48" i="1"/>
  <c r="X51" i="1" l="1"/>
  <c r="W51" i="1"/>
  <c r="M51" i="1"/>
  <c r="K51" i="1"/>
  <c r="X49" i="1"/>
  <c r="W49" i="1"/>
  <c r="M49" i="1"/>
  <c r="K49" i="1"/>
  <c r="X45" i="1"/>
  <c r="W45" i="1"/>
  <c r="M45" i="1"/>
  <c r="P45" i="1" s="1"/>
  <c r="K45" i="1"/>
  <c r="G45" i="1"/>
  <c r="P49" i="1" l="1"/>
  <c r="S49" i="1" s="1"/>
  <c r="T49" i="1" s="1"/>
  <c r="Z49" i="1" s="1"/>
  <c r="N51" i="1"/>
  <c r="P51" i="1"/>
  <c r="N45" i="1"/>
  <c r="N49" i="1"/>
  <c r="S45" i="1"/>
  <c r="T45" i="1" s="1"/>
  <c r="Z45" i="1" s="1"/>
  <c r="Q45" i="1"/>
  <c r="Y45" i="1" s="1"/>
  <c r="Q49" i="1" l="1"/>
  <c r="Y49" i="1" s="1"/>
  <c r="E49" i="1"/>
  <c r="H49" i="1" s="1"/>
  <c r="E45" i="1"/>
  <c r="H45" i="1" s="1"/>
  <c r="F45" i="1"/>
  <c r="S51" i="1"/>
  <c r="T51" i="1" s="1"/>
  <c r="Z51" i="1" s="1"/>
  <c r="Q51" i="1"/>
  <c r="F51" i="1" s="1"/>
  <c r="F49" i="1" l="1"/>
  <c r="E51" i="1"/>
  <c r="H51" i="1" s="1"/>
  <c r="Y51" i="1"/>
  <c r="G668" i="1" l="1"/>
  <c r="G667" i="1"/>
  <c r="G670" i="1"/>
  <c r="G669" i="1"/>
  <c r="G549" i="1"/>
  <c r="G548" i="1"/>
  <c r="G524" i="1"/>
  <c r="J432" i="1"/>
  <c r="J549" i="1" s="1"/>
  <c r="J670" i="1" s="1"/>
  <c r="G432" i="1"/>
  <c r="J431" i="1"/>
  <c r="M431" i="1" s="1"/>
  <c r="G431" i="1"/>
  <c r="G407" i="1"/>
  <c r="G22" i="1"/>
  <c r="K22" i="1"/>
  <c r="M22" i="1"/>
  <c r="N22" i="1" s="1"/>
  <c r="W22" i="1"/>
  <c r="X22" i="1"/>
  <c r="Y22" i="1"/>
  <c r="X23" i="1"/>
  <c r="W23" i="1"/>
  <c r="M23" i="1"/>
  <c r="P23" i="1" s="1"/>
  <c r="K23" i="1"/>
  <c r="G23" i="1"/>
  <c r="K670" i="1" l="1"/>
  <c r="M670" i="1"/>
  <c r="J548" i="1"/>
  <c r="K548" i="1" s="1"/>
  <c r="M549" i="1"/>
  <c r="K549" i="1"/>
  <c r="P22" i="1"/>
  <c r="Q22" i="1" s="1"/>
  <c r="N431" i="1"/>
  <c r="X431" i="1" s="1"/>
  <c r="P431" i="1"/>
  <c r="K432" i="1"/>
  <c r="M432" i="1"/>
  <c r="K431" i="1"/>
  <c r="Z22" i="1"/>
  <c r="S23" i="1"/>
  <c r="T23" i="1" s="1"/>
  <c r="Z23" i="1" s="1"/>
  <c r="Q23" i="1"/>
  <c r="Y23" i="1" s="1"/>
  <c r="N23" i="1"/>
  <c r="X40" i="1"/>
  <c r="W40" i="1"/>
  <c r="M40" i="1"/>
  <c r="P40" i="1" s="1"/>
  <c r="K40" i="1"/>
  <c r="G40" i="1"/>
  <c r="X37" i="1"/>
  <c r="W37" i="1"/>
  <c r="M37" i="1"/>
  <c r="N37" i="1" s="1"/>
  <c r="K37" i="1"/>
  <c r="G37" i="1"/>
  <c r="X18" i="1"/>
  <c r="W18" i="1"/>
  <c r="M18" i="1"/>
  <c r="N18" i="1" s="1"/>
  <c r="K18" i="1"/>
  <c r="G18" i="1"/>
  <c r="X16" i="1"/>
  <c r="W16" i="1"/>
  <c r="M16" i="1"/>
  <c r="P16" i="1" s="1"/>
  <c r="K16" i="1"/>
  <c r="G16" i="1"/>
  <c r="P25" i="1"/>
  <c r="E23" i="1" l="1"/>
  <c r="H23" i="1" s="1"/>
  <c r="M548" i="1"/>
  <c r="J669" i="1"/>
  <c r="N670" i="1"/>
  <c r="X670" i="1" s="1"/>
  <c r="P670" i="1"/>
  <c r="W670" i="1"/>
  <c r="S22" i="1"/>
  <c r="T22" i="1" s="1"/>
  <c r="F22" i="1" s="1"/>
  <c r="W549" i="1"/>
  <c r="N549" i="1"/>
  <c r="X549" i="1" s="1"/>
  <c r="P549" i="1"/>
  <c r="W548" i="1"/>
  <c r="F23" i="1"/>
  <c r="N432" i="1"/>
  <c r="X432" i="1" s="1"/>
  <c r="P432" i="1"/>
  <c r="W431" i="1"/>
  <c r="W432" i="1"/>
  <c r="Q431" i="1"/>
  <c r="Y431" i="1" s="1"/>
  <c r="S431" i="1"/>
  <c r="Q40" i="1"/>
  <c r="Y40" i="1" s="1"/>
  <c r="S40" i="1"/>
  <c r="T40" i="1" s="1"/>
  <c r="Z40" i="1" s="1"/>
  <c r="N40" i="1"/>
  <c r="P37" i="1"/>
  <c r="P18" i="1"/>
  <c r="Q16" i="1"/>
  <c r="Y16" i="1" s="1"/>
  <c r="S16" i="1"/>
  <c r="T16" i="1" s="1"/>
  <c r="Z16" i="1" s="1"/>
  <c r="N16" i="1"/>
  <c r="X30" i="1"/>
  <c r="W30" i="1"/>
  <c r="M30" i="1"/>
  <c r="N30" i="1" s="1"/>
  <c r="K30" i="1"/>
  <c r="G30" i="1"/>
  <c r="X28" i="1"/>
  <c r="W28" i="1"/>
  <c r="M28" i="1"/>
  <c r="K28" i="1"/>
  <c r="G28" i="1"/>
  <c r="W25" i="1"/>
  <c r="K25" i="1"/>
  <c r="G25" i="1"/>
  <c r="E22" i="1" l="1"/>
  <c r="H22" i="1" s="1"/>
  <c r="M669" i="1"/>
  <c r="K669" i="1"/>
  <c r="W669" i="1" s="1"/>
  <c r="F40" i="1"/>
  <c r="N548" i="1"/>
  <c r="X548" i="1" s="1"/>
  <c r="P548" i="1"/>
  <c r="S670" i="1"/>
  <c r="Q670" i="1"/>
  <c r="Q549" i="1"/>
  <c r="Y549" i="1" s="1"/>
  <c r="S549" i="1"/>
  <c r="T549" i="1" s="1"/>
  <c r="Z549" i="1" s="1"/>
  <c r="F549" i="1"/>
  <c r="F16" i="1"/>
  <c r="T431" i="1"/>
  <c r="Z431" i="1" s="1"/>
  <c r="E431" i="1"/>
  <c r="H431" i="1" s="1"/>
  <c r="S432" i="1"/>
  <c r="Q432" i="1"/>
  <c r="E40" i="1"/>
  <c r="H40" i="1" s="1"/>
  <c r="S37" i="1"/>
  <c r="T37" i="1" s="1"/>
  <c r="Z37" i="1" s="1"/>
  <c r="Q37" i="1"/>
  <c r="S18" i="1"/>
  <c r="T18" i="1" s="1"/>
  <c r="Z18" i="1" s="1"/>
  <c r="Q18" i="1"/>
  <c r="E16" i="1"/>
  <c r="H16" i="1" s="1"/>
  <c r="S28" i="1"/>
  <c r="T28" i="1" s="1"/>
  <c r="Z28" i="1" s="1"/>
  <c r="Q28" i="1"/>
  <c r="Y28" i="1" s="1"/>
  <c r="N28" i="1"/>
  <c r="Q25" i="1"/>
  <c r="Y25" i="1" s="1"/>
  <c r="S25" i="1"/>
  <c r="T25" i="1" s="1"/>
  <c r="Z25" i="1" s="1"/>
  <c r="N25" i="1"/>
  <c r="X25" i="1" s="1"/>
  <c r="M206" i="1"/>
  <c r="K206" i="1"/>
  <c r="M162" i="1"/>
  <c r="K162" i="1"/>
  <c r="M112" i="1"/>
  <c r="K112" i="1"/>
  <c r="P162" i="1" l="1"/>
  <c r="N112" i="1"/>
  <c r="X112" i="1" s="1"/>
  <c r="P206" i="1"/>
  <c r="Q206" i="1" s="1"/>
  <c r="E549" i="1"/>
  <c r="H549" i="1" s="1"/>
  <c r="F431" i="1"/>
  <c r="S548" i="1"/>
  <c r="Q548" i="1"/>
  <c r="Y548" i="1" s="1"/>
  <c r="E18" i="1"/>
  <c r="H18" i="1" s="1"/>
  <c r="N669" i="1"/>
  <c r="P669" i="1"/>
  <c r="T670" i="1"/>
  <c r="Z670" i="1" s="1"/>
  <c r="E670" i="1"/>
  <c r="H670" i="1" s="1"/>
  <c r="Y670" i="1"/>
  <c r="E37" i="1"/>
  <c r="H37" i="1" s="1"/>
  <c r="Y432" i="1"/>
  <c r="T432" i="1"/>
  <c r="Z432" i="1" s="1"/>
  <c r="E432" i="1"/>
  <c r="H432" i="1" s="1"/>
  <c r="Y37" i="1"/>
  <c r="F37" i="1"/>
  <c r="Y18" i="1"/>
  <c r="F18" i="1"/>
  <c r="E28" i="1"/>
  <c r="H28" i="1" s="1"/>
  <c r="E25" i="1"/>
  <c r="H25" i="1" s="1"/>
  <c r="F28" i="1"/>
  <c r="S30" i="1"/>
  <c r="T30" i="1" s="1"/>
  <c r="Z30" i="1" s="1"/>
  <c r="Q30" i="1"/>
  <c r="F25" i="1"/>
  <c r="N206" i="1"/>
  <c r="X206" i="1" s="1"/>
  <c r="W206" i="1"/>
  <c r="S162" i="1"/>
  <c r="T162" i="1" s="1"/>
  <c r="Z162" i="1" s="1"/>
  <c r="Q162" i="1"/>
  <c r="Y162" i="1" s="1"/>
  <c r="N162" i="1"/>
  <c r="X162" i="1" s="1"/>
  <c r="W162" i="1"/>
  <c r="P112" i="1"/>
  <c r="W112" i="1"/>
  <c r="S206" i="1" l="1"/>
  <c r="T206" i="1" s="1"/>
  <c r="Z206" i="1" s="1"/>
  <c r="F670" i="1"/>
  <c r="E30" i="1"/>
  <c r="H30" i="1" s="1"/>
  <c r="Y206" i="1"/>
  <c r="E206" i="1"/>
  <c r="H206" i="1" s="1"/>
  <c r="E162" i="1"/>
  <c r="H162" i="1" s="1"/>
  <c r="F162" i="1"/>
  <c r="Q669" i="1"/>
  <c r="Y669" i="1" s="1"/>
  <c r="S669" i="1"/>
  <c r="T669" i="1" s="1"/>
  <c r="Z669" i="1" s="1"/>
  <c r="E669" i="1"/>
  <c r="H669" i="1" s="1"/>
  <c r="X669" i="1"/>
  <c r="T548" i="1"/>
  <c r="E548" i="1"/>
  <c r="H548" i="1" s="1"/>
  <c r="F432" i="1"/>
  <c r="Y30" i="1"/>
  <c r="F30" i="1"/>
  <c r="S112" i="1"/>
  <c r="T112" i="1" s="1"/>
  <c r="Z112" i="1" s="1"/>
  <c r="Q112" i="1"/>
  <c r="F112" i="1" s="1"/>
  <c r="F206" i="1" l="1"/>
  <c r="E112" i="1"/>
  <c r="H112" i="1" s="1"/>
  <c r="F669" i="1"/>
  <c r="Z548" i="1"/>
  <c r="F548" i="1"/>
  <c r="Y112" i="1"/>
  <c r="X73" i="1" l="1"/>
  <c r="W73" i="1"/>
  <c r="J73" i="1"/>
  <c r="G73" i="1"/>
  <c r="M73" i="1" l="1"/>
  <c r="J130" i="1"/>
  <c r="K73" i="1"/>
  <c r="N73" i="1"/>
  <c r="K130" i="1" l="1"/>
  <c r="M130" i="1"/>
  <c r="S73" i="1"/>
  <c r="Q73" i="1"/>
  <c r="Y73" i="1" s="1"/>
  <c r="N130" i="1" l="1"/>
  <c r="P130" i="1"/>
  <c r="T73" i="1"/>
  <c r="E73" i="1"/>
  <c r="H73" i="1" s="1"/>
  <c r="S130" i="1" l="1"/>
  <c r="Q130" i="1"/>
  <c r="Y130" i="1" s="1"/>
  <c r="Z73" i="1"/>
  <c r="F73" i="1"/>
  <c r="F130" i="1" l="1"/>
  <c r="T130" i="1"/>
  <c r="Z130" i="1" s="1"/>
  <c r="E130" i="1"/>
  <c r="H130" i="1" s="1"/>
  <c r="W31" i="1"/>
  <c r="W32" i="1"/>
  <c r="M32" i="1"/>
  <c r="N32" i="1" s="1"/>
  <c r="X32" i="1" s="1"/>
  <c r="K32" i="1"/>
  <c r="G32" i="1"/>
  <c r="G9" i="1"/>
  <c r="J94" i="1"/>
  <c r="P32" i="1" l="1"/>
  <c r="S32" i="1" s="1"/>
  <c r="T32" i="1" s="1"/>
  <c r="Z32" i="1" s="1"/>
  <c r="M31" i="1"/>
  <c r="P31" i="1" s="1"/>
  <c r="S31" i="1" s="1"/>
  <c r="K31" i="1"/>
  <c r="G31" i="1"/>
  <c r="W91" i="1"/>
  <c r="J91" i="1"/>
  <c r="G91" i="1"/>
  <c r="G105" i="1"/>
  <c r="M10" i="1"/>
  <c r="N10" i="1" s="1"/>
  <c r="M12" i="1"/>
  <c r="K44" i="1"/>
  <c r="M44" i="1"/>
  <c r="N44" i="1" s="1"/>
  <c r="K14" i="1"/>
  <c r="M14" i="1"/>
  <c r="N14" i="1" s="1"/>
  <c r="E32" i="1" l="1"/>
  <c r="H32" i="1" s="1"/>
  <c r="Q32" i="1"/>
  <c r="N31" i="1"/>
  <c r="T31" i="1"/>
  <c r="E31" i="1"/>
  <c r="H31" i="1" s="1"/>
  <c r="Q31" i="1"/>
  <c r="P91" i="1"/>
  <c r="N91" i="1"/>
  <c r="X91" i="1" s="1"/>
  <c r="K91" i="1"/>
  <c r="W44" i="1"/>
  <c r="G44" i="1"/>
  <c r="W14" i="1"/>
  <c r="X14" i="1"/>
  <c r="G14" i="1"/>
  <c r="N12" i="1"/>
  <c r="X12" i="1" s="1"/>
  <c r="K12" i="1"/>
  <c r="W12" i="1" s="1"/>
  <c r="G12" i="1"/>
  <c r="K10" i="1"/>
  <c r="W10" i="1" s="1"/>
  <c r="G10" i="1"/>
  <c r="Y32" i="1" l="1"/>
  <c r="F32" i="1"/>
  <c r="F31" i="1"/>
  <c r="S91" i="1"/>
  <c r="Q91" i="1"/>
  <c r="Y91" i="1" s="1"/>
  <c r="X105" i="1"/>
  <c r="W105" i="1"/>
  <c r="Q44" i="1"/>
  <c r="Y44" i="1" s="1"/>
  <c r="S44" i="1"/>
  <c r="T44" i="1" s="1"/>
  <c r="Z44" i="1" s="1"/>
  <c r="Q12" i="1"/>
  <c r="Y12" i="1" s="1"/>
  <c r="Q10" i="1"/>
  <c r="Y10" i="1" s="1"/>
  <c r="S10" i="1"/>
  <c r="T10" i="1" s="1"/>
  <c r="Z10" i="1" s="1"/>
  <c r="X10" i="1"/>
  <c r="Z706" i="1"/>
  <c r="Y706" i="1"/>
  <c r="X706" i="1"/>
  <c r="W706" i="1"/>
  <c r="W681" i="1"/>
  <c r="W680" i="1"/>
  <c r="W678" i="1"/>
  <c r="W677" i="1"/>
  <c r="W676" i="1"/>
  <c r="W671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W630" i="1"/>
  <c r="W629" i="1"/>
  <c r="W627" i="1"/>
  <c r="W626" i="1"/>
  <c r="W625" i="1"/>
  <c r="W624" i="1"/>
  <c r="X623" i="1"/>
  <c r="W623" i="1"/>
  <c r="W622" i="1"/>
  <c r="W621" i="1"/>
  <c r="W620" i="1"/>
  <c r="X619" i="1"/>
  <c r="W619" i="1"/>
  <c r="X618" i="1"/>
  <c r="W618" i="1"/>
  <c r="X617" i="1"/>
  <c r="W617" i="1"/>
  <c r="W616" i="1"/>
  <c r="X615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X594" i="1"/>
  <c r="W594" i="1"/>
  <c r="X593" i="1"/>
  <c r="W593" i="1"/>
  <c r="X592" i="1"/>
  <c r="W592" i="1"/>
  <c r="X591" i="1"/>
  <c r="W591" i="1"/>
  <c r="Z590" i="1"/>
  <c r="Y590" i="1"/>
  <c r="X590" i="1"/>
  <c r="W590" i="1"/>
  <c r="Z589" i="1"/>
  <c r="Y589" i="1"/>
  <c r="X589" i="1"/>
  <c r="W589" i="1"/>
  <c r="W564" i="1"/>
  <c r="W563" i="1"/>
  <c r="W561" i="1"/>
  <c r="W560" i="1"/>
  <c r="W559" i="1"/>
  <c r="W550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W509" i="1"/>
  <c r="W508" i="1"/>
  <c r="W506" i="1"/>
  <c r="X505" i="1"/>
  <c r="W505" i="1"/>
  <c r="W504" i="1"/>
  <c r="W503" i="1"/>
  <c r="X502" i="1"/>
  <c r="W502" i="1"/>
  <c r="W501" i="1"/>
  <c r="W500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3" i="1"/>
  <c r="W473" i="1"/>
  <c r="X472" i="1"/>
  <c r="W472" i="1"/>
  <c r="X471" i="1"/>
  <c r="W471" i="1"/>
  <c r="X470" i="1"/>
  <c r="W470" i="1"/>
  <c r="Z469" i="1"/>
  <c r="Y469" i="1"/>
  <c r="X469" i="1"/>
  <c r="W469" i="1"/>
  <c r="Z468" i="1"/>
  <c r="Y468" i="1"/>
  <c r="X468" i="1"/>
  <c r="W468" i="1"/>
  <c r="W464" i="1"/>
  <c r="W452" i="1"/>
  <c r="W451" i="1"/>
  <c r="W450" i="1"/>
  <c r="W449" i="1"/>
  <c r="W448" i="1"/>
  <c r="W447" i="1"/>
  <c r="W446" i="1"/>
  <c r="W445" i="1"/>
  <c r="W444" i="1"/>
  <c r="W443" i="1"/>
  <c r="W442" i="1"/>
  <c r="W440" i="1"/>
  <c r="W439" i="1"/>
  <c r="W438" i="1"/>
  <c r="W433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W392" i="1"/>
  <c r="W391" i="1"/>
  <c r="W389" i="1"/>
  <c r="X388" i="1"/>
  <c r="W388" i="1"/>
  <c r="W387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6" i="1"/>
  <c r="W356" i="1"/>
  <c r="X355" i="1"/>
  <c r="W355" i="1"/>
  <c r="X354" i="1"/>
  <c r="W354" i="1"/>
  <c r="X353" i="1"/>
  <c r="W353" i="1"/>
  <c r="Z352" i="1"/>
  <c r="Y352" i="1"/>
  <c r="X352" i="1"/>
  <c r="W352" i="1"/>
  <c r="Z351" i="1"/>
  <c r="Y351" i="1"/>
  <c r="X351" i="1"/>
  <c r="W351" i="1"/>
  <c r="W348" i="1"/>
  <c r="W346" i="1"/>
  <c r="W345" i="1"/>
  <c r="W344" i="1"/>
  <c r="W343" i="1"/>
  <c r="W342" i="1"/>
  <c r="W341" i="1"/>
  <c r="W340" i="1"/>
  <c r="W339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298" i="1"/>
  <c r="Z295" i="1"/>
  <c r="Y295" i="1"/>
  <c r="X295" i="1"/>
  <c r="W295" i="1"/>
  <c r="Z294" i="1"/>
  <c r="Y294" i="1"/>
  <c r="X294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X274" i="1"/>
  <c r="W274" i="1"/>
  <c r="X273" i="1"/>
  <c r="W273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W254" i="1"/>
  <c r="X253" i="1"/>
  <c r="W253" i="1"/>
  <c r="W252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Z223" i="1"/>
  <c r="Y223" i="1"/>
  <c r="X223" i="1"/>
  <c r="W223" i="1"/>
  <c r="Z222" i="1"/>
  <c r="Y222" i="1"/>
  <c r="X222" i="1"/>
  <c r="W222" i="1"/>
  <c r="X221" i="1"/>
  <c r="W221" i="1"/>
  <c r="X220" i="1"/>
  <c r="W220" i="1"/>
  <c r="X219" i="1"/>
  <c r="W219" i="1"/>
  <c r="X218" i="1"/>
  <c r="W218" i="1"/>
  <c r="Z217" i="1"/>
  <c r="Y217" i="1"/>
  <c r="X217" i="1"/>
  <c r="W217" i="1"/>
  <c r="Z216" i="1"/>
  <c r="Y216" i="1"/>
  <c r="X216" i="1"/>
  <c r="W216" i="1"/>
  <c r="Z215" i="1"/>
  <c r="Y215" i="1"/>
  <c r="X215" i="1"/>
  <c r="W215" i="1"/>
  <c r="Z214" i="1"/>
  <c r="Y214" i="1"/>
  <c r="X214" i="1"/>
  <c r="W214" i="1"/>
  <c r="W212" i="1"/>
  <c r="Z211" i="1"/>
  <c r="Y211" i="1"/>
  <c r="X211" i="1"/>
  <c r="W211" i="1"/>
  <c r="Z210" i="1"/>
  <c r="Y210" i="1"/>
  <c r="X210" i="1"/>
  <c r="W210" i="1"/>
  <c r="Z209" i="1"/>
  <c r="Y209" i="1"/>
  <c r="X209" i="1"/>
  <c r="W209" i="1"/>
  <c r="Z208" i="1"/>
  <c r="Y208" i="1"/>
  <c r="X208" i="1"/>
  <c r="W208" i="1"/>
  <c r="Z207" i="1"/>
  <c r="Y207" i="1"/>
  <c r="X207" i="1"/>
  <c r="W207" i="1"/>
  <c r="X204" i="1"/>
  <c r="W204" i="1"/>
  <c r="W203" i="1"/>
  <c r="W200" i="1"/>
  <c r="W198" i="1"/>
  <c r="W196" i="1"/>
  <c r="W183" i="1"/>
  <c r="W182" i="1"/>
  <c r="W181" i="1"/>
  <c r="W179" i="1"/>
  <c r="Z178" i="1"/>
  <c r="Y178" i="1"/>
  <c r="X178" i="1"/>
  <c r="W178" i="1"/>
  <c r="X177" i="1"/>
  <c r="W177" i="1"/>
  <c r="Y176" i="1"/>
  <c r="X176" i="1"/>
  <c r="W176" i="1"/>
  <c r="Z175" i="1"/>
  <c r="Y175" i="1"/>
  <c r="X175" i="1"/>
  <c r="W175" i="1"/>
  <c r="Y174" i="1"/>
  <c r="X174" i="1"/>
  <c r="W174" i="1"/>
  <c r="Z173" i="1"/>
  <c r="Y173" i="1"/>
  <c r="X173" i="1"/>
  <c r="W173" i="1"/>
  <c r="Z172" i="1"/>
  <c r="Y172" i="1"/>
  <c r="X172" i="1"/>
  <c r="W172" i="1"/>
  <c r="Z171" i="1"/>
  <c r="Y171" i="1"/>
  <c r="X171" i="1"/>
  <c r="W171" i="1"/>
  <c r="Z170" i="1"/>
  <c r="Y170" i="1"/>
  <c r="X170" i="1"/>
  <c r="W170" i="1"/>
  <c r="W168" i="1"/>
  <c r="Z167" i="1"/>
  <c r="Y167" i="1"/>
  <c r="X167" i="1"/>
  <c r="W167" i="1"/>
  <c r="Z166" i="1"/>
  <c r="Y166" i="1"/>
  <c r="X166" i="1"/>
  <c r="W166" i="1"/>
  <c r="Z165" i="1"/>
  <c r="Y165" i="1"/>
  <c r="X165" i="1"/>
  <c r="W165" i="1"/>
  <c r="Z164" i="1"/>
  <c r="Y164" i="1"/>
  <c r="X164" i="1"/>
  <c r="W164" i="1"/>
  <c r="Z163" i="1"/>
  <c r="Y163" i="1"/>
  <c r="X163" i="1"/>
  <c r="W163" i="1"/>
  <c r="X160" i="1"/>
  <c r="W160" i="1"/>
  <c r="X159" i="1"/>
  <c r="W159" i="1"/>
  <c r="W156" i="1"/>
  <c r="W154" i="1"/>
  <c r="W152" i="1"/>
  <c r="W147" i="1"/>
  <c r="W142" i="1"/>
  <c r="W140" i="1"/>
  <c r="W137" i="1"/>
  <c r="W135" i="1"/>
  <c r="W133" i="1"/>
  <c r="W131" i="1"/>
  <c r="W129" i="1"/>
  <c r="Z128" i="1"/>
  <c r="Y128" i="1"/>
  <c r="X128" i="1"/>
  <c r="W128" i="1"/>
  <c r="X127" i="1"/>
  <c r="W127" i="1"/>
  <c r="Y126" i="1"/>
  <c r="X126" i="1"/>
  <c r="W126" i="1"/>
  <c r="Z125" i="1"/>
  <c r="Y125" i="1"/>
  <c r="X125" i="1"/>
  <c r="W125" i="1"/>
  <c r="Y124" i="1"/>
  <c r="X124" i="1"/>
  <c r="W124" i="1"/>
  <c r="Z123" i="1"/>
  <c r="Y123" i="1"/>
  <c r="X123" i="1"/>
  <c r="W123" i="1"/>
  <c r="Z122" i="1"/>
  <c r="Y122" i="1"/>
  <c r="X122" i="1"/>
  <c r="W122" i="1"/>
  <c r="Z121" i="1"/>
  <c r="Y121" i="1"/>
  <c r="X121" i="1"/>
  <c r="W121" i="1"/>
  <c r="Z120" i="1"/>
  <c r="Y120" i="1"/>
  <c r="X120" i="1"/>
  <c r="W120" i="1"/>
  <c r="W118" i="1"/>
  <c r="Z117" i="1"/>
  <c r="Y117" i="1"/>
  <c r="X117" i="1"/>
  <c r="W117" i="1"/>
  <c r="Z116" i="1"/>
  <c r="Y116" i="1"/>
  <c r="X116" i="1"/>
  <c r="W116" i="1"/>
  <c r="Z115" i="1"/>
  <c r="Y115" i="1"/>
  <c r="X115" i="1"/>
  <c r="W115" i="1"/>
  <c r="Z114" i="1"/>
  <c r="Y114" i="1"/>
  <c r="X114" i="1"/>
  <c r="W114" i="1"/>
  <c r="Z113" i="1"/>
  <c r="Y113" i="1"/>
  <c r="X113" i="1"/>
  <c r="W113" i="1"/>
  <c r="X110" i="1"/>
  <c r="W110" i="1"/>
  <c r="X109" i="1"/>
  <c r="W109" i="1"/>
  <c r="W108" i="1"/>
  <c r="W107" i="1"/>
  <c r="X106" i="1"/>
  <c r="W106" i="1"/>
  <c r="W103" i="1"/>
  <c r="X100" i="1"/>
  <c r="W100" i="1"/>
  <c r="W99" i="1"/>
  <c r="X96" i="1"/>
  <c r="W96" i="1"/>
  <c r="X92" i="1"/>
  <c r="W92" i="1"/>
  <c r="W90" i="1"/>
  <c r="W89" i="1"/>
  <c r="W88" i="1"/>
  <c r="X86" i="1"/>
  <c r="W86" i="1"/>
  <c r="W84" i="1"/>
  <c r="W82" i="1"/>
  <c r="W80" i="1"/>
  <c r="W78" i="1"/>
  <c r="X76" i="1"/>
  <c r="W76" i="1"/>
  <c r="W74" i="1"/>
  <c r="X72" i="1"/>
  <c r="W72" i="1"/>
  <c r="Z71" i="1"/>
  <c r="Y71" i="1"/>
  <c r="X71" i="1"/>
  <c r="W71" i="1"/>
  <c r="X70" i="1"/>
  <c r="W70" i="1"/>
  <c r="Y69" i="1"/>
  <c r="X69" i="1"/>
  <c r="W69" i="1"/>
  <c r="Z68" i="1"/>
  <c r="Y68" i="1"/>
  <c r="X68" i="1"/>
  <c r="W68" i="1"/>
  <c r="Y67" i="1"/>
  <c r="X67" i="1"/>
  <c r="W67" i="1"/>
  <c r="Z66" i="1"/>
  <c r="Y66" i="1"/>
  <c r="X66" i="1"/>
  <c r="W66" i="1"/>
  <c r="Z65" i="1"/>
  <c r="Y65" i="1"/>
  <c r="X65" i="1"/>
  <c r="W65" i="1"/>
  <c r="Z64" i="1"/>
  <c r="Y64" i="1"/>
  <c r="X64" i="1"/>
  <c r="W64" i="1"/>
  <c r="Z63" i="1"/>
  <c r="Y63" i="1"/>
  <c r="X63" i="1"/>
  <c r="W63" i="1"/>
  <c r="W60" i="1"/>
  <c r="Z59" i="1"/>
  <c r="Y59" i="1"/>
  <c r="X59" i="1"/>
  <c r="W59" i="1"/>
  <c r="X58" i="1"/>
  <c r="W58" i="1"/>
  <c r="Z57" i="1"/>
  <c r="Y57" i="1"/>
  <c r="X57" i="1"/>
  <c r="W57" i="1"/>
  <c r="Y56" i="1"/>
  <c r="X56" i="1"/>
  <c r="W56" i="1"/>
  <c r="Y55" i="1"/>
  <c r="X55" i="1"/>
  <c r="W55" i="1"/>
  <c r="Y54" i="1"/>
  <c r="X54" i="1"/>
  <c r="W54" i="1"/>
  <c r="Z53" i="1"/>
  <c r="Y53" i="1"/>
  <c r="X53" i="1"/>
  <c r="W53" i="1"/>
  <c r="X52" i="1"/>
  <c r="W52" i="1"/>
  <c r="X50" i="1"/>
  <c r="W50" i="1"/>
  <c r="X47" i="1"/>
  <c r="W47" i="1"/>
  <c r="X46" i="1"/>
  <c r="W46" i="1"/>
  <c r="X43" i="1"/>
  <c r="W43" i="1"/>
  <c r="X42" i="1"/>
  <c r="W42" i="1"/>
  <c r="X41" i="1"/>
  <c r="W41" i="1"/>
  <c r="X39" i="1"/>
  <c r="W39" i="1"/>
  <c r="X38" i="1"/>
  <c r="W38" i="1"/>
  <c r="X36" i="1"/>
  <c r="W36" i="1"/>
  <c r="X33" i="1"/>
  <c r="W33" i="1"/>
  <c r="X29" i="1"/>
  <c r="W29" i="1"/>
  <c r="X27" i="1"/>
  <c r="W27" i="1"/>
  <c r="X26" i="1"/>
  <c r="W26" i="1"/>
  <c r="W24" i="1"/>
  <c r="X20" i="1"/>
  <c r="W20" i="1"/>
  <c r="X19" i="1"/>
  <c r="W19" i="1"/>
  <c r="X17" i="1"/>
  <c r="W17" i="1"/>
  <c r="X15" i="1"/>
  <c r="W15" i="1"/>
  <c r="X13" i="1"/>
  <c r="W13" i="1"/>
  <c r="X11" i="1"/>
  <c r="W11" i="1"/>
  <c r="X9" i="1"/>
  <c r="W9" i="1"/>
  <c r="Z8" i="1"/>
  <c r="Y8" i="1"/>
  <c r="X8" i="1"/>
  <c r="W8" i="1"/>
  <c r="X7" i="1"/>
  <c r="W7" i="1"/>
  <c r="Y6" i="1"/>
  <c r="X6" i="1"/>
  <c r="W6" i="1"/>
  <c r="Z5" i="1"/>
  <c r="Y5" i="1"/>
  <c r="X5" i="1"/>
  <c r="W5" i="1"/>
  <c r="Y4" i="1"/>
  <c r="X4" i="1"/>
  <c r="W4" i="1"/>
  <c r="T91" i="1" l="1"/>
  <c r="E91" i="1"/>
  <c r="H91" i="1" s="1"/>
  <c r="Y105" i="1"/>
  <c r="E105" i="1"/>
  <c r="H105" i="1" s="1"/>
  <c r="F44" i="1"/>
  <c r="X44" i="1"/>
  <c r="F10" i="1"/>
  <c r="E44" i="1"/>
  <c r="H44" i="1" s="1"/>
  <c r="S12" i="1"/>
  <c r="T12" i="1" s="1"/>
  <c r="S14" i="1"/>
  <c r="T14" i="1" s="1"/>
  <c r="Z14" i="1" s="1"/>
  <c r="Q14" i="1"/>
  <c r="E10" i="1"/>
  <c r="H10" i="1" s="1"/>
  <c r="M54" i="1"/>
  <c r="K297" i="1"/>
  <c r="W297" i="1" s="1"/>
  <c r="G296" i="1"/>
  <c r="G297" i="1"/>
  <c r="G298" i="1"/>
  <c r="G299" i="1"/>
  <c r="G300" i="1"/>
  <c r="M297" i="1"/>
  <c r="N297" i="1" s="1"/>
  <c r="X297" i="1" s="1"/>
  <c r="M296" i="1"/>
  <c r="N296" i="1" s="1"/>
  <c r="X296" i="1" s="1"/>
  <c r="K296" i="1"/>
  <c r="W296" i="1" s="1"/>
  <c r="K298" i="1"/>
  <c r="M298" i="1"/>
  <c r="N298" i="1" s="1"/>
  <c r="X298" i="1" s="1"/>
  <c r="K299" i="1"/>
  <c r="W299" i="1" s="1"/>
  <c r="M299" i="1"/>
  <c r="P299" i="1" s="1"/>
  <c r="N54" i="1" l="1"/>
  <c r="E12" i="1"/>
  <c r="H12" i="1" s="1"/>
  <c r="Z91" i="1"/>
  <c r="F91" i="1"/>
  <c r="Z105" i="1"/>
  <c r="F105" i="1"/>
  <c r="E14" i="1"/>
  <c r="H14" i="1" s="1"/>
  <c r="Y14" i="1"/>
  <c r="F14" i="1"/>
  <c r="Z12" i="1"/>
  <c r="F12" i="1"/>
  <c r="N299" i="1"/>
  <c r="X299" i="1" s="1"/>
  <c r="P54" i="1"/>
  <c r="Q54" i="1" s="1"/>
  <c r="S299" i="1"/>
  <c r="T299" i="1" s="1"/>
  <c r="Z299" i="1" s="1"/>
  <c r="P297" i="1"/>
  <c r="P298" i="1"/>
  <c r="P296" i="1"/>
  <c r="Q299" i="1"/>
  <c r="Y299" i="1" s="1"/>
  <c r="K54" i="1"/>
  <c r="J119" i="1"/>
  <c r="M119" i="1" s="1"/>
  <c r="P119" i="1" s="1"/>
  <c r="S119" i="1" s="1"/>
  <c r="M62" i="1"/>
  <c r="P62" i="1" s="1"/>
  <c r="K62" i="1"/>
  <c r="G62" i="1"/>
  <c r="E299" i="1" l="1"/>
  <c r="H299" i="1" s="1"/>
  <c r="K119" i="1"/>
  <c r="W62" i="1"/>
  <c r="F299" i="1"/>
  <c r="S54" i="1"/>
  <c r="T54" i="1" s="1"/>
  <c r="Z54" i="1" s="1"/>
  <c r="S296" i="1"/>
  <c r="Q296" i="1"/>
  <c r="Y296" i="1" s="1"/>
  <c r="S298" i="1"/>
  <c r="E298" i="1" s="1"/>
  <c r="H298" i="1" s="1"/>
  <c r="Q298" i="1"/>
  <c r="Y298" i="1" s="1"/>
  <c r="S297" i="1"/>
  <c r="T297" i="1" s="1"/>
  <c r="Z297" i="1" s="1"/>
  <c r="Q297" i="1"/>
  <c r="J169" i="1"/>
  <c r="S62" i="1"/>
  <c r="E62" i="1" s="1"/>
  <c r="H62" i="1" s="1"/>
  <c r="N62" i="1"/>
  <c r="E54" i="1" l="1"/>
  <c r="H54" i="1" s="1"/>
  <c r="F54" i="1"/>
  <c r="F297" i="1"/>
  <c r="Y297" i="1"/>
  <c r="N119" i="1"/>
  <c r="X119" i="1" s="1"/>
  <c r="X62" i="1"/>
  <c r="K169" i="1"/>
  <c r="W119" i="1"/>
  <c r="T296" i="1"/>
  <c r="E296" i="1"/>
  <c r="H296" i="1" s="1"/>
  <c r="E297" i="1"/>
  <c r="H297" i="1" s="1"/>
  <c r="T298" i="1"/>
  <c r="M169" i="1"/>
  <c r="P169" i="1" s="1"/>
  <c r="S169" i="1" s="1"/>
  <c r="J213" i="1"/>
  <c r="M213" i="1" s="1"/>
  <c r="P213" i="1" s="1"/>
  <c r="S213" i="1" s="1"/>
  <c r="Q62" i="1"/>
  <c r="Y62" i="1" s="1"/>
  <c r="F298" i="1" l="1"/>
  <c r="Z298" i="1"/>
  <c r="F296" i="1"/>
  <c r="Z296" i="1"/>
  <c r="N169" i="1"/>
  <c r="W169" i="1"/>
  <c r="K213" i="1"/>
  <c r="T62" i="1"/>
  <c r="Q119" i="1"/>
  <c r="T119" i="1" l="1"/>
  <c r="Z119" i="1" s="1"/>
  <c r="Y119" i="1"/>
  <c r="F62" i="1"/>
  <c r="Z62" i="1"/>
  <c r="N213" i="1"/>
  <c r="W213" i="1"/>
  <c r="Q169" i="1"/>
  <c r="X169" i="1"/>
  <c r="G671" i="1"/>
  <c r="G672" i="1"/>
  <c r="G673" i="1"/>
  <c r="G674" i="1"/>
  <c r="G675" i="1"/>
  <c r="G550" i="1"/>
  <c r="G551" i="1"/>
  <c r="G552" i="1"/>
  <c r="G553" i="1"/>
  <c r="G554" i="1"/>
  <c r="G555" i="1"/>
  <c r="G556" i="1"/>
  <c r="G557" i="1"/>
  <c r="G558" i="1"/>
  <c r="J433" i="1"/>
  <c r="K433" i="1" s="1"/>
  <c r="J434" i="1"/>
  <c r="J551" i="1" s="1"/>
  <c r="J672" i="1" s="1"/>
  <c r="J435" i="1"/>
  <c r="J552" i="1" s="1"/>
  <c r="J673" i="1" s="1"/>
  <c r="J436" i="1"/>
  <c r="K436" i="1" s="1"/>
  <c r="W436" i="1" s="1"/>
  <c r="J437" i="1"/>
  <c r="M437" i="1" s="1"/>
  <c r="P437" i="1" s="1"/>
  <c r="G433" i="1"/>
  <c r="G434" i="1"/>
  <c r="G435" i="1"/>
  <c r="G436" i="1"/>
  <c r="G437" i="1"/>
  <c r="K301" i="1"/>
  <c r="W301" i="1" s="1"/>
  <c r="K302" i="1"/>
  <c r="W302" i="1" s="1"/>
  <c r="K303" i="1"/>
  <c r="W303" i="1" s="1"/>
  <c r="K304" i="1"/>
  <c r="W304" i="1" s="1"/>
  <c r="K305" i="1"/>
  <c r="W305" i="1" s="1"/>
  <c r="K306" i="1"/>
  <c r="W306" i="1" s="1"/>
  <c r="K300" i="1"/>
  <c r="W300" i="1" s="1"/>
  <c r="M300" i="1"/>
  <c r="M301" i="1"/>
  <c r="P301" i="1" s="1"/>
  <c r="M302" i="1"/>
  <c r="N302" i="1" s="1"/>
  <c r="X302" i="1" s="1"/>
  <c r="M303" i="1"/>
  <c r="N303" i="1" s="1"/>
  <c r="X303" i="1" s="1"/>
  <c r="M304" i="1"/>
  <c r="N304" i="1" s="1"/>
  <c r="X304" i="1" s="1"/>
  <c r="M305" i="1"/>
  <c r="P305" i="1" s="1"/>
  <c r="M306" i="1"/>
  <c r="N306" i="1" s="1"/>
  <c r="X306" i="1" s="1"/>
  <c r="G301" i="1"/>
  <c r="G302" i="1"/>
  <c r="G303" i="1"/>
  <c r="G304" i="1"/>
  <c r="G305" i="1"/>
  <c r="G306" i="1"/>
  <c r="Q213" i="1" l="1"/>
  <c r="X213" i="1"/>
  <c r="T169" i="1"/>
  <c r="Z169" i="1" s="1"/>
  <c r="Y169" i="1"/>
  <c r="N300" i="1"/>
  <c r="X300" i="1" s="1"/>
  <c r="K435" i="1"/>
  <c r="W435" i="1" s="1"/>
  <c r="M433" i="1"/>
  <c r="N433" i="1" s="1"/>
  <c r="X433" i="1" s="1"/>
  <c r="P303" i="1"/>
  <c r="Q303" i="1" s="1"/>
  <c r="Y303" i="1" s="1"/>
  <c r="K673" i="1"/>
  <c r="W673" i="1" s="1"/>
  <c r="M673" i="1"/>
  <c r="N673" i="1" s="1"/>
  <c r="X673" i="1" s="1"/>
  <c r="M672" i="1"/>
  <c r="K672" i="1"/>
  <c r="W672" i="1" s="1"/>
  <c r="N301" i="1"/>
  <c r="X301" i="1" s="1"/>
  <c r="M435" i="1"/>
  <c r="N435" i="1" s="1"/>
  <c r="X435" i="1" s="1"/>
  <c r="S301" i="1"/>
  <c r="T301" i="1" s="1"/>
  <c r="Z301" i="1" s="1"/>
  <c r="Q301" i="1"/>
  <c r="Y301" i="1" s="1"/>
  <c r="K552" i="1"/>
  <c r="W552" i="1" s="1"/>
  <c r="M552" i="1"/>
  <c r="M551" i="1"/>
  <c r="K551" i="1"/>
  <c r="W551" i="1" s="1"/>
  <c r="M434" i="1"/>
  <c r="J554" i="1"/>
  <c r="J675" i="1" s="1"/>
  <c r="J553" i="1"/>
  <c r="J674" i="1" s="1"/>
  <c r="J550" i="1"/>
  <c r="J671" i="1" s="1"/>
  <c r="M436" i="1"/>
  <c r="N305" i="1"/>
  <c r="X305" i="1" s="1"/>
  <c r="P300" i="1"/>
  <c r="N437" i="1"/>
  <c r="X437" i="1" s="1"/>
  <c r="Q437" i="1"/>
  <c r="Y437" i="1" s="1"/>
  <c r="S437" i="1"/>
  <c r="T437" i="1" s="1"/>
  <c r="Z437" i="1" s="1"/>
  <c r="K437" i="1"/>
  <c r="W437" i="1" s="1"/>
  <c r="K434" i="1"/>
  <c r="W434" i="1" s="1"/>
  <c r="S305" i="1"/>
  <c r="T305" i="1" s="1"/>
  <c r="Z305" i="1" s="1"/>
  <c r="Q305" i="1"/>
  <c r="Y305" i="1" s="1"/>
  <c r="P306" i="1"/>
  <c r="P304" i="1"/>
  <c r="P302" i="1"/>
  <c r="E437" i="1" l="1"/>
  <c r="H437" i="1" s="1"/>
  <c r="P673" i="1"/>
  <c r="S673" i="1" s="1"/>
  <c r="T673" i="1" s="1"/>
  <c r="Z673" i="1" s="1"/>
  <c r="E305" i="1"/>
  <c r="H305" i="1" s="1"/>
  <c r="P433" i="1"/>
  <c r="S433" i="1" s="1"/>
  <c r="T433" i="1" s="1"/>
  <c r="Z433" i="1" s="1"/>
  <c r="T213" i="1"/>
  <c r="Z213" i="1" s="1"/>
  <c r="Y213" i="1"/>
  <c r="F301" i="1"/>
  <c r="E301" i="1"/>
  <c r="H301" i="1" s="1"/>
  <c r="F305" i="1"/>
  <c r="P435" i="1"/>
  <c r="Q435" i="1" s="1"/>
  <c r="Y435" i="1" s="1"/>
  <c r="S303" i="1"/>
  <c r="T303" i="1" s="1"/>
  <c r="K674" i="1"/>
  <c r="W674" i="1" s="1"/>
  <c r="M674" i="1"/>
  <c r="K671" i="1"/>
  <c r="M671" i="1"/>
  <c r="P672" i="1"/>
  <c r="N672" i="1"/>
  <c r="X672" i="1" s="1"/>
  <c r="K675" i="1"/>
  <c r="W675" i="1" s="1"/>
  <c r="M675" i="1"/>
  <c r="K553" i="1"/>
  <c r="W553" i="1" s="1"/>
  <c r="M553" i="1"/>
  <c r="P434" i="1"/>
  <c r="N434" i="1"/>
  <c r="X434" i="1" s="1"/>
  <c r="P551" i="1"/>
  <c r="N551" i="1"/>
  <c r="X551" i="1" s="1"/>
  <c r="K550" i="1"/>
  <c r="M550" i="1"/>
  <c r="N552" i="1"/>
  <c r="X552" i="1" s="1"/>
  <c r="P552" i="1"/>
  <c r="J555" i="1"/>
  <c r="K554" i="1"/>
  <c r="W554" i="1" s="1"/>
  <c r="M554" i="1"/>
  <c r="S300" i="1"/>
  <c r="E300" i="1" s="1"/>
  <c r="H300" i="1" s="1"/>
  <c r="Q300" i="1"/>
  <c r="Y300" i="1" s="1"/>
  <c r="F437" i="1"/>
  <c r="N436" i="1"/>
  <c r="X436" i="1" s="1"/>
  <c r="P436" i="1"/>
  <c r="Q304" i="1"/>
  <c r="Y304" i="1" s="1"/>
  <c r="S304" i="1"/>
  <c r="T304" i="1" s="1"/>
  <c r="Z304" i="1" s="1"/>
  <c r="Q302" i="1"/>
  <c r="Y302" i="1" s="1"/>
  <c r="S302" i="1"/>
  <c r="T302" i="1" s="1"/>
  <c r="Z302" i="1" s="1"/>
  <c r="Q306" i="1"/>
  <c r="Y306" i="1" s="1"/>
  <c r="S306" i="1"/>
  <c r="T306" i="1" s="1"/>
  <c r="Z306" i="1" s="1"/>
  <c r="Q433" i="1" l="1"/>
  <c r="Y433" i="1" s="1"/>
  <c r="Q673" i="1"/>
  <c r="Y673" i="1" s="1"/>
  <c r="E303" i="1"/>
  <c r="H303" i="1" s="1"/>
  <c r="F303" i="1"/>
  <c r="Z303" i="1"/>
  <c r="S435" i="1"/>
  <c r="T435" i="1" s="1"/>
  <c r="Z435" i="1" s="1"/>
  <c r="E306" i="1"/>
  <c r="H306" i="1" s="1"/>
  <c r="F302" i="1"/>
  <c r="F673" i="1"/>
  <c r="F433" i="1"/>
  <c r="E673" i="1"/>
  <c r="H673" i="1" s="1"/>
  <c r="P675" i="1"/>
  <c r="N675" i="1"/>
  <c r="X675" i="1" s="1"/>
  <c r="Q672" i="1"/>
  <c r="Y672" i="1" s="1"/>
  <c r="S672" i="1"/>
  <c r="T672" i="1" s="1"/>
  <c r="Z672" i="1" s="1"/>
  <c r="P671" i="1"/>
  <c r="N671" i="1"/>
  <c r="X671" i="1" s="1"/>
  <c r="N674" i="1"/>
  <c r="X674" i="1" s="1"/>
  <c r="P674" i="1"/>
  <c r="E433" i="1"/>
  <c r="H433" i="1" s="1"/>
  <c r="Q434" i="1"/>
  <c r="Y434" i="1" s="1"/>
  <c r="S434" i="1"/>
  <c r="P554" i="1"/>
  <c r="N554" i="1"/>
  <c r="X554" i="1" s="1"/>
  <c r="P553" i="1"/>
  <c r="N553" i="1"/>
  <c r="X553" i="1" s="1"/>
  <c r="J556" i="1"/>
  <c r="K555" i="1"/>
  <c r="W555" i="1" s="1"/>
  <c r="M555" i="1"/>
  <c r="Q551" i="1"/>
  <c r="Y551" i="1" s="1"/>
  <c r="S551" i="1"/>
  <c r="F304" i="1"/>
  <c r="Q552" i="1"/>
  <c r="Y552" i="1" s="1"/>
  <c r="S552" i="1"/>
  <c r="T552" i="1" s="1"/>
  <c r="Z552" i="1" s="1"/>
  <c r="P550" i="1"/>
  <c r="N550" i="1"/>
  <c r="X550" i="1" s="1"/>
  <c r="E304" i="1"/>
  <c r="H304" i="1" s="1"/>
  <c r="T300" i="1"/>
  <c r="S436" i="1"/>
  <c r="Q436" i="1"/>
  <c r="Y436" i="1" s="1"/>
  <c r="F306" i="1"/>
  <c r="E302" i="1"/>
  <c r="H302" i="1" s="1"/>
  <c r="F435" i="1" l="1"/>
  <c r="E435" i="1"/>
  <c r="H435" i="1" s="1"/>
  <c r="F300" i="1"/>
  <c r="Z300" i="1"/>
  <c r="F672" i="1"/>
  <c r="F552" i="1"/>
  <c r="E552" i="1"/>
  <c r="H552" i="1" s="1"/>
  <c r="Q671" i="1"/>
  <c r="Y671" i="1" s="1"/>
  <c r="S671" i="1"/>
  <c r="E672" i="1"/>
  <c r="H672" i="1" s="1"/>
  <c r="S674" i="1"/>
  <c r="Q674" i="1"/>
  <c r="Y674" i="1" s="1"/>
  <c r="S675" i="1"/>
  <c r="Q675" i="1"/>
  <c r="Y675" i="1" s="1"/>
  <c r="P555" i="1"/>
  <c r="N555" i="1"/>
  <c r="X555" i="1" s="1"/>
  <c r="S550" i="1"/>
  <c r="T550" i="1" s="1"/>
  <c r="Z550" i="1" s="1"/>
  <c r="Q550" i="1"/>
  <c r="Y550" i="1" s="1"/>
  <c r="J557" i="1"/>
  <c r="K556" i="1"/>
  <c r="W556" i="1" s="1"/>
  <c r="M556" i="1"/>
  <c r="Q553" i="1"/>
  <c r="Y553" i="1" s="1"/>
  <c r="S553" i="1"/>
  <c r="T553" i="1" s="1"/>
  <c r="Z553" i="1" s="1"/>
  <c r="Q554" i="1"/>
  <c r="Y554" i="1" s="1"/>
  <c r="S554" i="1"/>
  <c r="T434" i="1"/>
  <c r="E434" i="1"/>
  <c r="H434" i="1" s="1"/>
  <c r="T551" i="1"/>
  <c r="E551" i="1"/>
  <c r="H551" i="1" s="1"/>
  <c r="T436" i="1"/>
  <c r="E436" i="1"/>
  <c r="H436" i="1" s="1"/>
  <c r="E553" i="1" l="1"/>
  <c r="H553" i="1" s="1"/>
  <c r="F436" i="1"/>
  <c r="Z436" i="1"/>
  <c r="F551" i="1"/>
  <c r="Z551" i="1"/>
  <c r="F434" i="1"/>
  <c r="Z434" i="1"/>
  <c r="F550" i="1"/>
  <c r="E671" i="1"/>
  <c r="H671" i="1" s="1"/>
  <c r="T671" i="1"/>
  <c r="T675" i="1"/>
  <c r="E675" i="1"/>
  <c r="H675" i="1" s="1"/>
  <c r="F553" i="1"/>
  <c r="E674" i="1"/>
  <c r="H674" i="1" s="1"/>
  <c r="T674" i="1"/>
  <c r="E550" i="1"/>
  <c r="H550" i="1" s="1"/>
  <c r="P556" i="1"/>
  <c r="N556" i="1"/>
  <c r="X556" i="1" s="1"/>
  <c r="K557" i="1"/>
  <c r="W557" i="1" s="1"/>
  <c r="J558" i="1"/>
  <c r="M557" i="1"/>
  <c r="Q555" i="1"/>
  <c r="Y555" i="1" s="1"/>
  <c r="S555" i="1"/>
  <c r="T554" i="1"/>
  <c r="E554" i="1"/>
  <c r="H554" i="1" s="1"/>
  <c r="F554" i="1" l="1"/>
  <c r="Z554" i="1"/>
  <c r="F675" i="1"/>
  <c r="Z675" i="1"/>
  <c r="F671" i="1"/>
  <c r="Z671" i="1"/>
  <c r="F674" i="1"/>
  <c r="Z674" i="1"/>
  <c r="E555" i="1"/>
  <c r="H555" i="1" s="1"/>
  <c r="T555" i="1"/>
  <c r="Z555" i="1" s="1"/>
  <c r="N557" i="1"/>
  <c r="X557" i="1" s="1"/>
  <c r="P557" i="1"/>
  <c r="K558" i="1"/>
  <c r="W558" i="1" s="1"/>
  <c r="M558" i="1"/>
  <c r="S556" i="1"/>
  <c r="T556" i="1" s="1"/>
  <c r="Z556" i="1" s="1"/>
  <c r="Q556" i="1"/>
  <c r="E556" i="1"/>
  <c r="H556" i="1" s="1"/>
  <c r="F556" i="1" l="1"/>
  <c r="Y556" i="1"/>
  <c r="F555" i="1"/>
  <c r="N558" i="1"/>
  <c r="X558" i="1" s="1"/>
  <c r="P558" i="1"/>
  <c r="Q557" i="1"/>
  <c r="Y557" i="1" s="1"/>
  <c r="S557" i="1"/>
  <c r="T557" i="1" s="1"/>
  <c r="E557" i="1"/>
  <c r="H557" i="1" s="1"/>
  <c r="F557" i="1" l="1"/>
  <c r="Z557" i="1"/>
  <c r="S558" i="1"/>
  <c r="T558" i="1" s="1"/>
  <c r="Z558" i="1" s="1"/>
  <c r="Q558" i="1"/>
  <c r="Y558" i="1" s="1"/>
  <c r="F558" i="1"/>
  <c r="E558" i="1"/>
  <c r="H558" i="1" s="1"/>
  <c r="J118" i="1" l="1"/>
  <c r="M118" i="1" s="1"/>
  <c r="P118" i="1" s="1"/>
  <c r="S118" i="1" s="1"/>
  <c r="M60" i="1"/>
  <c r="P60" i="1" s="1"/>
  <c r="K60" i="1"/>
  <c r="N60" i="1" s="1"/>
  <c r="X60" i="1" s="1"/>
  <c r="G60" i="1"/>
  <c r="M56" i="1"/>
  <c r="P56" i="1" s="1"/>
  <c r="K56" i="1"/>
  <c r="M55" i="1"/>
  <c r="P55" i="1" s="1"/>
  <c r="K55" i="1"/>
  <c r="G55" i="1"/>
  <c r="G56" i="1"/>
  <c r="K59" i="1"/>
  <c r="M59" i="1"/>
  <c r="P59" i="1" s="1"/>
  <c r="G59" i="1"/>
  <c r="M58" i="1"/>
  <c r="P58" i="1" s="1"/>
  <c r="K58" i="1"/>
  <c r="K57" i="1"/>
  <c r="M57" i="1"/>
  <c r="N57" i="1" s="1"/>
  <c r="G57" i="1"/>
  <c r="G58" i="1"/>
  <c r="J168" i="1" l="1"/>
  <c r="K118" i="1"/>
  <c r="Q60" i="1"/>
  <c r="Y60" i="1" s="1"/>
  <c r="S60" i="1"/>
  <c r="T60" i="1" s="1"/>
  <c r="Z60" i="1" s="1"/>
  <c r="E60" i="1"/>
  <c r="H60" i="1" s="1"/>
  <c r="N55" i="1"/>
  <c r="S55" i="1"/>
  <c r="T55" i="1" s="1"/>
  <c r="Z55" i="1" s="1"/>
  <c r="Q55" i="1"/>
  <c r="N56" i="1"/>
  <c r="S56" i="1"/>
  <c r="T56" i="1" s="1"/>
  <c r="Z56" i="1" s="1"/>
  <c r="Q56" i="1"/>
  <c r="P57" i="1"/>
  <c r="Q57" i="1" s="1"/>
  <c r="N59" i="1"/>
  <c r="S59" i="1"/>
  <c r="T59" i="1" s="1"/>
  <c r="Q59" i="1"/>
  <c r="Q58" i="1"/>
  <c r="Y58" i="1" s="1"/>
  <c r="S58" i="1"/>
  <c r="T58" i="1" s="1"/>
  <c r="Z58" i="1" s="1"/>
  <c r="N58" i="1"/>
  <c r="F55" i="1" l="1"/>
  <c r="F60" i="1"/>
  <c r="M168" i="1"/>
  <c r="P168" i="1" s="1"/>
  <c r="S168" i="1" s="1"/>
  <c r="J212" i="1"/>
  <c r="M212" i="1" s="1"/>
  <c r="P212" i="1" s="1"/>
  <c r="S212" i="1" s="1"/>
  <c r="N118" i="1"/>
  <c r="K168" i="1"/>
  <c r="F56" i="1"/>
  <c r="E56" i="1"/>
  <c r="H56" i="1" s="1"/>
  <c r="S57" i="1"/>
  <c r="T57" i="1" s="1"/>
  <c r="F57" i="1" s="1"/>
  <c r="F59" i="1"/>
  <c r="E59" i="1"/>
  <c r="H59" i="1" s="1"/>
  <c r="E55" i="1"/>
  <c r="H55" i="1" s="1"/>
  <c r="E58" i="1"/>
  <c r="H58" i="1" s="1"/>
  <c r="F58" i="1"/>
  <c r="Q118" i="1" l="1"/>
  <c r="X118" i="1"/>
  <c r="E57" i="1"/>
  <c r="H57" i="1" s="1"/>
  <c r="N168" i="1"/>
  <c r="K212" i="1"/>
  <c r="N212" i="1" s="1"/>
  <c r="K203" i="1"/>
  <c r="M203" i="1"/>
  <c r="K204" i="1"/>
  <c r="M204" i="1"/>
  <c r="K205" i="1"/>
  <c r="M205" i="1"/>
  <c r="K159" i="1"/>
  <c r="M159" i="1"/>
  <c r="K160" i="1"/>
  <c r="M160" i="1"/>
  <c r="K161" i="1"/>
  <c r="M161" i="1"/>
  <c r="K109" i="1"/>
  <c r="M109" i="1"/>
  <c r="K110" i="1"/>
  <c r="M110" i="1"/>
  <c r="K111" i="1"/>
  <c r="M111" i="1"/>
  <c r="M50" i="1"/>
  <c r="M52" i="1"/>
  <c r="M53" i="1"/>
  <c r="K50" i="1"/>
  <c r="K52" i="1"/>
  <c r="K53" i="1"/>
  <c r="N205" i="1" l="1"/>
  <c r="X205" i="1" s="1"/>
  <c r="W205" i="1"/>
  <c r="N204" i="1"/>
  <c r="N109" i="1"/>
  <c r="N50" i="1"/>
  <c r="W161" i="1"/>
  <c r="N203" i="1"/>
  <c r="X203" i="1" s="1"/>
  <c r="N110" i="1"/>
  <c r="N161" i="1"/>
  <c r="X161" i="1" s="1"/>
  <c r="N53" i="1"/>
  <c r="N160" i="1"/>
  <c r="N52" i="1"/>
  <c r="N159" i="1"/>
  <c r="N111" i="1"/>
  <c r="X111" i="1" s="1"/>
  <c r="W111" i="1"/>
  <c r="Q168" i="1"/>
  <c r="X168" i="1"/>
  <c r="Q212" i="1"/>
  <c r="X212" i="1"/>
  <c r="T118" i="1"/>
  <c r="Z118" i="1" s="1"/>
  <c r="Y118" i="1"/>
  <c r="P160" i="1"/>
  <c r="S160" i="1" s="1"/>
  <c r="T160" i="1" s="1"/>
  <c r="Z160" i="1" s="1"/>
  <c r="P111" i="1"/>
  <c r="Q111" i="1" s="1"/>
  <c r="Y111" i="1" s="1"/>
  <c r="P110" i="1"/>
  <c r="S110" i="1" s="1"/>
  <c r="T110" i="1" s="1"/>
  <c r="Z110" i="1" s="1"/>
  <c r="P203" i="1"/>
  <c r="Q203" i="1" s="1"/>
  <c r="Y203" i="1" s="1"/>
  <c r="P109" i="1"/>
  <c r="P204" i="1"/>
  <c r="S204" i="1" s="1"/>
  <c r="T204" i="1" s="1"/>
  <c r="Z204" i="1" s="1"/>
  <c r="P52" i="1"/>
  <c r="Q52" i="1" s="1"/>
  <c r="Y52" i="1" s="1"/>
  <c r="P53" i="1"/>
  <c r="Q53" i="1" s="1"/>
  <c r="P50" i="1"/>
  <c r="Q50" i="1" s="1"/>
  <c r="Y50" i="1" s="1"/>
  <c r="P205" i="1"/>
  <c r="P161" i="1"/>
  <c r="P159" i="1"/>
  <c r="E204" i="1" l="1"/>
  <c r="H204" i="1" s="1"/>
  <c r="E110" i="1"/>
  <c r="H110" i="1" s="1"/>
  <c r="E160" i="1"/>
  <c r="H160" i="1" s="1"/>
  <c r="Q204" i="1"/>
  <c r="Y204" i="1" s="1"/>
  <c r="S111" i="1"/>
  <c r="E111" i="1" s="1"/>
  <c r="H111" i="1" s="1"/>
  <c r="Q110" i="1"/>
  <c r="Y110" i="1" s="1"/>
  <c r="T212" i="1"/>
  <c r="Z212" i="1" s="1"/>
  <c r="Y212" i="1"/>
  <c r="T168" i="1"/>
  <c r="Z168" i="1" s="1"/>
  <c r="Y168" i="1"/>
  <c r="S52" i="1"/>
  <c r="Q160" i="1"/>
  <c r="Y160" i="1" s="1"/>
  <c r="S53" i="1"/>
  <c r="T53" i="1" s="1"/>
  <c r="F53" i="1" s="1"/>
  <c r="S203" i="1"/>
  <c r="Q109" i="1"/>
  <c r="S109" i="1"/>
  <c r="E109" i="1" s="1"/>
  <c r="H109" i="1" s="1"/>
  <c r="S50" i="1"/>
  <c r="S205" i="1"/>
  <c r="T205" i="1" s="1"/>
  <c r="Z205" i="1" s="1"/>
  <c r="Q205" i="1"/>
  <c r="F205" i="1" s="1"/>
  <c r="Q159" i="1"/>
  <c r="Y159" i="1" s="1"/>
  <c r="S159" i="1"/>
  <c r="T159" i="1" s="1"/>
  <c r="Z159" i="1" s="1"/>
  <c r="Q161" i="1"/>
  <c r="Y161" i="1" s="1"/>
  <c r="S161" i="1"/>
  <c r="T161" i="1" s="1"/>
  <c r="Z161" i="1" s="1"/>
  <c r="T111" i="1" l="1"/>
  <c r="F111" i="1" s="1"/>
  <c r="F204" i="1"/>
  <c r="E161" i="1"/>
  <c r="H161" i="1" s="1"/>
  <c r="F160" i="1"/>
  <c r="T50" i="1"/>
  <c r="F50" i="1" s="1"/>
  <c r="E50" i="1"/>
  <c r="H50" i="1" s="1"/>
  <c r="E205" i="1"/>
  <c r="H205" i="1" s="1"/>
  <c r="T52" i="1"/>
  <c r="E52" i="1"/>
  <c r="H52" i="1" s="1"/>
  <c r="T203" i="1"/>
  <c r="F203" i="1" s="1"/>
  <c r="E203" i="1"/>
  <c r="H203" i="1" s="1"/>
  <c r="F161" i="1"/>
  <c r="E159" i="1"/>
  <c r="H159" i="1" s="1"/>
  <c r="F159" i="1"/>
  <c r="Y109" i="1"/>
  <c r="E53" i="1"/>
  <c r="H53" i="1" s="1"/>
  <c r="F110" i="1"/>
  <c r="Z50" i="1"/>
  <c r="Z203" i="1"/>
  <c r="Y205" i="1"/>
  <c r="Z111" i="1"/>
  <c r="T109" i="1"/>
  <c r="F109" i="1" s="1"/>
  <c r="Z52" i="1" l="1"/>
  <c r="F52" i="1"/>
  <c r="Z109" i="1"/>
  <c r="J354" i="1"/>
  <c r="J471" i="1" s="1"/>
  <c r="J592" i="1" s="1"/>
  <c r="J355" i="1"/>
  <c r="J472" i="1" s="1"/>
  <c r="J593" i="1" s="1"/>
  <c r="J356" i="1"/>
  <c r="J473" i="1" s="1"/>
  <c r="J594" i="1" s="1"/>
  <c r="J357" i="1"/>
  <c r="J474" i="1" s="1"/>
  <c r="J595" i="1" s="1"/>
  <c r="J358" i="1"/>
  <c r="J475" i="1" s="1"/>
  <c r="J596" i="1" s="1"/>
  <c r="J359" i="1"/>
  <c r="J476" i="1" s="1"/>
  <c r="J597" i="1" s="1"/>
  <c r="M597" i="1" s="1"/>
  <c r="P597" i="1" s="1"/>
  <c r="J360" i="1"/>
  <c r="J477" i="1" s="1"/>
  <c r="J598" i="1" s="1"/>
  <c r="M598" i="1" s="1"/>
  <c r="P598" i="1" s="1"/>
  <c r="J361" i="1"/>
  <c r="J478" i="1" s="1"/>
  <c r="J599" i="1" s="1"/>
  <c r="M599" i="1" s="1"/>
  <c r="P599" i="1" s="1"/>
  <c r="J362" i="1"/>
  <c r="J479" i="1" s="1"/>
  <c r="J363" i="1"/>
  <c r="J480" i="1" s="1"/>
  <c r="J601" i="1" s="1"/>
  <c r="M601" i="1" s="1"/>
  <c r="P601" i="1" s="1"/>
  <c r="J364" i="1"/>
  <c r="J481" i="1" s="1"/>
  <c r="J602" i="1" s="1"/>
  <c r="M602" i="1" s="1"/>
  <c r="P602" i="1" s="1"/>
  <c r="J365" i="1"/>
  <c r="J482" i="1" s="1"/>
  <c r="J603" i="1" s="1"/>
  <c r="M603" i="1" s="1"/>
  <c r="P603" i="1" s="1"/>
  <c r="J366" i="1"/>
  <c r="J483" i="1" s="1"/>
  <c r="J604" i="1" s="1"/>
  <c r="M604" i="1" s="1"/>
  <c r="P604" i="1" s="1"/>
  <c r="J367" i="1"/>
  <c r="J484" i="1" s="1"/>
  <c r="J605" i="1" s="1"/>
  <c r="M605" i="1" s="1"/>
  <c r="P605" i="1" s="1"/>
  <c r="J368" i="1"/>
  <c r="J485" i="1" s="1"/>
  <c r="J606" i="1" s="1"/>
  <c r="M606" i="1" s="1"/>
  <c r="P606" i="1" s="1"/>
  <c r="J369" i="1"/>
  <c r="J486" i="1" s="1"/>
  <c r="J607" i="1" s="1"/>
  <c r="M607" i="1" s="1"/>
  <c r="P607" i="1" s="1"/>
  <c r="J370" i="1"/>
  <c r="J487" i="1" s="1"/>
  <c r="J608" i="1" s="1"/>
  <c r="M608" i="1" s="1"/>
  <c r="P608" i="1" s="1"/>
  <c r="J371" i="1"/>
  <c r="J488" i="1" s="1"/>
  <c r="J609" i="1" s="1"/>
  <c r="M609" i="1" s="1"/>
  <c r="P609" i="1" s="1"/>
  <c r="J372" i="1"/>
  <c r="J489" i="1" s="1"/>
  <c r="J610" i="1" s="1"/>
  <c r="M610" i="1" s="1"/>
  <c r="P610" i="1" s="1"/>
  <c r="J373" i="1"/>
  <c r="J490" i="1" s="1"/>
  <c r="J611" i="1" s="1"/>
  <c r="M611" i="1" s="1"/>
  <c r="P611" i="1" s="1"/>
  <c r="J374" i="1"/>
  <c r="J491" i="1" s="1"/>
  <c r="J612" i="1" s="1"/>
  <c r="M612" i="1" s="1"/>
  <c r="P612" i="1" s="1"/>
  <c r="J375" i="1"/>
  <c r="J492" i="1" s="1"/>
  <c r="J613" i="1" s="1"/>
  <c r="M613" i="1" s="1"/>
  <c r="P613" i="1" s="1"/>
  <c r="J376" i="1"/>
  <c r="J493" i="1" s="1"/>
  <c r="J614" i="1" s="1"/>
  <c r="M614" i="1" s="1"/>
  <c r="P614" i="1" s="1"/>
  <c r="J377" i="1"/>
  <c r="J494" i="1" s="1"/>
  <c r="J615" i="1" s="1"/>
  <c r="M615" i="1" s="1"/>
  <c r="P615" i="1" s="1"/>
  <c r="J378" i="1"/>
  <c r="J495" i="1" s="1"/>
  <c r="J616" i="1" s="1"/>
  <c r="M616" i="1" s="1"/>
  <c r="P616" i="1" s="1"/>
  <c r="J379" i="1"/>
  <c r="J496" i="1" s="1"/>
  <c r="J617" i="1" s="1"/>
  <c r="M617" i="1" s="1"/>
  <c r="P617" i="1" s="1"/>
  <c r="J380" i="1"/>
  <c r="J497" i="1" s="1"/>
  <c r="J618" i="1" s="1"/>
  <c r="M618" i="1" s="1"/>
  <c r="P618" i="1" s="1"/>
  <c r="J381" i="1"/>
  <c r="J498" i="1" s="1"/>
  <c r="J619" i="1" s="1"/>
  <c r="M619" i="1" s="1"/>
  <c r="P619" i="1" s="1"/>
  <c r="J382" i="1"/>
  <c r="J499" i="1" s="1"/>
  <c r="J620" i="1" s="1"/>
  <c r="M620" i="1" s="1"/>
  <c r="P620" i="1" s="1"/>
  <c r="J383" i="1"/>
  <c r="J500" i="1" s="1"/>
  <c r="J621" i="1" s="1"/>
  <c r="M621" i="1" s="1"/>
  <c r="P621" i="1" s="1"/>
  <c r="J384" i="1"/>
  <c r="J501" i="1" s="1"/>
  <c r="J622" i="1" s="1"/>
  <c r="M622" i="1" s="1"/>
  <c r="P622" i="1" s="1"/>
  <c r="J385" i="1"/>
  <c r="J502" i="1" s="1"/>
  <c r="J623" i="1" s="1"/>
  <c r="M623" i="1" s="1"/>
  <c r="P623" i="1" s="1"/>
  <c r="J386" i="1"/>
  <c r="J503" i="1" s="1"/>
  <c r="J624" i="1" s="1"/>
  <c r="J387" i="1"/>
  <c r="J504" i="1" s="1"/>
  <c r="J625" i="1" s="1"/>
  <c r="J388" i="1"/>
  <c r="J505" i="1" s="1"/>
  <c r="J626" i="1" s="1"/>
  <c r="J389" i="1"/>
  <c r="J506" i="1" s="1"/>
  <c r="J627" i="1" s="1"/>
  <c r="J390" i="1"/>
  <c r="J507" i="1" s="1"/>
  <c r="J628" i="1" s="1"/>
  <c r="J391" i="1"/>
  <c r="J508" i="1" s="1"/>
  <c r="J629" i="1" s="1"/>
  <c r="J392" i="1"/>
  <c r="J509" i="1" s="1"/>
  <c r="J630" i="1" s="1"/>
  <c r="J393" i="1"/>
  <c r="J510" i="1" s="1"/>
  <c r="J631" i="1" s="1"/>
  <c r="J394" i="1"/>
  <c r="J511" i="1" s="1"/>
  <c r="J632" i="1" s="1"/>
  <c r="J395" i="1"/>
  <c r="J512" i="1" s="1"/>
  <c r="J633" i="1" s="1"/>
  <c r="J396" i="1"/>
  <c r="J513" i="1" s="1"/>
  <c r="J634" i="1" s="1"/>
  <c r="J397" i="1"/>
  <c r="J514" i="1" s="1"/>
  <c r="J635" i="1" s="1"/>
  <c r="J398" i="1"/>
  <c r="J515" i="1" s="1"/>
  <c r="J636" i="1" s="1"/>
  <c r="J399" i="1"/>
  <c r="J516" i="1" s="1"/>
  <c r="J637" i="1" s="1"/>
  <c r="J400" i="1"/>
  <c r="J517" i="1" s="1"/>
  <c r="J638" i="1" s="1"/>
  <c r="J401" i="1"/>
  <c r="J518" i="1" s="1"/>
  <c r="J639" i="1" s="1"/>
  <c r="J402" i="1"/>
  <c r="J519" i="1" s="1"/>
  <c r="J640" i="1" s="1"/>
  <c r="J403" i="1"/>
  <c r="J520" i="1" s="1"/>
  <c r="J641" i="1" s="1"/>
  <c r="J404" i="1"/>
  <c r="J521" i="1" s="1"/>
  <c r="J642" i="1" s="1"/>
  <c r="J405" i="1"/>
  <c r="J522" i="1" s="1"/>
  <c r="J643" i="1" s="1"/>
  <c r="J406" i="1"/>
  <c r="J523" i="1" s="1"/>
  <c r="J644" i="1" s="1"/>
  <c r="J407" i="1"/>
  <c r="J524" i="1" s="1"/>
  <c r="J645" i="1" s="1"/>
  <c r="J408" i="1"/>
  <c r="J525" i="1" s="1"/>
  <c r="J646" i="1" s="1"/>
  <c r="J409" i="1"/>
  <c r="J526" i="1" s="1"/>
  <c r="J647" i="1" s="1"/>
  <c r="J410" i="1"/>
  <c r="J527" i="1" s="1"/>
  <c r="J648" i="1" s="1"/>
  <c r="J411" i="1"/>
  <c r="J528" i="1" s="1"/>
  <c r="J649" i="1" s="1"/>
  <c r="J412" i="1"/>
  <c r="J529" i="1" s="1"/>
  <c r="J650" i="1" s="1"/>
  <c r="J413" i="1"/>
  <c r="J530" i="1" s="1"/>
  <c r="J651" i="1" s="1"/>
  <c r="J414" i="1"/>
  <c r="J531" i="1" s="1"/>
  <c r="J652" i="1" s="1"/>
  <c r="J415" i="1"/>
  <c r="J532" i="1" s="1"/>
  <c r="J653" i="1" s="1"/>
  <c r="J416" i="1"/>
  <c r="J533" i="1" s="1"/>
  <c r="J654" i="1" s="1"/>
  <c r="J417" i="1"/>
  <c r="J534" i="1" s="1"/>
  <c r="J655" i="1" s="1"/>
  <c r="J418" i="1"/>
  <c r="J535" i="1" s="1"/>
  <c r="J656" i="1" s="1"/>
  <c r="J419" i="1"/>
  <c r="J536" i="1" s="1"/>
  <c r="J657" i="1" s="1"/>
  <c r="J420" i="1"/>
  <c r="J537" i="1" s="1"/>
  <c r="J658" i="1" s="1"/>
  <c r="J421" i="1"/>
  <c r="J538" i="1" s="1"/>
  <c r="J659" i="1" s="1"/>
  <c r="J422" i="1"/>
  <c r="J539" i="1" s="1"/>
  <c r="J660" i="1" s="1"/>
  <c r="J423" i="1"/>
  <c r="J540" i="1" s="1"/>
  <c r="J661" i="1" s="1"/>
  <c r="J424" i="1"/>
  <c r="J541" i="1" s="1"/>
  <c r="J662" i="1" s="1"/>
  <c r="J425" i="1"/>
  <c r="J542" i="1" s="1"/>
  <c r="J663" i="1" s="1"/>
  <c r="J426" i="1"/>
  <c r="J543" i="1" s="1"/>
  <c r="J664" i="1" s="1"/>
  <c r="J427" i="1"/>
  <c r="J544" i="1" s="1"/>
  <c r="J665" i="1" s="1"/>
  <c r="J428" i="1"/>
  <c r="J545" i="1" s="1"/>
  <c r="J666" i="1" s="1"/>
  <c r="J429" i="1"/>
  <c r="J546" i="1" s="1"/>
  <c r="J667" i="1" s="1"/>
  <c r="J430" i="1"/>
  <c r="J547" i="1" s="1"/>
  <c r="J668" i="1" s="1"/>
  <c r="J438" i="1"/>
  <c r="J559" i="1" s="1"/>
  <c r="J676" i="1" s="1"/>
  <c r="J439" i="1"/>
  <c r="J560" i="1" s="1"/>
  <c r="J677" i="1" s="1"/>
  <c r="J440" i="1"/>
  <c r="J561" i="1" s="1"/>
  <c r="J678" i="1" s="1"/>
  <c r="J441" i="1"/>
  <c r="J562" i="1" s="1"/>
  <c r="J679" i="1" s="1"/>
  <c r="J442" i="1"/>
  <c r="J563" i="1" s="1"/>
  <c r="J680" i="1" s="1"/>
  <c r="J443" i="1"/>
  <c r="J564" i="1" s="1"/>
  <c r="J681" i="1" s="1"/>
  <c r="J444" i="1"/>
  <c r="J565" i="1" s="1"/>
  <c r="J682" i="1" s="1"/>
  <c r="J445" i="1"/>
  <c r="J566" i="1" s="1"/>
  <c r="J683" i="1" s="1"/>
  <c r="J446" i="1"/>
  <c r="J567" i="1" s="1"/>
  <c r="J684" i="1" s="1"/>
  <c r="J447" i="1"/>
  <c r="J568" i="1" s="1"/>
  <c r="J685" i="1" s="1"/>
  <c r="J448" i="1"/>
  <c r="J569" i="1" s="1"/>
  <c r="J686" i="1" s="1"/>
  <c r="J449" i="1"/>
  <c r="J570" i="1" s="1"/>
  <c r="J687" i="1" s="1"/>
  <c r="J450" i="1"/>
  <c r="J571" i="1" s="1"/>
  <c r="J688" i="1" s="1"/>
  <c r="J451" i="1"/>
  <c r="J572" i="1" s="1"/>
  <c r="J689" i="1" s="1"/>
  <c r="J452" i="1"/>
  <c r="J573" i="1" s="1"/>
  <c r="J690" i="1" s="1"/>
  <c r="J453" i="1"/>
  <c r="J574" i="1" s="1"/>
  <c r="J691" i="1" s="1"/>
  <c r="J454" i="1"/>
  <c r="J575" i="1" s="1"/>
  <c r="J692" i="1" s="1"/>
  <c r="J455" i="1"/>
  <c r="J576" i="1" s="1"/>
  <c r="J693" i="1" s="1"/>
  <c r="J456" i="1"/>
  <c r="J577" i="1" s="1"/>
  <c r="J694" i="1" s="1"/>
  <c r="J457" i="1"/>
  <c r="J578" i="1" s="1"/>
  <c r="J695" i="1" s="1"/>
  <c r="J458" i="1"/>
  <c r="J579" i="1" s="1"/>
  <c r="J696" i="1" s="1"/>
  <c r="J459" i="1"/>
  <c r="J580" i="1" s="1"/>
  <c r="J697" i="1" s="1"/>
  <c r="J460" i="1"/>
  <c r="J581" i="1" s="1"/>
  <c r="J698" i="1" s="1"/>
  <c r="J461" i="1"/>
  <c r="J582" i="1" s="1"/>
  <c r="J699" i="1" s="1"/>
  <c r="J462" i="1"/>
  <c r="J583" i="1" s="1"/>
  <c r="J700" i="1" s="1"/>
  <c r="J463" i="1"/>
  <c r="J584" i="1" s="1"/>
  <c r="J701" i="1" s="1"/>
  <c r="J464" i="1"/>
  <c r="J585" i="1" s="1"/>
  <c r="J702" i="1" s="1"/>
  <c r="J465" i="1"/>
  <c r="J586" i="1" s="1"/>
  <c r="J703" i="1" s="1"/>
  <c r="J466" i="1"/>
  <c r="J587" i="1" s="1"/>
  <c r="J704" i="1" s="1"/>
  <c r="J467" i="1"/>
  <c r="J588" i="1" s="1"/>
  <c r="J705" i="1" s="1"/>
  <c r="J353" i="1"/>
  <c r="J470" i="1" s="1"/>
  <c r="J591" i="1" s="1"/>
  <c r="J74" i="1"/>
  <c r="J131" i="1" s="1"/>
  <c r="J76" i="1"/>
  <c r="J133" i="1" s="1"/>
  <c r="J78" i="1"/>
  <c r="J135" i="1" s="1"/>
  <c r="J80" i="1"/>
  <c r="J137" i="1" s="1"/>
  <c r="J82" i="1"/>
  <c r="J139" i="1" s="1"/>
  <c r="J84" i="1"/>
  <c r="J86" i="1"/>
  <c r="J141" i="1" s="1"/>
  <c r="J88" i="1"/>
  <c r="J89" i="1"/>
  <c r="J143" i="1" s="1"/>
  <c r="J90" i="1"/>
  <c r="J144" i="1" s="1"/>
  <c r="J92" i="1"/>
  <c r="J145" i="1" s="1"/>
  <c r="J146" i="1"/>
  <c r="J96" i="1"/>
  <c r="J147" i="1" s="1"/>
  <c r="J97" i="1"/>
  <c r="J148" i="1" s="1"/>
  <c r="J98" i="1"/>
  <c r="J149" i="1" s="1"/>
  <c r="J99" i="1"/>
  <c r="J150" i="1" s="1"/>
  <c r="J100" i="1"/>
  <c r="J153" i="1"/>
  <c r="J103" i="1"/>
  <c r="J154" i="1" s="1"/>
  <c r="J104" i="1"/>
  <c r="J155" i="1" s="1"/>
  <c r="J106" i="1"/>
  <c r="J156" i="1" s="1"/>
  <c r="J107" i="1"/>
  <c r="J157" i="1" s="1"/>
  <c r="J108" i="1"/>
  <c r="J158" i="1" s="1"/>
  <c r="J72" i="1"/>
  <c r="J129" i="1" s="1"/>
  <c r="J152" i="1" l="1"/>
  <c r="J140" i="1"/>
  <c r="J600" i="1"/>
  <c r="M600" i="1" s="1"/>
  <c r="P600" i="1" s="1"/>
  <c r="M479" i="1"/>
  <c r="J142" i="1"/>
  <c r="K142" i="1" s="1"/>
  <c r="J187" i="1" s="1"/>
  <c r="M187" i="1" s="1"/>
  <c r="M88" i="1"/>
  <c r="P88" i="1" s="1"/>
  <c r="S88" i="1" s="1"/>
  <c r="M705" i="1"/>
  <c r="P705" i="1" s="1"/>
  <c r="S705" i="1" s="1"/>
  <c r="M704" i="1"/>
  <c r="P704" i="1" s="1"/>
  <c r="S704" i="1" s="1"/>
  <c r="M703" i="1"/>
  <c r="P703" i="1" s="1"/>
  <c r="S703" i="1" s="1"/>
  <c r="M702" i="1"/>
  <c r="P702" i="1" s="1"/>
  <c r="S702" i="1" s="1"/>
  <c r="M701" i="1"/>
  <c r="M700" i="1"/>
  <c r="P700" i="1" s="1"/>
  <c r="S700" i="1" s="1"/>
  <c r="M699" i="1"/>
  <c r="P699" i="1" s="1"/>
  <c r="S699" i="1" s="1"/>
  <c r="M698" i="1"/>
  <c r="P698" i="1" s="1"/>
  <c r="S698" i="1" s="1"/>
  <c r="M697" i="1"/>
  <c r="P697" i="1" s="1"/>
  <c r="S697" i="1" s="1"/>
  <c r="M696" i="1"/>
  <c r="P696" i="1" s="1"/>
  <c r="S696" i="1" s="1"/>
  <c r="M695" i="1"/>
  <c r="M694" i="1"/>
  <c r="P694" i="1" s="1"/>
  <c r="S694" i="1" s="1"/>
  <c r="M693" i="1"/>
  <c r="P693" i="1" s="1"/>
  <c r="S693" i="1" s="1"/>
  <c r="M692" i="1"/>
  <c r="P692" i="1" s="1"/>
  <c r="S692" i="1" s="1"/>
  <c r="M691" i="1"/>
  <c r="P691" i="1" s="1"/>
  <c r="S691" i="1" s="1"/>
  <c r="M690" i="1"/>
  <c r="P690" i="1" s="1"/>
  <c r="S690" i="1" s="1"/>
  <c r="M689" i="1"/>
  <c r="M688" i="1"/>
  <c r="P688" i="1" s="1"/>
  <c r="S688" i="1" s="1"/>
  <c r="M687" i="1"/>
  <c r="P687" i="1" s="1"/>
  <c r="S687" i="1" s="1"/>
  <c r="M686" i="1"/>
  <c r="P686" i="1" s="1"/>
  <c r="S686" i="1" s="1"/>
  <c r="M685" i="1"/>
  <c r="M684" i="1"/>
  <c r="P684" i="1" s="1"/>
  <c r="S684" i="1" s="1"/>
  <c r="M683" i="1"/>
  <c r="P683" i="1" s="1"/>
  <c r="S683" i="1" s="1"/>
  <c r="M682" i="1"/>
  <c r="P682" i="1" s="1"/>
  <c r="S682" i="1" s="1"/>
  <c r="M681" i="1"/>
  <c r="M680" i="1"/>
  <c r="M679" i="1"/>
  <c r="P679" i="1" s="1"/>
  <c r="S679" i="1" s="1"/>
  <c r="M678" i="1"/>
  <c r="M677" i="1"/>
  <c r="M676" i="1"/>
  <c r="M668" i="1"/>
  <c r="P668" i="1" s="1"/>
  <c r="S668" i="1" s="1"/>
  <c r="M667" i="1"/>
  <c r="M666" i="1"/>
  <c r="M665" i="1"/>
  <c r="M664" i="1"/>
  <c r="P664" i="1" s="1"/>
  <c r="S664" i="1" s="1"/>
  <c r="M663" i="1"/>
  <c r="M662" i="1"/>
  <c r="P662" i="1" s="1"/>
  <c r="S662" i="1" s="1"/>
  <c r="M661" i="1"/>
  <c r="M660" i="1"/>
  <c r="P660" i="1" s="1"/>
  <c r="S660" i="1" s="1"/>
  <c r="M659" i="1"/>
  <c r="M658" i="1"/>
  <c r="P658" i="1" s="1"/>
  <c r="M657" i="1"/>
  <c r="M656" i="1"/>
  <c r="P656" i="1" s="1"/>
  <c r="S656" i="1" s="1"/>
  <c r="M655" i="1"/>
  <c r="M654" i="1"/>
  <c r="P654" i="1" s="1"/>
  <c r="S654" i="1" s="1"/>
  <c r="M653" i="1"/>
  <c r="M652" i="1"/>
  <c r="P652" i="1" s="1"/>
  <c r="S652" i="1" s="1"/>
  <c r="M651" i="1"/>
  <c r="M650" i="1"/>
  <c r="P650" i="1" s="1"/>
  <c r="S650" i="1" s="1"/>
  <c r="M649" i="1"/>
  <c r="M648" i="1"/>
  <c r="N648" i="1" s="1"/>
  <c r="X648" i="1" s="1"/>
  <c r="M647" i="1"/>
  <c r="M646" i="1"/>
  <c r="N646" i="1" s="1"/>
  <c r="X646" i="1" s="1"/>
  <c r="M645" i="1"/>
  <c r="M644" i="1"/>
  <c r="P644" i="1" s="1"/>
  <c r="S644" i="1" s="1"/>
  <c r="M643" i="1"/>
  <c r="M642" i="1"/>
  <c r="M641" i="1"/>
  <c r="M640" i="1"/>
  <c r="P640" i="1" s="1"/>
  <c r="S640" i="1" s="1"/>
  <c r="M639" i="1"/>
  <c r="M638" i="1"/>
  <c r="N638" i="1" s="1"/>
  <c r="M637" i="1"/>
  <c r="M636" i="1"/>
  <c r="P636" i="1" s="1"/>
  <c r="S636" i="1" s="1"/>
  <c r="M635" i="1"/>
  <c r="M634" i="1"/>
  <c r="P634" i="1" s="1"/>
  <c r="M633" i="1"/>
  <c r="M632" i="1"/>
  <c r="P632" i="1" s="1"/>
  <c r="S632" i="1" s="1"/>
  <c r="M631" i="1"/>
  <c r="M630" i="1"/>
  <c r="P630" i="1" s="1"/>
  <c r="S630" i="1" s="1"/>
  <c r="M629" i="1"/>
  <c r="M628" i="1"/>
  <c r="M627" i="1"/>
  <c r="M626" i="1"/>
  <c r="P626" i="1" s="1"/>
  <c r="S626" i="1" s="1"/>
  <c r="M625" i="1"/>
  <c r="M624" i="1"/>
  <c r="N624" i="1" s="1"/>
  <c r="X624" i="1" s="1"/>
  <c r="N622" i="1"/>
  <c r="X622" i="1" s="1"/>
  <c r="S616" i="1"/>
  <c r="S614" i="1"/>
  <c r="S612" i="1"/>
  <c r="S608" i="1"/>
  <c r="S606" i="1"/>
  <c r="S604" i="1"/>
  <c r="S602" i="1"/>
  <c r="N600" i="1"/>
  <c r="X600" i="1" s="1"/>
  <c r="N598" i="1"/>
  <c r="X598" i="1" s="1"/>
  <c r="M596" i="1"/>
  <c r="P596" i="1" s="1"/>
  <c r="M595" i="1"/>
  <c r="M594" i="1"/>
  <c r="M593" i="1"/>
  <c r="M592" i="1"/>
  <c r="P592" i="1" s="1"/>
  <c r="S592" i="1" s="1"/>
  <c r="M591" i="1"/>
  <c r="M588" i="1"/>
  <c r="P588" i="1" s="1"/>
  <c r="S588" i="1" s="1"/>
  <c r="M587" i="1"/>
  <c r="M586" i="1"/>
  <c r="P586" i="1" s="1"/>
  <c r="M585" i="1"/>
  <c r="M584" i="1"/>
  <c r="P584" i="1" s="1"/>
  <c r="S584" i="1" s="1"/>
  <c r="M583" i="1"/>
  <c r="M582" i="1"/>
  <c r="P582" i="1" s="1"/>
  <c r="S582" i="1" s="1"/>
  <c r="M581" i="1"/>
  <c r="M580" i="1"/>
  <c r="P580" i="1" s="1"/>
  <c r="S580" i="1" s="1"/>
  <c r="M579" i="1"/>
  <c r="M578" i="1"/>
  <c r="P578" i="1" s="1"/>
  <c r="S578" i="1" s="1"/>
  <c r="M577" i="1"/>
  <c r="M576" i="1"/>
  <c r="N576" i="1" s="1"/>
  <c r="X576" i="1" s="1"/>
  <c r="M575" i="1"/>
  <c r="M574" i="1"/>
  <c r="N574" i="1" s="1"/>
  <c r="X574" i="1" s="1"/>
  <c r="M573" i="1"/>
  <c r="M572" i="1"/>
  <c r="P572" i="1" s="1"/>
  <c r="M571" i="1"/>
  <c r="M570" i="1"/>
  <c r="M569" i="1"/>
  <c r="M568" i="1"/>
  <c r="P568" i="1" s="1"/>
  <c r="S568" i="1" s="1"/>
  <c r="M567" i="1"/>
  <c r="M566" i="1"/>
  <c r="P566" i="1" s="1"/>
  <c r="S566" i="1" s="1"/>
  <c r="M565" i="1"/>
  <c r="M564" i="1"/>
  <c r="P564" i="1" s="1"/>
  <c r="S564" i="1" s="1"/>
  <c r="M563" i="1"/>
  <c r="M562" i="1"/>
  <c r="P562" i="1" s="1"/>
  <c r="M561" i="1"/>
  <c r="M560" i="1"/>
  <c r="P560" i="1" s="1"/>
  <c r="S560" i="1" s="1"/>
  <c r="M559" i="1"/>
  <c r="M547" i="1"/>
  <c r="P547" i="1" s="1"/>
  <c r="S547" i="1" s="1"/>
  <c r="M546" i="1"/>
  <c r="M545" i="1"/>
  <c r="P545" i="1" s="1"/>
  <c r="S545" i="1" s="1"/>
  <c r="M544" i="1"/>
  <c r="M543" i="1"/>
  <c r="P543" i="1" s="1"/>
  <c r="S543" i="1" s="1"/>
  <c r="M542" i="1"/>
  <c r="M541" i="1"/>
  <c r="N541" i="1" s="1"/>
  <c r="X541" i="1" s="1"/>
  <c r="M540" i="1"/>
  <c r="P540" i="1" s="1"/>
  <c r="S540" i="1" s="1"/>
  <c r="M539" i="1"/>
  <c r="P539" i="1" s="1"/>
  <c r="S539" i="1" s="1"/>
  <c r="M538" i="1"/>
  <c r="P538" i="1" s="1"/>
  <c r="S538" i="1" s="1"/>
  <c r="M537" i="1"/>
  <c r="P537" i="1" s="1"/>
  <c r="S537" i="1" s="1"/>
  <c r="M536" i="1"/>
  <c r="P536" i="1" s="1"/>
  <c r="S536" i="1" s="1"/>
  <c r="M535" i="1"/>
  <c r="N535" i="1" s="1"/>
  <c r="X535" i="1" s="1"/>
  <c r="M534" i="1"/>
  <c r="P534" i="1" s="1"/>
  <c r="S534" i="1" s="1"/>
  <c r="M533" i="1"/>
  <c r="P533" i="1" s="1"/>
  <c r="S533" i="1" s="1"/>
  <c r="M532" i="1"/>
  <c r="P532" i="1" s="1"/>
  <c r="S532" i="1" s="1"/>
  <c r="M531" i="1"/>
  <c r="P531" i="1" s="1"/>
  <c r="S531" i="1" s="1"/>
  <c r="M530" i="1"/>
  <c r="P530" i="1" s="1"/>
  <c r="S530" i="1" s="1"/>
  <c r="M529" i="1"/>
  <c r="N529" i="1" s="1"/>
  <c r="X529" i="1" s="1"/>
  <c r="M528" i="1"/>
  <c r="P528" i="1" s="1"/>
  <c r="S528" i="1" s="1"/>
  <c r="M527" i="1"/>
  <c r="P527" i="1" s="1"/>
  <c r="S527" i="1" s="1"/>
  <c r="M526" i="1"/>
  <c r="P526" i="1" s="1"/>
  <c r="S526" i="1" s="1"/>
  <c r="M525" i="1"/>
  <c r="P525" i="1" s="1"/>
  <c r="S525" i="1" s="1"/>
  <c r="M524" i="1"/>
  <c r="P524" i="1" s="1"/>
  <c r="S524" i="1" s="1"/>
  <c r="M523" i="1"/>
  <c r="N523" i="1" s="1"/>
  <c r="M522" i="1"/>
  <c r="P522" i="1" s="1"/>
  <c r="S522" i="1" s="1"/>
  <c r="M521" i="1"/>
  <c r="P521" i="1" s="1"/>
  <c r="S521" i="1" s="1"/>
  <c r="M520" i="1"/>
  <c r="P520" i="1" s="1"/>
  <c r="S520" i="1" s="1"/>
  <c r="M519" i="1"/>
  <c r="P519" i="1" s="1"/>
  <c r="S519" i="1" s="1"/>
  <c r="M518" i="1"/>
  <c r="M517" i="1"/>
  <c r="P517" i="1" s="1"/>
  <c r="S517" i="1" s="1"/>
  <c r="M516" i="1"/>
  <c r="P516" i="1" s="1"/>
  <c r="S516" i="1" s="1"/>
  <c r="M515" i="1"/>
  <c r="P515" i="1" s="1"/>
  <c r="S515" i="1" s="1"/>
  <c r="M514" i="1"/>
  <c r="P514" i="1" s="1"/>
  <c r="S514" i="1" s="1"/>
  <c r="M513" i="1"/>
  <c r="P513" i="1" s="1"/>
  <c r="S513" i="1" s="1"/>
  <c r="M512" i="1"/>
  <c r="N512" i="1" s="1"/>
  <c r="M511" i="1"/>
  <c r="P511" i="1" s="1"/>
  <c r="S511" i="1" s="1"/>
  <c r="M510" i="1"/>
  <c r="P510" i="1" s="1"/>
  <c r="S510" i="1" s="1"/>
  <c r="M509" i="1"/>
  <c r="P509" i="1" s="1"/>
  <c r="S509" i="1" s="1"/>
  <c r="M508" i="1"/>
  <c r="P508" i="1" s="1"/>
  <c r="S508" i="1" s="1"/>
  <c r="M507" i="1"/>
  <c r="P507" i="1" s="1"/>
  <c r="S507" i="1" s="1"/>
  <c r="M506" i="1"/>
  <c r="P506" i="1" s="1"/>
  <c r="S506" i="1" s="1"/>
  <c r="M505" i="1"/>
  <c r="P505" i="1" s="1"/>
  <c r="S505" i="1" s="1"/>
  <c r="M504" i="1"/>
  <c r="P504" i="1" s="1"/>
  <c r="S504" i="1" s="1"/>
  <c r="M503" i="1"/>
  <c r="P503" i="1" s="1"/>
  <c r="S503" i="1" s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P481" i="1" s="1"/>
  <c r="S481" i="1" s="1"/>
  <c r="M480" i="1"/>
  <c r="P479" i="1"/>
  <c r="S479" i="1" s="1"/>
  <c r="M478" i="1"/>
  <c r="P478" i="1" s="1"/>
  <c r="S478" i="1" s="1"/>
  <c r="M477" i="1"/>
  <c r="P477" i="1" s="1"/>
  <c r="S477" i="1" s="1"/>
  <c r="M476" i="1"/>
  <c r="P476" i="1" s="1"/>
  <c r="S476" i="1" s="1"/>
  <c r="M475" i="1"/>
  <c r="P475" i="1" s="1"/>
  <c r="S475" i="1" s="1"/>
  <c r="M474" i="1"/>
  <c r="N474" i="1" s="1"/>
  <c r="X474" i="1" s="1"/>
  <c r="M473" i="1"/>
  <c r="P473" i="1" s="1"/>
  <c r="S473" i="1" s="1"/>
  <c r="M472" i="1"/>
  <c r="P472" i="1" s="1"/>
  <c r="S472" i="1" s="1"/>
  <c r="M471" i="1"/>
  <c r="P471" i="1" s="1"/>
  <c r="S471" i="1" s="1"/>
  <c r="M470" i="1"/>
  <c r="P470" i="1" s="1"/>
  <c r="M467" i="1"/>
  <c r="P467" i="1" s="1"/>
  <c r="S467" i="1" s="1"/>
  <c r="M466" i="1"/>
  <c r="P466" i="1" s="1"/>
  <c r="S466" i="1" s="1"/>
  <c r="M465" i="1"/>
  <c r="P465" i="1" s="1"/>
  <c r="S465" i="1" s="1"/>
  <c r="M464" i="1"/>
  <c r="N464" i="1" s="1"/>
  <c r="X464" i="1" s="1"/>
  <c r="M463" i="1"/>
  <c r="P463" i="1" s="1"/>
  <c r="S463" i="1" s="1"/>
  <c r="M462" i="1"/>
  <c r="N462" i="1" s="1"/>
  <c r="X462" i="1" s="1"/>
  <c r="M461" i="1"/>
  <c r="P461" i="1" s="1"/>
  <c r="S461" i="1" s="1"/>
  <c r="M460" i="1"/>
  <c r="N460" i="1" s="1"/>
  <c r="X460" i="1" s="1"/>
  <c r="M459" i="1"/>
  <c r="M458" i="1"/>
  <c r="P458" i="1" s="1"/>
  <c r="S458" i="1" s="1"/>
  <c r="M457" i="1"/>
  <c r="M456" i="1"/>
  <c r="P456" i="1" s="1"/>
  <c r="M455" i="1"/>
  <c r="M454" i="1"/>
  <c r="P454" i="1" s="1"/>
  <c r="S454" i="1" s="1"/>
  <c r="M453" i="1"/>
  <c r="M452" i="1"/>
  <c r="P452" i="1" s="1"/>
  <c r="S452" i="1" s="1"/>
  <c r="M451" i="1"/>
  <c r="M450" i="1"/>
  <c r="N450" i="1" s="1"/>
  <c r="X450" i="1" s="1"/>
  <c r="M449" i="1"/>
  <c r="M448" i="1"/>
  <c r="P448" i="1" s="1"/>
  <c r="S448" i="1" s="1"/>
  <c r="M447" i="1"/>
  <c r="M446" i="1"/>
  <c r="P446" i="1" s="1"/>
  <c r="M445" i="1"/>
  <c r="M444" i="1"/>
  <c r="M443" i="1"/>
  <c r="M442" i="1"/>
  <c r="P442" i="1" s="1"/>
  <c r="S442" i="1" s="1"/>
  <c r="M441" i="1"/>
  <c r="M440" i="1"/>
  <c r="N440" i="1" s="1"/>
  <c r="X440" i="1" s="1"/>
  <c r="M439" i="1"/>
  <c r="M438" i="1"/>
  <c r="N438" i="1" s="1"/>
  <c r="X438" i="1" s="1"/>
  <c r="M430" i="1"/>
  <c r="M429" i="1"/>
  <c r="N429" i="1" s="1"/>
  <c r="X429" i="1" s="1"/>
  <c r="M428" i="1"/>
  <c r="M427" i="1"/>
  <c r="P427" i="1" s="1"/>
  <c r="S427" i="1" s="1"/>
  <c r="M426" i="1"/>
  <c r="M425" i="1"/>
  <c r="P425" i="1" s="1"/>
  <c r="M424" i="1"/>
  <c r="M423" i="1"/>
  <c r="P423" i="1" s="1"/>
  <c r="S423" i="1" s="1"/>
  <c r="M422" i="1"/>
  <c r="M421" i="1"/>
  <c r="P421" i="1" s="1"/>
  <c r="S421" i="1" s="1"/>
  <c r="M420" i="1"/>
  <c r="M419" i="1"/>
  <c r="P419" i="1" s="1"/>
  <c r="S419" i="1" s="1"/>
  <c r="M418" i="1"/>
  <c r="M417" i="1"/>
  <c r="P417" i="1" s="1"/>
  <c r="S417" i="1" s="1"/>
  <c r="M416" i="1"/>
  <c r="M415" i="1"/>
  <c r="P415" i="1" s="1"/>
  <c r="S415" i="1" s="1"/>
  <c r="M414" i="1"/>
  <c r="M413" i="1"/>
  <c r="M412" i="1"/>
  <c r="M411" i="1"/>
  <c r="P411" i="1" s="1"/>
  <c r="S411" i="1" s="1"/>
  <c r="M410" i="1"/>
  <c r="P410" i="1" s="1"/>
  <c r="S410" i="1" s="1"/>
  <c r="M409" i="1"/>
  <c r="N409" i="1" s="1"/>
  <c r="X409" i="1" s="1"/>
  <c r="M408" i="1"/>
  <c r="P408" i="1" s="1"/>
  <c r="S408" i="1" s="1"/>
  <c r="M407" i="1"/>
  <c r="M406" i="1"/>
  <c r="M405" i="1"/>
  <c r="P405" i="1" s="1"/>
  <c r="S405" i="1" s="1"/>
  <c r="M404" i="1"/>
  <c r="P404" i="1" s="1"/>
  <c r="S404" i="1" s="1"/>
  <c r="M403" i="1"/>
  <c r="N403" i="1" s="1"/>
  <c r="M402" i="1"/>
  <c r="P402" i="1" s="1"/>
  <c r="S402" i="1" s="1"/>
  <c r="M401" i="1"/>
  <c r="M400" i="1"/>
  <c r="M399" i="1"/>
  <c r="P399" i="1" s="1"/>
  <c r="S399" i="1" s="1"/>
  <c r="M398" i="1"/>
  <c r="P398" i="1" s="1"/>
  <c r="S398" i="1" s="1"/>
  <c r="M397" i="1"/>
  <c r="N397" i="1" s="1"/>
  <c r="M396" i="1"/>
  <c r="P396" i="1" s="1"/>
  <c r="S396" i="1" s="1"/>
  <c r="M395" i="1"/>
  <c r="M394" i="1"/>
  <c r="M393" i="1"/>
  <c r="P393" i="1" s="1"/>
  <c r="S393" i="1" s="1"/>
  <c r="M392" i="1"/>
  <c r="P392" i="1" s="1"/>
  <c r="S392" i="1" s="1"/>
  <c r="M391" i="1"/>
  <c r="N391" i="1" s="1"/>
  <c r="X391" i="1" s="1"/>
  <c r="M390" i="1"/>
  <c r="P390" i="1" s="1"/>
  <c r="S390" i="1" s="1"/>
  <c r="M389" i="1"/>
  <c r="M388" i="1"/>
  <c r="M387" i="1"/>
  <c r="P387" i="1" s="1"/>
  <c r="S387" i="1" s="1"/>
  <c r="M386" i="1"/>
  <c r="P386" i="1" s="1"/>
  <c r="S386" i="1" s="1"/>
  <c r="M385" i="1"/>
  <c r="M384" i="1"/>
  <c r="M383" i="1"/>
  <c r="P383" i="1" s="1"/>
  <c r="M382" i="1"/>
  <c r="M381" i="1"/>
  <c r="M380" i="1"/>
  <c r="M379" i="1"/>
  <c r="M378" i="1"/>
  <c r="M377" i="1"/>
  <c r="P377" i="1" s="1"/>
  <c r="M376" i="1"/>
  <c r="M375" i="1"/>
  <c r="M374" i="1"/>
  <c r="P374" i="1" s="1"/>
  <c r="M373" i="1"/>
  <c r="P373" i="1" s="1"/>
  <c r="M372" i="1"/>
  <c r="M371" i="1"/>
  <c r="M370" i="1"/>
  <c r="M369" i="1"/>
  <c r="P369" i="1" s="1"/>
  <c r="M368" i="1"/>
  <c r="M367" i="1"/>
  <c r="M366" i="1"/>
  <c r="M365" i="1"/>
  <c r="M364" i="1"/>
  <c r="P364" i="1" s="1"/>
  <c r="S364" i="1" s="1"/>
  <c r="M363" i="1"/>
  <c r="M362" i="1"/>
  <c r="P362" i="1" s="1"/>
  <c r="S362" i="1" s="1"/>
  <c r="M361" i="1"/>
  <c r="M360" i="1"/>
  <c r="P360" i="1" s="1"/>
  <c r="S360" i="1" s="1"/>
  <c r="M359" i="1"/>
  <c r="P359" i="1" s="1"/>
  <c r="S359" i="1" s="1"/>
  <c r="M358" i="1"/>
  <c r="P358" i="1" s="1"/>
  <c r="S358" i="1" s="1"/>
  <c r="M357" i="1"/>
  <c r="P357" i="1" s="1"/>
  <c r="M356" i="1"/>
  <c r="P356" i="1" s="1"/>
  <c r="S356" i="1" s="1"/>
  <c r="M355" i="1"/>
  <c r="P355" i="1" s="1"/>
  <c r="M354" i="1"/>
  <c r="P354" i="1" s="1"/>
  <c r="S354" i="1" s="1"/>
  <c r="M353" i="1"/>
  <c r="P353" i="1" s="1"/>
  <c r="M350" i="1"/>
  <c r="P350" i="1" s="1"/>
  <c r="S350" i="1" s="1"/>
  <c r="M349" i="1"/>
  <c r="P349" i="1" s="1"/>
  <c r="M348" i="1"/>
  <c r="P348" i="1" s="1"/>
  <c r="S348" i="1" s="1"/>
  <c r="M347" i="1"/>
  <c r="P347" i="1" s="1"/>
  <c r="Q347" i="1" s="1"/>
  <c r="M346" i="1"/>
  <c r="M345" i="1"/>
  <c r="P345" i="1" s="1"/>
  <c r="M344" i="1"/>
  <c r="M343" i="1"/>
  <c r="P343" i="1" s="1"/>
  <c r="M342" i="1"/>
  <c r="M341" i="1"/>
  <c r="P341" i="1" s="1"/>
  <c r="M340" i="1"/>
  <c r="M339" i="1"/>
  <c r="P339" i="1" s="1"/>
  <c r="M338" i="1"/>
  <c r="M337" i="1"/>
  <c r="P337" i="1" s="1"/>
  <c r="M336" i="1"/>
  <c r="M321" i="1"/>
  <c r="P321" i="1" s="1"/>
  <c r="S321" i="1" s="1"/>
  <c r="M320" i="1"/>
  <c r="M319" i="1"/>
  <c r="P319" i="1" s="1"/>
  <c r="S319" i="1" s="1"/>
  <c r="T319" i="1" s="1"/>
  <c r="Z319" i="1" s="1"/>
  <c r="M318" i="1"/>
  <c r="M317" i="1"/>
  <c r="P317" i="1" s="1"/>
  <c r="M316" i="1"/>
  <c r="M315" i="1"/>
  <c r="P315" i="1" s="1"/>
  <c r="M314" i="1"/>
  <c r="M313" i="1"/>
  <c r="P313" i="1" s="1"/>
  <c r="M312" i="1"/>
  <c r="M311" i="1"/>
  <c r="P311" i="1" s="1"/>
  <c r="M310" i="1"/>
  <c r="M309" i="1"/>
  <c r="P309" i="1" s="1"/>
  <c r="M308" i="1"/>
  <c r="M307" i="1"/>
  <c r="P307" i="1" s="1"/>
  <c r="M295" i="1"/>
  <c r="M294" i="1"/>
  <c r="P294" i="1" s="1"/>
  <c r="M293" i="1"/>
  <c r="P293" i="1" s="1"/>
  <c r="S293" i="1" s="1"/>
  <c r="M292" i="1"/>
  <c r="P292" i="1" s="1"/>
  <c r="M291" i="1"/>
  <c r="M290" i="1"/>
  <c r="P290" i="1" s="1"/>
  <c r="M289" i="1"/>
  <c r="P289" i="1" s="1"/>
  <c r="S289" i="1" s="1"/>
  <c r="M288" i="1"/>
  <c r="P288" i="1" s="1"/>
  <c r="M287" i="1"/>
  <c r="M286" i="1"/>
  <c r="P286" i="1" s="1"/>
  <c r="M285" i="1"/>
  <c r="P285" i="1" s="1"/>
  <c r="S285" i="1" s="1"/>
  <c r="M284" i="1"/>
  <c r="P284" i="1" s="1"/>
  <c r="M283" i="1"/>
  <c r="M282" i="1"/>
  <c r="P282" i="1" s="1"/>
  <c r="M281" i="1"/>
  <c r="P281" i="1" s="1"/>
  <c r="S281" i="1" s="1"/>
  <c r="M280" i="1"/>
  <c r="P280" i="1" s="1"/>
  <c r="M279" i="1"/>
  <c r="M278" i="1"/>
  <c r="P278" i="1" s="1"/>
  <c r="M277" i="1"/>
  <c r="P277" i="1" s="1"/>
  <c r="S277" i="1" s="1"/>
  <c r="M276" i="1"/>
  <c r="P276" i="1" s="1"/>
  <c r="M275" i="1"/>
  <c r="M274" i="1"/>
  <c r="P274" i="1" s="1"/>
  <c r="M273" i="1"/>
  <c r="P273" i="1" s="1"/>
  <c r="S273" i="1" s="1"/>
  <c r="M272" i="1"/>
  <c r="P272" i="1" s="1"/>
  <c r="M271" i="1"/>
  <c r="M270" i="1"/>
  <c r="P270" i="1" s="1"/>
  <c r="M269" i="1"/>
  <c r="P269" i="1" s="1"/>
  <c r="S269" i="1" s="1"/>
  <c r="M268" i="1"/>
  <c r="P268" i="1" s="1"/>
  <c r="M267" i="1"/>
  <c r="M266" i="1"/>
  <c r="P266" i="1" s="1"/>
  <c r="M265" i="1"/>
  <c r="P265" i="1" s="1"/>
  <c r="S265" i="1" s="1"/>
  <c r="M264" i="1"/>
  <c r="P264" i="1" s="1"/>
  <c r="M263" i="1"/>
  <c r="M262" i="1"/>
  <c r="P262" i="1" s="1"/>
  <c r="M261" i="1"/>
  <c r="P261" i="1" s="1"/>
  <c r="S261" i="1" s="1"/>
  <c r="M260" i="1"/>
  <c r="P260" i="1" s="1"/>
  <c r="M259" i="1"/>
  <c r="M258" i="1"/>
  <c r="P258" i="1" s="1"/>
  <c r="M257" i="1"/>
  <c r="P257" i="1" s="1"/>
  <c r="S257" i="1" s="1"/>
  <c r="M256" i="1"/>
  <c r="P256" i="1" s="1"/>
  <c r="M255" i="1"/>
  <c r="M254" i="1"/>
  <c r="P254" i="1" s="1"/>
  <c r="M253" i="1"/>
  <c r="P253" i="1" s="1"/>
  <c r="M252" i="1"/>
  <c r="P252" i="1" s="1"/>
  <c r="M251" i="1"/>
  <c r="P251" i="1" s="1"/>
  <c r="M250" i="1"/>
  <c r="P250" i="1" s="1"/>
  <c r="M249" i="1"/>
  <c r="M248" i="1"/>
  <c r="P248" i="1" s="1"/>
  <c r="M247" i="1"/>
  <c r="N247" i="1" s="1"/>
  <c r="M246" i="1"/>
  <c r="P246" i="1" s="1"/>
  <c r="M245" i="1"/>
  <c r="P245" i="1" s="1"/>
  <c r="M244" i="1"/>
  <c r="P244" i="1" s="1"/>
  <c r="M243" i="1"/>
  <c r="P243" i="1" s="1"/>
  <c r="M242" i="1"/>
  <c r="P242" i="1" s="1"/>
  <c r="M241" i="1"/>
  <c r="M240" i="1"/>
  <c r="P240" i="1" s="1"/>
  <c r="M239" i="1"/>
  <c r="N239" i="1" s="1"/>
  <c r="M238" i="1"/>
  <c r="P238" i="1" s="1"/>
  <c r="M237" i="1"/>
  <c r="P237" i="1" s="1"/>
  <c r="M236" i="1"/>
  <c r="P236" i="1" s="1"/>
  <c r="M235" i="1"/>
  <c r="P235" i="1" s="1"/>
  <c r="M234" i="1"/>
  <c r="P234" i="1" s="1"/>
  <c r="M233" i="1"/>
  <c r="M232" i="1"/>
  <c r="P232" i="1" s="1"/>
  <c r="M231" i="1"/>
  <c r="N231" i="1" s="1"/>
  <c r="M230" i="1"/>
  <c r="P230" i="1" s="1"/>
  <c r="M229" i="1"/>
  <c r="P229" i="1" s="1"/>
  <c r="M228" i="1"/>
  <c r="P228" i="1" s="1"/>
  <c r="M227" i="1"/>
  <c r="P227" i="1" s="1"/>
  <c r="M226" i="1"/>
  <c r="P226" i="1" s="1"/>
  <c r="M225" i="1"/>
  <c r="M224" i="1"/>
  <c r="P224" i="1" s="1"/>
  <c r="M223" i="1"/>
  <c r="N223" i="1" s="1"/>
  <c r="M222" i="1"/>
  <c r="P222" i="1" s="1"/>
  <c r="M221" i="1"/>
  <c r="P221" i="1" s="1"/>
  <c r="M220" i="1"/>
  <c r="P220" i="1" s="1"/>
  <c r="M219" i="1"/>
  <c r="P219" i="1" s="1"/>
  <c r="M218" i="1"/>
  <c r="P218" i="1" s="1"/>
  <c r="M178" i="1"/>
  <c r="P178" i="1" s="1"/>
  <c r="M177" i="1"/>
  <c r="M176" i="1"/>
  <c r="P176" i="1" s="1"/>
  <c r="S176" i="1" s="1"/>
  <c r="M175" i="1"/>
  <c r="M174" i="1"/>
  <c r="M158" i="1"/>
  <c r="M157" i="1"/>
  <c r="P157" i="1" s="1"/>
  <c r="M156" i="1"/>
  <c r="M155" i="1"/>
  <c r="M154" i="1"/>
  <c r="M153" i="1"/>
  <c r="N153" i="1" s="1"/>
  <c r="X153" i="1" s="1"/>
  <c r="M152" i="1"/>
  <c r="M150" i="1"/>
  <c r="P150" i="1" s="1"/>
  <c r="M149" i="1"/>
  <c r="M148" i="1"/>
  <c r="P148" i="1" s="1"/>
  <c r="M147" i="1"/>
  <c r="M146" i="1"/>
  <c r="M145" i="1"/>
  <c r="M144" i="1"/>
  <c r="N144" i="1" s="1"/>
  <c r="X144" i="1" s="1"/>
  <c r="M143" i="1"/>
  <c r="M142" i="1"/>
  <c r="P142" i="1" s="1"/>
  <c r="M141" i="1"/>
  <c r="M140" i="1"/>
  <c r="P140" i="1" s="1"/>
  <c r="S140" i="1" s="1"/>
  <c r="M139" i="1"/>
  <c r="M137" i="1"/>
  <c r="M135" i="1"/>
  <c r="M133" i="1"/>
  <c r="P133" i="1" s="1"/>
  <c r="S133" i="1" s="1"/>
  <c r="M131" i="1"/>
  <c r="M129" i="1"/>
  <c r="P129" i="1" s="1"/>
  <c r="S129" i="1" s="1"/>
  <c r="M128" i="1"/>
  <c r="M127" i="1"/>
  <c r="P127" i="1" s="1"/>
  <c r="M126" i="1"/>
  <c r="M125" i="1"/>
  <c r="N125" i="1" s="1"/>
  <c r="M124" i="1"/>
  <c r="M108" i="1"/>
  <c r="P108" i="1" s="1"/>
  <c r="S108" i="1" s="1"/>
  <c r="M107" i="1"/>
  <c r="M106" i="1"/>
  <c r="P106" i="1" s="1"/>
  <c r="S106" i="1" s="1"/>
  <c r="M104" i="1"/>
  <c r="M103" i="1"/>
  <c r="P103" i="1" s="1"/>
  <c r="M100" i="1"/>
  <c r="N100" i="1" s="1"/>
  <c r="M99" i="1"/>
  <c r="M98" i="1"/>
  <c r="P98" i="1" s="1"/>
  <c r="S98" i="1" s="1"/>
  <c r="M97" i="1"/>
  <c r="P97" i="1" s="1"/>
  <c r="S97" i="1" s="1"/>
  <c r="M96" i="1"/>
  <c r="P96" i="1" s="1"/>
  <c r="S96" i="1" s="1"/>
  <c r="M94" i="1"/>
  <c r="P94" i="1" s="1"/>
  <c r="S94" i="1" s="1"/>
  <c r="M92" i="1"/>
  <c r="P92" i="1" s="1"/>
  <c r="S92" i="1" s="1"/>
  <c r="M90" i="1"/>
  <c r="P90" i="1" s="1"/>
  <c r="S90" i="1" s="1"/>
  <c r="M89" i="1"/>
  <c r="P89" i="1" s="1"/>
  <c r="S89" i="1" s="1"/>
  <c r="M86" i="1"/>
  <c r="P86" i="1" s="1"/>
  <c r="S86" i="1" s="1"/>
  <c r="M84" i="1"/>
  <c r="P84" i="1" s="1"/>
  <c r="S84" i="1" s="1"/>
  <c r="M82" i="1"/>
  <c r="P82" i="1" s="1"/>
  <c r="S82" i="1" s="1"/>
  <c r="M80" i="1"/>
  <c r="P80" i="1" s="1"/>
  <c r="S80" i="1" s="1"/>
  <c r="M78" i="1"/>
  <c r="P78" i="1" s="1"/>
  <c r="S78" i="1" s="1"/>
  <c r="M76" i="1"/>
  <c r="P76" i="1" s="1"/>
  <c r="S76" i="1" s="1"/>
  <c r="M74" i="1"/>
  <c r="N74" i="1" s="1"/>
  <c r="X74" i="1" s="1"/>
  <c r="M72" i="1"/>
  <c r="P72" i="1" s="1"/>
  <c r="S72" i="1" s="1"/>
  <c r="M71" i="1"/>
  <c r="P71" i="1" s="1"/>
  <c r="S71" i="1" s="1"/>
  <c r="M70" i="1"/>
  <c r="P70" i="1" s="1"/>
  <c r="S70" i="1" s="1"/>
  <c r="M69" i="1"/>
  <c r="N69" i="1" s="1"/>
  <c r="M68" i="1"/>
  <c r="P68" i="1" s="1"/>
  <c r="S68" i="1" s="1"/>
  <c r="M67" i="1"/>
  <c r="P67" i="1" s="1"/>
  <c r="S67" i="1" s="1"/>
  <c r="M47" i="1"/>
  <c r="P47" i="1" s="1"/>
  <c r="S47" i="1" s="1"/>
  <c r="M46" i="1"/>
  <c r="P46" i="1" s="1"/>
  <c r="S46" i="1" s="1"/>
  <c r="M43" i="1"/>
  <c r="P43" i="1" s="1"/>
  <c r="S43" i="1" s="1"/>
  <c r="M42" i="1"/>
  <c r="P42" i="1" s="1"/>
  <c r="S42" i="1" s="1"/>
  <c r="M41" i="1"/>
  <c r="P41" i="1" s="1"/>
  <c r="S41" i="1" s="1"/>
  <c r="M39" i="1"/>
  <c r="P39" i="1" s="1"/>
  <c r="S39" i="1" s="1"/>
  <c r="M38" i="1"/>
  <c r="P38" i="1" s="1"/>
  <c r="S38" i="1" s="1"/>
  <c r="M36" i="1"/>
  <c r="P36" i="1" s="1"/>
  <c r="S36" i="1" s="1"/>
  <c r="M35" i="1"/>
  <c r="P35" i="1" s="1"/>
  <c r="S35" i="1" s="1"/>
  <c r="M34" i="1"/>
  <c r="P34" i="1" s="1"/>
  <c r="S34" i="1" s="1"/>
  <c r="M33" i="1"/>
  <c r="P33" i="1" s="1"/>
  <c r="S33" i="1" s="1"/>
  <c r="M29" i="1"/>
  <c r="P29" i="1" s="1"/>
  <c r="S29" i="1" s="1"/>
  <c r="M27" i="1"/>
  <c r="P27" i="1" s="1"/>
  <c r="S27" i="1" s="1"/>
  <c r="M26" i="1"/>
  <c r="P26" i="1" s="1"/>
  <c r="S26" i="1" s="1"/>
  <c r="M24" i="1"/>
  <c r="M20" i="1"/>
  <c r="P20" i="1" s="1"/>
  <c r="S20" i="1" s="1"/>
  <c r="M19" i="1"/>
  <c r="P19" i="1" s="1"/>
  <c r="S19" i="1" s="1"/>
  <c r="M17" i="1"/>
  <c r="P17" i="1" s="1"/>
  <c r="S17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705" i="1"/>
  <c r="W705" i="1" s="1"/>
  <c r="K704" i="1"/>
  <c r="W704" i="1" s="1"/>
  <c r="K703" i="1"/>
  <c r="W703" i="1" s="1"/>
  <c r="K702" i="1"/>
  <c r="W702" i="1" s="1"/>
  <c r="K701" i="1"/>
  <c r="W701" i="1" s="1"/>
  <c r="K700" i="1"/>
  <c r="W700" i="1" s="1"/>
  <c r="K699" i="1"/>
  <c r="W699" i="1" s="1"/>
  <c r="K698" i="1"/>
  <c r="W698" i="1" s="1"/>
  <c r="K697" i="1"/>
  <c r="W697" i="1" s="1"/>
  <c r="K696" i="1"/>
  <c r="W696" i="1" s="1"/>
  <c r="K695" i="1"/>
  <c r="W695" i="1" s="1"/>
  <c r="K694" i="1"/>
  <c r="W694" i="1" s="1"/>
  <c r="K693" i="1"/>
  <c r="W693" i="1" s="1"/>
  <c r="K692" i="1"/>
  <c r="W692" i="1" s="1"/>
  <c r="K691" i="1"/>
  <c r="W691" i="1" s="1"/>
  <c r="K690" i="1"/>
  <c r="W690" i="1" s="1"/>
  <c r="K689" i="1"/>
  <c r="W689" i="1" s="1"/>
  <c r="K688" i="1"/>
  <c r="W688" i="1" s="1"/>
  <c r="K687" i="1"/>
  <c r="W687" i="1" s="1"/>
  <c r="K686" i="1"/>
  <c r="W686" i="1" s="1"/>
  <c r="K685" i="1"/>
  <c r="W685" i="1" s="1"/>
  <c r="K684" i="1"/>
  <c r="W684" i="1" s="1"/>
  <c r="K683" i="1"/>
  <c r="W683" i="1" s="1"/>
  <c r="K682" i="1"/>
  <c r="W682" i="1" s="1"/>
  <c r="K681" i="1"/>
  <c r="K680" i="1"/>
  <c r="K679" i="1"/>
  <c r="W679" i="1" s="1"/>
  <c r="K678" i="1"/>
  <c r="K677" i="1"/>
  <c r="K676" i="1"/>
  <c r="K668" i="1"/>
  <c r="W668" i="1" s="1"/>
  <c r="K667" i="1"/>
  <c r="W667" i="1" s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W647" i="1" s="1"/>
  <c r="K646" i="1"/>
  <c r="W646" i="1" s="1"/>
  <c r="K645" i="1"/>
  <c r="W645" i="1" s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W628" i="1" s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W596" i="1" s="1"/>
  <c r="K595" i="1"/>
  <c r="W595" i="1" s="1"/>
  <c r="K594" i="1"/>
  <c r="K593" i="1"/>
  <c r="K592" i="1"/>
  <c r="K591" i="1"/>
  <c r="K588" i="1"/>
  <c r="W588" i="1" s="1"/>
  <c r="K587" i="1"/>
  <c r="W587" i="1" s="1"/>
  <c r="K586" i="1"/>
  <c r="W586" i="1" s="1"/>
  <c r="K585" i="1"/>
  <c r="W585" i="1" s="1"/>
  <c r="K584" i="1"/>
  <c r="W584" i="1" s="1"/>
  <c r="K583" i="1"/>
  <c r="W583" i="1" s="1"/>
  <c r="K582" i="1"/>
  <c r="W582" i="1" s="1"/>
  <c r="K581" i="1"/>
  <c r="W581" i="1" s="1"/>
  <c r="K580" i="1"/>
  <c r="W580" i="1" s="1"/>
  <c r="K579" i="1"/>
  <c r="W579" i="1" s="1"/>
  <c r="K578" i="1"/>
  <c r="W578" i="1" s="1"/>
  <c r="K577" i="1"/>
  <c r="W577" i="1" s="1"/>
  <c r="K576" i="1"/>
  <c r="W576" i="1" s="1"/>
  <c r="K575" i="1"/>
  <c r="W575" i="1" s="1"/>
  <c r="K574" i="1"/>
  <c r="W574" i="1" s="1"/>
  <c r="K573" i="1"/>
  <c r="W573" i="1" s="1"/>
  <c r="K572" i="1"/>
  <c r="W572" i="1" s="1"/>
  <c r="K571" i="1"/>
  <c r="W571" i="1" s="1"/>
  <c r="K570" i="1"/>
  <c r="W570" i="1" s="1"/>
  <c r="K569" i="1"/>
  <c r="W569" i="1" s="1"/>
  <c r="K568" i="1"/>
  <c r="W568" i="1" s="1"/>
  <c r="K567" i="1"/>
  <c r="W567" i="1" s="1"/>
  <c r="K566" i="1"/>
  <c r="W566" i="1" s="1"/>
  <c r="K565" i="1"/>
  <c r="W565" i="1" s="1"/>
  <c r="K564" i="1"/>
  <c r="K563" i="1"/>
  <c r="K562" i="1"/>
  <c r="W562" i="1" s="1"/>
  <c r="K561" i="1"/>
  <c r="K560" i="1"/>
  <c r="K559" i="1"/>
  <c r="K547" i="1"/>
  <c r="W547" i="1" s="1"/>
  <c r="K546" i="1"/>
  <c r="W546" i="1" s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W526" i="1" s="1"/>
  <c r="K525" i="1"/>
  <c r="W525" i="1" s="1"/>
  <c r="K524" i="1"/>
  <c r="W524" i="1" s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W507" i="1" s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W475" i="1" s="1"/>
  <c r="K474" i="1"/>
  <c r="W474" i="1" s="1"/>
  <c r="K473" i="1"/>
  <c r="K472" i="1"/>
  <c r="K471" i="1"/>
  <c r="K470" i="1"/>
  <c r="K467" i="1"/>
  <c r="W467" i="1" s="1"/>
  <c r="K466" i="1"/>
  <c r="W466" i="1" s="1"/>
  <c r="K465" i="1"/>
  <c r="W465" i="1" s="1"/>
  <c r="K464" i="1"/>
  <c r="K463" i="1"/>
  <c r="W463" i="1" s="1"/>
  <c r="K462" i="1"/>
  <c r="W462" i="1" s="1"/>
  <c r="K461" i="1"/>
  <c r="W461" i="1" s="1"/>
  <c r="K460" i="1"/>
  <c r="W460" i="1" s="1"/>
  <c r="K459" i="1"/>
  <c r="W459" i="1" s="1"/>
  <c r="K458" i="1"/>
  <c r="W458" i="1" s="1"/>
  <c r="K457" i="1"/>
  <c r="W457" i="1" s="1"/>
  <c r="K456" i="1"/>
  <c r="W456" i="1" s="1"/>
  <c r="K455" i="1"/>
  <c r="W455" i="1" s="1"/>
  <c r="K454" i="1"/>
  <c r="W454" i="1" s="1"/>
  <c r="K453" i="1"/>
  <c r="W453" i="1" s="1"/>
  <c r="K452" i="1"/>
  <c r="K451" i="1"/>
  <c r="K450" i="1"/>
  <c r="K449" i="1"/>
  <c r="K448" i="1"/>
  <c r="K447" i="1"/>
  <c r="K446" i="1"/>
  <c r="K445" i="1"/>
  <c r="K444" i="1"/>
  <c r="K443" i="1"/>
  <c r="K442" i="1"/>
  <c r="K441" i="1"/>
  <c r="W441" i="1" s="1"/>
  <c r="K440" i="1"/>
  <c r="K439" i="1"/>
  <c r="K438" i="1"/>
  <c r="K430" i="1"/>
  <c r="W430" i="1" s="1"/>
  <c r="K429" i="1"/>
  <c r="W429" i="1" s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W409" i="1" s="1"/>
  <c r="K408" i="1"/>
  <c r="W408" i="1" s="1"/>
  <c r="K407" i="1"/>
  <c r="W407" i="1" s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W390" i="1" s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W358" i="1" s="1"/>
  <c r="K357" i="1"/>
  <c r="W357" i="1" s="1"/>
  <c r="K356" i="1"/>
  <c r="K355" i="1"/>
  <c r="K354" i="1"/>
  <c r="K353" i="1"/>
  <c r="K350" i="1"/>
  <c r="W350" i="1" s="1"/>
  <c r="K349" i="1"/>
  <c r="W349" i="1" s="1"/>
  <c r="K348" i="1"/>
  <c r="K347" i="1"/>
  <c r="K346" i="1"/>
  <c r="K345" i="1"/>
  <c r="K344" i="1"/>
  <c r="K343" i="1"/>
  <c r="K342" i="1"/>
  <c r="K341" i="1"/>
  <c r="K340" i="1"/>
  <c r="K339" i="1"/>
  <c r="K338" i="1"/>
  <c r="W338" i="1" s="1"/>
  <c r="K337" i="1"/>
  <c r="W337" i="1" s="1"/>
  <c r="K336" i="1"/>
  <c r="W336" i="1" s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W272" i="1" s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W255" i="1" s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178" i="1"/>
  <c r="K177" i="1"/>
  <c r="K176" i="1"/>
  <c r="K175" i="1"/>
  <c r="K174" i="1"/>
  <c r="K158" i="1"/>
  <c r="K157" i="1"/>
  <c r="K156" i="1"/>
  <c r="J200" i="1" s="1"/>
  <c r="K200" i="1" s="1"/>
  <c r="K155" i="1"/>
  <c r="K154" i="1"/>
  <c r="J198" i="1" s="1"/>
  <c r="K198" i="1" s="1"/>
  <c r="K153" i="1"/>
  <c r="K152" i="1"/>
  <c r="J196" i="1" s="1"/>
  <c r="K196" i="1" s="1"/>
  <c r="K150" i="1"/>
  <c r="K149" i="1"/>
  <c r="K148" i="1"/>
  <c r="K147" i="1"/>
  <c r="J192" i="1" s="1"/>
  <c r="K192" i="1" s="1"/>
  <c r="W192" i="1" s="1"/>
  <c r="K146" i="1"/>
  <c r="K145" i="1"/>
  <c r="K144" i="1"/>
  <c r="K143" i="1"/>
  <c r="K141" i="1"/>
  <c r="K140" i="1"/>
  <c r="J185" i="1" s="1"/>
  <c r="M185" i="1" s="1"/>
  <c r="K139" i="1"/>
  <c r="K137" i="1"/>
  <c r="J183" i="1" s="1"/>
  <c r="K183" i="1" s="1"/>
  <c r="K135" i="1"/>
  <c r="J182" i="1" s="1"/>
  <c r="K182" i="1" s="1"/>
  <c r="K133" i="1"/>
  <c r="J181" i="1" s="1"/>
  <c r="K181" i="1" s="1"/>
  <c r="K131" i="1"/>
  <c r="J180" i="1" s="1"/>
  <c r="M180" i="1" s="1"/>
  <c r="N180" i="1" s="1"/>
  <c r="X180" i="1" s="1"/>
  <c r="K129" i="1"/>
  <c r="J179" i="1" s="1"/>
  <c r="K179" i="1" s="1"/>
  <c r="K128" i="1"/>
  <c r="K127" i="1"/>
  <c r="K126" i="1"/>
  <c r="K125" i="1"/>
  <c r="K124" i="1"/>
  <c r="K108" i="1"/>
  <c r="K107" i="1"/>
  <c r="K106" i="1"/>
  <c r="K104" i="1"/>
  <c r="W104" i="1" s="1"/>
  <c r="K103" i="1"/>
  <c r="K100" i="1"/>
  <c r="K99" i="1"/>
  <c r="K98" i="1"/>
  <c r="W98" i="1" s="1"/>
  <c r="K97" i="1"/>
  <c r="W97" i="1" s="1"/>
  <c r="K96" i="1"/>
  <c r="K94" i="1"/>
  <c r="W94" i="1" s="1"/>
  <c r="K92" i="1"/>
  <c r="K90" i="1"/>
  <c r="K89" i="1"/>
  <c r="K88" i="1"/>
  <c r="K86" i="1"/>
  <c r="K84" i="1"/>
  <c r="K82" i="1"/>
  <c r="K80" i="1"/>
  <c r="K78" i="1"/>
  <c r="K76" i="1"/>
  <c r="K74" i="1"/>
  <c r="K72" i="1"/>
  <c r="K71" i="1"/>
  <c r="K70" i="1"/>
  <c r="K69" i="1"/>
  <c r="K68" i="1"/>
  <c r="K67" i="1"/>
  <c r="K47" i="1"/>
  <c r="K46" i="1"/>
  <c r="K43" i="1"/>
  <c r="K42" i="1"/>
  <c r="K41" i="1"/>
  <c r="K39" i="1"/>
  <c r="K38" i="1"/>
  <c r="K36" i="1"/>
  <c r="K35" i="1"/>
  <c r="W35" i="1" s="1"/>
  <c r="K34" i="1"/>
  <c r="W34" i="1" s="1"/>
  <c r="K33" i="1"/>
  <c r="K29" i="1"/>
  <c r="K27" i="1"/>
  <c r="K26" i="1"/>
  <c r="K24" i="1"/>
  <c r="K20" i="1"/>
  <c r="K19" i="1"/>
  <c r="K17" i="1"/>
  <c r="K15" i="1"/>
  <c r="K13" i="1"/>
  <c r="K11" i="1"/>
  <c r="K9" i="1"/>
  <c r="K8" i="1"/>
  <c r="K7" i="1"/>
  <c r="K6" i="1"/>
  <c r="K5" i="1"/>
  <c r="K4" i="1"/>
  <c r="P9" i="1" l="1"/>
  <c r="S9" i="1" s="1"/>
  <c r="J190" i="1"/>
  <c r="K190" i="1" s="1"/>
  <c r="W190" i="1" s="1"/>
  <c r="W145" i="1"/>
  <c r="J202" i="1"/>
  <c r="M202" i="1" s="1"/>
  <c r="P202" i="1" s="1"/>
  <c r="Q202" i="1" s="1"/>
  <c r="Y202" i="1" s="1"/>
  <c r="W158" i="1"/>
  <c r="J189" i="1"/>
  <c r="K189" i="1" s="1"/>
  <c r="W189" i="1" s="1"/>
  <c r="W144" i="1"/>
  <c r="J191" i="1"/>
  <c r="K191" i="1" s="1"/>
  <c r="W191" i="1" s="1"/>
  <c r="W146" i="1"/>
  <c r="J201" i="1"/>
  <c r="M201" i="1" s="1"/>
  <c r="P201" i="1" s="1"/>
  <c r="S201" i="1" s="1"/>
  <c r="T201" i="1" s="1"/>
  <c r="Z201" i="1" s="1"/>
  <c r="W157" i="1"/>
  <c r="J195" i="1"/>
  <c r="K195" i="1" s="1"/>
  <c r="W195" i="1" s="1"/>
  <c r="W150" i="1"/>
  <c r="J193" i="1"/>
  <c r="K193" i="1" s="1"/>
  <c r="W193" i="1" s="1"/>
  <c r="W148" i="1"/>
  <c r="J184" i="1"/>
  <c r="K184" i="1" s="1"/>
  <c r="W184" i="1" s="1"/>
  <c r="W139" i="1"/>
  <c r="J188" i="1"/>
  <c r="K188" i="1" s="1"/>
  <c r="W188" i="1" s="1"/>
  <c r="W143" i="1"/>
  <c r="J194" i="1"/>
  <c r="K194" i="1" s="1"/>
  <c r="W194" i="1" s="1"/>
  <c r="W149" i="1"/>
  <c r="J197" i="1"/>
  <c r="K197" i="1" s="1"/>
  <c r="W197" i="1" s="1"/>
  <c r="W153" i="1"/>
  <c r="J186" i="1"/>
  <c r="K186" i="1" s="1"/>
  <c r="W186" i="1" s="1"/>
  <c r="W141" i="1"/>
  <c r="J199" i="1"/>
  <c r="K199" i="1" s="1"/>
  <c r="W199" i="1" s="1"/>
  <c r="W155" i="1"/>
  <c r="K185" i="1"/>
  <c r="W185" i="1" s="1"/>
  <c r="N219" i="1"/>
  <c r="P638" i="1"/>
  <c r="S638" i="1" s="1"/>
  <c r="T638" i="1" s="1"/>
  <c r="Z638" i="1" s="1"/>
  <c r="N277" i="1"/>
  <c r="X277" i="1" s="1"/>
  <c r="N269" i="1"/>
  <c r="N421" i="1"/>
  <c r="X421" i="1" s="1"/>
  <c r="N4" i="1"/>
  <c r="N76" i="1"/>
  <c r="N43" i="1"/>
  <c r="M200" i="1"/>
  <c r="P200" i="1" s="1"/>
  <c r="S200" i="1" s="1"/>
  <c r="N396" i="1"/>
  <c r="P438" i="1"/>
  <c r="S438" i="1" s="1"/>
  <c r="T438" i="1" s="1"/>
  <c r="Z438" i="1" s="1"/>
  <c r="N411" i="1"/>
  <c r="X411" i="1" s="1"/>
  <c r="S4" i="1"/>
  <c r="T4" i="1" s="1"/>
  <c r="Z4" i="1" s="1"/>
  <c r="Q4" i="1"/>
  <c r="S309" i="1"/>
  <c r="T309" i="1" s="1"/>
  <c r="Z309" i="1" s="1"/>
  <c r="P380" i="1"/>
  <c r="S380" i="1" s="1"/>
  <c r="T380" i="1" s="1"/>
  <c r="Z380" i="1" s="1"/>
  <c r="S148" i="1"/>
  <c r="T148" i="1" s="1"/>
  <c r="Z148" i="1" s="1"/>
  <c r="N484" i="1"/>
  <c r="P484" i="1"/>
  <c r="S227" i="1"/>
  <c r="T227" i="1" s="1"/>
  <c r="Z227" i="1" s="1"/>
  <c r="S260" i="1"/>
  <c r="T260" i="1" s="1"/>
  <c r="Z260" i="1" s="1"/>
  <c r="N289" i="1"/>
  <c r="X289" i="1" s="1"/>
  <c r="S311" i="1"/>
  <c r="T311" i="1" s="1"/>
  <c r="Z311" i="1" s="1"/>
  <c r="N371" i="1"/>
  <c r="P371" i="1"/>
  <c r="S371" i="1" s="1"/>
  <c r="T371" i="1" s="1"/>
  <c r="Z371" i="1" s="1"/>
  <c r="P382" i="1"/>
  <c r="S382" i="1" s="1"/>
  <c r="T382" i="1" s="1"/>
  <c r="Z382" i="1" s="1"/>
  <c r="N393" i="1"/>
  <c r="N423" i="1"/>
  <c r="X423" i="1" s="1"/>
  <c r="P450" i="1"/>
  <c r="P485" i="1"/>
  <c r="S485" i="1" s="1"/>
  <c r="T485" i="1" s="1"/>
  <c r="Z485" i="1" s="1"/>
  <c r="P497" i="1"/>
  <c r="S497" i="1" s="1"/>
  <c r="T497" i="1" s="1"/>
  <c r="Z497" i="1" s="1"/>
  <c r="N8" i="1"/>
  <c r="Q150" i="1"/>
  <c r="Y150" i="1" s="1"/>
  <c r="S150" i="1"/>
  <c r="T150" i="1" s="1"/>
  <c r="Z150" i="1" s="1"/>
  <c r="S228" i="1"/>
  <c r="T228" i="1" s="1"/>
  <c r="Z228" i="1" s="1"/>
  <c r="N281" i="1"/>
  <c r="X281" i="1" s="1"/>
  <c r="Q290" i="1"/>
  <c r="Y290" i="1" s="1"/>
  <c r="S290" i="1"/>
  <c r="T290" i="1" s="1"/>
  <c r="Z290" i="1" s="1"/>
  <c r="S337" i="1"/>
  <c r="T337" i="1" s="1"/>
  <c r="Z337" i="1" s="1"/>
  <c r="P361" i="1"/>
  <c r="S361" i="1" s="1"/>
  <c r="T361" i="1" s="1"/>
  <c r="Z361" i="1" s="1"/>
  <c r="N372" i="1"/>
  <c r="P372" i="1"/>
  <c r="S372" i="1" s="1"/>
  <c r="T372" i="1" s="1"/>
  <c r="Z372" i="1" s="1"/>
  <c r="N486" i="1"/>
  <c r="P486" i="1"/>
  <c r="P498" i="1"/>
  <c r="S498" i="1" s="1"/>
  <c r="T498" i="1" s="1"/>
  <c r="Z498" i="1" s="1"/>
  <c r="Q658" i="1"/>
  <c r="Y658" i="1" s="1"/>
  <c r="S658" i="1"/>
  <c r="T658" i="1" s="1"/>
  <c r="Z658" i="1" s="1"/>
  <c r="P495" i="1"/>
  <c r="Q495" i="1" s="1"/>
  <c r="Y495" i="1" s="1"/>
  <c r="N42" i="1"/>
  <c r="Q178" i="1"/>
  <c r="S178" i="1"/>
  <c r="T178" i="1" s="1"/>
  <c r="S218" i="1"/>
  <c r="T218" i="1" s="1"/>
  <c r="Z218" i="1" s="1"/>
  <c r="Q229" i="1"/>
  <c r="Y229" i="1" s="1"/>
  <c r="S229" i="1"/>
  <c r="T229" i="1" s="1"/>
  <c r="Z229" i="1" s="1"/>
  <c r="S349" i="1"/>
  <c r="T349" i="1" s="1"/>
  <c r="Z349" i="1" s="1"/>
  <c r="P384" i="1"/>
  <c r="S384" i="1" s="1"/>
  <c r="T384" i="1" s="1"/>
  <c r="Z384" i="1" s="1"/>
  <c r="Q425" i="1"/>
  <c r="Y425" i="1" s="1"/>
  <c r="S425" i="1"/>
  <c r="T425" i="1" s="1"/>
  <c r="Z425" i="1" s="1"/>
  <c r="P487" i="1"/>
  <c r="S487" i="1" s="1"/>
  <c r="T487" i="1" s="1"/>
  <c r="Z487" i="1" s="1"/>
  <c r="P499" i="1"/>
  <c r="S499" i="1" s="1"/>
  <c r="T499" i="1" s="1"/>
  <c r="Z499" i="1" s="1"/>
  <c r="Q596" i="1"/>
  <c r="Y596" i="1" s="1"/>
  <c r="S596" i="1"/>
  <c r="T596" i="1" s="1"/>
  <c r="Z596" i="1" s="1"/>
  <c r="M179" i="1"/>
  <c r="N179" i="1" s="1"/>
  <c r="X179" i="1" s="1"/>
  <c r="M192" i="1"/>
  <c r="P192" i="1" s="1"/>
  <c r="Q192" i="1" s="1"/>
  <c r="Y192" i="1" s="1"/>
  <c r="S219" i="1"/>
  <c r="T219" i="1" s="1"/>
  <c r="Z219" i="1" s="1"/>
  <c r="S251" i="1"/>
  <c r="T251" i="1" s="1"/>
  <c r="Z251" i="1" s="1"/>
  <c r="S292" i="1"/>
  <c r="T292" i="1" s="1"/>
  <c r="Z292" i="1" s="1"/>
  <c r="S339" i="1"/>
  <c r="T339" i="1" s="1"/>
  <c r="Z339" i="1" s="1"/>
  <c r="P363" i="1"/>
  <c r="S363" i="1" s="1"/>
  <c r="T363" i="1" s="1"/>
  <c r="Z363" i="1" s="1"/>
  <c r="N373" i="1"/>
  <c r="N385" i="1"/>
  <c r="P385" i="1"/>
  <c r="S385" i="1" s="1"/>
  <c r="N425" i="1"/>
  <c r="X425" i="1" s="1"/>
  <c r="N488" i="1"/>
  <c r="P488" i="1"/>
  <c r="S488" i="1" s="1"/>
  <c r="P500" i="1"/>
  <c r="S500" i="1" s="1"/>
  <c r="T500" i="1" s="1"/>
  <c r="Z500" i="1" s="1"/>
  <c r="P648" i="1"/>
  <c r="Q648" i="1" s="1"/>
  <c r="Y648" i="1" s="1"/>
  <c r="S288" i="1"/>
  <c r="T288" i="1" s="1"/>
  <c r="Z288" i="1" s="1"/>
  <c r="P7" i="1"/>
  <c r="Q7" i="1" s="1"/>
  <c r="Y7" i="1" s="1"/>
  <c r="Q270" i="1"/>
  <c r="Y270" i="1" s="1"/>
  <c r="S270" i="1"/>
  <c r="T270" i="1" s="1"/>
  <c r="Z270" i="1" s="1"/>
  <c r="P370" i="1"/>
  <c r="S370" i="1" s="1"/>
  <c r="T370" i="1" s="1"/>
  <c r="Z370" i="1" s="1"/>
  <c r="P496" i="1"/>
  <c r="S496" i="1" s="1"/>
  <c r="T496" i="1" s="1"/>
  <c r="Z496" i="1" s="1"/>
  <c r="S634" i="1"/>
  <c r="T634" i="1" s="1"/>
  <c r="Z634" i="1" s="1"/>
  <c r="Q282" i="1"/>
  <c r="Y282" i="1" s="1"/>
  <c r="S282" i="1"/>
  <c r="T282" i="1" s="1"/>
  <c r="Z282" i="1" s="1"/>
  <c r="S252" i="1"/>
  <c r="T252" i="1" s="1"/>
  <c r="Z252" i="1" s="1"/>
  <c r="K180" i="1"/>
  <c r="W180" i="1" s="1"/>
  <c r="N34" i="1"/>
  <c r="X34" i="1" s="1"/>
  <c r="N47" i="1"/>
  <c r="N97" i="1"/>
  <c r="X97" i="1" s="1"/>
  <c r="M181" i="1"/>
  <c r="N181" i="1" s="1"/>
  <c r="X181" i="1" s="1"/>
  <c r="S220" i="1"/>
  <c r="T220" i="1" s="1"/>
  <c r="Z220" i="1" s="1"/>
  <c r="N243" i="1"/>
  <c r="Q253" i="1"/>
  <c r="Y253" i="1" s="1"/>
  <c r="S253" i="1"/>
  <c r="T253" i="1" s="1"/>
  <c r="Z253" i="1" s="1"/>
  <c r="S284" i="1"/>
  <c r="T284" i="1" s="1"/>
  <c r="Z284" i="1" s="1"/>
  <c r="N293" i="1"/>
  <c r="X293" i="1" s="1"/>
  <c r="S341" i="1"/>
  <c r="T341" i="1" s="1"/>
  <c r="Z341" i="1" s="1"/>
  <c r="P365" i="1"/>
  <c r="Q365" i="1" s="1"/>
  <c r="Y365" i="1" s="1"/>
  <c r="N375" i="1"/>
  <c r="P375" i="1"/>
  <c r="Q375" i="1" s="1"/>
  <c r="Y375" i="1" s="1"/>
  <c r="P490" i="1"/>
  <c r="S490" i="1" s="1"/>
  <c r="T490" i="1" s="1"/>
  <c r="Z490" i="1" s="1"/>
  <c r="P502" i="1"/>
  <c r="S502" i="1" s="1"/>
  <c r="T502" i="1" s="1"/>
  <c r="Z502" i="1" s="1"/>
  <c r="Q258" i="1"/>
  <c r="Y258" i="1" s="1"/>
  <c r="S258" i="1"/>
  <c r="T258" i="1" s="1"/>
  <c r="Z258" i="1" s="1"/>
  <c r="S280" i="1"/>
  <c r="T280" i="1" s="1"/>
  <c r="Z280" i="1" s="1"/>
  <c r="P381" i="1"/>
  <c r="S381" i="1" s="1"/>
  <c r="T381" i="1" s="1"/>
  <c r="Z381" i="1" s="1"/>
  <c r="Q274" i="1"/>
  <c r="Y274" i="1" s="1"/>
  <c r="S274" i="1"/>
  <c r="T274" i="1" s="1"/>
  <c r="Z274" i="1" s="1"/>
  <c r="P501" i="1"/>
  <c r="S501" i="1" s="1"/>
  <c r="T501" i="1" s="1"/>
  <c r="Z501" i="1" s="1"/>
  <c r="Q572" i="1"/>
  <c r="Y572" i="1" s="1"/>
  <c r="S572" i="1"/>
  <c r="T572" i="1" s="1"/>
  <c r="Z572" i="1" s="1"/>
  <c r="N82" i="1"/>
  <c r="X82" i="1" s="1"/>
  <c r="Q127" i="1"/>
  <c r="Y127" i="1" s="1"/>
  <c r="S127" i="1"/>
  <c r="T127" i="1" s="1"/>
  <c r="Z127" i="1" s="1"/>
  <c r="M182" i="1"/>
  <c r="P182" i="1" s="1"/>
  <c r="S182" i="1" s="1"/>
  <c r="Q221" i="1"/>
  <c r="Y221" i="1" s="1"/>
  <c r="S221" i="1"/>
  <c r="T221" i="1" s="1"/>
  <c r="Z221" i="1" s="1"/>
  <c r="Q254" i="1"/>
  <c r="Y254" i="1" s="1"/>
  <c r="S254" i="1"/>
  <c r="T254" i="1" s="1"/>
  <c r="Z254" i="1" s="1"/>
  <c r="Q266" i="1"/>
  <c r="Y266" i="1" s="1"/>
  <c r="S266" i="1"/>
  <c r="T266" i="1" s="1"/>
  <c r="Z266" i="1" s="1"/>
  <c r="S276" i="1"/>
  <c r="T276" i="1" s="1"/>
  <c r="Z276" i="1" s="1"/>
  <c r="Q294" i="1"/>
  <c r="S294" i="1"/>
  <c r="T294" i="1" s="1"/>
  <c r="S317" i="1"/>
  <c r="T317" i="1" s="1"/>
  <c r="Z317" i="1" s="1"/>
  <c r="N365" i="1"/>
  <c r="P376" i="1"/>
  <c r="S376" i="1" s="1"/>
  <c r="T376" i="1" s="1"/>
  <c r="Z376" i="1" s="1"/>
  <c r="P397" i="1"/>
  <c r="S446" i="1"/>
  <c r="T446" i="1" s="1"/>
  <c r="Z446" i="1" s="1"/>
  <c r="N454" i="1"/>
  <c r="X454" i="1" s="1"/>
  <c r="P480" i="1"/>
  <c r="S480" i="1" s="1"/>
  <c r="T480" i="1" s="1"/>
  <c r="Z480" i="1" s="1"/>
  <c r="P491" i="1"/>
  <c r="S491" i="1" s="1"/>
  <c r="T491" i="1" s="1"/>
  <c r="Z491" i="1" s="1"/>
  <c r="S562" i="1"/>
  <c r="T562" i="1" s="1"/>
  <c r="Z562" i="1" s="1"/>
  <c r="S586" i="1"/>
  <c r="T586" i="1" s="1"/>
  <c r="Z586" i="1" s="1"/>
  <c r="Q262" i="1"/>
  <c r="Y262" i="1" s="1"/>
  <c r="S262" i="1"/>
  <c r="T262" i="1" s="1"/>
  <c r="Z262" i="1" s="1"/>
  <c r="S315" i="1"/>
  <c r="T315" i="1" s="1"/>
  <c r="Z315" i="1" s="1"/>
  <c r="S157" i="1"/>
  <c r="T157" i="1" s="1"/>
  <c r="Z157" i="1" s="1"/>
  <c r="M183" i="1"/>
  <c r="P183" i="1" s="1"/>
  <c r="S183" i="1" s="1"/>
  <c r="M196" i="1"/>
  <c r="N196" i="1" s="1"/>
  <c r="X196" i="1" s="1"/>
  <c r="S222" i="1"/>
  <c r="T222" i="1" s="1"/>
  <c r="Q286" i="1"/>
  <c r="Y286" i="1" s="1"/>
  <c r="S286" i="1"/>
  <c r="T286" i="1" s="1"/>
  <c r="Z286" i="1" s="1"/>
  <c r="Q343" i="1"/>
  <c r="Y343" i="1" s="1"/>
  <c r="S343" i="1"/>
  <c r="T343" i="1" s="1"/>
  <c r="Z343" i="1" s="1"/>
  <c r="S355" i="1"/>
  <c r="T355" i="1" s="1"/>
  <c r="Z355" i="1" s="1"/>
  <c r="P366" i="1"/>
  <c r="Q366" i="1" s="1"/>
  <c r="Y366" i="1" s="1"/>
  <c r="N480" i="1"/>
  <c r="P492" i="1"/>
  <c r="S492" i="1" s="1"/>
  <c r="T492" i="1" s="1"/>
  <c r="Z492" i="1" s="1"/>
  <c r="N705" i="1"/>
  <c r="X705" i="1" s="1"/>
  <c r="S226" i="1"/>
  <c r="T226" i="1" s="1"/>
  <c r="Z226" i="1" s="1"/>
  <c r="S313" i="1"/>
  <c r="T313" i="1" s="1"/>
  <c r="Z313" i="1" s="1"/>
  <c r="S264" i="1"/>
  <c r="T264" i="1" s="1"/>
  <c r="Z264" i="1" s="1"/>
  <c r="Q353" i="1"/>
  <c r="Y353" i="1" s="1"/>
  <c r="S353" i="1"/>
  <c r="T353" i="1" s="1"/>
  <c r="Z353" i="1" s="1"/>
  <c r="N84" i="1"/>
  <c r="X84" i="1" s="1"/>
  <c r="N157" i="1"/>
  <c r="X157" i="1" s="1"/>
  <c r="N245" i="1"/>
  <c r="S256" i="1"/>
  <c r="T256" i="1" s="1"/>
  <c r="Z256" i="1" s="1"/>
  <c r="S268" i="1"/>
  <c r="T268" i="1" s="1"/>
  <c r="Z268" i="1" s="1"/>
  <c r="S307" i="1"/>
  <c r="T307" i="1" s="1"/>
  <c r="Z307" i="1" s="1"/>
  <c r="P367" i="1"/>
  <c r="Q367" i="1" s="1"/>
  <c r="Y367" i="1" s="1"/>
  <c r="P378" i="1"/>
  <c r="S378" i="1" s="1"/>
  <c r="T378" i="1" s="1"/>
  <c r="Z378" i="1" s="1"/>
  <c r="Q456" i="1"/>
  <c r="Y456" i="1" s="1"/>
  <c r="S456" i="1"/>
  <c r="T456" i="1" s="1"/>
  <c r="Z456" i="1" s="1"/>
  <c r="S470" i="1"/>
  <c r="T470" i="1" s="1"/>
  <c r="Z470" i="1" s="1"/>
  <c r="P493" i="1"/>
  <c r="S493" i="1" s="1"/>
  <c r="T493" i="1" s="1"/>
  <c r="Z493" i="1" s="1"/>
  <c r="Q103" i="1"/>
  <c r="Y103" i="1" s="1"/>
  <c r="S103" i="1"/>
  <c r="T103" i="1" s="1"/>
  <c r="Z103" i="1" s="1"/>
  <c r="P483" i="1"/>
  <c r="S483" i="1" s="1"/>
  <c r="T483" i="1" s="1"/>
  <c r="Z483" i="1" s="1"/>
  <c r="P247" i="1"/>
  <c r="S247" i="1" s="1"/>
  <c r="T247" i="1" s="1"/>
  <c r="Z247" i="1" s="1"/>
  <c r="S347" i="1"/>
  <c r="T347" i="1" s="1"/>
  <c r="S272" i="1"/>
  <c r="T272" i="1" s="1"/>
  <c r="Z272" i="1" s="1"/>
  <c r="P489" i="1"/>
  <c r="Q489" i="1" s="1"/>
  <c r="Y489" i="1" s="1"/>
  <c r="N6" i="1"/>
  <c r="N129" i="1"/>
  <c r="X129" i="1" s="1"/>
  <c r="M198" i="1"/>
  <c r="P198" i="1" s="1"/>
  <c r="S198" i="1" s="1"/>
  <c r="Q224" i="1"/>
  <c r="Y224" i="1" s="1"/>
  <c r="S224" i="1"/>
  <c r="T224" i="1" s="1"/>
  <c r="Z224" i="1" s="1"/>
  <c r="Q278" i="1"/>
  <c r="Y278" i="1" s="1"/>
  <c r="S278" i="1"/>
  <c r="T278" i="1" s="1"/>
  <c r="Z278" i="1" s="1"/>
  <c r="S345" i="1"/>
  <c r="T345" i="1" s="1"/>
  <c r="Z345" i="1" s="1"/>
  <c r="S357" i="1"/>
  <c r="T357" i="1" s="1"/>
  <c r="Z357" i="1" s="1"/>
  <c r="N368" i="1"/>
  <c r="P368" i="1"/>
  <c r="Q368" i="1" s="1"/>
  <c r="Y368" i="1" s="1"/>
  <c r="N379" i="1"/>
  <c r="P379" i="1"/>
  <c r="N399" i="1"/>
  <c r="P482" i="1"/>
  <c r="S482" i="1" s="1"/>
  <c r="T482" i="1" s="1"/>
  <c r="Z482" i="1" s="1"/>
  <c r="P494" i="1"/>
  <c r="S494" i="1" s="1"/>
  <c r="T494" i="1" s="1"/>
  <c r="Z494" i="1" s="1"/>
  <c r="Q245" i="1"/>
  <c r="Y245" i="1" s="1"/>
  <c r="S245" i="1"/>
  <c r="T245" i="1" s="1"/>
  <c r="Z245" i="1" s="1"/>
  <c r="S244" i="1"/>
  <c r="T244" i="1" s="1"/>
  <c r="Z244" i="1" s="1"/>
  <c r="S246" i="1"/>
  <c r="T246" i="1" s="1"/>
  <c r="Z246" i="1" s="1"/>
  <c r="Q248" i="1"/>
  <c r="Y248" i="1" s="1"/>
  <c r="S248" i="1"/>
  <c r="T248" i="1" s="1"/>
  <c r="Z248" i="1" s="1"/>
  <c r="Q620" i="1"/>
  <c r="Y620" i="1" s="1"/>
  <c r="S620" i="1"/>
  <c r="T620" i="1" s="1"/>
  <c r="Z620" i="1" s="1"/>
  <c r="S250" i="1"/>
  <c r="T250" i="1" s="1"/>
  <c r="Z250" i="1" s="1"/>
  <c r="S243" i="1"/>
  <c r="T243" i="1" s="1"/>
  <c r="Z243" i="1" s="1"/>
  <c r="N378" i="1"/>
  <c r="S235" i="1"/>
  <c r="T235" i="1" s="1"/>
  <c r="Z235" i="1" s="1"/>
  <c r="Q240" i="1"/>
  <c r="Y240" i="1" s="1"/>
  <c r="S240" i="1"/>
  <c r="T240" i="1" s="1"/>
  <c r="Z240" i="1" s="1"/>
  <c r="Q232" i="1"/>
  <c r="Y232" i="1" s="1"/>
  <c r="S232" i="1"/>
  <c r="T232" i="1" s="1"/>
  <c r="Z232" i="1" s="1"/>
  <c r="N614" i="1"/>
  <c r="X614" i="1" s="1"/>
  <c r="N235" i="1"/>
  <c r="S242" i="1"/>
  <c r="T242" i="1" s="1"/>
  <c r="Z242" i="1" s="1"/>
  <c r="Q373" i="1"/>
  <c r="Y373" i="1" s="1"/>
  <c r="S373" i="1"/>
  <c r="T373" i="1" s="1"/>
  <c r="Z373" i="1" s="1"/>
  <c r="S230" i="1"/>
  <c r="T230" i="1" s="1"/>
  <c r="Z230" i="1" s="1"/>
  <c r="S236" i="1"/>
  <c r="T236" i="1" s="1"/>
  <c r="Z236" i="1" s="1"/>
  <c r="Q237" i="1"/>
  <c r="Y237" i="1" s="1"/>
  <c r="S237" i="1"/>
  <c r="T237" i="1" s="1"/>
  <c r="Z237" i="1" s="1"/>
  <c r="S610" i="1"/>
  <c r="T610" i="1" s="1"/>
  <c r="Z610" i="1" s="1"/>
  <c r="S238" i="1"/>
  <c r="T238" i="1" s="1"/>
  <c r="Z238" i="1" s="1"/>
  <c r="P239" i="1"/>
  <c r="Q239" i="1" s="1"/>
  <c r="Y239" i="1" s="1"/>
  <c r="S234" i="1"/>
  <c r="T234" i="1" s="1"/>
  <c r="Z234" i="1" s="1"/>
  <c r="Q238" i="1"/>
  <c r="Y238" i="1" s="1"/>
  <c r="Q142" i="1"/>
  <c r="Y142" i="1" s="1"/>
  <c r="S142" i="1"/>
  <c r="T142" i="1" s="1"/>
  <c r="Z142" i="1" s="1"/>
  <c r="P24" i="1"/>
  <c r="Q24" i="1" s="1"/>
  <c r="Y24" i="1" s="1"/>
  <c r="K187" i="1"/>
  <c r="W187" i="1" s="1"/>
  <c r="N604" i="1"/>
  <c r="X604" i="1" s="1"/>
  <c r="Q598" i="1"/>
  <c r="Y598" i="1" s="1"/>
  <c r="P624" i="1"/>
  <c r="Q624" i="1" s="1"/>
  <c r="Y624" i="1" s="1"/>
  <c r="N652" i="1"/>
  <c r="X652" i="1" s="1"/>
  <c r="N636" i="1"/>
  <c r="N662" i="1"/>
  <c r="X662" i="1" s="1"/>
  <c r="N634" i="1"/>
  <c r="S600" i="1"/>
  <c r="P646" i="1"/>
  <c r="N699" i="1"/>
  <c r="X699" i="1" s="1"/>
  <c r="N610" i="1"/>
  <c r="X610" i="1" s="1"/>
  <c r="N693" i="1"/>
  <c r="X693" i="1" s="1"/>
  <c r="N660" i="1"/>
  <c r="X660" i="1" s="1"/>
  <c r="N612" i="1"/>
  <c r="X612" i="1" s="1"/>
  <c r="N658" i="1"/>
  <c r="X658" i="1" s="1"/>
  <c r="N564" i="1"/>
  <c r="X564" i="1" s="1"/>
  <c r="P474" i="1"/>
  <c r="Q474" i="1" s="1"/>
  <c r="Y474" i="1" s="1"/>
  <c r="N586" i="1"/>
  <c r="X586" i="1" s="1"/>
  <c r="N566" i="1"/>
  <c r="X566" i="1" s="1"/>
  <c r="N588" i="1"/>
  <c r="X588" i="1" s="1"/>
  <c r="N500" i="1"/>
  <c r="X500" i="1" s="1"/>
  <c r="N562" i="1"/>
  <c r="X562" i="1" s="1"/>
  <c r="N530" i="1"/>
  <c r="X530" i="1" s="1"/>
  <c r="P576" i="1"/>
  <c r="N504" i="1"/>
  <c r="X504" i="1" s="1"/>
  <c r="P512" i="1"/>
  <c r="P523" i="1"/>
  <c r="N538" i="1"/>
  <c r="X538" i="1" s="1"/>
  <c r="N476" i="1"/>
  <c r="N478" i="1"/>
  <c r="N496" i="1"/>
  <c r="N524" i="1"/>
  <c r="X524" i="1" s="1"/>
  <c r="N532" i="1"/>
  <c r="X532" i="1" s="1"/>
  <c r="P541" i="1"/>
  <c r="Q541" i="1" s="1"/>
  <c r="Y541" i="1" s="1"/>
  <c r="Q562" i="1"/>
  <c r="Y562" i="1" s="1"/>
  <c r="N508" i="1"/>
  <c r="X508" i="1" s="1"/>
  <c r="P535" i="1"/>
  <c r="S535" i="1" s="1"/>
  <c r="N510" i="1"/>
  <c r="P529" i="1"/>
  <c r="S529" i="1" s="1"/>
  <c r="P574" i="1"/>
  <c r="N492" i="1"/>
  <c r="N536" i="1"/>
  <c r="X536" i="1" s="1"/>
  <c r="T419" i="1"/>
  <c r="Z419" i="1" s="1"/>
  <c r="Q419" i="1"/>
  <c r="Y419" i="1" s="1"/>
  <c r="N408" i="1"/>
  <c r="X408" i="1" s="1"/>
  <c r="P440" i="1"/>
  <c r="S440" i="1" s="1"/>
  <c r="T440" i="1" s="1"/>
  <c r="Z440" i="1" s="1"/>
  <c r="N402" i="1"/>
  <c r="P409" i="1"/>
  <c r="N419" i="1"/>
  <c r="X419" i="1" s="1"/>
  <c r="P460" i="1"/>
  <c r="N387" i="1"/>
  <c r="X387" i="1" s="1"/>
  <c r="P403" i="1"/>
  <c r="S403" i="1" s="1"/>
  <c r="N452" i="1"/>
  <c r="X452" i="1" s="1"/>
  <c r="N381" i="1"/>
  <c r="P429" i="1"/>
  <c r="S429" i="1" s="1"/>
  <c r="T429" i="1" s="1"/>
  <c r="Z429" i="1" s="1"/>
  <c r="P462" i="1"/>
  <c r="N370" i="1"/>
  <c r="N390" i="1"/>
  <c r="X390" i="1" s="1"/>
  <c r="N405" i="1"/>
  <c r="N376" i="1"/>
  <c r="N363" i="1"/>
  <c r="N384" i="1"/>
  <c r="P391" i="1"/>
  <c r="N456" i="1"/>
  <c r="X456" i="1" s="1"/>
  <c r="Q315" i="1"/>
  <c r="Y315" i="1" s="1"/>
  <c r="Q311" i="1"/>
  <c r="Y311" i="1" s="1"/>
  <c r="Q309" i="1"/>
  <c r="Y309" i="1" s="1"/>
  <c r="N285" i="1"/>
  <c r="X285" i="1" s="1"/>
  <c r="N273" i="1"/>
  <c r="N261" i="1"/>
  <c r="N265" i="1"/>
  <c r="N257" i="1"/>
  <c r="N251" i="1"/>
  <c r="X251" i="1" s="1"/>
  <c r="Q251" i="1"/>
  <c r="Y251" i="1" s="1"/>
  <c r="Q235" i="1"/>
  <c r="Y235" i="1" s="1"/>
  <c r="N237" i="1"/>
  <c r="P231" i="1"/>
  <c r="Q231" i="1" s="1"/>
  <c r="Y231" i="1" s="1"/>
  <c r="N227" i="1"/>
  <c r="Q222" i="1"/>
  <c r="P223" i="1"/>
  <c r="Q223" i="1" s="1"/>
  <c r="T200" i="1"/>
  <c r="Z200" i="1" s="1"/>
  <c r="P180" i="1"/>
  <c r="T140" i="1"/>
  <c r="Z140" i="1" s="1"/>
  <c r="Q140" i="1"/>
  <c r="Y140" i="1" s="1"/>
  <c r="P153" i="1"/>
  <c r="P144" i="1"/>
  <c r="Q144" i="1" s="1"/>
  <c r="Y144" i="1" s="1"/>
  <c r="N140" i="1"/>
  <c r="X140" i="1" s="1"/>
  <c r="N148" i="1"/>
  <c r="X148" i="1" s="1"/>
  <c r="N94" i="1"/>
  <c r="X94" i="1" s="1"/>
  <c r="N106" i="1"/>
  <c r="P74" i="1"/>
  <c r="N88" i="1"/>
  <c r="X88" i="1" s="1"/>
  <c r="N90" i="1"/>
  <c r="X90" i="1" s="1"/>
  <c r="P100" i="1"/>
  <c r="N80" i="1"/>
  <c r="X80" i="1" s="1"/>
  <c r="N92" i="1"/>
  <c r="N72" i="1"/>
  <c r="N38" i="1"/>
  <c r="N35" i="1"/>
  <c r="X35" i="1" s="1"/>
  <c r="N33" i="1"/>
  <c r="N41" i="1"/>
  <c r="N29" i="1"/>
  <c r="N26" i="1"/>
  <c r="T176" i="1"/>
  <c r="Z176" i="1" s="1"/>
  <c r="Q176" i="1"/>
  <c r="N176" i="1"/>
  <c r="P125" i="1"/>
  <c r="Q125" i="1" s="1"/>
  <c r="N68" i="1"/>
  <c r="N70" i="1"/>
  <c r="N71" i="1"/>
  <c r="N24" i="1"/>
  <c r="X24" i="1" s="1"/>
  <c r="N19" i="1"/>
  <c r="N15" i="1"/>
  <c r="N11" i="1"/>
  <c r="T98" i="1"/>
  <c r="Z98" i="1" s="1"/>
  <c r="Q98" i="1"/>
  <c r="Y98" i="1" s="1"/>
  <c r="T9" i="1"/>
  <c r="Z9" i="1" s="1"/>
  <c r="Q9" i="1"/>
  <c r="Y9" i="1" s="1"/>
  <c r="T78" i="1"/>
  <c r="Z78" i="1" s="1"/>
  <c r="Q78" i="1"/>
  <c r="Y78" i="1" s="1"/>
  <c r="T46" i="1"/>
  <c r="Z46" i="1" s="1"/>
  <c r="Q46" i="1"/>
  <c r="Y46" i="1" s="1"/>
  <c r="T89" i="1"/>
  <c r="Z89" i="1" s="1"/>
  <c r="Q89" i="1"/>
  <c r="Y89" i="1" s="1"/>
  <c r="T34" i="1"/>
  <c r="Z34" i="1" s="1"/>
  <c r="Q34" i="1"/>
  <c r="Y34" i="1" s="1"/>
  <c r="Q13" i="1"/>
  <c r="Y13" i="1" s="1"/>
  <c r="T13" i="1"/>
  <c r="Z13" i="1" s="1"/>
  <c r="T82" i="1"/>
  <c r="Z82" i="1" s="1"/>
  <c r="Q82" i="1"/>
  <c r="Y82" i="1" s="1"/>
  <c r="T36" i="1"/>
  <c r="Z36" i="1" s="1"/>
  <c r="Q36" i="1"/>
  <c r="Y36" i="1" s="1"/>
  <c r="T67" i="1"/>
  <c r="Z67" i="1" s="1"/>
  <c r="Q67" i="1"/>
  <c r="T5" i="1"/>
  <c r="Q5" i="1"/>
  <c r="Q27" i="1"/>
  <c r="Y27" i="1" s="1"/>
  <c r="T27" i="1"/>
  <c r="Z27" i="1" s="1"/>
  <c r="T71" i="1"/>
  <c r="Q71" i="1"/>
  <c r="Q17" i="1"/>
  <c r="Y17" i="1" s="1"/>
  <c r="T17" i="1"/>
  <c r="Z17" i="1" s="1"/>
  <c r="T39" i="1"/>
  <c r="Z39" i="1" s="1"/>
  <c r="Q39" i="1"/>
  <c r="Y39" i="1" s="1"/>
  <c r="T20" i="1"/>
  <c r="Z20" i="1" s="1"/>
  <c r="Q20" i="1"/>
  <c r="Y20" i="1" s="1"/>
  <c r="T96" i="1"/>
  <c r="Z96" i="1" s="1"/>
  <c r="Q96" i="1"/>
  <c r="Y96" i="1" s="1"/>
  <c r="T86" i="1"/>
  <c r="Z86" i="1" s="1"/>
  <c r="Q86" i="1"/>
  <c r="Y86" i="1" s="1"/>
  <c r="P344" i="1"/>
  <c r="S344" i="1" s="1"/>
  <c r="N344" i="1"/>
  <c r="X344" i="1" s="1"/>
  <c r="P267" i="1"/>
  <c r="S267" i="1" s="1"/>
  <c r="N267" i="1"/>
  <c r="N13" i="1"/>
  <c r="N36" i="1"/>
  <c r="T43" i="1"/>
  <c r="Z43" i="1" s="1"/>
  <c r="Q43" i="1"/>
  <c r="Y43" i="1" s="1"/>
  <c r="P69" i="1"/>
  <c r="S69" i="1" s="1"/>
  <c r="N86" i="1"/>
  <c r="T94" i="1"/>
  <c r="Z94" i="1" s="1"/>
  <c r="Q94" i="1"/>
  <c r="Y94" i="1" s="1"/>
  <c r="P295" i="1"/>
  <c r="S295" i="1" s="1"/>
  <c r="N295" i="1"/>
  <c r="P444" i="1"/>
  <c r="S444" i="1" s="1"/>
  <c r="N444" i="1"/>
  <c r="X444" i="1" s="1"/>
  <c r="T660" i="1"/>
  <c r="Z660" i="1" s="1"/>
  <c r="Q660" i="1"/>
  <c r="Y660" i="1" s="1"/>
  <c r="P676" i="1"/>
  <c r="S676" i="1" s="1"/>
  <c r="N676" i="1"/>
  <c r="X676" i="1" s="1"/>
  <c r="T688" i="1"/>
  <c r="Z688" i="1" s="1"/>
  <c r="Q688" i="1"/>
  <c r="Y688" i="1" s="1"/>
  <c r="T699" i="1"/>
  <c r="Z699" i="1" s="1"/>
  <c r="Q699" i="1"/>
  <c r="Y699" i="1" s="1"/>
  <c r="P107" i="1"/>
  <c r="S107" i="1" s="1"/>
  <c r="N107" i="1"/>
  <c r="X107" i="1" s="1"/>
  <c r="P241" i="1"/>
  <c r="S241" i="1" s="1"/>
  <c r="N241" i="1"/>
  <c r="N5" i="1"/>
  <c r="T108" i="1"/>
  <c r="Z108" i="1" s="1"/>
  <c r="Q108" i="1"/>
  <c r="Y108" i="1" s="1"/>
  <c r="T133" i="1"/>
  <c r="Z133" i="1" s="1"/>
  <c r="Q133" i="1"/>
  <c r="Y133" i="1" s="1"/>
  <c r="P155" i="1"/>
  <c r="S155" i="1" s="1"/>
  <c r="N155" i="1"/>
  <c r="X155" i="1" s="1"/>
  <c r="P225" i="1"/>
  <c r="S225" i="1" s="1"/>
  <c r="N225" i="1"/>
  <c r="P275" i="1"/>
  <c r="S275" i="1" s="1"/>
  <c r="N275" i="1"/>
  <c r="X275" i="1" s="1"/>
  <c r="T421" i="1"/>
  <c r="Z421" i="1" s="1"/>
  <c r="Q421" i="1"/>
  <c r="Y421" i="1" s="1"/>
  <c r="T514" i="1"/>
  <c r="Z514" i="1" s="1"/>
  <c r="Q514" i="1"/>
  <c r="Y514" i="1" s="1"/>
  <c r="T606" i="1"/>
  <c r="Z606" i="1" s="1"/>
  <c r="Q606" i="1"/>
  <c r="Y606" i="1" s="1"/>
  <c r="T76" i="1"/>
  <c r="Z76" i="1" s="1"/>
  <c r="Q76" i="1"/>
  <c r="Y76" i="1" s="1"/>
  <c r="T8" i="1"/>
  <c r="Q8" i="1"/>
  <c r="P143" i="1"/>
  <c r="S143" i="1" s="1"/>
  <c r="N143" i="1"/>
  <c r="X143" i="1" s="1"/>
  <c r="Q148" i="1"/>
  <c r="Y148" i="1" s="1"/>
  <c r="Q219" i="1"/>
  <c r="Y219" i="1" s="1"/>
  <c r="P255" i="1"/>
  <c r="S255" i="1" s="1"/>
  <c r="N255" i="1"/>
  <c r="X255" i="1" s="1"/>
  <c r="Q339" i="1"/>
  <c r="Y339" i="1" s="1"/>
  <c r="P413" i="1"/>
  <c r="S413" i="1" s="1"/>
  <c r="N413" i="1"/>
  <c r="X413" i="1" s="1"/>
  <c r="T507" i="1"/>
  <c r="Z507" i="1" s="1"/>
  <c r="Q507" i="1"/>
  <c r="Y507" i="1" s="1"/>
  <c r="T525" i="1"/>
  <c r="Z525" i="1" s="1"/>
  <c r="Q525" i="1"/>
  <c r="Y525" i="1" s="1"/>
  <c r="N78" i="1"/>
  <c r="X78" i="1" s="1"/>
  <c r="N20" i="1"/>
  <c r="N46" i="1"/>
  <c r="N96" i="1"/>
  <c r="Q243" i="1"/>
  <c r="Y243" i="1" s="1"/>
  <c r="P249" i="1"/>
  <c r="S249" i="1" s="1"/>
  <c r="N249" i="1"/>
  <c r="P283" i="1"/>
  <c r="S283" i="1" s="1"/>
  <c r="N283" i="1"/>
  <c r="X283" i="1" s="1"/>
  <c r="T348" i="1"/>
  <c r="Z348" i="1" s="1"/>
  <c r="Q348" i="1"/>
  <c r="Y348" i="1" s="1"/>
  <c r="T508" i="1"/>
  <c r="Z508" i="1" s="1"/>
  <c r="Q508" i="1"/>
  <c r="Y508" i="1" s="1"/>
  <c r="T516" i="1"/>
  <c r="Z516" i="1" s="1"/>
  <c r="Q516" i="1"/>
  <c r="Y516" i="1" s="1"/>
  <c r="P287" i="1"/>
  <c r="S287" i="1" s="1"/>
  <c r="N287" i="1"/>
  <c r="X287" i="1" s="1"/>
  <c r="T697" i="1"/>
  <c r="Z697" i="1" s="1"/>
  <c r="Q697" i="1"/>
  <c r="Y697" i="1" s="1"/>
  <c r="T80" i="1"/>
  <c r="Z80" i="1" s="1"/>
  <c r="Q80" i="1"/>
  <c r="Y80" i="1" s="1"/>
  <c r="P263" i="1"/>
  <c r="S263" i="1" s="1"/>
  <c r="N263" i="1"/>
  <c r="T399" i="1"/>
  <c r="Z399" i="1" s="1"/>
  <c r="Q399" i="1"/>
  <c r="Y399" i="1" s="1"/>
  <c r="P406" i="1"/>
  <c r="S406" i="1" s="1"/>
  <c r="N406" i="1"/>
  <c r="T415" i="1"/>
  <c r="Z415" i="1" s="1"/>
  <c r="Q415" i="1"/>
  <c r="Y415" i="1" s="1"/>
  <c r="T88" i="1"/>
  <c r="Z88" i="1" s="1"/>
  <c r="Q88" i="1"/>
  <c r="Y88" i="1" s="1"/>
  <c r="N39" i="1"/>
  <c r="P291" i="1"/>
  <c r="S291" i="1" s="1"/>
  <c r="N291" i="1"/>
  <c r="X291" i="1" s="1"/>
  <c r="P310" i="1"/>
  <c r="S310" i="1" s="1"/>
  <c r="N310" i="1"/>
  <c r="X310" i="1" s="1"/>
  <c r="Q349" i="1"/>
  <c r="Y349" i="1" s="1"/>
  <c r="P407" i="1"/>
  <c r="S407" i="1" s="1"/>
  <c r="N407" i="1"/>
  <c r="X407" i="1" s="1"/>
  <c r="T481" i="1"/>
  <c r="Z481" i="1" s="1"/>
  <c r="Q481" i="1"/>
  <c r="Y481" i="1" s="1"/>
  <c r="P131" i="1"/>
  <c r="S131" i="1" s="1"/>
  <c r="N131" i="1"/>
  <c r="X131" i="1" s="1"/>
  <c r="Q230" i="1"/>
  <c r="Y230" i="1" s="1"/>
  <c r="T19" i="1"/>
  <c r="Z19" i="1" s="1"/>
  <c r="Q19" i="1"/>
  <c r="Y19" i="1" s="1"/>
  <c r="N9" i="1"/>
  <c r="N27" i="1"/>
  <c r="T47" i="1"/>
  <c r="Z47" i="1" s="1"/>
  <c r="Q47" i="1"/>
  <c r="Y47" i="1" s="1"/>
  <c r="N89" i="1"/>
  <c r="X89" i="1" s="1"/>
  <c r="T97" i="1"/>
  <c r="Z97" i="1" s="1"/>
  <c r="Q97" i="1"/>
  <c r="Y97" i="1" s="1"/>
  <c r="P233" i="1"/>
  <c r="S233" i="1" s="1"/>
  <c r="N233" i="1"/>
  <c r="T6" i="1"/>
  <c r="Z6" i="1" s="1"/>
  <c r="Q6" i="1"/>
  <c r="N67" i="1"/>
  <c r="T72" i="1"/>
  <c r="Z72" i="1" s="1"/>
  <c r="Q72" i="1"/>
  <c r="Y72" i="1" s="1"/>
  <c r="P152" i="1"/>
  <c r="S152" i="1" s="1"/>
  <c r="N152" i="1"/>
  <c r="X152" i="1" s="1"/>
  <c r="Q157" i="1"/>
  <c r="Y157" i="1" s="1"/>
  <c r="P187" i="1"/>
  <c r="S187" i="1" s="1"/>
  <c r="N187" i="1"/>
  <c r="X187" i="1" s="1"/>
  <c r="Q227" i="1"/>
  <c r="Y227" i="1" s="1"/>
  <c r="P271" i="1"/>
  <c r="S271" i="1" s="1"/>
  <c r="N271" i="1"/>
  <c r="T358" i="1"/>
  <c r="Z358" i="1" s="1"/>
  <c r="Q358" i="1"/>
  <c r="Y358" i="1" s="1"/>
  <c r="T466" i="1"/>
  <c r="Z466" i="1" s="1"/>
  <c r="Q466" i="1"/>
  <c r="Y466" i="1" s="1"/>
  <c r="S369" i="1"/>
  <c r="N369" i="1"/>
  <c r="T70" i="1"/>
  <c r="Z70" i="1" s="1"/>
  <c r="Q70" i="1"/>
  <c r="Y70" i="1" s="1"/>
  <c r="T33" i="1"/>
  <c r="Z33" i="1" s="1"/>
  <c r="Q33" i="1"/>
  <c r="Y33" i="1" s="1"/>
  <c r="T15" i="1"/>
  <c r="Z15" i="1" s="1"/>
  <c r="Q15" i="1"/>
  <c r="Y15" i="1" s="1"/>
  <c r="P137" i="1"/>
  <c r="S137" i="1" s="1"/>
  <c r="N137" i="1"/>
  <c r="X137" i="1" s="1"/>
  <c r="T41" i="1"/>
  <c r="Z41" i="1" s="1"/>
  <c r="Q41" i="1"/>
  <c r="Y41" i="1" s="1"/>
  <c r="T90" i="1"/>
  <c r="Z90" i="1" s="1"/>
  <c r="Q90" i="1"/>
  <c r="Y90" i="1" s="1"/>
  <c r="P104" i="1"/>
  <c r="S104" i="1" s="1"/>
  <c r="N104" i="1"/>
  <c r="X104" i="1" s="1"/>
  <c r="P128" i="1"/>
  <c r="S128" i="1" s="1"/>
  <c r="N128" i="1"/>
  <c r="T359" i="1"/>
  <c r="Z359" i="1" s="1"/>
  <c r="Q359" i="1"/>
  <c r="Y359" i="1" s="1"/>
  <c r="P457" i="1"/>
  <c r="S457" i="1" s="1"/>
  <c r="N457" i="1"/>
  <c r="X457" i="1" s="1"/>
  <c r="T26" i="1"/>
  <c r="Z26" i="1" s="1"/>
  <c r="Q26" i="1"/>
  <c r="Y26" i="1" s="1"/>
  <c r="N17" i="1"/>
  <c r="T68" i="1"/>
  <c r="Q68" i="1"/>
  <c r="N98" i="1"/>
  <c r="X98" i="1" s="1"/>
  <c r="T106" i="1"/>
  <c r="Z106" i="1" s="1"/>
  <c r="Q106" i="1"/>
  <c r="Y106" i="1" s="1"/>
  <c r="T129" i="1"/>
  <c r="Z129" i="1" s="1"/>
  <c r="Q129" i="1"/>
  <c r="Y129" i="1" s="1"/>
  <c r="P279" i="1"/>
  <c r="S279" i="1" s="1"/>
  <c r="N279" i="1"/>
  <c r="X279" i="1" s="1"/>
  <c r="P320" i="1"/>
  <c r="S320" i="1" s="1"/>
  <c r="N320" i="1"/>
  <c r="X320" i="1" s="1"/>
  <c r="T458" i="1"/>
  <c r="Z458" i="1" s="1"/>
  <c r="Q458" i="1"/>
  <c r="Y458" i="1" s="1"/>
  <c r="T42" i="1"/>
  <c r="Z42" i="1" s="1"/>
  <c r="Q42" i="1"/>
  <c r="Y42" i="1" s="1"/>
  <c r="T92" i="1"/>
  <c r="Z92" i="1" s="1"/>
  <c r="Q92" i="1"/>
  <c r="Y92" i="1" s="1"/>
  <c r="T38" i="1"/>
  <c r="Z38" i="1" s="1"/>
  <c r="Q38" i="1"/>
  <c r="Y38" i="1" s="1"/>
  <c r="P174" i="1"/>
  <c r="S174" i="1" s="1"/>
  <c r="N174" i="1"/>
  <c r="T11" i="1"/>
  <c r="Z11" i="1" s="1"/>
  <c r="Q11" i="1"/>
  <c r="Y11" i="1" s="1"/>
  <c r="T29" i="1"/>
  <c r="Z29" i="1" s="1"/>
  <c r="Q29" i="1"/>
  <c r="Y29" i="1" s="1"/>
  <c r="T35" i="1"/>
  <c r="Z35" i="1" s="1"/>
  <c r="Q35" i="1"/>
  <c r="Y35" i="1" s="1"/>
  <c r="T84" i="1"/>
  <c r="Z84" i="1" s="1"/>
  <c r="Q84" i="1"/>
  <c r="Y84" i="1" s="1"/>
  <c r="P146" i="1"/>
  <c r="S146" i="1" s="1"/>
  <c r="N146" i="1"/>
  <c r="X146" i="1" s="1"/>
  <c r="Q246" i="1"/>
  <c r="Y246" i="1" s="1"/>
  <c r="P259" i="1"/>
  <c r="S259" i="1" s="1"/>
  <c r="N259" i="1"/>
  <c r="T321" i="1"/>
  <c r="Z321" i="1" s="1"/>
  <c r="Q321" i="1"/>
  <c r="Y321" i="1" s="1"/>
  <c r="P316" i="1"/>
  <c r="S316" i="1" s="1"/>
  <c r="N316" i="1"/>
  <c r="X316" i="1" s="1"/>
  <c r="T354" i="1"/>
  <c r="Z354" i="1" s="1"/>
  <c r="Q354" i="1"/>
  <c r="Y354" i="1" s="1"/>
  <c r="S374" i="1"/>
  <c r="N374" i="1"/>
  <c r="T393" i="1"/>
  <c r="Z393" i="1" s="1"/>
  <c r="Q393" i="1"/>
  <c r="Y393" i="1" s="1"/>
  <c r="P400" i="1"/>
  <c r="S400" i="1" s="1"/>
  <c r="N400" i="1"/>
  <c r="P422" i="1"/>
  <c r="S422" i="1" s="1"/>
  <c r="N422" i="1"/>
  <c r="X422" i="1" s="1"/>
  <c r="T452" i="1"/>
  <c r="Z452" i="1" s="1"/>
  <c r="Q452" i="1"/>
  <c r="Y452" i="1" s="1"/>
  <c r="Q644" i="1"/>
  <c r="Y644" i="1" s="1"/>
  <c r="T644" i="1"/>
  <c r="Z644" i="1" s="1"/>
  <c r="P126" i="1"/>
  <c r="S126" i="1" s="1"/>
  <c r="N126" i="1"/>
  <c r="P141" i="1"/>
  <c r="S141" i="1" s="1"/>
  <c r="N141" i="1"/>
  <c r="X141" i="1" s="1"/>
  <c r="P149" i="1"/>
  <c r="S149" i="1" s="1"/>
  <c r="N149" i="1"/>
  <c r="X149" i="1" s="1"/>
  <c r="P158" i="1"/>
  <c r="S158" i="1" s="1"/>
  <c r="N158" i="1"/>
  <c r="X158" i="1" s="1"/>
  <c r="P177" i="1"/>
  <c r="S177" i="1" s="1"/>
  <c r="N177" i="1"/>
  <c r="P185" i="1"/>
  <c r="S185" i="1" s="1"/>
  <c r="N185" i="1"/>
  <c r="X185" i="1" s="1"/>
  <c r="Q252" i="1"/>
  <c r="Y252" i="1" s="1"/>
  <c r="Q307" i="1"/>
  <c r="Y307" i="1" s="1"/>
  <c r="P340" i="1"/>
  <c r="S340" i="1" s="1"/>
  <c r="N340" i="1"/>
  <c r="X340" i="1" s="1"/>
  <c r="Q345" i="1"/>
  <c r="Y345" i="1" s="1"/>
  <c r="N364" i="1"/>
  <c r="P401" i="1"/>
  <c r="S401" i="1" s="1"/>
  <c r="N401" i="1"/>
  <c r="T423" i="1"/>
  <c r="Z423" i="1" s="1"/>
  <c r="Q423" i="1"/>
  <c r="Y423" i="1" s="1"/>
  <c r="T510" i="1"/>
  <c r="Z510" i="1" s="1"/>
  <c r="Q510" i="1"/>
  <c r="Y510" i="1" s="1"/>
  <c r="N108" i="1"/>
  <c r="X108" i="1" s="1"/>
  <c r="N133" i="1"/>
  <c r="X133" i="1" s="1"/>
  <c r="Q220" i="1"/>
  <c r="Y220" i="1" s="1"/>
  <c r="Q228" i="1"/>
  <c r="Y228" i="1" s="1"/>
  <c r="Q236" i="1"/>
  <c r="Y236" i="1" s="1"/>
  <c r="Q244" i="1"/>
  <c r="Y244" i="1" s="1"/>
  <c r="Q256" i="1"/>
  <c r="Y256" i="1" s="1"/>
  <c r="Q260" i="1"/>
  <c r="Y260" i="1" s="1"/>
  <c r="Q264" i="1"/>
  <c r="Y264" i="1" s="1"/>
  <c r="Q268" i="1"/>
  <c r="Y268" i="1" s="1"/>
  <c r="Q272" i="1"/>
  <c r="Y272" i="1" s="1"/>
  <c r="Q276" i="1"/>
  <c r="Y276" i="1" s="1"/>
  <c r="Q280" i="1"/>
  <c r="Y280" i="1" s="1"/>
  <c r="Q284" i="1"/>
  <c r="Y284" i="1" s="1"/>
  <c r="Q288" i="1"/>
  <c r="Y288" i="1" s="1"/>
  <c r="Q292" i="1"/>
  <c r="Y292" i="1" s="1"/>
  <c r="P312" i="1"/>
  <c r="S312" i="1" s="1"/>
  <c r="N312" i="1"/>
  <c r="X312" i="1" s="1"/>
  <c r="Q317" i="1"/>
  <c r="Y317" i="1" s="1"/>
  <c r="T350" i="1"/>
  <c r="Z350" i="1" s="1"/>
  <c r="Q350" i="1"/>
  <c r="Y350" i="1" s="1"/>
  <c r="Q355" i="1"/>
  <c r="Y355" i="1" s="1"/>
  <c r="T387" i="1"/>
  <c r="Z387" i="1" s="1"/>
  <c r="Q387" i="1"/>
  <c r="Y387" i="1" s="1"/>
  <c r="P394" i="1"/>
  <c r="S394" i="1" s="1"/>
  <c r="N394" i="1"/>
  <c r="Q446" i="1"/>
  <c r="Y446" i="1" s="1"/>
  <c r="P453" i="1"/>
  <c r="S453" i="1" s="1"/>
  <c r="N453" i="1"/>
  <c r="X453" i="1" s="1"/>
  <c r="T476" i="1"/>
  <c r="Z476" i="1" s="1"/>
  <c r="Q476" i="1"/>
  <c r="Y476" i="1" s="1"/>
  <c r="P518" i="1"/>
  <c r="S518" i="1" s="1"/>
  <c r="N518" i="1"/>
  <c r="P99" i="1"/>
  <c r="S99" i="1" s="1"/>
  <c r="N99" i="1"/>
  <c r="X99" i="1" s="1"/>
  <c r="P124" i="1"/>
  <c r="S124" i="1" s="1"/>
  <c r="N124" i="1"/>
  <c r="P336" i="1"/>
  <c r="S336" i="1" s="1"/>
  <c r="N336" i="1"/>
  <c r="X336" i="1" s="1"/>
  <c r="Q341" i="1"/>
  <c r="Y341" i="1" s="1"/>
  <c r="T360" i="1"/>
  <c r="Z360" i="1" s="1"/>
  <c r="Q360" i="1"/>
  <c r="Y360" i="1" s="1"/>
  <c r="P395" i="1"/>
  <c r="S395" i="1" s="1"/>
  <c r="N395" i="1"/>
  <c r="T417" i="1"/>
  <c r="Z417" i="1" s="1"/>
  <c r="Q417" i="1"/>
  <c r="Y417" i="1" s="1"/>
  <c r="T454" i="1"/>
  <c r="Z454" i="1" s="1"/>
  <c r="Q454" i="1"/>
  <c r="Y454" i="1" s="1"/>
  <c r="P139" i="1"/>
  <c r="S139" i="1" s="1"/>
  <c r="N139" i="1"/>
  <c r="X139" i="1" s="1"/>
  <c r="P147" i="1"/>
  <c r="S147" i="1" s="1"/>
  <c r="N147" i="1"/>
  <c r="X147" i="1" s="1"/>
  <c r="P156" i="1"/>
  <c r="S156" i="1" s="1"/>
  <c r="N156" i="1"/>
  <c r="X156" i="1" s="1"/>
  <c r="P175" i="1"/>
  <c r="S175" i="1" s="1"/>
  <c r="N175" i="1"/>
  <c r="P308" i="1"/>
  <c r="S308" i="1" s="1"/>
  <c r="N308" i="1"/>
  <c r="X308" i="1" s="1"/>
  <c r="Q313" i="1"/>
  <c r="Y313" i="1" s="1"/>
  <c r="P346" i="1"/>
  <c r="S346" i="1" s="1"/>
  <c r="N346" i="1"/>
  <c r="X346" i="1" s="1"/>
  <c r="P388" i="1"/>
  <c r="S388" i="1" s="1"/>
  <c r="N388" i="1"/>
  <c r="Q470" i="1"/>
  <c r="Y470" i="1" s="1"/>
  <c r="T477" i="1"/>
  <c r="Z477" i="1" s="1"/>
  <c r="Q477" i="1"/>
  <c r="Y477" i="1" s="1"/>
  <c r="T503" i="1"/>
  <c r="Z503" i="1" s="1"/>
  <c r="Q503" i="1"/>
  <c r="Y503" i="1" s="1"/>
  <c r="P628" i="1"/>
  <c r="S628" i="1" s="1"/>
  <c r="N628" i="1"/>
  <c r="X628" i="1" s="1"/>
  <c r="Q218" i="1"/>
  <c r="Y218" i="1" s="1"/>
  <c r="Q226" i="1"/>
  <c r="Y226" i="1" s="1"/>
  <c r="Q234" i="1"/>
  <c r="Y234" i="1" s="1"/>
  <c r="Q242" i="1"/>
  <c r="Y242" i="1" s="1"/>
  <c r="Q250" i="1"/>
  <c r="Y250" i="1" s="1"/>
  <c r="N253" i="1"/>
  <c r="T257" i="1"/>
  <c r="Z257" i="1" s="1"/>
  <c r="Q257" i="1"/>
  <c r="Y257" i="1" s="1"/>
  <c r="T261" i="1"/>
  <c r="Z261" i="1" s="1"/>
  <c r="Q261" i="1"/>
  <c r="Y261" i="1" s="1"/>
  <c r="T265" i="1"/>
  <c r="Z265" i="1" s="1"/>
  <c r="Q265" i="1"/>
  <c r="Y265" i="1" s="1"/>
  <c r="T269" i="1"/>
  <c r="Z269" i="1" s="1"/>
  <c r="Q269" i="1"/>
  <c r="Y269" i="1" s="1"/>
  <c r="T273" i="1"/>
  <c r="Z273" i="1" s="1"/>
  <c r="Q273" i="1"/>
  <c r="Y273" i="1" s="1"/>
  <c r="T277" i="1"/>
  <c r="Z277" i="1" s="1"/>
  <c r="Q277" i="1"/>
  <c r="Y277" i="1" s="1"/>
  <c r="T281" i="1"/>
  <c r="Z281" i="1" s="1"/>
  <c r="Q281" i="1"/>
  <c r="Y281" i="1" s="1"/>
  <c r="T285" i="1"/>
  <c r="Z285" i="1" s="1"/>
  <c r="Q285" i="1"/>
  <c r="Y285" i="1" s="1"/>
  <c r="T289" i="1"/>
  <c r="Z289" i="1" s="1"/>
  <c r="Q289" i="1"/>
  <c r="Y289" i="1" s="1"/>
  <c r="T293" i="1"/>
  <c r="Z293" i="1" s="1"/>
  <c r="Q293" i="1"/>
  <c r="Y293" i="1" s="1"/>
  <c r="P318" i="1"/>
  <c r="S318" i="1" s="1"/>
  <c r="N318" i="1"/>
  <c r="X318" i="1" s="1"/>
  <c r="Q337" i="1"/>
  <c r="Y337" i="1" s="1"/>
  <c r="T356" i="1"/>
  <c r="Z356" i="1" s="1"/>
  <c r="Q356" i="1"/>
  <c r="Y356" i="1" s="1"/>
  <c r="N366" i="1"/>
  <c r="N382" i="1"/>
  <c r="P389" i="1"/>
  <c r="S389" i="1" s="1"/>
  <c r="N389" i="1"/>
  <c r="X389" i="1" s="1"/>
  <c r="T448" i="1"/>
  <c r="Z448" i="1" s="1"/>
  <c r="Q448" i="1"/>
  <c r="Y448" i="1" s="1"/>
  <c r="T478" i="1"/>
  <c r="Z478" i="1" s="1"/>
  <c r="Q478" i="1"/>
  <c r="Y478" i="1" s="1"/>
  <c r="T504" i="1"/>
  <c r="Z504" i="1" s="1"/>
  <c r="Q504" i="1"/>
  <c r="Y504" i="1" s="1"/>
  <c r="N103" i="1"/>
  <c r="X103" i="1" s="1"/>
  <c r="N127" i="1"/>
  <c r="N142" i="1"/>
  <c r="X142" i="1" s="1"/>
  <c r="N150" i="1"/>
  <c r="X150" i="1" s="1"/>
  <c r="N178" i="1"/>
  <c r="N221" i="1"/>
  <c r="N229" i="1"/>
  <c r="P342" i="1"/>
  <c r="S342" i="1" s="1"/>
  <c r="N342" i="1"/>
  <c r="X342" i="1" s="1"/>
  <c r="S377" i="1"/>
  <c r="N377" i="1"/>
  <c r="S383" i="1"/>
  <c r="N383" i="1"/>
  <c r="T411" i="1"/>
  <c r="Z411" i="1" s="1"/>
  <c r="Q411" i="1"/>
  <c r="Y411" i="1" s="1"/>
  <c r="T547" i="1"/>
  <c r="Z547" i="1" s="1"/>
  <c r="Q547" i="1"/>
  <c r="Y547" i="1" s="1"/>
  <c r="T612" i="1"/>
  <c r="Z612" i="1" s="1"/>
  <c r="Q612" i="1"/>
  <c r="Y612" i="1" s="1"/>
  <c r="P135" i="1"/>
  <c r="S135" i="1" s="1"/>
  <c r="N135" i="1"/>
  <c r="X135" i="1" s="1"/>
  <c r="P145" i="1"/>
  <c r="S145" i="1" s="1"/>
  <c r="N145" i="1"/>
  <c r="X145" i="1" s="1"/>
  <c r="P154" i="1"/>
  <c r="S154" i="1" s="1"/>
  <c r="N154" i="1"/>
  <c r="X154" i="1" s="1"/>
  <c r="P314" i="1"/>
  <c r="S314" i="1" s="1"/>
  <c r="N314" i="1"/>
  <c r="X314" i="1" s="1"/>
  <c r="Q319" i="1"/>
  <c r="Y319" i="1" s="1"/>
  <c r="Q357" i="1"/>
  <c r="Y357" i="1" s="1"/>
  <c r="P426" i="1"/>
  <c r="S426" i="1" s="1"/>
  <c r="N426" i="1"/>
  <c r="X426" i="1" s="1"/>
  <c r="T472" i="1"/>
  <c r="Z472" i="1" s="1"/>
  <c r="Q472" i="1"/>
  <c r="Y472" i="1" s="1"/>
  <c r="P559" i="1"/>
  <c r="S559" i="1" s="1"/>
  <c r="N559" i="1"/>
  <c r="X559" i="1" s="1"/>
  <c r="P338" i="1"/>
  <c r="S338" i="1" s="1"/>
  <c r="N338" i="1"/>
  <c r="X338" i="1" s="1"/>
  <c r="Q362" i="1"/>
  <c r="Y362" i="1" s="1"/>
  <c r="T362" i="1"/>
  <c r="Z362" i="1" s="1"/>
  <c r="T405" i="1"/>
  <c r="Z405" i="1" s="1"/>
  <c r="Q405" i="1"/>
  <c r="Y405" i="1" s="1"/>
  <c r="P412" i="1"/>
  <c r="S412" i="1" s="1"/>
  <c r="N412" i="1"/>
  <c r="X412" i="1" s="1"/>
  <c r="T427" i="1"/>
  <c r="Z427" i="1" s="1"/>
  <c r="Q427" i="1"/>
  <c r="Y427" i="1" s="1"/>
  <c r="T442" i="1"/>
  <c r="Z442" i="1" s="1"/>
  <c r="Q442" i="1"/>
  <c r="Y442" i="1" s="1"/>
  <c r="P464" i="1"/>
  <c r="S464" i="1" s="1"/>
  <c r="T506" i="1"/>
  <c r="Z506" i="1" s="1"/>
  <c r="Q506" i="1"/>
  <c r="Y506" i="1" s="1"/>
  <c r="T531" i="1"/>
  <c r="Z531" i="1" s="1"/>
  <c r="Q531" i="1"/>
  <c r="Y531" i="1" s="1"/>
  <c r="P443" i="1"/>
  <c r="S443" i="1" s="1"/>
  <c r="N443" i="1"/>
  <c r="X443" i="1" s="1"/>
  <c r="T467" i="1"/>
  <c r="Z467" i="1" s="1"/>
  <c r="Q467" i="1"/>
  <c r="Y467" i="1" s="1"/>
  <c r="T517" i="1"/>
  <c r="Z517" i="1" s="1"/>
  <c r="Q517" i="1"/>
  <c r="Y517" i="1" s="1"/>
  <c r="T532" i="1"/>
  <c r="Z532" i="1" s="1"/>
  <c r="Q532" i="1"/>
  <c r="Y532" i="1" s="1"/>
  <c r="T539" i="1"/>
  <c r="Z539" i="1" s="1"/>
  <c r="Q539" i="1"/>
  <c r="Y539" i="1" s="1"/>
  <c r="T582" i="1"/>
  <c r="Z582" i="1" s="1"/>
  <c r="Q582" i="1"/>
  <c r="Y582" i="1" s="1"/>
  <c r="T636" i="1"/>
  <c r="Z636" i="1" s="1"/>
  <c r="Q636" i="1"/>
  <c r="Y636" i="1" s="1"/>
  <c r="T652" i="1"/>
  <c r="Z652" i="1" s="1"/>
  <c r="Q652" i="1"/>
  <c r="Y652" i="1" s="1"/>
  <c r="T668" i="1"/>
  <c r="Z668" i="1" s="1"/>
  <c r="Q668" i="1"/>
  <c r="Y668" i="1" s="1"/>
  <c r="T687" i="1"/>
  <c r="Z687" i="1" s="1"/>
  <c r="Q687" i="1"/>
  <c r="Y687" i="1" s="1"/>
  <c r="P416" i="1"/>
  <c r="S416" i="1" s="1"/>
  <c r="N416" i="1"/>
  <c r="X416" i="1" s="1"/>
  <c r="P447" i="1"/>
  <c r="S447" i="1" s="1"/>
  <c r="N447" i="1"/>
  <c r="X447" i="1" s="1"/>
  <c r="T471" i="1"/>
  <c r="Z471" i="1" s="1"/>
  <c r="Q471" i="1"/>
  <c r="Y471" i="1" s="1"/>
  <c r="T513" i="1"/>
  <c r="Z513" i="1" s="1"/>
  <c r="Q513" i="1"/>
  <c r="Y513" i="1" s="1"/>
  <c r="T526" i="1"/>
  <c r="Z526" i="1" s="1"/>
  <c r="Q526" i="1"/>
  <c r="Y526" i="1" s="1"/>
  <c r="T533" i="1"/>
  <c r="Z533" i="1" s="1"/>
  <c r="Q533" i="1"/>
  <c r="Y533" i="1" s="1"/>
  <c r="T560" i="1"/>
  <c r="Z560" i="1" s="1"/>
  <c r="Q560" i="1"/>
  <c r="Y560" i="1" s="1"/>
  <c r="T566" i="1"/>
  <c r="Z566" i="1" s="1"/>
  <c r="Q566" i="1"/>
  <c r="Y566" i="1" s="1"/>
  <c r="P583" i="1"/>
  <c r="S583" i="1" s="1"/>
  <c r="N583" i="1"/>
  <c r="X583" i="1" s="1"/>
  <c r="T630" i="1"/>
  <c r="Z630" i="1" s="1"/>
  <c r="Q630" i="1"/>
  <c r="Y630" i="1" s="1"/>
  <c r="P677" i="1"/>
  <c r="S677" i="1" s="1"/>
  <c r="N677" i="1"/>
  <c r="X677" i="1" s="1"/>
  <c r="P689" i="1"/>
  <c r="S689" i="1" s="1"/>
  <c r="N689" i="1"/>
  <c r="X689" i="1" s="1"/>
  <c r="N348" i="1"/>
  <c r="X348" i="1" s="1"/>
  <c r="N350" i="1"/>
  <c r="X350" i="1" s="1"/>
  <c r="N354" i="1"/>
  <c r="N356" i="1"/>
  <c r="N358" i="1"/>
  <c r="X358" i="1" s="1"/>
  <c r="N360" i="1"/>
  <c r="N362" i="1"/>
  <c r="T386" i="1"/>
  <c r="Z386" i="1" s="1"/>
  <c r="Q386" i="1"/>
  <c r="Y386" i="1" s="1"/>
  <c r="T392" i="1"/>
  <c r="Z392" i="1" s="1"/>
  <c r="Q392" i="1"/>
  <c r="Y392" i="1" s="1"/>
  <c r="T398" i="1"/>
  <c r="Z398" i="1" s="1"/>
  <c r="Q398" i="1"/>
  <c r="Y398" i="1" s="1"/>
  <c r="T404" i="1"/>
  <c r="Z404" i="1" s="1"/>
  <c r="Q404" i="1"/>
  <c r="Y404" i="1" s="1"/>
  <c r="T410" i="1"/>
  <c r="Z410" i="1" s="1"/>
  <c r="Q410" i="1"/>
  <c r="Y410" i="1" s="1"/>
  <c r="N427" i="1"/>
  <c r="X427" i="1" s="1"/>
  <c r="P430" i="1"/>
  <c r="S430" i="1" s="1"/>
  <c r="N430" i="1"/>
  <c r="X430" i="1" s="1"/>
  <c r="N458" i="1"/>
  <c r="X458" i="1" s="1"/>
  <c r="T461" i="1"/>
  <c r="Z461" i="1" s="1"/>
  <c r="Q461" i="1"/>
  <c r="Y461" i="1" s="1"/>
  <c r="N482" i="1"/>
  <c r="T519" i="1"/>
  <c r="Z519" i="1" s="1"/>
  <c r="Q519" i="1"/>
  <c r="Y519" i="1" s="1"/>
  <c r="N526" i="1"/>
  <c r="X526" i="1" s="1"/>
  <c r="T584" i="1"/>
  <c r="Z584" i="1" s="1"/>
  <c r="Q584" i="1"/>
  <c r="Y584" i="1" s="1"/>
  <c r="S607" i="1"/>
  <c r="N607" i="1"/>
  <c r="X607" i="1" s="1"/>
  <c r="T654" i="1"/>
  <c r="Z654" i="1" s="1"/>
  <c r="Q654" i="1"/>
  <c r="Y654" i="1" s="1"/>
  <c r="T700" i="1"/>
  <c r="Z700" i="1" s="1"/>
  <c r="Q700" i="1"/>
  <c r="Y700" i="1" s="1"/>
  <c r="N367" i="1"/>
  <c r="N380" i="1"/>
  <c r="N386" i="1"/>
  <c r="X386" i="1" s="1"/>
  <c r="N392" i="1"/>
  <c r="X392" i="1" s="1"/>
  <c r="N398" i="1"/>
  <c r="N404" i="1"/>
  <c r="N410" i="1"/>
  <c r="X410" i="1" s="1"/>
  <c r="N417" i="1"/>
  <c r="X417" i="1" s="1"/>
  <c r="P420" i="1"/>
  <c r="S420" i="1" s="1"/>
  <c r="N420" i="1"/>
  <c r="X420" i="1" s="1"/>
  <c r="N448" i="1"/>
  <c r="X448" i="1" s="1"/>
  <c r="P451" i="1"/>
  <c r="S451" i="1" s="1"/>
  <c r="N451" i="1"/>
  <c r="X451" i="1" s="1"/>
  <c r="N472" i="1"/>
  <c r="T475" i="1"/>
  <c r="Z475" i="1" s="1"/>
  <c r="Q475" i="1"/>
  <c r="Y475" i="1" s="1"/>
  <c r="T509" i="1"/>
  <c r="Z509" i="1" s="1"/>
  <c r="Q509" i="1"/>
  <c r="Y509" i="1" s="1"/>
  <c r="N514" i="1"/>
  <c r="T520" i="1"/>
  <c r="Z520" i="1" s="1"/>
  <c r="Q520" i="1"/>
  <c r="Y520" i="1" s="1"/>
  <c r="T527" i="1"/>
  <c r="Z527" i="1" s="1"/>
  <c r="Q527" i="1"/>
  <c r="Y527" i="1" s="1"/>
  <c r="T568" i="1"/>
  <c r="Z568" i="1" s="1"/>
  <c r="Q568" i="1"/>
  <c r="Y568" i="1" s="1"/>
  <c r="T608" i="1"/>
  <c r="Z608" i="1" s="1"/>
  <c r="Q608" i="1"/>
  <c r="Y608" i="1" s="1"/>
  <c r="T614" i="1"/>
  <c r="Z614" i="1" s="1"/>
  <c r="Q614" i="1"/>
  <c r="Y614" i="1" s="1"/>
  <c r="P631" i="1"/>
  <c r="S631" i="1" s="1"/>
  <c r="N631" i="1"/>
  <c r="T679" i="1"/>
  <c r="Z679" i="1" s="1"/>
  <c r="Q679" i="1"/>
  <c r="Y679" i="1" s="1"/>
  <c r="T691" i="1"/>
  <c r="Z691" i="1" s="1"/>
  <c r="Q691" i="1"/>
  <c r="Y691" i="1" s="1"/>
  <c r="P701" i="1"/>
  <c r="S701" i="1" s="1"/>
  <c r="N701" i="1"/>
  <c r="X701" i="1" s="1"/>
  <c r="P441" i="1"/>
  <c r="S441" i="1" s="1"/>
  <c r="N441" i="1"/>
  <c r="X441" i="1" s="1"/>
  <c r="T465" i="1"/>
  <c r="Z465" i="1" s="1"/>
  <c r="Q465" i="1"/>
  <c r="Y465" i="1" s="1"/>
  <c r="T505" i="1"/>
  <c r="Z505" i="1" s="1"/>
  <c r="Q505" i="1"/>
  <c r="Y505" i="1" s="1"/>
  <c r="N520" i="1"/>
  <c r="P569" i="1"/>
  <c r="S569" i="1" s="1"/>
  <c r="N569" i="1"/>
  <c r="X569" i="1" s="1"/>
  <c r="T592" i="1"/>
  <c r="Z592" i="1" s="1"/>
  <c r="Q592" i="1"/>
  <c r="Y592" i="1" s="1"/>
  <c r="T632" i="1"/>
  <c r="Z632" i="1" s="1"/>
  <c r="Q632" i="1"/>
  <c r="Y632" i="1" s="1"/>
  <c r="P655" i="1"/>
  <c r="S655" i="1" s="1"/>
  <c r="N655" i="1"/>
  <c r="X655" i="1" s="1"/>
  <c r="P680" i="1"/>
  <c r="S680" i="1" s="1"/>
  <c r="N680" i="1"/>
  <c r="X680" i="1" s="1"/>
  <c r="P424" i="1"/>
  <c r="S424" i="1" s="1"/>
  <c r="N424" i="1"/>
  <c r="X424" i="1" s="1"/>
  <c r="P455" i="1"/>
  <c r="S455" i="1" s="1"/>
  <c r="N455" i="1"/>
  <c r="X455" i="1" s="1"/>
  <c r="T479" i="1"/>
  <c r="Z479" i="1" s="1"/>
  <c r="Q479" i="1"/>
  <c r="Y479" i="1" s="1"/>
  <c r="T521" i="1"/>
  <c r="Z521" i="1" s="1"/>
  <c r="Q521" i="1"/>
  <c r="Y521" i="1" s="1"/>
  <c r="T543" i="1"/>
  <c r="Z543" i="1" s="1"/>
  <c r="Q543" i="1"/>
  <c r="Y543" i="1" s="1"/>
  <c r="P570" i="1"/>
  <c r="S570" i="1" s="1"/>
  <c r="N570" i="1"/>
  <c r="X570" i="1" s="1"/>
  <c r="P593" i="1"/>
  <c r="S593" i="1" s="1"/>
  <c r="N593" i="1"/>
  <c r="T616" i="1"/>
  <c r="Z616" i="1" s="1"/>
  <c r="Q616" i="1"/>
  <c r="Y616" i="1" s="1"/>
  <c r="T656" i="1"/>
  <c r="Z656" i="1" s="1"/>
  <c r="Q656" i="1"/>
  <c r="Y656" i="1" s="1"/>
  <c r="T662" i="1"/>
  <c r="Z662" i="1" s="1"/>
  <c r="Q662" i="1"/>
  <c r="Y662" i="1" s="1"/>
  <c r="P681" i="1"/>
  <c r="S681" i="1" s="1"/>
  <c r="N681" i="1"/>
  <c r="X681" i="1" s="1"/>
  <c r="T693" i="1"/>
  <c r="Z693" i="1" s="1"/>
  <c r="Q693" i="1"/>
  <c r="Y693" i="1" s="1"/>
  <c r="T703" i="1"/>
  <c r="Z703" i="1" s="1"/>
  <c r="Q703" i="1"/>
  <c r="Y703" i="1" s="1"/>
  <c r="T390" i="1"/>
  <c r="Z390" i="1" s="1"/>
  <c r="Q390" i="1"/>
  <c r="Y390" i="1" s="1"/>
  <c r="T396" i="1"/>
  <c r="Z396" i="1" s="1"/>
  <c r="Q396" i="1"/>
  <c r="Y396" i="1" s="1"/>
  <c r="T402" i="1"/>
  <c r="Z402" i="1" s="1"/>
  <c r="Q402" i="1"/>
  <c r="Y402" i="1" s="1"/>
  <c r="T408" i="1"/>
  <c r="Z408" i="1" s="1"/>
  <c r="Q408" i="1"/>
  <c r="Y408" i="1" s="1"/>
  <c r="P414" i="1"/>
  <c r="S414" i="1" s="1"/>
  <c r="N414" i="1"/>
  <c r="X414" i="1" s="1"/>
  <c r="N442" i="1"/>
  <c r="X442" i="1" s="1"/>
  <c r="P445" i="1"/>
  <c r="S445" i="1" s="1"/>
  <c r="N445" i="1"/>
  <c r="X445" i="1" s="1"/>
  <c r="N466" i="1"/>
  <c r="X466" i="1" s="1"/>
  <c r="N490" i="1"/>
  <c r="N494" i="1"/>
  <c r="N498" i="1"/>
  <c r="N502" i="1"/>
  <c r="N506" i="1"/>
  <c r="X506" i="1" s="1"/>
  <c r="T515" i="1"/>
  <c r="Z515" i="1" s="1"/>
  <c r="Q515" i="1"/>
  <c r="Y515" i="1" s="1"/>
  <c r="T578" i="1"/>
  <c r="Z578" i="1" s="1"/>
  <c r="Q578" i="1"/>
  <c r="Y578" i="1" s="1"/>
  <c r="Q586" i="1"/>
  <c r="Y586" i="1" s="1"/>
  <c r="P594" i="1"/>
  <c r="S594" i="1" s="1"/>
  <c r="N594" i="1"/>
  <c r="S617" i="1"/>
  <c r="N617" i="1"/>
  <c r="T640" i="1"/>
  <c r="Z640" i="1" s="1"/>
  <c r="Q640" i="1"/>
  <c r="Y640" i="1" s="1"/>
  <c r="P428" i="1"/>
  <c r="S428" i="1" s="1"/>
  <c r="N428" i="1"/>
  <c r="X428" i="1" s="1"/>
  <c r="P459" i="1"/>
  <c r="S459" i="1" s="1"/>
  <c r="N459" i="1"/>
  <c r="X459" i="1" s="1"/>
  <c r="T545" i="1"/>
  <c r="Z545" i="1" s="1"/>
  <c r="Q545" i="1"/>
  <c r="Y545" i="1" s="1"/>
  <c r="T602" i="1"/>
  <c r="Z602" i="1" s="1"/>
  <c r="Q602" i="1"/>
  <c r="Y602" i="1" s="1"/>
  <c r="Q610" i="1"/>
  <c r="Y610" i="1" s="1"/>
  <c r="S618" i="1"/>
  <c r="N618" i="1"/>
  <c r="P641" i="1"/>
  <c r="S641" i="1" s="1"/>
  <c r="N641" i="1"/>
  <c r="T664" i="1"/>
  <c r="Z664" i="1" s="1"/>
  <c r="Q664" i="1"/>
  <c r="Y664" i="1" s="1"/>
  <c r="T683" i="1"/>
  <c r="Z683" i="1" s="1"/>
  <c r="Q683" i="1"/>
  <c r="Y683" i="1" s="1"/>
  <c r="T694" i="1"/>
  <c r="Z694" i="1" s="1"/>
  <c r="Q694" i="1"/>
  <c r="Y694" i="1" s="1"/>
  <c r="N218" i="1"/>
  <c r="N220" i="1"/>
  <c r="N222" i="1"/>
  <c r="N224" i="1"/>
  <c r="N226" i="1"/>
  <c r="N228" i="1"/>
  <c r="N230" i="1"/>
  <c r="N232" i="1"/>
  <c r="N234" i="1"/>
  <c r="N236" i="1"/>
  <c r="N238" i="1"/>
  <c r="N240" i="1"/>
  <c r="N242" i="1"/>
  <c r="N244" i="1"/>
  <c r="N246" i="1"/>
  <c r="N248" i="1"/>
  <c r="N250" i="1"/>
  <c r="N252" i="1"/>
  <c r="X252" i="1" s="1"/>
  <c r="N254" i="1"/>
  <c r="X254" i="1" s="1"/>
  <c r="N256" i="1"/>
  <c r="N258" i="1"/>
  <c r="N260" i="1"/>
  <c r="N262" i="1"/>
  <c r="N264" i="1"/>
  <c r="N266" i="1"/>
  <c r="N268" i="1"/>
  <c r="N270" i="1"/>
  <c r="N272" i="1"/>
  <c r="X272" i="1" s="1"/>
  <c r="N274" i="1"/>
  <c r="N276" i="1"/>
  <c r="X276" i="1" s="1"/>
  <c r="N278" i="1"/>
  <c r="X278" i="1" s="1"/>
  <c r="N280" i="1"/>
  <c r="X280" i="1" s="1"/>
  <c r="N282" i="1"/>
  <c r="X282" i="1" s="1"/>
  <c r="N284" i="1"/>
  <c r="X284" i="1" s="1"/>
  <c r="N286" i="1"/>
  <c r="X286" i="1" s="1"/>
  <c r="N288" i="1"/>
  <c r="X288" i="1" s="1"/>
  <c r="N290" i="1"/>
  <c r="X290" i="1" s="1"/>
  <c r="N292" i="1"/>
  <c r="X292" i="1" s="1"/>
  <c r="N294" i="1"/>
  <c r="N307" i="1"/>
  <c r="X307" i="1" s="1"/>
  <c r="N309" i="1"/>
  <c r="X309" i="1" s="1"/>
  <c r="N311" i="1"/>
  <c r="X311" i="1" s="1"/>
  <c r="N313" i="1"/>
  <c r="X313" i="1" s="1"/>
  <c r="N315" i="1"/>
  <c r="X315" i="1" s="1"/>
  <c r="N317" i="1"/>
  <c r="X317" i="1" s="1"/>
  <c r="N319" i="1"/>
  <c r="X319" i="1" s="1"/>
  <c r="N321" i="1"/>
  <c r="X321" i="1" s="1"/>
  <c r="N337" i="1"/>
  <c r="X337" i="1" s="1"/>
  <c r="N339" i="1"/>
  <c r="X339" i="1" s="1"/>
  <c r="N341" i="1"/>
  <c r="X341" i="1" s="1"/>
  <c r="N343" i="1"/>
  <c r="X343" i="1" s="1"/>
  <c r="N345" i="1"/>
  <c r="X345" i="1" s="1"/>
  <c r="N347" i="1"/>
  <c r="N349" i="1"/>
  <c r="X349" i="1" s="1"/>
  <c r="N353" i="1"/>
  <c r="N355" i="1"/>
  <c r="N357" i="1"/>
  <c r="X357" i="1" s="1"/>
  <c r="N359" i="1"/>
  <c r="N361" i="1"/>
  <c r="N415" i="1"/>
  <c r="X415" i="1" s="1"/>
  <c r="P418" i="1"/>
  <c r="S418" i="1" s="1"/>
  <c r="N418" i="1"/>
  <c r="X418" i="1" s="1"/>
  <c r="N446" i="1"/>
  <c r="X446" i="1" s="1"/>
  <c r="P449" i="1"/>
  <c r="S449" i="1" s="1"/>
  <c r="N449" i="1"/>
  <c r="X449" i="1" s="1"/>
  <c r="N470" i="1"/>
  <c r="T473" i="1"/>
  <c r="Z473" i="1" s="1"/>
  <c r="Q473" i="1"/>
  <c r="Y473" i="1" s="1"/>
  <c r="T511" i="1"/>
  <c r="Z511" i="1" s="1"/>
  <c r="Q511" i="1"/>
  <c r="Y511" i="1" s="1"/>
  <c r="N516" i="1"/>
  <c r="T537" i="1"/>
  <c r="Z537" i="1" s="1"/>
  <c r="Q537" i="1"/>
  <c r="Y537" i="1" s="1"/>
  <c r="N545" i="1"/>
  <c r="X545" i="1" s="1"/>
  <c r="T564" i="1"/>
  <c r="Z564" i="1" s="1"/>
  <c r="Q564" i="1"/>
  <c r="Y564" i="1" s="1"/>
  <c r="T580" i="1"/>
  <c r="Z580" i="1" s="1"/>
  <c r="Q580" i="1"/>
  <c r="Y580" i="1" s="1"/>
  <c r="T626" i="1"/>
  <c r="Z626" i="1" s="1"/>
  <c r="Q626" i="1"/>
  <c r="Y626" i="1" s="1"/>
  <c r="Q634" i="1"/>
  <c r="Y634" i="1" s="1"/>
  <c r="P642" i="1"/>
  <c r="S642" i="1" s="1"/>
  <c r="N642" i="1"/>
  <c r="P665" i="1"/>
  <c r="S665" i="1" s="1"/>
  <c r="N665" i="1"/>
  <c r="X665" i="1" s="1"/>
  <c r="T684" i="1"/>
  <c r="Z684" i="1" s="1"/>
  <c r="Q684" i="1"/>
  <c r="Y684" i="1" s="1"/>
  <c r="P695" i="1"/>
  <c r="S695" i="1" s="1"/>
  <c r="N695" i="1"/>
  <c r="X695" i="1" s="1"/>
  <c r="P439" i="1"/>
  <c r="S439" i="1" s="1"/>
  <c r="N439" i="1"/>
  <c r="X439" i="1" s="1"/>
  <c r="T463" i="1"/>
  <c r="Z463" i="1" s="1"/>
  <c r="Q463" i="1"/>
  <c r="Y463" i="1" s="1"/>
  <c r="T538" i="1"/>
  <c r="Z538" i="1" s="1"/>
  <c r="Q538" i="1"/>
  <c r="Y538" i="1" s="1"/>
  <c r="N580" i="1"/>
  <c r="X580" i="1" s="1"/>
  <c r="T588" i="1"/>
  <c r="Z588" i="1" s="1"/>
  <c r="Q588" i="1"/>
  <c r="Y588" i="1" s="1"/>
  <c r="T604" i="1"/>
  <c r="Z604" i="1" s="1"/>
  <c r="Q604" i="1"/>
  <c r="Y604" i="1" s="1"/>
  <c r="T650" i="1"/>
  <c r="Z650" i="1" s="1"/>
  <c r="Q650" i="1"/>
  <c r="Y650" i="1" s="1"/>
  <c r="P666" i="1"/>
  <c r="S666" i="1" s="1"/>
  <c r="N666" i="1"/>
  <c r="X666" i="1" s="1"/>
  <c r="P685" i="1"/>
  <c r="S685" i="1" s="1"/>
  <c r="N685" i="1"/>
  <c r="X685" i="1" s="1"/>
  <c r="P573" i="1"/>
  <c r="S573" i="1" s="1"/>
  <c r="N573" i="1"/>
  <c r="X573" i="1" s="1"/>
  <c r="S597" i="1"/>
  <c r="N597" i="1"/>
  <c r="X597" i="1" s="1"/>
  <c r="S621" i="1"/>
  <c r="N621" i="1"/>
  <c r="X621" i="1" s="1"/>
  <c r="P645" i="1"/>
  <c r="S645" i="1" s="1"/>
  <c r="N645" i="1"/>
  <c r="X645" i="1" s="1"/>
  <c r="N521" i="1"/>
  <c r="N527" i="1"/>
  <c r="X527" i="1" s="1"/>
  <c r="N533" i="1"/>
  <c r="X533" i="1" s="1"/>
  <c r="N539" i="1"/>
  <c r="X539" i="1" s="1"/>
  <c r="N560" i="1"/>
  <c r="X560" i="1" s="1"/>
  <c r="P563" i="1"/>
  <c r="S563" i="1" s="1"/>
  <c r="N563" i="1"/>
  <c r="X563" i="1" s="1"/>
  <c r="N584" i="1"/>
  <c r="X584" i="1" s="1"/>
  <c r="P587" i="1"/>
  <c r="S587" i="1" s="1"/>
  <c r="N587" i="1"/>
  <c r="X587" i="1" s="1"/>
  <c r="N608" i="1"/>
  <c r="X608" i="1" s="1"/>
  <c r="S611" i="1"/>
  <c r="N611" i="1"/>
  <c r="X611" i="1" s="1"/>
  <c r="N632" i="1"/>
  <c r="P635" i="1"/>
  <c r="S635" i="1" s="1"/>
  <c r="N635" i="1"/>
  <c r="N656" i="1"/>
  <c r="X656" i="1" s="1"/>
  <c r="P659" i="1"/>
  <c r="S659" i="1" s="1"/>
  <c r="N659" i="1"/>
  <c r="X659" i="1" s="1"/>
  <c r="T524" i="1"/>
  <c r="Z524" i="1" s="1"/>
  <c r="Q524" i="1"/>
  <c r="Y524" i="1" s="1"/>
  <c r="T530" i="1"/>
  <c r="Z530" i="1" s="1"/>
  <c r="Q530" i="1"/>
  <c r="Y530" i="1" s="1"/>
  <c r="T536" i="1"/>
  <c r="Z536" i="1" s="1"/>
  <c r="Q536" i="1"/>
  <c r="Y536" i="1" s="1"/>
  <c r="P542" i="1"/>
  <c r="S542" i="1" s="1"/>
  <c r="N542" i="1"/>
  <c r="X542" i="1" s="1"/>
  <c r="P577" i="1"/>
  <c r="S577" i="1" s="1"/>
  <c r="N577" i="1"/>
  <c r="X577" i="1" s="1"/>
  <c r="S601" i="1"/>
  <c r="N601" i="1"/>
  <c r="X601" i="1" s="1"/>
  <c r="P625" i="1"/>
  <c r="S625" i="1" s="1"/>
  <c r="N625" i="1"/>
  <c r="X625" i="1" s="1"/>
  <c r="P649" i="1"/>
  <c r="S649" i="1" s="1"/>
  <c r="N649" i="1"/>
  <c r="X649" i="1" s="1"/>
  <c r="T690" i="1"/>
  <c r="Z690" i="1" s="1"/>
  <c r="Q690" i="1"/>
  <c r="Y690" i="1" s="1"/>
  <c r="T696" i="1"/>
  <c r="Z696" i="1" s="1"/>
  <c r="Q696" i="1"/>
  <c r="Y696" i="1" s="1"/>
  <c r="T702" i="1"/>
  <c r="Z702" i="1" s="1"/>
  <c r="Q702" i="1"/>
  <c r="Y702" i="1" s="1"/>
  <c r="P567" i="1"/>
  <c r="S567" i="1" s="1"/>
  <c r="N567" i="1"/>
  <c r="X567" i="1" s="1"/>
  <c r="P591" i="1"/>
  <c r="S591" i="1" s="1"/>
  <c r="N591" i="1"/>
  <c r="S615" i="1"/>
  <c r="N615" i="1"/>
  <c r="P639" i="1"/>
  <c r="S639" i="1" s="1"/>
  <c r="N639" i="1"/>
  <c r="P663" i="1"/>
  <c r="S663" i="1" s="1"/>
  <c r="N663" i="1"/>
  <c r="X663" i="1" s="1"/>
  <c r="N543" i="1"/>
  <c r="X543" i="1" s="1"/>
  <c r="P546" i="1"/>
  <c r="S546" i="1" s="1"/>
  <c r="N546" i="1"/>
  <c r="X546" i="1" s="1"/>
  <c r="N578" i="1"/>
  <c r="X578" i="1" s="1"/>
  <c r="P581" i="1"/>
  <c r="S581" i="1" s="1"/>
  <c r="N581" i="1"/>
  <c r="X581" i="1" s="1"/>
  <c r="N602" i="1"/>
  <c r="X602" i="1" s="1"/>
  <c r="S605" i="1"/>
  <c r="N605" i="1"/>
  <c r="X605" i="1" s="1"/>
  <c r="Q622" i="1"/>
  <c r="Y622" i="1" s="1"/>
  <c r="N626" i="1"/>
  <c r="X626" i="1" s="1"/>
  <c r="P629" i="1"/>
  <c r="S629" i="1" s="1"/>
  <c r="N629" i="1"/>
  <c r="X629" i="1" s="1"/>
  <c r="N650" i="1"/>
  <c r="X650" i="1" s="1"/>
  <c r="P653" i="1"/>
  <c r="S653" i="1" s="1"/>
  <c r="N653" i="1"/>
  <c r="X653" i="1" s="1"/>
  <c r="P667" i="1"/>
  <c r="S667" i="1" s="1"/>
  <c r="N667" i="1"/>
  <c r="X667" i="1" s="1"/>
  <c r="P678" i="1"/>
  <c r="S678" i="1" s="1"/>
  <c r="N678" i="1"/>
  <c r="X678" i="1" s="1"/>
  <c r="T682" i="1"/>
  <c r="Z682" i="1" s="1"/>
  <c r="Q682" i="1"/>
  <c r="Y682" i="1" s="1"/>
  <c r="T686" i="1"/>
  <c r="Z686" i="1" s="1"/>
  <c r="Q686" i="1"/>
  <c r="Y686" i="1" s="1"/>
  <c r="N691" i="1"/>
  <c r="X691" i="1" s="1"/>
  <c r="N697" i="1"/>
  <c r="X697" i="1" s="1"/>
  <c r="N703" i="1"/>
  <c r="X703" i="1" s="1"/>
  <c r="N461" i="1"/>
  <c r="X461" i="1" s="1"/>
  <c r="N463" i="1"/>
  <c r="X463" i="1" s="1"/>
  <c r="N465" i="1"/>
  <c r="X465" i="1" s="1"/>
  <c r="N467" i="1"/>
  <c r="X467" i="1" s="1"/>
  <c r="N471" i="1"/>
  <c r="N473" i="1"/>
  <c r="N475" i="1"/>
  <c r="X475" i="1" s="1"/>
  <c r="N477" i="1"/>
  <c r="N479" i="1"/>
  <c r="N481" i="1"/>
  <c r="N483" i="1"/>
  <c r="N485" i="1"/>
  <c r="N487" i="1"/>
  <c r="N489" i="1"/>
  <c r="N491" i="1"/>
  <c r="N493" i="1"/>
  <c r="N495" i="1"/>
  <c r="N497" i="1"/>
  <c r="N499" i="1"/>
  <c r="X499" i="1" s="1"/>
  <c r="N501" i="1"/>
  <c r="X501" i="1" s="1"/>
  <c r="N503" i="1"/>
  <c r="X503" i="1" s="1"/>
  <c r="N505" i="1"/>
  <c r="N507" i="1"/>
  <c r="X507" i="1" s="1"/>
  <c r="N509" i="1"/>
  <c r="X509" i="1" s="1"/>
  <c r="N511" i="1"/>
  <c r="N513" i="1"/>
  <c r="N515" i="1"/>
  <c r="N517" i="1"/>
  <c r="N519" i="1"/>
  <c r="N525" i="1"/>
  <c r="X525" i="1" s="1"/>
  <c r="N531" i="1"/>
  <c r="X531" i="1" s="1"/>
  <c r="N537" i="1"/>
  <c r="X537" i="1" s="1"/>
  <c r="N568" i="1"/>
  <c r="X568" i="1" s="1"/>
  <c r="P571" i="1"/>
  <c r="S571" i="1" s="1"/>
  <c r="N571" i="1"/>
  <c r="X571" i="1" s="1"/>
  <c r="N592" i="1"/>
  <c r="P595" i="1"/>
  <c r="S595" i="1" s="1"/>
  <c r="N595" i="1"/>
  <c r="X595" i="1" s="1"/>
  <c r="N616" i="1"/>
  <c r="X616" i="1" s="1"/>
  <c r="S619" i="1"/>
  <c r="N619" i="1"/>
  <c r="N640" i="1"/>
  <c r="P643" i="1"/>
  <c r="S643" i="1" s="1"/>
  <c r="N643" i="1"/>
  <c r="N664" i="1"/>
  <c r="X664" i="1" s="1"/>
  <c r="T522" i="1"/>
  <c r="Z522" i="1" s="1"/>
  <c r="Q522" i="1"/>
  <c r="Y522" i="1" s="1"/>
  <c r="T528" i="1"/>
  <c r="Z528" i="1" s="1"/>
  <c r="Q528" i="1"/>
  <c r="Y528" i="1" s="1"/>
  <c r="T534" i="1"/>
  <c r="Z534" i="1" s="1"/>
  <c r="Q534" i="1"/>
  <c r="Y534" i="1" s="1"/>
  <c r="T540" i="1"/>
  <c r="Z540" i="1" s="1"/>
  <c r="Q540" i="1"/>
  <c r="Y540" i="1" s="1"/>
  <c r="N547" i="1"/>
  <c r="X547" i="1" s="1"/>
  <c r="P561" i="1"/>
  <c r="S561" i="1" s="1"/>
  <c r="N561" i="1"/>
  <c r="X561" i="1" s="1"/>
  <c r="N582" i="1"/>
  <c r="X582" i="1" s="1"/>
  <c r="P585" i="1"/>
  <c r="S585" i="1" s="1"/>
  <c r="N585" i="1"/>
  <c r="X585" i="1" s="1"/>
  <c r="N606" i="1"/>
  <c r="X606" i="1" s="1"/>
  <c r="S609" i="1"/>
  <c r="N609" i="1"/>
  <c r="X609" i="1" s="1"/>
  <c r="N630" i="1"/>
  <c r="X630" i="1" s="1"/>
  <c r="P633" i="1"/>
  <c r="S633" i="1" s="1"/>
  <c r="N633" i="1"/>
  <c r="N654" i="1"/>
  <c r="X654" i="1" s="1"/>
  <c r="P657" i="1"/>
  <c r="S657" i="1" s="1"/>
  <c r="N657" i="1"/>
  <c r="X657" i="1" s="1"/>
  <c r="N668" i="1"/>
  <c r="X668" i="1" s="1"/>
  <c r="N679" i="1"/>
  <c r="X679" i="1" s="1"/>
  <c r="N683" i="1"/>
  <c r="X683" i="1" s="1"/>
  <c r="N687" i="1"/>
  <c r="X687" i="1" s="1"/>
  <c r="T692" i="1"/>
  <c r="Z692" i="1" s="1"/>
  <c r="Q692" i="1"/>
  <c r="Y692" i="1" s="1"/>
  <c r="T698" i="1"/>
  <c r="Z698" i="1" s="1"/>
  <c r="Q698" i="1"/>
  <c r="Y698" i="1" s="1"/>
  <c r="T704" i="1"/>
  <c r="Z704" i="1" s="1"/>
  <c r="Q704" i="1"/>
  <c r="Y704" i="1" s="1"/>
  <c r="N522" i="1"/>
  <c r="N528" i="1"/>
  <c r="X528" i="1" s="1"/>
  <c r="N534" i="1"/>
  <c r="X534" i="1" s="1"/>
  <c r="N540" i="1"/>
  <c r="X540" i="1" s="1"/>
  <c r="N572" i="1"/>
  <c r="X572" i="1" s="1"/>
  <c r="P575" i="1"/>
  <c r="S575" i="1" s="1"/>
  <c r="N575" i="1"/>
  <c r="X575" i="1" s="1"/>
  <c r="N596" i="1"/>
  <c r="X596" i="1" s="1"/>
  <c r="S599" i="1"/>
  <c r="N599" i="1"/>
  <c r="X599" i="1" s="1"/>
  <c r="N620" i="1"/>
  <c r="X620" i="1" s="1"/>
  <c r="S623" i="1"/>
  <c r="N623" i="1"/>
  <c r="N644" i="1"/>
  <c r="P647" i="1"/>
  <c r="S647" i="1" s="1"/>
  <c r="N647" i="1"/>
  <c r="X647" i="1" s="1"/>
  <c r="T705" i="1"/>
  <c r="Z705" i="1" s="1"/>
  <c r="Q705" i="1"/>
  <c r="Y705" i="1" s="1"/>
  <c r="P565" i="1"/>
  <c r="S565" i="1" s="1"/>
  <c r="N565" i="1"/>
  <c r="X565" i="1" s="1"/>
  <c r="S613" i="1"/>
  <c r="N613" i="1"/>
  <c r="X613" i="1" s="1"/>
  <c r="P637" i="1"/>
  <c r="S637" i="1" s="1"/>
  <c r="N637" i="1"/>
  <c r="P661" i="1"/>
  <c r="S661" i="1" s="1"/>
  <c r="N661" i="1"/>
  <c r="X661" i="1" s="1"/>
  <c r="P544" i="1"/>
  <c r="S544" i="1" s="1"/>
  <c r="N544" i="1"/>
  <c r="X544" i="1" s="1"/>
  <c r="P579" i="1"/>
  <c r="S579" i="1" s="1"/>
  <c r="N579" i="1"/>
  <c r="X579" i="1" s="1"/>
  <c r="S603" i="1"/>
  <c r="N603" i="1"/>
  <c r="X603" i="1" s="1"/>
  <c r="P627" i="1"/>
  <c r="S627" i="1" s="1"/>
  <c r="N627" i="1"/>
  <c r="X627" i="1" s="1"/>
  <c r="P651" i="1"/>
  <c r="S651" i="1" s="1"/>
  <c r="N651" i="1"/>
  <c r="X651" i="1" s="1"/>
  <c r="N682" i="1"/>
  <c r="X682" i="1" s="1"/>
  <c r="N684" i="1"/>
  <c r="X684" i="1" s="1"/>
  <c r="N686" i="1"/>
  <c r="X686" i="1" s="1"/>
  <c r="N688" i="1"/>
  <c r="X688" i="1" s="1"/>
  <c r="N690" i="1"/>
  <c r="X690" i="1" s="1"/>
  <c r="N692" i="1"/>
  <c r="X692" i="1" s="1"/>
  <c r="N694" i="1"/>
  <c r="X694" i="1" s="1"/>
  <c r="N696" i="1"/>
  <c r="X696" i="1" s="1"/>
  <c r="N698" i="1"/>
  <c r="X698" i="1" s="1"/>
  <c r="N700" i="1"/>
  <c r="X700" i="1" s="1"/>
  <c r="N702" i="1"/>
  <c r="X702" i="1" s="1"/>
  <c r="N704" i="1"/>
  <c r="X704" i="1" s="1"/>
  <c r="X151" i="1" l="1"/>
  <c r="M184" i="1"/>
  <c r="P184" i="1" s="1"/>
  <c r="Q184" i="1" s="1"/>
  <c r="Y184" i="1" s="1"/>
  <c r="N202" i="1"/>
  <c r="X202" i="1" s="1"/>
  <c r="M190" i="1"/>
  <c r="P190" i="1" s="1"/>
  <c r="S190" i="1" s="1"/>
  <c r="S202" i="1"/>
  <c r="T202" i="1" s="1"/>
  <c r="Z202" i="1" s="1"/>
  <c r="K202" i="1"/>
  <c r="W202" i="1" s="1"/>
  <c r="E9" i="1"/>
  <c r="H9" i="1" s="1"/>
  <c r="F9" i="1"/>
  <c r="M199" i="1"/>
  <c r="P199" i="1" s="1"/>
  <c r="Q199" i="1" s="1"/>
  <c r="Y199" i="1" s="1"/>
  <c r="M193" i="1"/>
  <c r="P193" i="1" s="1"/>
  <c r="S193" i="1" s="1"/>
  <c r="T193" i="1" s="1"/>
  <c r="Z193" i="1" s="1"/>
  <c r="M191" i="1"/>
  <c r="P191" i="1" s="1"/>
  <c r="S191" i="1" s="1"/>
  <c r="T191" i="1" s="1"/>
  <c r="Z191" i="1" s="1"/>
  <c r="Q381" i="1"/>
  <c r="Y381" i="1" s="1"/>
  <c r="M189" i="1"/>
  <c r="P189" i="1" s="1"/>
  <c r="S189" i="1" s="1"/>
  <c r="T189" i="1" s="1"/>
  <c r="Z189" i="1" s="1"/>
  <c r="M194" i="1"/>
  <c r="P194" i="1" s="1"/>
  <c r="Q194" i="1" s="1"/>
  <c r="Y194" i="1" s="1"/>
  <c r="Q376" i="1"/>
  <c r="Y376" i="1" s="1"/>
  <c r="N183" i="1"/>
  <c r="X183" i="1" s="1"/>
  <c r="S368" i="1"/>
  <c r="T368" i="1" s="1"/>
  <c r="Z368" i="1" s="1"/>
  <c r="M197" i="1"/>
  <c r="P197" i="1" s="1"/>
  <c r="Q197" i="1" s="1"/>
  <c r="Y197" i="1" s="1"/>
  <c r="Q380" i="1"/>
  <c r="Y380" i="1" s="1"/>
  <c r="Q499" i="1"/>
  <c r="Y499" i="1" s="1"/>
  <c r="K201" i="1"/>
  <c r="W201" i="1" s="1"/>
  <c r="Q201" i="1"/>
  <c r="Y201" i="1" s="1"/>
  <c r="M186" i="1"/>
  <c r="P186" i="1" s="1"/>
  <c r="S186" i="1" s="1"/>
  <c r="T186" i="1" s="1"/>
  <c r="Z186" i="1" s="1"/>
  <c r="M195" i="1"/>
  <c r="P195" i="1" s="1"/>
  <c r="S195" i="1" s="1"/>
  <c r="T195" i="1" s="1"/>
  <c r="Z195" i="1" s="1"/>
  <c r="N201" i="1"/>
  <c r="X201" i="1" s="1"/>
  <c r="M188" i="1"/>
  <c r="N188" i="1" s="1"/>
  <c r="X188" i="1" s="1"/>
  <c r="Q378" i="1"/>
  <c r="Y378" i="1" s="1"/>
  <c r="Q638" i="1"/>
  <c r="Y638" i="1" s="1"/>
  <c r="Q487" i="1"/>
  <c r="Y487" i="1" s="1"/>
  <c r="Q382" i="1"/>
  <c r="Y382" i="1" s="1"/>
  <c r="P179" i="1"/>
  <c r="S179" i="1" s="1"/>
  <c r="T179" i="1" s="1"/>
  <c r="Z179" i="1" s="1"/>
  <c r="Q501" i="1"/>
  <c r="Y501" i="1" s="1"/>
  <c r="Q438" i="1"/>
  <c r="Y438" i="1" s="1"/>
  <c r="Q502" i="1"/>
  <c r="Y502" i="1" s="1"/>
  <c r="Q483" i="1"/>
  <c r="Y483" i="1" s="1"/>
  <c r="Q490" i="1"/>
  <c r="Y490" i="1" s="1"/>
  <c r="Q498" i="1"/>
  <c r="Y498" i="1" s="1"/>
  <c r="Q440" i="1"/>
  <c r="Y440" i="1" s="1"/>
  <c r="Q492" i="1"/>
  <c r="Y492" i="1" s="1"/>
  <c r="N190" i="1"/>
  <c r="X190" i="1" s="1"/>
  <c r="Q371" i="1"/>
  <c r="Y371" i="1" s="1"/>
  <c r="Q247" i="1"/>
  <c r="Y247" i="1" s="1"/>
  <c r="Q482" i="1"/>
  <c r="Y482" i="1" s="1"/>
  <c r="Q494" i="1"/>
  <c r="Y494" i="1" s="1"/>
  <c r="P196" i="1"/>
  <c r="Q196" i="1" s="1"/>
  <c r="Y196" i="1" s="1"/>
  <c r="N184" i="1"/>
  <c r="X184" i="1" s="1"/>
  <c r="N200" i="1"/>
  <c r="X200" i="1" s="1"/>
  <c r="Q200" i="1"/>
  <c r="Y200" i="1" s="1"/>
  <c r="S367" i="1"/>
  <c r="T367" i="1" s="1"/>
  <c r="Z367" i="1" s="1"/>
  <c r="Q500" i="1"/>
  <c r="Y500" i="1" s="1"/>
  <c r="S153" i="1"/>
  <c r="T153" i="1" s="1"/>
  <c r="Z153" i="1" s="1"/>
  <c r="S462" i="1"/>
  <c r="T462" i="1" s="1"/>
  <c r="Z462" i="1" s="1"/>
  <c r="Q496" i="1"/>
  <c r="Y496" i="1" s="1"/>
  <c r="S180" i="1"/>
  <c r="T180" i="1" s="1"/>
  <c r="Z180" i="1" s="1"/>
  <c r="Q485" i="1"/>
  <c r="Y485" i="1" s="1"/>
  <c r="P181" i="1"/>
  <c r="S181" i="1" s="1"/>
  <c r="T181" i="1" s="1"/>
  <c r="Z181" i="1" s="1"/>
  <c r="Q491" i="1"/>
  <c r="Y491" i="1" s="1"/>
  <c r="N182" i="1"/>
  <c r="X182" i="1" s="1"/>
  <c r="Q391" i="1"/>
  <c r="Y391" i="1" s="1"/>
  <c r="S391" i="1"/>
  <c r="T391" i="1" s="1"/>
  <c r="Z391" i="1" s="1"/>
  <c r="S489" i="1"/>
  <c r="T489" i="1" s="1"/>
  <c r="Z489" i="1" s="1"/>
  <c r="S192" i="1"/>
  <c r="T192" i="1" s="1"/>
  <c r="Z192" i="1" s="1"/>
  <c r="Q497" i="1"/>
  <c r="Y497" i="1" s="1"/>
  <c r="S74" i="1"/>
  <c r="T74" i="1" s="1"/>
  <c r="Z74" i="1" s="1"/>
  <c r="S574" i="1"/>
  <c r="T574" i="1" s="1"/>
  <c r="Z574" i="1" s="1"/>
  <c r="S7" i="1"/>
  <c r="T7" i="1" s="1"/>
  <c r="Z7" i="1" s="1"/>
  <c r="S450" i="1"/>
  <c r="T450" i="1" s="1"/>
  <c r="Z450" i="1" s="1"/>
  <c r="Q450" i="1"/>
  <c r="Y450" i="1" s="1"/>
  <c r="S576" i="1"/>
  <c r="T576" i="1" s="1"/>
  <c r="Z576" i="1" s="1"/>
  <c r="S366" i="1"/>
  <c r="T366" i="1" s="1"/>
  <c r="Z366" i="1" s="1"/>
  <c r="S365" i="1"/>
  <c r="T365" i="1" s="1"/>
  <c r="Z365" i="1" s="1"/>
  <c r="Q384" i="1"/>
  <c r="Y384" i="1" s="1"/>
  <c r="Q361" i="1"/>
  <c r="Y361" i="1" s="1"/>
  <c r="N198" i="1"/>
  <c r="X198" i="1" s="1"/>
  <c r="Q460" i="1"/>
  <c r="Y460" i="1" s="1"/>
  <c r="S460" i="1"/>
  <c r="T460" i="1" s="1"/>
  <c r="Z460" i="1" s="1"/>
  <c r="S474" i="1"/>
  <c r="T474" i="1" s="1"/>
  <c r="Z474" i="1" s="1"/>
  <c r="Q397" i="1"/>
  <c r="Y397" i="1" s="1"/>
  <c r="S397" i="1"/>
  <c r="T397" i="1" s="1"/>
  <c r="Z397" i="1" s="1"/>
  <c r="Q363" i="1"/>
  <c r="Y363" i="1" s="1"/>
  <c r="Q429" i="1"/>
  <c r="Y429" i="1" s="1"/>
  <c r="S125" i="1"/>
  <c r="T125" i="1" s="1"/>
  <c r="Q370" i="1"/>
  <c r="Y370" i="1" s="1"/>
  <c r="Q493" i="1"/>
  <c r="Y493" i="1" s="1"/>
  <c r="S223" i="1"/>
  <c r="T223" i="1" s="1"/>
  <c r="S646" i="1"/>
  <c r="T646" i="1" s="1"/>
  <c r="Z646" i="1" s="1"/>
  <c r="N192" i="1"/>
  <c r="X192" i="1" s="1"/>
  <c r="Q409" i="1"/>
  <c r="Y409" i="1" s="1"/>
  <c r="S409" i="1"/>
  <c r="T409" i="1" s="1"/>
  <c r="Z409" i="1" s="1"/>
  <c r="S523" i="1"/>
  <c r="T523" i="1" s="1"/>
  <c r="Z523" i="1" s="1"/>
  <c r="S184" i="1"/>
  <c r="T184" i="1" s="1"/>
  <c r="Z184" i="1" s="1"/>
  <c r="S648" i="1"/>
  <c r="T648" i="1" s="1"/>
  <c r="Z648" i="1" s="1"/>
  <c r="Q462" i="1"/>
  <c r="Y462" i="1" s="1"/>
  <c r="S100" i="1"/>
  <c r="T100" i="1" s="1"/>
  <c r="Z100" i="1" s="1"/>
  <c r="Q480" i="1"/>
  <c r="Y480" i="1" s="1"/>
  <c r="S495" i="1"/>
  <c r="T495" i="1" s="1"/>
  <c r="Z495" i="1" s="1"/>
  <c r="Q180" i="1"/>
  <c r="Y180" i="1" s="1"/>
  <c r="Q512" i="1"/>
  <c r="Y512" i="1" s="1"/>
  <c r="S512" i="1"/>
  <c r="T512" i="1" s="1"/>
  <c r="Z512" i="1" s="1"/>
  <c r="S624" i="1"/>
  <c r="T624" i="1" s="1"/>
  <c r="Z624" i="1" s="1"/>
  <c r="S541" i="1"/>
  <c r="T541" i="1" s="1"/>
  <c r="Z541" i="1" s="1"/>
  <c r="Q153" i="1"/>
  <c r="Y153" i="1" s="1"/>
  <c r="S144" i="1"/>
  <c r="T144" i="1" s="1"/>
  <c r="Z144" i="1" s="1"/>
  <c r="S598" i="1"/>
  <c r="T598" i="1" s="1"/>
  <c r="Z598" i="1" s="1"/>
  <c r="S379" i="1"/>
  <c r="T379" i="1" s="1"/>
  <c r="Z379" i="1" s="1"/>
  <c r="Q379" i="1"/>
  <c r="Y379" i="1" s="1"/>
  <c r="S622" i="1"/>
  <c r="T622" i="1" s="1"/>
  <c r="Z622" i="1" s="1"/>
  <c r="S375" i="1"/>
  <c r="T375" i="1" s="1"/>
  <c r="Z375" i="1" s="1"/>
  <c r="Q372" i="1"/>
  <c r="Y372" i="1" s="1"/>
  <c r="S239" i="1"/>
  <c r="T239" i="1" s="1"/>
  <c r="Z239" i="1" s="1"/>
  <c r="S486" i="1"/>
  <c r="T486" i="1" s="1"/>
  <c r="Z486" i="1" s="1"/>
  <c r="S231" i="1"/>
  <c r="T231" i="1" s="1"/>
  <c r="Z231" i="1" s="1"/>
  <c r="Q484" i="1"/>
  <c r="Y484" i="1" s="1"/>
  <c r="S484" i="1"/>
  <c r="T484" i="1" s="1"/>
  <c r="Z484" i="1" s="1"/>
  <c r="S24" i="1"/>
  <c r="Q646" i="1"/>
  <c r="Y646" i="1" s="1"/>
  <c r="T600" i="1"/>
  <c r="Z600" i="1" s="1"/>
  <c r="Q600" i="1"/>
  <c r="Y600" i="1" s="1"/>
  <c r="Q576" i="1"/>
  <c r="Y576" i="1" s="1"/>
  <c r="Q523" i="1"/>
  <c r="Y523" i="1" s="1"/>
  <c r="T529" i="1"/>
  <c r="Z529" i="1" s="1"/>
  <c r="Q529" i="1"/>
  <c r="Y529" i="1" s="1"/>
  <c r="T535" i="1"/>
  <c r="Z535" i="1" s="1"/>
  <c r="Q535" i="1"/>
  <c r="Y535" i="1" s="1"/>
  <c r="Q574" i="1"/>
  <c r="Y574" i="1" s="1"/>
  <c r="Q486" i="1"/>
  <c r="Y486" i="1" s="1"/>
  <c r="Q403" i="1"/>
  <c r="Y403" i="1" s="1"/>
  <c r="T403" i="1"/>
  <c r="Z403" i="1" s="1"/>
  <c r="T385" i="1"/>
  <c r="Z385" i="1" s="1"/>
  <c r="Q385" i="1"/>
  <c r="Y385" i="1" s="1"/>
  <c r="Q100" i="1"/>
  <c r="Y100" i="1" s="1"/>
  <c r="Q74" i="1"/>
  <c r="Y74" i="1" s="1"/>
  <c r="T291" i="1"/>
  <c r="Z291" i="1" s="1"/>
  <c r="Q291" i="1"/>
  <c r="Y291" i="1" s="1"/>
  <c r="T287" i="1"/>
  <c r="Z287" i="1" s="1"/>
  <c r="Q287" i="1"/>
  <c r="Y287" i="1" s="1"/>
  <c r="T661" i="1"/>
  <c r="Z661" i="1" s="1"/>
  <c r="Q661" i="1"/>
  <c r="Y661" i="1" s="1"/>
  <c r="T647" i="1"/>
  <c r="Z647" i="1" s="1"/>
  <c r="Q647" i="1"/>
  <c r="Y647" i="1" s="1"/>
  <c r="T597" i="1"/>
  <c r="Z597" i="1" s="1"/>
  <c r="Q597" i="1"/>
  <c r="Y597" i="1" s="1"/>
  <c r="T414" i="1"/>
  <c r="Z414" i="1" s="1"/>
  <c r="Q414" i="1"/>
  <c r="Y414" i="1" s="1"/>
  <c r="T451" i="1"/>
  <c r="Z451" i="1" s="1"/>
  <c r="Q451" i="1"/>
  <c r="Y451" i="1" s="1"/>
  <c r="T559" i="1"/>
  <c r="Z559" i="1" s="1"/>
  <c r="Q559" i="1"/>
  <c r="Y559" i="1" s="1"/>
  <c r="Q145" i="1"/>
  <c r="Y145" i="1" s="1"/>
  <c r="T145" i="1"/>
  <c r="Z145" i="1" s="1"/>
  <c r="T628" i="1"/>
  <c r="Z628" i="1" s="1"/>
  <c r="Q628" i="1"/>
  <c r="Y628" i="1" s="1"/>
  <c r="T518" i="1"/>
  <c r="Z518" i="1" s="1"/>
  <c r="Q518" i="1"/>
  <c r="Y518" i="1" s="1"/>
  <c r="T185" i="1"/>
  <c r="Z185" i="1" s="1"/>
  <c r="Q185" i="1"/>
  <c r="Y185" i="1" s="1"/>
  <c r="T422" i="1"/>
  <c r="Z422" i="1" s="1"/>
  <c r="Q422" i="1"/>
  <c r="Y422" i="1" s="1"/>
  <c r="T316" i="1"/>
  <c r="Z316" i="1" s="1"/>
  <c r="Q316" i="1"/>
  <c r="Y316" i="1" s="1"/>
  <c r="T271" i="1"/>
  <c r="Z271" i="1" s="1"/>
  <c r="Q271" i="1"/>
  <c r="Y271" i="1" s="1"/>
  <c r="T406" i="1"/>
  <c r="Z406" i="1" s="1"/>
  <c r="Q406" i="1"/>
  <c r="Y406" i="1" s="1"/>
  <c r="T283" i="1"/>
  <c r="Z283" i="1" s="1"/>
  <c r="Q283" i="1"/>
  <c r="Y283" i="1" s="1"/>
  <c r="T190" i="1"/>
  <c r="Z190" i="1" s="1"/>
  <c r="Q190" i="1"/>
  <c r="Y190" i="1" s="1"/>
  <c r="T601" i="1"/>
  <c r="Z601" i="1" s="1"/>
  <c r="Q601" i="1"/>
  <c r="Y601" i="1" s="1"/>
  <c r="T657" i="1"/>
  <c r="Z657" i="1" s="1"/>
  <c r="Q657" i="1"/>
  <c r="Y657" i="1" s="1"/>
  <c r="T561" i="1"/>
  <c r="Z561" i="1" s="1"/>
  <c r="Q561" i="1"/>
  <c r="Y561" i="1" s="1"/>
  <c r="T643" i="1"/>
  <c r="Z643" i="1" s="1"/>
  <c r="Q643" i="1"/>
  <c r="Y643" i="1" s="1"/>
  <c r="T629" i="1"/>
  <c r="Z629" i="1" s="1"/>
  <c r="Q629" i="1"/>
  <c r="Y629" i="1" s="1"/>
  <c r="T546" i="1"/>
  <c r="Z546" i="1" s="1"/>
  <c r="Q546" i="1"/>
  <c r="Y546" i="1" s="1"/>
  <c r="T573" i="1"/>
  <c r="Z573" i="1" s="1"/>
  <c r="Q573" i="1"/>
  <c r="Y573" i="1" s="1"/>
  <c r="T449" i="1"/>
  <c r="Z449" i="1" s="1"/>
  <c r="Q449" i="1"/>
  <c r="Y449" i="1" s="1"/>
  <c r="T314" i="1"/>
  <c r="Z314" i="1" s="1"/>
  <c r="Q314" i="1"/>
  <c r="Y314" i="1" s="1"/>
  <c r="Q135" i="1"/>
  <c r="Y135" i="1" s="1"/>
  <c r="T135" i="1"/>
  <c r="Z135" i="1" s="1"/>
  <c r="T346" i="1"/>
  <c r="Z346" i="1" s="1"/>
  <c r="Q346" i="1"/>
  <c r="Y346" i="1" s="1"/>
  <c r="T177" i="1"/>
  <c r="Z177" i="1" s="1"/>
  <c r="Q177" i="1"/>
  <c r="Y177" i="1" s="1"/>
  <c r="T400" i="1"/>
  <c r="Z400" i="1" s="1"/>
  <c r="Q400" i="1"/>
  <c r="Y400" i="1" s="1"/>
  <c r="T174" i="1"/>
  <c r="Z174" i="1" s="1"/>
  <c r="Q174" i="1"/>
  <c r="T320" i="1"/>
  <c r="Z320" i="1" s="1"/>
  <c r="Q320" i="1"/>
  <c r="Y320" i="1" s="1"/>
  <c r="T128" i="1"/>
  <c r="Q128" i="1"/>
  <c r="T233" i="1"/>
  <c r="Z233" i="1" s="1"/>
  <c r="Q233" i="1"/>
  <c r="Y233" i="1" s="1"/>
  <c r="T249" i="1"/>
  <c r="Z249" i="1" s="1"/>
  <c r="Q249" i="1"/>
  <c r="Y249" i="1" s="1"/>
  <c r="T267" i="1"/>
  <c r="Z267" i="1" s="1"/>
  <c r="Q267" i="1"/>
  <c r="Y267" i="1" s="1"/>
  <c r="T567" i="1"/>
  <c r="Z567" i="1" s="1"/>
  <c r="Q567" i="1"/>
  <c r="Y567" i="1" s="1"/>
  <c r="T617" i="1"/>
  <c r="Z617" i="1" s="1"/>
  <c r="Q617" i="1"/>
  <c r="Y617" i="1" s="1"/>
  <c r="T651" i="1"/>
  <c r="Z651" i="1" s="1"/>
  <c r="Q651" i="1"/>
  <c r="Y651" i="1" s="1"/>
  <c r="T623" i="1"/>
  <c r="Z623" i="1" s="1"/>
  <c r="Q623" i="1"/>
  <c r="Y623" i="1" s="1"/>
  <c r="T577" i="1"/>
  <c r="Z577" i="1" s="1"/>
  <c r="Q577" i="1"/>
  <c r="Y577" i="1" s="1"/>
  <c r="T594" i="1"/>
  <c r="Z594" i="1" s="1"/>
  <c r="Q594" i="1"/>
  <c r="Y594" i="1" s="1"/>
  <c r="T593" i="1"/>
  <c r="Z593" i="1" s="1"/>
  <c r="Q593" i="1"/>
  <c r="Y593" i="1" s="1"/>
  <c r="T424" i="1"/>
  <c r="Z424" i="1" s="1"/>
  <c r="Q424" i="1"/>
  <c r="Y424" i="1" s="1"/>
  <c r="T420" i="1"/>
  <c r="Z420" i="1" s="1"/>
  <c r="Q420" i="1"/>
  <c r="Y420" i="1" s="1"/>
  <c r="T447" i="1"/>
  <c r="Z447" i="1" s="1"/>
  <c r="Q447" i="1"/>
  <c r="Y447" i="1" s="1"/>
  <c r="T443" i="1"/>
  <c r="Z443" i="1" s="1"/>
  <c r="Q443" i="1"/>
  <c r="Y443" i="1" s="1"/>
  <c r="T412" i="1"/>
  <c r="Z412" i="1" s="1"/>
  <c r="Q412" i="1"/>
  <c r="Y412" i="1" s="1"/>
  <c r="T147" i="1"/>
  <c r="Z147" i="1" s="1"/>
  <c r="Q147" i="1"/>
  <c r="Y147" i="1" s="1"/>
  <c r="Q364" i="1"/>
  <c r="Y364" i="1" s="1"/>
  <c r="T364" i="1"/>
  <c r="Z364" i="1" s="1"/>
  <c r="T407" i="1"/>
  <c r="Z407" i="1" s="1"/>
  <c r="Q407" i="1"/>
  <c r="Y407" i="1" s="1"/>
  <c r="T143" i="1"/>
  <c r="Z143" i="1" s="1"/>
  <c r="Q143" i="1"/>
  <c r="Y143" i="1" s="1"/>
  <c r="T155" i="1"/>
  <c r="Z155" i="1" s="1"/>
  <c r="Q155" i="1"/>
  <c r="Y155" i="1" s="1"/>
  <c r="Q107" i="1"/>
  <c r="Y107" i="1" s="1"/>
  <c r="T107" i="1"/>
  <c r="Z107" i="1" s="1"/>
  <c r="T295" i="1"/>
  <c r="Q295" i="1"/>
  <c r="T158" i="1"/>
  <c r="Z158" i="1" s="1"/>
  <c r="Q158" i="1"/>
  <c r="Y158" i="1" s="1"/>
  <c r="T146" i="1"/>
  <c r="Z146" i="1" s="1"/>
  <c r="Q146" i="1"/>
  <c r="Y146" i="1" s="1"/>
  <c r="T279" i="1"/>
  <c r="Z279" i="1" s="1"/>
  <c r="Q279" i="1"/>
  <c r="Y279" i="1" s="1"/>
  <c r="T104" i="1"/>
  <c r="Z104" i="1" s="1"/>
  <c r="Q104" i="1"/>
  <c r="Y104" i="1" s="1"/>
  <c r="T187" i="1"/>
  <c r="Z187" i="1" s="1"/>
  <c r="Q187" i="1"/>
  <c r="Y187" i="1" s="1"/>
  <c r="T263" i="1"/>
  <c r="Z263" i="1" s="1"/>
  <c r="Q263" i="1"/>
  <c r="Y263" i="1" s="1"/>
  <c r="T413" i="1"/>
  <c r="Z413" i="1" s="1"/>
  <c r="Q413" i="1"/>
  <c r="Y413" i="1" s="1"/>
  <c r="T344" i="1"/>
  <c r="Z344" i="1" s="1"/>
  <c r="Q344" i="1"/>
  <c r="Y344" i="1" s="1"/>
  <c r="T585" i="1"/>
  <c r="Z585" i="1" s="1"/>
  <c r="Q585" i="1"/>
  <c r="Y585" i="1" s="1"/>
  <c r="T455" i="1"/>
  <c r="Z455" i="1" s="1"/>
  <c r="Q455" i="1"/>
  <c r="Y455" i="1" s="1"/>
  <c r="T395" i="1"/>
  <c r="Z395" i="1" s="1"/>
  <c r="Q395" i="1"/>
  <c r="Y395" i="1" s="1"/>
  <c r="T182" i="1"/>
  <c r="Z182" i="1" s="1"/>
  <c r="Q182" i="1"/>
  <c r="Y182" i="1" s="1"/>
  <c r="T198" i="1"/>
  <c r="Z198" i="1" s="1"/>
  <c r="Q198" i="1"/>
  <c r="Y198" i="1" s="1"/>
  <c r="T444" i="1"/>
  <c r="Z444" i="1" s="1"/>
  <c r="Q444" i="1"/>
  <c r="Y444" i="1" s="1"/>
  <c r="T665" i="1"/>
  <c r="Z665" i="1" s="1"/>
  <c r="Q665" i="1"/>
  <c r="Y665" i="1" s="1"/>
  <c r="T418" i="1"/>
  <c r="Z418" i="1" s="1"/>
  <c r="Q418" i="1"/>
  <c r="Y418" i="1" s="1"/>
  <c r="T570" i="1"/>
  <c r="Z570" i="1" s="1"/>
  <c r="Q570" i="1"/>
  <c r="Y570" i="1" s="1"/>
  <c r="T631" i="1"/>
  <c r="Z631" i="1" s="1"/>
  <c r="Q631" i="1"/>
  <c r="Y631" i="1" s="1"/>
  <c r="T607" i="1"/>
  <c r="Z607" i="1" s="1"/>
  <c r="Q607" i="1"/>
  <c r="Y607" i="1" s="1"/>
  <c r="T416" i="1"/>
  <c r="Z416" i="1" s="1"/>
  <c r="Q416" i="1"/>
  <c r="Y416" i="1" s="1"/>
  <c r="T383" i="1"/>
  <c r="Z383" i="1" s="1"/>
  <c r="Q383" i="1"/>
  <c r="Y383" i="1" s="1"/>
  <c r="T308" i="1"/>
  <c r="Z308" i="1" s="1"/>
  <c r="Q308" i="1"/>
  <c r="Y308" i="1" s="1"/>
  <c r="T139" i="1"/>
  <c r="Z139" i="1" s="1"/>
  <c r="Q139" i="1"/>
  <c r="Y139" i="1" s="1"/>
  <c r="T175" i="1"/>
  <c r="Q175" i="1"/>
  <c r="T659" i="1"/>
  <c r="Z659" i="1" s="1"/>
  <c r="Q659" i="1"/>
  <c r="Y659" i="1" s="1"/>
  <c r="T637" i="1"/>
  <c r="Z637" i="1" s="1"/>
  <c r="Q637" i="1"/>
  <c r="Y637" i="1" s="1"/>
  <c r="T613" i="1"/>
  <c r="Z613" i="1" s="1"/>
  <c r="Q613" i="1"/>
  <c r="Y613" i="1" s="1"/>
  <c r="T633" i="1"/>
  <c r="Z633" i="1" s="1"/>
  <c r="Q633" i="1"/>
  <c r="Y633" i="1" s="1"/>
  <c r="T619" i="1"/>
  <c r="Z619" i="1" s="1"/>
  <c r="Q619" i="1"/>
  <c r="Y619" i="1" s="1"/>
  <c r="T663" i="1"/>
  <c r="Z663" i="1" s="1"/>
  <c r="Q663" i="1"/>
  <c r="Y663" i="1" s="1"/>
  <c r="T542" i="1"/>
  <c r="Z542" i="1" s="1"/>
  <c r="Q542" i="1"/>
  <c r="Y542" i="1" s="1"/>
  <c r="T603" i="1"/>
  <c r="Z603" i="1" s="1"/>
  <c r="Q603" i="1"/>
  <c r="Y603" i="1" s="1"/>
  <c r="T599" i="1"/>
  <c r="Z599" i="1" s="1"/>
  <c r="Q599" i="1"/>
  <c r="Y599" i="1" s="1"/>
  <c r="T678" i="1"/>
  <c r="Z678" i="1" s="1"/>
  <c r="Q678" i="1"/>
  <c r="Y678" i="1" s="1"/>
  <c r="T605" i="1"/>
  <c r="Z605" i="1" s="1"/>
  <c r="Q605" i="1"/>
  <c r="Y605" i="1" s="1"/>
  <c r="T666" i="1"/>
  <c r="Z666" i="1" s="1"/>
  <c r="Q666" i="1"/>
  <c r="Y666" i="1" s="1"/>
  <c r="T459" i="1"/>
  <c r="Z459" i="1" s="1"/>
  <c r="Q459" i="1"/>
  <c r="Y459" i="1" s="1"/>
  <c r="T569" i="1"/>
  <c r="Z569" i="1" s="1"/>
  <c r="Q569" i="1"/>
  <c r="Y569" i="1" s="1"/>
  <c r="T426" i="1"/>
  <c r="Z426" i="1" s="1"/>
  <c r="Q426" i="1"/>
  <c r="Y426" i="1" s="1"/>
  <c r="T318" i="1"/>
  <c r="Z318" i="1" s="1"/>
  <c r="Q318" i="1"/>
  <c r="Y318" i="1" s="1"/>
  <c r="T336" i="1"/>
  <c r="Z336" i="1" s="1"/>
  <c r="Q336" i="1"/>
  <c r="Y336" i="1" s="1"/>
  <c r="T340" i="1"/>
  <c r="Z340" i="1" s="1"/>
  <c r="Q340" i="1"/>
  <c r="Y340" i="1" s="1"/>
  <c r="T149" i="1"/>
  <c r="Z149" i="1" s="1"/>
  <c r="Q149" i="1"/>
  <c r="Y149" i="1" s="1"/>
  <c r="T374" i="1"/>
  <c r="Z374" i="1" s="1"/>
  <c r="Q374" i="1"/>
  <c r="Y374" i="1" s="1"/>
  <c r="T259" i="1"/>
  <c r="Z259" i="1" s="1"/>
  <c r="Q259" i="1"/>
  <c r="Y259" i="1" s="1"/>
  <c r="T369" i="1"/>
  <c r="Z369" i="1" s="1"/>
  <c r="Q369" i="1"/>
  <c r="Y369" i="1" s="1"/>
  <c r="T635" i="1"/>
  <c r="Z635" i="1" s="1"/>
  <c r="Q635" i="1"/>
  <c r="Y635" i="1" s="1"/>
  <c r="T611" i="1"/>
  <c r="Z611" i="1" s="1"/>
  <c r="Q611" i="1"/>
  <c r="Y611" i="1" s="1"/>
  <c r="T642" i="1"/>
  <c r="Z642" i="1" s="1"/>
  <c r="Q642" i="1"/>
  <c r="Y642" i="1" s="1"/>
  <c r="T641" i="1"/>
  <c r="Z641" i="1" s="1"/>
  <c r="Q641" i="1"/>
  <c r="Y641" i="1" s="1"/>
  <c r="T681" i="1"/>
  <c r="Z681" i="1" s="1"/>
  <c r="Q681" i="1"/>
  <c r="Y681" i="1" s="1"/>
  <c r="T680" i="1"/>
  <c r="Z680" i="1" s="1"/>
  <c r="Q680" i="1"/>
  <c r="Y680" i="1" s="1"/>
  <c r="T689" i="1"/>
  <c r="Z689" i="1" s="1"/>
  <c r="Q689" i="1"/>
  <c r="Y689" i="1" s="1"/>
  <c r="T377" i="1"/>
  <c r="Z377" i="1" s="1"/>
  <c r="Q377" i="1"/>
  <c r="Y377" i="1" s="1"/>
  <c r="T389" i="1"/>
  <c r="Z389" i="1" s="1"/>
  <c r="Q389" i="1"/>
  <c r="Y389" i="1" s="1"/>
  <c r="T453" i="1"/>
  <c r="Z453" i="1" s="1"/>
  <c r="Q453" i="1"/>
  <c r="Y453" i="1" s="1"/>
  <c r="T152" i="1"/>
  <c r="Z152" i="1" s="1"/>
  <c r="Q152" i="1"/>
  <c r="Y152" i="1" s="1"/>
  <c r="T255" i="1"/>
  <c r="Z255" i="1" s="1"/>
  <c r="Q255" i="1"/>
  <c r="Y255" i="1" s="1"/>
  <c r="T275" i="1"/>
  <c r="Z275" i="1" s="1"/>
  <c r="Q275" i="1"/>
  <c r="Y275" i="1" s="1"/>
  <c r="T69" i="1"/>
  <c r="Z69" i="1" s="1"/>
  <c r="Q69" i="1"/>
  <c r="T625" i="1"/>
  <c r="Z625" i="1" s="1"/>
  <c r="Q625" i="1"/>
  <c r="Y625" i="1" s="1"/>
  <c r="T701" i="1"/>
  <c r="Z701" i="1" s="1"/>
  <c r="Q701" i="1"/>
  <c r="Y701" i="1" s="1"/>
  <c r="T695" i="1"/>
  <c r="Z695" i="1" s="1"/>
  <c r="Q695" i="1"/>
  <c r="Y695" i="1" s="1"/>
  <c r="T583" i="1"/>
  <c r="Z583" i="1" s="1"/>
  <c r="Q583" i="1"/>
  <c r="Y583" i="1" s="1"/>
  <c r="T156" i="1"/>
  <c r="Z156" i="1" s="1"/>
  <c r="Q156" i="1"/>
  <c r="Y156" i="1" s="1"/>
  <c r="T579" i="1"/>
  <c r="Z579" i="1" s="1"/>
  <c r="Q579" i="1"/>
  <c r="Y579" i="1" s="1"/>
  <c r="T565" i="1"/>
  <c r="Z565" i="1" s="1"/>
  <c r="Q565" i="1"/>
  <c r="Y565" i="1" s="1"/>
  <c r="T609" i="1"/>
  <c r="Z609" i="1" s="1"/>
  <c r="Q609" i="1"/>
  <c r="Y609" i="1" s="1"/>
  <c r="T595" i="1"/>
  <c r="Z595" i="1" s="1"/>
  <c r="Q595" i="1"/>
  <c r="Y595" i="1" s="1"/>
  <c r="T667" i="1"/>
  <c r="Z667" i="1" s="1"/>
  <c r="Q667" i="1"/>
  <c r="Y667" i="1" s="1"/>
  <c r="T645" i="1"/>
  <c r="Z645" i="1" s="1"/>
  <c r="Q645" i="1"/>
  <c r="Y645" i="1" s="1"/>
  <c r="T428" i="1"/>
  <c r="Z428" i="1" s="1"/>
  <c r="Q428" i="1"/>
  <c r="Y428" i="1" s="1"/>
  <c r="T445" i="1"/>
  <c r="Z445" i="1" s="1"/>
  <c r="Q445" i="1"/>
  <c r="Y445" i="1" s="1"/>
  <c r="T430" i="1"/>
  <c r="Z430" i="1" s="1"/>
  <c r="Q430" i="1"/>
  <c r="Y430" i="1" s="1"/>
  <c r="T464" i="1"/>
  <c r="Z464" i="1" s="1"/>
  <c r="Q464" i="1"/>
  <c r="Y464" i="1" s="1"/>
  <c r="T124" i="1"/>
  <c r="Z124" i="1" s="1"/>
  <c r="Q124" i="1"/>
  <c r="T141" i="1"/>
  <c r="Z141" i="1" s="1"/>
  <c r="Q141" i="1"/>
  <c r="Y141" i="1" s="1"/>
  <c r="T488" i="1"/>
  <c r="Z488" i="1" s="1"/>
  <c r="Q488" i="1"/>
  <c r="Y488" i="1" s="1"/>
  <c r="T571" i="1"/>
  <c r="Z571" i="1" s="1"/>
  <c r="Q571" i="1"/>
  <c r="Y571" i="1" s="1"/>
  <c r="T439" i="1"/>
  <c r="Z439" i="1" s="1"/>
  <c r="Q439" i="1"/>
  <c r="Y439" i="1" s="1"/>
  <c r="T627" i="1"/>
  <c r="Z627" i="1" s="1"/>
  <c r="Q627" i="1"/>
  <c r="Y627" i="1" s="1"/>
  <c r="T639" i="1"/>
  <c r="Z639" i="1" s="1"/>
  <c r="Q639" i="1"/>
  <c r="Y639" i="1" s="1"/>
  <c r="T575" i="1"/>
  <c r="Z575" i="1" s="1"/>
  <c r="Q575" i="1"/>
  <c r="Y575" i="1" s="1"/>
  <c r="T615" i="1"/>
  <c r="Z615" i="1" s="1"/>
  <c r="Q615" i="1"/>
  <c r="Y615" i="1" s="1"/>
  <c r="T649" i="1"/>
  <c r="Z649" i="1" s="1"/>
  <c r="Q649" i="1"/>
  <c r="Y649" i="1" s="1"/>
  <c r="T618" i="1"/>
  <c r="Z618" i="1" s="1"/>
  <c r="Q618" i="1"/>
  <c r="Y618" i="1" s="1"/>
  <c r="T655" i="1"/>
  <c r="Z655" i="1" s="1"/>
  <c r="Q655" i="1"/>
  <c r="Y655" i="1" s="1"/>
  <c r="T441" i="1"/>
  <c r="Z441" i="1" s="1"/>
  <c r="Q441" i="1"/>
  <c r="Y441" i="1" s="1"/>
  <c r="T677" i="1"/>
  <c r="Z677" i="1" s="1"/>
  <c r="Q677" i="1"/>
  <c r="Y677" i="1" s="1"/>
  <c r="T342" i="1"/>
  <c r="Z342" i="1" s="1"/>
  <c r="Q342" i="1"/>
  <c r="Y342" i="1" s="1"/>
  <c r="T388" i="1"/>
  <c r="Z388" i="1" s="1"/>
  <c r="Q388" i="1"/>
  <c r="Y388" i="1" s="1"/>
  <c r="T183" i="1"/>
  <c r="Z183" i="1" s="1"/>
  <c r="Q183" i="1"/>
  <c r="Y183" i="1" s="1"/>
  <c r="T457" i="1"/>
  <c r="Z457" i="1" s="1"/>
  <c r="Q457" i="1"/>
  <c r="Y457" i="1" s="1"/>
  <c r="Q131" i="1"/>
  <c r="Y131" i="1" s="1"/>
  <c r="T131" i="1"/>
  <c r="Z131" i="1" s="1"/>
  <c r="T310" i="1"/>
  <c r="Z310" i="1" s="1"/>
  <c r="Q310" i="1"/>
  <c r="Y310" i="1" s="1"/>
  <c r="T225" i="1"/>
  <c r="Z225" i="1" s="1"/>
  <c r="Q225" i="1"/>
  <c r="Y225" i="1" s="1"/>
  <c r="T676" i="1"/>
  <c r="Z676" i="1" s="1"/>
  <c r="Q676" i="1"/>
  <c r="Y676" i="1" s="1"/>
  <c r="T591" i="1"/>
  <c r="Z591" i="1" s="1"/>
  <c r="Q591" i="1"/>
  <c r="Y591" i="1" s="1"/>
  <c r="T563" i="1"/>
  <c r="Z563" i="1" s="1"/>
  <c r="Q563" i="1"/>
  <c r="Y563" i="1" s="1"/>
  <c r="T401" i="1"/>
  <c r="Z401" i="1" s="1"/>
  <c r="Q401" i="1"/>
  <c r="Y401" i="1" s="1"/>
  <c r="T241" i="1"/>
  <c r="Z241" i="1" s="1"/>
  <c r="Q241" i="1"/>
  <c r="Y241" i="1" s="1"/>
  <c r="T685" i="1"/>
  <c r="Z685" i="1" s="1"/>
  <c r="Q685" i="1"/>
  <c r="Y685" i="1" s="1"/>
  <c r="T544" i="1"/>
  <c r="Z544" i="1" s="1"/>
  <c r="Q544" i="1"/>
  <c r="Y544" i="1" s="1"/>
  <c r="T653" i="1"/>
  <c r="Z653" i="1" s="1"/>
  <c r="Q653" i="1"/>
  <c r="Y653" i="1" s="1"/>
  <c r="T581" i="1"/>
  <c r="Z581" i="1" s="1"/>
  <c r="Q581" i="1"/>
  <c r="Y581" i="1" s="1"/>
  <c r="T587" i="1"/>
  <c r="Z587" i="1" s="1"/>
  <c r="Q587" i="1"/>
  <c r="Y587" i="1" s="1"/>
  <c r="T621" i="1"/>
  <c r="Z621" i="1" s="1"/>
  <c r="Q621" i="1"/>
  <c r="Y621" i="1" s="1"/>
  <c r="T338" i="1"/>
  <c r="Z338" i="1" s="1"/>
  <c r="Q338" i="1"/>
  <c r="Y338" i="1" s="1"/>
  <c r="Q154" i="1"/>
  <c r="Y154" i="1" s="1"/>
  <c r="T154" i="1"/>
  <c r="Z154" i="1" s="1"/>
  <c r="T99" i="1"/>
  <c r="Z99" i="1" s="1"/>
  <c r="Q99" i="1"/>
  <c r="Y99" i="1" s="1"/>
  <c r="T394" i="1"/>
  <c r="Z394" i="1" s="1"/>
  <c r="Q394" i="1"/>
  <c r="Y394" i="1" s="1"/>
  <c r="T312" i="1"/>
  <c r="Z312" i="1" s="1"/>
  <c r="Q312" i="1"/>
  <c r="Y312" i="1" s="1"/>
  <c r="T126" i="1"/>
  <c r="Z126" i="1" s="1"/>
  <c r="Q126" i="1"/>
  <c r="T137" i="1"/>
  <c r="Z137" i="1" s="1"/>
  <c r="Q137" i="1"/>
  <c r="Y137" i="1" s="1"/>
  <c r="Q193" i="1" l="1"/>
  <c r="Y193" i="1" s="1"/>
  <c r="S199" i="1"/>
  <c r="T199" i="1" s="1"/>
  <c r="Z199" i="1" s="1"/>
  <c r="N191" i="1"/>
  <c r="X191" i="1" s="1"/>
  <c r="N199" i="1"/>
  <c r="X199" i="1" s="1"/>
  <c r="Q191" i="1"/>
  <c r="Y191" i="1" s="1"/>
  <c r="N193" i="1"/>
  <c r="X193" i="1" s="1"/>
  <c r="S194" i="1"/>
  <c r="T194" i="1" s="1"/>
  <c r="Z194" i="1" s="1"/>
  <c r="N194" i="1"/>
  <c r="X194" i="1" s="1"/>
  <c r="Q189" i="1"/>
  <c r="Y189" i="1" s="1"/>
  <c r="N189" i="1"/>
  <c r="X189" i="1" s="1"/>
  <c r="S197" i="1"/>
  <c r="T197" i="1" s="1"/>
  <c r="Z197" i="1" s="1"/>
  <c r="N197" i="1"/>
  <c r="X197" i="1" s="1"/>
  <c r="Q195" i="1"/>
  <c r="Y195" i="1" s="1"/>
  <c r="N186" i="1"/>
  <c r="X186" i="1" s="1"/>
  <c r="N195" i="1"/>
  <c r="X195" i="1" s="1"/>
  <c r="P188" i="1"/>
  <c r="Q188" i="1" s="1"/>
  <c r="Y188" i="1" s="1"/>
  <c r="F7" i="3"/>
  <c r="Q186" i="1"/>
  <c r="Y186" i="1" s="1"/>
  <c r="Q179" i="1"/>
  <c r="Y179" i="1" s="1"/>
  <c r="S196" i="1"/>
  <c r="T196" i="1" s="1"/>
  <c r="Z196" i="1" s="1"/>
  <c r="Q181" i="1"/>
  <c r="Y181" i="1" s="1"/>
  <c r="T24" i="1"/>
  <c r="Z24" i="1" s="1"/>
  <c r="E43" i="1"/>
  <c r="F43" i="1"/>
  <c r="G43" i="1"/>
  <c r="E216" i="1"/>
  <c r="G216" i="1"/>
  <c r="F216" i="1"/>
  <c r="G215" i="1"/>
  <c r="F215" i="1"/>
  <c r="E215" i="1"/>
  <c r="F214" i="1"/>
  <c r="G214" i="1"/>
  <c r="E172" i="1"/>
  <c r="G172" i="1"/>
  <c r="F172" i="1"/>
  <c r="G171" i="1"/>
  <c r="F171" i="1"/>
  <c r="E171" i="1"/>
  <c r="F170" i="1"/>
  <c r="G170" i="1"/>
  <c r="F122" i="1"/>
  <c r="E122" i="1"/>
  <c r="G122" i="1"/>
  <c r="F121" i="1"/>
  <c r="G121" i="1"/>
  <c r="E121" i="1"/>
  <c r="F120" i="1"/>
  <c r="G120" i="1"/>
  <c r="G63" i="1"/>
  <c r="G64" i="1"/>
  <c r="E64" i="1"/>
  <c r="F64" i="1"/>
  <c r="G65" i="1"/>
  <c r="E65" i="1"/>
  <c r="F65" i="1"/>
  <c r="Z151" i="1" l="1"/>
  <c r="E151" i="1"/>
  <c r="H151" i="1" s="1"/>
  <c r="Y151" i="1"/>
  <c r="F151" i="1"/>
  <c r="S188" i="1"/>
  <c r="T188" i="1" s="1"/>
  <c r="Z188" i="1" s="1"/>
  <c r="H43" i="1"/>
  <c r="H121" i="1"/>
  <c r="H171" i="1"/>
  <c r="H215" i="1"/>
  <c r="E214" i="1"/>
  <c r="H214" i="1" s="1"/>
  <c r="H216" i="1"/>
  <c r="H172" i="1"/>
  <c r="E170" i="1"/>
  <c r="H170" i="1" s="1"/>
  <c r="H122" i="1"/>
  <c r="E120" i="1"/>
  <c r="H120" i="1" s="1"/>
  <c r="F63" i="1"/>
  <c r="E63" i="1"/>
  <c r="H63" i="1" s="1"/>
  <c r="H64" i="1"/>
  <c r="H65" i="1"/>
  <c r="G659" i="1" l="1"/>
  <c r="G660" i="1"/>
  <c r="G661" i="1"/>
  <c r="G662" i="1"/>
  <c r="G663" i="1"/>
  <c r="G664" i="1"/>
  <c r="G665" i="1"/>
  <c r="G666" i="1"/>
  <c r="E660" i="1" l="1"/>
  <c r="H660" i="1" s="1"/>
  <c r="E12" i="2"/>
  <c r="F3" i="5" l="1"/>
  <c r="A12" i="7"/>
  <c r="F660" i="1" l="1"/>
  <c r="G650" i="1" l="1"/>
  <c r="G413" i="1"/>
  <c r="G531" i="1"/>
  <c r="E413" i="1" l="1"/>
  <c r="H413" i="1" s="1"/>
  <c r="F413" i="1"/>
  <c r="G565" i="1" l="1"/>
  <c r="E442" i="1"/>
  <c r="G442" i="1"/>
  <c r="F315" i="1"/>
  <c r="E315" i="1"/>
  <c r="G315" i="1"/>
  <c r="I707" i="1"/>
  <c r="G682" i="1"/>
  <c r="G681" i="1"/>
  <c r="G680" i="1"/>
  <c r="G679" i="1"/>
  <c r="G678" i="1"/>
  <c r="G560" i="1"/>
  <c r="G559" i="1"/>
  <c r="G547" i="1"/>
  <c r="G546" i="1"/>
  <c r="G545" i="1"/>
  <c r="E661" i="1" l="1"/>
  <c r="H661" i="1" s="1"/>
  <c r="E662" i="1"/>
  <c r="H662" i="1" s="1"/>
  <c r="F661" i="1"/>
  <c r="E565" i="1"/>
  <c r="H565" i="1" s="1"/>
  <c r="F442" i="1"/>
  <c r="F565" i="1"/>
  <c r="H442" i="1"/>
  <c r="H315" i="1"/>
  <c r="E545" i="1"/>
  <c r="H545" i="1" s="1"/>
  <c r="E559" i="1"/>
  <c r="H559" i="1" s="1"/>
  <c r="E680" i="1"/>
  <c r="H680" i="1" s="1"/>
  <c r="E560" i="1"/>
  <c r="H560" i="1" s="1"/>
  <c r="E547" i="1"/>
  <c r="H547" i="1" s="1"/>
  <c r="E546" i="1"/>
  <c r="H546" i="1" s="1"/>
  <c r="F546" i="1"/>
  <c r="F545" i="1"/>
  <c r="F559" i="1"/>
  <c r="F560" i="1"/>
  <c r="F659" i="1" l="1"/>
  <c r="E663" i="1"/>
  <c r="H663" i="1" s="1"/>
  <c r="F665" i="1"/>
  <c r="E666" i="1"/>
  <c r="H666" i="1" s="1"/>
  <c r="E664" i="1"/>
  <c r="H664" i="1" s="1"/>
  <c r="F679" i="1"/>
  <c r="E531" i="1"/>
  <c r="H531" i="1" s="1"/>
  <c r="E650" i="1"/>
  <c r="H650" i="1" s="1"/>
  <c r="F531" i="1"/>
  <c r="F650" i="1"/>
  <c r="F680" i="1"/>
  <c r="E678" i="1"/>
  <c r="H678" i="1" s="1"/>
  <c r="E679" i="1"/>
  <c r="H679" i="1" s="1"/>
  <c r="E682" i="1"/>
  <c r="H682" i="1" s="1"/>
  <c r="F678" i="1"/>
  <c r="F682" i="1"/>
  <c r="E681" i="1"/>
  <c r="H681" i="1" s="1"/>
  <c r="F681" i="1"/>
  <c r="F547" i="1"/>
  <c r="G428" i="1"/>
  <c r="E428" i="1"/>
  <c r="G427" i="1"/>
  <c r="E427" i="1"/>
  <c r="E426" i="1"/>
  <c r="G426" i="1"/>
  <c r="G310" i="1"/>
  <c r="E310" i="1"/>
  <c r="E309" i="1"/>
  <c r="G309" i="1"/>
  <c r="G308" i="1"/>
  <c r="E308" i="1"/>
  <c r="G307" i="1"/>
  <c r="E307" i="1"/>
  <c r="G583" i="1"/>
  <c r="G460" i="1"/>
  <c r="G461" i="1"/>
  <c r="G462" i="1"/>
  <c r="E665" i="1" l="1"/>
  <c r="H665" i="1" s="1"/>
  <c r="F666" i="1"/>
  <c r="E659" i="1"/>
  <c r="H659" i="1" s="1"/>
  <c r="F664" i="1"/>
  <c r="H310" i="1"/>
  <c r="H428" i="1"/>
  <c r="H426" i="1"/>
  <c r="H307" i="1"/>
  <c r="H427" i="1"/>
  <c r="F428" i="1"/>
  <c r="F427" i="1"/>
  <c r="H308" i="1"/>
  <c r="H309" i="1"/>
  <c r="F308" i="1"/>
  <c r="F307" i="1"/>
  <c r="F310" i="1"/>
  <c r="F426" i="1" l="1"/>
  <c r="F309" i="1"/>
  <c r="F662" i="1" l="1"/>
  <c r="F663" i="1"/>
  <c r="G178" i="1" l="1"/>
  <c r="G177" i="1"/>
  <c r="G176" i="1"/>
  <c r="G175" i="1"/>
  <c r="G174" i="1"/>
  <c r="G128" i="1"/>
  <c r="G127" i="1"/>
  <c r="G126" i="1"/>
  <c r="G125" i="1"/>
  <c r="G124" i="1"/>
  <c r="G71" i="1"/>
  <c r="G70" i="1"/>
  <c r="G69" i="1"/>
  <c r="G68" i="1"/>
  <c r="G67" i="1"/>
  <c r="G4" i="1"/>
  <c r="G5" i="1"/>
  <c r="G6" i="1"/>
  <c r="G7" i="1"/>
  <c r="E126" i="1" l="1"/>
  <c r="H126" i="1" s="1"/>
  <c r="E178" i="1"/>
  <c r="H178" i="1" s="1"/>
  <c r="F176" i="1"/>
  <c r="E176" i="1"/>
  <c r="H176" i="1" s="1"/>
  <c r="E175" i="1"/>
  <c r="H175" i="1" s="1"/>
  <c r="E177" i="1"/>
  <c r="H177" i="1" s="1"/>
  <c r="F178" i="1"/>
  <c r="F177" i="1"/>
  <c r="F127" i="1"/>
  <c r="E127" i="1"/>
  <c r="H127" i="1" s="1"/>
  <c r="E128" i="1"/>
  <c r="H128" i="1" s="1"/>
  <c r="F128" i="1"/>
  <c r="F126" i="1"/>
  <c r="E125" i="1"/>
  <c r="H125" i="1" s="1"/>
  <c r="F125" i="1"/>
  <c r="E4" i="1"/>
  <c r="H4" i="1" s="1"/>
  <c r="F7" i="1"/>
  <c r="F6" i="1"/>
  <c r="F70" i="1"/>
  <c r="E70" i="1"/>
  <c r="H70" i="1" s="1"/>
  <c r="E71" i="1"/>
  <c r="H71" i="1" s="1"/>
  <c r="F71" i="1"/>
  <c r="E69" i="1"/>
  <c r="H69" i="1" s="1"/>
  <c r="F69" i="1"/>
  <c r="F5" i="1" l="1"/>
  <c r="E6" i="1"/>
  <c r="H6" i="1" s="1"/>
  <c r="E7" i="1"/>
  <c r="H7" i="1" s="1"/>
  <c r="E5" i="1"/>
  <c r="H5" i="1" s="1"/>
  <c r="F124" i="1"/>
  <c r="F175" i="1"/>
  <c r="E174" i="1"/>
  <c r="H174" i="1" s="1"/>
  <c r="F174" i="1"/>
  <c r="E124" i="1"/>
  <c r="H124" i="1" s="1"/>
  <c r="F4" i="1"/>
  <c r="E68" i="1"/>
  <c r="H68" i="1" s="1"/>
  <c r="E67" i="1"/>
  <c r="H67" i="1" s="1"/>
  <c r="F67" i="1"/>
  <c r="F68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F348" i="1"/>
  <c r="E280" i="1"/>
  <c r="F6" i="5"/>
  <c r="F5" i="5"/>
  <c r="F4" i="5"/>
  <c r="F2" i="5"/>
  <c r="A10" i="2"/>
  <c r="A8" i="2"/>
  <c r="A11" i="2"/>
  <c r="A9" i="2"/>
  <c r="G26" i="1" l="1"/>
  <c r="G27" i="1"/>
  <c r="G29" i="1"/>
  <c r="G33" i="1"/>
  <c r="G34" i="1"/>
  <c r="G35" i="1"/>
  <c r="G36" i="1"/>
  <c r="G38" i="1"/>
  <c r="G39" i="1"/>
  <c r="G41" i="1"/>
  <c r="G42" i="1"/>
  <c r="G46" i="1"/>
  <c r="G47" i="1"/>
  <c r="G76" i="1"/>
  <c r="G78" i="1"/>
  <c r="G80" i="1"/>
  <c r="G82" i="1"/>
  <c r="G84" i="1"/>
  <c r="G88" i="1"/>
  <c r="G89" i="1"/>
  <c r="G90" i="1"/>
  <c r="G92" i="1"/>
  <c r="G96" i="1"/>
  <c r="G97" i="1"/>
  <c r="G99" i="1"/>
  <c r="G100" i="1"/>
  <c r="G103" i="1"/>
  <c r="G104" i="1"/>
  <c r="G106" i="1"/>
  <c r="G107" i="1"/>
  <c r="G108" i="1"/>
  <c r="G129" i="1"/>
  <c r="G131" i="1"/>
  <c r="G133" i="1"/>
  <c r="G135" i="1"/>
  <c r="G137" i="1"/>
  <c r="G139" i="1"/>
  <c r="G140" i="1"/>
  <c r="G141" i="1"/>
  <c r="G142" i="1"/>
  <c r="G143" i="1"/>
  <c r="G144" i="1"/>
  <c r="G145" i="1"/>
  <c r="G148" i="1"/>
  <c r="G149" i="1"/>
  <c r="G150" i="1"/>
  <c r="G152" i="1"/>
  <c r="G154" i="1"/>
  <c r="G155" i="1"/>
  <c r="G156" i="1"/>
  <c r="G157" i="1"/>
  <c r="G15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3" i="1"/>
  <c r="G195" i="1"/>
  <c r="G196" i="1"/>
  <c r="G198" i="1"/>
  <c r="G199" i="1"/>
  <c r="G200" i="1"/>
  <c r="G201" i="1"/>
  <c r="G202" i="1"/>
  <c r="G271" i="1"/>
  <c r="G293" i="1"/>
  <c r="G311" i="1"/>
  <c r="G312" i="1"/>
  <c r="G313" i="1"/>
  <c r="G314" i="1"/>
  <c r="G316" i="1"/>
  <c r="G340" i="1"/>
  <c r="G341" i="1"/>
  <c r="G342" i="1"/>
  <c r="G351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8" i="1"/>
  <c r="G409" i="1"/>
  <c r="G410" i="1"/>
  <c r="G411" i="1"/>
  <c r="G412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40" i="1"/>
  <c r="G441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3" i="1"/>
  <c r="G464" i="1"/>
  <c r="G465" i="1"/>
  <c r="G466" i="1"/>
  <c r="G467" i="1"/>
  <c r="G468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5" i="1"/>
  <c r="G526" i="1"/>
  <c r="G527" i="1"/>
  <c r="G528" i="1"/>
  <c r="G529" i="1"/>
  <c r="G530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63" i="1"/>
  <c r="G564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4" i="1"/>
  <c r="G585" i="1"/>
  <c r="G586" i="1"/>
  <c r="G587" i="1"/>
  <c r="G588" i="1"/>
  <c r="G589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1" i="1"/>
  <c r="G652" i="1"/>
  <c r="G653" i="1"/>
  <c r="G654" i="1"/>
  <c r="G655" i="1"/>
  <c r="G656" i="1"/>
  <c r="G657" i="1"/>
  <c r="G658" i="1"/>
  <c r="G676" i="1"/>
  <c r="G677" i="1"/>
  <c r="G685" i="1"/>
  <c r="G686" i="1"/>
  <c r="G688" i="1"/>
  <c r="G687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8" i="1"/>
  <c r="G11" i="1"/>
  <c r="G13" i="1"/>
  <c r="G15" i="1"/>
  <c r="G17" i="1"/>
  <c r="G19" i="1"/>
  <c r="G20" i="1"/>
  <c r="G24" i="1"/>
  <c r="F129" i="1"/>
  <c r="F179" i="1"/>
  <c r="E72" i="1"/>
  <c r="E129" i="1"/>
  <c r="E179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7" i="1"/>
  <c r="F688" i="1"/>
  <c r="F686" i="1"/>
  <c r="F685" i="1"/>
  <c r="F677" i="1"/>
  <c r="F676" i="1"/>
  <c r="F658" i="1"/>
  <c r="F657" i="1"/>
  <c r="F656" i="1"/>
  <c r="F655" i="1"/>
  <c r="F654" i="1"/>
  <c r="F653" i="1"/>
  <c r="F652" i="1"/>
  <c r="F651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89" i="1"/>
  <c r="F588" i="1"/>
  <c r="F587" i="1"/>
  <c r="F586" i="1"/>
  <c r="F585" i="1"/>
  <c r="F584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4" i="1"/>
  <c r="F563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0" i="1"/>
  <c r="F529" i="1"/>
  <c r="F528" i="1"/>
  <c r="F527" i="1"/>
  <c r="F526" i="1"/>
  <c r="F525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68" i="1"/>
  <c r="F467" i="1"/>
  <c r="F466" i="1"/>
  <c r="F465" i="1"/>
  <c r="F464" i="1"/>
  <c r="F463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1" i="1"/>
  <c r="F440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2" i="1"/>
  <c r="F411" i="1"/>
  <c r="F410" i="1"/>
  <c r="F409" i="1"/>
  <c r="F408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1" i="1"/>
  <c r="F350" i="1"/>
  <c r="F349" i="1"/>
  <c r="F346" i="1"/>
  <c r="F345" i="1"/>
  <c r="F344" i="1"/>
  <c r="F343" i="1"/>
  <c r="F342" i="1"/>
  <c r="F341" i="1"/>
  <c r="F340" i="1"/>
  <c r="F339" i="1"/>
  <c r="F338" i="1"/>
  <c r="F337" i="1"/>
  <c r="F336" i="1"/>
  <c r="F321" i="1"/>
  <c r="F320" i="1"/>
  <c r="F319" i="1"/>
  <c r="F318" i="1"/>
  <c r="F317" i="1"/>
  <c r="F316" i="1"/>
  <c r="F314" i="1"/>
  <c r="F312" i="1"/>
  <c r="F311" i="1"/>
  <c r="F293" i="1"/>
  <c r="F271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02" i="1"/>
  <c r="F201" i="1"/>
  <c r="F200" i="1"/>
  <c r="F199" i="1"/>
  <c r="F198" i="1"/>
  <c r="F196" i="1"/>
  <c r="F195" i="1"/>
  <c r="F193" i="1"/>
  <c r="F190" i="1"/>
  <c r="F189" i="1"/>
  <c r="F188" i="1"/>
  <c r="F187" i="1"/>
  <c r="F186" i="1"/>
  <c r="F185" i="1"/>
  <c r="F184" i="1"/>
  <c r="F183" i="1"/>
  <c r="F182" i="1"/>
  <c r="F181" i="1"/>
  <c r="F180" i="1"/>
  <c r="F158" i="1"/>
  <c r="F157" i="1"/>
  <c r="F156" i="1"/>
  <c r="F155" i="1"/>
  <c r="F154" i="1"/>
  <c r="F152" i="1"/>
  <c r="F150" i="1"/>
  <c r="F149" i="1"/>
  <c r="F148" i="1"/>
  <c r="F145" i="1"/>
  <c r="F144" i="1"/>
  <c r="F143" i="1"/>
  <c r="F142" i="1"/>
  <c r="F141" i="1"/>
  <c r="F140" i="1"/>
  <c r="F139" i="1"/>
  <c r="F137" i="1"/>
  <c r="F135" i="1"/>
  <c r="F133" i="1"/>
  <c r="F131" i="1"/>
  <c r="F108" i="1"/>
  <c r="F107" i="1"/>
  <c r="F106" i="1"/>
  <c r="F104" i="1"/>
  <c r="F103" i="1"/>
  <c r="F100" i="1"/>
  <c r="F99" i="1"/>
  <c r="F97" i="1"/>
  <c r="F96" i="1"/>
  <c r="F92" i="1"/>
  <c r="F90" i="1"/>
  <c r="F89" i="1"/>
  <c r="F88" i="1"/>
  <c r="F84" i="1"/>
  <c r="F82" i="1"/>
  <c r="F80" i="1"/>
  <c r="F78" i="1"/>
  <c r="F76" i="1"/>
  <c r="F47" i="1"/>
  <c r="F46" i="1"/>
  <c r="F42" i="1"/>
  <c r="F41" i="1"/>
  <c r="F39" i="1"/>
  <c r="F38" i="1"/>
  <c r="F36" i="1"/>
  <c r="F35" i="1"/>
  <c r="F27" i="1"/>
  <c r="F26" i="1"/>
  <c r="F19" i="1"/>
  <c r="F13" i="1"/>
  <c r="F11" i="1"/>
  <c r="F191" i="1" l="1"/>
  <c r="H179" i="1"/>
  <c r="H129" i="1"/>
  <c r="F34" i="1"/>
  <c r="F17" i="1"/>
  <c r="F29" i="1"/>
  <c r="F15" i="1"/>
  <c r="F20" i="1" l="1"/>
  <c r="F24" i="1"/>
  <c r="F33" i="1"/>
  <c r="F8" i="1"/>
  <c r="E706" i="1" l="1"/>
  <c r="H706" i="1" s="1"/>
  <c r="E589" i="1"/>
  <c r="H589" i="1" s="1"/>
  <c r="E468" i="1"/>
  <c r="H468" i="1" s="1"/>
  <c r="E351" i="1"/>
  <c r="H351" i="1" s="1"/>
  <c r="E199" i="1"/>
  <c r="H199" i="1" s="1"/>
  <c r="E198" i="1"/>
  <c r="H198" i="1" s="1"/>
  <c r="E155" i="1"/>
  <c r="H155" i="1" s="1"/>
  <c r="E154" i="1"/>
  <c r="H154" i="1" s="1"/>
  <c r="E104" i="1"/>
  <c r="H104" i="1" s="1"/>
  <c r="E103" i="1"/>
  <c r="H103" i="1" s="1"/>
  <c r="E41" i="1"/>
  <c r="H41" i="1" s="1"/>
  <c r="E39" i="1"/>
  <c r="H39" i="1" s="1"/>
  <c r="E38" i="1"/>
  <c r="H38" i="1" s="1"/>
  <c r="E8" i="1" l="1"/>
  <c r="H8" i="1" s="1"/>
  <c r="E11" i="1"/>
  <c r="H11" i="1" s="1"/>
  <c r="E13" i="1"/>
  <c r="H13" i="1" s="1"/>
  <c r="E15" i="1"/>
  <c r="H15" i="1" s="1"/>
  <c r="E17" i="1"/>
  <c r="H17" i="1" s="1"/>
  <c r="E19" i="1"/>
  <c r="H19" i="1" s="1"/>
  <c r="E20" i="1"/>
  <c r="H20" i="1" s="1"/>
  <c r="E24" i="1"/>
  <c r="H24" i="1" s="1"/>
  <c r="E26" i="1"/>
  <c r="H26" i="1" s="1"/>
  <c r="E27" i="1"/>
  <c r="H27" i="1" s="1"/>
  <c r="E29" i="1"/>
  <c r="H29" i="1" s="1"/>
  <c r="E33" i="1"/>
  <c r="H33" i="1" s="1"/>
  <c r="E34" i="1"/>
  <c r="H34" i="1" s="1"/>
  <c r="E35" i="1"/>
  <c r="H35" i="1" s="1"/>
  <c r="E36" i="1"/>
  <c r="H36" i="1" s="1"/>
  <c r="E42" i="1"/>
  <c r="H42" i="1" s="1"/>
  <c r="E46" i="1"/>
  <c r="H46" i="1" s="1"/>
  <c r="E47" i="1"/>
  <c r="H47" i="1" s="1"/>
  <c r="E74" i="1"/>
  <c r="E76" i="1"/>
  <c r="H76" i="1" s="1"/>
  <c r="E78" i="1"/>
  <c r="H78" i="1" s="1"/>
  <c r="E80" i="1"/>
  <c r="H80" i="1" s="1"/>
  <c r="E82" i="1"/>
  <c r="H82" i="1" s="1"/>
  <c r="E84" i="1"/>
  <c r="H84" i="1" s="1"/>
  <c r="E86" i="1"/>
  <c r="E88" i="1"/>
  <c r="H88" i="1" s="1"/>
  <c r="E89" i="1"/>
  <c r="H89" i="1" s="1"/>
  <c r="E90" i="1"/>
  <c r="H90" i="1" s="1"/>
  <c r="E92" i="1"/>
  <c r="H92" i="1" s="1"/>
  <c r="E94" i="1"/>
  <c r="E96" i="1"/>
  <c r="H96" i="1" s="1"/>
  <c r="E97" i="1"/>
  <c r="H97" i="1" s="1"/>
  <c r="E98" i="1"/>
  <c r="E99" i="1"/>
  <c r="H99" i="1" s="1"/>
  <c r="E100" i="1"/>
  <c r="H100" i="1" s="1"/>
  <c r="E106" i="1"/>
  <c r="H106" i="1" s="1"/>
  <c r="E107" i="1"/>
  <c r="H107" i="1" s="1"/>
  <c r="E108" i="1"/>
  <c r="H108" i="1" s="1"/>
  <c r="E131" i="1"/>
  <c r="H131" i="1" s="1"/>
  <c r="E133" i="1"/>
  <c r="H133" i="1" s="1"/>
  <c r="E135" i="1"/>
  <c r="H135" i="1" s="1"/>
  <c r="E137" i="1"/>
  <c r="H137" i="1" s="1"/>
  <c r="E139" i="1"/>
  <c r="H139" i="1" s="1"/>
  <c r="E140" i="1"/>
  <c r="H140" i="1" s="1"/>
  <c r="E141" i="1"/>
  <c r="H141" i="1" s="1"/>
  <c r="E142" i="1"/>
  <c r="H142" i="1" s="1"/>
  <c r="E143" i="1"/>
  <c r="H143" i="1" s="1"/>
  <c r="E144" i="1"/>
  <c r="H144" i="1" s="1"/>
  <c r="E145" i="1"/>
  <c r="H145" i="1" s="1"/>
  <c r="E146" i="1"/>
  <c r="E148" i="1"/>
  <c r="H148" i="1" s="1"/>
  <c r="E149" i="1"/>
  <c r="H149" i="1" s="1"/>
  <c r="E150" i="1"/>
  <c r="H150" i="1" s="1"/>
  <c r="E152" i="1"/>
  <c r="H152" i="1" s="1"/>
  <c r="E156" i="1"/>
  <c r="H156" i="1" s="1"/>
  <c r="E157" i="1"/>
  <c r="H157" i="1" s="1"/>
  <c r="E158" i="1"/>
  <c r="H158" i="1" s="1"/>
  <c r="E180" i="1"/>
  <c r="H180" i="1" s="1"/>
  <c r="E181" i="1"/>
  <c r="H181" i="1" s="1"/>
  <c r="E182" i="1"/>
  <c r="H182" i="1" s="1"/>
  <c r="E183" i="1"/>
  <c r="H183" i="1" s="1"/>
  <c r="E184" i="1"/>
  <c r="H184" i="1" s="1"/>
  <c r="E185" i="1"/>
  <c r="H185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3" i="1"/>
  <c r="H193" i="1" s="1"/>
  <c r="E195" i="1"/>
  <c r="H195" i="1" s="1"/>
  <c r="E196" i="1"/>
  <c r="H196" i="1" s="1"/>
  <c r="E200" i="1"/>
  <c r="H200" i="1" s="1"/>
  <c r="E201" i="1"/>
  <c r="H201" i="1" s="1"/>
  <c r="E202" i="1"/>
  <c r="H202" i="1" s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H247" i="1" s="1"/>
  <c r="E248" i="1"/>
  <c r="H248" i="1" s="1"/>
  <c r="E249" i="1"/>
  <c r="H249" i="1" s="1"/>
  <c r="E250" i="1"/>
  <c r="H250" i="1" s="1"/>
  <c r="E251" i="1"/>
  <c r="H251" i="1" s="1"/>
  <c r="E252" i="1"/>
  <c r="H252" i="1" s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E264" i="1"/>
  <c r="E265" i="1"/>
  <c r="E266" i="1"/>
  <c r="E267" i="1"/>
  <c r="E268" i="1"/>
  <c r="E269" i="1"/>
  <c r="E270" i="1"/>
  <c r="E271" i="1"/>
  <c r="H271" i="1" s="1"/>
  <c r="E273" i="1"/>
  <c r="E274" i="1"/>
  <c r="E275" i="1"/>
  <c r="E276" i="1"/>
  <c r="E277" i="1"/>
  <c r="E278" i="1"/>
  <c r="E279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H293" i="1" s="1"/>
  <c r="E311" i="1"/>
  <c r="H311" i="1" s="1"/>
  <c r="E312" i="1"/>
  <c r="H312" i="1" s="1"/>
  <c r="E313" i="1"/>
  <c r="H313" i="1" s="1"/>
  <c r="E314" i="1"/>
  <c r="H314" i="1" s="1"/>
  <c r="E316" i="1"/>
  <c r="H316" i="1" s="1"/>
  <c r="E340" i="1"/>
  <c r="H340" i="1" s="1"/>
  <c r="E341" i="1"/>
  <c r="H341" i="1" s="1"/>
  <c r="E342" i="1"/>
  <c r="H34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8" i="1"/>
  <c r="H408" i="1" s="1"/>
  <c r="E409" i="1"/>
  <c r="H409" i="1" s="1"/>
  <c r="E410" i="1"/>
  <c r="H410" i="1" s="1"/>
  <c r="E411" i="1"/>
  <c r="H411" i="1" s="1"/>
  <c r="E412" i="1"/>
  <c r="H412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40" i="1"/>
  <c r="H440" i="1" s="1"/>
  <c r="E441" i="1"/>
  <c r="H441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3" i="1"/>
  <c r="H463" i="1" s="1"/>
  <c r="E464" i="1"/>
  <c r="H464" i="1" s="1"/>
  <c r="E465" i="1"/>
  <c r="H465" i="1" s="1"/>
  <c r="E466" i="1"/>
  <c r="H466" i="1" s="1"/>
  <c r="E467" i="1"/>
  <c r="H467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H506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H516" i="1" s="1"/>
  <c r="E517" i="1"/>
  <c r="H517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2" i="1"/>
  <c r="H532" i="1" s="1"/>
  <c r="E533" i="1"/>
  <c r="H533" i="1" s="1"/>
  <c r="E534" i="1"/>
  <c r="H534" i="1" s="1"/>
  <c r="E535" i="1"/>
  <c r="H535" i="1" s="1"/>
  <c r="E536" i="1"/>
  <c r="H536" i="1" s="1"/>
  <c r="E537" i="1"/>
  <c r="H537" i="1" s="1"/>
  <c r="E538" i="1"/>
  <c r="H538" i="1" s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61" i="1"/>
  <c r="E562" i="1"/>
  <c r="E563" i="1"/>
  <c r="H563" i="1" s="1"/>
  <c r="E564" i="1"/>
  <c r="H564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4" i="1"/>
  <c r="H584" i="1" s="1"/>
  <c r="E585" i="1"/>
  <c r="H585" i="1" s="1"/>
  <c r="E586" i="1"/>
  <c r="H586" i="1" s="1"/>
  <c r="E587" i="1"/>
  <c r="H587" i="1" s="1"/>
  <c r="E588" i="1"/>
  <c r="H588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1" i="1"/>
  <c r="H621" i="1" s="1"/>
  <c r="E622" i="1"/>
  <c r="H622" i="1" s="1"/>
  <c r="E623" i="1"/>
  <c r="H623" i="1" s="1"/>
  <c r="E624" i="1"/>
  <c r="H624" i="1" s="1"/>
  <c r="E625" i="1"/>
  <c r="H625" i="1" s="1"/>
  <c r="E626" i="1"/>
  <c r="H626" i="1" s="1"/>
  <c r="E627" i="1"/>
  <c r="H627" i="1" s="1"/>
  <c r="E628" i="1"/>
  <c r="H628" i="1" s="1"/>
  <c r="E629" i="1"/>
  <c r="H629" i="1" s="1"/>
  <c r="E630" i="1"/>
  <c r="H630" i="1" s="1"/>
  <c r="E631" i="1"/>
  <c r="H631" i="1" s="1"/>
  <c r="E632" i="1"/>
  <c r="H632" i="1" s="1"/>
  <c r="E633" i="1"/>
  <c r="H633" i="1" s="1"/>
  <c r="E634" i="1"/>
  <c r="H634" i="1" s="1"/>
  <c r="E635" i="1"/>
  <c r="H635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1" i="1"/>
  <c r="H651" i="1" s="1"/>
  <c r="E652" i="1"/>
  <c r="H652" i="1" s="1"/>
  <c r="E653" i="1"/>
  <c r="H653" i="1" s="1"/>
  <c r="E654" i="1"/>
  <c r="H654" i="1" s="1"/>
  <c r="E655" i="1"/>
  <c r="H655" i="1" s="1"/>
  <c r="E656" i="1"/>
  <c r="H656" i="1" s="1"/>
  <c r="E657" i="1"/>
  <c r="H657" i="1" s="1"/>
  <c r="E658" i="1"/>
  <c r="H658" i="1" s="1"/>
  <c r="E676" i="1"/>
  <c r="H676" i="1" s="1"/>
  <c r="E677" i="1"/>
  <c r="H677" i="1" s="1"/>
  <c r="E683" i="1"/>
  <c r="E684" i="1"/>
  <c r="E685" i="1"/>
  <c r="H685" i="1" s="1"/>
  <c r="E686" i="1"/>
  <c r="H686" i="1" s="1"/>
  <c r="E688" i="1"/>
  <c r="H688" i="1" s="1"/>
  <c r="E687" i="1"/>
  <c r="H687" i="1" s="1"/>
  <c r="E689" i="1"/>
  <c r="H689" i="1" s="1"/>
  <c r="E690" i="1"/>
  <c r="H690" i="1" s="1"/>
  <c r="E691" i="1"/>
  <c r="H691" i="1" s="1"/>
  <c r="E692" i="1"/>
  <c r="H692" i="1" s="1"/>
  <c r="E693" i="1"/>
  <c r="H693" i="1" s="1"/>
  <c r="E694" i="1"/>
  <c r="H694" i="1" s="1"/>
  <c r="E695" i="1"/>
  <c r="H695" i="1" s="1"/>
  <c r="E696" i="1"/>
  <c r="H696" i="1" s="1"/>
  <c r="E697" i="1"/>
  <c r="H697" i="1" s="1"/>
  <c r="E698" i="1"/>
  <c r="H698" i="1" s="1"/>
  <c r="E699" i="1"/>
  <c r="H699" i="1" s="1"/>
  <c r="E700" i="1"/>
  <c r="H700" i="1" s="1"/>
  <c r="E701" i="1"/>
  <c r="H701" i="1" s="1"/>
  <c r="E702" i="1"/>
  <c r="H702" i="1" s="1"/>
  <c r="E703" i="1"/>
  <c r="H703" i="1" s="1"/>
  <c r="E704" i="1"/>
  <c r="H704" i="1" s="1"/>
  <c r="E705" i="1"/>
  <c r="H705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313" i="1" l="1"/>
  <c r="F460" i="1" l="1"/>
  <c r="E461" i="1" l="1"/>
  <c r="H461" i="1" s="1"/>
  <c r="F461" i="1"/>
  <c r="E583" i="1"/>
  <c r="H583" i="1" s="1"/>
  <c r="E460" i="1"/>
  <c r="H460" i="1" s="1"/>
  <c r="F583" i="1" l="1"/>
  <c r="F462" i="1" l="1"/>
  <c r="E462" i="1" l="1"/>
  <c r="H462" i="1" s="1"/>
  <c r="F278" i="1" l="1"/>
  <c r="F290" i="1"/>
  <c r="F287" i="1"/>
  <c r="F291" i="1"/>
  <c r="F276" i="1"/>
  <c r="F284" i="1"/>
  <c r="F288" i="1"/>
  <c r="F292" i="1"/>
  <c r="F277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94" i="1"/>
  <c r="G147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70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92" i="1"/>
  <c r="BE9" i="3"/>
  <c r="AS9" i="3"/>
  <c r="BM9" i="3"/>
  <c r="BQ9" i="3"/>
  <c r="G343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438" i="1"/>
  <c r="CG9" i="3"/>
  <c r="AJ9" i="3"/>
  <c r="BW9" i="3"/>
  <c r="AU9" i="3"/>
  <c r="AR9" i="3"/>
  <c r="AY9" i="3"/>
  <c r="BR9" i="3"/>
  <c r="AD9" i="3"/>
  <c r="BK9" i="3"/>
  <c r="BZ9" i="3"/>
  <c r="G319" i="1"/>
  <c r="F223" i="1"/>
  <c r="G346" i="1"/>
  <c r="G338" i="1"/>
  <c r="G317" i="1"/>
  <c r="G345" i="1"/>
  <c r="G350" i="1"/>
  <c r="G320" i="1"/>
  <c r="G321" i="1"/>
  <c r="G344" i="1"/>
  <c r="G336" i="1"/>
  <c r="G318" i="1"/>
  <c r="G339" i="1"/>
  <c r="G562" i="1"/>
  <c r="H562" i="1" s="1"/>
  <c r="G266" i="1"/>
  <c r="H266" i="1" s="1"/>
  <c r="G231" i="1"/>
  <c r="H231" i="1" s="1"/>
  <c r="G225" i="1"/>
  <c r="H225" i="1" s="1"/>
  <c r="G236" i="1"/>
  <c r="H236" i="1" s="1"/>
  <c r="G288" i="1"/>
  <c r="H288" i="1" s="1"/>
  <c r="G246" i="1"/>
  <c r="H246" i="1" s="1"/>
  <c r="G219" i="1"/>
  <c r="H219" i="1" s="1"/>
  <c r="G221" i="1"/>
  <c r="H221" i="1" s="1"/>
  <c r="G227" i="1"/>
  <c r="H227" i="1" s="1"/>
  <c r="G242" i="1"/>
  <c r="H242" i="1" s="1"/>
  <c r="G282" i="1"/>
  <c r="H282" i="1" s="1"/>
  <c r="G94" i="1"/>
  <c r="H94" i="1" s="1"/>
  <c r="G684" i="1"/>
  <c r="H684" i="1" s="1"/>
  <c r="F222" i="1"/>
  <c r="G222" i="1"/>
  <c r="G243" i="1"/>
  <c r="H243" i="1" s="1"/>
  <c r="G234" i="1"/>
  <c r="H234" i="1" s="1"/>
  <c r="G290" i="1"/>
  <c r="H290" i="1" s="1"/>
  <c r="G292" i="1"/>
  <c r="H292" i="1" s="1"/>
  <c r="G220" i="1"/>
  <c r="H220" i="1" s="1"/>
  <c r="G235" i="1"/>
  <c r="H235" i="1" s="1"/>
  <c r="G230" i="1"/>
  <c r="H230" i="1" s="1"/>
  <c r="G286" i="1"/>
  <c r="H286" i="1" s="1"/>
  <c r="G275" i="1"/>
  <c r="H275" i="1" s="1"/>
  <c r="G267" i="1"/>
  <c r="H267" i="1" s="1"/>
  <c r="G239" i="1"/>
  <c r="H239" i="1" s="1"/>
  <c r="G224" i="1"/>
  <c r="H224" i="1" s="1"/>
  <c r="G291" i="1"/>
  <c r="H291" i="1" s="1"/>
  <c r="G263" i="1"/>
  <c r="H263" i="1" s="1"/>
  <c r="G265" i="1"/>
  <c r="H265" i="1" s="1"/>
  <c r="G244" i="1"/>
  <c r="H244" i="1" s="1"/>
  <c r="G238" i="1"/>
  <c r="H238" i="1" s="1"/>
  <c r="G289" i="1"/>
  <c r="H289" i="1" s="1"/>
  <c r="G280" i="1"/>
  <c r="H280" i="1" s="1"/>
  <c r="G223" i="1"/>
  <c r="G74" i="1"/>
  <c r="H74" i="1" s="1"/>
  <c r="G273" i="1"/>
  <c r="H273" i="1" s="1"/>
  <c r="G285" i="1"/>
  <c r="H285" i="1" s="1"/>
  <c r="G232" i="1"/>
  <c r="H232" i="1" s="1"/>
  <c r="G561" i="1"/>
  <c r="H561" i="1" s="1"/>
  <c r="G269" i="1"/>
  <c r="H269" i="1" s="1"/>
  <c r="G281" i="1"/>
  <c r="H281" i="1" s="1"/>
  <c r="G287" i="1"/>
  <c r="H287" i="1" s="1"/>
  <c r="G277" i="1"/>
  <c r="H277" i="1" s="1"/>
  <c r="G279" i="1"/>
  <c r="H279" i="1" s="1"/>
  <c r="G226" i="1"/>
  <c r="H226" i="1" s="1"/>
  <c r="G683" i="1"/>
  <c r="H683" i="1" s="1"/>
  <c r="G245" i="1"/>
  <c r="H245" i="1" s="1"/>
  <c r="G240" i="1"/>
  <c r="H240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72" i="1"/>
  <c r="H72" i="1" s="1"/>
  <c r="G283" i="1"/>
  <c r="H283" i="1" s="1"/>
  <c r="G241" i="1"/>
  <c r="H241" i="1" s="1"/>
  <c r="G268" i="1"/>
  <c r="H268" i="1" s="1"/>
  <c r="G228" i="1"/>
  <c r="H228" i="1" s="1"/>
  <c r="G278" i="1"/>
  <c r="H278" i="1" s="1"/>
  <c r="G284" i="1"/>
  <c r="H284" i="1" s="1"/>
  <c r="G237" i="1"/>
  <c r="H237" i="1" s="1"/>
  <c r="G264" i="1"/>
  <c r="H264" i="1" s="1"/>
  <c r="G270" i="1"/>
  <c r="H270" i="1" s="1"/>
  <c r="G229" i="1"/>
  <c r="H229" i="1" s="1"/>
  <c r="G274" i="1"/>
  <c r="H274" i="1" s="1"/>
  <c r="G98" i="1"/>
  <c r="H98" i="1" s="1"/>
  <c r="G233" i="1"/>
  <c r="H233" i="1" s="1"/>
  <c r="G276" i="1"/>
  <c r="H276" i="1" s="1"/>
  <c r="G86" i="1"/>
  <c r="H86" i="1" s="1"/>
  <c r="G146" i="1"/>
  <c r="H146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218" i="1"/>
  <c r="H218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E147" i="1"/>
  <c r="F147" i="1"/>
  <c r="F234" i="1"/>
  <c r="F242" i="1"/>
  <c r="F270" i="1"/>
  <c r="E317" i="1"/>
  <c r="E343" i="1"/>
  <c r="G473" i="1"/>
  <c r="F219" i="1"/>
  <c r="F231" i="1"/>
  <c r="F239" i="1"/>
  <c r="F267" i="1"/>
  <c r="F275" i="1"/>
  <c r="E318" i="1"/>
  <c r="G348" i="1"/>
  <c r="E348" i="1"/>
  <c r="G197" i="1"/>
  <c r="F197" i="1"/>
  <c r="F224" i="1"/>
  <c r="F232" i="1"/>
  <c r="F236" i="1"/>
  <c r="F240" i="1"/>
  <c r="F244" i="1"/>
  <c r="F264" i="1"/>
  <c r="F268" i="1"/>
  <c r="F280" i="1"/>
  <c r="E319" i="1"/>
  <c r="G337" i="1"/>
  <c r="E337" i="1"/>
  <c r="E345" i="1"/>
  <c r="G349" i="1"/>
  <c r="E349" i="1"/>
  <c r="G471" i="1"/>
  <c r="F471" i="1"/>
  <c r="F74" i="1"/>
  <c r="F226" i="1"/>
  <c r="F230" i="1"/>
  <c r="F238" i="1"/>
  <c r="F246" i="1"/>
  <c r="F266" i="1"/>
  <c r="F274" i="1"/>
  <c r="F282" i="1"/>
  <c r="F286" i="1"/>
  <c r="E321" i="1"/>
  <c r="E339" i="1"/>
  <c r="G439" i="1"/>
  <c r="E439" i="1"/>
  <c r="F194" i="1"/>
  <c r="E223" i="1"/>
  <c r="F227" i="1"/>
  <c r="F235" i="1"/>
  <c r="F243" i="1"/>
  <c r="F263" i="1"/>
  <c r="F279" i="1"/>
  <c r="F283" i="1"/>
  <c r="E336" i="1"/>
  <c r="E344" i="1"/>
  <c r="F470" i="1"/>
  <c r="F220" i="1"/>
  <c r="F228" i="1"/>
  <c r="F72" i="1"/>
  <c r="F86" i="1"/>
  <c r="F98" i="1"/>
  <c r="F94" i="1"/>
  <c r="F146" i="1"/>
  <c r="G153" i="1"/>
  <c r="F153" i="1"/>
  <c r="E153" i="1"/>
  <c r="I28" i="3"/>
  <c r="AU28" i="3"/>
  <c r="CP28" i="3"/>
  <c r="BN28" i="3"/>
  <c r="Y28" i="3"/>
  <c r="Y30" i="3"/>
  <c r="F221" i="1"/>
  <c r="F225" i="1"/>
  <c r="F229" i="1"/>
  <c r="F233" i="1"/>
  <c r="F237" i="1"/>
  <c r="F241" i="1"/>
  <c r="F245" i="1"/>
  <c r="F265" i="1"/>
  <c r="F269" i="1"/>
  <c r="F273" i="1"/>
  <c r="F281" i="1"/>
  <c r="F285" i="1"/>
  <c r="F289" i="1"/>
  <c r="E320" i="1"/>
  <c r="E338" i="1"/>
  <c r="E346" i="1"/>
  <c r="E350" i="1"/>
  <c r="G472" i="1"/>
  <c r="H350" i="1" l="1"/>
  <c r="H321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339" i="1"/>
  <c r="H223" i="1"/>
  <c r="H320" i="1"/>
  <c r="H345" i="1"/>
  <c r="H147" i="1"/>
  <c r="H343" i="1"/>
  <c r="H337" i="1"/>
  <c r="O28" i="3"/>
  <c r="BY28" i="3"/>
  <c r="AP28" i="3"/>
  <c r="BS28" i="3"/>
  <c r="G28" i="3"/>
  <c r="AF28" i="3"/>
  <c r="H439" i="1"/>
  <c r="BM28" i="3"/>
  <c r="CN28" i="3"/>
  <c r="BA28" i="3"/>
  <c r="H153" i="1"/>
  <c r="AM28" i="3"/>
  <c r="CE28" i="3"/>
  <c r="V28" i="3"/>
  <c r="R28" i="3"/>
  <c r="E194" i="1"/>
  <c r="H194" i="1" s="1"/>
  <c r="L28" i="3"/>
  <c r="AX28" i="3"/>
  <c r="BI28" i="3"/>
  <c r="BH28" i="3"/>
  <c r="BO28" i="3"/>
  <c r="BZ28" i="3"/>
  <c r="BU28" i="3"/>
  <c r="CJ28" i="3"/>
  <c r="F28" i="3"/>
  <c r="M28" i="3"/>
  <c r="X28" i="3"/>
  <c r="E192" i="1"/>
  <c r="H192" i="1" s="1"/>
  <c r="CM28" i="3"/>
  <c r="BB28" i="3"/>
  <c r="BP8" i="3"/>
  <c r="BZ8" i="3"/>
  <c r="E438" i="1"/>
  <c r="H438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222" i="1"/>
  <c r="H222" i="1" s="1"/>
  <c r="CP7" i="3"/>
  <c r="CS7" i="3"/>
  <c r="E472" i="1"/>
  <c r="H472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92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49" i="1"/>
  <c r="E470" i="1"/>
  <c r="H470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48" i="1"/>
  <c r="F473" i="1"/>
  <c r="E473" i="1"/>
  <c r="H473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218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344" i="1"/>
  <c r="H317" i="1"/>
  <c r="H319" i="1"/>
  <c r="E471" i="1"/>
  <c r="H471" i="1" s="1"/>
  <c r="E197" i="1"/>
  <c r="H197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318" i="1"/>
  <c r="H338" i="1"/>
  <c r="AW21" i="3"/>
  <c r="L21" i="3"/>
  <c r="BK21" i="3"/>
  <c r="BS21" i="3"/>
  <c r="H336" i="1"/>
  <c r="H346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438" i="1"/>
  <c r="O8" i="2" a="1"/>
  <c r="O8" i="2" s="1"/>
  <c r="F439" i="1"/>
  <c r="CP22" i="3"/>
  <c r="G8" i="2" a="1"/>
  <c r="G8" i="2" s="1"/>
  <c r="F472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61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84" i="1"/>
  <c r="F562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83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D14" i="7" s="1" a="1"/>
  <c r="AD14" i="7" s="1"/>
  <c r="AA16" i="3"/>
  <c r="AA37" i="3" s="1"/>
  <c r="Y14" i="7" s="1" a="1"/>
  <c r="Y14" i="7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A14" i="7" s="1" a="1"/>
  <c r="AA14" i="7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AC14" i="7" s="1" a="1"/>
  <c r="AC14" i="7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AB14" i="7" s="1" a="1"/>
  <c r="AB14" i="7" s="1"/>
  <c r="CG16" i="3"/>
  <c r="CG37" i="3" s="1"/>
  <c r="CK16" i="3"/>
  <c r="CK37" i="3" s="1"/>
  <c r="BU16" i="3"/>
  <c r="BU37" i="3" s="1"/>
  <c r="CC16" i="3"/>
  <c r="CC37" i="3" s="1"/>
  <c r="AB16" i="3"/>
  <c r="AB37" i="3" s="1"/>
  <c r="Z14" i="7" s="1" a="1"/>
  <c r="Z14" i="7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AD17" i="7" l="1"/>
  <c r="AC17" i="7"/>
  <c r="AB17" i="7"/>
  <c r="AA17" i="7"/>
  <c r="Z17" i="7"/>
  <c r="V17" i="7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17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<sst xmlns="http://schemas.openxmlformats.org/spreadsheetml/2006/main" count="2920" uniqueCount="1237">
  <si>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</si>
  <si>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</si>
  <si>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</si>
  <si>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</si>
  <si>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</si>
  <si>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</si>
  <si>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</si>
  <si>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</si>
  <si>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</si>
  <si>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</si>
  <si>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</si>
  <si>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</si>
  <si>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</si>
  <si>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</si>
  <si>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</si>
  <si>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</si>
  <si>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</si>
  <si>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</si>
  <si>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</si>
  <si>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</si>
  <si>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</si>
  <si>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</si>
  <si>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</si>
  <si>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</si>
  <si>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</si>
  <si>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</si>
  <si>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</si>
  <si>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</si>
  <si>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</si>
  <si>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</si>
  <si>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</si>
  <si>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</si>
  <si>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</si>
  <si>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</si>
  <si>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</si>
  <si>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</si>
  <si>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</si>
  <si>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</si>
  <si>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</si>
  <si>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</si>
  <si>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</si>
  <si>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</si>
  <si>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</si>
  <si>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</si>
  <si>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</si>
  <si>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</si>
  <si>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</si>
  <si>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</si>
  <si>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</si>
  <si>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</si>
  <si>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</si>
  <si>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</si>
  <si>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</si>
  <si>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</si>
  <si>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</si>
  <si>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</si>
  <si>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</si>
  <si>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</si>
  <si>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</si>
  <si>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</si>
  <si>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</si>
  <si>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</si>
  <si>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</si>
  <si>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</si>
  <si>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</si>
  <si>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</si>
  <si>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</si>
  <si>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</si>
  <si>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</si>
  <si>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</si>
  <si>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</si>
  <si>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</si>
  <si>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</si>
  <si>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</si>
  <si>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</si>
  <si>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</si>
  <si>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</si>
  <si>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</si>
  <si>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MM-ZTK-1F-ZWP21-STR-CAL-2015</t>
  </si>
  <si>
    <t>MM-ZTK-1F-ZWP21-STR-CAL-2016</t>
  </si>
  <si>
    <t>ZWP21 JACKET TRANSPORTATION FATIGUE</t>
  </si>
  <si>
    <t>MM-ZTK-1F-ZWP21-STR-CAL-2017</t>
  </si>
  <si>
    <t>MM-ZTK-1F-ZWP21-STR-CAL-2018</t>
  </si>
  <si>
    <t>MM-ZTK-1F-ZWP21-STR-CAL-2019</t>
  </si>
  <si>
    <t>MM-ZTK-1F-ZWP21-STR-CAL-2020</t>
  </si>
  <si>
    <t>ZWP21 JACKET LEVELLING ANALYSIS</t>
  </si>
  <si>
    <t>MM-ZTK-1F-ZWP21-STR-CAL-2021</t>
  </si>
  <si>
    <t>MM-ZTK-1F-ZWP21-STR-CAL-2022</t>
  </si>
  <si>
    <t>MM-ZTK-1F-ZWP21-STR-CAL-2023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</si>
  <si>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</si>
  <si>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</si>
  <si>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</si>
  <si>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</si>
  <si>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</si>
  <si>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</si>
  <si>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</si>
  <si>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MM-ZTK-1F-ZWP21-STR-CAL-2050</t>
  </si>
  <si>
    <t>ZWP21 JACKET CONSTRUCTION MODEL REPORT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</si>
  <si>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</si>
  <si>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</si>
  <si>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</si>
  <si>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</si>
  <si>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</si>
  <si>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</si>
  <si>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</si>
  <si>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</si>
  <si>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MM-ZTK-1F-ZWP23-STR-CAL-2011</t>
  </si>
  <si>
    <t>MM-ZTK-1F-ZWP23-STR-CAL-2012</t>
  </si>
  <si>
    <t>MM-ZTK-1F-ZWP23-STR-CAL-2014</t>
  </si>
  <si>
    <t>MM-ZTK-1F-ZWP23-STR-CAL-2015</t>
  </si>
  <si>
    <t>MM-ZTK-1F-ZWP23-STR-CAL-2016</t>
  </si>
  <si>
    <t>MM-ZTK-1F-ZWP23-STR-CAL-2017</t>
  </si>
  <si>
    <t>MM-ZTK-1F-ZWP23-STR-CAL-2018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</si>
  <si>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</si>
  <si>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</si>
  <si>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</si>
  <si>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</si>
  <si>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</si>
  <si>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</si>
  <si>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</si>
  <si>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</si>
  <si>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</si>
  <si>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</si>
  <si>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</si>
  <si>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</si>
  <si>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</si>
  <si>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</si>
  <si>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</si>
  <si>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</si>
  <si>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</si>
  <si>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</si>
  <si>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</si>
  <si>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LAUNCH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</si>
  <si>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</si>
  <si>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</si>
  <si>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</si>
  <si>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</si>
  <si>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</si>
  <si>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</si>
  <si>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</si>
  <si>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MM-ZTK-1F-ZWP22-STR-CAL-2011</t>
  </si>
  <si>
    <t>MM-ZTK-1F-ZWP22-STR-CAL-2012</t>
  </si>
  <si>
    <t>MM-ZTK-1F-ZWP22-STR-CAL-2014</t>
  </si>
  <si>
    <t>MM-ZTK-1F-ZWP22-STR-CAL-2015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</si>
  <si>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</si>
  <si>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</si>
  <si>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</si>
  <si>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</si>
  <si>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</si>
  <si>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</si>
  <si>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</si>
  <si>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</si>
  <si>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</si>
  <si>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</si>
  <si>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</si>
  <si>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</si>
  <si>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</si>
  <si>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</si>
  <si>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</si>
  <si>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</si>
  <si>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</si>
  <si>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</si>
  <si>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</si>
  <si>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</si>
  <si>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</si>
  <si>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</si>
  <si>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</si>
  <si>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</si>
  <si>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</si>
  <si>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</si>
  <si>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</si>
  <si>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</si>
  <si>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</si>
  <si>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</si>
  <si>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</si>
  <si>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</si>
  <si>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</si>
  <si>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</si>
  <si>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</si>
  <si>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</si>
  <si>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</si>
  <si>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</si>
  <si>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</si>
  <si>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</si>
  <si>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</si>
  <si>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</si>
  <si>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</si>
  <si>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</si>
  <si>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</si>
  <si>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</si>
  <si>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</si>
  <si>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</si>
  <si>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</si>
  <si>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</si>
  <si>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</si>
  <si>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</si>
  <si>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</si>
  <si>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</si>
  <si>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</si>
  <si>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</si>
  <si>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</si>
  <si>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</si>
  <si>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</si>
  <si>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</si>
  <si>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</si>
  <si>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</si>
  <si>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</si>
  <si>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</si>
  <si>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</si>
  <si>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</si>
  <si>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</si>
  <si>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</si>
  <si>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</si>
  <si>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</si>
  <si>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</si>
  <si>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</si>
  <si>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</si>
  <si>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</si>
  <si>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</si>
  <si>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</si>
  <si>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</si>
  <si>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</si>
  <si>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</si>
  <si>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</si>
  <si>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</si>
  <si>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</si>
  <si>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</si>
  <si>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</si>
  <si>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</si>
  <si>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</si>
  <si>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</si>
  <si>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</si>
  <si>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</si>
  <si>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</si>
  <si>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</si>
  <si>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</si>
  <si>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</si>
  <si>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</si>
  <si>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</si>
  <si>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</si>
  <si>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</si>
  <si>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</si>
  <si>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</si>
  <si>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</si>
  <si>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</si>
  <si>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</si>
  <si>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</si>
  <si>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</si>
  <si>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</si>
  <si>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</si>
  <si>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</si>
  <si>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</si>
  <si>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</si>
  <si>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</si>
  <si>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</si>
  <si>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</si>
  <si>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</si>
  <si>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</si>
  <si>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</si>
  <si>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</si>
  <si>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</si>
  <si>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</si>
  <si>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</si>
  <si>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</si>
  <si>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</si>
  <si>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</si>
  <si>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</si>
  <si>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</si>
  <si>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</si>
  <si>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</si>
  <si>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</si>
  <si>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</si>
  <si>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</si>
  <si>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</si>
  <si>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</si>
  <si>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</si>
  <si>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</si>
  <si>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</si>
  <si>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</si>
  <si>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</si>
  <si>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</si>
  <si>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</si>
  <si>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</si>
  <si>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</si>
  <si>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</si>
  <si>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</si>
  <si>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</si>
  <si>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</si>
  <si>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</si>
  <si>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</si>
  <si>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</si>
  <si>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</si>
  <si>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</si>
  <si>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</si>
  <si>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</si>
  <si>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</si>
  <si>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</si>
  <si>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</si>
  <si>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</si>
  <si>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</si>
  <si>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</si>
  <si>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</si>
  <si>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</si>
  <si>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</si>
  <si>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</si>
  <si>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</si>
  <si>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</si>
  <si>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</si>
  <si>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</si>
  <si>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</si>
  <si>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</si>
  <si>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</si>
  <si>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</si>
  <si>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</si>
  <si>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</si>
  <si>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</si>
  <si>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</si>
  <si>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</si>
  <si>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</si>
  <si>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</si>
  <si>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</si>
  <si>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</si>
  <si>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</si>
  <si>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</si>
  <si>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</si>
  <si>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</si>
  <si>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</si>
  <si>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</si>
  <si>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</si>
  <si>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</si>
  <si>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</si>
  <si>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</si>
  <si>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MM-ZTK-1F-ZWP21-STR-DWG-2932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</si>
  <si>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</si>
  <si>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</si>
  <si>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</si>
  <si>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</si>
  <si>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</si>
  <si>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</si>
  <si>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</si>
  <si>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</si>
  <si>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</si>
  <si>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</si>
  <si>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</si>
  <si>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</si>
  <si>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</si>
  <si>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</si>
  <si>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</si>
  <si>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</si>
  <si>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</si>
  <si>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</si>
  <si>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</si>
  <si>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</si>
  <si>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</si>
  <si>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</si>
  <si>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</si>
  <si>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</si>
  <si>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</si>
  <si>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</si>
  <si>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</si>
  <si>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</si>
  <si>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</si>
  <si>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</si>
  <si>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</si>
  <si>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</si>
  <si>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</si>
  <si>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</si>
  <si>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</si>
  <si>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</si>
  <si>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</si>
  <si>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</si>
  <si>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</si>
  <si>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</si>
  <si>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</si>
  <si>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</si>
  <si>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</si>
  <si>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</si>
  <si>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</si>
  <si>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</si>
  <si>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</si>
  <si>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</si>
  <si>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</si>
  <si>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</si>
  <si>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</si>
  <si>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</si>
  <si>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</si>
  <si>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</si>
  <si>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</si>
  <si>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</si>
  <si>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</si>
  <si>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</si>
  <si>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</si>
  <si>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</si>
  <si>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</si>
  <si>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</si>
  <si>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</si>
  <si>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</si>
  <si>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</si>
  <si>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</si>
  <si>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</si>
  <si>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</si>
  <si>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</si>
  <si>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</si>
  <si>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</si>
  <si>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</si>
  <si>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</si>
  <si>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</si>
  <si>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</si>
  <si>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</si>
  <si>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</si>
  <si>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</si>
  <si>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</si>
  <si>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</si>
  <si>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</si>
  <si>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</si>
  <si>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</si>
  <si>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</si>
  <si>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</si>
  <si>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</si>
  <si>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</si>
  <si>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</si>
  <si>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</si>
  <si>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</si>
  <si>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</si>
  <si>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</si>
  <si>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</si>
  <si>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</si>
  <si>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</si>
  <si>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</si>
  <si>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</si>
  <si>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</si>
  <si>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</si>
  <si>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</si>
  <si>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</si>
  <si>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</si>
  <si>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</si>
  <si>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</si>
  <si>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</si>
  <si>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</si>
  <si>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</si>
  <si>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</si>
  <si>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</si>
  <si>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</si>
  <si>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</si>
  <si>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</si>
  <si>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</si>
  <si>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</si>
  <si>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</si>
  <si>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</si>
  <si>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</si>
  <si>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</si>
  <si>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</si>
  <si>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>ZWP23 JACKET - ANODE DISTRIBUTION OF PILE CLUSTER</t>
  </si>
  <si>
    <t>MM-ZTK-1F-ZWP23-STR-DWG-2411</t>
  </si>
  <si>
    <t>MM-ZTK-1F-ZWP23-STR-DWG-2421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</si>
  <si>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</si>
  <si>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</si>
  <si>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</si>
  <si>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</si>
  <si>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</si>
  <si>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</si>
  <si>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</si>
  <si>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</si>
  <si>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</si>
  <si>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</si>
  <si>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</si>
  <si>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</si>
  <si>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</si>
  <si>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</si>
  <si>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</si>
  <si>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</si>
  <si>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</si>
  <si>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</si>
  <si>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</si>
  <si>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</si>
  <si>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</si>
  <si>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</si>
  <si>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</si>
  <si>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</si>
  <si>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</si>
  <si>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</si>
  <si>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</si>
  <si>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</si>
  <si>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</si>
  <si>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</si>
  <si>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</si>
  <si>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</si>
  <si>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</si>
  <si>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</si>
  <si>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</si>
  <si>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</si>
  <si>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</si>
  <si>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</si>
  <si>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</si>
  <si>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</si>
  <si>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</si>
  <si>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</si>
  <si>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</si>
  <si>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</si>
  <si>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</si>
  <si>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</si>
  <si>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</si>
  <si>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</si>
  <si>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</si>
  <si>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</si>
  <si>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</si>
  <si>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</si>
  <si>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</si>
  <si>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</si>
  <si>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</si>
  <si>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</si>
  <si>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</si>
  <si>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</si>
  <si>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</si>
  <si>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</si>
  <si>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</si>
  <si>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</si>
  <si>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</si>
  <si>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</si>
  <si>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</si>
  <si>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</si>
  <si>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</si>
  <si>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</si>
  <si>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</si>
  <si>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</si>
  <si>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</si>
  <si>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</si>
  <si>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</si>
  <si>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</si>
  <si>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</si>
  <si>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</si>
  <si>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</si>
  <si>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</si>
  <si>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</si>
  <si>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</si>
  <si>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</si>
  <si>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</si>
  <si>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</si>
  <si>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</si>
  <si>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</si>
  <si>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</si>
  <si>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</si>
  <si>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</si>
  <si>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</si>
  <si>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</si>
  <si>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</si>
  <si>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</si>
  <si>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</si>
  <si>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</si>
  <si>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</si>
  <si>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</si>
  <si>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</si>
  <si>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</si>
  <si>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</si>
  <si>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</si>
  <si>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</si>
  <si>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</si>
  <si>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</si>
  <si>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</si>
  <si>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</si>
  <si>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</si>
  <si>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</si>
  <si>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</si>
  <si>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</si>
  <si>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</si>
  <si>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</si>
  <si>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</si>
  <si>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</si>
  <si>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</si>
  <si>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</si>
  <si>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</si>
  <si>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</si>
  <si>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</si>
  <si>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</si>
  <si>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</si>
  <si>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</si>
  <si>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</si>
  <si>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</si>
  <si>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</si>
  <si>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</si>
  <si>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</si>
  <si>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</si>
  <si>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</si>
  <si>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</si>
  <si>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</si>
  <si>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</si>
  <si>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</si>
  <si>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</si>
  <si>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</si>
  <si>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</si>
  <si>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</si>
  <si>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</si>
  <si>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</si>
  <si>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</si>
  <si>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</si>
  <si>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</si>
  <si>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>ZWP22 JACKET - ANODE DISTRIBUTION OF PILE CLUSTER</t>
  </si>
  <si>
    <t>MM-ZTK-1F-ZWP22-STR-DWG-2411</t>
  </si>
  <si>
    <t>MM-ZTK-1F-ZWP22-STR-DWG-2421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</si>
  <si>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</si>
  <si>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</si>
  <si>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</si>
  <si>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</si>
  <si>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</si>
  <si>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</si>
  <si>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</si>
  <si>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</si>
  <si>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</si>
  <si>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</si>
  <si>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</si>
  <si>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</si>
  <si>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</si>
  <si>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</si>
  <si>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</si>
  <si>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</si>
  <si>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</si>
  <si>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</si>
  <si>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</si>
  <si>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</si>
  <si>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</si>
  <si>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</si>
  <si>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</si>
  <si>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</si>
  <si>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</si>
  <si>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</si>
  <si>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</si>
  <si>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</si>
  <si>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</si>
  <si>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</si>
  <si>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</si>
  <si>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</si>
  <si>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</si>
  <si>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</si>
  <si>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</si>
  <si>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</si>
  <si>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</si>
  <si>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</si>
  <si>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</si>
  <si>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</si>
  <si>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</si>
  <si>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</si>
  <si>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</si>
  <si>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</si>
  <si>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</si>
  <si>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</si>
  <si>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</si>
  <si>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</si>
  <si>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</si>
  <si>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</si>
  <si>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</si>
  <si>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</si>
  <si>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</si>
  <si>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</si>
  <si>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</si>
  <si>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</si>
  <si>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</si>
  <si>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</si>
  <si>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</si>
  <si>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</si>
  <si>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</si>
  <si>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</si>
  <si>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</si>
  <si>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</si>
  <si>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</si>
  <si>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</si>
  <si>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</si>
  <si>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</si>
  <si>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</si>
  <si>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</si>
  <si>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</si>
  <si>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</si>
  <si>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</si>
  <si>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</si>
  <si>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</si>
  <si>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</si>
  <si>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</si>
  <si>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</si>
  <si>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</si>
  <si>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</si>
  <si>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</si>
  <si>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</si>
  <si>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</si>
  <si>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</si>
  <si>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</si>
  <si>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</si>
  <si>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</si>
  <si>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</si>
  <si>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</si>
  <si>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</si>
  <si>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</si>
  <si>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</si>
  <si>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</si>
  <si>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</si>
  <si>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</si>
  <si>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</si>
  <si>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</si>
  <si>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</si>
  <si>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</si>
  <si>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</si>
  <si>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</si>
  <si>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</si>
  <si>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</si>
  <si>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</si>
  <si>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</si>
  <si>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</si>
  <si>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</si>
  <si>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</si>
  <si>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</si>
  <si>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</si>
  <si>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</si>
  <si>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</si>
  <si>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</si>
  <si>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</si>
  <si>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</si>
  <si>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</si>
  <si>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</si>
  <si>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</si>
  <si>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</si>
  <si>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</si>
  <si>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</si>
  <si>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</si>
  <si>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</si>
  <si>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</si>
  <si>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</si>
  <si>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</si>
  <si>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</si>
  <si>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</si>
  <si>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</si>
  <si>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</si>
  <si>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</si>
  <si>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</si>
  <si>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</si>
  <si>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</si>
  <si>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</si>
  <si>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</si>
  <si>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</si>
  <si>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</si>
  <si>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</si>
  <si>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</si>
  <si>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</si>
  <si>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>ZWP20 JACKET - ANODE DISTRIBUTION OF PILE CLUSTER</t>
  </si>
  <si>
    <t>MM-ZTK-1F-ZWP20-STR-DWG-2411</t>
  </si>
  <si>
    <t>MM-ZTK-1F-ZWP20-STR-DWG-2421</t>
  </si>
  <si>
    <t>MM-ZTK-1F-ZWP20-STR-DWG-2900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</si>
  <si>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</si>
  <si>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</si>
  <si>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</si>
  <si>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</si>
  <si>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</si>
  <si>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</si>
  <si>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</si>
  <si>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</si>
  <si>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</si>
  <si>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</si>
  <si>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</si>
  <si>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</si>
  <si>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</si>
  <si>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</si>
  <si>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</si>
  <si>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</si>
  <si>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</si>
  <si>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</si>
  <si>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</si>
  <si>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</si>
  <si>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</si>
  <si>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</si>
  <si>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</si>
  <si>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</si>
  <si>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</si>
  <si>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</si>
  <si>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</si>
  <si>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</si>
  <si>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</si>
  <si>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</si>
  <si>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</si>
  <si>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</si>
  <si>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</si>
  <si>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</si>
  <si>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</si>
  <si>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</si>
  <si>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</si>
  <si>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</si>
  <si>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</si>
  <si>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</si>
  <si>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</si>
  <si>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</si>
  <si>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</si>
  <si>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</si>
  <si>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</si>
  <si>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</si>
  <si>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</si>
  <si>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</si>
  <si>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</si>
  <si>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</si>
  <si>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</si>
  <si>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</si>
  <si>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</si>
  <si>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</si>
  <si>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</si>
  <si>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</si>
  <si>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</si>
  <si>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MM-ZTK-1F-ZWP20-STR-MR-2002</t>
  </si>
  <si>
    <t>MM-ZTK-1F-ZWP20-STR-MR-2003</t>
  </si>
  <si>
    <t>MM-ZTK-1F-ZWP23-STR-MR-2001</t>
  </si>
  <si>
    <t>MM-ZTK-1F-ZWP23-STR-MR-2002</t>
  </si>
  <si>
    <t>MM-ZTK-1F-ZWP23-STR-MR-2003</t>
  </si>
  <si>
    <t>MM-ZTK-1F-ZWP22-STR-MR-2001</t>
  </si>
  <si>
    <t>MM-ZTK-1F-ZWP22-STR-MR-2002</t>
  </si>
  <si>
    <t>MM-ZTK-1F-ZWP22-STR-MR-2003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</si>
  <si>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</si>
  <si>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</si>
  <si>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</si>
  <si>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</si>
  <si>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</si>
  <si>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</si>
  <si>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</si>
  <si>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</si>
  <si>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</si>
  <si>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</si>
  <si>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</si>
  <si>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</si>
  <si>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</si>
  <si>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</si>
  <si>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</si>
  <si>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</si>
  <si>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</si>
  <si>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</si>
  <si>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</si>
  <si>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</si>
  <si>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</si>
  <si>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</si>
  <si>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</si>
  <si>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</si>
  <si>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</si>
  <si>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</si>
  <si>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</si>
  <si>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</si>
  <si>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</si>
  <si>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</si>
  <si>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</si>
  <si>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</si>
  <si>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</si>
  <si>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</si>
  <si>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</si>
  <si>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</si>
  <si>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</si>
  <si>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</si>
  <si>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</si>
  <si>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</si>
  <si>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</si>
  <si>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</si>
  <si>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</si>
  <si>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</si>
  <si>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</si>
  <si>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</si>
  <si>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</si>
  <si>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</si>
  <si>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</si>
  <si>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</si>
  <si>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</si>
  <si>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</si>
  <si>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</si>
  <si>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</si>
  <si>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</si>
  <si>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</si>
  <si>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</si>
  <si>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</si>
  <si>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</si>
  <si>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MM-ZTK-1F-ZWP21-COR-CAL-0001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</si>
  <si>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</si>
  <si>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</si>
  <si>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</si>
  <si>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</si>
  <si>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</si>
  <si>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</si>
  <si>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</si>
  <si>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</si>
  <si>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</si>
  <si>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</si>
  <si>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</si>
  <si>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</si>
  <si>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</si>
  <si>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</si>
  <si>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</si>
  <si>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</si>
  <si>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MM-ZTK-1F-ZWP23-STR-DWG-2801</t>
  </si>
  <si>
    <t>ZWP23 JACKET - RISER SUPPORT LOCATION</t>
  </si>
  <si>
    <t>MM-ZTK-1F-ZWP23-STR-DWG-2802</t>
  </si>
  <si>
    <t>MM-ZTK-1F-ZWP23-STR-DWG-2803</t>
  </si>
  <si>
    <t>MM-ZTK-1F-ZWP23-STR-DWG-2804</t>
  </si>
  <si>
    <t>MM-ZTK-1F-ZWP23-STR-DWG-2805</t>
  </si>
  <si>
    <t>MM-ZTK-1F-ZWP22-STR-DWG-2801</t>
  </si>
  <si>
    <t>ZWP22 JACKET - RISER SUPPORT LOCATION</t>
  </si>
  <si>
    <t>MM-ZTK-1F-ZWP22-STR-DWG-2802</t>
  </si>
  <si>
    <t>MM-ZTK-1F-ZWP22-STR-DWG-2803</t>
  </si>
  <si>
    <t>MM-ZTK-1F-ZWP22-STR-DWG-2804</t>
  </si>
  <si>
    <t>MM-ZTK-1F-ZWP22-STR-DWG-2805</t>
  </si>
  <si>
    <t>MM-ZTK-1F-ZWP22-STR-DWG-2806</t>
  </si>
  <si>
    <t>MM-ZTK-1F-ZWP22-STR-DWG-2807</t>
  </si>
  <si>
    <t>MM-ZTK-1F-ZWP22-STR-DWG-2808</t>
  </si>
  <si>
    <t>MM-ZTK-1F-ZWP22-STR-DWG-2809</t>
  </si>
  <si>
    <t>MM-ZTK-1F-ZWP20-STR-DWG-2801</t>
  </si>
  <si>
    <t>ZWP20 JACKET - RISER SUPPORT LOCATION</t>
  </si>
  <si>
    <t>MM-ZTK-1F-ZWP20-STR-DWG-2802</t>
  </si>
  <si>
    <t>MM-ZTK-1F-ZWP20-STR-DWG-2803</t>
  </si>
  <si>
    <t>MM-ZTK-1F-ZWP20-STR-DWG-2804</t>
  </si>
  <si>
    <t>MM-ZTK-1F-ZWP20-STR-DWG-2805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</si>
  <si>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</si>
  <si>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</si>
  <si>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</si>
  <si>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</si>
  <si>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</si>
  <si>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</si>
  <si>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</si>
  <si>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</si>
  <si>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</si>
  <si>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</si>
  <si>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</si>
  <si>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</si>
  <si>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</si>
  <si>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ZWP21 JACKET - INSTALLATION PROCEDURE (TBC FROM T&amp;I)</t>
  </si>
  <si>
    <t>ZWP21 JACKET - INSTALLATION AID CLASH CHECK (TBC FROM T&amp;I)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</si>
  <si>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</si>
  <si>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</si>
  <si>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</si>
  <si>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</si>
  <si>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</si>
  <si>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</si>
  <si>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</si>
  <si>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</si>
  <si>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</si>
  <si>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</si>
  <si>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</si>
  <si>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</si>
  <si>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</si>
  <si>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</si>
  <si>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</si>
  <si>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</si>
  <si>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</si>
  <si>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</si>
  <si>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</si>
  <si>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</si>
  <si>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</si>
  <si>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</si>
  <si>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</si>
  <si>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</si>
  <si>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</si>
  <si>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</si>
  <si>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</si>
  <si>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</si>
  <si>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</si>
  <si>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</si>
  <si>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</si>
  <si>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</si>
  <si>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</si>
  <si>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</si>
  <si>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</si>
  <si>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</si>
  <si>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</si>
  <si>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</si>
  <si>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</si>
  <si>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</si>
  <si>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</si>
  <si>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</si>
  <si>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</si>
  <si>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</si>
  <si>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</si>
  <si>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</si>
  <si>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</si>
  <si>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</si>
  <si>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</si>
  <si>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</si>
  <si>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</si>
  <si>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</si>
  <si>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</si>
  <si>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</si>
  <si>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</si>
  <si>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</si>
  <si>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</si>
  <si>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</si>
  <si>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</si>
  <si>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</si>
  <si>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</si>
  <si>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</si>
  <si>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</si>
  <si>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</si>
  <si>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</si>
  <si>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</si>
  <si>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</si>
  <si>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</si>
  <si>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</si>
  <si>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</si>
  <si>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</si>
  <si>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</si>
  <si>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</si>
  <si>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</si>
  <si>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</si>
  <si>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</si>
  <si>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</si>
  <si>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</si>
  <si>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</si>
  <si>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</si>
  <si>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</si>
  <si>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</si>
  <si>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</si>
  <si>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</si>
  <si>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</si>
  <si>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</si>
  <si>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</si>
  <si>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</si>
  <si>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</si>
  <si>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</si>
  <si>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</si>
  <si>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</si>
  <si>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</si>
  <si>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</si>
  <si>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</si>
  <si>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</si>
  <si>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</si>
  <si>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</si>
  <si>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</si>
  <si>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</si>
  <si>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</si>
  <si>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</si>
  <si>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</si>
  <si>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</si>
  <si>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</si>
  <si>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</si>
  <si>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</si>
  <si>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</si>
  <si>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</si>
  <si>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</si>
  <si>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</si>
  <si>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</si>
  <si>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</si>
  <si>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</si>
  <si>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</si>
  <si>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</si>
  <si>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</si>
  <si>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</si>
  <si>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</si>
  <si>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</si>
  <si>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</si>
  <si>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</si>
  <si>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</si>
  <si>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</si>
  <si>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</si>
  <si>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</si>
  <si>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</si>
  <si>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</si>
  <si>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</si>
  <si>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</si>
  <si>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</si>
  <si>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</si>
  <si>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</si>
  <si>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</si>
  <si>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</si>
  <si>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</si>
  <si>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</si>
  <si>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</si>
  <si>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</si>
  <si>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</si>
  <si>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</si>
  <si>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</si>
  <si>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</si>
  <si>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</si>
  <si>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</si>
  <si>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</si>
  <si>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</si>
  <si>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</si>
  <si>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</si>
  <si>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</si>
  <si>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</si>
  <si>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</si>
  <si>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</si>
  <si>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</si>
  <si>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</si>
  <si>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</si>
  <si>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</si>
  <si>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</si>
  <si>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</si>
  <si>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</si>
  <si>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</si>
  <si>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</si>
  <si>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</si>
  <si>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</si>
  <si>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</si>
  <si>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</si>
  <si>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</si>
  <si>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</si>
  <si>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</si>
  <si>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</si>
  <si>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</si>
  <si>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</si>
  <si>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</si>
  <si>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</si>
  <si>
    <t>ZWP21 JACKET MISCELLANEOUS DESIGN (SUPERSEDED)</t>
  </si>
  <si>
    <t>ZWP21 JACKET PILE HANDLING AND STICK-UP ANALYSIS (SUPERSEDED)</t>
  </si>
  <si>
    <t>ZWP21 JACKET PILE HANDLING AND STICK-UP ANALYSIS (OPTIMISATION)</t>
  </si>
  <si>
    <t>ZWP21 PILE DRIVEABILITY AND PILE FATIGUE ANALYSIS (SUPERSEDED)</t>
  </si>
  <si>
    <t>ZWP21 PILE DRIVEABILITY AND PILE FATIGUE ANALYSIS (OPTIMISATION)</t>
  </si>
  <si>
    <t>ZWP21 JACKET - ANODE DISTRIBUTION OF HORIZONTAL FRAMING PLAN AT EL(-) 147900</t>
  </si>
  <si>
    <t>ZWP23 JACKET - ANODE DISTRIBUTION OF HORIZONTAL FRAMING PLAN AT EL(-) 144100</t>
  </si>
  <si>
    <t>ZWP22 JACKET - ANODE DISTRIBUTION OF HORIZONTAL FRAMING PLAN AT EL(-) 137900</t>
  </si>
  <si>
    <t>ZWP20 JACKET - ANODE DISTRIBUTION OF HORIZONTAL FRAMING PLAN AT EL(-) 133100</t>
  </si>
  <si>
    <t>ZWP21 JACKET - RISER PROTECTOR (OPTION) - CANCELLED</t>
  </si>
  <si>
    <t>ZWP21 JACKET MISCELLANEOUS DESIGN (NEW WATER DEPTH)</t>
  </si>
  <si>
    <t>ZWP21 JACKET TRANSPORTATION ANALYSIS - SUPERSEDED</t>
  </si>
  <si>
    <t>ZWP21 JACKET PUSHOVER ANALYSIS - SUPERSEDED</t>
  </si>
  <si>
    <t>ZWP21 JACKET PUSHOVER ANALYSIS - PILE PENETRATION OPTIMISATION</t>
  </si>
  <si>
    <t>ZWP21 JACKET BARGE MOTION ANALYSIS - SUPERSEDED</t>
  </si>
  <si>
    <t>ZWP21 JACKET LOADOUT ANALYSIS - SUPERSEDED</t>
  </si>
  <si>
    <t>ZWP21 JACKET ON-BOTTOM STABILITY ANALYSIS - SUPERSEDED</t>
  </si>
  <si>
    <t>ZWP23 JACKER FREE FLOATATION AND UPENDING ANALYSIS REPORT - SUPERSEDED</t>
  </si>
  <si>
    <t>ZWP23 JACKET FREE FLOATATION AND UPENDING ANALYSIS REPORT - NEW WATER DEPTH</t>
  </si>
  <si>
    <t>ZWP21 JACKET LOADOUT ANALYSIS - NEW WATER DEPTH</t>
  </si>
  <si>
    <t>ZWP21 JACKET TRANSPORTATION ANALYSIS - NEW WATER DEPTH</t>
  </si>
  <si>
    <t>ZWP21 JACKET ON-BOTTOM STABILITY ANALYSIS - PILE PENETRATION OPTIMISATION</t>
  </si>
  <si>
    <t>ZWP21 JACKET BARGE MOTION ANALYSIS - NEW WATER DEPTH</t>
  </si>
  <si>
    <t>SPECIFICATION FOR GROUTING AND INSTALLATION</t>
  </si>
  <si>
    <t>ZWP21 JACKET - RISER CLAMP DETAILS SHEET 1</t>
  </si>
  <si>
    <t>ZWP21 JACKET - RISER CLAMP DETAILS SHEET 2</t>
  </si>
  <si>
    <t>ZWP21 JACKET - RISER CLAMP DETAILS SHEET 3</t>
  </si>
  <si>
    <t>ZWP21 JACKET - RISER CLAMP DETAILS SHEET 4</t>
  </si>
  <si>
    <t>ZWP21 JACKET - RISER CLAMP DETAILS SHEET 5</t>
  </si>
  <si>
    <t>ZWP21 JACKET - RISER CLAMP DETAILS SHEET 6</t>
  </si>
  <si>
    <t>ZWP21 JACKET - RISER CLAMP DETAILS SHEET 7</t>
  </si>
  <si>
    <t>ZWP21 JACKET - RISER CLAMP DETAILS SHEET 8</t>
  </si>
  <si>
    <t>ZWP23 JACKET - RISER CLAMP DETAILS SHEET 1</t>
  </si>
  <si>
    <t>ZWP23 JACKET - RISER CLAMP DETAILS SHEET 2</t>
  </si>
  <si>
    <t>ZWP23 JACKET - RISER CLAMP DETAILS SHEET 3</t>
  </si>
  <si>
    <t>ZWP23 JACKET - RISER CLAMP DETAILS SHEET 4</t>
  </si>
  <si>
    <t>ZWP22 JACKET - RISER CLAMP DETAILS SHEET 1</t>
  </si>
  <si>
    <t>ZWP22 JACKET - RISER CLAMP DETAILS SHEET 2</t>
  </si>
  <si>
    <t>ZWP22 JACKET - RISER CLAMP DETAILS SHEET 3</t>
  </si>
  <si>
    <t>ZWP22 JACKET - RISER CLAMP DETAILS SHEET 4</t>
  </si>
  <si>
    <t>ZWP22 JACKET - RISER CLAMP DETAILS SHEET 5</t>
  </si>
  <si>
    <t>ZWP22 JACKET - RISER CLAMP DETAILS SHEET 6</t>
  </si>
  <si>
    <t>ZWP22 JACKET - RISER CLAMP DETAILS SHEET 7</t>
  </si>
  <si>
    <t>ZWP22 JACKET - RISER CLAMP DETAILS SHEET 8</t>
  </si>
  <si>
    <t>ZWP20 JACKET - RISER CLAMP DETAILS SHEET 1</t>
  </si>
  <si>
    <t>ZWP20 JACKET - RISER CLAMP DETAILS SHEET 2</t>
  </si>
  <si>
    <t>ZWP20 JACKET - RISER CLAMP DETAILS SHEET 3</t>
  </si>
  <si>
    <t>ZWP20 JACKET - RISER CLAMP DETAILS SHEET 4</t>
  </si>
  <si>
    <t>ZWP23 JACKET - RISER PROTECTOR (OPTION) - CANCELLED</t>
  </si>
  <si>
    <t>MM-ZTK-1F-ZWP23-STR-DWG-XXXX</t>
  </si>
  <si>
    <t>ZWP23 JACKET - INSTALLATION PROCEDURE - CANCELLED</t>
  </si>
  <si>
    <t>ZWP23 JACKET - INSTALLATION AID CLASH CHECK - CANCELLED\</t>
  </si>
  <si>
    <t>ZWP23 JACKET - INSTALLATION PROCEDURE - T&amp;I ITEM</t>
  </si>
  <si>
    <t>ZWP23 JACKET - INSTALLATION AID CLASH CHECK - T&amp;I ITEM</t>
  </si>
  <si>
    <t>ZWP22 JACKET - RISER PROTECTOR (OPTION) - CANCELLED</t>
  </si>
  <si>
    <t>MM-ZTK-1F-ZWP22-STR-DWG-XXXX</t>
  </si>
  <si>
    <t>ZWP22 JACKET - INSTALLATION PROCEDURE CANCELLED</t>
  </si>
  <si>
    <t>ZWP22 JACKET - INSTALLATION AID CLASH CHECK - CANCELLED</t>
  </si>
  <si>
    <t>ZWP22 JACKET - INSTALLATION PROCEDURE - T&amp;I ITEM</t>
  </si>
  <si>
    <t>ZWP22 JACKET - INSTALLATION AID CLASH CHECK - T&amp;I ITEM</t>
  </si>
  <si>
    <t>ZWP20 JACKET - RISER PROTECTOR (OPTION) - CANCELLED</t>
  </si>
  <si>
    <t>ZWP20 JACKET - INSTALLATION PROCEDURE - CANCELLED</t>
  </si>
  <si>
    <t>ZWP20 JACKET - INSTALLATION AID CLASH CHECK - CANCELLED</t>
  </si>
  <si>
    <t>ZWP20 JACKET - INSTALLATION PROCEDURE - T&amp;I ITEM</t>
  </si>
  <si>
    <t>ZWP20 JACKET - INSTALLATION AID CLASH CHECK T&amp;I ITEM</t>
  </si>
  <si>
    <t xml:space="preserve">ZWP21 JACKET PRIMARY STEEL AND PILE MTO REPORT - UPDATE  WD </t>
  </si>
  <si>
    <t>MM-ZTK-1F-ZWP20-STR-DWG-XXXX</t>
  </si>
  <si>
    <t>ZWP20 JACKET - CLOSURE PLATE DETAILS - SHEET 1</t>
  </si>
  <si>
    <t>MATERIAL REQUISITION FOR ZWP21 JACKET PRIMARY STEEL (PLATE) - UPDATE WD - CENCELLED</t>
  </si>
  <si>
    <t>ZWP23 JACKET BARGE MOTION ANALYSIS - UPDATED BARGE</t>
  </si>
  <si>
    <t>MATERIAL REQUISITION FOR ZWP20 JACKET PRIMARY TUBULAR STEEL - CANCELLED, COMPLETED BY YARD ALREADY</t>
  </si>
  <si>
    <t>MATERIAL REQUISITION FOR ZWP20 JACKET PRIMARY STEEL (PLATE) - CANCELLED, COMPLETED BY YARD ALREADY</t>
  </si>
  <si>
    <t>MATERIAL REQUISITION FOR ZWP20 JACKET SECONDARY AND TERTIARY STEEL - CANCELLED, COMPLETED BY YARD ALREADY</t>
  </si>
  <si>
    <t>MATERIAL REQUISITION FOR ZWP20 JACKETMISCELLANEOUS STEEL - CANCELLED, COMPLETED BY YARD ALREADY</t>
  </si>
  <si>
    <t>MATERIAL REQUISITION FOR ZWP22 JACKET PRIMARY TUBULAR STEEL - CANCELLED, COMPLETED BY YARD ALREADY</t>
  </si>
  <si>
    <t>MATERIAL REQUISITION FOR ZWP22 JACKET PRIMARY STEEL (PLATE) - CANCELLED, COMPLETED BY YARD ALREADY</t>
  </si>
  <si>
    <t>MATERIAL REQUISITION FOR ZWP22 JACKET SECONDARY AND TERTIARY STEEL - CANCELLED, COMPLETED BY YARD ALREADY</t>
  </si>
  <si>
    <t>MATERIAL REQUISITION FOR ZWP22 JACKET MISCELLANEOUS STEEL - CANCELLED, COMPLETED BY YARD ALREADY</t>
  </si>
  <si>
    <t>MATERIAL REQUISITION FOR ZWP23 JACKET PRIMARY TUBULAR STEEL - CANCELLED, COMPLETED BY YARD ALREADY</t>
  </si>
  <si>
    <t>MATERIAL REQUISITION FOR ZWP23 JACKET PRIMARY STEEL (PLATE) - CANCELLED, COMPLETED BY YARD ALREADY</t>
  </si>
  <si>
    <t>MATERIAL REQUISITION FOR ZWP23 JACKET SECONDARY AND TERTIARY STEEL - CANCELLED, COMPLETED BY YARD ALREADY</t>
  </si>
  <si>
    <t>MATERIAL REQUISITION FOR ZWP23 JACKET MISCELLANEOUS STEEL - CANCELLED, COMPLETED BY YARD ALREADY</t>
  </si>
  <si>
    <t>MATERIAL REQUISITION FOR ZWP21 JACKET PRIMARY TUBULAR STEEL - CANCELLED, COMPLETED BY YARD ALREADY</t>
  </si>
  <si>
    <t>MATERIAL REQUISITION FOR ZWP21 JACKET PRIMARY TUBULAR STEEL - UPDATE WD - CANCELLED, COMPLETED BY YARD ALREADY</t>
  </si>
  <si>
    <t>MATERIAL REQUISITION FOR ZWP21 JACKET PRIMARY STEEL (PLATE) - CANCELLED, COMPLETED BY YARD ALREADY</t>
  </si>
  <si>
    <t>MATERIAL REQUISITION FOR ZWP21 JACKET SECONDARY AND TERTIARY STEEL - CANCELLED, COMPLETED BY YARD ALREADY</t>
  </si>
  <si>
    <t>MATERIAL REQUISITION FOR ZEP21 JACKET MISCELLANEOUS STEEL - CANCELLED, COMPLETED BY YARD ALREADY</t>
  </si>
  <si>
    <t>ZWP23 JACKET BARGE MOTION ANALYSIS - SUPERSEDED</t>
  </si>
  <si>
    <t>ZWP23 JACKET IN-PLACE ANALYSIS - SUPERSEDED</t>
  </si>
  <si>
    <t>ZWP23 JACKET DYNAMIC ANALYSIS - SUPERSEDED</t>
  </si>
  <si>
    <t>ZWP23 JACKET LOADOUT ANALYSIS - SUPERSEDED</t>
  </si>
  <si>
    <t>ZWP23 JACKET TRANSPORTATION ANALYSIS - SUPERSEDED</t>
  </si>
  <si>
    <t>ZWP23 JACKET IN-PLACE ANALYSIS - UPDATED WATER DEPTH</t>
  </si>
  <si>
    <t>ZWP23 JACKET DYNAMIC ANALYSIS - UPDATED WATER DEPTH</t>
  </si>
  <si>
    <t>ZWP23 JACKET LOADOUT ANALYSIS  - UPDATED WATER DEPTH</t>
  </si>
  <si>
    <t>ZWP23 JACKET TRANSPORTATION ANALYSIS  - UPDATED WATER DEPTH</t>
  </si>
  <si>
    <t>ZWP21 JACKET BOAT IMPACT ANALYSIS - UPDATED WATER DEPTH</t>
  </si>
  <si>
    <t>ZWP21 JACKET BOAT IMPACT ANALYSIS - SUPERSEDED</t>
  </si>
  <si>
    <t>ZWP23 JACKET TRANSPORTATION FATIGUE - SUPERSEDED</t>
  </si>
  <si>
    <t>ZWP23 JACKET TRANSPORTATION FATIGUE - UPDATED WATER DEPTH</t>
  </si>
  <si>
    <t>ZWP23 JACKET BOAT IMPACT ANALYSIS - CANCELLED</t>
  </si>
  <si>
    <t>ZWP23 JACKET BOAT IMPACT ANALYSIS - UPDATED WATER DEPTH</t>
  </si>
  <si>
    <t>ZWP23 JACKET ON-BOTTOM STABILITY ANALYSIS - SUPERSEDED</t>
  </si>
  <si>
    <t>ZWP23 JACKET ON-BOTTOM STABILITY ANALYSIS - UPDATED WATER DEPTH</t>
  </si>
  <si>
    <t>ZWP22 JACKET COMPUTER MODELING AND LOAD FORMULATION - SUPERSEDED</t>
  </si>
  <si>
    <t>ZWP22 JACKET IN-PLACE ANALYSIS - SUPERSEDED</t>
  </si>
  <si>
    <t>ZWP22 JACKET DYNAMIC ANALYSIS - SUPERSEDED</t>
  </si>
  <si>
    <t>ZWP22 JACKET LOADOUT ANALYSIS - SUPERSEDED</t>
  </si>
  <si>
    <t>ZWP22 JACKET TRANSPORTATION ANALYSIS - SUPERSEDED</t>
  </si>
  <si>
    <t>ZWP22 JACKET COMPUTER MODELING AND LOAD FORMULATION - UPDATED WATER DEPTH</t>
  </si>
  <si>
    <t>ZWP22 JACKET IN-PLACE ANALYSIS - UPDATED WATER DEPTH</t>
  </si>
  <si>
    <t>ZWP22 JACKET DYNAMIC ANALYSIS - UPDATED WATER DEPTH</t>
  </si>
  <si>
    <t>ZWP22 JACKET LOADOUT ANALYSIS - UPDATED WATER DEPTH</t>
  </si>
  <si>
    <t>ZWP22 JACKET TRANSPORTATION ANALYSIS - UPDATED WATER DEPTH</t>
  </si>
  <si>
    <t>ZWP21 JACKET - LAUNCHING SEQUENCE - SUPERSEDED</t>
  </si>
  <si>
    <t>ZWP21 JACKET - BALLAST / DEBASSAST SCHEMATIC - SUPERSEDED</t>
  </si>
  <si>
    <t>ZWP21 JACKET - GROUTING SCHEMATIC - SUPERSEDED</t>
  </si>
  <si>
    <t>ZWP21 JACKET - BALLAST SYSTEM AND GROUTING LINE ROUTING AT ROW A ELEVATION - SUPERSEDED</t>
  </si>
  <si>
    <t>ZWP21 JACKET - BALLAST SYSTEM AND GROUTING LINE ROUTING AT ROW B ELEVATION - SUPERSEDED</t>
  </si>
  <si>
    <t>ZWP21 JACKET - BALLAST AND GROUTING SYSTEM SUPPORT DETAILS SHEET 1 - SUPERSEDED</t>
  </si>
  <si>
    <t>ZWP21 JACKET - BALLAST AND GROUTING SYSTEM SUPPORT DETAILS SHEET 2 - SUPERSEDED</t>
  </si>
  <si>
    <t>ZWP21 JACKET - BALLAST SYSTEM VALVE DETAILS - SUPERSEDED</t>
  </si>
  <si>
    <t>ZWP21 JACKET -GROUT, SKIRT SLEEVE VENT AND FLOODING DETAILS AT SKIRT PILE SLEEVE SHEET 1 - SUPERSEDED</t>
  </si>
  <si>
    <t>ZWP21 JACKET -GROUT, SKIRT SLEEVE VENT AND FLOODING DETAILS AT SKIRT PILE SLEEVE SHEET 2 - SUPERSEDED</t>
  </si>
  <si>
    <t>ZWP21 JACKET - BALLAST SYSTEM AND GROUTING LINE ROUTING AT EL(+) 8000 - SUPERSEDED</t>
  </si>
  <si>
    <t>ZWP21 JACKET - GROUT SYSTEM DETAILS - SUPERSEDED</t>
  </si>
  <si>
    <t>ZWP21 JACKET - BALLAST / DEBASSAST SCHEMATIC - UPDATED WATER DEPTH</t>
  </si>
  <si>
    <t>ZWP21 JACKET - GROUTING SCHEMATIC - UPDATED WATER DEPTH</t>
  </si>
  <si>
    <t>ZWP21 JACKET - BALLAST SYSTEM AND GROUTING LINE ROUTING AT ROW A ELEVATION - UPDATED WATER DEPTH</t>
  </si>
  <si>
    <t>ZWP21 JACKET - BALLAST SYSTEM AND GROUTING LINE ROUTING AT ROW B ELEVATION - UPDATED WATER DEPTH</t>
  </si>
  <si>
    <t>ZWP21 JACKET - BALLAST AND GROUTING SYSTEM SUPPORT DETAILS SHEET 1 - UPDATED WATER DEPTH</t>
  </si>
  <si>
    <t>ZWP21 JACKET - BALLAST AND GROUTING SYSTEM SUPPORT DETAILS SHEET 2 - UPDATED WATER DEPTH</t>
  </si>
  <si>
    <t>ZWP21 JACKET - BALLAST SYSTEM VALVE DETAILS - UPDATED WATER DEPTH</t>
  </si>
  <si>
    <t>ZWP21 JACKET -GROUT, SKIRT SLEEVE VENT AND FLOODING DETAILS AT SKIRT PILE SLEEVE SHEET 1 - UPDATED WATER DEPTH</t>
  </si>
  <si>
    <t>ZWP21 JACKET -GROUT, SKIRT SLEEVE VENT AND FLOODING DETAILS AT SKIRT PILE SLEEVE SHEET 2 - UPDATED WATER DEPTH</t>
  </si>
  <si>
    <t>ZWP21 JACKET - BALLAST SYSTEM AND GROUTING LINE ROUTING AT EL(+) 8000 - UPDATED WATER DEPTH</t>
  </si>
  <si>
    <t>ZWP21 JACKET - GROUT SYSTEM DETAILS - UPDATED WATER DEPTH</t>
  </si>
  <si>
    <t>ZWP22 JACKET PUSHOVER ANALYSIS - UPDATED PILE PENETRATION</t>
  </si>
  <si>
    <t>ZWP22 JACKET PUSHOVER ANALYSIS - SUPERSEDED</t>
  </si>
  <si>
    <t>ZWP21 CATHODIC PROTECTION DESIGN REPORT - SUPERSEDED</t>
  </si>
  <si>
    <t>ZWP21 CATHODIC PROTECTION DESIGN REPORT - UPDATED 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</si>
</sst>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"/>
  </numFmts>
  <fonts count="4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40" fillId="0" borderId="0"/>
  </cellStyleXfs>
  <cellXfs count="22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1" fillId="15" borderId="4" xfId="0" quotePrefix="1" applyFont="1" applyFill="1" applyBorder="1" applyAlignment="1">
      <alignment horizontal="center" vertical="center"/>
    </xf>
    <xf numFmtId="0" fontId="41" fillId="13" borderId="4" xfId="0" quotePrefix="1" applyFont="1" applyFill="1" applyBorder="1" applyAlignment="1">
      <alignment horizontal="center" vertical="center"/>
    </xf>
    <xf numFmtId="0" fontId="41" fillId="12" borderId="4" xfId="0" quotePrefix="1" applyFont="1" applyFill="1" applyBorder="1" applyAlignment="1">
      <alignment horizontal="center" vertical="center"/>
    </xf>
    <xf numFmtId="0" fontId="41" fillId="16" borderId="24" xfId="0" quotePrefix="1" applyFont="1" applyFill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2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3" fillId="0" borderId="13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0" fontId="37" fillId="12" borderId="1" xfId="0" applyFont="1" applyFill="1" applyBorder="1"/>
    <xf numFmtId="9" fontId="37" fillId="12" borderId="1" xfId="2" applyFont="1" applyFill="1" applyBorder="1"/>
    <xf numFmtId="0" fontId="36" fillId="13" borderId="1" xfId="0" applyFont="1" applyFill="1" applyBorder="1"/>
    <xf numFmtId="9" fontId="36" fillId="13" borderId="1" xfId="2" applyFont="1" applyFill="1" applyBorder="1"/>
    <xf numFmtId="171" fontId="36" fillId="13" borderId="1" xfId="0" applyNumberFormat="1" applyFont="1" applyFill="1" applyBorder="1"/>
    <xf numFmtId="164" fontId="37" fillId="13" borderId="1" xfId="0" applyNumberFormat="1" applyFont="1" applyFill="1" applyBorder="1"/>
    <xf numFmtId="0" fontId="36" fillId="14" borderId="1" xfId="0" applyFont="1" applyFill="1" applyBorder="1"/>
    <xf numFmtId="9" fontId="36" fillId="14" borderId="1" xfId="2" applyFont="1" applyFill="1" applyBorder="1"/>
    <xf numFmtId="171" fontId="36" fillId="14" borderId="1" xfId="0" applyNumberFormat="1" applyFont="1" applyFill="1" applyBorder="1"/>
    <xf numFmtId="164" fontId="37" fillId="14" borderId="1" xfId="0" applyNumberFormat="1" applyFont="1" applyFill="1" applyBorder="1"/>
    <xf numFmtId="165" fontId="37" fillId="11" borderId="1" xfId="0" applyNumberFormat="1" applyFont="1" applyFill="1" applyBorder="1"/>
    <xf numFmtId="165" fontId="37" fillId="13" borderId="1" xfId="0" applyNumberFormat="1" applyFont="1" applyFill="1" applyBorder="1"/>
    <xf numFmtId="0" fontId="37" fillId="13" borderId="1" xfId="0" applyFont="1" applyFill="1" applyBorder="1"/>
    <xf numFmtId="9" fontId="37" fillId="13" borderId="1" xfId="2" applyFont="1" applyFill="1" applyBorder="1"/>
    <xf numFmtId="171" fontId="37" fillId="13" borderId="1" xfId="0" applyNumberFormat="1" applyFont="1" applyFill="1" applyBorder="1"/>
    <xf numFmtId="0" fontId="37" fillId="14" borderId="1" xfId="0" applyFont="1" applyFill="1" applyBorder="1"/>
    <xf numFmtId="9" fontId="37" fillId="14" borderId="1" xfId="2" applyFont="1" applyFill="1" applyBorder="1"/>
    <xf numFmtId="164" fontId="36" fillId="14" borderId="1" xfId="0" applyNumberFormat="1" applyFont="1" applyFill="1" applyBorder="1"/>
    <xf numFmtId="15" fontId="37" fillId="12" borderId="1" xfId="0" applyNumberFormat="1" applyFont="1" applyFill="1" applyBorder="1"/>
    <xf numFmtId="164" fontId="37" fillId="12" borderId="1" xfId="0" applyNumberFormat="1" applyFont="1" applyFill="1" applyBorder="1" applyAlignment="1">
      <alignment vertical="center"/>
    </xf>
    <xf numFmtId="165" fontId="34" fillId="4" borderId="1" xfId="0" applyNumberFormat="1" applyFont="1" applyFill="1" applyBorder="1"/>
    <xf numFmtId="15" fontId="34" fillId="4" borderId="1" xfId="0" applyNumberFormat="1" applyFont="1" applyFill="1" applyBorder="1"/>
    <xf numFmtId="15" fontId="37" fillId="13" borderId="1" xfId="0" applyNumberFormat="1" applyFont="1" applyFill="1" applyBorder="1"/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6" fillId="11" borderId="1" xfId="0" applyFont="1" applyFill="1" applyBorder="1" applyAlignment="1">
      <alignment vertical="center" wrapText="1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31"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0.23838500000000018</c:v>
                </c:pt>
                <c:pt idx="15">
                  <c:v>0.27169800000000022</c:v>
                </c:pt>
                <c:pt idx="16">
                  <c:v>0.30348900000000045</c:v>
                </c:pt>
                <c:pt idx="17">
                  <c:v>0.33504100000000048</c:v>
                </c:pt>
                <c:pt idx="18">
                  <c:v>0.36595200000000061</c:v>
                </c:pt>
                <c:pt idx="19">
                  <c:v>0.40320400000000067</c:v>
                </c:pt>
                <c:pt idx="20">
                  <c:v>0.44100400000000073</c:v>
                </c:pt>
                <c:pt idx="21">
                  <c:v>0.47722000000000087</c:v>
                </c:pt>
                <c:pt idx="22">
                  <c:v>0.51431900000000097</c:v>
                </c:pt>
                <c:pt idx="23">
                  <c:v>0.54356500000000119</c:v>
                </c:pt>
                <c:pt idx="24">
                  <c:v>0.57779700000000123</c:v>
                </c:pt>
                <c:pt idx="25">
                  <c:v>0.61008400000000129</c:v>
                </c:pt>
                <c:pt idx="26">
                  <c:v>0.64159600000000139</c:v>
                </c:pt>
                <c:pt idx="27">
                  <c:v>0.66780600000000157</c:v>
                </c:pt>
                <c:pt idx="28">
                  <c:v>0.69116900000000148</c:v>
                </c:pt>
                <c:pt idx="29">
                  <c:v>0.7137940000000017</c:v>
                </c:pt>
                <c:pt idx="30">
                  <c:v>0.74429000000000178</c:v>
                </c:pt>
                <c:pt idx="31">
                  <c:v>0.7581980000000017</c:v>
                </c:pt>
                <c:pt idx="32">
                  <c:v>0.78077300000000172</c:v>
                </c:pt>
                <c:pt idx="33">
                  <c:v>0.79738800000000187</c:v>
                </c:pt>
                <c:pt idx="34">
                  <c:v>0.81422900000000187</c:v>
                </c:pt>
                <c:pt idx="35">
                  <c:v>0.82536700000000196</c:v>
                </c:pt>
                <c:pt idx="36">
                  <c:v>0.84072000000000202</c:v>
                </c:pt>
                <c:pt idx="37">
                  <c:v>0.85038400000000214</c:v>
                </c:pt>
                <c:pt idx="38">
                  <c:v>0.86148700000000211</c:v>
                </c:pt>
                <c:pt idx="39">
                  <c:v>0.86675600000000219</c:v>
                </c:pt>
                <c:pt idx="40">
                  <c:v>0.87439000000000222</c:v>
                </c:pt>
                <c:pt idx="41">
                  <c:v>0.87980000000000225</c:v>
                </c:pt>
                <c:pt idx="42">
                  <c:v>0.88350000000000217</c:v>
                </c:pt>
                <c:pt idx="43">
                  <c:v>0.88550000000000217</c:v>
                </c:pt>
                <c:pt idx="44">
                  <c:v>0.89050000000000218</c:v>
                </c:pt>
                <c:pt idx="45">
                  <c:v>0.89100000000000235</c:v>
                </c:pt>
                <c:pt idx="46">
                  <c:v>0.8934000000000023</c:v>
                </c:pt>
                <c:pt idx="47">
                  <c:v>0.89540000000000219</c:v>
                </c:pt>
                <c:pt idx="48">
                  <c:v>0.89700000000000224</c:v>
                </c:pt>
                <c:pt idx="49">
                  <c:v>0.89750000000000218</c:v>
                </c:pt>
                <c:pt idx="50">
                  <c:v>0.89750000000000218</c:v>
                </c:pt>
                <c:pt idx="51">
                  <c:v>0.8985000000000023</c:v>
                </c:pt>
                <c:pt idx="52">
                  <c:v>0.8985000000000023</c:v>
                </c:pt>
                <c:pt idx="53">
                  <c:v>0.89900000000000224</c:v>
                </c:pt>
                <c:pt idx="54">
                  <c:v>0.89900000000000224</c:v>
                </c:pt>
                <c:pt idx="55">
                  <c:v>0.90000000000000224</c:v>
                </c:pt>
                <c:pt idx="56">
                  <c:v>0.90000000000000224</c:v>
                </c:pt>
                <c:pt idx="57">
                  <c:v>0.90000000000000224</c:v>
                </c:pt>
                <c:pt idx="58">
                  <c:v>0.90000000000000224</c:v>
                </c:pt>
                <c:pt idx="59">
                  <c:v>0.90000000000000224</c:v>
                </c:pt>
                <c:pt idx="60">
                  <c:v>0.90000000000000224</c:v>
                </c:pt>
                <c:pt idx="61">
                  <c:v>0.90000000000000224</c:v>
                </c:pt>
                <c:pt idx="62">
                  <c:v>0.90000000000000224</c:v>
                </c:pt>
                <c:pt idx="63">
                  <c:v>0.90000000000000224</c:v>
                </c:pt>
                <c:pt idx="64">
                  <c:v>0.90000000000000224</c:v>
                </c:pt>
                <c:pt idx="65">
                  <c:v>0.90000000000000224</c:v>
                </c:pt>
                <c:pt idx="66">
                  <c:v>0.90000000000000224</c:v>
                </c:pt>
                <c:pt idx="67">
                  <c:v>0.90000000000000224</c:v>
                </c:pt>
                <c:pt idx="68">
                  <c:v>0.90000000000000224</c:v>
                </c:pt>
                <c:pt idx="69">
                  <c:v>0.90000000000000224</c:v>
                </c:pt>
                <c:pt idx="70">
                  <c:v>0.90000000000000224</c:v>
                </c:pt>
                <c:pt idx="71">
                  <c:v>0.90000000000000224</c:v>
                </c:pt>
                <c:pt idx="72">
                  <c:v>0.90000000000000224</c:v>
                </c:pt>
                <c:pt idx="73">
                  <c:v>0.90000000000000224</c:v>
                </c:pt>
                <c:pt idx="74">
                  <c:v>0.90000000000000224</c:v>
                </c:pt>
                <c:pt idx="75">
                  <c:v>0.90000000000000224</c:v>
                </c:pt>
                <c:pt idx="76">
                  <c:v>0.90000000000000224</c:v>
                </c:pt>
                <c:pt idx="77">
                  <c:v>0.90000000000000224</c:v>
                </c:pt>
                <c:pt idx="78">
                  <c:v>0.90000000000000224</c:v>
                </c:pt>
                <c:pt idx="79">
                  <c:v>0.90000000000000224</c:v>
                </c:pt>
                <c:pt idx="80">
                  <c:v>0.90000000000000224</c:v>
                </c:pt>
                <c:pt idx="81">
                  <c:v>0.90000000000000224</c:v>
                </c:pt>
                <c:pt idx="82">
                  <c:v>0.90000000000000224</c:v>
                </c:pt>
                <c:pt idx="83">
                  <c:v>0.90000000000000224</c:v>
                </c:pt>
                <c:pt idx="84">
                  <c:v>0.90000000000000224</c:v>
                </c:pt>
                <c:pt idx="85">
                  <c:v>0.90000000000000224</c:v>
                </c:pt>
                <c:pt idx="86">
                  <c:v>0.90000000000000224</c:v>
                </c:pt>
                <c:pt idx="87">
                  <c:v>0.90000000000000224</c:v>
                </c:pt>
                <c:pt idx="88">
                  <c:v>0.90000000000000224</c:v>
                </c:pt>
                <c:pt idx="89">
                  <c:v>0.90000000000000224</c:v>
                </c:pt>
                <c:pt idx="90">
                  <c:v>0.90000000000000224</c:v>
                </c:pt>
                <c:pt idx="91">
                  <c:v>0.90000000000000224</c:v>
                </c:pt>
                <c:pt idx="92">
                  <c:v>0.90000000000000224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0.23838500000000018</c:v>
                </c:pt>
                <c:pt idx="15">
                  <c:v>0.27169800000000022</c:v>
                </c:pt>
                <c:pt idx="16">
                  <c:v>0.30348900000000045</c:v>
                </c:pt>
                <c:pt idx="17">
                  <c:v>0.33504100000000048</c:v>
                </c:pt>
                <c:pt idx="18">
                  <c:v>0.36595200000000061</c:v>
                </c:pt>
                <c:pt idx="19">
                  <c:v>0.40320400000000067</c:v>
                </c:pt>
                <c:pt idx="20">
                  <c:v>0.44100400000000073</c:v>
                </c:pt>
                <c:pt idx="21">
                  <c:v>0.47722000000000087</c:v>
                </c:pt>
                <c:pt idx="22">
                  <c:v>0.51431900000000097</c:v>
                </c:pt>
                <c:pt idx="23">
                  <c:v>0.54356500000000119</c:v>
                </c:pt>
                <c:pt idx="24">
                  <c:v>0.57779700000000123</c:v>
                </c:pt>
                <c:pt idx="25">
                  <c:v>0.61008400000000129</c:v>
                </c:pt>
                <c:pt idx="26">
                  <c:v>0.64159600000000139</c:v>
                </c:pt>
                <c:pt idx="27">
                  <c:v>0.66780600000000157</c:v>
                </c:pt>
                <c:pt idx="28">
                  <c:v>0.69116900000000148</c:v>
                </c:pt>
                <c:pt idx="29">
                  <c:v>0.7137940000000017</c:v>
                </c:pt>
                <c:pt idx="30">
                  <c:v>0.74429000000000178</c:v>
                </c:pt>
                <c:pt idx="31">
                  <c:v>0.7581980000000017</c:v>
                </c:pt>
                <c:pt idx="32">
                  <c:v>0.78077300000000172</c:v>
                </c:pt>
                <c:pt idx="33">
                  <c:v>0.79738800000000187</c:v>
                </c:pt>
                <c:pt idx="34">
                  <c:v>0.81422900000000187</c:v>
                </c:pt>
                <c:pt idx="35">
                  <c:v>0.82536700000000196</c:v>
                </c:pt>
                <c:pt idx="36">
                  <c:v>0.84072000000000202</c:v>
                </c:pt>
                <c:pt idx="37">
                  <c:v>0.85038400000000214</c:v>
                </c:pt>
                <c:pt idx="38">
                  <c:v>0.86148700000000211</c:v>
                </c:pt>
                <c:pt idx="39">
                  <c:v>0.86675600000000219</c:v>
                </c:pt>
                <c:pt idx="40">
                  <c:v>0.87439000000000222</c:v>
                </c:pt>
                <c:pt idx="41">
                  <c:v>0.87980000000000225</c:v>
                </c:pt>
                <c:pt idx="42">
                  <c:v>0.88350000000000217</c:v>
                </c:pt>
                <c:pt idx="43">
                  <c:v>0.88550000000000217</c:v>
                </c:pt>
                <c:pt idx="44">
                  <c:v>0.89050000000000218</c:v>
                </c:pt>
                <c:pt idx="45">
                  <c:v>0.89100000000000235</c:v>
                </c:pt>
                <c:pt idx="46">
                  <c:v>0.8934000000000023</c:v>
                </c:pt>
                <c:pt idx="47">
                  <c:v>0.89540000000000219</c:v>
                </c:pt>
                <c:pt idx="48">
                  <c:v>0.89700000000000224</c:v>
                </c:pt>
                <c:pt idx="49">
                  <c:v>0.89750000000000218</c:v>
                </c:pt>
                <c:pt idx="50">
                  <c:v>0.89750000000000218</c:v>
                </c:pt>
                <c:pt idx="51">
                  <c:v>0.8985000000000023</c:v>
                </c:pt>
                <c:pt idx="52">
                  <c:v>0.8985000000000023</c:v>
                </c:pt>
                <c:pt idx="53">
                  <c:v>0.89900000000000224</c:v>
                </c:pt>
                <c:pt idx="54">
                  <c:v>0.89900000000000224</c:v>
                </c:pt>
                <c:pt idx="55">
                  <c:v>0.90000000000000224</c:v>
                </c:pt>
                <c:pt idx="56">
                  <c:v>0.90000000000000224</c:v>
                </c:pt>
                <c:pt idx="57">
                  <c:v>0.90000000000000224</c:v>
                </c:pt>
                <c:pt idx="58">
                  <c:v>0.90000000000000224</c:v>
                </c:pt>
                <c:pt idx="59">
                  <c:v>0.90000000000000224</c:v>
                </c:pt>
                <c:pt idx="60">
                  <c:v>0.90000000000000224</c:v>
                </c:pt>
                <c:pt idx="61">
                  <c:v>0.90000000000000224</c:v>
                </c:pt>
                <c:pt idx="62">
                  <c:v>0.90000000000000224</c:v>
                </c:pt>
                <c:pt idx="63">
                  <c:v>0.90000000000000224</c:v>
                </c:pt>
                <c:pt idx="64">
                  <c:v>0.90000000000000224</c:v>
                </c:pt>
                <c:pt idx="65">
                  <c:v>0.90000000000000224</c:v>
                </c:pt>
                <c:pt idx="66">
                  <c:v>0.90000000000000224</c:v>
                </c:pt>
                <c:pt idx="67">
                  <c:v>0.90000000000000224</c:v>
                </c:pt>
                <c:pt idx="68">
                  <c:v>0.90000000000000224</c:v>
                </c:pt>
                <c:pt idx="69">
                  <c:v>0.90000000000000224</c:v>
                </c:pt>
                <c:pt idx="70">
                  <c:v>0.90000000000000224</c:v>
                </c:pt>
                <c:pt idx="71">
                  <c:v>0.90000000000000224</c:v>
                </c:pt>
                <c:pt idx="72">
                  <c:v>0.90000000000000224</c:v>
                </c:pt>
                <c:pt idx="73">
                  <c:v>0.90000000000000224</c:v>
                </c:pt>
                <c:pt idx="74">
                  <c:v>0.90000000000000224</c:v>
                </c:pt>
                <c:pt idx="75">
                  <c:v>0.90000000000000224</c:v>
                </c:pt>
                <c:pt idx="76">
                  <c:v>0.90000000000000224</c:v>
                </c:pt>
                <c:pt idx="77">
                  <c:v>0.90000000000000224</c:v>
                </c:pt>
                <c:pt idx="78">
                  <c:v>0.90000000000000224</c:v>
                </c:pt>
                <c:pt idx="79">
                  <c:v>0.90000000000000224</c:v>
                </c:pt>
                <c:pt idx="80">
                  <c:v>0.90000000000000224</c:v>
                </c:pt>
                <c:pt idx="81">
                  <c:v>0.90000000000000224</c:v>
                </c:pt>
                <c:pt idx="82">
                  <c:v>0.90000000000000224</c:v>
                </c:pt>
                <c:pt idx="83">
                  <c:v>0.90000000000000224</c:v>
                </c:pt>
                <c:pt idx="84">
                  <c:v>0.90000000000000224</c:v>
                </c:pt>
                <c:pt idx="85">
                  <c:v>0.90000000000000224</c:v>
                </c:pt>
                <c:pt idx="86">
                  <c:v>0.90000000000000224</c:v>
                </c:pt>
                <c:pt idx="87">
                  <c:v>0.90000000000000224</c:v>
                </c:pt>
                <c:pt idx="88">
                  <c:v>0.90000000000000224</c:v>
                </c:pt>
                <c:pt idx="89">
                  <c:v>0.90000000000000224</c:v>
                </c:pt>
                <c:pt idx="90">
                  <c:v>0.90000000000000224</c:v>
                </c:pt>
                <c:pt idx="91">
                  <c:v>0.90000000000000224</c:v>
                </c:pt>
                <c:pt idx="92">
                  <c:v>0.90000000000000224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0.13353499999999979</c:v>
                </c:pt>
                <c:pt idx="8">
                  <c:v>0.14739499999999983</c:v>
                </c:pt>
                <c:pt idx="9">
                  <c:v>0.18540000000000012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0.24807900000000069</c:v>
                </c:pt>
                <c:pt idx="13">
                  <c:v>0.29147400000000062</c:v>
                </c:pt>
                <c:pt idx="14">
                  <c:v>0.30147000000000057</c:v>
                </c:pt>
                <c:pt idx="15">
                  <c:v>0.32594400000000073</c:v>
                </c:pt>
                <c:pt idx="16">
                  <c:v>0.33982000000000073</c:v>
                </c:pt>
                <c:pt idx="17">
                  <c:v>0.3695960000000007</c:v>
                </c:pt>
                <c:pt idx="18">
                  <c:v>0.40104900000000088</c:v>
                </c:pt>
                <c:pt idx="19">
                  <c:v>0.42438800000000082</c:v>
                </c:pt>
                <c:pt idx="20">
                  <c:v>0.45514900000000091</c:v>
                </c:pt>
                <c:pt idx="21">
                  <c:v>0.49811300000000103</c:v>
                </c:pt>
                <c:pt idx="22">
                  <c:v>0.53614800000000107</c:v>
                </c:pt>
                <c:pt idx="23">
                  <c:v>0.5664840000000011</c:v>
                </c:pt>
                <c:pt idx="24">
                  <c:v>0.60186600000000134</c:v>
                </c:pt>
                <c:pt idx="25">
                  <c:v>0.63857000000000141</c:v>
                </c:pt>
                <c:pt idx="26">
                  <c:v>0.67024400000000151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706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opLeftCell="D2" zoomScaleNormal="100" workbookViewId="0">
      <selection activeCell="P12" sqref="P12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31</v>
      </c>
      <c r="G1" s="23">
        <f>O1-1</f>
        <v>31</v>
      </c>
      <c r="H1" s="23">
        <f t="shared" ref="H1:I1" si="0">P1-1</f>
        <v>31</v>
      </c>
      <c r="I1" s="23">
        <f t="shared" si="0"/>
        <v>31</v>
      </c>
      <c r="J1" s="23"/>
      <c r="K1" s="23"/>
      <c r="L1" s="23"/>
      <c r="M1" s="23"/>
      <c r="N1" s="23">
        <f>_xlfn.XLOOKUP(D3,'Progress%'!6:6,'Progress%'!1:1,0)</f>
        <v>32</v>
      </c>
      <c r="O1" s="23">
        <f>_xlfn.XLOOKUP(D3,'Progress%'!6:6,'Progress%'!1:1,0)</f>
        <v>32</v>
      </c>
      <c r="P1" s="23">
        <f>N1</f>
        <v>32</v>
      </c>
      <c r="Q1" s="23">
        <f>P1</f>
        <v>32</v>
      </c>
    </row>
    <row r="2" spans="1:17" collapsed="1" x14ac:dyDescent="0.35">
      <c r="D2" s="16" t="s">
        <v>32</v>
      </c>
    </row>
    <row r="3" spans="1:17" x14ac:dyDescent="0.35">
      <c r="D3" s="25">
        <v>46283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09" t="s">
        <v>24</v>
      </c>
      <c r="E6" s="209" t="s">
        <v>25</v>
      </c>
      <c r="F6" s="211" t="s">
        <v>31</v>
      </c>
      <c r="G6" s="212"/>
      <c r="H6" s="212"/>
      <c r="I6" s="213"/>
      <c r="J6" s="211" t="s">
        <v>26</v>
      </c>
      <c r="K6" s="212"/>
      <c r="L6" s="212"/>
      <c r="M6" s="213"/>
      <c r="N6" s="211" t="s">
        <v>27</v>
      </c>
      <c r="O6" s="212"/>
      <c r="P6" s="212"/>
      <c r="Q6" s="213"/>
    </row>
    <row r="7" spans="1:17" ht="24.5" customHeight="1" thickBot="1" x14ac:dyDescent="0.4">
      <c r="D7" s="210"/>
      <c r="E7" s="210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66</v>
      </c>
      <c r="E8" s="19">
        <v>0.25</v>
      </c>
      <c r="F8" s="19" cm="1">
        <f t="array" ref="F8">INDEX('Progress%'!$A$1:$CT$37,'Progress Summary'!$A8,'Progress Summary'!F$1)</f>
        <v>0.77333600000000102</v>
      </c>
      <c r="G8" s="19" cm="1">
        <f t="array" ref="G8">INDEX('Progress%'!$A$1:$CT$37,'Progress Summary'!$B8,'Progress Summary'!G$1)</f>
        <v>0.77333600000000102</v>
      </c>
      <c r="H8" s="19" cm="1">
        <f t="array" ref="H8">INDEX('Progress%'!$A$1:$CT$37,'Progress Summary'!$C8,'Progress Summary'!H$1)</f>
        <v>0.73708800000000096</v>
      </c>
      <c r="I8" s="19">
        <f>H8-F8</f>
        <v>-3.6248000000000058E-2</v>
      </c>
      <c r="J8" s="19">
        <f t="shared" ref="J8:M10" si="2">N8-F8</f>
        <v>2.7612000000000081E-2</v>
      </c>
      <c r="K8" s="19">
        <f t="shared" si="2"/>
        <v>2.7612000000000081E-2</v>
      </c>
      <c r="L8" s="19">
        <f t="shared" si="2"/>
        <v>2.1072000000000313E-2</v>
      </c>
      <c r="M8" s="19">
        <f t="shared" si="2"/>
        <v>-6.5399999999997682E-3</v>
      </c>
      <c r="N8" s="19" cm="1">
        <f t="array" ref="N8">INDEX('Progress%'!$A$1:$CT$37,'Progress Summary'!$A8,'Progress Summary'!N$1)</f>
        <v>0.8009480000000011</v>
      </c>
      <c r="O8" s="19" cm="1">
        <f t="array" ref="O8">INDEX('Progress%'!$A$1:$CT$37,'Progress Summary'!$B8,'Progress Summary'!O$1)</f>
        <v>0.8009480000000011</v>
      </c>
      <c r="P8" s="19" cm="1">
        <f t="array" ref="P8">INDEX('Progress%'!$A$1:$CT$37,'Progress Summary'!$C8,'Progress Summary'!P$1)</f>
        <v>0.75816000000000128</v>
      </c>
      <c r="Q8" s="19">
        <f>P8-N8</f>
        <v>-4.2787999999999826E-2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64</v>
      </c>
      <c r="E9" s="19">
        <v>0.25</v>
      </c>
      <c r="F9" s="19" cm="1">
        <f t="array" ref="F9">INDEX('Progress%'!$A$1:$CT$37,'Progress Summary'!$A9,'Progress Summary'!F$1)</f>
        <v>0.67601600000000173</v>
      </c>
      <c r="G9" s="19" cm="1">
        <f t="array" ref="G9">INDEX('Progress%'!$A$1:$CT$37,'Progress Summary'!$B9,'Progress Summary'!G$1)</f>
        <v>0.67601600000000173</v>
      </c>
      <c r="H9" s="19" cm="1">
        <f t="array" ref="H9">INDEX('Progress%'!$A$1:$CT$37,'Progress Summary'!$C9,'Progress Summary'!H$1)</f>
        <v>0.66952800000000157</v>
      </c>
      <c r="I9" s="19">
        <f>H9-F9</f>
        <v>-6.4880000000001603E-3</v>
      </c>
      <c r="J9" s="19">
        <f t="shared" si="2"/>
        <v>3.2952000000000203E-2</v>
      </c>
      <c r="K9" s="19">
        <f t="shared" si="2"/>
        <v>3.2952000000000203E-2</v>
      </c>
      <c r="L9" s="19">
        <f t="shared" si="2"/>
        <v>3.2104000000000021E-2</v>
      </c>
      <c r="M9" s="19">
        <f t="shared" si="2"/>
        <v>-8.4800000000018194E-4</v>
      </c>
      <c r="N9" s="19" cm="1">
        <f t="array" ref="N9">INDEX('Progress%'!$A$1:$CT$37,'Progress Summary'!$A9,'Progress Summary'!N$1)</f>
        <v>0.70896800000000193</v>
      </c>
      <c r="O9" s="19" cm="1">
        <f t="array" ref="O9">INDEX('Progress%'!$A$1:$CT$37,'Progress Summary'!$B9,'Progress Summary'!O$1)</f>
        <v>0.70896800000000193</v>
      </c>
      <c r="P9" s="19" cm="1">
        <f t="array" ref="P9">INDEX('Progress%'!$A$1:$CT$37,'Progress Summary'!$C9,'Progress Summary'!P$1)</f>
        <v>0.70163200000000159</v>
      </c>
      <c r="Q9" s="19">
        <f>P9-N9</f>
        <v>-7.3360000000003422E-3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67</v>
      </c>
      <c r="E10" s="19">
        <v>0.25</v>
      </c>
      <c r="F10" s="19" cm="1">
        <f t="array" ref="F10">INDEX('Progress%'!$A$1:$CT$37,'Progress Summary'!$A10,'Progress Summary'!F$1)</f>
        <v>0.54362400000000155</v>
      </c>
      <c r="G10" s="19" cm="1">
        <f t="array" ref="G10">INDEX('Progress%'!$A$1:$CT$37,'Progress Summary'!$B10,'Progress Summary'!G$1)</f>
        <v>0.54362400000000155</v>
      </c>
      <c r="H10" s="19" cm="1">
        <f t="array" ref="H10">INDEX('Progress%'!$A$1:$CT$37,'Progress Summary'!$C10,'Progress Summary'!H$1)</f>
        <v>0.60122000000000153</v>
      </c>
      <c r="I10" s="19">
        <f>H10-F10</f>
        <v>5.7595999999999981E-2</v>
      </c>
      <c r="J10" s="19">
        <f t="shared" si="2"/>
        <v>4.3144000000000071E-2</v>
      </c>
      <c r="K10" s="19">
        <f t="shared" si="2"/>
        <v>4.3144000000000071E-2</v>
      </c>
      <c r="L10" s="19">
        <f t="shared" si="2"/>
        <v>3.5760000000000014E-2</v>
      </c>
      <c r="M10" s="19">
        <f t="shared" si="2"/>
        <v>-7.3840000000000572E-3</v>
      </c>
      <c r="N10" s="19" cm="1">
        <f t="array" ref="N10">INDEX('Progress%'!$A$1:$CT$37,'Progress Summary'!$A10,'Progress Summary'!N$1)</f>
        <v>0.58676800000000162</v>
      </c>
      <c r="O10" s="19" cm="1">
        <f t="array" ref="O10">INDEX('Progress%'!$A$1:$CT$37,'Progress Summary'!$B10,'Progress Summary'!O$1)</f>
        <v>0.58676800000000162</v>
      </c>
      <c r="P10" s="19" cm="1">
        <f t="array" ref="P10">INDEX('Progress%'!$A$1:$CT$37,'Progress Summary'!$C10,'Progress Summary'!P$1)</f>
        <v>0.63698000000000154</v>
      </c>
      <c r="Q10" s="19">
        <f>P10-N10</f>
        <v>5.0211999999999923E-2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65</v>
      </c>
      <c r="E11" s="19">
        <v>0.25</v>
      </c>
      <c r="F11" s="19" cm="1">
        <f t="array" ref="F11">INDEX('Progress%'!$A$1:$CT$37,'Progress Summary'!$A11,'Progress Summary'!F$1)</f>
        <v>0.44736000000000081</v>
      </c>
      <c r="G11" s="19" cm="1">
        <f t="array" ref="G11">INDEX('Progress%'!$A$1:$CT$37,'Progress Summary'!$B11,'Progress Summary'!G$1)</f>
        <v>0.44736000000000081</v>
      </c>
      <c r="H11" s="19" cm="1">
        <f t="array" ref="H11">INDEX('Progress%'!$A$1:$CT$37,'Progress Summary'!$C11,'Progress Summary'!H$1)</f>
        <v>0.54644400000000137</v>
      </c>
      <c r="I11" s="19">
        <f t="shared" ref="I11" si="5">H11-F11</f>
        <v>9.9084000000000561E-2</v>
      </c>
      <c r="J11" s="19">
        <f>N11-F11</f>
        <v>2.2340000000000304E-2</v>
      </c>
      <c r="K11" s="19">
        <f t="shared" ref="K11" si="6">O11-G11</f>
        <v>2.2340000000000304E-2</v>
      </c>
      <c r="L11" s="19">
        <f t="shared" ref="L11:M11" si="7">P11-H11</f>
        <v>3.7760000000000127E-2</v>
      </c>
      <c r="M11" s="19">
        <f t="shared" si="7"/>
        <v>1.5419999999999823E-2</v>
      </c>
      <c r="N11" s="19" cm="1">
        <f t="array" ref="N11">INDEX('Progress%'!$A$1:$CT$37,'Progress Summary'!$A11,'Progress Summary'!N$1)</f>
        <v>0.46970000000000112</v>
      </c>
      <c r="O11" s="19" cm="1">
        <f t="array" ref="O11">INDEX('Progress%'!$A$1:$CT$37,'Progress Summary'!$B11,'Progress Summary'!O$1)</f>
        <v>0.46970000000000112</v>
      </c>
      <c r="P11" s="19" cm="1">
        <f t="array" ref="P11">INDEX('Progress%'!$A$1:$CT$37,'Progress Summary'!$C11,'Progress Summary'!P$1)</f>
        <v>0.5842040000000015</v>
      </c>
      <c r="Q11" s="19">
        <f t="shared" ref="Q11" si="8">P11-N11</f>
        <v>0.11450400000000038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0.61008400000000129</v>
      </c>
      <c r="G12" s="20">
        <f t="shared" si="9"/>
        <v>0.61008400000000129</v>
      </c>
      <c r="H12" s="20">
        <f t="shared" si="9"/>
        <v>0.63857000000000141</v>
      </c>
      <c r="I12" s="20">
        <f t="shared" si="9"/>
        <v>2.8486000000000081E-2</v>
      </c>
      <c r="J12" s="20">
        <f t="shared" si="9"/>
        <v>3.1512000000000165E-2</v>
      </c>
      <c r="K12" s="20">
        <f t="shared" si="9"/>
        <v>3.1512000000000165E-2</v>
      </c>
      <c r="L12" s="20">
        <f t="shared" si="9"/>
        <v>3.1674000000000119E-2</v>
      </c>
      <c r="M12" s="20">
        <f t="shared" si="9"/>
        <v>1.6199999999995385E-4</v>
      </c>
      <c r="N12" s="20">
        <f t="shared" si="9"/>
        <v>0.64159600000000139</v>
      </c>
      <c r="O12" s="20">
        <f t="shared" si="9"/>
        <v>0.64159600000000139</v>
      </c>
      <c r="P12" s="20">
        <f t="shared" si="9"/>
        <v>0.67024400000000151</v>
      </c>
      <c r="Q12" s="20">
        <f t="shared" si="9"/>
        <v>2.8648000000000035E-2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61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62</v>
      </c>
      <c r="F4">
        <f>'Progress%'!A28</f>
        <v>28</v>
      </c>
    </row>
    <row r="5" spans="2:6" x14ac:dyDescent="0.35">
      <c r="B5" s="21">
        <f t="shared" si="0"/>
        <v>46122</v>
      </c>
      <c r="E5" t="s">
        <v>60</v>
      </c>
      <c r="F5">
        <f>'Progress%'!A7</f>
        <v>7</v>
      </c>
    </row>
    <row r="6" spans="2:6" x14ac:dyDescent="0.35">
      <c r="B6" s="21">
        <f t="shared" si="0"/>
        <v>46129</v>
      </c>
      <c r="E6" t="s">
        <v>63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A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46283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66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0.14749999999999983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0.19550000000000023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0.29446000000000061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0.43570000000000031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0.47343200000000057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0.49693600000000065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0.5160240000000007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0.56376800000000082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0.59292400000000078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0.62526000000000048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0.65821600000000058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0.6939680000000007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0.71244400000000085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0.75032000000000099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0.77333600000000102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0.8009480000000011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0.82202400000000109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0.83356000000000097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0.85320000000000107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0.86040000000000094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0.86040000000000094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0.87400000000000089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0.87400000000000089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0.88360000000000094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0.88760000000000105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0.89400000000000102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0.89400000000000102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0.89400000000000102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0.89400000000000102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0.89400000000000102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0.89600000000000113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0.89600000000000113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0.90000000000000113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0.90000000000000113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0.90000000000000113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0.90000000000000113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0.90000000000000113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0.90000000000000113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0.90000000000000113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0.90000000000000113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0.90000000000000113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0.90000000000000113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0.90000000000000113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0.90000000000000113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0.90000000000000113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0.90000000000000113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0.90000000000000113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0.90000000000000113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0.90000000000000113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0.90000000000000113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0.90000000000000113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0.90000000000000113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0.90000000000000113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0.90000000000000113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0.90000000000000113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0.90000000000000113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0.90000000000000113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0.90000000000000113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0.90000000000000113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0.90000000000000113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0.90000000000000113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0.90000000000000113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0.90000000000000113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0.90000000000000113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0.90000000000000113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0.90000000000000113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0.90000000000000113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0.90000000000000113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0.90000000000000113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0.90000000000000113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0.90000000000000113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0.90000000000000113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0.90000000000000113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0.90000000000000113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0.90000000000000113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0.90000000000000113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0.90000000000000113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0.90000000000000113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0.90000000000000113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0.90000000000000113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0.90000000000000113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0.90000000000000113</v>
      </c>
    </row>
    <row r="8" spans="1:98" x14ac:dyDescent="0.35">
      <c r="A8">
        <v>8</v>
      </c>
      <c r="B8" t="s">
        <v>66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0.14749999999999983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0.19550000000000023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0.29446000000000061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0.43570000000000031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0.47343200000000057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0.49693600000000065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0.5160240000000007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0.56376800000000082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0.59292400000000078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0.62526000000000048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0.65821600000000058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0.6939680000000007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0.71244400000000085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0.75032000000000099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0.77333600000000102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0.8009480000000011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0.82202400000000109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0.83356000000000097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0.85320000000000107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0.86040000000000094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0.86040000000000094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0.87400000000000089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0.87400000000000089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0.88360000000000094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0.88760000000000105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0.89400000000000102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0.89400000000000102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0.89400000000000102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0.89400000000000102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0.89400000000000102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0.89600000000000113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0.89600000000000113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0.90000000000000113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0.90000000000000113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0.90000000000000113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0.90000000000000113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0.90000000000000113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0.90000000000000113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0.90000000000000113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0.90000000000000113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0.90000000000000113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0.90000000000000113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0.90000000000000113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0.90000000000000113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0.90000000000000113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0.90000000000000113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0.90000000000000113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0.90000000000000113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0.90000000000000113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0.90000000000000113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0.90000000000000113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0.90000000000000113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0.90000000000000113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0.90000000000000113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0.90000000000000113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0.90000000000000113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0.90000000000000113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0.90000000000000113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0.90000000000000113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0.90000000000000113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0.90000000000000113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0.90000000000000113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0.90000000000000113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0.90000000000000113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0.90000000000000113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0.90000000000000113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0.90000000000000113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0.90000000000000113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0.90000000000000113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0.90000000000000113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0.90000000000000113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0.90000000000000113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0.90000000000000113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0.90000000000000113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0.90000000000000113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0.90000000000000113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0.90000000000000113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0.90000000000000113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0.90000000000000113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0.90000000000000113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0.90000000000000113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0.90000000000000113</v>
      </c>
    </row>
    <row r="9" spans="1:98" x14ac:dyDescent="0.35">
      <c r="A9">
        <v>9</v>
      </c>
      <c r="B9" t="s">
        <v>66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2.8000000000000004E-2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0.14005999999999974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0.15205999999999975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0.21622000000000066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0.37796000000000018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0.41074400000000016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0.46274400000000038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0.49274400000000057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0.53596400000000055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0.56442000000000059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0.5958480000000006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0.62779200000000079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0.66230000000000089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0.68536400000000086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0.70774400000000104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0.71851200000000093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0.73708800000000096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0.75816000000000128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0.75891200000000136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0.75891200000000136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0.75891200000000136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0.75891200000000136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0.75891200000000136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0.75891200000000136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0.75891200000000136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0.75891200000000136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0.75891200000000136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0.75891200000000136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0.75891200000000136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0.75891200000000136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0.75891200000000136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0.75891200000000136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0.75891200000000136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0.75891200000000136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0.75891200000000136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0.75891200000000136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0.75891200000000136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0.75891200000000136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0.75891200000000136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0.75891200000000136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0.75891200000000136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0.75891200000000136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0.75891200000000136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0.75891200000000136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0.75891200000000136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0.75891200000000136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0.75891200000000136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0.75891200000000136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0.75891200000000136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0.75891200000000136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0.75891200000000136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0.75891200000000136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0.75891200000000136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0.75891200000000136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0.75891200000000136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0.75891200000000136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0.75891200000000136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0.75891200000000136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0.75891200000000136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0.75891200000000136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0.75891200000000136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0.75891200000000136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0.75891200000000136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0.75891200000000136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0.75891200000000136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0.75891200000000136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0.75891200000000136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0.75891200000000136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0.75891200000000136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0.75891200000000136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0.75891200000000136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0.75891200000000136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0.75891200000000136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0.75891200000000136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0.75891200000000136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0.75891200000000136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0.75891200000000136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0.75891200000000136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0.75891200000000136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0.75891200000000136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0.75891200000000136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0.75891200000000136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0.75891200000000136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0.75891200000000136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64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0.21170000000000036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0.23828000000000049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0.3046600000000006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0.35612000000000082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0.4202600000000008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0.4502000000000011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0.53382400000000152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0.58776800000000162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0.64406000000000174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0.70896800000000193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0.72344400000000209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0.7583200000000021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0.77633600000000214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0.80594800000000233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64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0.21170000000000036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0.23828000000000049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0.3046600000000006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0.35612000000000082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0.4202600000000008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0.4502000000000011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0.53382400000000152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0.58776800000000162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0.64406000000000174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0.70896800000000193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0.72344400000000209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0.7583200000000021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0.77633600000000214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0.80594800000000233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64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0.25984000000000085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0.30638400000000088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0.30878400000000089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0.32991200000000087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0.46338400000000129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0.58048800000000123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0.59638000000000135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0.60982400000000136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0.63512800000000158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0.66952800000000157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0.70163200000000159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0.70163200000000159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0.70163200000000159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0.70163200000000159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0.70163200000000159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0.70163200000000159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0.70163200000000159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0.70163200000000159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0.70163200000000159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0.70163200000000159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0.70163200000000159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0.70163200000000159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0.70163200000000159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0.70163200000000159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0.70163200000000159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0.70163200000000159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0.70163200000000159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0.70163200000000159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0.70163200000000159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0.70163200000000159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0.70163200000000159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0.70163200000000159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0.70163200000000159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0.70163200000000159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0.70163200000000159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0.70163200000000159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0.70163200000000159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0.70163200000000159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0.70163200000000159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0.70163200000000159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0.70163200000000159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0.70163200000000159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0.70163200000000159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0.70163200000000159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0.70163200000000159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0.70163200000000159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0.70163200000000159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0.70163200000000159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0.70163200000000159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0.70163200000000159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0.70163200000000159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0.70163200000000159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0.70163200000000159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0.70163200000000159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0.70163200000000159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0.70163200000000159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0.70163200000000159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0.70163200000000159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0.70163200000000159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0.70163200000000159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0.70163200000000159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0.70163200000000159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0.70163200000000159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0.70163200000000159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0.70163200000000159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0.70163200000000159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0.70163200000000159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0.70163200000000159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0.70163200000000159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0.70163200000000159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0.70163200000000159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0.70163200000000159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0.70163200000000159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0.70163200000000159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0.70163200000000159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0.70163200000000159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0.70163200000000159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67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0.23170000000000035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0.29184000000000049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0.32806000000000063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0.47170000000000117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0.64806000000000163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0.71296800000000204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67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0.23170000000000035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0.29184000000000049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0.32806000000000063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0.47170000000000117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0.64806000000000163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0.71296800000000204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67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0.21984000000000065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0.24200000000000066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0.24440000000000064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0.26573600000000092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0.43989200000000106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0.48418400000000111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0.52337200000000106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0.56290000000000129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0.60122000000000153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0.63698000000000154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0.63698000000000154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0.63698000000000154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0.63698000000000154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0.63698000000000154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0.63698000000000154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0.63698000000000154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0.63698000000000154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0.63698000000000154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0.63698000000000154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0.63698000000000154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0.63698000000000154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0.63698000000000154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0.63698000000000154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0.63698000000000154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0.63698000000000154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0.63698000000000154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0.63698000000000154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0.63698000000000154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0.63698000000000154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0.63698000000000154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0.63698000000000154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0.63698000000000154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0.63698000000000154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0.63698000000000154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0.63698000000000154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0.63698000000000154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0.63698000000000154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0.63698000000000154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0.63698000000000154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0.63698000000000154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0.63698000000000154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0.63698000000000154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0.63698000000000154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0.63698000000000154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0.63698000000000154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0.63698000000000154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0.63698000000000154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0.63698000000000154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0.63698000000000154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0.63698000000000154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0.63698000000000154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0.63698000000000154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0.63698000000000154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0.63698000000000154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0.63698000000000154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0.63698000000000154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0.63698000000000154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0.63698000000000154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0.63698000000000154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0.63698000000000154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0.63698000000000154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0.63698000000000154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0.63698000000000154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0.63698000000000154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0.63698000000000154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0.63698000000000154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0.63698000000000154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0.63698000000000154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0.63698000000000154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0.63698000000000154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0.63698000000000154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0.63698000000000154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0.63698000000000154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0.63698000000000154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0.63698000000000154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0.63698000000000154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65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0.27428000000000047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65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0.27428000000000047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65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0.20884000000000047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0.23955200000000068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0.2525360000000007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0.25413600000000069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0.25893600000000072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0.2971360000000009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0.30977200000000088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0.37866400000000083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0.42499600000000087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0.4909240000000013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0.54644400000000137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0.5842040000000015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0.5842040000000015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0.5842040000000015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0.5842040000000015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0.5842040000000015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0.5842040000000015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0.5842040000000015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0.5842040000000015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0.5842040000000015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0.5842040000000015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0.5842040000000015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0.5842040000000015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0.5842040000000015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0.5842040000000015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0.5842040000000015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0.5842040000000015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0.5842040000000015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0.5842040000000015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0.5842040000000015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0.5842040000000015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0.5842040000000015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0.5842040000000015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0.5842040000000015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0.5842040000000015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0.5842040000000015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0.5842040000000015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0.5842040000000015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0.5842040000000015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0.5842040000000015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0.5842040000000015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0.5842040000000015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0.5842040000000015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0.5842040000000015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0.5842040000000015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0.5842040000000015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0.5842040000000015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0.5842040000000015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0.5842040000000015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0.5842040000000015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0.5842040000000015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0.5842040000000015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0.5842040000000015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0.5842040000000015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0.5842040000000015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0.5842040000000015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0.5842040000000015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0.5842040000000015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0.5842040000000015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0.5842040000000015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0.5842040000000015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0.5842040000000015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0.5842040000000015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0.5842040000000015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0.5842040000000015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0.5842040000000015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0.5842040000000015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0.5842040000000015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0.5842040000000015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0.5842040000000015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0.5842040000000015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0.5842040000000015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0.5842040000000015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0.5842040000000015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0.5842040000000015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0.5842040000000015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0.5842040000000015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0.5842040000000015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0.10737500000000007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0.1853050000000003</v>
      </c>
      <c r="S35" s="15">
        <f t="shared" si="366"/>
        <v>0.2108100000000003</v>
      </c>
      <c r="T35" s="15">
        <f t="shared" si="366"/>
        <v>0.23838500000000018</v>
      </c>
      <c r="U35" s="15">
        <f t="shared" si="366"/>
        <v>0.27169800000000022</v>
      </c>
      <c r="V35" s="15">
        <f t="shared" si="366"/>
        <v>0.30348900000000045</v>
      </c>
      <c r="W35" s="15">
        <f t="shared" si="366"/>
        <v>0.33504100000000048</v>
      </c>
      <c r="X35" s="15">
        <f t="shared" si="366"/>
        <v>0.36595200000000061</v>
      </c>
      <c r="Y35" s="15">
        <f t="shared" si="366"/>
        <v>0.40320400000000067</v>
      </c>
      <c r="Z35" s="15">
        <f t="shared" si="366"/>
        <v>0.44100400000000073</v>
      </c>
      <c r="AA35" s="15">
        <f t="shared" si="366"/>
        <v>0.47722000000000087</v>
      </c>
      <c r="AB35" s="15">
        <f t="shared" si="366"/>
        <v>0.51431900000000097</v>
      </c>
      <c r="AC35" s="15">
        <f t="shared" si="366"/>
        <v>0.54356500000000119</v>
      </c>
      <c r="AD35" s="15">
        <f t="shared" si="366"/>
        <v>0.57779700000000123</v>
      </c>
      <c r="AE35" s="15">
        <f t="shared" si="366"/>
        <v>0.61008400000000129</v>
      </c>
      <c r="AF35" s="15">
        <f t="shared" si="366"/>
        <v>0.64159600000000139</v>
      </c>
      <c r="AG35" s="15">
        <f t="shared" si="366"/>
        <v>0.66780600000000157</v>
      </c>
      <c r="AH35" s="15">
        <f t="shared" si="366"/>
        <v>0.69116900000000148</v>
      </c>
      <c r="AI35" s="15">
        <f t="shared" si="366"/>
        <v>0.7137940000000017</v>
      </c>
      <c r="AJ35" s="15">
        <f t="shared" si="366"/>
        <v>0.74429000000000178</v>
      </c>
      <c r="AK35" s="15">
        <f t="shared" si="366"/>
        <v>0.7581980000000017</v>
      </c>
      <c r="AL35" s="15">
        <f t="shared" si="366"/>
        <v>0.78077300000000172</v>
      </c>
      <c r="AM35" s="15">
        <f t="shared" si="366"/>
        <v>0.79738800000000187</v>
      </c>
      <c r="AN35" s="15">
        <f t="shared" si="366"/>
        <v>0.81422900000000187</v>
      </c>
      <c r="AO35" s="15">
        <f t="shared" si="366"/>
        <v>0.82536700000000196</v>
      </c>
      <c r="AP35" s="15">
        <f t="shared" si="366"/>
        <v>0.84072000000000202</v>
      </c>
      <c r="AQ35" s="15">
        <f t="shared" si="366"/>
        <v>0.85038400000000214</v>
      </c>
      <c r="AR35" s="15">
        <f t="shared" si="366"/>
        <v>0.86148700000000211</v>
      </c>
      <c r="AS35" s="15">
        <f t="shared" si="366"/>
        <v>0.86675600000000219</v>
      </c>
      <c r="AT35" s="15">
        <f t="shared" si="366"/>
        <v>0.87439000000000222</v>
      </c>
      <c r="AU35" s="15">
        <f t="shared" si="366"/>
        <v>0.87980000000000225</v>
      </c>
      <c r="AV35" s="15">
        <f t="shared" si="366"/>
        <v>0.88350000000000217</v>
      </c>
      <c r="AW35" s="15">
        <f t="shared" si="366"/>
        <v>0.88550000000000217</v>
      </c>
      <c r="AX35" s="15">
        <f t="shared" si="366"/>
        <v>0.89050000000000218</v>
      </c>
      <c r="AY35" s="15">
        <f t="shared" si="366"/>
        <v>0.89100000000000235</v>
      </c>
      <c r="AZ35" s="15">
        <f t="shared" si="366"/>
        <v>0.8934000000000023</v>
      </c>
      <c r="BA35" s="15">
        <f t="shared" si="366"/>
        <v>0.89540000000000219</v>
      </c>
      <c r="BB35" s="15">
        <f t="shared" si="366"/>
        <v>0.89700000000000224</v>
      </c>
      <c r="BC35" s="15">
        <f>SUMPRODUCT($D7,BC7)+SUMPRODUCT($D14,BC14)+SUMPRODUCT($D21,BC21)+SUMPRODUCT($D28,BC28)/$D35</f>
        <v>0.89750000000000218</v>
      </c>
      <c r="BD35" s="15">
        <f t="shared" si="366"/>
        <v>0.89750000000000218</v>
      </c>
      <c r="BE35" s="15">
        <f t="shared" si="366"/>
        <v>0.8985000000000023</v>
      </c>
      <c r="BF35" s="15">
        <f t="shared" si="366"/>
        <v>0.8985000000000023</v>
      </c>
      <c r="BG35" s="15">
        <f t="shared" si="366"/>
        <v>0.89900000000000224</v>
      </c>
      <c r="BH35" s="15">
        <f t="shared" si="366"/>
        <v>0.89900000000000224</v>
      </c>
      <c r="BI35" s="15">
        <f t="shared" si="366"/>
        <v>0.90000000000000224</v>
      </c>
      <c r="BJ35" s="15">
        <f t="shared" si="366"/>
        <v>0.90000000000000224</v>
      </c>
      <c r="BK35" s="15">
        <f t="shared" si="366"/>
        <v>0.90000000000000224</v>
      </c>
      <c r="BL35" s="15">
        <f t="shared" si="366"/>
        <v>0.90000000000000224</v>
      </c>
      <c r="BM35" s="15">
        <f t="shared" si="366"/>
        <v>0.90000000000000224</v>
      </c>
      <c r="BN35" s="15">
        <f t="shared" si="366"/>
        <v>0.90000000000000224</v>
      </c>
      <c r="BO35" s="15">
        <f t="shared" si="366"/>
        <v>0.90000000000000224</v>
      </c>
      <c r="BP35" s="15">
        <f t="shared" si="366"/>
        <v>0.90000000000000224</v>
      </c>
      <c r="BQ35" s="15">
        <f t="shared" si="366"/>
        <v>0.90000000000000224</v>
      </c>
      <c r="BR35" s="15">
        <f t="shared" si="366"/>
        <v>0.90000000000000224</v>
      </c>
      <c r="BS35" s="15">
        <f t="shared" ref="BS35:CT35" si="367">SUMPRODUCT($D7,BS7)+SUMPRODUCT($D14,BS14)+SUMPRODUCT($D21,BS21)+SUMPRODUCT($D28,BS28)/$D35</f>
        <v>0.90000000000000224</v>
      </c>
      <c r="BT35" s="15">
        <f t="shared" si="367"/>
        <v>0.90000000000000224</v>
      </c>
      <c r="BU35" s="15">
        <f t="shared" si="367"/>
        <v>0.90000000000000224</v>
      </c>
      <c r="BV35" s="15">
        <f t="shared" si="367"/>
        <v>0.90000000000000224</v>
      </c>
      <c r="BW35" s="15">
        <f t="shared" si="367"/>
        <v>0.90000000000000224</v>
      </c>
      <c r="BX35" s="15">
        <f t="shared" si="367"/>
        <v>0.90000000000000224</v>
      </c>
      <c r="BY35" s="15">
        <f t="shared" si="367"/>
        <v>0.90000000000000224</v>
      </c>
      <c r="BZ35" s="15">
        <f t="shared" si="367"/>
        <v>0.90000000000000224</v>
      </c>
      <c r="CA35" s="15">
        <f t="shared" si="367"/>
        <v>0.90000000000000224</v>
      </c>
      <c r="CB35" s="15">
        <f t="shared" si="367"/>
        <v>0.90000000000000224</v>
      </c>
      <c r="CC35" s="15">
        <f t="shared" si="367"/>
        <v>0.90000000000000224</v>
      </c>
      <c r="CD35" s="15">
        <f t="shared" si="367"/>
        <v>0.90000000000000224</v>
      </c>
      <c r="CE35" s="15">
        <f t="shared" si="367"/>
        <v>0.90000000000000224</v>
      </c>
      <c r="CF35" s="15">
        <f t="shared" si="367"/>
        <v>0.90000000000000224</v>
      </c>
      <c r="CG35" s="15">
        <f t="shared" si="367"/>
        <v>0.90000000000000224</v>
      </c>
      <c r="CH35" s="15">
        <f t="shared" si="367"/>
        <v>0.90000000000000224</v>
      </c>
      <c r="CI35" s="15">
        <f t="shared" si="367"/>
        <v>0.90000000000000224</v>
      </c>
      <c r="CJ35" s="15">
        <f t="shared" si="367"/>
        <v>0.90000000000000224</v>
      </c>
      <c r="CK35" s="15">
        <f t="shared" si="367"/>
        <v>0.90000000000000224</v>
      </c>
      <c r="CL35" s="15">
        <f t="shared" si="367"/>
        <v>0.90000000000000224</v>
      </c>
      <c r="CM35" s="15">
        <f t="shared" si="367"/>
        <v>0.90000000000000224</v>
      </c>
      <c r="CN35" s="15">
        <f t="shared" si="367"/>
        <v>0.90000000000000224</v>
      </c>
      <c r="CO35" s="15">
        <f t="shared" si="367"/>
        <v>0.90000000000000224</v>
      </c>
      <c r="CP35" s="15">
        <f t="shared" si="367"/>
        <v>0.90000000000000224</v>
      </c>
      <c r="CQ35" s="15">
        <f t="shared" si="367"/>
        <v>0.90000000000000224</v>
      </c>
      <c r="CR35" s="15">
        <f t="shared" si="367"/>
        <v>0.90000000000000224</v>
      </c>
      <c r="CS35" s="15">
        <f t="shared" si="367"/>
        <v>0.90000000000000224</v>
      </c>
      <c r="CT35" s="15">
        <f t="shared" si="367"/>
        <v>0.90000000000000224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0.10737500000000007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0.1853050000000003</v>
      </c>
      <c r="S36" s="15">
        <f t="shared" si="366"/>
        <v>0.2108100000000003</v>
      </c>
      <c r="T36" s="15">
        <f t="shared" si="366"/>
        <v>0.23838500000000018</v>
      </c>
      <c r="U36" s="15">
        <f t="shared" si="366"/>
        <v>0.27169800000000022</v>
      </c>
      <c r="V36" s="15">
        <f t="shared" si="366"/>
        <v>0.30348900000000045</v>
      </c>
      <c r="W36" s="15">
        <f t="shared" si="366"/>
        <v>0.33504100000000048</v>
      </c>
      <c r="X36" s="15">
        <f t="shared" si="366"/>
        <v>0.36595200000000061</v>
      </c>
      <c r="Y36" s="15">
        <f t="shared" si="366"/>
        <v>0.40320400000000067</v>
      </c>
      <c r="Z36" s="15">
        <f t="shared" si="366"/>
        <v>0.44100400000000073</v>
      </c>
      <c r="AA36" s="15">
        <f t="shared" si="366"/>
        <v>0.47722000000000087</v>
      </c>
      <c r="AB36" s="15">
        <f t="shared" si="366"/>
        <v>0.51431900000000097</v>
      </c>
      <c r="AC36" s="15">
        <f t="shared" si="366"/>
        <v>0.54356500000000119</v>
      </c>
      <c r="AD36" s="15">
        <f t="shared" si="366"/>
        <v>0.57779700000000123</v>
      </c>
      <c r="AE36" s="15">
        <f t="shared" si="366"/>
        <v>0.61008400000000129</v>
      </c>
      <c r="AF36" s="15">
        <f t="shared" si="366"/>
        <v>0.64159600000000139</v>
      </c>
      <c r="AG36" s="15">
        <f t="shared" si="366"/>
        <v>0.66780600000000157</v>
      </c>
      <c r="AH36" s="15">
        <f t="shared" si="366"/>
        <v>0.69116900000000148</v>
      </c>
      <c r="AI36" s="15">
        <f t="shared" si="366"/>
        <v>0.7137940000000017</v>
      </c>
      <c r="AJ36" s="15">
        <f t="shared" si="366"/>
        <v>0.74429000000000178</v>
      </c>
      <c r="AK36" s="15">
        <f t="shared" si="366"/>
        <v>0.7581980000000017</v>
      </c>
      <c r="AL36" s="15">
        <f t="shared" si="366"/>
        <v>0.78077300000000172</v>
      </c>
      <c r="AM36" s="15">
        <f t="shared" si="366"/>
        <v>0.79738800000000187</v>
      </c>
      <c r="AN36" s="15">
        <f t="shared" si="366"/>
        <v>0.81422900000000187</v>
      </c>
      <c r="AO36" s="15">
        <f t="shared" si="366"/>
        <v>0.82536700000000196</v>
      </c>
      <c r="AP36" s="15">
        <f t="shared" si="366"/>
        <v>0.84072000000000202</v>
      </c>
      <c r="AQ36" s="15">
        <f t="shared" si="366"/>
        <v>0.85038400000000214</v>
      </c>
      <c r="AR36" s="15">
        <f t="shared" si="366"/>
        <v>0.86148700000000211</v>
      </c>
      <c r="AS36" s="15">
        <f t="shared" si="366"/>
        <v>0.86675600000000219</v>
      </c>
      <c r="AT36" s="15">
        <f t="shared" si="366"/>
        <v>0.87439000000000222</v>
      </c>
      <c r="AU36" s="15">
        <f t="shared" si="366"/>
        <v>0.87980000000000225</v>
      </c>
      <c r="AV36" s="15">
        <f t="shared" si="366"/>
        <v>0.88350000000000217</v>
      </c>
      <c r="AW36" s="15">
        <f t="shared" si="366"/>
        <v>0.88550000000000217</v>
      </c>
      <c r="AX36" s="15">
        <f t="shared" si="366"/>
        <v>0.89050000000000218</v>
      </c>
      <c r="AY36" s="15">
        <f t="shared" si="366"/>
        <v>0.89100000000000235</v>
      </c>
      <c r="AZ36" s="15">
        <f t="shared" si="366"/>
        <v>0.8934000000000023</v>
      </c>
      <c r="BA36" s="15">
        <f t="shared" si="366"/>
        <v>0.89540000000000219</v>
      </c>
      <c r="BB36" s="15">
        <f t="shared" si="366"/>
        <v>0.89700000000000224</v>
      </c>
      <c r="BC36" s="15">
        <f>SUMPRODUCT($D8,BC8)+SUMPRODUCT($D15,BC15)+SUMPRODUCT($D22,BC22)+SUMPRODUCT($D29,BC29)/$D36</f>
        <v>0.89750000000000218</v>
      </c>
      <c r="BD36" s="15">
        <f t="shared" si="366"/>
        <v>0.89750000000000218</v>
      </c>
      <c r="BE36" s="15">
        <f t="shared" si="366"/>
        <v>0.8985000000000023</v>
      </c>
      <c r="BF36" s="15">
        <f t="shared" si="366"/>
        <v>0.8985000000000023</v>
      </c>
      <c r="BG36" s="15">
        <f t="shared" si="366"/>
        <v>0.89900000000000224</v>
      </c>
      <c r="BH36" s="15">
        <f t="shared" si="366"/>
        <v>0.89900000000000224</v>
      </c>
      <c r="BI36" s="15">
        <f t="shared" si="366"/>
        <v>0.90000000000000224</v>
      </c>
      <c r="BJ36" s="15">
        <f t="shared" si="366"/>
        <v>0.90000000000000224</v>
      </c>
      <c r="BK36" s="15">
        <f t="shared" si="366"/>
        <v>0.90000000000000224</v>
      </c>
      <c r="BL36" s="15">
        <f t="shared" si="366"/>
        <v>0.90000000000000224</v>
      </c>
      <c r="BM36" s="15">
        <f t="shared" si="366"/>
        <v>0.90000000000000224</v>
      </c>
      <c r="BN36" s="15">
        <f t="shared" si="366"/>
        <v>0.90000000000000224</v>
      </c>
      <c r="BO36" s="15">
        <f t="shared" si="366"/>
        <v>0.90000000000000224</v>
      </c>
      <c r="BP36" s="15">
        <f t="shared" si="366"/>
        <v>0.90000000000000224</v>
      </c>
      <c r="BQ36" s="15">
        <f t="shared" si="366"/>
        <v>0.90000000000000224</v>
      </c>
      <c r="BR36" s="15">
        <f t="shared" si="366"/>
        <v>0.90000000000000224</v>
      </c>
      <c r="BS36" s="15">
        <f t="shared" ref="BS36:CT36" si="368">SUMPRODUCT($D8,BS8)+SUMPRODUCT($D15,BS15)+SUMPRODUCT($D22,BS22)+SUMPRODUCT($D29,BS29)/$D36</f>
        <v>0.90000000000000224</v>
      </c>
      <c r="BT36" s="15">
        <f t="shared" si="368"/>
        <v>0.90000000000000224</v>
      </c>
      <c r="BU36" s="15">
        <f t="shared" si="368"/>
        <v>0.90000000000000224</v>
      </c>
      <c r="BV36" s="15">
        <f t="shared" si="368"/>
        <v>0.90000000000000224</v>
      </c>
      <c r="BW36" s="15">
        <f t="shared" si="368"/>
        <v>0.90000000000000224</v>
      </c>
      <c r="BX36" s="15">
        <f t="shared" si="368"/>
        <v>0.90000000000000224</v>
      </c>
      <c r="BY36" s="15">
        <f t="shared" si="368"/>
        <v>0.90000000000000224</v>
      </c>
      <c r="BZ36" s="15">
        <f t="shared" si="368"/>
        <v>0.90000000000000224</v>
      </c>
      <c r="CA36" s="15">
        <f t="shared" si="368"/>
        <v>0.90000000000000224</v>
      </c>
      <c r="CB36" s="15">
        <f t="shared" si="368"/>
        <v>0.90000000000000224</v>
      </c>
      <c r="CC36" s="15">
        <f t="shared" si="368"/>
        <v>0.90000000000000224</v>
      </c>
      <c r="CD36" s="15">
        <f t="shared" si="368"/>
        <v>0.90000000000000224</v>
      </c>
      <c r="CE36" s="15">
        <f t="shared" si="368"/>
        <v>0.90000000000000224</v>
      </c>
      <c r="CF36" s="15">
        <f t="shared" si="368"/>
        <v>0.90000000000000224</v>
      </c>
      <c r="CG36" s="15">
        <f t="shared" si="368"/>
        <v>0.90000000000000224</v>
      </c>
      <c r="CH36" s="15">
        <f t="shared" si="368"/>
        <v>0.90000000000000224</v>
      </c>
      <c r="CI36" s="15">
        <f t="shared" si="368"/>
        <v>0.90000000000000224</v>
      </c>
      <c r="CJ36" s="15">
        <f t="shared" si="368"/>
        <v>0.90000000000000224</v>
      </c>
      <c r="CK36" s="15">
        <f t="shared" si="368"/>
        <v>0.90000000000000224</v>
      </c>
      <c r="CL36" s="15">
        <f t="shared" si="368"/>
        <v>0.90000000000000224</v>
      </c>
      <c r="CM36" s="15">
        <f t="shared" si="368"/>
        <v>0.90000000000000224</v>
      </c>
      <c r="CN36" s="15">
        <f t="shared" si="368"/>
        <v>0.90000000000000224</v>
      </c>
      <c r="CO36" s="15">
        <f t="shared" si="368"/>
        <v>0.90000000000000224</v>
      </c>
      <c r="CP36" s="15">
        <f t="shared" si="368"/>
        <v>0.90000000000000224</v>
      </c>
      <c r="CQ36" s="15">
        <f t="shared" si="368"/>
        <v>0.90000000000000224</v>
      </c>
      <c r="CR36" s="15">
        <f t="shared" si="368"/>
        <v>0.90000000000000224</v>
      </c>
      <c r="CS36" s="15">
        <f t="shared" si="368"/>
        <v>0.90000000000000224</v>
      </c>
      <c r="CT36" s="15">
        <f t="shared" si="368"/>
        <v>0.90000000000000224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0.13353499999999979</v>
      </c>
      <c r="N37" s="15">
        <f t="shared" si="369"/>
        <v>0.14739499999999983</v>
      </c>
      <c r="O37" s="15">
        <f t="shared" si="369"/>
        <v>0.18540000000000012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0.24807900000000069</v>
      </c>
      <c r="S37" s="15">
        <f t="shared" si="369"/>
        <v>0.29147400000000062</v>
      </c>
      <c r="T37" s="15">
        <f t="shared" si="369"/>
        <v>0.30147000000000057</v>
      </c>
      <c r="U37" s="15">
        <f t="shared" si="369"/>
        <v>0.32594400000000073</v>
      </c>
      <c r="V37" s="15">
        <f t="shared" si="369"/>
        <v>0.33982000000000073</v>
      </c>
      <c r="W37" s="15">
        <f t="shared" si="369"/>
        <v>0.3695960000000007</v>
      </c>
      <c r="X37" s="15">
        <f t="shared" si="369"/>
        <v>0.40104900000000088</v>
      </c>
      <c r="Y37" s="15">
        <f t="shared" si="369"/>
        <v>0.42438800000000082</v>
      </c>
      <c r="Z37" s="15">
        <f t="shared" si="369"/>
        <v>0.45514900000000091</v>
      </c>
      <c r="AA37" s="15">
        <f t="shared" si="369"/>
        <v>0.49811300000000103</v>
      </c>
      <c r="AB37" s="15">
        <f t="shared" si="369"/>
        <v>0.53614800000000107</v>
      </c>
      <c r="AC37" s="15">
        <f t="shared" si="369"/>
        <v>0.5664840000000011</v>
      </c>
      <c r="AD37" s="15">
        <f t="shared" si="369"/>
        <v>0.60186600000000134</v>
      </c>
      <c r="AE37" s="15">
        <f t="shared" si="369"/>
        <v>0.63857000000000141</v>
      </c>
      <c r="AF37" s="15">
        <f t="shared" si="369"/>
        <v>0.67024400000000151</v>
      </c>
      <c r="AG37" s="15">
        <f t="shared" si="369"/>
        <v>0.67043200000000147</v>
      </c>
      <c r="AH37" s="15">
        <f t="shared" si="369"/>
        <v>0.67043200000000147</v>
      </c>
      <c r="AI37" s="15">
        <f t="shared" si="369"/>
        <v>0.67043200000000147</v>
      </c>
      <c r="AJ37" s="15">
        <f t="shared" si="369"/>
        <v>0.67043200000000147</v>
      </c>
      <c r="AK37" s="15">
        <f t="shared" si="369"/>
        <v>0.67043200000000147</v>
      </c>
      <c r="AL37" s="15">
        <f t="shared" si="369"/>
        <v>0.67043200000000147</v>
      </c>
      <c r="AM37" s="15">
        <f t="shared" si="369"/>
        <v>0.67043200000000147</v>
      </c>
      <c r="AN37" s="15">
        <f t="shared" si="369"/>
        <v>0.67043200000000147</v>
      </c>
      <c r="AO37" s="15">
        <f t="shared" si="369"/>
        <v>0.67043200000000147</v>
      </c>
      <c r="AP37" s="15">
        <f t="shared" si="369"/>
        <v>0.67043200000000147</v>
      </c>
      <c r="AQ37" s="15">
        <f t="shared" si="369"/>
        <v>0.67043200000000147</v>
      </c>
      <c r="AR37" s="15">
        <f t="shared" si="369"/>
        <v>0.67043200000000147</v>
      </c>
      <c r="AS37" s="15">
        <f t="shared" si="369"/>
        <v>0.67043200000000147</v>
      </c>
      <c r="AT37" s="15">
        <f t="shared" si="369"/>
        <v>0.67043200000000147</v>
      </c>
      <c r="AU37" s="15">
        <f t="shared" si="369"/>
        <v>0.67043200000000147</v>
      </c>
      <c r="AV37" s="15">
        <f t="shared" si="369"/>
        <v>0.67043200000000147</v>
      </c>
      <c r="AW37" s="15">
        <f t="shared" si="369"/>
        <v>0.67043200000000147</v>
      </c>
      <c r="AX37" s="15">
        <f t="shared" si="369"/>
        <v>0.67043200000000147</v>
      </c>
      <c r="AY37" s="15">
        <f t="shared" si="369"/>
        <v>0.67043200000000147</v>
      </c>
      <c r="AZ37" s="15">
        <f t="shared" si="369"/>
        <v>0.67043200000000147</v>
      </c>
      <c r="BA37" s="15">
        <f t="shared" si="369"/>
        <v>0.67043200000000147</v>
      </c>
      <c r="BB37" s="15">
        <f t="shared" si="369"/>
        <v>0.67043200000000147</v>
      </c>
      <c r="BC37" s="15">
        <f t="shared" si="369"/>
        <v>0.67043200000000147</v>
      </c>
      <c r="BD37" s="15">
        <f t="shared" si="369"/>
        <v>0.67043200000000147</v>
      </c>
      <c r="BE37" s="15">
        <f t="shared" si="369"/>
        <v>0.67043200000000147</v>
      </c>
      <c r="BF37" s="15">
        <f t="shared" si="369"/>
        <v>0.67043200000000147</v>
      </c>
      <c r="BG37" s="15">
        <f t="shared" si="369"/>
        <v>0.67043200000000147</v>
      </c>
      <c r="BH37" s="15">
        <f t="shared" si="369"/>
        <v>0.67043200000000147</v>
      </c>
      <c r="BI37" s="15">
        <f t="shared" si="369"/>
        <v>0.67043200000000147</v>
      </c>
      <c r="BJ37" s="15">
        <f t="shared" si="369"/>
        <v>0.67043200000000147</v>
      </c>
      <c r="BK37" s="15">
        <f t="shared" si="369"/>
        <v>0.67043200000000147</v>
      </c>
      <c r="BL37" s="15">
        <f t="shared" si="369"/>
        <v>0.67043200000000147</v>
      </c>
      <c r="BM37" s="15">
        <f t="shared" si="369"/>
        <v>0.67043200000000147</v>
      </c>
      <c r="BN37" s="15">
        <f t="shared" si="369"/>
        <v>0.67043200000000147</v>
      </c>
      <c r="BO37" s="15">
        <f t="shared" si="369"/>
        <v>0.67043200000000147</v>
      </c>
      <c r="BP37" s="15">
        <f t="shared" si="369"/>
        <v>0.67043200000000147</v>
      </c>
      <c r="BQ37" s="15">
        <f t="shared" si="369"/>
        <v>0.67043200000000147</v>
      </c>
      <c r="BR37" s="15">
        <f t="shared" si="369"/>
        <v>0.67043200000000147</v>
      </c>
      <c r="BS37" s="15">
        <f t="shared" ref="BS37:CT37" si="370">SUMPRODUCT($D9,BS9)+SUMPRODUCT($D16,BS16)+SUMPRODUCT($D23,BS23)+SUMPRODUCT($D30,BS30)/$D37</f>
        <v>0.67043200000000147</v>
      </c>
      <c r="BT37" s="15">
        <f t="shared" si="370"/>
        <v>0.67043200000000147</v>
      </c>
      <c r="BU37" s="15">
        <f t="shared" si="370"/>
        <v>0.67043200000000147</v>
      </c>
      <c r="BV37" s="15">
        <f t="shared" si="370"/>
        <v>0.67043200000000147</v>
      </c>
      <c r="BW37" s="15">
        <f t="shared" si="370"/>
        <v>0.67043200000000147</v>
      </c>
      <c r="BX37" s="15">
        <f t="shared" si="370"/>
        <v>0.67043200000000147</v>
      </c>
      <c r="BY37" s="15">
        <f t="shared" si="370"/>
        <v>0.67043200000000147</v>
      </c>
      <c r="BZ37" s="15">
        <f t="shared" si="370"/>
        <v>0.67043200000000147</v>
      </c>
      <c r="CA37" s="15">
        <f t="shared" si="370"/>
        <v>0.67043200000000147</v>
      </c>
      <c r="CB37" s="15">
        <f t="shared" si="370"/>
        <v>0.67043200000000147</v>
      </c>
      <c r="CC37" s="15">
        <f t="shared" si="370"/>
        <v>0.67043200000000147</v>
      </c>
      <c r="CD37" s="15">
        <f t="shared" si="370"/>
        <v>0.67043200000000147</v>
      </c>
      <c r="CE37" s="15">
        <f t="shared" si="370"/>
        <v>0.67043200000000147</v>
      </c>
      <c r="CF37" s="15">
        <f t="shared" si="370"/>
        <v>0.67043200000000147</v>
      </c>
      <c r="CG37" s="15">
        <f t="shared" si="370"/>
        <v>0.67043200000000147</v>
      </c>
      <c r="CH37" s="15">
        <f t="shared" si="370"/>
        <v>0.67043200000000147</v>
      </c>
      <c r="CI37" s="15">
        <f t="shared" si="370"/>
        <v>0.67043200000000147</v>
      </c>
      <c r="CJ37" s="15">
        <f t="shared" si="370"/>
        <v>0.67043200000000147</v>
      </c>
      <c r="CK37" s="15">
        <f t="shared" si="370"/>
        <v>0.67043200000000147</v>
      </c>
      <c r="CL37" s="15">
        <f t="shared" si="370"/>
        <v>0.67043200000000147</v>
      </c>
      <c r="CM37" s="15">
        <f t="shared" si="370"/>
        <v>0.67043200000000147</v>
      </c>
      <c r="CN37" s="15">
        <f t="shared" si="370"/>
        <v>0.67043200000000147</v>
      </c>
      <c r="CO37" s="15">
        <f t="shared" si="370"/>
        <v>0.67043200000000147</v>
      </c>
      <c r="CP37" s="15">
        <f t="shared" si="370"/>
        <v>0.67043200000000147</v>
      </c>
      <c r="CQ37" s="15">
        <f t="shared" si="370"/>
        <v>0.67043200000000147</v>
      </c>
      <c r="CR37" s="15">
        <f t="shared" si="370"/>
        <v>0.67043200000000147</v>
      </c>
      <c r="CS37" s="15">
        <f t="shared" si="370"/>
        <v>0.67043200000000147</v>
      </c>
      <c r="CT37" s="15">
        <f t="shared" si="370"/>
        <v>0.67043200000000147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AC17" sqref="AC17:AD17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14" t="s">
        <v>68</v>
      </c>
      <c r="D4" s="214"/>
      <c r="E4" s="214"/>
      <c r="F4" s="214"/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4"/>
      <c r="AM4" s="214"/>
      <c r="AN4" s="214"/>
      <c r="AO4" s="214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  <c r="BM4" s="214"/>
      <c r="BN4" s="214"/>
      <c r="BO4" s="214"/>
      <c r="BP4" s="214"/>
      <c r="BQ4" s="214"/>
      <c r="BR4" s="214"/>
      <c r="BS4" s="214"/>
      <c r="BT4" s="214"/>
      <c r="BU4" s="214"/>
      <c r="BV4" s="214"/>
      <c r="BW4" s="214"/>
      <c r="BX4" s="214"/>
      <c r="BY4" s="214"/>
      <c r="BZ4" s="214"/>
      <c r="CA4" s="214"/>
      <c r="CB4" s="214"/>
      <c r="CC4" s="214"/>
      <c r="CD4" s="214"/>
      <c r="CE4" s="214"/>
      <c r="CF4" s="214"/>
      <c r="CG4" s="214"/>
      <c r="CH4" s="214"/>
      <c r="CI4" s="214"/>
      <c r="CJ4" s="214"/>
      <c r="CK4" s="214"/>
      <c r="CL4" s="214"/>
      <c r="CM4" s="214"/>
      <c r="CN4" s="214"/>
      <c r="CO4" s="214"/>
      <c r="CP4" s="214"/>
      <c r="CQ4" s="214"/>
      <c r="CR4" s="214"/>
      <c r="CS4" s="32"/>
    </row>
    <row r="5" spans="1:97" ht="45" x14ac:dyDescent="0.35">
      <c r="B5" s="31"/>
      <c r="C5" s="215" t="s">
        <v>40</v>
      </c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5"/>
      <c r="BL5" s="215"/>
      <c r="BM5" s="215"/>
      <c r="BN5" s="215"/>
      <c r="BO5" s="215"/>
      <c r="BP5" s="215"/>
      <c r="BQ5" s="215"/>
      <c r="BR5" s="215"/>
      <c r="BS5" s="215"/>
      <c r="BT5" s="215"/>
      <c r="BU5" s="215"/>
      <c r="BV5" s="215"/>
      <c r="BW5" s="215"/>
      <c r="BX5" s="215"/>
      <c r="BY5" s="215"/>
      <c r="BZ5" s="215"/>
      <c r="CA5" s="215"/>
      <c r="CB5" s="215"/>
      <c r="CC5" s="215"/>
      <c r="CD5" s="215"/>
      <c r="CE5" s="215"/>
      <c r="CF5" s="215"/>
      <c r="CG5" s="215"/>
      <c r="CH5" s="215"/>
      <c r="CI5" s="215"/>
      <c r="CJ5" s="215"/>
      <c r="CK5" s="215"/>
      <c r="CL5" s="215"/>
      <c r="CM5" s="215"/>
      <c r="CN5" s="215"/>
      <c r="CO5" s="215"/>
      <c r="CP5" s="215"/>
      <c r="CQ5" s="215"/>
      <c r="CR5" s="215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799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0.10737500000000007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0.1853050000000003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0.23838500000000018</v>
      </c>
      <c r="S12" s="43" cm="1">
        <f t="array" ref="S12">INDEX('Progress%'!$A$1:$CT$37,'S-Curves'!$A12,'S-Curves'!S$10)</f>
        <v>0.27169800000000022</v>
      </c>
      <c r="T12" s="43" cm="1">
        <f t="array" ref="T12">INDEX('Progress%'!$A$1:$CT$37,'S-Curves'!$A12,'S-Curves'!T$10)</f>
        <v>0.30348900000000045</v>
      </c>
      <c r="U12" s="43" cm="1">
        <f t="array" ref="U12">INDEX('Progress%'!$A$1:$CT$37,'S-Curves'!$A12,'S-Curves'!U$10)</f>
        <v>0.33504100000000048</v>
      </c>
      <c r="V12" s="43" cm="1">
        <f t="array" ref="V12">INDEX('Progress%'!$A$1:$CT$37,'S-Curves'!$A12,'S-Curves'!V$10)</f>
        <v>0.36595200000000061</v>
      </c>
      <c r="W12" s="43" cm="1">
        <f t="array" ref="W12">INDEX('Progress%'!$A$1:$CT$37,'S-Curves'!$A12,'S-Curves'!W$10)</f>
        <v>0.40320400000000067</v>
      </c>
      <c r="X12" s="43" cm="1">
        <f t="array" ref="X12">INDEX('Progress%'!$A$1:$CT$37,'S-Curves'!$A12,'S-Curves'!X$10)</f>
        <v>0.44100400000000073</v>
      </c>
      <c r="Y12" s="43" cm="1">
        <f t="array" ref="Y12">INDEX('Progress%'!$A$1:$CT$37,'S-Curves'!$A12,'S-Curves'!Y$10)</f>
        <v>0.47722000000000087</v>
      </c>
      <c r="Z12" s="43" cm="1">
        <f t="array" ref="Z12">INDEX('Progress%'!$A$1:$CT$37,'S-Curves'!$A12,'S-Curves'!Z$10)</f>
        <v>0.51431900000000097</v>
      </c>
      <c r="AA12" s="43" cm="1">
        <f t="array" ref="AA12">INDEX('Progress%'!$A$1:$CT$37,'S-Curves'!$A12,'S-Curves'!AA$10)</f>
        <v>0.54356500000000119</v>
      </c>
      <c r="AB12" s="43" cm="1">
        <f t="array" ref="AB12">INDEX('Progress%'!$A$1:$CT$37,'S-Curves'!$A12,'S-Curves'!AB$10)</f>
        <v>0.57779700000000123</v>
      </c>
      <c r="AC12" s="43" cm="1">
        <f t="array" ref="AC12">INDEX('Progress%'!$A$1:$CT$37,'S-Curves'!$A12,'S-Curves'!AC$10)</f>
        <v>0.61008400000000129</v>
      </c>
      <c r="AD12" s="43" cm="1">
        <f t="array" ref="AD12">INDEX('Progress%'!$A$1:$CT$37,'S-Curves'!$A12,'S-Curves'!AD$10)</f>
        <v>0.64159600000000139</v>
      </c>
      <c r="AE12" s="43" cm="1">
        <f t="array" ref="AE12">INDEX('Progress%'!$A$1:$CT$37,'S-Curves'!$A12,'S-Curves'!AE$10)</f>
        <v>0.66780600000000157</v>
      </c>
      <c r="AF12" s="43" cm="1">
        <f t="array" ref="AF12">INDEX('Progress%'!$A$1:$CT$37,'S-Curves'!$A12,'S-Curves'!AF$10)</f>
        <v>0.69116900000000148</v>
      </c>
      <c r="AG12" s="43" cm="1">
        <f t="array" ref="AG12">INDEX('Progress%'!$A$1:$CT$37,'S-Curves'!$A12,'S-Curves'!AG$10)</f>
        <v>0.7137940000000017</v>
      </c>
      <c r="AH12" s="43" cm="1">
        <f t="array" ref="AH12">INDEX('Progress%'!$A$1:$CT$37,'S-Curves'!$A12,'S-Curves'!AH$10)</f>
        <v>0.74429000000000178</v>
      </c>
      <c r="AI12" s="43" cm="1">
        <f t="array" ref="AI12">INDEX('Progress%'!$A$1:$CT$37,'S-Curves'!$A12,'S-Curves'!AI$10)</f>
        <v>0.7581980000000017</v>
      </c>
      <c r="AJ12" s="43" cm="1">
        <f t="array" ref="AJ12">INDEX('Progress%'!$A$1:$CT$37,'S-Curves'!$A12,'S-Curves'!AJ$10)</f>
        <v>0.78077300000000172</v>
      </c>
      <c r="AK12" s="43" cm="1">
        <f t="array" ref="AK12">INDEX('Progress%'!$A$1:$CT$37,'S-Curves'!$A12,'S-Curves'!AK$10)</f>
        <v>0.79738800000000187</v>
      </c>
      <c r="AL12" s="43" cm="1">
        <f t="array" ref="AL12">INDEX('Progress%'!$A$1:$CT$37,'S-Curves'!$A12,'S-Curves'!AL$10)</f>
        <v>0.81422900000000187</v>
      </c>
      <c r="AM12" s="43" cm="1">
        <f t="array" ref="AM12">INDEX('Progress%'!$A$1:$CT$37,'S-Curves'!$A12,'S-Curves'!AM$10)</f>
        <v>0.82536700000000196</v>
      </c>
      <c r="AN12" s="43" cm="1">
        <f t="array" ref="AN12">INDEX('Progress%'!$A$1:$CT$37,'S-Curves'!$A12,'S-Curves'!AN$10)</f>
        <v>0.84072000000000202</v>
      </c>
      <c r="AO12" s="43" cm="1">
        <f t="array" ref="AO12">INDEX('Progress%'!$A$1:$CT$37,'S-Curves'!$A12,'S-Curves'!AO$10)</f>
        <v>0.85038400000000214</v>
      </c>
      <c r="AP12" s="43" cm="1">
        <f t="array" ref="AP12">INDEX('Progress%'!$A$1:$CT$37,'S-Curves'!$A12,'S-Curves'!AP$10)</f>
        <v>0.86148700000000211</v>
      </c>
      <c r="AQ12" s="43" cm="1">
        <f t="array" ref="AQ12">INDEX('Progress%'!$A$1:$CT$37,'S-Curves'!$A12,'S-Curves'!AQ$10)</f>
        <v>0.86675600000000219</v>
      </c>
      <c r="AR12" s="43" cm="1">
        <f t="array" ref="AR12">INDEX('Progress%'!$A$1:$CT$37,'S-Curves'!$A12,'S-Curves'!AR$10)</f>
        <v>0.87439000000000222</v>
      </c>
      <c r="AS12" s="43" cm="1">
        <f t="array" ref="AS12">INDEX('Progress%'!$A$1:$CT$37,'S-Curves'!$A12,'S-Curves'!AS$10)</f>
        <v>0.87980000000000225</v>
      </c>
      <c r="AT12" s="43" cm="1">
        <f t="array" ref="AT12">INDEX('Progress%'!$A$1:$CT$37,'S-Curves'!$A12,'S-Curves'!AT$10)</f>
        <v>0.88350000000000217</v>
      </c>
      <c r="AU12" s="43" cm="1">
        <f t="array" ref="AU12">INDEX('Progress%'!$A$1:$CT$37,'S-Curves'!$A12,'S-Curves'!AU$10)</f>
        <v>0.88550000000000217</v>
      </c>
      <c r="AV12" s="43" cm="1">
        <f t="array" ref="AV12">INDEX('Progress%'!$A$1:$CT$37,'S-Curves'!$A12,'S-Curves'!AV$10)</f>
        <v>0.89050000000000218</v>
      </c>
      <c r="AW12" s="43" cm="1">
        <f t="array" ref="AW12">INDEX('Progress%'!$A$1:$CT$37,'S-Curves'!$A12,'S-Curves'!AW$10)</f>
        <v>0.89100000000000235</v>
      </c>
      <c r="AX12" s="43" cm="1">
        <f t="array" ref="AX12">INDEX('Progress%'!$A$1:$CT$37,'S-Curves'!$A12,'S-Curves'!AX$10)</f>
        <v>0.8934000000000023</v>
      </c>
      <c r="AY12" s="43" cm="1">
        <f t="array" ref="AY12">INDEX('Progress%'!$A$1:$CT$37,'S-Curves'!$A12,'S-Curves'!AY$10)</f>
        <v>0.89540000000000219</v>
      </c>
      <c r="AZ12" s="43" cm="1">
        <f t="array" ref="AZ12">INDEX('Progress%'!$A$1:$CT$37,'S-Curves'!$A12,'S-Curves'!AZ$10)</f>
        <v>0.89700000000000224</v>
      </c>
      <c r="BA12" s="43" cm="1">
        <f t="array" ref="BA12">INDEX('Progress%'!$A$1:$CT$37,'S-Curves'!$A12,'S-Curves'!BA$10)</f>
        <v>0.89750000000000218</v>
      </c>
      <c r="BB12" s="43" cm="1">
        <f t="array" ref="BB12">INDEX('Progress%'!$A$1:$CT$37,'S-Curves'!$A12,'S-Curves'!BB$10)</f>
        <v>0.89750000000000218</v>
      </c>
      <c r="BC12" s="43" cm="1">
        <f t="array" ref="BC12">INDEX('Progress%'!$A$1:$CT$37,'S-Curves'!$A12,'S-Curves'!BC$10)</f>
        <v>0.8985000000000023</v>
      </c>
      <c r="BD12" s="43" cm="1">
        <f t="array" ref="BD12">INDEX('Progress%'!$A$1:$CT$37,'S-Curves'!$A12,'S-Curves'!BD$10)</f>
        <v>0.8985000000000023</v>
      </c>
      <c r="BE12" s="43" cm="1">
        <f t="array" ref="BE12">INDEX('Progress%'!$A$1:$CT$37,'S-Curves'!$A12,'S-Curves'!BE$10)</f>
        <v>0.89900000000000224</v>
      </c>
      <c r="BF12" s="43" cm="1">
        <f t="array" ref="BF12">INDEX('Progress%'!$A$1:$CT$37,'S-Curves'!$A12,'S-Curves'!BF$10)</f>
        <v>0.89900000000000224</v>
      </c>
      <c r="BG12" s="43" cm="1">
        <f t="array" ref="BG12">INDEX('Progress%'!$A$1:$CT$37,'S-Curves'!$A12,'S-Curves'!BG$10)</f>
        <v>0.90000000000000224</v>
      </c>
      <c r="BH12" s="43" cm="1">
        <f t="array" ref="BH12">INDEX('Progress%'!$A$1:$CT$37,'S-Curves'!$A12,'S-Curves'!BH$10)</f>
        <v>0.90000000000000224</v>
      </c>
      <c r="BI12" s="43" cm="1">
        <f t="array" ref="BI12">INDEX('Progress%'!$A$1:$CT$37,'S-Curves'!$A12,'S-Curves'!BI$10)</f>
        <v>0.90000000000000224</v>
      </c>
      <c r="BJ12" s="43" cm="1">
        <f t="array" ref="BJ12">INDEX('Progress%'!$A$1:$CT$37,'S-Curves'!$A12,'S-Curves'!BJ$10)</f>
        <v>0.90000000000000224</v>
      </c>
      <c r="BK12" s="43" cm="1">
        <f t="array" ref="BK12">INDEX('Progress%'!$A$1:$CT$37,'S-Curves'!$A12,'S-Curves'!BK$10)</f>
        <v>0.90000000000000224</v>
      </c>
      <c r="BL12" s="43" cm="1">
        <f t="array" ref="BL12">INDEX('Progress%'!$A$1:$CT$37,'S-Curves'!$A12,'S-Curves'!BL$10)</f>
        <v>0.90000000000000224</v>
      </c>
      <c r="BM12" s="43" cm="1">
        <f t="array" ref="BM12">INDEX('Progress%'!$A$1:$CT$37,'S-Curves'!$A12,'S-Curves'!BM$10)</f>
        <v>0.90000000000000224</v>
      </c>
      <c r="BN12" s="43" cm="1">
        <f t="array" ref="BN12">INDEX('Progress%'!$A$1:$CT$37,'S-Curves'!$A12,'S-Curves'!BN$10)</f>
        <v>0.90000000000000224</v>
      </c>
      <c r="BO12" s="43" cm="1">
        <f t="array" ref="BO12">INDEX('Progress%'!$A$1:$CT$37,'S-Curves'!$A12,'S-Curves'!BO$10)</f>
        <v>0.90000000000000224</v>
      </c>
      <c r="BP12" s="43" cm="1">
        <f t="array" ref="BP12">INDEX('Progress%'!$A$1:$CT$37,'S-Curves'!$A12,'S-Curves'!BP$10)</f>
        <v>0.90000000000000224</v>
      </c>
      <c r="BQ12" s="43" cm="1">
        <f t="array" ref="BQ12">INDEX('Progress%'!$A$1:$CT$37,'S-Curves'!$A12,'S-Curves'!BQ$10)</f>
        <v>0.90000000000000224</v>
      </c>
      <c r="BR12" s="43" cm="1">
        <f t="array" ref="BR12">INDEX('Progress%'!$A$1:$CT$37,'S-Curves'!$A12,'S-Curves'!BR$10)</f>
        <v>0.90000000000000224</v>
      </c>
      <c r="BS12" s="43" cm="1">
        <f t="array" ref="BS12">INDEX('Progress%'!$A$1:$CT$37,'S-Curves'!$A12,'S-Curves'!BS$10)</f>
        <v>0.90000000000000224</v>
      </c>
      <c r="BT12" s="43" cm="1">
        <f t="array" ref="BT12">INDEX('Progress%'!$A$1:$CT$37,'S-Curves'!$A12,'S-Curves'!BT$10)</f>
        <v>0.90000000000000224</v>
      </c>
      <c r="BU12" s="43" cm="1">
        <f t="array" ref="BU12">INDEX('Progress%'!$A$1:$CT$37,'S-Curves'!$A12,'S-Curves'!BU$10)</f>
        <v>0.90000000000000224</v>
      </c>
      <c r="BV12" s="43" cm="1">
        <f t="array" ref="BV12">INDEX('Progress%'!$A$1:$CT$37,'S-Curves'!$A12,'S-Curves'!BV$10)</f>
        <v>0.90000000000000224</v>
      </c>
      <c r="BW12" s="43" cm="1">
        <f t="array" ref="BW12">INDEX('Progress%'!$A$1:$CT$37,'S-Curves'!$A12,'S-Curves'!BW$10)</f>
        <v>0.90000000000000224</v>
      </c>
      <c r="BX12" s="43" cm="1">
        <f t="array" ref="BX12">INDEX('Progress%'!$A$1:$CT$37,'S-Curves'!$A12,'S-Curves'!BX$10)</f>
        <v>0.90000000000000224</v>
      </c>
      <c r="BY12" s="43" cm="1">
        <f t="array" ref="BY12">INDEX('Progress%'!$A$1:$CT$37,'S-Curves'!$A12,'S-Curves'!BY$10)</f>
        <v>0.90000000000000224</v>
      </c>
      <c r="BZ12" s="43" cm="1">
        <f t="array" ref="BZ12">INDEX('Progress%'!$A$1:$CT$37,'S-Curves'!$A12,'S-Curves'!BZ$10)</f>
        <v>0.90000000000000224</v>
      </c>
      <c r="CA12" s="43" cm="1">
        <f t="array" ref="CA12">INDEX('Progress%'!$A$1:$CT$37,'S-Curves'!$A12,'S-Curves'!CA$10)</f>
        <v>0.90000000000000224</v>
      </c>
      <c r="CB12" s="43" cm="1">
        <f t="array" ref="CB12">INDEX('Progress%'!$A$1:$CT$37,'S-Curves'!$A12,'S-Curves'!CB$10)</f>
        <v>0.90000000000000224</v>
      </c>
      <c r="CC12" s="43" cm="1">
        <f t="array" ref="CC12">INDEX('Progress%'!$A$1:$CT$37,'S-Curves'!$A12,'S-Curves'!CC$10)</f>
        <v>0.90000000000000224</v>
      </c>
      <c r="CD12" s="43" cm="1">
        <f t="array" ref="CD12">INDEX('Progress%'!$A$1:$CT$37,'S-Curves'!$A12,'S-Curves'!CD$10)</f>
        <v>0.90000000000000224</v>
      </c>
      <c r="CE12" s="43" cm="1">
        <f t="array" ref="CE12">INDEX('Progress%'!$A$1:$CT$37,'S-Curves'!$A12,'S-Curves'!CE$10)</f>
        <v>0.90000000000000224</v>
      </c>
      <c r="CF12" s="43" cm="1">
        <f t="array" ref="CF12">INDEX('Progress%'!$A$1:$CT$37,'S-Curves'!$A12,'S-Curves'!CF$10)</f>
        <v>0.90000000000000224</v>
      </c>
      <c r="CG12" s="43" cm="1">
        <f t="array" ref="CG12">INDEX('Progress%'!$A$1:$CT$37,'S-Curves'!$A12,'S-Curves'!CG$10)</f>
        <v>0.90000000000000224</v>
      </c>
      <c r="CH12" s="43" cm="1">
        <f t="array" ref="CH12">INDEX('Progress%'!$A$1:$CT$37,'S-Curves'!$A12,'S-Curves'!CH$10)</f>
        <v>0.90000000000000224</v>
      </c>
      <c r="CI12" s="43" cm="1">
        <f t="array" ref="CI12">INDEX('Progress%'!$A$1:$CT$37,'S-Curves'!$A12,'S-Curves'!CI$10)</f>
        <v>0.90000000000000224</v>
      </c>
      <c r="CJ12" s="43" cm="1">
        <f t="array" ref="CJ12">INDEX('Progress%'!$A$1:$CT$37,'S-Curves'!$A12,'S-Curves'!CJ$10)</f>
        <v>0.90000000000000224</v>
      </c>
      <c r="CK12" s="43" cm="1">
        <f t="array" ref="CK12">INDEX('Progress%'!$A$1:$CT$37,'S-Curves'!$A12,'S-Curves'!CK$10)</f>
        <v>0.90000000000000224</v>
      </c>
      <c r="CL12" s="43" cm="1">
        <f t="array" ref="CL12">INDEX('Progress%'!$A$1:$CT$37,'S-Curves'!$A12,'S-Curves'!CL$10)</f>
        <v>0.90000000000000224</v>
      </c>
      <c r="CM12" s="43" cm="1">
        <f t="array" ref="CM12">INDEX('Progress%'!$A$1:$CT$37,'S-Curves'!$A12,'S-Curves'!CM$10)</f>
        <v>0.90000000000000224</v>
      </c>
      <c r="CN12" s="43" cm="1">
        <f t="array" ref="CN12">INDEX('Progress%'!$A$1:$CT$37,'S-Curves'!$A12,'S-Curves'!CN$10)</f>
        <v>0.90000000000000224</v>
      </c>
      <c r="CO12" s="43" cm="1">
        <f t="array" ref="CO12">INDEX('Progress%'!$A$1:$CT$37,'S-Curves'!$A12,'S-Curves'!CO$10)</f>
        <v>0.90000000000000224</v>
      </c>
      <c r="CP12" s="43" cm="1">
        <f t="array" ref="CP12">INDEX('Progress%'!$A$1:$CT$37,'S-Curves'!$A12,'S-Curves'!CP$10)</f>
        <v>0.90000000000000224</v>
      </c>
      <c r="CQ12" s="43" cm="1">
        <f t="array" ref="CQ12">INDEX('Progress%'!$A$1:$CT$37,'S-Curves'!$A12,'S-Curves'!CQ$10)</f>
        <v>0.90000000000000224</v>
      </c>
      <c r="CR12" s="43" cm="1">
        <f t="array" ref="CR12">INDEX('Progress%'!$A$1:$CT$37,'S-Curves'!$A12,'S-Curves'!CR$10)</f>
        <v>0.90000000000000224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0.10737500000000007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0.1853050000000003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0.23838500000000018</v>
      </c>
      <c r="S13" s="43" cm="1">
        <f t="array" ref="S13">INDEX('Progress%'!$A$1:$CT$37,'S-Curves'!$A13,'S-Curves'!S$10)</f>
        <v>0.27169800000000022</v>
      </c>
      <c r="T13" s="43" cm="1">
        <f t="array" ref="T13">INDEX('Progress%'!$A$1:$CT$37,'S-Curves'!$A13,'S-Curves'!T$10)</f>
        <v>0.30348900000000045</v>
      </c>
      <c r="U13" s="43" cm="1">
        <f t="array" ref="U13">INDEX('Progress%'!$A$1:$CT$37,'S-Curves'!$A13,'S-Curves'!U$10)</f>
        <v>0.33504100000000048</v>
      </c>
      <c r="V13" s="43" cm="1">
        <f t="array" ref="V13">INDEX('Progress%'!$A$1:$CT$37,'S-Curves'!$A13,'S-Curves'!V$10)</f>
        <v>0.36595200000000061</v>
      </c>
      <c r="W13" s="43" cm="1">
        <f t="array" ref="W13">INDEX('Progress%'!$A$1:$CT$37,'S-Curves'!$A13,'S-Curves'!W$10)</f>
        <v>0.40320400000000067</v>
      </c>
      <c r="X13" s="43" cm="1">
        <f t="array" ref="X13">INDEX('Progress%'!$A$1:$CT$37,'S-Curves'!$A13,'S-Curves'!X$10)</f>
        <v>0.44100400000000073</v>
      </c>
      <c r="Y13" s="43" cm="1">
        <f t="array" ref="Y13">INDEX('Progress%'!$A$1:$CT$37,'S-Curves'!$A13,'S-Curves'!Y$10)</f>
        <v>0.47722000000000087</v>
      </c>
      <c r="Z13" s="43" cm="1">
        <f t="array" ref="Z13">INDEX('Progress%'!$A$1:$CT$37,'S-Curves'!$A13,'S-Curves'!Z$10)</f>
        <v>0.51431900000000097</v>
      </c>
      <c r="AA13" s="43" cm="1">
        <f t="array" ref="AA13">INDEX('Progress%'!$A$1:$CT$37,'S-Curves'!$A13,'S-Curves'!AA$10)</f>
        <v>0.54356500000000119</v>
      </c>
      <c r="AB13" s="43" cm="1">
        <f t="array" ref="AB13">INDEX('Progress%'!$A$1:$CT$37,'S-Curves'!$A13,'S-Curves'!AB$10)</f>
        <v>0.57779700000000123</v>
      </c>
      <c r="AC13" s="43" cm="1">
        <f t="array" ref="AC13">INDEX('Progress%'!$A$1:$CT$37,'S-Curves'!$A13,'S-Curves'!AC$10)</f>
        <v>0.61008400000000129</v>
      </c>
      <c r="AD13" s="43" cm="1">
        <f t="array" ref="AD13">INDEX('Progress%'!$A$1:$CT$37,'S-Curves'!$A13,'S-Curves'!AD$10)</f>
        <v>0.64159600000000139</v>
      </c>
      <c r="AE13" s="43" cm="1">
        <f t="array" ref="AE13">INDEX('Progress%'!$A$1:$CT$37,'S-Curves'!$A13,'S-Curves'!AE$10)</f>
        <v>0.66780600000000157</v>
      </c>
      <c r="AF13" s="43" cm="1">
        <f t="array" ref="AF13">INDEX('Progress%'!$A$1:$CT$37,'S-Curves'!$A13,'S-Curves'!AF$10)</f>
        <v>0.69116900000000148</v>
      </c>
      <c r="AG13" s="43" cm="1">
        <f t="array" ref="AG13">INDEX('Progress%'!$A$1:$CT$37,'S-Curves'!$A13,'S-Curves'!AG$10)</f>
        <v>0.7137940000000017</v>
      </c>
      <c r="AH13" s="43" cm="1">
        <f t="array" ref="AH13">INDEX('Progress%'!$A$1:$CT$37,'S-Curves'!$A13,'S-Curves'!AH$10)</f>
        <v>0.74429000000000178</v>
      </c>
      <c r="AI13" s="43" cm="1">
        <f t="array" ref="AI13">INDEX('Progress%'!$A$1:$CT$37,'S-Curves'!$A13,'S-Curves'!AI$10)</f>
        <v>0.7581980000000017</v>
      </c>
      <c r="AJ13" s="43" cm="1">
        <f t="array" ref="AJ13">INDEX('Progress%'!$A$1:$CT$37,'S-Curves'!$A13,'S-Curves'!AJ$10)</f>
        <v>0.78077300000000172</v>
      </c>
      <c r="AK13" s="43" cm="1">
        <f t="array" ref="AK13">INDEX('Progress%'!$A$1:$CT$37,'S-Curves'!$A13,'S-Curves'!AK$10)</f>
        <v>0.79738800000000187</v>
      </c>
      <c r="AL13" s="43" cm="1">
        <f t="array" ref="AL13">INDEX('Progress%'!$A$1:$CT$37,'S-Curves'!$A13,'S-Curves'!AL$10)</f>
        <v>0.81422900000000187</v>
      </c>
      <c r="AM13" s="43" cm="1">
        <f t="array" ref="AM13">INDEX('Progress%'!$A$1:$CT$37,'S-Curves'!$A13,'S-Curves'!AM$10)</f>
        <v>0.82536700000000196</v>
      </c>
      <c r="AN13" s="43" cm="1">
        <f t="array" ref="AN13">INDEX('Progress%'!$A$1:$CT$37,'S-Curves'!$A13,'S-Curves'!AN$10)</f>
        <v>0.84072000000000202</v>
      </c>
      <c r="AO13" s="43" cm="1">
        <f t="array" ref="AO13">INDEX('Progress%'!$A$1:$CT$37,'S-Curves'!$A13,'S-Curves'!AO$10)</f>
        <v>0.85038400000000214</v>
      </c>
      <c r="AP13" s="43" cm="1">
        <f t="array" ref="AP13">INDEX('Progress%'!$A$1:$CT$37,'S-Curves'!$A13,'S-Curves'!AP$10)</f>
        <v>0.86148700000000211</v>
      </c>
      <c r="AQ13" s="43" cm="1">
        <f t="array" ref="AQ13">INDEX('Progress%'!$A$1:$CT$37,'S-Curves'!$A13,'S-Curves'!AQ$10)</f>
        <v>0.86675600000000219</v>
      </c>
      <c r="AR13" s="43" cm="1">
        <f t="array" ref="AR13">INDEX('Progress%'!$A$1:$CT$37,'S-Curves'!$A13,'S-Curves'!AR$10)</f>
        <v>0.87439000000000222</v>
      </c>
      <c r="AS13" s="43" cm="1">
        <f t="array" ref="AS13">INDEX('Progress%'!$A$1:$CT$37,'S-Curves'!$A13,'S-Curves'!AS$10)</f>
        <v>0.87980000000000225</v>
      </c>
      <c r="AT13" s="43" cm="1">
        <f t="array" ref="AT13">INDEX('Progress%'!$A$1:$CT$37,'S-Curves'!$A13,'S-Curves'!AT$10)</f>
        <v>0.88350000000000217</v>
      </c>
      <c r="AU13" s="43" cm="1">
        <f t="array" ref="AU13">INDEX('Progress%'!$A$1:$CT$37,'S-Curves'!$A13,'S-Curves'!AU$10)</f>
        <v>0.88550000000000217</v>
      </c>
      <c r="AV13" s="43" cm="1">
        <f t="array" ref="AV13">INDEX('Progress%'!$A$1:$CT$37,'S-Curves'!$A13,'S-Curves'!AV$10)</f>
        <v>0.89050000000000218</v>
      </c>
      <c r="AW13" s="43" cm="1">
        <f t="array" ref="AW13">INDEX('Progress%'!$A$1:$CT$37,'S-Curves'!$A13,'S-Curves'!AW$10)</f>
        <v>0.89100000000000235</v>
      </c>
      <c r="AX13" s="43" cm="1">
        <f t="array" ref="AX13">INDEX('Progress%'!$A$1:$CT$37,'S-Curves'!$A13,'S-Curves'!AX$10)</f>
        <v>0.8934000000000023</v>
      </c>
      <c r="AY13" s="43" cm="1">
        <f t="array" ref="AY13">INDEX('Progress%'!$A$1:$CT$37,'S-Curves'!$A13,'S-Curves'!AY$10)</f>
        <v>0.89540000000000219</v>
      </c>
      <c r="AZ13" s="43" cm="1">
        <f t="array" ref="AZ13">INDEX('Progress%'!$A$1:$CT$37,'S-Curves'!$A13,'S-Curves'!AZ$10)</f>
        <v>0.89700000000000224</v>
      </c>
      <c r="BA13" s="43" cm="1">
        <f t="array" ref="BA13">INDEX('Progress%'!$A$1:$CT$37,'S-Curves'!$A13,'S-Curves'!BA$10)</f>
        <v>0.89750000000000218</v>
      </c>
      <c r="BB13" s="43" cm="1">
        <f t="array" ref="BB13">INDEX('Progress%'!$A$1:$CT$37,'S-Curves'!$A13,'S-Curves'!BB$10)</f>
        <v>0.89750000000000218</v>
      </c>
      <c r="BC13" s="43" cm="1">
        <f t="array" ref="BC13">INDEX('Progress%'!$A$1:$CT$37,'S-Curves'!$A13,'S-Curves'!BC$10)</f>
        <v>0.8985000000000023</v>
      </c>
      <c r="BD13" s="43" cm="1">
        <f t="array" ref="BD13">INDEX('Progress%'!$A$1:$CT$37,'S-Curves'!$A13,'S-Curves'!BD$10)</f>
        <v>0.8985000000000023</v>
      </c>
      <c r="BE13" s="43" cm="1">
        <f t="array" ref="BE13">INDEX('Progress%'!$A$1:$CT$37,'S-Curves'!$A13,'S-Curves'!BE$10)</f>
        <v>0.89900000000000224</v>
      </c>
      <c r="BF13" s="43" cm="1">
        <f t="array" ref="BF13">INDEX('Progress%'!$A$1:$CT$37,'S-Curves'!$A13,'S-Curves'!BF$10)</f>
        <v>0.89900000000000224</v>
      </c>
      <c r="BG13" s="43" cm="1">
        <f t="array" ref="BG13">INDEX('Progress%'!$A$1:$CT$37,'S-Curves'!$A13,'S-Curves'!BG$10)</f>
        <v>0.90000000000000224</v>
      </c>
      <c r="BH13" s="43" cm="1">
        <f t="array" ref="BH13">INDEX('Progress%'!$A$1:$CT$37,'S-Curves'!$A13,'S-Curves'!BH$10)</f>
        <v>0.90000000000000224</v>
      </c>
      <c r="BI13" s="43" cm="1">
        <f t="array" ref="BI13">INDEX('Progress%'!$A$1:$CT$37,'S-Curves'!$A13,'S-Curves'!BI$10)</f>
        <v>0.90000000000000224</v>
      </c>
      <c r="BJ13" s="43" cm="1">
        <f t="array" ref="BJ13">INDEX('Progress%'!$A$1:$CT$37,'S-Curves'!$A13,'S-Curves'!BJ$10)</f>
        <v>0.90000000000000224</v>
      </c>
      <c r="BK13" s="43" cm="1">
        <f t="array" ref="BK13">INDEX('Progress%'!$A$1:$CT$37,'S-Curves'!$A13,'S-Curves'!BK$10)</f>
        <v>0.90000000000000224</v>
      </c>
      <c r="BL13" s="43" cm="1">
        <f t="array" ref="BL13">INDEX('Progress%'!$A$1:$CT$37,'S-Curves'!$A13,'S-Curves'!BL$10)</f>
        <v>0.90000000000000224</v>
      </c>
      <c r="BM13" s="43" cm="1">
        <f t="array" ref="BM13">INDEX('Progress%'!$A$1:$CT$37,'S-Curves'!$A13,'S-Curves'!BM$10)</f>
        <v>0.90000000000000224</v>
      </c>
      <c r="BN13" s="43" cm="1">
        <f t="array" ref="BN13">INDEX('Progress%'!$A$1:$CT$37,'S-Curves'!$A13,'S-Curves'!BN$10)</f>
        <v>0.90000000000000224</v>
      </c>
      <c r="BO13" s="43" cm="1">
        <f t="array" ref="BO13">INDEX('Progress%'!$A$1:$CT$37,'S-Curves'!$A13,'S-Curves'!BO$10)</f>
        <v>0.90000000000000224</v>
      </c>
      <c r="BP13" s="43" cm="1">
        <f t="array" ref="BP13">INDEX('Progress%'!$A$1:$CT$37,'S-Curves'!$A13,'S-Curves'!BP$10)</f>
        <v>0.90000000000000224</v>
      </c>
      <c r="BQ13" s="43" cm="1">
        <f t="array" ref="BQ13">INDEX('Progress%'!$A$1:$CT$37,'S-Curves'!$A13,'S-Curves'!BQ$10)</f>
        <v>0.90000000000000224</v>
      </c>
      <c r="BR13" s="43" cm="1">
        <f t="array" ref="BR13">INDEX('Progress%'!$A$1:$CT$37,'S-Curves'!$A13,'S-Curves'!BR$10)</f>
        <v>0.90000000000000224</v>
      </c>
      <c r="BS13" s="43" cm="1">
        <f t="array" ref="BS13">INDEX('Progress%'!$A$1:$CT$37,'S-Curves'!$A13,'S-Curves'!BS$10)</f>
        <v>0.90000000000000224</v>
      </c>
      <c r="BT13" s="43" cm="1">
        <f t="array" ref="BT13">INDEX('Progress%'!$A$1:$CT$37,'S-Curves'!$A13,'S-Curves'!BT$10)</f>
        <v>0.90000000000000224</v>
      </c>
      <c r="BU13" s="43" cm="1">
        <f t="array" ref="BU13">INDEX('Progress%'!$A$1:$CT$37,'S-Curves'!$A13,'S-Curves'!BU$10)</f>
        <v>0.90000000000000224</v>
      </c>
      <c r="BV13" s="43" cm="1">
        <f t="array" ref="BV13">INDEX('Progress%'!$A$1:$CT$37,'S-Curves'!$A13,'S-Curves'!BV$10)</f>
        <v>0.90000000000000224</v>
      </c>
      <c r="BW13" s="43" cm="1">
        <f t="array" ref="BW13">INDEX('Progress%'!$A$1:$CT$37,'S-Curves'!$A13,'S-Curves'!BW$10)</f>
        <v>0.90000000000000224</v>
      </c>
      <c r="BX13" s="43" cm="1">
        <f t="array" ref="BX13">INDEX('Progress%'!$A$1:$CT$37,'S-Curves'!$A13,'S-Curves'!BX$10)</f>
        <v>0.90000000000000224</v>
      </c>
      <c r="BY13" s="43" cm="1">
        <f t="array" ref="BY13">INDEX('Progress%'!$A$1:$CT$37,'S-Curves'!$A13,'S-Curves'!BY$10)</f>
        <v>0.90000000000000224</v>
      </c>
      <c r="BZ13" s="43" cm="1">
        <f t="array" ref="BZ13">INDEX('Progress%'!$A$1:$CT$37,'S-Curves'!$A13,'S-Curves'!BZ$10)</f>
        <v>0.90000000000000224</v>
      </c>
      <c r="CA13" s="43" cm="1">
        <f t="array" ref="CA13">INDEX('Progress%'!$A$1:$CT$37,'S-Curves'!$A13,'S-Curves'!CA$10)</f>
        <v>0.90000000000000224</v>
      </c>
      <c r="CB13" s="43" cm="1">
        <f t="array" ref="CB13">INDEX('Progress%'!$A$1:$CT$37,'S-Curves'!$A13,'S-Curves'!CB$10)</f>
        <v>0.90000000000000224</v>
      </c>
      <c r="CC13" s="43" cm="1">
        <f t="array" ref="CC13">INDEX('Progress%'!$A$1:$CT$37,'S-Curves'!$A13,'S-Curves'!CC$10)</f>
        <v>0.90000000000000224</v>
      </c>
      <c r="CD13" s="43" cm="1">
        <f t="array" ref="CD13">INDEX('Progress%'!$A$1:$CT$37,'S-Curves'!$A13,'S-Curves'!CD$10)</f>
        <v>0.90000000000000224</v>
      </c>
      <c r="CE13" s="43" cm="1">
        <f t="array" ref="CE13">INDEX('Progress%'!$A$1:$CT$37,'S-Curves'!$A13,'S-Curves'!CE$10)</f>
        <v>0.90000000000000224</v>
      </c>
      <c r="CF13" s="43" cm="1">
        <f t="array" ref="CF13">INDEX('Progress%'!$A$1:$CT$37,'S-Curves'!$A13,'S-Curves'!CF$10)</f>
        <v>0.90000000000000224</v>
      </c>
      <c r="CG13" s="43" cm="1">
        <f t="array" ref="CG13">INDEX('Progress%'!$A$1:$CT$37,'S-Curves'!$A13,'S-Curves'!CG$10)</f>
        <v>0.90000000000000224</v>
      </c>
      <c r="CH13" s="43" cm="1">
        <f t="array" ref="CH13">INDEX('Progress%'!$A$1:$CT$37,'S-Curves'!$A13,'S-Curves'!CH$10)</f>
        <v>0.90000000000000224</v>
      </c>
      <c r="CI13" s="43" cm="1">
        <f t="array" ref="CI13">INDEX('Progress%'!$A$1:$CT$37,'S-Curves'!$A13,'S-Curves'!CI$10)</f>
        <v>0.90000000000000224</v>
      </c>
      <c r="CJ13" s="43" cm="1">
        <f t="array" ref="CJ13">INDEX('Progress%'!$A$1:$CT$37,'S-Curves'!$A13,'S-Curves'!CJ$10)</f>
        <v>0.90000000000000224</v>
      </c>
      <c r="CK13" s="43" cm="1">
        <f t="array" ref="CK13">INDEX('Progress%'!$A$1:$CT$37,'S-Curves'!$A13,'S-Curves'!CK$10)</f>
        <v>0.90000000000000224</v>
      </c>
      <c r="CL13" s="43" cm="1">
        <f t="array" ref="CL13">INDEX('Progress%'!$A$1:$CT$37,'S-Curves'!$A13,'S-Curves'!CL$10)</f>
        <v>0.90000000000000224</v>
      </c>
      <c r="CM13" s="43" cm="1">
        <f t="array" ref="CM13">INDEX('Progress%'!$A$1:$CT$37,'S-Curves'!$A13,'S-Curves'!CM$10)</f>
        <v>0.90000000000000224</v>
      </c>
      <c r="CN13" s="43" cm="1">
        <f t="array" ref="CN13">INDEX('Progress%'!$A$1:$CT$37,'S-Curves'!$A13,'S-Curves'!CN$10)</f>
        <v>0.90000000000000224</v>
      </c>
      <c r="CO13" s="43" cm="1">
        <f t="array" ref="CO13">INDEX('Progress%'!$A$1:$CT$37,'S-Curves'!$A13,'S-Curves'!CO$10)</f>
        <v>0.90000000000000224</v>
      </c>
      <c r="CP13" s="43" cm="1">
        <f t="array" ref="CP13">INDEX('Progress%'!$A$1:$CT$37,'S-Curves'!$A13,'S-Curves'!CP$10)</f>
        <v>0.90000000000000224</v>
      </c>
      <c r="CQ13" s="43" cm="1">
        <f t="array" ref="CQ13">INDEX('Progress%'!$A$1:$CT$37,'S-Curves'!$A13,'S-Curves'!CQ$10)</f>
        <v>0.90000000000000224</v>
      </c>
      <c r="CR13" s="43" cm="1">
        <f t="array" ref="CR13">INDEX('Progress%'!$A$1:$CT$37,'S-Curves'!$A13,'S-Curves'!CR$10)</f>
        <v>0.90000000000000224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0.13353499999999979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0.18540000000000012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0.24807900000000069</v>
      </c>
      <c r="Q14" s="43" cm="1">
        <f t="array" ref="Q14">INDEX('Progress%'!$A$1:$CT$37,'S-Curves'!$A14,'S-Curves'!Q$10)</f>
        <v>0.29147400000000062</v>
      </c>
      <c r="R14" s="43" cm="1">
        <f t="array" ref="R14">INDEX('Progress%'!$A$1:$CT$37,'S-Curves'!$A14,'S-Curves'!R$10)</f>
        <v>0.30147000000000057</v>
      </c>
      <c r="S14" s="43" cm="1">
        <f t="array" ref="S14">INDEX('Progress%'!$A$1:$CT$37,'S-Curves'!$A14,'S-Curves'!S$10)</f>
        <v>0.32594400000000073</v>
      </c>
      <c r="T14" s="43" cm="1">
        <f t="array" ref="T14">INDEX('Progress%'!$A$1:$CT$37,'S-Curves'!$A14,'S-Curves'!T$10)</f>
        <v>0.33982000000000073</v>
      </c>
      <c r="U14" s="43" cm="1">
        <f t="array" ref="U14">INDEX('Progress%'!$A$1:$CT$37,'S-Curves'!$A14,'S-Curves'!U$10)</f>
        <v>0.3695960000000007</v>
      </c>
      <c r="V14" s="43" cm="1">
        <f t="array" ref="V14">INDEX('Progress%'!$A$1:$CT$37,'S-Curves'!$A14,'S-Curves'!V$10)</f>
        <v>0.40104900000000088</v>
      </c>
      <c r="W14" s="43" cm="1">
        <f t="array" ref="W14">INDEX('Progress%'!$A$1:$CT$37,'S-Curves'!$A14,'S-Curves'!W$10)</f>
        <v>0.42438800000000082</v>
      </c>
      <c r="X14" s="43" cm="1">
        <f t="array" ref="X14">INDEX('Progress%'!$A$1:$CT$37,'S-Curves'!$A14,'S-Curves'!X$10)</f>
        <v>0.45514900000000091</v>
      </c>
      <c r="Y14" s="43" cm="1">
        <f t="array" ref="Y14">INDEX('Progress%'!$A$1:$CT$37,'S-Curves'!$A14,'S-Curves'!Y$10)</f>
        <v>0.49811300000000103</v>
      </c>
      <c r="Z14" s="43" cm="1">
        <f t="array" ref="Z14">INDEX('Progress%'!$A$1:$CT$37,'S-Curves'!$A14,'S-Curves'!Z$10)</f>
        <v>0.53614800000000107</v>
      </c>
      <c r="AA14" s="43" cm="1">
        <f t="array" ref="AA14">INDEX('Progress%'!$A$1:$CT$37,'S-Curves'!$A14,'S-Curves'!AA$10)</f>
        <v>0.5664840000000011</v>
      </c>
      <c r="AB14" s="43" cm="1">
        <f t="array" ref="AB14">INDEX('Progress%'!$A$1:$CT$37,'S-Curves'!$A14,'S-Curves'!AB$10)</f>
        <v>0.60186600000000134</v>
      </c>
      <c r="AC14" s="43" cm="1">
        <f t="array" ref="AC14">INDEX('Progress%'!$A$1:$CT$37,'S-Curves'!$A14,'S-Curves'!AC$10)</f>
        <v>0.63857000000000141</v>
      </c>
      <c r="AD14" s="43" cm="1">
        <f t="array" ref="AD14">INDEX('Progress%'!$A$1:$CT$37,'S-Curves'!$A14,'S-Curves'!AD$10)</f>
        <v>0.67024400000000151</v>
      </c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2.7000000000000107E-2</v>
      </c>
      <c r="M15" s="49">
        <f t="shared" si="0"/>
        <v>1.3595000000000038E-2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2.4765000000000176E-2</v>
      </c>
      <c r="Q15" s="49">
        <f t="shared" si="0"/>
        <v>2.5505E-2</v>
      </c>
      <c r="R15" s="49">
        <f t="shared" si="0"/>
        <v>2.7574999999999877E-2</v>
      </c>
      <c r="S15" s="49">
        <f t="shared" si="0"/>
        <v>3.3313000000000037E-2</v>
      </c>
      <c r="T15" s="49">
        <f t="shared" si="0"/>
        <v>3.1791000000000236E-2</v>
      </c>
      <c r="U15" s="49">
        <f t="shared" si="0"/>
        <v>3.1552000000000024E-2</v>
      </c>
      <c r="V15" s="49">
        <f t="shared" si="0"/>
        <v>3.0911000000000133E-2</v>
      </c>
      <c r="W15" s="49">
        <f t="shared" si="0"/>
        <v>3.7252000000000063E-2</v>
      </c>
      <c r="X15" s="49">
        <f t="shared" si="0"/>
        <v>3.7800000000000056E-2</v>
      </c>
      <c r="Y15" s="49">
        <f t="shared" si="0"/>
        <v>3.6216000000000137E-2</v>
      </c>
      <c r="Z15" s="49">
        <f t="shared" si="0"/>
        <v>3.7099000000000104E-2</v>
      </c>
      <c r="AA15" s="49">
        <f t="shared" si="0"/>
        <v>2.9246000000000216E-2</v>
      </c>
      <c r="AB15" s="49">
        <f t="shared" si="0"/>
        <v>3.423200000000004E-2</v>
      </c>
      <c r="AC15" s="49">
        <f t="shared" si="0"/>
        <v>3.2287000000000066E-2</v>
      </c>
      <c r="AD15" s="49">
        <f t="shared" si="0"/>
        <v>3.1512000000000095E-2</v>
      </c>
      <c r="AE15" s="49">
        <f t="shared" si="0"/>
        <v>2.6210000000000178E-2</v>
      </c>
      <c r="AF15" s="49">
        <f t="shared" si="0"/>
        <v>2.3362999999999912E-2</v>
      </c>
      <c r="AG15" s="49">
        <f t="shared" si="0"/>
        <v>2.2625000000000228E-2</v>
      </c>
      <c r="AH15" s="49">
        <f t="shared" si="0"/>
        <v>3.0496000000000079E-2</v>
      </c>
      <c r="AI15" s="49">
        <f t="shared" si="0"/>
        <v>1.390799999999992E-2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9.6640000000001169E-3</v>
      </c>
      <c r="AP15" s="49">
        <f t="shared" si="1"/>
        <v>1.1102999999999974E-2</v>
      </c>
      <c r="AQ15" s="49">
        <f t="shared" si="1"/>
        <v>5.2690000000000792E-3</v>
      </c>
      <c r="AR15" s="49">
        <f t="shared" si="1"/>
        <v>7.6340000000000297E-3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5.0000000000016698E-4</v>
      </c>
      <c r="AX15" s="49">
        <f t="shared" si="1"/>
        <v>2.3999999999999577E-3</v>
      </c>
      <c r="AY15" s="49">
        <f t="shared" si="1"/>
        <v>1.9999999999998908E-3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2.7000000000000107E-2</v>
      </c>
      <c r="M16" s="49">
        <f t="shared" ref="M16" si="10">M13-L13</f>
        <v>1.3595000000000038E-2</v>
      </c>
      <c r="N16" s="49">
        <f t="shared" ref="N16" si="11">N13-M13</f>
        <v>1.6890000000000016E-2</v>
      </c>
      <c r="O16" s="49">
        <f t="shared" ref="O16:AD17" si="12">O13-N13</f>
        <v>2.2680000000000006E-2</v>
      </c>
      <c r="P16" s="49">
        <f t="shared" si="12"/>
        <v>2.4765000000000176E-2</v>
      </c>
      <c r="Q16" s="49">
        <f t="shared" si="12"/>
        <v>2.5505E-2</v>
      </c>
      <c r="R16" s="49">
        <f t="shared" si="12"/>
        <v>2.7574999999999877E-2</v>
      </c>
      <c r="S16" s="49">
        <f t="shared" si="12"/>
        <v>3.3313000000000037E-2</v>
      </c>
      <c r="T16" s="49">
        <f t="shared" si="12"/>
        <v>3.1791000000000236E-2</v>
      </c>
      <c r="U16" s="49">
        <f t="shared" si="12"/>
        <v>3.1552000000000024E-2</v>
      </c>
      <c r="V16" s="49">
        <f t="shared" si="12"/>
        <v>3.0911000000000133E-2</v>
      </c>
      <c r="W16" s="49">
        <f t="shared" si="12"/>
        <v>3.7252000000000063E-2</v>
      </c>
      <c r="X16" s="49">
        <f t="shared" si="12"/>
        <v>3.7800000000000056E-2</v>
      </c>
      <c r="Y16" s="49">
        <f t="shared" si="12"/>
        <v>3.6216000000000137E-2</v>
      </c>
      <c r="Z16" s="49">
        <f t="shared" si="0"/>
        <v>3.7099000000000104E-2</v>
      </c>
      <c r="AA16" s="49">
        <f t="shared" si="0"/>
        <v>2.9246000000000216E-2</v>
      </c>
      <c r="AB16" s="49">
        <f t="shared" si="0"/>
        <v>3.423200000000004E-2</v>
      </c>
      <c r="AC16" s="49">
        <f t="shared" si="0"/>
        <v>3.2287000000000066E-2</v>
      </c>
      <c r="AD16" s="49">
        <f t="shared" si="0"/>
        <v>3.1512000000000095E-2</v>
      </c>
      <c r="AE16" s="49">
        <f t="shared" si="0"/>
        <v>2.6210000000000178E-2</v>
      </c>
      <c r="AF16" s="49">
        <f t="shared" si="0"/>
        <v>2.3362999999999912E-2</v>
      </c>
      <c r="AG16" s="49">
        <f t="shared" si="0"/>
        <v>2.2625000000000228E-2</v>
      </c>
      <c r="AH16" s="49">
        <f t="shared" si="0"/>
        <v>3.0496000000000079E-2</v>
      </c>
      <c r="AI16" s="49">
        <f t="shared" si="0"/>
        <v>1.390799999999992E-2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9.6640000000001169E-3</v>
      </c>
      <c r="AP16" s="49">
        <f t="shared" si="1"/>
        <v>1.1102999999999974E-2</v>
      </c>
      <c r="AQ16" s="49">
        <f t="shared" si="1"/>
        <v>5.2690000000000792E-3</v>
      </c>
      <c r="AR16" s="49">
        <f t="shared" si="1"/>
        <v>7.6340000000000297E-3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5.0000000000016698E-4</v>
      </c>
      <c r="AX16" s="49">
        <f t="shared" si="1"/>
        <v>2.3999999999999577E-3</v>
      </c>
      <c r="AY16" s="49">
        <f t="shared" si="1"/>
        <v>1.9999999999998908E-3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2.1614999999999926E-2</v>
      </c>
      <c r="L17" s="48">
        <f t="shared" si="8"/>
        <v>1.3860000000000039E-2</v>
      </c>
      <c r="M17" s="48">
        <f t="shared" si="8"/>
        <v>3.8005000000000289E-2</v>
      </c>
      <c r="N17" s="48">
        <f t="shared" si="8"/>
        <v>1.7550000000000177E-2</v>
      </c>
      <c r="O17" s="48">
        <f t="shared" si="8"/>
        <v>2.7195000000000302E-2</v>
      </c>
      <c r="P17" s="48">
        <f t="shared" si="8"/>
        <v>1.7934000000000089E-2</v>
      </c>
      <c r="Q17" s="48">
        <f t="shared" si="12"/>
        <v>4.3394999999999934E-2</v>
      </c>
      <c r="R17" s="48">
        <f t="shared" si="12"/>
        <v>9.9959999999999494E-3</v>
      </c>
      <c r="S17" s="48">
        <f t="shared" si="12"/>
        <v>2.4474000000000162E-2</v>
      </c>
      <c r="T17" s="48">
        <f t="shared" si="12"/>
        <v>1.3875999999999999E-2</v>
      </c>
      <c r="U17" s="48">
        <f t="shared" si="12"/>
        <v>2.9775999999999969E-2</v>
      </c>
      <c r="V17" s="48">
        <f t="shared" si="12"/>
        <v>3.1453000000000175E-2</v>
      </c>
      <c r="W17" s="48">
        <f t="shared" si="12"/>
        <v>2.3338999999999943E-2</v>
      </c>
      <c r="X17" s="48">
        <f t="shared" si="12"/>
        <v>3.0761000000000094E-2</v>
      </c>
      <c r="Y17" s="48">
        <f t="shared" si="12"/>
        <v>4.2964000000000113E-2</v>
      </c>
      <c r="Z17" s="48">
        <f t="shared" si="12"/>
        <v>3.8035000000000041E-2</v>
      </c>
      <c r="AA17" s="48">
        <f t="shared" si="12"/>
        <v>3.033600000000003E-2</v>
      </c>
      <c r="AB17" s="48">
        <f t="shared" si="12"/>
        <v>3.5382000000000247E-2</v>
      </c>
      <c r="AC17" s="48">
        <f t="shared" si="12"/>
        <v>3.670400000000007E-2</v>
      </c>
      <c r="AD17" s="48">
        <f t="shared" si="12"/>
        <v>3.1674000000000091E-2</v>
      </c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30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Z707"/>
  <sheetViews>
    <sheetView tabSelected="1" topLeftCell="A14" zoomScaleNormal="100" workbookViewId="0">
      <selection activeCell="D61" sqref="D61"/>
    </sheetView>
  </sheetViews>
  <sheetFormatPr defaultRowHeight="14.5" x14ac:dyDescent="0.35"/>
  <cols>
    <col min="1" max="1" width="6.1796875" customWidth="1"/>
    <col min="2" max="2" width="9.7265625" customWidth="1"/>
    <col min="3" max="3" width="22" customWidth="1"/>
    <col min="4" max="4" width="44.906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3" max="23" width="13.81640625" style="162" customWidth="1"/>
    <col min="24" max="26" width="14.08984375" customWidth="1"/>
  </cols>
  <sheetData>
    <row r="1" spans="1:26" ht="15" thickBot="1" x14ac:dyDescent="0.4">
      <c r="A1" t="s">
        <v>43</v>
      </c>
      <c r="C1" s="21">
        <v>46283</v>
      </c>
    </row>
    <row r="2" spans="1:26" ht="19" thickBot="1" x14ac:dyDescent="0.5">
      <c r="A2" s="26" t="s">
        <v>33</v>
      </c>
      <c r="J2" s="216" t="s">
        <v>7</v>
      </c>
      <c r="K2" s="216"/>
      <c r="L2" s="216"/>
      <c r="M2" s="216" t="s">
        <v>9</v>
      </c>
      <c r="N2" s="216"/>
      <c r="O2" s="216"/>
      <c r="P2" s="216" t="s">
        <v>8</v>
      </c>
      <c r="Q2" s="216"/>
      <c r="R2" s="216"/>
      <c r="S2" s="216" t="s">
        <v>10</v>
      </c>
      <c r="T2" s="216"/>
      <c r="U2" s="216"/>
      <c r="W2" s="217" t="s">
        <v>1080</v>
      </c>
      <c r="X2" s="218"/>
      <c r="Y2" s="218"/>
      <c r="Z2" s="219"/>
    </row>
    <row r="3" spans="1:26" s="70" customFormat="1" ht="19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W3" s="163" t="s">
        <v>7</v>
      </c>
      <c r="X3" s="164" t="s">
        <v>9</v>
      </c>
      <c r="Y3" s="165" t="s">
        <v>8</v>
      </c>
      <c r="Z3" s="166" t="s">
        <v>10</v>
      </c>
    </row>
    <row r="4" spans="1:26" s="70" customFormat="1" ht="11.5" x14ac:dyDescent="0.25">
      <c r="A4" s="71" t="s">
        <v>66</v>
      </c>
      <c r="B4" s="87" t="s">
        <v>34</v>
      </c>
      <c r="C4" s="87" t="s">
        <v>922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7" si="2">(COUNTIFS(L4,"&lt;="&amp;$C$1)*50%)+(COUNTIFS(O4,"&lt;="&amp;$C$1)*20%)+(COUNTIFS(R4,"&lt;="&amp;$C$1)*10%)+(COUNTIFS(U4,"&lt;="&amp;$C$1)*20%)</f>
        <v>1</v>
      </c>
      <c r="H4" s="81">
        <f t="shared" ref="H4:H7" si="3">G4-E4</f>
        <v>0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>
        <v>46262</v>
      </c>
      <c r="W4" s="167" t="str">
        <f ca="1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X4" s="167" t="str">
        <f ca="1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Y4" s="167" t="str">
        <f ca="1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Z4" s="168" t="str">
        <f ca="1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Completed</v>
      </c>
    </row>
    <row r="5" spans="1:26" s="70" customFormat="1" ht="11.5" x14ac:dyDescent="0.25">
      <c r="A5" s="71" t="s">
        <v>66</v>
      </c>
      <c r="B5" s="87" t="s">
        <v>34</v>
      </c>
      <c r="C5" s="87" t="s">
        <v>923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108" si="4">J5</f>
        <v>46115</v>
      </c>
      <c r="L5" s="85">
        <v>46115</v>
      </c>
      <c r="M5" s="85">
        <f t="shared" ref="M5:M108" si="5">J5+42</f>
        <v>46157</v>
      </c>
      <c r="N5" s="85">
        <f t="shared" ref="N5:N108" si="6">M5</f>
        <v>46157</v>
      </c>
      <c r="O5" s="145">
        <v>46171</v>
      </c>
      <c r="P5" s="85">
        <f t="shared" ref="P5:P108" si="7">M5+42</f>
        <v>46199</v>
      </c>
      <c r="Q5" s="85">
        <f t="shared" ref="Q5:Q108" si="8">P5</f>
        <v>46199</v>
      </c>
      <c r="R5" s="85">
        <v>46199</v>
      </c>
      <c r="S5" s="85">
        <f>P5+14</f>
        <v>46213</v>
      </c>
      <c r="T5" s="85">
        <f t="shared" ref="T5:T108" si="9">S5</f>
        <v>46213</v>
      </c>
      <c r="U5" s="85">
        <v>46204</v>
      </c>
      <c r="W5" s="169" t="str">
        <f t="shared" ref="W5:W98" ca="1" si="10">IF(OR(L5&lt;&gt;""),"Completed",
IF(K5="","",IF(K5&lt;TODAY(),"Overdue",
IF(AND(K5&gt;=TODAY()-WEEKDAY(TODAY(),2)+1,K5&lt;=TODAY()-WEEKDAY(TODAY(),2)+7),"Follow-This Week",
IF(AND(K5&gt;=TODAY()-WEEKDAY(TODAY(),2)+8,K5&lt;=TODAY()-WEEKDAY(TODAY(),2)+14),"Follow-Next Week","")))))</f>
        <v>Completed</v>
      </c>
      <c r="X5" s="169" t="str">
        <f t="shared" ref="X5:X98" ca="1" si="11">IF(OR(O5&lt;&gt;""),"Completed",IF(N5="","",
IF(N5&lt;TODAY(),"Overdue",
IF(AND(N5&gt;=TODAY()-WEEKDAY(TODAY(),2)+1,N5&lt;=TODAY()-WEEKDAY(TODAY(),2)+7),"Follow-This Week",
IF(AND(N5&gt;=TODAY()-WEEKDAY(TODAY(),2)+8,N5&lt;=TODAY()-WEEKDAY(TODAY(),2)+14),"Follow-Next Week","")))))</f>
        <v>Completed</v>
      </c>
      <c r="Y5" s="169" t="str">
        <f t="shared" ref="Y5:Y98" ca="1" si="12">IF(OR(R5&lt;&gt;""),"Completed",IF(Q5="","",
IF(Q5&lt;TODAY(),"Overdue",
IF(AND(Q5&gt;=TODAY()-WEEKDAY(TODAY(),2)+1,Q5&lt;=TODAY()-WEEKDAY(TODAY(),2)+7),"Follow-This Week",
IF(AND(Q5&gt;=TODAY()-WEEKDAY(TODAY(),2)+8,Q5&lt;=TODAY()-WEEKDAY(TODAY(),2)+14),"Follow-Next Week","")))))</f>
        <v>Completed</v>
      </c>
      <c r="Z5" s="170" t="str">
        <f t="shared" ref="Z5:Z98" ca="1" si="13">IF(OR(U5&lt;&gt;""),"Completed",IF(T5="","",
IF(T5&lt;TODAY(),"Overdue",
IF(AND(T5&gt;=TODAY()-WEEKDAY(TODAY(),2)+1,T5&lt;=TODAY()-WEEKDAY(TODAY(),2)+7),"Follow-This Week",
IF(AND(T5&gt;=TODAY()-WEEKDAY(TODAY(),2)+8,T5&lt;=TODAY()-WEEKDAY(TODAY(),2)+14),"Follow-Next Week","")))))</f>
        <v>Completed</v>
      </c>
    </row>
    <row r="6" spans="1:26" s="70" customFormat="1" ht="11.5" x14ac:dyDescent="0.25">
      <c r="A6" s="71" t="s">
        <v>66</v>
      </c>
      <c r="B6" s="87" t="s">
        <v>34</v>
      </c>
      <c r="C6" s="87" t="s">
        <v>924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5">
        <v>46171</v>
      </c>
      <c r="P6" s="85">
        <f t="shared" si="7"/>
        <v>46199</v>
      </c>
      <c r="Q6" s="85">
        <f t="shared" si="8"/>
        <v>46199</v>
      </c>
      <c r="R6" s="85">
        <v>46219</v>
      </c>
      <c r="S6" s="85">
        <f t="shared" ref="S6:S108" si="14">P6+14</f>
        <v>46213</v>
      </c>
      <c r="T6" s="85">
        <f t="shared" si="9"/>
        <v>46213</v>
      </c>
      <c r="U6" s="85">
        <v>46233</v>
      </c>
      <c r="W6" s="169" t="str">
        <f t="shared" ca="1" si="10"/>
        <v>Completed</v>
      </c>
      <c r="X6" s="169" t="str">
        <f t="shared" ca="1" si="11"/>
        <v>Completed</v>
      </c>
      <c r="Y6" s="169" t="str">
        <f t="shared" ca="1" si="12"/>
        <v>Completed</v>
      </c>
      <c r="Z6" s="170" t="str">
        <f t="shared" ca="1" si="13"/>
        <v>Completed</v>
      </c>
    </row>
    <row r="7" spans="1:26" s="70" customFormat="1" ht="11.5" x14ac:dyDescent="0.25">
      <c r="A7" s="71" t="s">
        <v>66</v>
      </c>
      <c r="B7" s="87" t="s">
        <v>34</v>
      </c>
      <c r="C7" s="87" t="s">
        <v>925</v>
      </c>
      <c r="D7" s="87" t="s">
        <v>1119</v>
      </c>
      <c r="E7" s="86">
        <f t="shared" si="0"/>
        <v>1</v>
      </c>
      <c r="F7" s="86">
        <f t="shared" si="1"/>
        <v>1</v>
      </c>
      <c r="G7" s="86">
        <f t="shared" si="2"/>
        <v>0.79999999999999993</v>
      </c>
      <c r="H7" s="81">
        <f t="shared" si="3"/>
        <v>-0.20000000000000007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5">
        <v>46171</v>
      </c>
      <c r="P7" s="85">
        <f t="shared" si="7"/>
        <v>46199</v>
      </c>
      <c r="Q7" s="85">
        <f t="shared" si="8"/>
        <v>46199</v>
      </c>
      <c r="R7" s="85">
        <v>46274</v>
      </c>
      <c r="S7" s="85">
        <f t="shared" si="14"/>
        <v>46213</v>
      </c>
      <c r="T7" s="85">
        <f t="shared" si="9"/>
        <v>46213</v>
      </c>
      <c r="U7" s="85"/>
      <c r="W7" s="169" t="str">
        <f t="shared" ca="1" si="10"/>
        <v>Completed</v>
      </c>
      <c r="X7" s="169" t="str">
        <f t="shared" ca="1" si="11"/>
        <v>Completed</v>
      </c>
      <c r="Y7" s="169" t="str">
        <f t="shared" ca="1" si="12"/>
        <v>Completed</v>
      </c>
      <c r="Z7" s="170" t="str">
        <f t="shared" ca="1" si="13"/>
        <v>Overdue</v>
      </c>
    </row>
    <row r="8" spans="1:26" s="70" customFormat="1" ht="11.5" x14ac:dyDescent="0.25">
      <c r="A8" s="71" t="s">
        <v>66</v>
      </c>
      <c r="B8" s="87" t="s">
        <v>34</v>
      </c>
      <c r="C8" s="87" t="s">
        <v>926</v>
      </c>
      <c r="D8" s="87" t="s">
        <v>59</v>
      </c>
      <c r="E8" s="86">
        <f t="shared" ref="E8:E108" si="15">(COUNTIFS(J8,"&lt;="&amp;$C$1)*50%)+(COUNTIFS(M8,"&lt;="&amp;$C$1)*20%)+(COUNTIFS(P8,"&lt;="&amp;$C$1)*10%)+(COUNTIFS(S8,"&lt;="&amp;$C$1)*20%)</f>
        <v>1</v>
      </c>
      <c r="F8" s="86">
        <f t="shared" ref="F8:F108" si="16">(COUNTIFS(K8,"&lt;="&amp;$C$1)*50%)+(COUNTIFS(N8,"&lt;="&amp;$C$1)*20%)+(COUNTIFS(Q8,"&lt;="&amp;$C$1)*10%)+(COUNTIFS(T8,"&lt;="&amp;$C$1)*20%)</f>
        <v>1</v>
      </c>
      <c r="G8" s="86">
        <f t="shared" ref="G8:G106" si="17">(COUNTIFS(L8,"&lt;="&amp;$C$1)*50%)+(COUNTIFS(O8,"&lt;="&amp;$C$1)*20%)+(COUNTIFS(R8,"&lt;="&amp;$C$1)*10%)+(COUNTIFS(U8,"&lt;="&amp;$C$1)*20%)</f>
        <v>1</v>
      </c>
      <c r="H8" s="81">
        <f t="shared" ref="H8:H108" si="18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85">
        <v>46205</v>
      </c>
      <c r="S8" s="85">
        <f t="shared" si="14"/>
        <v>46213</v>
      </c>
      <c r="T8" s="85">
        <f t="shared" si="9"/>
        <v>46213</v>
      </c>
      <c r="U8" s="85">
        <v>46213</v>
      </c>
      <c r="W8" s="169" t="str">
        <f t="shared" ca="1" si="10"/>
        <v>Completed</v>
      </c>
      <c r="X8" s="169" t="str">
        <f t="shared" ca="1" si="11"/>
        <v>Completed</v>
      </c>
      <c r="Y8" s="169" t="str">
        <f t="shared" ca="1" si="12"/>
        <v>Completed</v>
      </c>
      <c r="Z8" s="170" t="str">
        <f t="shared" ca="1" si="13"/>
        <v>Completed</v>
      </c>
    </row>
    <row r="9" spans="1:26" s="70" customFormat="1" ht="11.5" x14ac:dyDescent="0.25">
      <c r="A9" s="174" t="s">
        <v>66</v>
      </c>
      <c r="B9" s="158" t="s">
        <v>34</v>
      </c>
      <c r="C9" s="158" t="s">
        <v>74</v>
      </c>
      <c r="D9" s="158" t="s">
        <v>1082</v>
      </c>
      <c r="E9" s="159">
        <f t="shared" si="15"/>
        <v>1</v>
      </c>
      <c r="F9" s="159">
        <f t="shared" si="16"/>
        <v>1</v>
      </c>
      <c r="G9" s="159">
        <f t="shared" si="17"/>
        <v>1</v>
      </c>
      <c r="H9" s="152">
        <f t="shared" si="18"/>
        <v>0</v>
      </c>
      <c r="I9" s="153">
        <v>0.25</v>
      </c>
      <c r="J9" s="155">
        <v>46122</v>
      </c>
      <c r="K9" s="155">
        <f t="shared" si="4"/>
        <v>46122</v>
      </c>
      <c r="L9" s="155">
        <v>46142</v>
      </c>
      <c r="M9" s="155">
        <f t="shared" si="5"/>
        <v>46164</v>
      </c>
      <c r="N9" s="155">
        <f t="shared" si="6"/>
        <v>46164</v>
      </c>
      <c r="O9" s="155">
        <v>46206</v>
      </c>
      <c r="P9" s="155">
        <f t="shared" si="7"/>
        <v>46206</v>
      </c>
      <c r="Q9" s="155">
        <f t="shared" si="8"/>
        <v>46206</v>
      </c>
      <c r="R9" s="155">
        <v>46227</v>
      </c>
      <c r="S9" s="155">
        <f t="shared" si="14"/>
        <v>46220</v>
      </c>
      <c r="T9" s="155">
        <f t="shared" si="9"/>
        <v>46220</v>
      </c>
      <c r="U9" s="155">
        <v>46227</v>
      </c>
      <c r="W9" s="169" t="str">
        <f t="shared" ca="1" si="10"/>
        <v>Completed</v>
      </c>
      <c r="X9" s="169" t="str">
        <f t="shared" ca="1" si="11"/>
        <v>Completed</v>
      </c>
      <c r="Y9" s="169" t="str">
        <f t="shared" ca="1" si="12"/>
        <v>Completed</v>
      </c>
      <c r="Z9" s="170" t="str">
        <f t="shared" ca="1" si="13"/>
        <v>Completed</v>
      </c>
    </row>
    <row r="10" spans="1:26" s="70" customFormat="1" ht="11.5" x14ac:dyDescent="0.25">
      <c r="A10" s="92" t="s">
        <v>66</v>
      </c>
      <c r="B10" s="91" t="s">
        <v>34</v>
      </c>
      <c r="C10" s="91" t="s">
        <v>74</v>
      </c>
      <c r="D10" s="91" t="s">
        <v>1083</v>
      </c>
      <c r="E10" s="93">
        <f t="shared" ref="E10" si="19">(COUNTIFS(J10,"&lt;="&amp;$C$1)*50%)+(COUNTIFS(M10,"&lt;="&amp;$C$1)*20%)+(COUNTIFS(P10,"&lt;="&amp;$C$1)*10%)+(COUNTIFS(S10,"&lt;="&amp;$C$1)*20%)</f>
        <v>1</v>
      </c>
      <c r="F10" s="93">
        <f t="shared" ref="F10" si="20">(COUNTIFS(K10,"&lt;="&amp;$C$1)*50%)+(COUNTIFS(N10,"&lt;="&amp;$C$1)*20%)+(COUNTIFS(Q10,"&lt;="&amp;$C$1)*10%)+(COUNTIFS(T10,"&lt;="&amp;$C$1)*20%)</f>
        <v>1</v>
      </c>
      <c r="G10" s="93">
        <f t="shared" ref="G10" si="21">(COUNTIFS(L10,"&lt;="&amp;$C$1)*50%)+(COUNTIFS(O10,"&lt;="&amp;$C$1)*20%)+(COUNTIFS(R10,"&lt;="&amp;$C$1)*10%)+(COUNTIFS(U10,"&lt;="&amp;$C$1)*20%)</f>
        <v>0.7</v>
      </c>
      <c r="H10" s="94">
        <f t="shared" ref="H10" si="22">G10-E10</f>
        <v>-0.30000000000000004</v>
      </c>
      <c r="I10" s="95">
        <v>0.25</v>
      </c>
      <c r="J10" s="89">
        <v>46122</v>
      </c>
      <c r="K10" s="89">
        <f t="shared" ref="K10" si="23">J10</f>
        <v>46122</v>
      </c>
      <c r="L10" s="89">
        <v>46142</v>
      </c>
      <c r="M10" s="89">
        <f t="shared" ref="M10" si="24">J10+42</f>
        <v>46164</v>
      </c>
      <c r="N10" s="89">
        <f t="shared" ref="N10" si="25">M10</f>
        <v>46164</v>
      </c>
      <c r="O10" s="89">
        <v>46206</v>
      </c>
      <c r="P10" s="89">
        <v>46249</v>
      </c>
      <c r="Q10" s="89">
        <f t="shared" ref="Q10" si="26">P10</f>
        <v>46249</v>
      </c>
      <c r="R10" s="89"/>
      <c r="S10" s="89">
        <f t="shared" ref="S10" si="27">P10+14</f>
        <v>46263</v>
      </c>
      <c r="T10" s="89">
        <f t="shared" ref="T10" si="28">S10</f>
        <v>46263</v>
      </c>
      <c r="U10" s="89"/>
      <c r="W10" s="169" t="str">
        <f t="shared" ref="W10" ca="1" si="29">IF(OR(L10&lt;&gt;""),"Completed",
IF(K10="","",IF(K10&lt;TODAY(),"Overdue",
IF(AND(K10&gt;=TODAY()-WEEKDAY(TODAY(),2)+1,K10&lt;=TODAY()-WEEKDAY(TODAY(),2)+7),"Follow-This Week",
IF(AND(K10&gt;=TODAY()-WEEKDAY(TODAY(),2)+8,K10&lt;=TODAY()-WEEKDAY(TODAY(),2)+14),"Follow-Next Week","")))))</f>
        <v>Completed</v>
      </c>
      <c r="X10" s="169" t="str">
        <f t="shared" ref="X10" ca="1" si="30">IF(OR(O10&lt;&gt;""),"Completed",IF(N10="","",
IF(N10&lt;TODAY(),"Overdue",
IF(AND(N10&gt;=TODAY()-WEEKDAY(TODAY(),2)+1,N10&lt;=TODAY()-WEEKDAY(TODAY(),2)+7),"Follow-This Week",
IF(AND(N10&gt;=TODAY()-WEEKDAY(TODAY(),2)+8,N10&lt;=TODAY()-WEEKDAY(TODAY(),2)+14),"Follow-Next Week","")))))</f>
        <v>Completed</v>
      </c>
      <c r="Y10" s="169" t="str">
        <f t="shared" ref="Y10" ca="1" si="31">IF(OR(R10&lt;&gt;""),"Completed",IF(Q10="","",
IF(Q10&lt;TODAY(),"Overdue",
IF(AND(Q10&gt;=TODAY()-WEEKDAY(TODAY(),2)+1,Q10&lt;=TODAY()-WEEKDAY(TODAY(),2)+7),"Follow-This Week",
IF(AND(Q10&gt;=TODAY()-WEEKDAY(TODAY(),2)+8,Q10&lt;=TODAY()-WEEKDAY(TODAY(),2)+14),"Follow-Next Week","")))))</f>
        <v>Overdue</v>
      </c>
      <c r="Z10" s="170" t="str">
        <f t="shared" ref="Z10" ca="1" si="32">IF(OR(U10&lt;&gt;""),"Completed",IF(T10="","",
IF(T10&lt;TODAY(),"Overdue",
IF(AND(T10&gt;=TODAY()-WEEKDAY(TODAY(),2)+1,T10&lt;=TODAY()-WEEKDAY(TODAY(),2)+7),"Follow-This Week",
IF(AND(T10&gt;=TODAY()-WEEKDAY(TODAY(),2)+8,T10&lt;=TODAY()-WEEKDAY(TODAY(),2)+14),"Follow-Next Week","")))))</f>
        <v>Overdue</v>
      </c>
    </row>
    <row r="11" spans="1:26" s="70" customFormat="1" ht="10.5" customHeight="1" x14ac:dyDescent="0.25">
      <c r="A11" s="174" t="s">
        <v>66</v>
      </c>
      <c r="B11" s="158" t="s">
        <v>34</v>
      </c>
      <c r="C11" s="158" t="s">
        <v>75</v>
      </c>
      <c r="D11" s="158" t="s">
        <v>1084</v>
      </c>
      <c r="E11" s="159">
        <f t="shared" si="15"/>
        <v>1</v>
      </c>
      <c r="F11" s="159">
        <f t="shared" si="16"/>
        <v>1</v>
      </c>
      <c r="G11" s="159">
        <f t="shared" si="17"/>
        <v>1</v>
      </c>
      <c r="H11" s="152">
        <f t="shared" si="18"/>
        <v>0</v>
      </c>
      <c r="I11" s="153">
        <v>0.25</v>
      </c>
      <c r="J11" s="155">
        <v>46136</v>
      </c>
      <c r="K11" s="155">
        <f t="shared" si="4"/>
        <v>46136</v>
      </c>
      <c r="L11" s="155">
        <v>46164</v>
      </c>
      <c r="M11" s="155">
        <f t="shared" si="5"/>
        <v>46178</v>
      </c>
      <c r="N11" s="155">
        <f t="shared" si="6"/>
        <v>46178</v>
      </c>
      <c r="O11" s="155">
        <v>46206</v>
      </c>
      <c r="P11" s="155">
        <f t="shared" si="7"/>
        <v>46220</v>
      </c>
      <c r="Q11" s="155">
        <f t="shared" si="8"/>
        <v>46220</v>
      </c>
      <c r="R11" s="155">
        <v>46227</v>
      </c>
      <c r="S11" s="155">
        <f t="shared" si="14"/>
        <v>46234</v>
      </c>
      <c r="T11" s="155">
        <f t="shared" si="9"/>
        <v>46234</v>
      </c>
      <c r="U11" s="155">
        <v>46227</v>
      </c>
      <c r="W11" s="169" t="str">
        <f t="shared" ca="1" si="10"/>
        <v>Completed</v>
      </c>
      <c r="X11" s="169" t="str">
        <f t="shared" ca="1" si="11"/>
        <v>Completed</v>
      </c>
      <c r="Y11" s="169" t="str">
        <f t="shared" ca="1" si="12"/>
        <v>Completed</v>
      </c>
      <c r="Z11" s="170" t="str">
        <f t="shared" ca="1" si="13"/>
        <v>Completed</v>
      </c>
    </row>
    <row r="12" spans="1:26" s="70" customFormat="1" ht="10.5" customHeight="1" x14ac:dyDescent="0.25">
      <c r="A12" s="92" t="s">
        <v>66</v>
      </c>
      <c r="B12" s="91" t="s">
        <v>34</v>
      </c>
      <c r="C12" s="91" t="s">
        <v>75</v>
      </c>
      <c r="D12" s="91" t="s">
        <v>1085</v>
      </c>
      <c r="E12" s="93">
        <f t="shared" ref="E12" si="33">(COUNTIFS(J12,"&lt;="&amp;$C$1)*50%)+(COUNTIFS(M12,"&lt;="&amp;$C$1)*20%)+(COUNTIFS(P12,"&lt;="&amp;$C$1)*10%)+(COUNTIFS(S12,"&lt;="&amp;$C$1)*20%)</f>
        <v>1</v>
      </c>
      <c r="F12" s="93">
        <f t="shared" ref="F12" si="34">(COUNTIFS(K12,"&lt;="&amp;$C$1)*50%)+(COUNTIFS(N12,"&lt;="&amp;$C$1)*20%)+(COUNTIFS(Q12,"&lt;="&amp;$C$1)*10%)+(COUNTIFS(T12,"&lt;="&amp;$C$1)*20%)</f>
        <v>1</v>
      </c>
      <c r="G12" s="93">
        <f t="shared" ref="G12" si="35">(COUNTIFS(L12,"&lt;="&amp;$C$1)*50%)+(COUNTIFS(O12,"&lt;="&amp;$C$1)*20%)+(COUNTIFS(R12,"&lt;="&amp;$C$1)*10%)+(COUNTIFS(U12,"&lt;="&amp;$C$1)*20%)</f>
        <v>0.79999999999999993</v>
      </c>
      <c r="H12" s="94">
        <f t="shared" ref="H12" si="36">G12-E12</f>
        <v>-0.20000000000000007</v>
      </c>
      <c r="I12" s="95">
        <v>0.25</v>
      </c>
      <c r="J12" s="89">
        <v>46136</v>
      </c>
      <c r="K12" s="89">
        <f t="shared" ref="K12" si="37">J12</f>
        <v>46136</v>
      </c>
      <c r="L12" s="89">
        <v>46164</v>
      </c>
      <c r="M12" s="89">
        <f t="shared" ref="M12" si="38">J12+42</f>
        <v>46178</v>
      </c>
      <c r="N12" s="89">
        <f t="shared" ref="N12" si="39">M12</f>
        <v>46178</v>
      </c>
      <c r="O12" s="89">
        <v>46206</v>
      </c>
      <c r="P12" s="89">
        <v>46256</v>
      </c>
      <c r="Q12" s="89">
        <f t="shared" ref="Q12" si="40">P12</f>
        <v>46256</v>
      </c>
      <c r="R12" s="89">
        <v>46272</v>
      </c>
      <c r="S12" s="89">
        <f t="shared" ref="S12" si="41">P12+14</f>
        <v>46270</v>
      </c>
      <c r="T12" s="89">
        <f t="shared" ref="T12" si="42">S12</f>
        <v>46270</v>
      </c>
      <c r="U12" s="89"/>
      <c r="W12" s="169" t="str">
        <f t="shared" ref="W12" ca="1" si="43">IF(OR(L12&lt;&gt;""),"Completed",
IF(K12="","",IF(K12&lt;TODAY(),"Overdue",
IF(AND(K12&gt;=TODAY()-WEEKDAY(TODAY(),2)+1,K12&lt;=TODAY()-WEEKDAY(TODAY(),2)+7),"Follow-This Week",
IF(AND(K12&gt;=TODAY()-WEEKDAY(TODAY(),2)+8,K12&lt;=TODAY()-WEEKDAY(TODAY(),2)+14),"Follow-Next Week","")))))</f>
        <v>Completed</v>
      </c>
      <c r="X12" s="169" t="str">
        <f t="shared" ref="X12" ca="1" si="44">IF(OR(O12&lt;&gt;""),"Completed",IF(N12="","",
IF(N12&lt;TODAY(),"Overdue",
IF(AND(N12&gt;=TODAY()-WEEKDAY(TODAY(),2)+1,N12&lt;=TODAY()-WEEKDAY(TODAY(),2)+7),"Follow-This Week",
IF(AND(N12&gt;=TODAY()-WEEKDAY(TODAY(),2)+8,N12&lt;=TODAY()-WEEKDAY(TODAY(),2)+14),"Follow-Next Week","")))))</f>
        <v>Completed</v>
      </c>
      <c r="Y12" s="169" t="str">
        <f t="shared" ref="Y12" ca="1" si="45">IF(OR(R12&lt;&gt;""),"Completed",IF(Q12="","",
IF(Q12&lt;TODAY(),"Overdue",
IF(AND(Q12&gt;=TODAY()-WEEKDAY(TODAY(),2)+1,Q12&lt;=TODAY()-WEEKDAY(TODAY(),2)+7),"Follow-This Week",
IF(AND(Q12&gt;=TODAY()-WEEKDAY(TODAY(),2)+8,Q12&lt;=TODAY()-WEEKDAY(TODAY(),2)+14),"Follow-Next Week","")))))</f>
        <v>Completed</v>
      </c>
      <c r="Z12" s="170" t="str">
        <f t="shared" ref="Z12" ca="1" si="46">IF(OR(U12&lt;&gt;""),"Completed",IF(T12="","",
IF(T12&lt;TODAY(),"Overdue",
IF(AND(T12&gt;=TODAY()-WEEKDAY(TODAY(),2)+1,T12&lt;=TODAY()-WEEKDAY(TODAY(),2)+7),"Follow-This Week",
IF(AND(T12&gt;=TODAY()-WEEKDAY(TODAY(),2)+8,T12&lt;=TODAY()-WEEKDAY(TODAY(),2)+14),"Follow-Next Week","")))))</f>
        <v>Overdue</v>
      </c>
    </row>
    <row r="13" spans="1:26" s="70" customFormat="1" ht="11.5" x14ac:dyDescent="0.25">
      <c r="A13" s="174" t="s">
        <v>66</v>
      </c>
      <c r="B13" s="174" t="s">
        <v>34</v>
      </c>
      <c r="C13" s="174" t="s">
        <v>76</v>
      </c>
      <c r="D13" s="174" t="s">
        <v>1086</v>
      </c>
      <c r="E13" s="152">
        <f t="shared" si="15"/>
        <v>1</v>
      </c>
      <c r="F13" s="152">
        <f t="shared" si="16"/>
        <v>1</v>
      </c>
      <c r="G13" s="152">
        <f t="shared" si="17"/>
        <v>1</v>
      </c>
      <c r="H13" s="152">
        <f t="shared" si="18"/>
        <v>0</v>
      </c>
      <c r="I13" s="153">
        <v>0.25</v>
      </c>
      <c r="J13" s="155">
        <v>46143</v>
      </c>
      <c r="K13" s="155">
        <f t="shared" si="4"/>
        <v>46143</v>
      </c>
      <c r="L13" s="175">
        <v>46161</v>
      </c>
      <c r="M13" s="155">
        <f t="shared" si="5"/>
        <v>46185</v>
      </c>
      <c r="N13" s="155">
        <f t="shared" si="6"/>
        <v>46185</v>
      </c>
      <c r="O13" s="155">
        <v>46199</v>
      </c>
      <c r="P13" s="155">
        <f t="shared" si="7"/>
        <v>46227</v>
      </c>
      <c r="Q13" s="155">
        <f t="shared" si="8"/>
        <v>46227</v>
      </c>
      <c r="R13" s="175">
        <v>46227</v>
      </c>
      <c r="S13" s="155">
        <f t="shared" si="14"/>
        <v>46241</v>
      </c>
      <c r="T13" s="155">
        <f t="shared" si="9"/>
        <v>46241</v>
      </c>
      <c r="U13" s="175">
        <v>46227</v>
      </c>
      <c r="W13" s="169" t="str">
        <f t="shared" ca="1" si="10"/>
        <v>Completed</v>
      </c>
      <c r="X13" s="169" t="str">
        <f t="shared" ca="1" si="11"/>
        <v>Completed</v>
      </c>
      <c r="Y13" s="169" t="str">
        <f t="shared" ca="1" si="12"/>
        <v>Completed</v>
      </c>
      <c r="Z13" s="170" t="str">
        <f t="shared" ca="1" si="13"/>
        <v>Completed</v>
      </c>
    </row>
    <row r="14" spans="1:26" s="70" customFormat="1" ht="11.5" x14ac:dyDescent="0.25">
      <c r="A14" s="92" t="s">
        <v>66</v>
      </c>
      <c r="B14" s="92" t="s">
        <v>34</v>
      </c>
      <c r="C14" s="92" t="s">
        <v>76</v>
      </c>
      <c r="D14" s="92" t="s">
        <v>1087</v>
      </c>
      <c r="E14" s="94">
        <f t="shared" ref="E14" si="47">(COUNTIFS(J14,"&lt;="&amp;$C$1)*50%)+(COUNTIFS(M14,"&lt;="&amp;$C$1)*20%)+(COUNTIFS(P14,"&lt;="&amp;$C$1)*10%)+(COUNTIFS(S14,"&lt;="&amp;$C$1)*20%)</f>
        <v>1</v>
      </c>
      <c r="F14" s="94">
        <f t="shared" ref="F14" si="48">(COUNTIFS(K14,"&lt;="&amp;$C$1)*50%)+(COUNTIFS(N14,"&lt;="&amp;$C$1)*20%)+(COUNTIFS(Q14,"&lt;="&amp;$C$1)*10%)+(COUNTIFS(T14,"&lt;="&amp;$C$1)*20%)</f>
        <v>1</v>
      </c>
      <c r="G14" s="94">
        <f t="shared" ref="G14" si="49">(COUNTIFS(L14,"&lt;="&amp;$C$1)*50%)+(COUNTIFS(O14,"&lt;="&amp;$C$1)*20%)+(COUNTIFS(R14,"&lt;="&amp;$C$1)*10%)+(COUNTIFS(U14,"&lt;="&amp;$C$1)*20%)</f>
        <v>1</v>
      </c>
      <c r="H14" s="94">
        <f t="shared" ref="H14" si="50">G14-E14</f>
        <v>0</v>
      </c>
      <c r="I14" s="95">
        <v>0.25</v>
      </c>
      <c r="J14" s="89">
        <v>46143</v>
      </c>
      <c r="K14" s="89">
        <f t="shared" ref="K14" si="51">J14</f>
        <v>46143</v>
      </c>
      <c r="L14" s="97">
        <v>46161</v>
      </c>
      <c r="M14" s="89">
        <f t="shared" ref="M14" si="52">J14+42</f>
        <v>46185</v>
      </c>
      <c r="N14" s="89">
        <f t="shared" ref="N14" si="53">M14</f>
        <v>46185</v>
      </c>
      <c r="O14" s="89">
        <v>46199</v>
      </c>
      <c r="P14" s="89">
        <v>46249</v>
      </c>
      <c r="Q14" s="89">
        <f t="shared" ref="Q14" si="54">P14</f>
        <v>46249</v>
      </c>
      <c r="R14" s="89">
        <v>46262</v>
      </c>
      <c r="S14" s="89">
        <f t="shared" ref="S14" si="55">P14+14</f>
        <v>46263</v>
      </c>
      <c r="T14" s="89">
        <f t="shared" ref="T14" si="56">S14</f>
        <v>46263</v>
      </c>
      <c r="U14" s="207">
        <v>46283</v>
      </c>
      <c r="W14" s="169" t="str">
        <f t="shared" ref="W14" ca="1" si="57">IF(OR(L14&lt;&gt;""),"Completed",
IF(K14="","",IF(K14&lt;TODAY(),"Overdue",
IF(AND(K14&gt;=TODAY()-WEEKDAY(TODAY(),2)+1,K14&lt;=TODAY()-WEEKDAY(TODAY(),2)+7),"Follow-This Week",
IF(AND(K14&gt;=TODAY()-WEEKDAY(TODAY(),2)+8,K14&lt;=TODAY()-WEEKDAY(TODAY(),2)+14),"Follow-Next Week","")))))</f>
        <v>Completed</v>
      </c>
      <c r="X14" s="169" t="str">
        <f t="shared" ref="X14" ca="1" si="58">IF(OR(O14&lt;&gt;""),"Completed",IF(N14="","",
IF(N14&lt;TODAY(),"Overdue",
IF(AND(N14&gt;=TODAY()-WEEKDAY(TODAY(),2)+1,N14&lt;=TODAY()-WEEKDAY(TODAY(),2)+7),"Follow-This Week",
IF(AND(N14&gt;=TODAY()-WEEKDAY(TODAY(),2)+8,N14&lt;=TODAY()-WEEKDAY(TODAY(),2)+14),"Follow-Next Week","")))))</f>
        <v>Completed</v>
      </c>
      <c r="Y14" s="169" t="str">
        <f t="shared" ref="Y14" ca="1" si="59">IF(OR(R14&lt;&gt;""),"Completed",IF(Q14="","",
IF(Q14&lt;TODAY(),"Overdue",
IF(AND(Q14&gt;=TODAY()-WEEKDAY(TODAY(),2)+1,Q14&lt;=TODAY()-WEEKDAY(TODAY(),2)+7),"Follow-This Week",
IF(AND(Q14&gt;=TODAY()-WEEKDAY(TODAY(),2)+8,Q14&lt;=TODAY()-WEEKDAY(TODAY(),2)+14),"Follow-Next Week","")))))</f>
        <v>Completed</v>
      </c>
      <c r="Z14" s="170" t="str">
        <f t="shared" ref="Z14" ca="1" si="60">IF(OR(U14&lt;&gt;""),"Completed",IF(T14="","",
IF(T14&lt;TODAY(),"Overdue",
IF(AND(T14&gt;=TODAY()-WEEKDAY(TODAY(),2)+1,T14&lt;=TODAY()-WEEKDAY(TODAY(),2)+7),"Follow-This Week",
IF(AND(T14&gt;=TODAY()-WEEKDAY(TODAY(),2)+8,T14&lt;=TODAY()-WEEKDAY(TODAY(),2)+14),"Follow-Next Week","")))))</f>
        <v>Completed</v>
      </c>
    </row>
    <row r="15" spans="1:26" s="70" customFormat="1" ht="11.5" x14ac:dyDescent="0.25">
      <c r="A15" s="174" t="s">
        <v>66</v>
      </c>
      <c r="B15" s="174" t="s">
        <v>34</v>
      </c>
      <c r="C15" s="174" t="s">
        <v>77</v>
      </c>
      <c r="D15" s="174" t="s">
        <v>1111</v>
      </c>
      <c r="E15" s="152">
        <f t="shared" si="15"/>
        <v>1</v>
      </c>
      <c r="F15" s="152">
        <f t="shared" si="16"/>
        <v>1</v>
      </c>
      <c r="G15" s="152">
        <f t="shared" si="17"/>
        <v>1</v>
      </c>
      <c r="H15" s="159">
        <f t="shared" si="18"/>
        <v>0</v>
      </c>
      <c r="I15" s="160">
        <v>0.2</v>
      </c>
      <c r="J15" s="155">
        <v>46150</v>
      </c>
      <c r="K15" s="155">
        <f t="shared" si="4"/>
        <v>46150</v>
      </c>
      <c r="L15" s="155">
        <v>46142</v>
      </c>
      <c r="M15" s="155">
        <f t="shared" si="5"/>
        <v>46192</v>
      </c>
      <c r="N15" s="155">
        <f t="shared" si="6"/>
        <v>46192</v>
      </c>
      <c r="O15" s="155">
        <v>46214</v>
      </c>
      <c r="P15" s="155">
        <f t="shared" si="7"/>
        <v>46234</v>
      </c>
      <c r="Q15" s="155">
        <f t="shared" si="8"/>
        <v>46234</v>
      </c>
      <c r="R15" s="155">
        <v>46255</v>
      </c>
      <c r="S15" s="155">
        <f t="shared" si="14"/>
        <v>46248</v>
      </c>
      <c r="T15" s="155">
        <f t="shared" si="9"/>
        <v>46248</v>
      </c>
      <c r="U15" s="155">
        <v>46255</v>
      </c>
      <c r="W15" s="169" t="str">
        <f t="shared" ca="1" si="10"/>
        <v>Completed</v>
      </c>
      <c r="X15" s="169" t="str">
        <f t="shared" ca="1" si="11"/>
        <v>Completed</v>
      </c>
      <c r="Y15" s="169" t="str">
        <f t="shared" ca="1" si="12"/>
        <v>Completed</v>
      </c>
      <c r="Z15" s="170" t="str">
        <f t="shared" ca="1" si="13"/>
        <v>Completed</v>
      </c>
    </row>
    <row r="16" spans="1:26" s="70" customFormat="1" ht="11.5" x14ac:dyDescent="0.25">
      <c r="A16" s="92" t="s">
        <v>66</v>
      </c>
      <c r="B16" s="92" t="s">
        <v>34</v>
      </c>
      <c r="C16" s="92" t="s">
        <v>77</v>
      </c>
      <c r="D16" s="92" t="s">
        <v>1115</v>
      </c>
      <c r="E16" s="94">
        <f t="shared" ref="E16" si="61">(COUNTIFS(J16,"&lt;="&amp;$C$1)*50%)+(COUNTIFS(M16,"&lt;="&amp;$C$1)*20%)+(COUNTIFS(P16,"&lt;="&amp;$C$1)*10%)+(COUNTIFS(S16,"&lt;="&amp;$C$1)*20%)</f>
        <v>1</v>
      </c>
      <c r="F16" s="94">
        <f t="shared" ref="F16" si="62">(COUNTIFS(K16,"&lt;="&amp;$C$1)*50%)+(COUNTIFS(N16,"&lt;="&amp;$C$1)*20%)+(COUNTIFS(Q16,"&lt;="&amp;$C$1)*10%)+(COUNTIFS(T16,"&lt;="&amp;$C$1)*20%)</f>
        <v>1</v>
      </c>
      <c r="G16" s="94">
        <f t="shared" ref="G16" si="63">(COUNTIFS(L16,"&lt;="&amp;$C$1)*50%)+(COUNTIFS(O16,"&lt;="&amp;$C$1)*20%)+(COUNTIFS(R16,"&lt;="&amp;$C$1)*10%)+(COUNTIFS(U16,"&lt;="&amp;$C$1)*20%)</f>
        <v>0.79999999999999993</v>
      </c>
      <c r="H16" s="93">
        <f t="shared" ref="H16" si="64">G16-E16</f>
        <v>-0.20000000000000007</v>
      </c>
      <c r="I16" s="129">
        <v>0.3</v>
      </c>
      <c r="J16" s="89">
        <v>46150</v>
      </c>
      <c r="K16" s="89">
        <f t="shared" ref="K16" si="65">J16</f>
        <v>46150</v>
      </c>
      <c r="L16" s="89">
        <v>46142</v>
      </c>
      <c r="M16" s="89">
        <f t="shared" ref="M16" si="66">J16+42</f>
        <v>46192</v>
      </c>
      <c r="N16" s="89">
        <f t="shared" ref="N16" si="67">M16</f>
        <v>46192</v>
      </c>
      <c r="O16" s="89">
        <v>46214</v>
      </c>
      <c r="P16" s="89">
        <f t="shared" ref="P16" si="68">M16+42</f>
        <v>46234</v>
      </c>
      <c r="Q16" s="89">
        <f t="shared" ref="Q16" si="69">P16</f>
        <v>46234</v>
      </c>
      <c r="R16" s="146">
        <v>46269</v>
      </c>
      <c r="S16" s="89">
        <f t="shared" ref="S16" si="70">P16+14</f>
        <v>46248</v>
      </c>
      <c r="T16" s="89">
        <f t="shared" ref="T16" si="71">S16</f>
        <v>46248</v>
      </c>
      <c r="U16" s="89"/>
      <c r="W16" s="169" t="str">
        <f t="shared" ref="W16" ca="1" si="72">IF(OR(L16&lt;&gt;""),"Completed",
IF(K16="","",IF(K16&lt;TODAY(),"Overdue",
IF(AND(K16&gt;=TODAY()-WEEKDAY(TODAY(),2)+1,K16&lt;=TODAY()-WEEKDAY(TODAY(),2)+7),"Follow-This Week",
IF(AND(K16&gt;=TODAY()-WEEKDAY(TODAY(),2)+8,K16&lt;=TODAY()-WEEKDAY(TODAY(),2)+14),"Follow-Next Week","")))))</f>
        <v>Completed</v>
      </c>
      <c r="X16" s="169" t="str">
        <f t="shared" ref="X16" ca="1" si="73">IF(OR(O16&lt;&gt;""),"Completed",IF(N16="","",
IF(N16&lt;TODAY(),"Overdue",
IF(AND(N16&gt;=TODAY()-WEEKDAY(TODAY(),2)+1,N16&lt;=TODAY()-WEEKDAY(TODAY(),2)+7),"Follow-This Week",
IF(AND(N16&gt;=TODAY()-WEEKDAY(TODAY(),2)+8,N16&lt;=TODAY()-WEEKDAY(TODAY(),2)+14),"Follow-Next Week","")))))</f>
        <v>Completed</v>
      </c>
      <c r="Y16" s="169" t="str">
        <f t="shared" ref="Y16" ca="1" si="74">IF(OR(R16&lt;&gt;""),"Completed",IF(Q16="","",
IF(Q16&lt;TODAY(),"Overdue",
IF(AND(Q16&gt;=TODAY()-WEEKDAY(TODAY(),2)+1,Q16&lt;=TODAY()-WEEKDAY(TODAY(),2)+7),"Follow-This Week",
IF(AND(Q16&gt;=TODAY()-WEEKDAY(TODAY(),2)+8,Q16&lt;=TODAY()-WEEKDAY(TODAY(),2)+14),"Follow-Next Week","")))))</f>
        <v>Completed</v>
      </c>
      <c r="Z16" s="170" t="str">
        <f t="shared" ref="Z16" ca="1" si="75">IF(OR(U16&lt;&gt;""),"Completed",IF(T16="","",
IF(T16&lt;TODAY(),"Overdue",
IF(AND(T16&gt;=TODAY()-WEEKDAY(TODAY(),2)+1,T16&lt;=TODAY()-WEEKDAY(TODAY(),2)+7),"Follow-This Week",
IF(AND(T16&gt;=TODAY()-WEEKDAY(TODAY(),2)+8,T16&lt;=TODAY()-WEEKDAY(TODAY(),2)+14),"Follow-Next Week","")))))</f>
        <v>Overdue</v>
      </c>
    </row>
    <row r="17" spans="1:26" s="70" customFormat="1" ht="11.5" x14ac:dyDescent="0.25">
      <c r="A17" s="174" t="s">
        <v>66</v>
      </c>
      <c r="B17" s="174" t="s">
        <v>34</v>
      </c>
      <c r="C17" s="174" t="s">
        <v>78</v>
      </c>
      <c r="D17" s="174" t="s">
        <v>1107</v>
      </c>
      <c r="E17" s="152">
        <f t="shared" si="15"/>
        <v>1</v>
      </c>
      <c r="F17" s="152">
        <f t="shared" si="16"/>
        <v>1</v>
      </c>
      <c r="G17" s="152">
        <f t="shared" si="17"/>
        <v>1</v>
      </c>
      <c r="H17" s="159">
        <f t="shared" si="18"/>
        <v>0</v>
      </c>
      <c r="I17" s="160">
        <v>0.2</v>
      </c>
      <c r="J17" s="155">
        <v>46164</v>
      </c>
      <c r="K17" s="155">
        <f t="shared" si="4"/>
        <v>46164</v>
      </c>
      <c r="L17" s="155">
        <v>46155</v>
      </c>
      <c r="M17" s="155">
        <f t="shared" si="5"/>
        <v>46206</v>
      </c>
      <c r="N17" s="155">
        <f t="shared" si="6"/>
        <v>46206</v>
      </c>
      <c r="O17" s="196">
        <v>46217</v>
      </c>
      <c r="P17" s="155">
        <f t="shared" si="7"/>
        <v>46248</v>
      </c>
      <c r="Q17" s="155">
        <f t="shared" si="8"/>
        <v>46248</v>
      </c>
      <c r="R17" s="155">
        <v>46255</v>
      </c>
      <c r="S17" s="155">
        <f t="shared" si="14"/>
        <v>46262</v>
      </c>
      <c r="T17" s="155">
        <f t="shared" si="9"/>
        <v>46262</v>
      </c>
      <c r="U17" s="155">
        <v>46255</v>
      </c>
      <c r="W17" s="169" t="str">
        <f t="shared" ca="1" si="10"/>
        <v>Completed</v>
      </c>
      <c r="X17" s="169" t="str">
        <f t="shared" ca="1" si="11"/>
        <v>Completed</v>
      </c>
      <c r="Y17" s="169" t="str">
        <f t="shared" ca="1" si="12"/>
        <v>Completed</v>
      </c>
      <c r="Z17" s="170" t="str">
        <f t="shared" ca="1" si="13"/>
        <v>Completed</v>
      </c>
    </row>
    <row r="18" spans="1:26" s="70" customFormat="1" ht="11.5" x14ac:dyDescent="0.25">
      <c r="A18" s="92" t="s">
        <v>66</v>
      </c>
      <c r="B18" s="92" t="s">
        <v>34</v>
      </c>
      <c r="C18" s="92" t="s">
        <v>78</v>
      </c>
      <c r="D18" s="92" t="s">
        <v>1116</v>
      </c>
      <c r="E18" s="94">
        <f t="shared" ref="E18" si="76">(COUNTIFS(J18,"&lt;="&amp;$C$1)*50%)+(COUNTIFS(M18,"&lt;="&amp;$C$1)*20%)+(COUNTIFS(P18,"&lt;="&amp;$C$1)*10%)+(COUNTIFS(S18,"&lt;="&amp;$C$1)*20%)</f>
        <v>1</v>
      </c>
      <c r="F18" s="94">
        <f t="shared" ref="F18" si="77">(COUNTIFS(K18,"&lt;="&amp;$C$1)*50%)+(COUNTIFS(N18,"&lt;="&amp;$C$1)*20%)+(COUNTIFS(Q18,"&lt;="&amp;$C$1)*10%)+(COUNTIFS(T18,"&lt;="&amp;$C$1)*20%)</f>
        <v>1</v>
      </c>
      <c r="G18" s="94">
        <f t="shared" ref="G18" si="78">(COUNTIFS(L18,"&lt;="&amp;$C$1)*50%)+(COUNTIFS(O18,"&lt;="&amp;$C$1)*20%)+(COUNTIFS(R18,"&lt;="&amp;$C$1)*10%)+(COUNTIFS(U18,"&lt;="&amp;$C$1)*20%)</f>
        <v>0.79999999999999993</v>
      </c>
      <c r="H18" s="93">
        <f t="shared" ref="H18" si="79">G18-E18</f>
        <v>-0.20000000000000007</v>
      </c>
      <c r="I18" s="129">
        <v>0.3</v>
      </c>
      <c r="J18" s="89">
        <v>46164</v>
      </c>
      <c r="K18" s="89">
        <f t="shared" ref="K18" si="80">J18</f>
        <v>46164</v>
      </c>
      <c r="L18" s="89">
        <v>46155</v>
      </c>
      <c r="M18" s="89">
        <f t="shared" ref="M18" si="81">J18+42</f>
        <v>46206</v>
      </c>
      <c r="N18" s="89">
        <f t="shared" ref="N18" si="82">M18</f>
        <v>46206</v>
      </c>
      <c r="O18" s="146">
        <v>46217</v>
      </c>
      <c r="P18" s="89">
        <f t="shared" ref="P18" si="83">M18+42</f>
        <v>46248</v>
      </c>
      <c r="Q18" s="89">
        <f t="shared" ref="Q18" si="84">P18</f>
        <v>46248</v>
      </c>
      <c r="R18" s="146">
        <v>46269</v>
      </c>
      <c r="S18" s="89">
        <f t="shared" ref="S18" si="85">P18+14</f>
        <v>46262</v>
      </c>
      <c r="T18" s="89">
        <f t="shared" ref="T18" si="86">S18</f>
        <v>46262</v>
      </c>
      <c r="U18" s="89"/>
      <c r="W18" s="169" t="str">
        <f t="shared" ref="W18" ca="1" si="87">IF(OR(L18&lt;&gt;""),"Completed",
IF(K18="","",IF(K18&lt;TODAY(),"Overdue",
IF(AND(K18&gt;=TODAY()-WEEKDAY(TODAY(),2)+1,K18&lt;=TODAY()-WEEKDAY(TODAY(),2)+7),"Follow-This Week",
IF(AND(K18&gt;=TODAY()-WEEKDAY(TODAY(),2)+8,K18&lt;=TODAY()-WEEKDAY(TODAY(),2)+14),"Follow-Next Week","")))))</f>
        <v>Completed</v>
      </c>
      <c r="X18" s="169" t="str">
        <f t="shared" ref="X18" ca="1" si="88">IF(OR(O18&lt;&gt;""),"Completed",IF(N18="","",
IF(N18&lt;TODAY(),"Overdue",
IF(AND(N18&gt;=TODAY()-WEEKDAY(TODAY(),2)+1,N18&lt;=TODAY()-WEEKDAY(TODAY(),2)+7),"Follow-This Week",
IF(AND(N18&gt;=TODAY()-WEEKDAY(TODAY(),2)+8,N18&lt;=TODAY()-WEEKDAY(TODAY(),2)+14),"Follow-Next Week","")))))</f>
        <v>Completed</v>
      </c>
      <c r="Y18" s="169" t="str">
        <f t="shared" ref="Y18" ca="1" si="89">IF(OR(R18&lt;&gt;""),"Completed",IF(Q18="","",
IF(Q18&lt;TODAY(),"Overdue",
IF(AND(Q18&gt;=TODAY()-WEEKDAY(TODAY(),2)+1,Q18&lt;=TODAY()-WEEKDAY(TODAY(),2)+7),"Follow-This Week",
IF(AND(Q18&gt;=TODAY()-WEEKDAY(TODAY(),2)+8,Q18&lt;=TODAY()-WEEKDAY(TODAY(),2)+14),"Follow-Next Week","")))))</f>
        <v>Completed</v>
      </c>
      <c r="Z18" s="170" t="str">
        <f t="shared" ref="Z18" ca="1" si="90">IF(OR(U18&lt;&gt;""),"Completed",IF(T18="","",
IF(T18&lt;TODAY(),"Overdue",
IF(AND(T18&gt;=TODAY()-WEEKDAY(TODAY(),2)+1,T18&lt;=TODAY()-WEEKDAY(TODAY(),2)+7),"Follow-This Week",
IF(AND(T18&gt;=TODAY()-WEEKDAY(TODAY(),2)+8,T18&lt;=TODAY()-WEEKDAY(TODAY(),2)+14),"Follow-Next Week","")))))</f>
        <v>Overdue</v>
      </c>
    </row>
    <row r="19" spans="1:26" s="70" customFormat="1" ht="11.5" x14ac:dyDescent="0.25">
      <c r="A19" s="92" t="s">
        <v>66</v>
      </c>
      <c r="B19" s="92" t="s">
        <v>34</v>
      </c>
      <c r="C19" s="92" t="s">
        <v>79</v>
      </c>
      <c r="D19" s="92" t="s">
        <v>80</v>
      </c>
      <c r="E19" s="94">
        <f t="shared" si="15"/>
        <v>1</v>
      </c>
      <c r="F19" s="94">
        <f t="shared" si="16"/>
        <v>1</v>
      </c>
      <c r="G19" s="94">
        <f t="shared" si="17"/>
        <v>0.79999999999999993</v>
      </c>
      <c r="H19" s="93">
        <f t="shared" si="18"/>
        <v>-0.20000000000000007</v>
      </c>
      <c r="I19" s="129">
        <v>0.5</v>
      </c>
      <c r="J19" s="89">
        <v>46178</v>
      </c>
      <c r="K19" s="89">
        <f t="shared" si="4"/>
        <v>46178</v>
      </c>
      <c r="L19" s="89">
        <v>46178</v>
      </c>
      <c r="M19" s="89">
        <f t="shared" si="5"/>
        <v>46220</v>
      </c>
      <c r="N19" s="89">
        <f t="shared" si="6"/>
        <v>46220</v>
      </c>
      <c r="O19" s="89">
        <v>46226</v>
      </c>
      <c r="P19" s="89">
        <f t="shared" si="7"/>
        <v>46262</v>
      </c>
      <c r="Q19" s="89">
        <f t="shared" si="8"/>
        <v>46262</v>
      </c>
      <c r="R19" s="89">
        <v>46276</v>
      </c>
      <c r="S19" s="89">
        <f t="shared" si="14"/>
        <v>46276</v>
      </c>
      <c r="T19" s="89">
        <f t="shared" si="9"/>
        <v>46276</v>
      </c>
      <c r="U19" s="89"/>
      <c r="W19" s="169" t="str">
        <f t="shared" ca="1" si="10"/>
        <v>Completed</v>
      </c>
      <c r="X19" s="169" t="str">
        <f t="shared" ca="1" si="11"/>
        <v>Completed</v>
      </c>
      <c r="Y19" s="169" t="str">
        <f t="shared" ca="1" si="12"/>
        <v>Completed</v>
      </c>
      <c r="Z19" s="170" t="str">
        <f t="shared" ca="1" si="13"/>
        <v>Overdue</v>
      </c>
    </row>
    <row r="20" spans="1:26" s="70" customFormat="1" ht="11.5" x14ac:dyDescent="0.25">
      <c r="A20" s="174" t="s">
        <v>66</v>
      </c>
      <c r="B20" s="174" t="s">
        <v>34</v>
      </c>
      <c r="C20" s="174" t="s">
        <v>81</v>
      </c>
      <c r="D20" s="174" t="s">
        <v>1193</v>
      </c>
      <c r="E20" s="152">
        <f t="shared" si="15"/>
        <v>0.79999999999999993</v>
      </c>
      <c r="F20" s="152">
        <f t="shared" si="16"/>
        <v>0.79999999999999993</v>
      </c>
      <c r="G20" s="152">
        <f t="shared" si="17"/>
        <v>1</v>
      </c>
      <c r="H20" s="159">
        <f t="shared" si="18"/>
        <v>0.20000000000000007</v>
      </c>
      <c r="I20" s="160">
        <v>0.3</v>
      </c>
      <c r="J20" s="155">
        <v>46192</v>
      </c>
      <c r="K20" s="155">
        <f t="shared" si="4"/>
        <v>46192</v>
      </c>
      <c r="L20" s="155">
        <v>46206</v>
      </c>
      <c r="M20" s="155">
        <f t="shared" si="5"/>
        <v>46234</v>
      </c>
      <c r="N20" s="155">
        <f t="shared" si="6"/>
        <v>46234</v>
      </c>
      <c r="O20" s="155">
        <v>46212</v>
      </c>
      <c r="P20" s="155">
        <f t="shared" si="7"/>
        <v>46276</v>
      </c>
      <c r="Q20" s="155">
        <f t="shared" si="8"/>
        <v>46276</v>
      </c>
      <c r="R20" s="155">
        <v>46283</v>
      </c>
      <c r="S20" s="155">
        <f t="shared" si="14"/>
        <v>46290</v>
      </c>
      <c r="T20" s="155">
        <f t="shared" si="9"/>
        <v>46290</v>
      </c>
      <c r="U20" s="155">
        <v>46283</v>
      </c>
      <c r="W20" s="169" t="str">
        <f t="shared" ca="1" si="10"/>
        <v>Completed</v>
      </c>
      <c r="X20" s="169" t="str">
        <f t="shared" ca="1" si="11"/>
        <v>Completed</v>
      </c>
      <c r="Y20" s="169" t="str">
        <f t="shared" ca="1" si="12"/>
        <v>Completed</v>
      </c>
      <c r="Z20" s="170" t="str">
        <f t="shared" ca="1" si="13"/>
        <v>Completed</v>
      </c>
    </row>
    <row r="21" spans="1:26" s="70" customFormat="1" ht="11.5" x14ac:dyDescent="0.25">
      <c r="A21" s="92" t="s">
        <v>66</v>
      </c>
      <c r="B21" s="92" t="s">
        <v>34</v>
      </c>
      <c r="C21" s="92" t="s">
        <v>81</v>
      </c>
      <c r="D21" s="92" t="s">
        <v>1192</v>
      </c>
      <c r="E21" s="94">
        <f t="shared" ref="E21" si="91">(COUNTIFS(J21,"&lt;="&amp;$C$1)*50%)+(COUNTIFS(M21,"&lt;="&amp;$C$1)*20%)+(COUNTIFS(P21,"&lt;="&amp;$C$1)*10%)+(COUNTIFS(S21,"&lt;="&amp;$C$1)*20%)</f>
        <v>0.79999999999999993</v>
      </c>
      <c r="F21" s="94">
        <f t="shared" ref="F21" si="92">(COUNTIFS(K21,"&lt;="&amp;$C$1)*50%)+(COUNTIFS(N21,"&lt;="&amp;$C$1)*20%)+(COUNTIFS(Q21,"&lt;="&amp;$C$1)*10%)+(COUNTIFS(T21,"&lt;="&amp;$C$1)*20%)</f>
        <v>0.79999999999999993</v>
      </c>
      <c r="G21" s="94">
        <f t="shared" ref="G21" si="93">(COUNTIFS(L21,"&lt;="&amp;$C$1)*50%)+(COUNTIFS(O21,"&lt;="&amp;$C$1)*20%)+(COUNTIFS(R21,"&lt;="&amp;$C$1)*10%)+(COUNTIFS(U21,"&lt;="&amp;$C$1)*20%)</f>
        <v>0.7</v>
      </c>
      <c r="H21" s="93">
        <f t="shared" ref="H21" si="94">G21-E21</f>
        <v>-9.9999999999999978E-2</v>
      </c>
      <c r="I21" s="129">
        <v>0.2</v>
      </c>
      <c r="J21" s="89">
        <v>46192</v>
      </c>
      <c r="K21" s="89">
        <f t="shared" ref="K21" si="95">J21</f>
        <v>46192</v>
      </c>
      <c r="L21" s="89">
        <v>46206</v>
      </c>
      <c r="M21" s="89">
        <f t="shared" ref="M21" si="96">J21+42</f>
        <v>46234</v>
      </c>
      <c r="N21" s="89">
        <f t="shared" ref="N21" si="97">M21</f>
        <v>46234</v>
      </c>
      <c r="O21" s="89">
        <v>46212</v>
      </c>
      <c r="P21" s="89">
        <f t="shared" ref="P21" si="98">M21+42</f>
        <v>46276</v>
      </c>
      <c r="Q21" s="89">
        <f t="shared" ref="Q21" si="99">P21</f>
        <v>46276</v>
      </c>
      <c r="R21" s="89"/>
      <c r="S21" s="89">
        <f t="shared" ref="S21" si="100">P21+14</f>
        <v>46290</v>
      </c>
      <c r="T21" s="89">
        <f t="shared" ref="T21" si="101">S21</f>
        <v>46290</v>
      </c>
      <c r="U21" s="89"/>
      <c r="W21" s="169" t="str">
        <f t="shared" ref="W21" ca="1" si="102">IF(OR(L21&lt;&gt;""),"Completed",
IF(K21="","",IF(K21&lt;TODAY(),"Overdue",
IF(AND(K21&gt;=TODAY()-WEEKDAY(TODAY(),2)+1,K21&lt;=TODAY()-WEEKDAY(TODAY(),2)+7),"Follow-This Week",
IF(AND(K21&gt;=TODAY()-WEEKDAY(TODAY(),2)+8,K21&lt;=TODAY()-WEEKDAY(TODAY(),2)+14),"Follow-Next Week","")))))</f>
        <v>Completed</v>
      </c>
      <c r="X21" s="169" t="str">
        <f t="shared" ref="X21" ca="1" si="103">IF(OR(O21&lt;&gt;""),"Completed",IF(N21="","",
IF(N21&lt;TODAY(),"Overdue",
IF(AND(N21&gt;=TODAY()-WEEKDAY(TODAY(),2)+1,N21&lt;=TODAY()-WEEKDAY(TODAY(),2)+7),"Follow-This Week",
IF(AND(N21&gt;=TODAY()-WEEKDAY(TODAY(),2)+8,N21&lt;=TODAY()-WEEKDAY(TODAY(),2)+14),"Follow-Next Week","")))))</f>
        <v>Completed</v>
      </c>
      <c r="Y21" s="169" t="str">
        <f t="shared" ref="Y21" ca="1" si="104">IF(OR(R21&lt;&gt;""),"Completed",IF(Q21="","",
IF(Q21&lt;TODAY(),"Overdue",
IF(AND(Q21&gt;=TODAY()-WEEKDAY(TODAY(),2)+1,Q21&lt;=TODAY()-WEEKDAY(TODAY(),2)+7),"Follow-This Week",
IF(AND(Q21&gt;=TODAY()-WEEKDAY(TODAY(),2)+8,Q21&lt;=TODAY()-WEEKDAY(TODAY(),2)+14),"Follow-Next Week","")))))</f>
        <v>Overdue</v>
      </c>
      <c r="Z21" s="170" t="str">
        <f t="shared" ref="Z21" ca="1" si="105">IF(OR(U21&lt;&gt;""),"Completed",IF(T21="","",
IF(T21&lt;TODAY(),"Overdue",
IF(AND(T21&gt;=TODAY()-WEEKDAY(TODAY(),2)+1,T21&lt;=TODAY()-WEEKDAY(TODAY(),2)+7),"Follow-This Week",
IF(AND(T21&gt;=TODAY()-WEEKDAY(TODAY(),2)+8,T21&lt;=TODAY()-WEEKDAY(TODAY(),2)+14),"Follow-Next Week","")))))</f>
        <v>Follow-Next Week</v>
      </c>
    </row>
    <row r="22" spans="1:26" s="70" customFormat="1" ht="11.5" x14ac:dyDescent="0.25">
      <c r="A22" s="174" t="s">
        <v>66</v>
      </c>
      <c r="B22" s="174" t="s">
        <v>34</v>
      </c>
      <c r="C22" s="174" t="s">
        <v>82</v>
      </c>
      <c r="D22" s="174" t="s">
        <v>1112</v>
      </c>
      <c r="E22" s="152">
        <f t="shared" si="15"/>
        <v>1</v>
      </c>
      <c r="F22" s="152">
        <f t="shared" si="16"/>
        <v>1</v>
      </c>
      <c r="G22" s="152">
        <f t="shared" si="17"/>
        <v>1</v>
      </c>
      <c r="H22" s="159">
        <f t="shared" si="18"/>
        <v>0</v>
      </c>
      <c r="I22" s="160">
        <v>0.2</v>
      </c>
      <c r="J22" s="155">
        <v>46157</v>
      </c>
      <c r="K22" s="155">
        <f t="shared" si="4"/>
        <v>46157</v>
      </c>
      <c r="L22" s="155">
        <v>46175</v>
      </c>
      <c r="M22" s="155">
        <f t="shared" si="5"/>
        <v>46199</v>
      </c>
      <c r="N22" s="155">
        <f t="shared" si="6"/>
        <v>46199</v>
      </c>
      <c r="O22" s="196">
        <v>46217</v>
      </c>
      <c r="P22" s="155">
        <f t="shared" si="7"/>
        <v>46241</v>
      </c>
      <c r="Q22" s="155">
        <f t="shared" si="8"/>
        <v>46241</v>
      </c>
      <c r="R22" s="155">
        <v>46255</v>
      </c>
      <c r="S22" s="155">
        <f t="shared" si="14"/>
        <v>46255</v>
      </c>
      <c r="T22" s="155">
        <f t="shared" si="9"/>
        <v>46255</v>
      </c>
      <c r="U22" s="155">
        <v>46255</v>
      </c>
      <c r="W22" s="169" t="str">
        <f t="shared" ca="1" si="10"/>
        <v>Completed</v>
      </c>
      <c r="X22" s="169" t="str">
        <f t="shared" ca="1" si="11"/>
        <v>Completed</v>
      </c>
      <c r="Y22" s="169" t="str">
        <f t="shared" ca="1" si="12"/>
        <v>Completed</v>
      </c>
      <c r="Z22" s="170" t="str">
        <f t="shared" ca="1" si="13"/>
        <v>Completed</v>
      </c>
    </row>
    <row r="23" spans="1:26" s="70" customFormat="1" ht="11.5" x14ac:dyDescent="0.25">
      <c r="A23" s="92" t="s">
        <v>66</v>
      </c>
      <c r="B23" s="92" t="s">
        <v>34</v>
      </c>
      <c r="C23" s="92" t="s">
        <v>82</v>
      </c>
      <c r="D23" s="92" t="s">
        <v>1117</v>
      </c>
      <c r="E23" s="94">
        <f>(COUNTIFS(J23,"&lt;="&amp;$C$1)*50%)+(COUNTIFS(M23,"&lt;="&amp;$C$1)*20%)+(COUNTIFS(P23,"&lt;="&amp;$C$1)*10%)+(COUNTIFS(S23,"&lt;="&amp;$C$1)*20%)</f>
        <v>1</v>
      </c>
      <c r="F23" s="94">
        <f>(COUNTIFS(K23,"&lt;="&amp;$C$1)*50%)+(COUNTIFS(N23,"&lt;="&amp;$C$1)*20%)+(COUNTIFS(Q23,"&lt;="&amp;$C$1)*10%)+(COUNTIFS(T23,"&lt;="&amp;$C$1)*20%)</f>
        <v>1</v>
      </c>
      <c r="G23" s="94">
        <f>(COUNTIFS(L23,"&lt;="&amp;$C$1)*50%)+(COUNTIFS(O23,"&lt;="&amp;$C$1)*20%)+(COUNTIFS(R23,"&lt;="&amp;$C$1)*10%)+(COUNTIFS(U23,"&lt;="&amp;$C$1)*20%)</f>
        <v>0.7</v>
      </c>
      <c r="H23" s="93">
        <f>G23-E23</f>
        <v>-0.30000000000000004</v>
      </c>
      <c r="I23" s="129">
        <v>0.3</v>
      </c>
      <c r="J23" s="89">
        <v>46157</v>
      </c>
      <c r="K23" s="89">
        <f>J23</f>
        <v>46157</v>
      </c>
      <c r="L23" s="89">
        <v>46175</v>
      </c>
      <c r="M23" s="89">
        <f>J23+42</f>
        <v>46199</v>
      </c>
      <c r="N23" s="89">
        <f>M23</f>
        <v>46199</v>
      </c>
      <c r="O23" s="146">
        <v>46217</v>
      </c>
      <c r="P23" s="89">
        <f>M23+42</f>
        <v>46241</v>
      </c>
      <c r="Q23" s="89">
        <f>P23</f>
        <v>46241</v>
      </c>
      <c r="R23" s="89"/>
      <c r="S23" s="89">
        <f>P23+14</f>
        <v>46255</v>
      </c>
      <c r="T23" s="89">
        <f>S23</f>
        <v>46255</v>
      </c>
      <c r="U23" s="89"/>
      <c r="W23" s="169" t="str">
        <f ca="1">IF(OR(L23&lt;&gt;""),"Completed",
IF(K23="","",IF(K23&lt;TODAY(),"Overdue",
IF(AND(K23&gt;=TODAY()-WEEKDAY(TODAY(),2)+1,K23&lt;=TODAY()-WEEKDAY(TODAY(),2)+7),"Follow-This Week",
IF(AND(K23&gt;=TODAY()-WEEKDAY(TODAY(),2)+8,K23&lt;=TODAY()-WEEKDAY(TODAY(),2)+14),"Follow-Next Week","")))))</f>
        <v>Completed</v>
      </c>
      <c r="X23" s="169" t="str">
        <f ca="1">IF(OR(O23&lt;&gt;""),"Completed",IF(N23="","",
IF(N23&lt;TODAY(),"Overdue",
IF(AND(N23&gt;=TODAY()-WEEKDAY(TODAY(),2)+1,N23&lt;=TODAY()-WEEKDAY(TODAY(),2)+7),"Follow-This Week",
IF(AND(N23&gt;=TODAY()-WEEKDAY(TODAY(),2)+8,N23&lt;=TODAY()-WEEKDAY(TODAY(),2)+14),"Follow-Next Week","")))))</f>
        <v>Completed</v>
      </c>
      <c r="Y23" s="169" t="str">
        <f ca="1">IF(OR(R23&lt;&gt;""),"Completed",IF(Q23="","",
IF(Q23&lt;TODAY(),"Overdue",
IF(AND(Q23&gt;=TODAY()-WEEKDAY(TODAY(),2)+1,Q23&lt;=TODAY()-WEEKDAY(TODAY(),2)+7),"Follow-This Week",
IF(AND(Q23&gt;=TODAY()-WEEKDAY(TODAY(),2)+8,Q23&lt;=TODAY()-WEEKDAY(TODAY(),2)+14),"Follow-Next Week","")))))</f>
        <v>Overdue</v>
      </c>
      <c r="Z23" s="170" t="str">
        <f ca="1">IF(OR(U23&lt;&gt;""),"Completed",IF(T23="","",
IF(T23&lt;TODAY(),"Overdue",
IF(AND(T23&gt;=TODAY()-WEEKDAY(TODAY(),2)+1,T23&lt;=TODAY()-WEEKDAY(TODAY(),2)+7),"Follow-This Week",
IF(AND(T23&gt;=TODAY()-WEEKDAY(TODAY(),2)+8,T23&lt;=TODAY()-WEEKDAY(TODAY(),2)+14),"Follow-Next Week","")))))</f>
        <v>Overdue</v>
      </c>
    </row>
    <row r="24" spans="1:26" s="70" customFormat="1" ht="11.5" x14ac:dyDescent="0.25">
      <c r="A24" s="174" t="s">
        <v>66</v>
      </c>
      <c r="B24" s="174" t="s">
        <v>34</v>
      </c>
      <c r="C24" s="174" t="s">
        <v>83</v>
      </c>
      <c r="D24" s="174" t="s">
        <v>1096</v>
      </c>
      <c r="E24" s="152">
        <f t="shared" si="15"/>
        <v>0.79999999999999993</v>
      </c>
      <c r="F24" s="152">
        <f t="shared" si="16"/>
        <v>0.79999999999999993</v>
      </c>
      <c r="G24" s="152">
        <f t="shared" si="17"/>
        <v>1</v>
      </c>
      <c r="H24" s="159">
        <f t="shared" si="18"/>
        <v>0.20000000000000007</v>
      </c>
      <c r="I24" s="160">
        <v>0.5</v>
      </c>
      <c r="J24" s="155">
        <v>46188</v>
      </c>
      <c r="K24" s="155">
        <f t="shared" si="4"/>
        <v>46188</v>
      </c>
      <c r="L24" s="155">
        <v>46192</v>
      </c>
      <c r="M24" s="155">
        <f t="shared" si="5"/>
        <v>46230</v>
      </c>
      <c r="N24" s="155">
        <f t="shared" si="6"/>
        <v>46230</v>
      </c>
      <c r="O24" s="155">
        <v>46248</v>
      </c>
      <c r="P24" s="155">
        <f t="shared" si="7"/>
        <v>46272</v>
      </c>
      <c r="Q24" s="155">
        <f t="shared" si="8"/>
        <v>46272</v>
      </c>
      <c r="R24" s="155">
        <v>46248</v>
      </c>
      <c r="S24" s="155">
        <f t="shared" si="14"/>
        <v>46286</v>
      </c>
      <c r="T24" s="155">
        <f t="shared" si="9"/>
        <v>46286</v>
      </c>
      <c r="U24" s="155">
        <v>46248</v>
      </c>
      <c r="W24" s="169" t="str">
        <f t="shared" ca="1" si="10"/>
        <v>Completed</v>
      </c>
      <c r="X24" s="169" t="str">
        <f t="shared" ca="1" si="11"/>
        <v>Completed</v>
      </c>
      <c r="Y24" s="169" t="str">
        <f t="shared" ca="1" si="12"/>
        <v>Completed</v>
      </c>
      <c r="Z24" s="170" t="str">
        <f t="shared" ca="1" si="13"/>
        <v>Completed</v>
      </c>
    </row>
    <row r="25" spans="1:26" s="70" customFormat="1" ht="11.5" x14ac:dyDescent="0.25">
      <c r="A25" s="91" t="s">
        <v>66</v>
      </c>
      <c r="B25" s="91" t="s">
        <v>34</v>
      </c>
      <c r="C25" s="91" t="s">
        <v>83</v>
      </c>
      <c r="D25" s="91" t="s">
        <v>1106</v>
      </c>
      <c r="E25" s="93">
        <f t="shared" ref="E25" si="106">(COUNTIFS(J25,"&lt;="&amp;$C$1)*50%)+(COUNTIFS(M25,"&lt;="&amp;$C$1)*20%)+(COUNTIFS(P25,"&lt;="&amp;$C$1)*10%)+(COUNTIFS(S25,"&lt;="&amp;$C$1)*20%)</f>
        <v>0.7</v>
      </c>
      <c r="F25" s="93">
        <f t="shared" ref="F25" si="107">(COUNTIFS(K25,"&lt;="&amp;$C$1)*50%)+(COUNTIFS(N25,"&lt;="&amp;$C$1)*20%)+(COUNTIFS(Q25,"&lt;="&amp;$C$1)*10%)+(COUNTIFS(T25,"&lt;="&amp;$C$1)*20%)</f>
        <v>0.7</v>
      </c>
      <c r="G25" s="93">
        <f t="shared" ref="G25" si="108">(COUNTIFS(L25,"&lt;="&amp;$C$1)*50%)+(COUNTIFS(O25,"&lt;="&amp;$C$1)*20%)+(COUNTIFS(R25,"&lt;="&amp;$C$1)*10%)+(COUNTIFS(U25,"&lt;="&amp;$C$1)*20%)</f>
        <v>0.5</v>
      </c>
      <c r="H25" s="93">
        <f t="shared" ref="H25" si="109">G25-E25</f>
        <v>-0.19999999999999996</v>
      </c>
      <c r="I25" s="129">
        <v>0.25</v>
      </c>
      <c r="J25" s="89">
        <v>46188</v>
      </c>
      <c r="K25" s="89">
        <f t="shared" ref="K25" si="110">J25</f>
        <v>46188</v>
      </c>
      <c r="L25" s="89">
        <v>46192</v>
      </c>
      <c r="M25" s="89">
        <v>46230</v>
      </c>
      <c r="N25" s="89">
        <f t="shared" ref="N25" si="111">M25</f>
        <v>46230</v>
      </c>
      <c r="O25" s="89"/>
      <c r="P25" s="89">
        <f>M25+63</f>
        <v>46293</v>
      </c>
      <c r="Q25" s="89">
        <f t="shared" ref="Q25" si="112">P25</f>
        <v>46293</v>
      </c>
      <c r="R25" s="89"/>
      <c r="S25" s="89">
        <f t="shared" ref="S25" si="113">P25+14</f>
        <v>46307</v>
      </c>
      <c r="T25" s="89">
        <f t="shared" ref="T25" si="114">S25</f>
        <v>46307</v>
      </c>
      <c r="U25" s="89"/>
      <c r="W25" s="169" t="str">
        <f t="shared" ref="W25" ca="1" si="115">IF(OR(L25&lt;&gt;""),"Completed",
IF(K25="","",IF(K25&lt;TODAY(),"Overdue",
IF(AND(K25&gt;=TODAY()-WEEKDAY(TODAY(),2)+1,K25&lt;=TODAY()-WEEKDAY(TODAY(),2)+7),"Follow-This Week",
IF(AND(K25&gt;=TODAY()-WEEKDAY(TODAY(),2)+8,K25&lt;=TODAY()-WEEKDAY(TODAY(),2)+14),"Follow-Next Week","")))))</f>
        <v>Completed</v>
      </c>
      <c r="X25" s="169" t="str">
        <f t="shared" ref="X25" ca="1" si="116">IF(OR(O25&lt;&gt;""),"Completed",IF(N25="","",
IF(N25&lt;TODAY(),"Overdue",
IF(AND(N25&gt;=TODAY()-WEEKDAY(TODAY(),2)+1,N25&lt;=TODAY()-WEEKDAY(TODAY(),2)+7),"Follow-This Week",
IF(AND(N25&gt;=TODAY()-WEEKDAY(TODAY(),2)+8,N25&lt;=TODAY()-WEEKDAY(TODAY(),2)+14),"Follow-Next Week","")))))</f>
        <v>Overdue</v>
      </c>
      <c r="Y25" s="169" t="str">
        <f t="shared" ref="Y25" ca="1" si="117">IF(OR(R25&lt;&gt;""),"Completed",IF(Q25="","",
IF(Q25&lt;TODAY(),"Overdue",
IF(AND(Q25&gt;=TODAY()-WEEKDAY(TODAY(),2)+1,Q25&lt;=TODAY()-WEEKDAY(TODAY(),2)+7),"Follow-This Week",
IF(AND(Q25&gt;=TODAY()-WEEKDAY(TODAY(),2)+8,Q25&lt;=TODAY()-WEEKDAY(TODAY(),2)+14),"Follow-Next Week","")))))</f>
        <v/>
      </c>
      <c r="Z25" s="170" t="str">
        <f t="shared" ref="Z25" ca="1" si="118">IF(OR(U25&lt;&gt;""),"Completed",IF(T25="","",
IF(T25&lt;TODAY(),"Overdue",
IF(AND(T25&gt;=TODAY()-WEEKDAY(TODAY(),2)+1,T25&lt;=TODAY()-WEEKDAY(TODAY(),2)+7),"Follow-This Week",
IF(AND(T25&gt;=TODAY()-WEEKDAY(TODAY(),2)+8,T25&lt;=TODAY()-WEEKDAY(TODAY(),2)+14),"Follow-Next Week","")))))</f>
        <v/>
      </c>
    </row>
    <row r="26" spans="1:26" s="70" customFormat="1" ht="11.5" x14ac:dyDescent="0.25">
      <c r="A26" s="92" t="s">
        <v>66</v>
      </c>
      <c r="B26" s="92" t="s">
        <v>34</v>
      </c>
      <c r="C26" s="92" t="s">
        <v>84</v>
      </c>
      <c r="D26" s="92" t="s">
        <v>85</v>
      </c>
      <c r="E26" s="94">
        <f t="shared" si="15"/>
        <v>0.7</v>
      </c>
      <c r="F26" s="94">
        <f t="shared" si="16"/>
        <v>0.7</v>
      </c>
      <c r="G26" s="94">
        <f t="shared" si="17"/>
        <v>0.79999999999999993</v>
      </c>
      <c r="H26" s="93">
        <f t="shared" si="18"/>
        <v>9.9999999999999978E-2</v>
      </c>
      <c r="I26" s="129">
        <v>0.5</v>
      </c>
      <c r="J26" s="89">
        <v>46206</v>
      </c>
      <c r="K26" s="89">
        <f t="shared" si="4"/>
        <v>46206</v>
      </c>
      <c r="L26" s="89">
        <v>46211</v>
      </c>
      <c r="M26" s="89">
        <f t="shared" si="5"/>
        <v>46248</v>
      </c>
      <c r="N26" s="89">
        <f t="shared" si="6"/>
        <v>46248</v>
      </c>
      <c r="O26" s="90">
        <v>46223</v>
      </c>
      <c r="P26" s="89">
        <f t="shared" si="7"/>
        <v>46290</v>
      </c>
      <c r="Q26" s="89">
        <f t="shared" si="8"/>
        <v>46290</v>
      </c>
      <c r="R26" s="89">
        <v>46276</v>
      </c>
      <c r="S26" s="89">
        <f t="shared" si="14"/>
        <v>46304</v>
      </c>
      <c r="T26" s="89">
        <f t="shared" si="9"/>
        <v>46304</v>
      </c>
      <c r="U26" s="89"/>
      <c r="W26" s="169" t="str">
        <f t="shared" ca="1" si="10"/>
        <v>Completed</v>
      </c>
      <c r="X26" s="169" t="str">
        <f t="shared" ca="1" si="11"/>
        <v>Completed</v>
      </c>
      <c r="Y26" s="169" t="str">
        <f t="shared" ca="1" si="12"/>
        <v>Completed</v>
      </c>
      <c r="Z26" s="170" t="str">
        <f t="shared" ca="1" si="13"/>
        <v/>
      </c>
    </row>
    <row r="27" spans="1:26" s="70" customFormat="1" ht="11.5" x14ac:dyDescent="0.25">
      <c r="A27" s="174" t="s">
        <v>66</v>
      </c>
      <c r="B27" s="174" t="s">
        <v>34</v>
      </c>
      <c r="C27" s="174" t="s">
        <v>86</v>
      </c>
      <c r="D27" s="174" t="s">
        <v>1097</v>
      </c>
      <c r="E27" s="152">
        <f t="shared" si="15"/>
        <v>1</v>
      </c>
      <c r="F27" s="152">
        <f t="shared" si="16"/>
        <v>1</v>
      </c>
      <c r="G27" s="152">
        <f t="shared" si="17"/>
        <v>1</v>
      </c>
      <c r="H27" s="152">
        <f t="shared" si="18"/>
        <v>0</v>
      </c>
      <c r="I27" s="153">
        <v>0.25</v>
      </c>
      <c r="J27" s="155">
        <v>46150</v>
      </c>
      <c r="K27" s="155">
        <f t="shared" si="4"/>
        <v>46150</v>
      </c>
      <c r="L27" s="155">
        <v>46206</v>
      </c>
      <c r="M27" s="155">
        <f t="shared" si="5"/>
        <v>46192</v>
      </c>
      <c r="N27" s="155">
        <f t="shared" si="6"/>
        <v>46192</v>
      </c>
      <c r="O27" s="155">
        <v>46212</v>
      </c>
      <c r="P27" s="155">
        <f t="shared" si="7"/>
        <v>46234</v>
      </c>
      <c r="Q27" s="155">
        <f t="shared" si="8"/>
        <v>46234</v>
      </c>
      <c r="R27" s="155">
        <v>46248</v>
      </c>
      <c r="S27" s="155">
        <f t="shared" si="14"/>
        <v>46248</v>
      </c>
      <c r="T27" s="155">
        <f t="shared" si="9"/>
        <v>46248</v>
      </c>
      <c r="U27" s="155">
        <v>46248</v>
      </c>
      <c r="W27" s="169" t="str">
        <f t="shared" ca="1" si="10"/>
        <v>Completed</v>
      </c>
      <c r="X27" s="169" t="str">
        <f t="shared" ca="1" si="11"/>
        <v>Completed</v>
      </c>
      <c r="Y27" s="169" t="str">
        <f t="shared" ca="1" si="12"/>
        <v>Completed</v>
      </c>
      <c r="Z27" s="170" t="str">
        <f t="shared" ca="1" si="13"/>
        <v>Completed</v>
      </c>
    </row>
    <row r="28" spans="1:26" s="70" customFormat="1" ht="11.5" x14ac:dyDescent="0.25">
      <c r="A28" s="92" t="s">
        <v>66</v>
      </c>
      <c r="B28" s="92" t="s">
        <v>34</v>
      </c>
      <c r="C28" s="92" t="s">
        <v>86</v>
      </c>
      <c r="D28" s="92" t="s">
        <v>1098</v>
      </c>
      <c r="E28" s="94">
        <f t="shared" ref="E28" si="119">(COUNTIFS(J28,"&lt;="&amp;$C$1)*50%)+(COUNTIFS(M28,"&lt;="&amp;$C$1)*20%)+(COUNTIFS(P28,"&lt;="&amp;$C$1)*10%)+(COUNTIFS(S28,"&lt;="&amp;$C$1)*20%)</f>
        <v>1</v>
      </c>
      <c r="F28" s="94">
        <f t="shared" ref="F28" si="120">(COUNTIFS(K28,"&lt;="&amp;$C$1)*50%)+(COUNTIFS(N28,"&lt;="&amp;$C$1)*20%)+(COUNTIFS(Q28,"&lt;="&amp;$C$1)*10%)+(COUNTIFS(T28,"&lt;="&amp;$C$1)*20%)</f>
        <v>1</v>
      </c>
      <c r="G28" s="94">
        <f t="shared" ref="G28" si="121">(COUNTIFS(L28,"&lt;="&amp;$C$1)*50%)+(COUNTIFS(O28,"&lt;="&amp;$C$1)*20%)+(COUNTIFS(R28,"&lt;="&amp;$C$1)*10%)+(COUNTIFS(U28,"&lt;="&amp;$C$1)*20%)</f>
        <v>0.7</v>
      </c>
      <c r="H28" s="94">
        <f t="shared" ref="H28" si="122">G28-E28</f>
        <v>-0.30000000000000004</v>
      </c>
      <c r="I28" s="95">
        <v>0.25</v>
      </c>
      <c r="J28" s="89">
        <v>46150</v>
      </c>
      <c r="K28" s="89">
        <f t="shared" ref="K28" si="123">J28</f>
        <v>46150</v>
      </c>
      <c r="L28" s="89">
        <v>46206</v>
      </c>
      <c r="M28" s="89">
        <f t="shared" ref="M28" si="124">J28+42</f>
        <v>46192</v>
      </c>
      <c r="N28" s="89">
        <f t="shared" ref="N28" si="125">M28</f>
        <v>46192</v>
      </c>
      <c r="O28" s="89">
        <v>46212</v>
      </c>
      <c r="P28" s="89">
        <v>46265</v>
      </c>
      <c r="Q28" s="89">
        <f t="shared" ref="Q28" si="126">P28</f>
        <v>46265</v>
      </c>
      <c r="R28" s="89"/>
      <c r="S28" s="89">
        <f t="shared" ref="S28" si="127">P28+14</f>
        <v>46279</v>
      </c>
      <c r="T28" s="89">
        <f t="shared" ref="T28" si="128">S28</f>
        <v>46279</v>
      </c>
      <c r="U28" s="89"/>
      <c r="W28" s="169" t="str">
        <f t="shared" ref="W28" ca="1" si="129">IF(OR(L28&lt;&gt;""),"Completed",
IF(K28="","",IF(K28&lt;TODAY(),"Overdue",
IF(AND(K28&gt;=TODAY()-WEEKDAY(TODAY(),2)+1,K28&lt;=TODAY()-WEEKDAY(TODAY(),2)+7),"Follow-This Week",
IF(AND(K28&gt;=TODAY()-WEEKDAY(TODAY(),2)+8,K28&lt;=TODAY()-WEEKDAY(TODAY(),2)+14),"Follow-Next Week","")))))</f>
        <v>Completed</v>
      </c>
      <c r="X28" s="169" t="str">
        <f t="shared" ref="X28" ca="1" si="130">IF(OR(O28&lt;&gt;""),"Completed",IF(N28="","",
IF(N28&lt;TODAY(),"Overdue",
IF(AND(N28&gt;=TODAY()-WEEKDAY(TODAY(),2)+1,N28&lt;=TODAY()-WEEKDAY(TODAY(),2)+7),"Follow-This Week",
IF(AND(N28&gt;=TODAY()-WEEKDAY(TODAY(),2)+8,N28&lt;=TODAY()-WEEKDAY(TODAY(),2)+14),"Follow-Next Week","")))))</f>
        <v>Completed</v>
      </c>
      <c r="Y28" s="169" t="str">
        <f t="shared" ref="Y28" ca="1" si="131">IF(OR(R28&lt;&gt;""),"Completed",IF(Q28="","",
IF(Q28&lt;TODAY(),"Overdue",
IF(AND(Q28&gt;=TODAY()-WEEKDAY(TODAY(),2)+1,Q28&lt;=TODAY()-WEEKDAY(TODAY(),2)+7),"Follow-This Week",
IF(AND(Q28&gt;=TODAY()-WEEKDAY(TODAY(),2)+8,Q28&lt;=TODAY()-WEEKDAY(TODAY(),2)+14),"Follow-Next Week","")))))</f>
        <v>Overdue</v>
      </c>
      <c r="Z28" s="170" t="str">
        <f t="shared" ref="Z28" ca="1" si="132">IF(OR(U28&lt;&gt;""),"Completed",IF(T28="","",
IF(T28&lt;TODAY(),"Overdue",
IF(AND(T28&gt;=TODAY()-WEEKDAY(TODAY(),2)+1,T28&lt;=TODAY()-WEEKDAY(TODAY(),2)+7),"Follow-This Week",
IF(AND(T28&gt;=TODAY()-WEEKDAY(TODAY(),2)+8,T28&lt;=TODAY()-WEEKDAY(TODAY(),2)+14),"Follow-Next Week","")))))</f>
        <v>Overdue</v>
      </c>
    </row>
    <row r="29" spans="1:26" s="70" customFormat="1" ht="11.5" x14ac:dyDescent="0.25">
      <c r="A29" s="174" t="s">
        <v>66</v>
      </c>
      <c r="B29" s="174" t="s">
        <v>34</v>
      </c>
      <c r="C29" s="174" t="s">
        <v>87</v>
      </c>
      <c r="D29" s="174" t="s">
        <v>1099</v>
      </c>
      <c r="E29" s="152">
        <f t="shared" si="15"/>
        <v>1</v>
      </c>
      <c r="F29" s="152">
        <f t="shared" si="16"/>
        <v>1</v>
      </c>
      <c r="G29" s="152">
        <f t="shared" si="17"/>
        <v>1</v>
      </c>
      <c r="H29" s="152">
        <f t="shared" si="18"/>
        <v>0</v>
      </c>
      <c r="I29" s="153">
        <v>0.25</v>
      </c>
      <c r="J29" s="155">
        <v>46157</v>
      </c>
      <c r="K29" s="155">
        <f t="shared" si="4"/>
        <v>46157</v>
      </c>
      <c r="L29" s="175">
        <v>46161</v>
      </c>
      <c r="M29" s="155">
        <f t="shared" si="5"/>
        <v>46199</v>
      </c>
      <c r="N29" s="155">
        <f t="shared" si="6"/>
        <v>46199</v>
      </c>
      <c r="O29" s="196">
        <v>46218</v>
      </c>
      <c r="P29" s="155">
        <f t="shared" si="7"/>
        <v>46241</v>
      </c>
      <c r="Q29" s="155">
        <f t="shared" si="8"/>
        <v>46241</v>
      </c>
      <c r="R29" s="155">
        <v>46248</v>
      </c>
      <c r="S29" s="155">
        <f t="shared" si="14"/>
        <v>46255</v>
      </c>
      <c r="T29" s="155">
        <f t="shared" si="9"/>
        <v>46255</v>
      </c>
      <c r="U29" s="155">
        <v>46248</v>
      </c>
      <c r="W29" s="169" t="str">
        <f t="shared" ca="1" si="10"/>
        <v>Completed</v>
      </c>
      <c r="X29" s="169" t="str">
        <f t="shared" ca="1" si="11"/>
        <v>Completed</v>
      </c>
      <c r="Y29" s="169" t="str">
        <f t="shared" ca="1" si="12"/>
        <v>Completed</v>
      </c>
      <c r="Z29" s="170" t="str">
        <f t="shared" ca="1" si="13"/>
        <v>Completed</v>
      </c>
    </row>
    <row r="30" spans="1:26" s="70" customFormat="1" ht="11.5" x14ac:dyDescent="0.25">
      <c r="A30" s="92" t="s">
        <v>66</v>
      </c>
      <c r="B30" s="92" t="s">
        <v>34</v>
      </c>
      <c r="C30" s="92" t="s">
        <v>87</v>
      </c>
      <c r="D30" s="92" t="s">
        <v>1100</v>
      </c>
      <c r="E30" s="94">
        <f t="shared" ref="E30" si="133">(COUNTIFS(J30,"&lt;="&amp;$C$1)*50%)+(COUNTIFS(M30,"&lt;="&amp;$C$1)*20%)+(COUNTIFS(P30,"&lt;="&amp;$C$1)*10%)+(COUNTIFS(S30,"&lt;="&amp;$C$1)*20%)</f>
        <v>1</v>
      </c>
      <c r="F30" s="94">
        <f t="shared" ref="F30" si="134">(COUNTIFS(K30,"&lt;="&amp;$C$1)*50%)+(COUNTIFS(N30,"&lt;="&amp;$C$1)*20%)+(COUNTIFS(Q30,"&lt;="&amp;$C$1)*10%)+(COUNTIFS(T30,"&lt;="&amp;$C$1)*20%)</f>
        <v>1</v>
      </c>
      <c r="G30" s="94">
        <f t="shared" ref="G30" si="135">(COUNTIFS(L30,"&lt;="&amp;$C$1)*50%)+(COUNTIFS(O30,"&lt;="&amp;$C$1)*20%)+(COUNTIFS(R30,"&lt;="&amp;$C$1)*10%)+(COUNTIFS(U30,"&lt;="&amp;$C$1)*20%)</f>
        <v>0.7</v>
      </c>
      <c r="H30" s="94">
        <f t="shared" ref="H30" si="136">G30-E30</f>
        <v>-0.30000000000000004</v>
      </c>
      <c r="I30" s="95">
        <v>0.25</v>
      </c>
      <c r="J30" s="89">
        <v>46157</v>
      </c>
      <c r="K30" s="89">
        <f t="shared" ref="K30" si="137">J30</f>
        <v>46157</v>
      </c>
      <c r="L30" s="97">
        <v>46161</v>
      </c>
      <c r="M30" s="89">
        <f t="shared" ref="M30" si="138">J30+42</f>
        <v>46199</v>
      </c>
      <c r="N30" s="89">
        <f t="shared" ref="N30" si="139">M30</f>
        <v>46199</v>
      </c>
      <c r="O30" s="146">
        <v>46218</v>
      </c>
      <c r="P30" s="89">
        <v>46265</v>
      </c>
      <c r="Q30" s="89">
        <f t="shared" ref="Q30" si="140">P30</f>
        <v>46265</v>
      </c>
      <c r="R30" s="89"/>
      <c r="S30" s="89">
        <f t="shared" ref="S30" si="141">P30+14</f>
        <v>46279</v>
      </c>
      <c r="T30" s="89">
        <f t="shared" ref="T30" si="142">S30</f>
        <v>46279</v>
      </c>
      <c r="U30" s="89"/>
      <c r="W30" s="169" t="str">
        <f t="shared" ref="W30" ca="1" si="143">IF(OR(L30&lt;&gt;""),"Completed",
IF(K30="","",IF(K30&lt;TODAY(),"Overdue",
IF(AND(K30&gt;=TODAY()-WEEKDAY(TODAY(),2)+1,K30&lt;=TODAY()-WEEKDAY(TODAY(),2)+7),"Follow-This Week",
IF(AND(K30&gt;=TODAY()-WEEKDAY(TODAY(),2)+8,K30&lt;=TODAY()-WEEKDAY(TODAY(),2)+14),"Follow-Next Week","")))))</f>
        <v>Completed</v>
      </c>
      <c r="X30" s="169" t="str">
        <f t="shared" ref="X30" ca="1" si="144">IF(OR(O30&lt;&gt;""),"Completed",IF(N30="","",
IF(N30&lt;TODAY(),"Overdue",
IF(AND(N30&gt;=TODAY()-WEEKDAY(TODAY(),2)+1,N30&lt;=TODAY()-WEEKDAY(TODAY(),2)+7),"Follow-This Week",
IF(AND(N30&gt;=TODAY()-WEEKDAY(TODAY(),2)+8,N30&lt;=TODAY()-WEEKDAY(TODAY(),2)+14),"Follow-Next Week","")))))</f>
        <v>Completed</v>
      </c>
      <c r="Y30" s="169" t="str">
        <f t="shared" ref="Y30" ca="1" si="145">IF(OR(R30&lt;&gt;""),"Completed",IF(Q30="","",
IF(Q30&lt;TODAY(),"Overdue",
IF(AND(Q30&gt;=TODAY()-WEEKDAY(TODAY(),2)+1,Q30&lt;=TODAY()-WEEKDAY(TODAY(),2)+7),"Follow-This Week",
IF(AND(Q30&gt;=TODAY()-WEEKDAY(TODAY(),2)+8,Q30&lt;=TODAY()-WEEKDAY(TODAY(),2)+14),"Follow-Next Week","")))))</f>
        <v>Overdue</v>
      </c>
      <c r="Z30" s="170" t="str">
        <f t="shared" ref="Z30" ca="1" si="146">IF(OR(U30&lt;&gt;""),"Completed",IF(T30="","",
IF(T30&lt;TODAY(),"Overdue",
IF(AND(T30&gt;=TODAY()-WEEKDAY(TODAY(),2)+1,T30&lt;=TODAY()-WEEKDAY(TODAY(),2)+7),"Follow-This Week",
IF(AND(T30&gt;=TODAY()-WEEKDAY(TODAY(),2)+8,T30&lt;=TODAY()-WEEKDAY(TODAY(),2)+14),"Follow-Next Week","")))))</f>
        <v>Overdue</v>
      </c>
    </row>
    <row r="31" spans="1:26" s="70" customFormat="1" ht="11.5" x14ac:dyDescent="0.25">
      <c r="A31" s="174" t="s">
        <v>66</v>
      </c>
      <c r="B31" s="174" t="s">
        <v>34</v>
      </c>
      <c r="C31" s="174" t="s">
        <v>88</v>
      </c>
      <c r="D31" s="174" t="s">
        <v>1090</v>
      </c>
      <c r="E31" s="185">
        <f t="shared" ref="E31" si="147">(COUNTIFS(J31,"&lt;="&amp;$C$1)*50%)+(COUNTIFS(M31,"&lt;="&amp;$C$1)*20%)+(COUNTIFS(P31,"&lt;="&amp;$C$1)*10%)+(COUNTIFS(S31,"&lt;="&amp;$C$1)*20%)</f>
        <v>0.7</v>
      </c>
      <c r="F31" s="185">
        <f t="shared" ref="F31" si="148">(COUNTIFS(K31,"&lt;="&amp;$C$1)*50%)+(COUNTIFS(N31,"&lt;="&amp;$C$1)*20%)+(COUNTIFS(Q31,"&lt;="&amp;$C$1)*10%)+(COUNTIFS(T31,"&lt;="&amp;$C$1)*20%)</f>
        <v>0.7</v>
      </c>
      <c r="G31" s="185">
        <f t="shared" ref="G31" si="149">(COUNTIFS(L31,"&lt;="&amp;$C$1)*50%)+(COUNTIFS(O31,"&lt;="&amp;$C$1)*20%)+(COUNTIFS(R31,"&lt;="&amp;$C$1)*10%)+(COUNTIFS(U31,"&lt;="&amp;$C$1)*20%)</f>
        <v>1</v>
      </c>
      <c r="H31" s="185">
        <f t="shared" ref="H31" si="150">G31-E31</f>
        <v>0.30000000000000004</v>
      </c>
      <c r="I31" s="153">
        <v>0.4</v>
      </c>
      <c r="J31" s="155">
        <v>46227</v>
      </c>
      <c r="K31" s="155">
        <f t="shared" ref="K31" si="151">J31</f>
        <v>46227</v>
      </c>
      <c r="L31" s="155">
        <v>46234</v>
      </c>
      <c r="M31" s="155">
        <f t="shared" ref="M31" si="152">J31+42</f>
        <v>46269</v>
      </c>
      <c r="N31" s="155">
        <f t="shared" ref="N31" si="153">M31</f>
        <v>46269</v>
      </c>
      <c r="O31" s="155">
        <v>46234</v>
      </c>
      <c r="P31" s="155">
        <f t="shared" ref="P31" si="154">M31+42</f>
        <v>46311</v>
      </c>
      <c r="Q31" s="155">
        <f t="shared" ref="Q31" si="155">P31</f>
        <v>46311</v>
      </c>
      <c r="R31" s="155">
        <v>46234</v>
      </c>
      <c r="S31" s="155">
        <f t="shared" ref="S31" si="156">P31+14</f>
        <v>46325</v>
      </c>
      <c r="T31" s="155">
        <f t="shared" ref="T31" si="157">S31</f>
        <v>46325</v>
      </c>
      <c r="U31" s="155">
        <v>46234</v>
      </c>
      <c r="W31" s="183" t="str">
        <f t="shared" ca="1" si="10"/>
        <v>Completed</v>
      </c>
      <c r="X31" s="183"/>
      <c r="Y31" s="183"/>
      <c r="Z31" s="184"/>
    </row>
    <row r="32" spans="1:26" s="70" customFormat="1" ht="11.5" x14ac:dyDescent="0.25">
      <c r="A32" s="92" t="s">
        <v>66</v>
      </c>
      <c r="B32" s="92" t="s">
        <v>34</v>
      </c>
      <c r="C32" s="92" t="s">
        <v>88</v>
      </c>
      <c r="D32" s="92" t="s">
        <v>1091</v>
      </c>
      <c r="E32" s="94">
        <f t="shared" ref="E32" si="158">(COUNTIFS(J32,"&lt;="&amp;$C$1)*50%)+(COUNTIFS(M32,"&lt;="&amp;$C$1)*20%)+(COUNTIFS(P32,"&lt;="&amp;$C$1)*10%)+(COUNTIFS(S32,"&lt;="&amp;$C$1)*20%)</f>
        <v>0.7</v>
      </c>
      <c r="F32" s="94">
        <f t="shared" ref="F32" si="159">(COUNTIFS(K32,"&lt;="&amp;$C$1)*50%)+(COUNTIFS(N32,"&lt;="&amp;$C$1)*20%)+(COUNTIFS(Q32,"&lt;="&amp;$C$1)*10%)+(COUNTIFS(T32,"&lt;="&amp;$C$1)*20%)</f>
        <v>0.7</v>
      </c>
      <c r="G32" s="94">
        <f t="shared" ref="G32" si="160">(COUNTIFS(L32,"&lt;="&amp;$C$1)*50%)+(COUNTIFS(O32,"&lt;="&amp;$C$1)*20%)+(COUNTIFS(R32,"&lt;="&amp;$C$1)*10%)+(COUNTIFS(U32,"&lt;="&amp;$C$1)*20%)</f>
        <v>0.7</v>
      </c>
      <c r="H32" s="94">
        <f t="shared" ref="H32" si="161">G32-E32</f>
        <v>0</v>
      </c>
      <c r="I32" s="95">
        <v>0.4</v>
      </c>
      <c r="J32" s="89">
        <v>46227</v>
      </c>
      <c r="K32" s="89">
        <f t="shared" ref="K32" si="162">J32</f>
        <v>46227</v>
      </c>
      <c r="L32" s="89">
        <v>46234</v>
      </c>
      <c r="M32" s="89">
        <f t="shared" ref="M32" si="163">J32+42</f>
        <v>46269</v>
      </c>
      <c r="N32" s="89">
        <f t="shared" ref="N32" si="164">M32</f>
        <v>46269</v>
      </c>
      <c r="O32" s="89">
        <v>46248</v>
      </c>
      <c r="P32" s="89">
        <f t="shared" ref="P32" si="165">M32+42</f>
        <v>46311</v>
      </c>
      <c r="Q32" s="89">
        <f t="shared" ref="Q32" si="166">P32</f>
        <v>46311</v>
      </c>
      <c r="R32" s="89"/>
      <c r="S32" s="89">
        <f t="shared" ref="S32" si="167">P32+14</f>
        <v>46325</v>
      </c>
      <c r="T32" s="89">
        <f t="shared" ref="T32" si="168">S32</f>
        <v>46325</v>
      </c>
      <c r="U32" s="89"/>
      <c r="W32" s="183" t="str">
        <f t="shared" ref="W32" ca="1" si="169">IF(OR(L32&lt;&gt;""),"Completed",
IF(K32="","",IF(K32&lt;TODAY(),"Overdue",
IF(AND(K32&gt;=TODAY()-WEEKDAY(TODAY(),2)+1,K32&lt;=TODAY()-WEEKDAY(TODAY(),2)+7),"Follow-This Week",
IF(AND(K32&gt;=TODAY()-WEEKDAY(TODAY(),2)+8,K32&lt;=TODAY()-WEEKDAY(TODAY(),2)+14),"Follow-Next Week","")))))</f>
        <v>Completed</v>
      </c>
      <c r="X32" s="183" t="str">
        <f t="shared" ref="X32" ca="1" si="170">IF(OR(O32&lt;&gt;""),"Completed",IF(N32="","",
IF(N32&lt;TODAY(),"Overdue",
IF(AND(N32&gt;=TODAY()-WEEKDAY(TODAY(),2)+1,N32&lt;=TODAY()-WEEKDAY(TODAY(),2)+7),"Follow-This Week",
IF(AND(N32&gt;=TODAY()-WEEKDAY(TODAY(),2)+8,N32&lt;=TODAY()-WEEKDAY(TODAY(),2)+14),"Follow-Next Week","")))))</f>
        <v>Completed</v>
      </c>
      <c r="Y32" s="183" t="str">
        <f t="shared" ref="Y32" ca="1" si="171">IF(OR(R32&lt;&gt;""),"Completed",IF(Q32="","",
IF(Q32&lt;TODAY(),"Overdue",
IF(AND(Q32&gt;=TODAY()-WEEKDAY(TODAY(),2)+1,Q32&lt;=TODAY()-WEEKDAY(TODAY(),2)+7),"Follow-This Week",
IF(AND(Q32&gt;=TODAY()-WEEKDAY(TODAY(),2)+8,Q32&lt;=TODAY()-WEEKDAY(TODAY(),2)+14),"Follow-Next Week","")))))</f>
        <v/>
      </c>
      <c r="Z32" s="184" t="str">
        <f t="shared" ref="Z32" ca="1" si="172">IF(OR(U32&lt;&gt;""),"Completed",IF(T32="","",
IF(T32&lt;TODAY(),"Overdue",
IF(AND(T32&gt;=TODAY()-WEEKDAY(TODAY(),2)+1,T32&lt;=TODAY()-WEEKDAY(TODAY(),2)+7),"Follow-This Week",
IF(AND(T32&gt;=TODAY()-WEEKDAY(TODAY(),2)+8,T32&lt;=TODAY()-WEEKDAY(TODAY(),2)+14),"Follow-Next Week","")))))</f>
        <v/>
      </c>
    </row>
    <row r="33" spans="1:26" s="70" customFormat="1" ht="11.5" x14ac:dyDescent="0.25">
      <c r="A33" s="92" t="s">
        <v>66</v>
      </c>
      <c r="B33" s="92" t="s">
        <v>34</v>
      </c>
      <c r="C33" s="92" t="s">
        <v>89</v>
      </c>
      <c r="D33" s="92" t="s">
        <v>90</v>
      </c>
      <c r="E33" s="94">
        <f t="shared" si="15"/>
        <v>0.7</v>
      </c>
      <c r="F33" s="94">
        <f t="shared" si="16"/>
        <v>0.7</v>
      </c>
      <c r="G33" s="94">
        <f t="shared" si="17"/>
        <v>0.7</v>
      </c>
      <c r="H33" s="94">
        <f t="shared" si="18"/>
        <v>0</v>
      </c>
      <c r="I33" s="95">
        <v>0.8</v>
      </c>
      <c r="J33" s="89">
        <v>46241</v>
      </c>
      <c r="K33" s="89">
        <f t="shared" si="4"/>
        <v>46241</v>
      </c>
      <c r="L33" s="89">
        <v>46178</v>
      </c>
      <c r="M33" s="89">
        <f t="shared" si="5"/>
        <v>46283</v>
      </c>
      <c r="N33" s="89">
        <f t="shared" si="6"/>
        <v>46283</v>
      </c>
      <c r="O33" s="89">
        <v>46192</v>
      </c>
      <c r="P33" s="89">
        <f t="shared" si="7"/>
        <v>46325</v>
      </c>
      <c r="Q33" s="89">
        <f t="shared" si="8"/>
        <v>46325</v>
      </c>
      <c r="R33" s="89"/>
      <c r="S33" s="89">
        <f t="shared" si="14"/>
        <v>46339</v>
      </c>
      <c r="T33" s="89">
        <f t="shared" si="9"/>
        <v>46339</v>
      </c>
      <c r="U33" s="89"/>
      <c r="W33" s="169" t="str">
        <f t="shared" ca="1" si="10"/>
        <v>Completed</v>
      </c>
      <c r="X33" s="169" t="str">
        <f t="shared" ca="1" si="11"/>
        <v>Completed</v>
      </c>
      <c r="Y33" s="169" t="str">
        <f t="shared" ca="1" si="12"/>
        <v/>
      </c>
      <c r="Z33" s="170" t="str">
        <f t="shared" ca="1" si="13"/>
        <v/>
      </c>
    </row>
    <row r="34" spans="1:26" s="70" customFormat="1" ht="11.5" x14ac:dyDescent="0.25">
      <c r="A34" s="92" t="s">
        <v>66</v>
      </c>
      <c r="B34" s="92" t="s">
        <v>34</v>
      </c>
      <c r="C34" s="92" t="s">
        <v>91</v>
      </c>
      <c r="D34" s="92" t="s">
        <v>92</v>
      </c>
      <c r="E34" s="94">
        <f t="shared" si="15"/>
        <v>0.5</v>
      </c>
      <c r="F34" s="94">
        <f t="shared" si="16"/>
        <v>0.5</v>
      </c>
      <c r="G34" s="94">
        <f t="shared" si="17"/>
        <v>0.7</v>
      </c>
      <c r="H34" s="94">
        <f t="shared" si="18"/>
        <v>0.19999999999999996</v>
      </c>
      <c r="I34" s="95">
        <v>0.8</v>
      </c>
      <c r="J34" s="89">
        <v>46249</v>
      </c>
      <c r="K34" s="89">
        <f t="shared" si="4"/>
        <v>46249</v>
      </c>
      <c r="L34" s="89">
        <v>46241</v>
      </c>
      <c r="M34" s="89">
        <f t="shared" si="5"/>
        <v>46291</v>
      </c>
      <c r="N34" s="89">
        <f t="shared" si="6"/>
        <v>46291</v>
      </c>
      <c r="O34" s="89">
        <v>46248</v>
      </c>
      <c r="P34" s="89">
        <f t="shared" si="7"/>
        <v>46333</v>
      </c>
      <c r="Q34" s="89">
        <f t="shared" si="8"/>
        <v>46333</v>
      </c>
      <c r="R34" s="89"/>
      <c r="S34" s="89">
        <f t="shared" si="14"/>
        <v>46347</v>
      </c>
      <c r="T34" s="89">
        <f t="shared" si="9"/>
        <v>46347</v>
      </c>
      <c r="U34" s="89"/>
      <c r="W34" s="169" t="str">
        <f t="shared" ca="1" si="10"/>
        <v>Completed</v>
      </c>
      <c r="X34" s="169" t="str">
        <f t="shared" ca="1" si="11"/>
        <v>Completed</v>
      </c>
      <c r="Y34" s="169" t="str">
        <f t="shared" ca="1" si="12"/>
        <v/>
      </c>
      <c r="Z34" s="170" t="str">
        <f t="shared" ca="1" si="13"/>
        <v/>
      </c>
    </row>
    <row r="35" spans="1:26" s="70" customFormat="1" ht="11.5" x14ac:dyDescent="0.25">
      <c r="A35" s="92" t="s">
        <v>66</v>
      </c>
      <c r="B35" s="92" t="s">
        <v>34</v>
      </c>
      <c r="C35" s="92" t="s">
        <v>93</v>
      </c>
      <c r="D35" s="92" t="s">
        <v>94</v>
      </c>
      <c r="E35" s="94">
        <f t="shared" si="15"/>
        <v>0</v>
      </c>
      <c r="F35" s="94">
        <f t="shared" si="16"/>
        <v>0</v>
      </c>
      <c r="G35" s="94">
        <f t="shared" si="17"/>
        <v>0</v>
      </c>
      <c r="H35" s="94">
        <f t="shared" si="18"/>
        <v>0</v>
      </c>
      <c r="I35" s="95">
        <v>0.5</v>
      </c>
      <c r="J35" s="89">
        <v>46302</v>
      </c>
      <c r="K35" s="89">
        <f t="shared" si="4"/>
        <v>46302</v>
      </c>
      <c r="L35" s="89"/>
      <c r="M35" s="89">
        <f t="shared" si="5"/>
        <v>46344</v>
      </c>
      <c r="N35" s="89">
        <f t="shared" si="6"/>
        <v>46344</v>
      </c>
      <c r="O35" s="89"/>
      <c r="P35" s="89">
        <f t="shared" si="7"/>
        <v>46386</v>
      </c>
      <c r="Q35" s="89">
        <f t="shared" si="8"/>
        <v>46386</v>
      </c>
      <c r="R35" s="89"/>
      <c r="S35" s="89">
        <f t="shared" si="14"/>
        <v>46400</v>
      </c>
      <c r="T35" s="89">
        <f t="shared" si="9"/>
        <v>46400</v>
      </c>
      <c r="U35" s="89"/>
      <c r="W35" s="169" t="str">
        <f t="shared" ca="1" si="10"/>
        <v/>
      </c>
      <c r="X35" s="169" t="str">
        <f t="shared" ca="1" si="11"/>
        <v/>
      </c>
      <c r="Y35" s="169" t="str">
        <f t="shared" ca="1" si="12"/>
        <v/>
      </c>
      <c r="Z35" s="170" t="str">
        <f t="shared" ca="1" si="13"/>
        <v/>
      </c>
    </row>
    <row r="36" spans="1:26" s="70" customFormat="1" ht="11.5" x14ac:dyDescent="0.25">
      <c r="A36" s="174" t="s">
        <v>66</v>
      </c>
      <c r="B36" s="174" t="s">
        <v>34</v>
      </c>
      <c r="C36" s="174" t="s">
        <v>95</v>
      </c>
      <c r="D36" s="174" t="s">
        <v>1108</v>
      </c>
      <c r="E36" s="152">
        <f t="shared" si="15"/>
        <v>1</v>
      </c>
      <c r="F36" s="152">
        <f t="shared" si="16"/>
        <v>1</v>
      </c>
      <c r="G36" s="152">
        <f t="shared" si="17"/>
        <v>1</v>
      </c>
      <c r="H36" s="152">
        <f t="shared" si="18"/>
        <v>0</v>
      </c>
      <c r="I36" s="153">
        <v>0.2</v>
      </c>
      <c r="J36" s="155">
        <v>46171</v>
      </c>
      <c r="K36" s="155">
        <f t="shared" si="4"/>
        <v>46171</v>
      </c>
      <c r="L36" s="155">
        <v>46178</v>
      </c>
      <c r="M36" s="155">
        <f t="shared" si="5"/>
        <v>46213</v>
      </c>
      <c r="N36" s="155">
        <f t="shared" si="6"/>
        <v>46213</v>
      </c>
      <c r="O36" s="155">
        <v>46220</v>
      </c>
      <c r="P36" s="155">
        <f t="shared" si="7"/>
        <v>46255</v>
      </c>
      <c r="Q36" s="155">
        <f t="shared" si="8"/>
        <v>46255</v>
      </c>
      <c r="R36" s="155">
        <v>46255</v>
      </c>
      <c r="S36" s="155">
        <f t="shared" si="14"/>
        <v>46269</v>
      </c>
      <c r="T36" s="155">
        <f t="shared" si="9"/>
        <v>46269</v>
      </c>
      <c r="U36" s="155">
        <v>46255</v>
      </c>
      <c r="W36" s="169" t="str">
        <f t="shared" ca="1" si="10"/>
        <v>Completed</v>
      </c>
      <c r="X36" s="169" t="str">
        <f t="shared" ca="1" si="11"/>
        <v>Completed</v>
      </c>
      <c r="Y36" s="169" t="str">
        <f t="shared" ca="1" si="12"/>
        <v>Completed</v>
      </c>
      <c r="Z36" s="170" t="str">
        <f t="shared" ca="1" si="13"/>
        <v>Completed</v>
      </c>
    </row>
    <row r="37" spans="1:26" s="70" customFormat="1" ht="11.5" x14ac:dyDescent="0.25">
      <c r="A37" s="92" t="s">
        <v>66</v>
      </c>
      <c r="B37" s="92" t="s">
        <v>34</v>
      </c>
      <c r="C37" s="92" t="s">
        <v>95</v>
      </c>
      <c r="D37" s="92" t="s">
        <v>1109</v>
      </c>
      <c r="E37" s="94">
        <f t="shared" ref="E37" si="173">(COUNTIFS(J37,"&lt;="&amp;$C$1)*50%)+(COUNTIFS(M37,"&lt;="&amp;$C$1)*20%)+(COUNTIFS(P37,"&lt;="&amp;$C$1)*10%)+(COUNTIFS(S37,"&lt;="&amp;$C$1)*20%)</f>
        <v>1</v>
      </c>
      <c r="F37" s="94">
        <f t="shared" ref="F37" si="174">(COUNTIFS(K37,"&lt;="&amp;$C$1)*50%)+(COUNTIFS(N37,"&lt;="&amp;$C$1)*20%)+(COUNTIFS(Q37,"&lt;="&amp;$C$1)*10%)+(COUNTIFS(T37,"&lt;="&amp;$C$1)*20%)</f>
        <v>1</v>
      </c>
      <c r="G37" s="94">
        <f t="shared" ref="G37" si="175">(COUNTIFS(L37,"&lt;="&amp;$C$1)*50%)+(COUNTIFS(O37,"&lt;="&amp;$C$1)*20%)+(COUNTIFS(R37,"&lt;="&amp;$C$1)*10%)+(COUNTIFS(U37,"&lt;="&amp;$C$1)*20%)</f>
        <v>0.7</v>
      </c>
      <c r="H37" s="94">
        <f t="shared" ref="H37" si="176">G37-E37</f>
        <v>-0.30000000000000004</v>
      </c>
      <c r="I37" s="95">
        <v>0.3</v>
      </c>
      <c r="J37" s="89">
        <v>46171</v>
      </c>
      <c r="K37" s="89">
        <f t="shared" ref="K37" si="177">J37</f>
        <v>46171</v>
      </c>
      <c r="L37" s="89">
        <v>46178</v>
      </c>
      <c r="M37" s="89">
        <f t="shared" ref="M37" si="178">J37+42</f>
        <v>46213</v>
      </c>
      <c r="N37" s="89">
        <f t="shared" ref="N37" si="179">M37</f>
        <v>46213</v>
      </c>
      <c r="O37" s="89">
        <v>46220</v>
      </c>
      <c r="P37" s="89">
        <f t="shared" ref="P37" si="180">M37+42</f>
        <v>46255</v>
      </c>
      <c r="Q37" s="89">
        <f t="shared" ref="Q37" si="181">P37</f>
        <v>46255</v>
      </c>
      <c r="R37" s="89"/>
      <c r="S37" s="89">
        <f t="shared" ref="S37" si="182">P37+14</f>
        <v>46269</v>
      </c>
      <c r="T37" s="89">
        <f t="shared" ref="T37" si="183">S37</f>
        <v>46269</v>
      </c>
      <c r="U37" s="89"/>
      <c r="W37" s="169" t="str">
        <f t="shared" ref="W37" ca="1" si="184">IF(OR(L37&lt;&gt;""),"Completed",
IF(K37="","",IF(K37&lt;TODAY(),"Overdue",
IF(AND(K37&gt;=TODAY()-WEEKDAY(TODAY(),2)+1,K37&lt;=TODAY()-WEEKDAY(TODAY(),2)+7),"Follow-This Week",
IF(AND(K37&gt;=TODAY()-WEEKDAY(TODAY(),2)+8,K37&lt;=TODAY()-WEEKDAY(TODAY(),2)+14),"Follow-Next Week","")))))</f>
        <v>Completed</v>
      </c>
      <c r="X37" s="169" t="str">
        <f t="shared" ref="X37" ca="1" si="185">IF(OR(O37&lt;&gt;""),"Completed",IF(N37="","",
IF(N37&lt;TODAY(),"Overdue",
IF(AND(N37&gt;=TODAY()-WEEKDAY(TODAY(),2)+1,N37&lt;=TODAY()-WEEKDAY(TODAY(),2)+7),"Follow-This Week",
IF(AND(N37&gt;=TODAY()-WEEKDAY(TODAY(),2)+8,N37&lt;=TODAY()-WEEKDAY(TODAY(),2)+14),"Follow-Next Week","")))))</f>
        <v>Completed</v>
      </c>
      <c r="Y37" s="169" t="str">
        <f t="shared" ref="Y37" ca="1" si="186">IF(OR(R37&lt;&gt;""),"Completed",IF(Q37="","",
IF(Q37&lt;TODAY(),"Overdue",
IF(AND(Q37&gt;=TODAY()-WEEKDAY(TODAY(),2)+1,Q37&lt;=TODAY()-WEEKDAY(TODAY(),2)+7),"Follow-This Week",
IF(AND(Q37&gt;=TODAY()-WEEKDAY(TODAY(),2)+8,Q37&lt;=TODAY()-WEEKDAY(TODAY(),2)+14),"Follow-Next Week","")))))</f>
        <v>Overdue</v>
      </c>
      <c r="Z37" s="170" t="str">
        <f t="shared" ref="Z37" ca="1" si="187">IF(OR(U37&lt;&gt;""),"Completed",IF(T37="","",
IF(T37&lt;TODAY(),"Overdue",
IF(AND(T37&gt;=TODAY()-WEEKDAY(TODAY(),2)+1,T37&lt;=TODAY()-WEEKDAY(TODAY(),2)+7),"Follow-This Week",
IF(AND(T37&gt;=TODAY()-WEEKDAY(TODAY(),2)+8,T37&lt;=TODAY()-WEEKDAY(TODAY(),2)+14),"Follow-Next Week","")))))</f>
        <v>Overdue</v>
      </c>
    </row>
    <row r="38" spans="1:26" s="70" customFormat="1" ht="11.5" x14ac:dyDescent="0.25">
      <c r="A38" s="92" t="s">
        <v>66</v>
      </c>
      <c r="B38" s="92" t="s">
        <v>34</v>
      </c>
      <c r="C38" s="92" t="s">
        <v>96</v>
      </c>
      <c r="D38" s="92" t="s">
        <v>97</v>
      </c>
      <c r="E38" s="94">
        <f t="shared" si="15"/>
        <v>0.7</v>
      </c>
      <c r="F38" s="94">
        <f t="shared" si="16"/>
        <v>0.7</v>
      </c>
      <c r="G38" s="94">
        <f t="shared" si="17"/>
        <v>0.7</v>
      </c>
      <c r="H38" s="94">
        <f t="shared" si="18"/>
        <v>0</v>
      </c>
      <c r="I38" s="95">
        <v>0.5</v>
      </c>
      <c r="J38" s="89">
        <v>46227</v>
      </c>
      <c r="K38" s="89">
        <f t="shared" si="4"/>
        <v>46227</v>
      </c>
      <c r="L38" s="89">
        <v>46142</v>
      </c>
      <c r="M38" s="89">
        <f t="shared" si="5"/>
        <v>46269</v>
      </c>
      <c r="N38" s="89">
        <f t="shared" si="6"/>
        <v>46269</v>
      </c>
      <c r="O38" s="146">
        <v>46218</v>
      </c>
      <c r="P38" s="89">
        <f t="shared" si="7"/>
        <v>46311</v>
      </c>
      <c r="Q38" s="89">
        <f t="shared" si="8"/>
        <v>46311</v>
      </c>
      <c r="R38" s="89"/>
      <c r="S38" s="89">
        <f t="shared" si="14"/>
        <v>46325</v>
      </c>
      <c r="T38" s="89">
        <f t="shared" si="9"/>
        <v>46325</v>
      </c>
      <c r="U38" s="89"/>
      <c r="W38" s="169" t="str">
        <f t="shared" ca="1" si="10"/>
        <v>Completed</v>
      </c>
      <c r="X38" s="169" t="str">
        <f t="shared" ca="1" si="11"/>
        <v>Completed</v>
      </c>
      <c r="Y38" s="169" t="str">
        <f t="shared" ca="1" si="12"/>
        <v/>
      </c>
      <c r="Z38" s="170" t="str">
        <f t="shared" ca="1" si="13"/>
        <v/>
      </c>
    </row>
    <row r="39" spans="1:26" s="70" customFormat="1" ht="11.5" x14ac:dyDescent="0.25">
      <c r="A39" s="174" t="s">
        <v>66</v>
      </c>
      <c r="B39" s="174" t="s">
        <v>34</v>
      </c>
      <c r="C39" s="174" t="s">
        <v>809</v>
      </c>
      <c r="D39" s="174" t="s">
        <v>1110</v>
      </c>
      <c r="E39" s="152">
        <f t="shared" si="15"/>
        <v>1</v>
      </c>
      <c r="F39" s="152">
        <f t="shared" si="16"/>
        <v>1</v>
      </c>
      <c r="G39" s="152">
        <f t="shared" si="17"/>
        <v>1</v>
      </c>
      <c r="H39" s="152">
        <f t="shared" si="18"/>
        <v>0</v>
      </c>
      <c r="I39" s="153">
        <v>0.25</v>
      </c>
      <c r="J39" s="155">
        <v>46164</v>
      </c>
      <c r="K39" s="155">
        <f t="shared" si="4"/>
        <v>46164</v>
      </c>
      <c r="L39" s="175">
        <v>46161</v>
      </c>
      <c r="M39" s="155">
        <f t="shared" si="5"/>
        <v>46206</v>
      </c>
      <c r="N39" s="155">
        <f t="shared" si="6"/>
        <v>46206</v>
      </c>
      <c r="O39" s="196">
        <v>46217</v>
      </c>
      <c r="P39" s="155">
        <f t="shared" si="7"/>
        <v>46248</v>
      </c>
      <c r="Q39" s="155">
        <f t="shared" si="8"/>
        <v>46248</v>
      </c>
      <c r="R39" s="155">
        <v>46255</v>
      </c>
      <c r="S39" s="155">
        <f t="shared" si="14"/>
        <v>46262</v>
      </c>
      <c r="T39" s="155">
        <f t="shared" si="9"/>
        <v>46262</v>
      </c>
      <c r="U39" s="155">
        <v>46255</v>
      </c>
      <c r="W39" s="169" t="str">
        <f t="shared" ca="1" si="10"/>
        <v>Completed</v>
      </c>
      <c r="X39" s="169" t="str">
        <f t="shared" ca="1" si="11"/>
        <v>Completed</v>
      </c>
      <c r="Y39" s="169" t="str">
        <f t="shared" ca="1" si="12"/>
        <v>Completed</v>
      </c>
      <c r="Z39" s="170" t="str">
        <f t="shared" ca="1" si="13"/>
        <v>Completed</v>
      </c>
    </row>
    <row r="40" spans="1:26" s="70" customFormat="1" ht="11.5" x14ac:dyDescent="0.25">
      <c r="A40" s="92" t="s">
        <v>66</v>
      </c>
      <c r="B40" s="92" t="s">
        <v>34</v>
      </c>
      <c r="C40" s="92" t="s">
        <v>809</v>
      </c>
      <c r="D40" s="92" t="s">
        <v>1118</v>
      </c>
      <c r="E40" s="94">
        <f t="shared" ref="E40" si="188">(COUNTIFS(J40,"&lt;="&amp;$C$1)*50%)+(COUNTIFS(M40,"&lt;="&amp;$C$1)*20%)+(COUNTIFS(P40,"&lt;="&amp;$C$1)*10%)+(COUNTIFS(S40,"&lt;="&amp;$C$1)*20%)</f>
        <v>1</v>
      </c>
      <c r="F40" s="94">
        <f t="shared" ref="F40" si="189">(COUNTIFS(K40,"&lt;="&amp;$C$1)*50%)+(COUNTIFS(N40,"&lt;="&amp;$C$1)*20%)+(COUNTIFS(Q40,"&lt;="&amp;$C$1)*10%)+(COUNTIFS(T40,"&lt;="&amp;$C$1)*20%)</f>
        <v>1</v>
      </c>
      <c r="G40" s="94">
        <f t="shared" ref="G40" si="190">(COUNTIFS(L40,"&lt;="&amp;$C$1)*50%)+(COUNTIFS(O40,"&lt;="&amp;$C$1)*20%)+(COUNTIFS(R40,"&lt;="&amp;$C$1)*10%)+(COUNTIFS(U40,"&lt;="&amp;$C$1)*20%)</f>
        <v>0.79999999999999993</v>
      </c>
      <c r="H40" s="94">
        <f t="shared" ref="H40" si="191">G40-E40</f>
        <v>-0.20000000000000007</v>
      </c>
      <c r="I40" s="95">
        <v>0.3</v>
      </c>
      <c r="J40" s="89">
        <v>46164</v>
      </c>
      <c r="K40" s="89">
        <f t="shared" ref="K40" si="192">J40</f>
        <v>46164</v>
      </c>
      <c r="L40" s="97">
        <v>46161</v>
      </c>
      <c r="M40" s="89">
        <f t="shared" ref="M40" si="193">J40+42</f>
        <v>46206</v>
      </c>
      <c r="N40" s="89">
        <f t="shared" ref="N40" si="194">M40</f>
        <v>46206</v>
      </c>
      <c r="O40" s="146">
        <v>46217</v>
      </c>
      <c r="P40" s="89">
        <f t="shared" ref="P40" si="195">M40+42</f>
        <v>46248</v>
      </c>
      <c r="Q40" s="89">
        <f t="shared" ref="Q40" si="196">P40</f>
        <v>46248</v>
      </c>
      <c r="R40" s="89">
        <v>46262</v>
      </c>
      <c r="S40" s="89">
        <f t="shared" ref="S40" si="197">P40+14</f>
        <v>46262</v>
      </c>
      <c r="T40" s="89">
        <f t="shared" ref="T40" si="198">S40</f>
        <v>46262</v>
      </c>
      <c r="U40" s="89"/>
      <c r="W40" s="169" t="str">
        <f t="shared" ref="W40" ca="1" si="199">IF(OR(L40&lt;&gt;""),"Completed",
IF(K40="","",IF(K40&lt;TODAY(),"Overdue",
IF(AND(K40&gt;=TODAY()-WEEKDAY(TODAY(),2)+1,K40&lt;=TODAY()-WEEKDAY(TODAY(),2)+7),"Follow-This Week",
IF(AND(K40&gt;=TODAY()-WEEKDAY(TODAY(),2)+8,K40&lt;=TODAY()-WEEKDAY(TODAY(),2)+14),"Follow-Next Week","")))))</f>
        <v>Completed</v>
      </c>
      <c r="X40" s="169" t="str">
        <f t="shared" ref="X40" ca="1" si="200">IF(OR(O40&lt;&gt;""),"Completed",IF(N40="","",
IF(N40&lt;TODAY(),"Overdue",
IF(AND(N40&gt;=TODAY()-WEEKDAY(TODAY(),2)+1,N40&lt;=TODAY()-WEEKDAY(TODAY(),2)+7),"Follow-This Week",
IF(AND(N40&gt;=TODAY()-WEEKDAY(TODAY(),2)+8,N40&lt;=TODAY()-WEEKDAY(TODAY(),2)+14),"Follow-Next Week","")))))</f>
        <v>Completed</v>
      </c>
      <c r="Y40" s="169" t="str">
        <f t="shared" ref="Y40" ca="1" si="201">IF(OR(R40&lt;&gt;""),"Completed",IF(Q40="","",
IF(Q40&lt;TODAY(),"Overdue",
IF(AND(Q40&gt;=TODAY()-WEEKDAY(TODAY(),2)+1,Q40&lt;=TODAY()-WEEKDAY(TODAY(),2)+7),"Follow-This Week",
IF(AND(Q40&gt;=TODAY()-WEEKDAY(TODAY(),2)+8,Q40&lt;=TODAY()-WEEKDAY(TODAY(),2)+14),"Follow-Next Week","")))))</f>
        <v>Completed</v>
      </c>
      <c r="Z40" s="170" t="str">
        <f t="shared" ref="Z40" ca="1" si="202">IF(OR(U40&lt;&gt;""),"Completed",IF(T40="","",
IF(T40&lt;TODAY(),"Overdue",
IF(AND(T40&gt;=TODAY()-WEEKDAY(TODAY(),2)+1,T40&lt;=TODAY()-WEEKDAY(TODAY(),2)+7),"Follow-This Week",
IF(AND(T40&gt;=TODAY()-WEEKDAY(TODAY(),2)+8,T40&lt;=TODAY()-WEEKDAY(TODAY(),2)+14),"Follow-Next Week","")))))</f>
        <v>Overdue</v>
      </c>
    </row>
    <row r="41" spans="1:26" s="70" customFormat="1" ht="11.5" x14ac:dyDescent="0.25">
      <c r="A41" s="92" t="s">
        <v>66</v>
      </c>
      <c r="B41" s="92" t="s">
        <v>34</v>
      </c>
      <c r="C41" s="92" t="s">
        <v>810</v>
      </c>
      <c r="D41" s="92" t="s">
        <v>98</v>
      </c>
      <c r="E41" s="94">
        <f t="shared" si="15"/>
        <v>1</v>
      </c>
      <c r="F41" s="94">
        <f t="shared" si="16"/>
        <v>1</v>
      </c>
      <c r="G41" s="94">
        <f t="shared" si="17"/>
        <v>0.79999999999999993</v>
      </c>
      <c r="H41" s="94">
        <f t="shared" si="18"/>
        <v>-0.20000000000000007</v>
      </c>
      <c r="I41" s="95">
        <v>0.55000000000000004</v>
      </c>
      <c r="J41" s="89">
        <v>46171</v>
      </c>
      <c r="K41" s="89">
        <f t="shared" si="4"/>
        <v>46171</v>
      </c>
      <c r="L41" s="90">
        <v>46171</v>
      </c>
      <c r="M41" s="89">
        <f t="shared" si="5"/>
        <v>46213</v>
      </c>
      <c r="N41" s="89">
        <f t="shared" si="6"/>
        <v>46213</v>
      </c>
      <c r="O41" s="89">
        <v>46214</v>
      </c>
      <c r="P41" s="89">
        <f t="shared" si="7"/>
        <v>46255</v>
      </c>
      <c r="Q41" s="89">
        <f t="shared" si="8"/>
        <v>46255</v>
      </c>
      <c r="R41" s="89">
        <v>46276</v>
      </c>
      <c r="S41" s="89">
        <f t="shared" si="14"/>
        <v>46269</v>
      </c>
      <c r="T41" s="89">
        <f t="shared" si="9"/>
        <v>46269</v>
      </c>
      <c r="U41" s="89"/>
      <c r="W41" s="169" t="str">
        <f t="shared" ca="1" si="10"/>
        <v>Completed</v>
      </c>
      <c r="X41" s="169" t="str">
        <f t="shared" ca="1" si="11"/>
        <v>Completed</v>
      </c>
      <c r="Y41" s="169" t="str">
        <f t="shared" ca="1" si="12"/>
        <v>Completed</v>
      </c>
      <c r="Z41" s="170" t="str">
        <f t="shared" ca="1" si="13"/>
        <v>Overdue</v>
      </c>
    </row>
    <row r="42" spans="1:26" s="70" customFormat="1" ht="11.5" x14ac:dyDescent="0.25">
      <c r="A42" s="92" t="s">
        <v>66</v>
      </c>
      <c r="B42" s="92" t="s">
        <v>34</v>
      </c>
      <c r="C42" s="92" t="s">
        <v>811</v>
      </c>
      <c r="D42" s="92" t="s">
        <v>99</v>
      </c>
      <c r="E42" s="94">
        <f t="shared" si="15"/>
        <v>0.79999999999999993</v>
      </c>
      <c r="F42" s="94">
        <f t="shared" si="16"/>
        <v>0.79999999999999993</v>
      </c>
      <c r="G42" s="94">
        <f t="shared" si="17"/>
        <v>0.79999999999999993</v>
      </c>
      <c r="H42" s="94">
        <f t="shared" si="18"/>
        <v>0</v>
      </c>
      <c r="I42" s="95">
        <v>0.75</v>
      </c>
      <c r="J42" s="89">
        <v>46192</v>
      </c>
      <c r="K42" s="96">
        <f t="shared" si="4"/>
        <v>46192</v>
      </c>
      <c r="L42" s="89">
        <v>46192</v>
      </c>
      <c r="M42" s="89">
        <f t="shared" si="5"/>
        <v>46234</v>
      </c>
      <c r="N42" s="96">
        <f t="shared" si="6"/>
        <v>46234</v>
      </c>
      <c r="O42" s="89">
        <v>46220</v>
      </c>
      <c r="P42" s="89">
        <f t="shared" si="7"/>
        <v>46276</v>
      </c>
      <c r="Q42" s="96">
        <f t="shared" si="8"/>
        <v>46276</v>
      </c>
      <c r="R42" s="89">
        <v>46272</v>
      </c>
      <c r="S42" s="89">
        <f t="shared" si="14"/>
        <v>46290</v>
      </c>
      <c r="T42" s="96">
        <f t="shared" si="9"/>
        <v>46290</v>
      </c>
      <c r="U42" s="89"/>
      <c r="W42" s="169" t="str">
        <f t="shared" ca="1" si="10"/>
        <v>Completed</v>
      </c>
      <c r="X42" s="169" t="str">
        <f t="shared" ca="1" si="11"/>
        <v>Completed</v>
      </c>
      <c r="Y42" s="169" t="str">
        <f t="shared" ca="1" si="12"/>
        <v>Completed</v>
      </c>
      <c r="Z42" s="170" t="str">
        <f t="shared" ca="1" si="13"/>
        <v>Follow-Next Week</v>
      </c>
    </row>
    <row r="43" spans="1:26" s="70" customFormat="1" ht="11.5" x14ac:dyDescent="0.25">
      <c r="A43" s="174" t="s">
        <v>66</v>
      </c>
      <c r="B43" s="174" t="s">
        <v>34</v>
      </c>
      <c r="C43" s="174" t="s">
        <v>100</v>
      </c>
      <c r="D43" s="174" t="s">
        <v>1088</v>
      </c>
      <c r="E43" s="152">
        <f t="shared" si="15"/>
        <v>1</v>
      </c>
      <c r="F43" s="152">
        <f t="shared" si="16"/>
        <v>1</v>
      </c>
      <c r="G43" s="152">
        <f t="shared" si="17"/>
        <v>1</v>
      </c>
      <c r="H43" s="152">
        <f t="shared" si="18"/>
        <v>0</v>
      </c>
      <c r="I43" s="153">
        <v>0.5</v>
      </c>
      <c r="J43" s="155">
        <v>46115</v>
      </c>
      <c r="K43" s="155">
        <f t="shared" si="4"/>
        <v>46115</v>
      </c>
      <c r="L43" s="155">
        <v>46122</v>
      </c>
      <c r="M43" s="155">
        <f t="shared" si="5"/>
        <v>46157</v>
      </c>
      <c r="N43" s="155">
        <f t="shared" si="6"/>
        <v>46157</v>
      </c>
      <c r="O43" s="155">
        <v>46199</v>
      </c>
      <c r="P43" s="155">
        <f t="shared" si="7"/>
        <v>46199</v>
      </c>
      <c r="Q43" s="155">
        <f t="shared" si="8"/>
        <v>46199</v>
      </c>
      <c r="R43" s="155">
        <v>46227</v>
      </c>
      <c r="S43" s="155">
        <f t="shared" si="14"/>
        <v>46213</v>
      </c>
      <c r="T43" s="155">
        <f t="shared" si="9"/>
        <v>46213</v>
      </c>
      <c r="U43" s="155">
        <v>46227</v>
      </c>
      <c r="W43" s="169" t="str">
        <f t="shared" ca="1" si="10"/>
        <v>Completed</v>
      </c>
      <c r="X43" s="169" t="str">
        <f t="shared" ca="1" si="11"/>
        <v>Completed</v>
      </c>
      <c r="Y43" s="169" t="str">
        <f t="shared" ca="1" si="12"/>
        <v>Completed</v>
      </c>
      <c r="Z43" s="170" t="str">
        <f t="shared" ca="1" si="13"/>
        <v>Completed</v>
      </c>
    </row>
    <row r="44" spans="1:26" s="70" customFormat="1" ht="11.5" x14ac:dyDescent="0.25">
      <c r="A44" s="92" t="s">
        <v>66</v>
      </c>
      <c r="B44" s="92" t="s">
        <v>34</v>
      </c>
      <c r="C44" s="92" t="s">
        <v>100</v>
      </c>
      <c r="D44" s="92" t="s">
        <v>1089</v>
      </c>
      <c r="E44" s="94">
        <f t="shared" ref="E44:E45" si="203">(COUNTIFS(J44,"&lt;="&amp;$C$1)*50%)+(COUNTIFS(M44,"&lt;="&amp;$C$1)*20%)+(COUNTIFS(P44,"&lt;="&amp;$C$1)*10%)+(COUNTIFS(S44,"&lt;="&amp;$C$1)*20%)</f>
        <v>1</v>
      </c>
      <c r="F44" s="94">
        <f t="shared" ref="F44:F45" si="204">(COUNTIFS(K44,"&lt;="&amp;$C$1)*50%)+(COUNTIFS(N44,"&lt;="&amp;$C$1)*20%)+(COUNTIFS(Q44,"&lt;="&amp;$C$1)*10%)+(COUNTIFS(T44,"&lt;="&amp;$C$1)*20%)</f>
        <v>1</v>
      </c>
      <c r="G44" s="94">
        <f t="shared" ref="G44:G45" si="205">(COUNTIFS(L44,"&lt;="&amp;$C$1)*50%)+(COUNTIFS(O44,"&lt;="&amp;$C$1)*20%)+(COUNTIFS(R44,"&lt;="&amp;$C$1)*10%)+(COUNTIFS(U44,"&lt;="&amp;$C$1)*20%)</f>
        <v>0.79999999999999993</v>
      </c>
      <c r="H44" s="94">
        <f t="shared" ref="H44:H45" si="206">G44-E44</f>
        <v>-0.20000000000000007</v>
      </c>
      <c r="I44" s="95">
        <v>0.5</v>
      </c>
      <c r="J44" s="89">
        <v>46115</v>
      </c>
      <c r="K44" s="89">
        <f t="shared" ref="K44:K45" si="207">J44</f>
        <v>46115</v>
      </c>
      <c r="L44" s="89">
        <v>46122</v>
      </c>
      <c r="M44" s="89">
        <f t="shared" ref="M44:M45" si="208">J44+42</f>
        <v>46157</v>
      </c>
      <c r="N44" s="89">
        <f t="shared" ref="N44:N45" si="209">M44</f>
        <v>46157</v>
      </c>
      <c r="O44" s="89">
        <v>46199</v>
      </c>
      <c r="P44" s="89">
        <v>46249</v>
      </c>
      <c r="Q44" s="89">
        <f t="shared" ref="Q44:Q45" si="210">P44</f>
        <v>46249</v>
      </c>
      <c r="R44" s="89">
        <v>46249</v>
      </c>
      <c r="S44" s="89">
        <f t="shared" ref="S44:S45" si="211">P44+14</f>
        <v>46263</v>
      </c>
      <c r="T44" s="89">
        <f t="shared" ref="T44:T45" si="212">S44</f>
        <v>46263</v>
      </c>
      <c r="U44" s="89"/>
      <c r="W44" s="169" t="str">
        <f t="shared" ref="W44:W45" ca="1" si="213">IF(OR(L44&lt;&gt;""),"Completed",
IF(K44="","",IF(K44&lt;TODAY(),"Overdue",
IF(AND(K44&gt;=TODAY()-WEEKDAY(TODAY(),2)+1,K44&lt;=TODAY()-WEEKDAY(TODAY(),2)+7),"Follow-This Week",
IF(AND(K44&gt;=TODAY()-WEEKDAY(TODAY(),2)+8,K44&lt;=TODAY()-WEEKDAY(TODAY(),2)+14),"Follow-Next Week","")))))</f>
        <v>Completed</v>
      </c>
      <c r="X44" s="169" t="str">
        <f t="shared" ref="X44:X45" ca="1" si="214">IF(OR(O44&lt;&gt;""),"Completed",IF(N44="","",
IF(N44&lt;TODAY(),"Overdue",
IF(AND(N44&gt;=TODAY()-WEEKDAY(TODAY(),2)+1,N44&lt;=TODAY()-WEEKDAY(TODAY(),2)+7),"Follow-This Week",
IF(AND(N44&gt;=TODAY()-WEEKDAY(TODAY(),2)+8,N44&lt;=TODAY()-WEEKDAY(TODAY(),2)+14),"Follow-Next Week","")))))</f>
        <v>Completed</v>
      </c>
      <c r="Y44" s="169" t="str">
        <f t="shared" ref="Y44:Y45" ca="1" si="215">IF(OR(R44&lt;&gt;""),"Completed",IF(Q44="","",
IF(Q44&lt;TODAY(),"Overdue",
IF(AND(Q44&gt;=TODAY()-WEEKDAY(TODAY(),2)+1,Q44&lt;=TODAY()-WEEKDAY(TODAY(),2)+7),"Follow-This Week",
IF(AND(Q44&gt;=TODAY()-WEEKDAY(TODAY(),2)+8,Q44&lt;=TODAY()-WEEKDAY(TODAY(),2)+14),"Follow-Next Week","")))))</f>
        <v>Completed</v>
      </c>
      <c r="Z44" s="170" t="str">
        <f t="shared" ref="Z44:Z45" ca="1" si="216">IF(OR(U44&lt;&gt;""),"Completed",IF(T44="","",
IF(T44&lt;TODAY(),"Overdue",
IF(AND(T44&gt;=TODAY()-WEEKDAY(TODAY(),2)+1,T44&lt;=TODAY()-WEEKDAY(TODAY(),2)+7),"Follow-This Week",
IF(AND(T44&gt;=TODAY()-WEEKDAY(TODAY(),2)+8,T44&lt;=TODAY()-WEEKDAY(TODAY(),2)+14),"Follow-Next Week","")))))</f>
        <v>Overdue</v>
      </c>
    </row>
    <row r="45" spans="1:26" s="70" customFormat="1" ht="11.5" x14ac:dyDescent="0.25">
      <c r="A45" s="174" t="s">
        <v>66</v>
      </c>
      <c r="B45" s="174" t="s">
        <v>34</v>
      </c>
      <c r="C45" s="174" t="s">
        <v>101</v>
      </c>
      <c r="D45" s="174" t="s">
        <v>102</v>
      </c>
      <c r="E45" s="152">
        <f t="shared" si="203"/>
        <v>1</v>
      </c>
      <c r="F45" s="152">
        <f t="shared" si="204"/>
        <v>1</v>
      </c>
      <c r="G45" s="152">
        <f t="shared" si="205"/>
        <v>1</v>
      </c>
      <c r="H45" s="152">
        <f t="shared" si="206"/>
        <v>0</v>
      </c>
      <c r="I45" s="153">
        <v>0.4</v>
      </c>
      <c r="J45" s="155">
        <v>46178</v>
      </c>
      <c r="K45" s="155">
        <f t="shared" si="207"/>
        <v>46178</v>
      </c>
      <c r="L45" s="155">
        <v>46206</v>
      </c>
      <c r="M45" s="155">
        <f t="shared" si="208"/>
        <v>46220</v>
      </c>
      <c r="N45" s="155">
        <f t="shared" si="209"/>
        <v>46220</v>
      </c>
      <c r="O45" s="155">
        <v>46212</v>
      </c>
      <c r="P45" s="155">
        <f t="shared" ref="P45" si="217">M45+42</f>
        <v>46262</v>
      </c>
      <c r="Q45" s="155">
        <f t="shared" si="210"/>
        <v>46262</v>
      </c>
      <c r="R45" s="155">
        <v>46262</v>
      </c>
      <c r="S45" s="155">
        <f t="shared" si="211"/>
        <v>46276</v>
      </c>
      <c r="T45" s="155">
        <f t="shared" si="212"/>
        <v>46276</v>
      </c>
      <c r="U45" s="155">
        <v>46262</v>
      </c>
      <c r="W45" s="169" t="str">
        <f t="shared" ca="1" si="213"/>
        <v>Completed</v>
      </c>
      <c r="X45" s="169" t="str">
        <f t="shared" ca="1" si="214"/>
        <v>Completed</v>
      </c>
      <c r="Y45" s="169" t="str">
        <f t="shared" ca="1" si="215"/>
        <v>Completed</v>
      </c>
      <c r="Z45" s="170" t="str">
        <f t="shared" ca="1" si="216"/>
        <v>Completed</v>
      </c>
    </row>
    <row r="46" spans="1:26" s="70" customFormat="1" ht="11.5" x14ac:dyDescent="0.25">
      <c r="A46" s="92" t="s">
        <v>66</v>
      </c>
      <c r="B46" s="92" t="s">
        <v>34</v>
      </c>
      <c r="C46" s="92" t="s">
        <v>101</v>
      </c>
      <c r="D46" s="92" t="s">
        <v>1161</v>
      </c>
      <c r="E46" s="94">
        <f t="shared" si="15"/>
        <v>1</v>
      </c>
      <c r="F46" s="94">
        <f t="shared" si="16"/>
        <v>1</v>
      </c>
      <c r="G46" s="94">
        <f t="shared" si="17"/>
        <v>0.7</v>
      </c>
      <c r="H46" s="94">
        <f t="shared" si="18"/>
        <v>-0.30000000000000004</v>
      </c>
      <c r="I46" s="95">
        <v>0.1</v>
      </c>
      <c r="J46" s="89">
        <v>46178</v>
      </c>
      <c r="K46" s="89">
        <f t="shared" si="4"/>
        <v>46178</v>
      </c>
      <c r="L46" s="89">
        <v>46206</v>
      </c>
      <c r="M46" s="89">
        <f t="shared" si="5"/>
        <v>46220</v>
      </c>
      <c r="N46" s="89">
        <f t="shared" si="6"/>
        <v>46220</v>
      </c>
      <c r="O46" s="89">
        <v>46212</v>
      </c>
      <c r="P46" s="89">
        <f t="shared" si="7"/>
        <v>46262</v>
      </c>
      <c r="Q46" s="89">
        <f t="shared" si="8"/>
        <v>46262</v>
      </c>
      <c r="R46" s="89"/>
      <c r="S46" s="89">
        <f t="shared" si="14"/>
        <v>46276</v>
      </c>
      <c r="T46" s="89">
        <f t="shared" si="9"/>
        <v>46276</v>
      </c>
      <c r="U46" s="89"/>
      <c r="W46" s="169" t="str">
        <f t="shared" ca="1" si="10"/>
        <v>Completed</v>
      </c>
      <c r="X46" s="169" t="str">
        <f t="shared" ca="1" si="11"/>
        <v>Completed</v>
      </c>
      <c r="Y46" s="169" t="str">
        <f t="shared" ca="1" si="12"/>
        <v>Overdue</v>
      </c>
      <c r="Z46" s="170" t="str">
        <f t="shared" ca="1" si="13"/>
        <v>Overdue</v>
      </c>
    </row>
    <row r="47" spans="1:26" s="70" customFormat="1" ht="11.5" x14ac:dyDescent="0.25">
      <c r="A47" s="98" t="s">
        <v>66</v>
      </c>
      <c r="B47" s="98" t="s">
        <v>34</v>
      </c>
      <c r="C47" s="98" t="s">
        <v>103</v>
      </c>
      <c r="D47" s="99" t="s">
        <v>104</v>
      </c>
      <c r="E47" s="100">
        <f t="shared" si="15"/>
        <v>1</v>
      </c>
      <c r="F47" s="100">
        <f t="shared" si="16"/>
        <v>1</v>
      </c>
      <c r="G47" s="100">
        <f t="shared" si="17"/>
        <v>1</v>
      </c>
      <c r="H47" s="100">
        <f t="shared" si="18"/>
        <v>0</v>
      </c>
      <c r="I47" s="95">
        <v>0.4</v>
      </c>
      <c r="J47" s="90">
        <v>46185</v>
      </c>
      <c r="K47" s="90">
        <f t="shared" si="4"/>
        <v>46185</v>
      </c>
      <c r="L47" s="89">
        <v>46206</v>
      </c>
      <c r="M47" s="90">
        <f t="shared" si="5"/>
        <v>46227</v>
      </c>
      <c r="N47" s="90">
        <f t="shared" si="6"/>
        <v>46227</v>
      </c>
      <c r="O47" s="89">
        <v>46212</v>
      </c>
      <c r="P47" s="90">
        <f t="shared" si="7"/>
        <v>46269</v>
      </c>
      <c r="Q47" s="90">
        <f t="shared" si="8"/>
        <v>46269</v>
      </c>
      <c r="R47" s="90">
        <v>46276</v>
      </c>
      <c r="S47" s="89">
        <f t="shared" si="14"/>
        <v>46283</v>
      </c>
      <c r="T47" s="90">
        <f t="shared" si="9"/>
        <v>46283</v>
      </c>
      <c r="U47" s="90">
        <v>46276</v>
      </c>
      <c r="W47" s="169" t="str">
        <f t="shared" ca="1" si="10"/>
        <v>Completed</v>
      </c>
      <c r="X47" s="169" t="str">
        <f t="shared" ca="1" si="11"/>
        <v>Completed</v>
      </c>
      <c r="Y47" s="169" t="str">
        <f t="shared" ca="1" si="12"/>
        <v>Completed</v>
      </c>
      <c r="Z47" s="170" t="str">
        <f t="shared" ca="1" si="13"/>
        <v>Completed</v>
      </c>
    </row>
    <row r="48" spans="1:26" s="70" customFormat="1" ht="11.5" x14ac:dyDescent="0.25">
      <c r="A48" s="98" t="s">
        <v>66</v>
      </c>
      <c r="B48" s="98" t="s">
        <v>34</v>
      </c>
      <c r="C48" s="98" t="s">
        <v>103</v>
      </c>
      <c r="D48" s="99" t="s">
        <v>104</v>
      </c>
      <c r="E48" s="100">
        <f t="shared" ref="E48:E49" si="218">(COUNTIFS(J48,"&lt;="&amp;$C$1)*50%)+(COUNTIFS(M48,"&lt;="&amp;$C$1)*20%)+(COUNTIFS(P48,"&lt;="&amp;$C$1)*10%)+(COUNTIFS(S48,"&lt;="&amp;$C$1)*20%)</f>
        <v>1</v>
      </c>
      <c r="F48" s="100">
        <f t="shared" ref="F48:F49" si="219">(COUNTIFS(K48,"&lt;="&amp;$C$1)*50%)+(COUNTIFS(N48,"&lt;="&amp;$C$1)*20%)+(COUNTIFS(Q48,"&lt;="&amp;$C$1)*10%)+(COUNTIFS(T48,"&lt;="&amp;$C$1)*20%)</f>
        <v>1</v>
      </c>
      <c r="G48" s="100">
        <f t="shared" ref="G48:G49" si="220">(COUNTIFS(L48,"&lt;="&amp;$C$1)*50%)+(COUNTIFS(O48,"&lt;="&amp;$C$1)*20%)+(COUNTIFS(R48,"&lt;="&amp;$C$1)*10%)+(COUNTIFS(U48,"&lt;="&amp;$C$1)*20%)</f>
        <v>0.7</v>
      </c>
      <c r="H48" s="100">
        <f t="shared" ref="H48:H49" si="221">G48-E48</f>
        <v>-0.30000000000000004</v>
      </c>
      <c r="I48" s="95">
        <v>0.1</v>
      </c>
      <c r="J48" s="90">
        <v>46185</v>
      </c>
      <c r="K48" s="90">
        <f t="shared" ref="K48" si="222">J48</f>
        <v>46185</v>
      </c>
      <c r="L48" s="89">
        <v>46206</v>
      </c>
      <c r="M48" s="90">
        <f t="shared" ref="M48" si="223">J48+42</f>
        <v>46227</v>
      </c>
      <c r="N48" s="90">
        <f t="shared" ref="N48" si="224">M48</f>
        <v>46227</v>
      </c>
      <c r="O48" s="89">
        <v>46212</v>
      </c>
      <c r="P48" s="90">
        <f t="shared" ref="P48" si="225">M48+42</f>
        <v>46269</v>
      </c>
      <c r="Q48" s="90">
        <f t="shared" ref="Q48" si="226">P48</f>
        <v>46269</v>
      </c>
      <c r="R48" s="90"/>
      <c r="S48" s="89">
        <f t="shared" ref="S48" si="227">P48+14</f>
        <v>46283</v>
      </c>
      <c r="T48" s="90">
        <f t="shared" ref="T48" si="228">S48</f>
        <v>46283</v>
      </c>
      <c r="U48" s="90"/>
      <c r="W48" s="169" t="str">
        <f t="shared" ref="W48" ca="1" si="229">IF(OR(L48&lt;&gt;""),"Completed",
IF(K48="","",IF(K48&lt;TODAY(),"Overdue",
IF(AND(K48&gt;=TODAY()-WEEKDAY(TODAY(),2)+1,K48&lt;=TODAY()-WEEKDAY(TODAY(),2)+7),"Follow-This Week",
IF(AND(K48&gt;=TODAY()-WEEKDAY(TODAY(),2)+8,K48&lt;=TODAY()-WEEKDAY(TODAY(),2)+14),"Follow-Next Week","")))))</f>
        <v>Completed</v>
      </c>
      <c r="X48" s="169" t="str">
        <f t="shared" ref="X48" ca="1" si="230">IF(OR(O48&lt;&gt;""),"Completed",IF(N48="","",
IF(N48&lt;TODAY(),"Overdue",
IF(AND(N48&gt;=TODAY()-WEEKDAY(TODAY(),2)+1,N48&lt;=TODAY()-WEEKDAY(TODAY(),2)+7),"Follow-This Week",
IF(AND(N48&gt;=TODAY()-WEEKDAY(TODAY(),2)+8,N48&lt;=TODAY()-WEEKDAY(TODAY(),2)+14),"Follow-Next Week","")))))</f>
        <v>Completed</v>
      </c>
      <c r="Y48" s="169" t="str">
        <f t="shared" ref="Y48" ca="1" si="231">IF(OR(R48&lt;&gt;""),"Completed",IF(Q48="","",
IF(Q48&lt;TODAY(),"Overdue",
IF(AND(Q48&gt;=TODAY()-WEEKDAY(TODAY(),2)+1,Q48&lt;=TODAY()-WEEKDAY(TODAY(),2)+7),"Follow-This Week",
IF(AND(Q48&gt;=TODAY()-WEEKDAY(TODAY(),2)+8,Q48&lt;=TODAY()-WEEKDAY(TODAY(),2)+14),"Follow-Next Week","")))))</f>
        <v>Overdue</v>
      </c>
      <c r="Z48" s="170" t="str">
        <f t="shared" ref="Z48" ca="1" si="232">IF(OR(U48&lt;&gt;""),"Completed",IF(T48="","",
IF(T48&lt;TODAY(),"Overdue",
IF(AND(T48&gt;=TODAY()-WEEKDAY(TODAY(),2)+1,T48&lt;=TODAY()-WEEKDAY(TODAY(),2)+7),"Follow-This Week",
IF(AND(T48&gt;=TODAY()-WEEKDAY(TODAY(),2)+8,T48&lt;=TODAY()-WEEKDAY(TODAY(),2)+14),"Follow-Next Week","")))))</f>
        <v>Overdue</v>
      </c>
    </row>
    <row r="49" spans="1:26" s="70" customFormat="1" ht="11.5" x14ac:dyDescent="0.25">
      <c r="A49" s="174" t="s">
        <v>66</v>
      </c>
      <c r="B49" s="174" t="s">
        <v>34</v>
      </c>
      <c r="C49" s="151" t="s">
        <v>865</v>
      </c>
      <c r="D49" s="151" t="s">
        <v>1178</v>
      </c>
      <c r="E49" s="100">
        <f t="shared" si="218"/>
        <v>1</v>
      </c>
      <c r="F49" s="100">
        <f t="shared" si="219"/>
        <v>1</v>
      </c>
      <c r="G49" s="100">
        <f t="shared" si="220"/>
        <v>1</v>
      </c>
      <c r="H49" s="100">
        <f t="shared" si="221"/>
        <v>0</v>
      </c>
      <c r="I49" s="153">
        <v>0.3</v>
      </c>
      <c r="J49" s="154">
        <v>46122</v>
      </c>
      <c r="K49" s="154">
        <f t="shared" ref="K49" si="233">J49</f>
        <v>46122</v>
      </c>
      <c r="L49" s="155">
        <v>46115</v>
      </c>
      <c r="M49" s="155">
        <f t="shared" si="5"/>
        <v>46164</v>
      </c>
      <c r="N49" s="155">
        <f t="shared" si="6"/>
        <v>46164</v>
      </c>
      <c r="O49" s="155">
        <v>46191</v>
      </c>
      <c r="P49" s="155">
        <f t="shared" si="7"/>
        <v>46206</v>
      </c>
      <c r="Q49" s="155">
        <f t="shared" si="8"/>
        <v>46206</v>
      </c>
      <c r="R49" s="155">
        <v>46262</v>
      </c>
      <c r="S49" s="155">
        <f t="shared" si="14"/>
        <v>46220</v>
      </c>
      <c r="T49" s="155">
        <f t="shared" si="9"/>
        <v>46220</v>
      </c>
      <c r="U49" s="155">
        <v>46262</v>
      </c>
      <c r="W49" s="169" t="str">
        <f t="shared" ref="W49" ca="1" si="234">IF(OR(L49&lt;&gt;""),"Completed",
IF(K49="","",IF(K49&lt;TODAY(),"Overdue",
IF(AND(K49&gt;=TODAY()-WEEKDAY(TODAY(),2)+1,K49&lt;=TODAY()-WEEKDAY(TODAY(),2)+7),"Follow-This Week",
IF(AND(K49&gt;=TODAY()-WEEKDAY(TODAY(),2)+8,K49&lt;=TODAY()-WEEKDAY(TODAY(),2)+14),"Follow-Next Week","")))))</f>
        <v>Completed</v>
      </c>
      <c r="X49" s="169" t="str">
        <f t="shared" ref="X49" ca="1" si="235">IF(OR(O49&lt;&gt;""),"Completed",IF(N49="","",
IF(N49&lt;TODAY(),"Overdue",
IF(AND(N49&gt;=TODAY()-WEEKDAY(TODAY(),2)+1,N49&lt;=TODAY()-WEEKDAY(TODAY(),2)+7),"Follow-This Week",
IF(AND(N49&gt;=TODAY()-WEEKDAY(TODAY(),2)+8,N49&lt;=TODAY()-WEEKDAY(TODAY(),2)+14),"Follow-Next Week","")))))</f>
        <v>Completed</v>
      </c>
      <c r="Y49" s="169" t="str">
        <f t="shared" ref="Y49" ca="1" si="236">IF(OR(R49&lt;&gt;""),"Completed",IF(Q49="","",
IF(Q49&lt;TODAY(),"Overdue",
IF(AND(Q49&gt;=TODAY()-WEEKDAY(TODAY(),2)+1,Q49&lt;=TODAY()-WEEKDAY(TODAY(),2)+7),"Follow-This Week",
IF(AND(Q49&gt;=TODAY()-WEEKDAY(TODAY(),2)+8,Q49&lt;=TODAY()-WEEKDAY(TODAY(),2)+14),"Follow-Next Week","")))))</f>
        <v>Completed</v>
      </c>
      <c r="Z49" s="170" t="str">
        <f t="shared" ref="Z49" ca="1" si="237">IF(OR(U49&lt;&gt;""),"Completed",IF(T49="","",
IF(T49&lt;TODAY(),"Overdue",
IF(AND(T49&gt;=TODAY()-WEEKDAY(TODAY(),2)+1,T49&lt;=TODAY()-WEEKDAY(TODAY(),2)+7),"Follow-This Week",
IF(AND(T49&gt;=TODAY()-WEEKDAY(TODAY(),2)+8,T49&lt;=TODAY()-WEEKDAY(TODAY(),2)+14),"Follow-Next Week","")))))</f>
        <v>Completed</v>
      </c>
    </row>
    <row r="50" spans="1:26" s="70" customFormat="1" ht="11.5" x14ac:dyDescent="0.25">
      <c r="A50" s="174" t="s">
        <v>66</v>
      </c>
      <c r="B50" s="174" t="s">
        <v>34</v>
      </c>
      <c r="C50" s="151" t="s">
        <v>865</v>
      </c>
      <c r="D50" s="151" t="s">
        <v>1179</v>
      </c>
      <c r="E50" s="100">
        <f t="shared" ref="E50:E54" si="238">(COUNTIFS(J50,"&lt;="&amp;$C$1)*50%)+(COUNTIFS(M50,"&lt;="&amp;$C$1)*20%)+(COUNTIFS(P50,"&lt;="&amp;$C$1)*10%)+(COUNTIFS(S50,"&lt;="&amp;$C$1)*20%)</f>
        <v>1</v>
      </c>
      <c r="F50" s="100">
        <f t="shared" ref="F50:F54" si="239">(COUNTIFS(K50,"&lt;="&amp;$C$1)*50%)+(COUNTIFS(N50,"&lt;="&amp;$C$1)*20%)+(COUNTIFS(Q50,"&lt;="&amp;$C$1)*10%)+(COUNTIFS(T50,"&lt;="&amp;$C$1)*20%)</f>
        <v>1</v>
      </c>
      <c r="G50" s="100">
        <f t="shared" ref="G50:G54" si="240">(COUNTIFS(L50,"&lt;="&amp;$C$1)*50%)+(COUNTIFS(O50,"&lt;="&amp;$C$1)*20%)+(COUNTIFS(R50,"&lt;="&amp;$C$1)*10%)+(COUNTIFS(U50,"&lt;="&amp;$C$1)*20%)</f>
        <v>1</v>
      </c>
      <c r="H50" s="100">
        <f t="shared" ref="H50:H54" si="241">G50-E50</f>
        <v>0</v>
      </c>
      <c r="I50" s="153">
        <v>0.1</v>
      </c>
      <c r="J50" s="154">
        <v>46122</v>
      </c>
      <c r="K50" s="154">
        <f t="shared" si="4"/>
        <v>46122</v>
      </c>
      <c r="L50" s="155">
        <v>46115</v>
      </c>
      <c r="M50" s="155">
        <f t="shared" ref="M50:M56" si="242">J50+42</f>
        <v>46164</v>
      </c>
      <c r="N50" s="155">
        <f t="shared" ref="N50:N56" si="243">M50</f>
        <v>46164</v>
      </c>
      <c r="O50" s="155">
        <v>46191</v>
      </c>
      <c r="P50" s="155">
        <f t="shared" ref="P50:P56" si="244">M50+42</f>
        <v>46206</v>
      </c>
      <c r="Q50" s="155">
        <f t="shared" ref="Q50:Q56" si="245">P50</f>
        <v>46206</v>
      </c>
      <c r="R50" s="155">
        <v>46276</v>
      </c>
      <c r="S50" s="155">
        <f t="shared" ref="S50:S56" si="246">P50+14</f>
        <v>46220</v>
      </c>
      <c r="T50" s="155">
        <f t="shared" ref="T50:T56" si="247">S50</f>
        <v>46220</v>
      </c>
      <c r="U50" s="154">
        <v>46276</v>
      </c>
      <c r="W50" s="169" t="str">
        <f t="shared" ca="1" si="10"/>
        <v>Completed</v>
      </c>
      <c r="X50" s="169" t="str">
        <f t="shared" ca="1" si="11"/>
        <v>Completed</v>
      </c>
      <c r="Y50" s="169" t="str">
        <f t="shared" ca="1" si="12"/>
        <v>Completed</v>
      </c>
      <c r="Z50" s="170" t="str">
        <f t="shared" ca="1" si="13"/>
        <v>Completed</v>
      </c>
    </row>
    <row r="51" spans="1:26" s="70" customFormat="1" ht="11.5" x14ac:dyDescent="0.25">
      <c r="A51" s="174" t="s">
        <v>66</v>
      </c>
      <c r="B51" s="174" t="s">
        <v>34</v>
      </c>
      <c r="C51" s="151" t="s">
        <v>866</v>
      </c>
      <c r="D51" s="151" t="s">
        <v>1180</v>
      </c>
      <c r="E51" s="100">
        <f t="shared" si="238"/>
        <v>1</v>
      </c>
      <c r="F51" s="100">
        <f t="shared" si="239"/>
        <v>1</v>
      </c>
      <c r="G51" s="100">
        <f t="shared" si="240"/>
        <v>1</v>
      </c>
      <c r="H51" s="100">
        <f t="shared" si="241"/>
        <v>0</v>
      </c>
      <c r="I51" s="153">
        <v>0.3</v>
      </c>
      <c r="J51" s="154">
        <v>46129</v>
      </c>
      <c r="K51" s="154">
        <f t="shared" ref="K51" si="248">J51</f>
        <v>46129</v>
      </c>
      <c r="L51" s="155">
        <v>46142</v>
      </c>
      <c r="M51" s="154">
        <f t="shared" ref="M51" si="249">J51+42</f>
        <v>46171</v>
      </c>
      <c r="N51" s="154">
        <f t="shared" ref="N51" si="250">M51</f>
        <v>46171</v>
      </c>
      <c r="O51" s="155">
        <v>46191</v>
      </c>
      <c r="P51" s="154">
        <f t="shared" ref="P51" si="251">M51+42</f>
        <v>46213</v>
      </c>
      <c r="Q51" s="154">
        <f t="shared" ref="Q51" si="252">P51</f>
        <v>46213</v>
      </c>
      <c r="R51" s="155">
        <v>46262</v>
      </c>
      <c r="S51" s="155">
        <f t="shared" ref="S51" si="253">P51+14</f>
        <v>46227</v>
      </c>
      <c r="T51" s="154">
        <f t="shared" ref="T51" si="254">S51</f>
        <v>46227</v>
      </c>
      <c r="U51" s="155">
        <v>46262</v>
      </c>
      <c r="W51" s="169" t="str">
        <f t="shared" ref="W51" ca="1" si="255">IF(OR(L51&lt;&gt;""),"Completed",
IF(K51="","",IF(K51&lt;TODAY(),"Overdue",
IF(AND(K51&gt;=TODAY()-WEEKDAY(TODAY(),2)+1,K51&lt;=TODAY()-WEEKDAY(TODAY(),2)+7),"Follow-This Week",
IF(AND(K51&gt;=TODAY()-WEEKDAY(TODAY(),2)+8,K51&lt;=TODAY()-WEEKDAY(TODAY(),2)+14),"Follow-Next Week","")))))</f>
        <v>Completed</v>
      </c>
      <c r="X51" s="169" t="str">
        <f t="shared" ref="X51" ca="1" si="256">IF(OR(O51&lt;&gt;""),"Completed",IF(N51="","",
IF(N51&lt;TODAY(),"Overdue",
IF(AND(N51&gt;=TODAY()-WEEKDAY(TODAY(),2)+1,N51&lt;=TODAY()-WEEKDAY(TODAY(),2)+7),"Follow-This Week",
IF(AND(N51&gt;=TODAY()-WEEKDAY(TODAY(),2)+8,N51&lt;=TODAY()-WEEKDAY(TODAY(),2)+14),"Follow-Next Week","")))))</f>
        <v>Completed</v>
      </c>
      <c r="Y51" s="169" t="str">
        <f t="shared" ref="Y51" ca="1" si="257">IF(OR(R51&lt;&gt;""),"Completed",IF(Q51="","",
IF(Q51&lt;TODAY(),"Overdue",
IF(AND(Q51&gt;=TODAY()-WEEKDAY(TODAY(),2)+1,Q51&lt;=TODAY()-WEEKDAY(TODAY(),2)+7),"Follow-This Week",
IF(AND(Q51&gt;=TODAY()-WEEKDAY(TODAY(),2)+8,Q51&lt;=TODAY()-WEEKDAY(TODAY(),2)+14),"Follow-Next Week","")))))</f>
        <v>Completed</v>
      </c>
      <c r="Z51" s="170" t="str">
        <f t="shared" ref="Z51" ca="1" si="258">IF(OR(U51&lt;&gt;""),"Completed",IF(T51="","",
IF(T51&lt;TODAY(),"Overdue",
IF(AND(T51&gt;=TODAY()-WEEKDAY(TODAY(),2)+1,T51&lt;=TODAY()-WEEKDAY(TODAY(),2)+7),"Follow-This Week",
IF(AND(T51&gt;=TODAY()-WEEKDAY(TODAY(),2)+8,T51&lt;=TODAY()-WEEKDAY(TODAY(),2)+14),"Follow-Next Week","")))))</f>
        <v>Completed</v>
      </c>
    </row>
    <row r="52" spans="1:26" s="70" customFormat="1" ht="11.5" x14ac:dyDescent="0.25">
      <c r="A52" s="174" t="s">
        <v>66</v>
      </c>
      <c r="B52" s="174" t="s">
        <v>34</v>
      </c>
      <c r="C52" s="151" t="s">
        <v>866</v>
      </c>
      <c r="D52" s="151" t="s">
        <v>1164</v>
      </c>
      <c r="E52" s="100">
        <f t="shared" si="238"/>
        <v>1</v>
      </c>
      <c r="F52" s="100">
        <f t="shared" si="239"/>
        <v>1</v>
      </c>
      <c r="G52" s="100">
        <f t="shared" si="240"/>
        <v>1</v>
      </c>
      <c r="H52" s="100">
        <f t="shared" si="241"/>
        <v>0</v>
      </c>
      <c r="I52" s="153">
        <v>0.1</v>
      </c>
      <c r="J52" s="154">
        <v>46129</v>
      </c>
      <c r="K52" s="154">
        <f t="shared" si="4"/>
        <v>46129</v>
      </c>
      <c r="L52" s="155">
        <v>46142</v>
      </c>
      <c r="M52" s="154">
        <f t="shared" si="242"/>
        <v>46171</v>
      </c>
      <c r="N52" s="154">
        <f t="shared" si="243"/>
        <v>46171</v>
      </c>
      <c r="O52" s="155">
        <v>46191</v>
      </c>
      <c r="P52" s="154">
        <f t="shared" si="244"/>
        <v>46213</v>
      </c>
      <c r="Q52" s="154">
        <f t="shared" si="245"/>
        <v>46213</v>
      </c>
      <c r="R52" s="154">
        <v>46276</v>
      </c>
      <c r="S52" s="155">
        <f t="shared" si="246"/>
        <v>46227</v>
      </c>
      <c r="T52" s="154">
        <f t="shared" si="247"/>
        <v>46227</v>
      </c>
      <c r="U52" s="154">
        <v>46276</v>
      </c>
      <c r="W52" s="169" t="str">
        <f t="shared" ca="1" si="10"/>
        <v>Completed</v>
      </c>
      <c r="X52" s="169" t="str">
        <f t="shared" ca="1" si="11"/>
        <v>Completed</v>
      </c>
      <c r="Y52" s="169" t="str">
        <f t="shared" ca="1" si="12"/>
        <v>Completed</v>
      </c>
      <c r="Z52" s="170" t="str">
        <f t="shared" ca="1" si="13"/>
        <v>Completed</v>
      </c>
    </row>
    <row r="53" spans="1:26" s="70" customFormat="1" ht="11.5" x14ac:dyDescent="0.25">
      <c r="A53" s="151" t="s">
        <v>66</v>
      </c>
      <c r="B53" s="151" t="s">
        <v>34</v>
      </c>
      <c r="C53" s="151" t="s">
        <v>867</v>
      </c>
      <c r="D53" s="151" t="s">
        <v>1181</v>
      </c>
      <c r="E53" s="100">
        <f t="shared" si="238"/>
        <v>1</v>
      </c>
      <c r="F53" s="100">
        <f t="shared" si="239"/>
        <v>1</v>
      </c>
      <c r="G53" s="100">
        <f t="shared" si="240"/>
        <v>1</v>
      </c>
      <c r="H53" s="100">
        <f t="shared" si="241"/>
        <v>0</v>
      </c>
      <c r="I53" s="153">
        <v>0.2</v>
      </c>
      <c r="J53" s="154">
        <v>46142</v>
      </c>
      <c r="K53" s="154">
        <f t="shared" si="4"/>
        <v>46142</v>
      </c>
      <c r="L53" s="155">
        <v>46199</v>
      </c>
      <c r="M53" s="155">
        <f t="shared" si="242"/>
        <v>46184</v>
      </c>
      <c r="N53" s="155">
        <f t="shared" si="243"/>
        <v>46184</v>
      </c>
      <c r="O53" s="155">
        <v>46199</v>
      </c>
      <c r="P53" s="155">
        <f t="shared" si="244"/>
        <v>46226</v>
      </c>
      <c r="Q53" s="155">
        <f t="shared" si="245"/>
        <v>46226</v>
      </c>
      <c r="R53" s="155">
        <v>46213</v>
      </c>
      <c r="S53" s="155">
        <f t="shared" si="246"/>
        <v>46240</v>
      </c>
      <c r="T53" s="155">
        <f t="shared" si="247"/>
        <v>46240</v>
      </c>
      <c r="U53" s="155">
        <v>46240</v>
      </c>
      <c r="W53" s="169" t="str">
        <f t="shared" ca="1" si="10"/>
        <v>Completed</v>
      </c>
      <c r="X53" s="169" t="str">
        <f t="shared" ca="1" si="11"/>
        <v>Completed</v>
      </c>
      <c r="Y53" s="169" t="str">
        <f t="shared" ca="1" si="12"/>
        <v>Completed</v>
      </c>
      <c r="Z53" s="170" t="str">
        <f t="shared" ca="1" si="13"/>
        <v>Completed</v>
      </c>
    </row>
    <row r="54" spans="1:26" s="70" customFormat="1" ht="11.5" x14ac:dyDescent="0.25">
      <c r="A54" s="174" t="s">
        <v>66</v>
      </c>
      <c r="B54" s="174" t="s">
        <v>34</v>
      </c>
      <c r="C54" s="151" t="s">
        <v>867</v>
      </c>
      <c r="D54" s="151" t="s">
        <v>1182</v>
      </c>
      <c r="E54" s="100">
        <f t="shared" si="238"/>
        <v>0.79999999999999993</v>
      </c>
      <c r="F54" s="100">
        <f t="shared" si="239"/>
        <v>0.79999999999999993</v>
      </c>
      <c r="G54" s="100">
        <f t="shared" si="240"/>
        <v>1</v>
      </c>
      <c r="H54" s="100">
        <f t="shared" si="241"/>
        <v>0.20000000000000007</v>
      </c>
      <c r="I54" s="153"/>
      <c r="J54" s="154">
        <v>46195</v>
      </c>
      <c r="K54" s="154">
        <f t="shared" si="4"/>
        <v>46195</v>
      </c>
      <c r="L54" s="155">
        <v>46213</v>
      </c>
      <c r="M54" s="155">
        <f t="shared" ref="M54" si="259">J54+42</f>
        <v>46237</v>
      </c>
      <c r="N54" s="155">
        <f t="shared" ref="N54" si="260">M54</f>
        <v>46237</v>
      </c>
      <c r="O54" s="155">
        <v>46213</v>
      </c>
      <c r="P54" s="155">
        <f t="shared" ref="P54" si="261">M54+42</f>
        <v>46279</v>
      </c>
      <c r="Q54" s="155">
        <f t="shared" ref="Q54" si="262">P54</f>
        <v>46279</v>
      </c>
      <c r="R54" s="155">
        <v>46213</v>
      </c>
      <c r="S54" s="155">
        <f t="shared" ref="S54" si="263">P54+14</f>
        <v>46293</v>
      </c>
      <c r="T54" s="155">
        <f t="shared" ref="T54" si="264">S54</f>
        <v>46293</v>
      </c>
      <c r="U54" s="154">
        <v>46276</v>
      </c>
      <c r="W54" s="169" t="str">
        <f t="shared" ca="1" si="10"/>
        <v>Completed</v>
      </c>
      <c r="X54" s="169" t="str">
        <f t="shared" ca="1" si="11"/>
        <v>Completed</v>
      </c>
      <c r="Y54" s="169" t="str">
        <f t="shared" ca="1" si="12"/>
        <v>Completed</v>
      </c>
      <c r="Z54" s="170" t="str">
        <f t="shared" ca="1" si="13"/>
        <v>Completed</v>
      </c>
    </row>
    <row r="55" spans="1:26" s="70" customFormat="1" ht="11.5" x14ac:dyDescent="0.25">
      <c r="A55" s="92" t="s">
        <v>66</v>
      </c>
      <c r="B55" s="92" t="s">
        <v>34</v>
      </c>
      <c r="C55" s="98" t="s">
        <v>861</v>
      </c>
      <c r="D55" s="92" t="s">
        <v>863</v>
      </c>
      <c r="E55" s="100">
        <f t="shared" ref="E55:E56" si="265">(COUNTIFS(J55,"&lt;="&amp;$C$1)*50%)+(COUNTIFS(M55,"&lt;="&amp;$C$1)*20%)+(COUNTIFS(P55,"&lt;="&amp;$C$1)*10%)+(COUNTIFS(S55,"&lt;="&amp;$C$1)*20%)</f>
        <v>1</v>
      </c>
      <c r="F55" s="100">
        <f t="shared" ref="F55:F56" si="266">(COUNTIFS(K55,"&lt;="&amp;$C$1)*50%)+(COUNTIFS(N55,"&lt;="&amp;$C$1)*20%)+(COUNTIFS(Q55,"&lt;="&amp;$C$1)*10%)+(COUNTIFS(T55,"&lt;="&amp;$C$1)*20%)</f>
        <v>1</v>
      </c>
      <c r="G55" s="100">
        <f t="shared" ref="G55:G56" si="267">(COUNTIFS(L55,"&lt;="&amp;$C$1)*50%)+(COUNTIFS(O55,"&lt;="&amp;$C$1)*20%)+(COUNTIFS(R55,"&lt;="&amp;$C$1)*10%)+(COUNTIFS(U55,"&lt;="&amp;$C$1)*20%)</f>
        <v>1</v>
      </c>
      <c r="H55" s="100">
        <f t="shared" ref="H55:H56" si="268">G55-E55</f>
        <v>0</v>
      </c>
      <c r="I55" s="95">
        <v>0.2</v>
      </c>
      <c r="J55" s="90">
        <v>46157</v>
      </c>
      <c r="K55" s="90">
        <f t="shared" si="4"/>
        <v>46157</v>
      </c>
      <c r="L55" s="89">
        <v>46150</v>
      </c>
      <c r="M55" s="89">
        <f t="shared" si="242"/>
        <v>46199</v>
      </c>
      <c r="N55" s="89">
        <f t="shared" si="243"/>
        <v>46199</v>
      </c>
      <c r="O55" s="89">
        <v>46191</v>
      </c>
      <c r="P55" s="89">
        <f t="shared" si="244"/>
        <v>46241</v>
      </c>
      <c r="Q55" s="89">
        <f t="shared" si="245"/>
        <v>46241</v>
      </c>
      <c r="R55" s="89">
        <v>46227</v>
      </c>
      <c r="S55" s="89">
        <f t="shared" si="246"/>
        <v>46255</v>
      </c>
      <c r="T55" s="89">
        <f t="shared" si="247"/>
        <v>46255</v>
      </c>
      <c r="U55" s="90">
        <v>46239</v>
      </c>
      <c r="W55" s="169" t="str">
        <f t="shared" ca="1" si="10"/>
        <v>Completed</v>
      </c>
      <c r="X55" s="169" t="str">
        <f t="shared" ca="1" si="11"/>
        <v>Completed</v>
      </c>
      <c r="Y55" s="169" t="str">
        <f t="shared" ca="1" si="12"/>
        <v>Completed</v>
      </c>
      <c r="Z55" s="170" t="str">
        <f t="shared" ca="1" si="13"/>
        <v>Completed</v>
      </c>
    </row>
    <row r="56" spans="1:26" s="70" customFormat="1" ht="11.5" x14ac:dyDescent="0.25">
      <c r="A56" s="98" t="s">
        <v>66</v>
      </c>
      <c r="B56" s="98" t="s">
        <v>34</v>
      </c>
      <c r="C56" s="98" t="s">
        <v>862</v>
      </c>
      <c r="D56" s="92" t="s">
        <v>864</v>
      </c>
      <c r="E56" s="94">
        <f t="shared" si="265"/>
        <v>1</v>
      </c>
      <c r="F56" s="94">
        <f t="shared" si="266"/>
        <v>1</v>
      </c>
      <c r="G56" s="94">
        <f t="shared" si="267"/>
        <v>1</v>
      </c>
      <c r="H56" s="94">
        <f t="shared" si="268"/>
        <v>0</v>
      </c>
      <c r="I56" s="95">
        <v>0.2</v>
      </c>
      <c r="J56" s="90">
        <v>46157</v>
      </c>
      <c r="K56" s="90">
        <f t="shared" si="4"/>
        <v>46157</v>
      </c>
      <c r="L56" s="89">
        <v>46150</v>
      </c>
      <c r="M56" s="89">
        <f t="shared" si="242"/>
        <v>46199</v>
      </c>
      <c r="N56" s="89">
        <f t="shared" si="243"/>
        <v>46199</v>
      </c>
      <c r="O56" s="89">
        <v>46191</v>
      </c>
      <c r="P56" s="89">
        <f t="shared" si="244"/>
        <v>46241</v>
      </c>
      <c r="Q56" s="89">
        <f t="shared" si="245"/>
        <v>46241</v>
      </c>
      <c r="R56" s="89">
        <v>46227</v>
      </c>
      <c r="S56" s="89">
        <f t="shared" si="246"/>
        <v>46255</v>
      </c>
      <c r="T56" s="89">
        <f t="shared" si="247"/>
        <v>46255</v>
      </c>
      <c r="U56" s="90">
        <v>46239</v>
      </c>
      <c r="W56" s="169" t="str">
        <f t="shared" ca="1" si="10"/>
        <v>Completed</v>
      </c>
      <c r="X56" s="169" t="str">
        <f t="shared" ca="1" si="11"/>
        <v>Completed</v>
      </c>
      <c r="Y56" s="169" t="str">
        <f t="shared" ca="1" si="12"/>
        <v>Completed</v>
      </c>
      <c r="Z56" s="170" t="str">
        <f t="shared" ca="1" si="13"/>
        <v>Completed</v>
      </c>
    </row>
    <row r="57" spans="1:26" s="70" customFormat="1" ht="11.5" x14ac:dyDescent="0.25">
      <c r="A57" s="92" t="s">
        <v>66</v>
      </c>
      <c r="B57" s="92" t="s">
        <v>34</v>
      </c>
      <c r="C57" s="98" t="s">
        <v>855</v>
      </c>
      <c r="D57" s="99" t="s">
        <v>857</v>
      </c>
      <c r="E57" s="100">
        <f t="shared" ref="E57:E58" si="269">(COUNTIFS(J57,"&lt;="&amp;$C$1)*50%)+(COUNTIFS(M57,"&lt;="&amp;$C$1)*20%)+(COUNTIFS(P57,"&lt;="&amp;$C$1)*10%)+(COUNTIFS(S57,"&lt;="&amp;$C$1)*20%)</f>
        <v>1</v>
      </c>
      <c r="F57" s="100">
        <f t="shared" ref="F57:F58" si="270">(COUNTIFS(K57,"&lt;="&amp;$C$1)*50%)+(COUNTIFS(N57,"&lt;="&amp;$C$1)*20%)+(COUNTIFS(Q57,"&lt;="&amp;$C$1)*10%)+(COUNTIFS(T57,"&lt;="&amp;$C$1)*20%)</f>
        <v>1</v>
      </c>
      <c r="G57" s="100">
        <f t="shared" ref="G57:G58" si="271">(COUNTIFS(L57,"&lt;="&amp;$C$1)*50%)+(COUNTIFS(O57,"&lt;="&amp;$C$1)*20%)+(COUNTIFS(R57,"&lt;="&amp;$C$1)*10%)+(COUNTIFS(U57,"&lt;="&amp;$C$1)*20%)</f>
        <v>1</v>
      </c>
      <c r="H57" s="100">
        <f t="shared" ref="H57:H58" si="272">G57-E57</f>
        <v>0</v>
      </c>
      <c r="I57" s="95">
        <v>0.2</v>
      </c>
      <c r="J57" s="90">
        <v>46143</v>
      </c>
      <c r="K57" s="90">
        <f t="shared" ref="K57" si="273">J57</f>
        <v>46143</v>
      </c>
      <c r="L57" s="89">
        <v>46142</v>
      </c>
      <c r="M57" s="89">
        <f t="shared" ref="M57" si="274">J57+42</f>
        <v>46185</v>
      </c>
      <c r="N57" s="89">
        <f t="shared" ref="N57" si="275">M57</f>
        <v>46185</v>
      </c>
      <c r="O57" s="89">
        <v>46191</v>
      </c>
      <c r="P57" s="89">
        <f t="shared" ref="P57" si="276">M57+42</f>
        <v>46227</v>
      </c>
      <c r="Q57" s="89">
        <f t="shared" ref="Q57" si="277">P57</f>
        <v>46227</v>
      </c>
      <c r="R57" s="146">
        <v>46202</v>
      </c>
      <c r="S57" s="89">
        <f t="shared" ref="S57" si="278">P57+14</f>
        <v>46241</v>
      </c>
      <c r="T57" s="89">
        <f t="shared" ref="T57" si="279">S57</f>
        <v>46241</v>
      </c>
      <c r="U57" s="90">
        <v>46209</v>
      </c>
      <c r="W57" s="169" t="str">
        <f t="shared" ca="1" si="10"/>
        <v>Completed</v>
      </c>
      <c r="X57" s="169" t="str">
        <f t="shared" ca="1" si="11"/>
        <v>Completed</v>
      </c>
      <c r="Y57" s="169" t="str">
        <f t="shared" ca="1" si="12"/>
        <v>Completed</v>
      </c>
      <c r="Z57" s="170" t="str">
        <f t="shared" ca="1" si="13"/>
        <v>Completed</v>
      </c>
    </row>
    <row r="58" spans="1:26" s="70" customFormat="1" ht="11.5" x14ac:dyDescent="0.25">
      <c r="A58" s="98" t="s">
        <v>66</v>
      </c>
      <c r="B58" s="98" t="s">
        <v>34</v>
      </c>
      <c r="C58" s="98" t="s">
        <v>856</v>
      </c>
      <c r="D58" s="99" t="s">
        <v>858</v>
      </c>
      <c r="E58" s="94">
        <f t="shared" si="269"/>
        <v>1</v>
      </c>
      <c r="F58" s="94">
        <f t="shared" si="270"/>
        <v>1</v>
      </c>
      <c r="G58" s="94">
        <f t="shared" si="271"/>
        <v>1</v>
      </c>
      <c r="H58" s="94">
        <f t="shared" si="272"/>
        <v>0</v>
      </c>
      <c r="I58" s="95">
        <v>0.2</v>
      </c>
      <c r="J58" s="90">
        <v>46143</v>
      </c>
      <c r="K58" s="90">
        <f t="shared" ref="K58:K62" si="280">J58</f>
        <v>46143</v>
      </c>
      <c r="L58" s="89">
        <v>46142</v>
      </c>
      <c r="M58" s="89">
        <f t="shared" ref="M58:M62" si="281">J58+42</f>
        <v>46185</v>
      </c>
      <c r="N58" s="89">
        <f t="shared" ref="N58:N59" si="282">M58</f>
        <v>46185</v>
      </c>
      <c r="O58" s="89">
        <v>46191</v>
      </c>
      <c r="P58" s="89">
        <f t="shared" ref="P58:P62" si="283">M58+42</f>
        <v>46227</v>
      </c>
      <c r="Q58" s="89">
        <f t="shared" ref="Q58:Q59" si="284">P58</f>
        <v>46227</v>
      </c>
      <c r="R58" s="89">
        <v>46254</v>
      </c>
      <c r="S58" s="89">
        <f t="shared" ref="S58:T62" si="285">P58+14</f>
        <v>46241</v>
      </c>
      <c r="T58" s="89">
        <f t="shared" ref="T58:T60" si="286">S58</f>
        <v>46241</v>
      </c>
      <c r="U58" s="90">
        <v>46269</v>
      </c>
      <c r="W58" s="169" t="str">
        <f t="shared" ca="1" si="10"/>
        <v>Completed</v>
      </c>
      <c r="X58" s="169" t="str">
        <f t="shared" ca="1" si="11"/>
        <v>Completed</v>
      </c>
      <c r="Y58" s="169" t="str">
        <f t="shared" ca="1" si="12"/>
        <v>Completed</v>
      </c>
      <c r="Z58" s="170" t="str">
        <f t="shared" ca="1" si="13"/>
        <v>Completed</v>
      </c>
    </row>
    <row r="59" spans="1:26" s="70" customFormat="1" ht="11.5" x14ac:dyDescent="0.25">
      <c r="A59" s="92" t="s">
        <v>66</v>
      </c>
      <c r="B59" s="92" t="s">
        <v>34</v>
      </c>
      <c r="C59" s="98" t="s">
        <v>859</v>
      </c>
      <c r="D59" s="99" t="s">
        <v>860</v>
      </c>
      <c r="E59" s="94">
        <f t="shared" ref="E59:E62" si="287">(COUNTIFS(J59,"&lt;="&amp;$C$1)*50%)+(COUNTIFS(M59,"&lt;="&amp;$C$1)*20%)+(COUNTIFS(P59,"&lt;="&amp;$C$1)*10%)+(COUNTIFS(S59,"&lt;="&amp;$C$1)*20%)</f>
        <v>1</v>
      </c>
      <c r="F59" s="94">
        <f t="shared" ref="F59:F62" si="288">(COUNTIFS(K59,"&lt;="&amp;$C$1)*50%)+(COUNTIFS(N59,"&lt;="&amp;$C$1)*20%)+(COUNTIFS(Q59,"&lt;="&amp;$C$1)*10%)+(COUNTIFS(T59,"&lt;="&amp;$C$1)*20%)</f>
        <v>1</v>
      </c>
      <c r="G59" s="94">
        <f t="shared" ref="G59:G62" si="289">(COUNTIFS(L59,"&lt;="&amp;$C$1)*50%)+(COUNTIFS(O59,"&lt;="&amp;$C$1)*20%)+(COUNTIFS(R59,"&lt;="&amp;$C$1)*10%)+(COUNTIFS(U59,"&lt;="&amp;$C$1)*20%)</f>
        <v>1</v>
      </c>
      <c r="H59" s="94">
        <f t="shared" ref="H59:H62" si="290">G59-E59</f>
        <v>0</v>
      </c>
      <c r="I59" s="95">
        <v>0.2</v>
      </c>
      <c r="J59" s="90">
        <v>46157</v>
      </c>
      <c r="K59" s="90">
        <f t="shared" si="280"/>
        <v>46157</v>
      </c>
      <c r="L59" s="89">
        <v>46150</v>
      </c>
      <c r="M59" s="89">
        <f t="shared" si="281"/>
        <v>46199</v>
      </c>
      <c r="N59" s="89">
        <f t="shared" si="282"/>
        <v>46199</v>
      </c>
      <c r="O59" s="89">
        <v>46191</v>
      </c>
      <c r="P59" s="89">
        <f t="shared" si="283"/>
        <v>46241</v>
      </c>
      <c r="Q59" s="89">
        <f t="shared" si="284"/>
        <v>46241</v>
      </c>
      <c r="R59" s="146">
        <v>46204</v>
      </c>
      <c r="S59" s="89">
        <f t="shared" si="285"/>
        <v>46255</v>
      </c>
      <c r="T59" s="89">
        <f t="shared" si="286"/>
        <v>46255</v>
      </c>
      <c r="U59" s="90">
        <v>46223</v>
      </c>
      <c r="W59" s="169" t="str">
        <f t="shared" ca="1" si="10"/>
        <v>Completed</v>
      </c>
      <c r="X59" s="169" t="str">
        <f t="shared" ca="1" si="11"/>
        <v>Completed</v>
      </c>
      <c r="Y59" s="169" t="str">
        <f t="shared" ca="1" si="12"/>
        <v>Completed</v>
      </c>
      <c r="Z59" s="170" t="str">
        <f t="shared" ca="1" si="13"/>
        <v>Completed</v>
      </c>
    </row>
    <row r="60" spans="1:26" s="70" customFormat="1" ht="11.5" x14ac:dyDescent="0.25">
      <c r="A60" s="174" t="s">
        <v>66</v>
      </c>
      <c r="B60" s="151" t="s">
        <v>34</v>
      </c>
      <c r="C60" s="151" t="s">
        <v>868</v>
      </c>
      <c r="D60" s="220" t="s">
        <v>1235</v>
      </c>
      <c r="E60" s="152">
        <f t="shared" si="287"/>
        <v>1</v>
      </c>
      <c r="F60" s="152">
        <f t="shared" si="288"/>
        <v>1</v>
      </c>
      <c r="G60" s="152">
        <f t="shared" si="289"/>
        <v>1</v>
      </c>
      <c r="H60" s="152">
        <f t="shared" si="290"/>
        <v>0</v>
      </c>
      <c r="I60" s="153">
        <v>0.3</v>
      </c>
      <c r="J60" s="154">
        <v>46185</v>
      </c>
      <c r="K60" s="154">
        <f t="shared" si="280"/>
        <v>46185</v>
      </c>
      <c r="L60" s="154">
        <v>46171</v>
      </c>
      <c r="M60" s="155">
        <f t="shared" si="281"/>
        <v>46227</v>
      </c>
      <c r="N60" s="155">
        <f t="shared" ref="N60" si="291">K60+42</f>
        <v>46227</v>
      </c>
      <c r="O60" s="155">
        <v>46240</v>
      </c>
      <c r="P60" s="155">
        <f t="shared" si="283"/>
        <v>46269</v>
      </c>
      <c r="Q60" s="155">
        <f t="shared" ref="Q60:Q62" si="292">N60+42</f>
        <v>46269</v>
      </c>
      <c r="R60" s="155">
        <v>46283</v>
      </c>
      <c r="S60" s="155">
        <f t="shared" si="285"/>
        <v>46283</v>
      </c>
      <c r="T60" s="155">
        <f t="shared" si="286"/>
        <v>46283</v>
      </c>
      <c r="U60" s="154">
        <v>46283</v>
      </c>
      <c r="W60" s="169" t="str">
        <f t="shared" ca="1" si="10"/>
        <v>Completed</v>
      </c>
      <c r="X60" s="169" t="str">
        <f t="shared" ca="1" si="11"/>
        <v>Completed</v>
      </c>
      <c r="Y60" s="169" t="str">
        <f t="shared" ca="1" si="12"/>
        <v>Completed</v>
      </c>
      <c r="Z60" s="170" t="str">
        <f t="shared" ca="1" si="13"/>
        <v>Completed</v>
      </c>
    </row>
    <row r="61" spans="1:26" s="70" customFormat="1" ht="11.5" x14ac:dyDescent="0.25">
      <c r="A61" s="92" t="s">
        <v>66</v>
      </c>
      <c r="B61" s="98" t="s">
        <v>34</v>
      </c>
      <c r="C61" s="98" t="s">
        <v>868</v>
      </c>
      <c r="D61" s="92" t="s">
        <v>1236</v>
      </c>
      <c r="E61" s="94">
        <f t="shared" ref="E61" si="293">(COUNTIFS(J61,"&lt;="&amp;$C$1)*50%)+(COUNTIFS(M61,"&lt;="&amp;$C$1)*20%)+(COUNTIFS(P61,"&lt;="&amp;$C$1)*10%)+(COUNTIFS(S61,"&lt;="&amp;$C$1)*20%)</f>
        <v>1</v>
      </c>
      <c r="F61" s="94">
        <f t="shared" ref="F61" si="294">(COUNTIFS(K61,"&lt;="&amp;$C$1)*50%)+(COUNTIFS(N61,"&lt;="&amp;$C$1)*20%)+(COUNTIFS(Q61,"&lt;="&amp;$C$1)*10%)+(COUNTIFS(T61,"&lt;="&amp;$C$1)*20%)</f>
        <v>1</v>
      </c>
      <c r="G61" s="94">
        <f t="shared" ref="G61" si="295">(COUNTIFS(L61,"&lt;="&amp;$C$1)*50%)+(COUNTIFS(O61,"&lt;="&amp;$C$1)*20%)+(COUNTIFS(R61,"&lt;="&amp;$C$1)*10%)+(COUNTIFS(U61,"&lt;="&amp;$C$1)*20%)</f>
        <v>0.7</v>
      </c>
      <c r="H61" s="94">
        <f t="shared" ref="H61" si="296">G61-E61</f>
        <v>-0.30000000000000004</v>
      </c>
      <c r="I61" s="95">
        <v>0.2</v>
      </c>
      <c r="J61" s="90">
        <v>46185</v>
      </c>
      <c r="K61" s="90">
        <f t="shared" ref="K61" si="297">J61</f>
        <v>46185</v>
      </c>
      <c r="L61" s="90">
        <v>46171</v>
      </c>
      <c r="M61" s="89">
        <f t="shared" ref="M61" si="298">J61+42</f>
        <v>46227</v>
      </c>
      <c r="N61" s="89">
        <f t="shared" ref="N61" si="299">K61+42</f>
        <v>46227</v>
      </c>
      <c r="O61" s="89">
        <v>46240</v>
      </c>
      <c r="P61" s="89">
        <f t="shared" ref="P61" si="300">M61+42</f>
        <v>46269</v>
      </c>
      <c r="Q61" s="89">
        <f t="shared" ref="Q61" si="301">N61+42</f>
        <v>46269</v>
      </c>
      <c r="R61" s="89"/>
      <c r="S61" s="89">
        <f t="shared" ref="S61" si="302">P61+14</f>
        <v>46283</v>
      </c>
      <c r="T61" s="89">
        <f t="shared" ref="T61" si="303">S61</f>
        <v>46283</v>
      </c>
      <c r="U61" s="90"/>
      <c r="W61" s="169" t="str">
        <f t="shared" ref="W61" ca="1" si="304">IF(OR(L61&lt;&gt;""),"Completed",
IF(K61="","",IF(K61&lt;TODAY(),"Overdue",
IF(AND(K61&gt;=TODAY()-WEEKDAY(TODAY(),2)+1,K61&lt;=TODAY()-WEEKDAY(TODAY(),2)+7),"Follow-This Week",
IF(AND(K61&gt;=TODAY()-WEEKDAY(TODAY(),2)+8,K61&lt;=TODAY()-WEEKDAY(TODAY(),2)+14),"Follow-Next Week","")))))</f>
        <v>Completed</v>
      </c>
      <c r="X61" s="169" t="str">
        <f t="shared" ref="X61" ca="1" si="305">IF(OR(O61&lt;&gt;""),"Completed",IF(N61="","",
IF(N61&lt;TODAY(),"Overdue",
IF(AND(N61&gt;=TODAY()-WEEKDAY(TODAY(),2)+1,N61&lt;=TODAY()-WEEKDAY(TODAY(),2)+7),"Follow-This Week",
IF(AND(N61&gt;=TODAY()-WEEKDAY(TODAY(),2)+8,N61&lt;=TODAY()-WEEKDAY(TODAY(),2)+14),"Follow-Next Week","")))))</f>
        <v>Completed</v>
      </c>
      <c r="Y61" s="169" t="str">
        <f t="shared" ref="Y61" ca="1" si="306">IF(OR(R61&lt;&gt;""),"Completed",IF(Q61="","",
IF(Q61&lt;TODAY(),"Overdue",
IF(AND(Q61&gt;=TODAY()-WEEKDAY(TODAY(),2)+1,Q61&lt;=TODAY()-WEEKDAY(TODAY(),2)+7),"Follow-This Week",
IF(AND(Q61&gt;=TODAY()-WEEKDAY(TODAY(),2)+8,Q61&lt;=TODAY()-WEEKDAY(TODAY(),2)+14),"Follow-Next Week","")))))</f>
        <v>Overdue</v>
      </c>
      <c r="Z61" s="170" t="str">
        <f t="shared" ref="Z61" ca="1" si="307">IF(OR(U61&lt;&gt;""),"Completed",IF(T61="","",
IF(T61&lt;TODAY(),"Overdue",
IF(AND(T61&gt;=TODAY()-WEEKDAY(TODAY(),2)+1,T61&lt;=TODAY()-WEEKDAY(TODAY(),2)+7),"Follow-This Week",
IF(AND(T61&gt;=TODAY()-WEEKDAY(TODAY(),2)+8,T61&lt;=TODAY()-WEEKDAY(TODAY(),2)+14),"Follow-Next Week","")))))</f>
        <v>Overdue</v>
      </c>
    </row>
    <row r="62" spans="1:26" s="70" customFormat="1" ht="11.5" x14ac:dyDescent="0.25">
      <c r="A62" s="92" t="s">
        <v>66</v>
      </c>
      <c r="B62" s="92" t="s">
        <v>34</v>
      </c>
      <c r="C62" s="92" t="s">
        <v>907</v>
      </c>
      <c r="D62" s="92" t="s">
        <v>908</v>
      </c>
      <c r="E62" s="94">
        <f t="shared" si="287"/>
        <v>0</v>
      </c>
      <c r="F62" s="94">
        <f t="shared" si="288"/>
        <v>0</v>
      </c>
      <c r="G62" s="94">
        <f t="shared" si="289"/>
        <v>0</v>
      </c>
      <c r="H62" s="94">
        <f t="shared" si="290"/>
        <v>0</v>
      </c>
      <c r="I62" s="95"/>
      <c r="J62" s="89">
        <v>46302</v>
      </c>
      <c r="K62" s="89">
        <f t="shared" si="280"/>
        <v>46302</v>
      </c>
      <c r="L62" s="89"/>
      <c r="M62" s="89">
        <f t="shared" si="281"/>
        <v>46344</v>
      </c>
      <c r="N62" s="89">
        <f t="shared" ref="N62" si="308">M62</f>
        <v>46344</v>
      </c>
      <c r="O62" s="89"/>
      <c r="P62" s="89">
        <f t="shared" si="283"/>
        <v>46386</v>
      </c>
      <c r="Q62" s="89">
        <f t="shared" si="292"/>
        <v>46386</v>
      </c>
      <c r="R62" s="89"/>
      <c r="S62" s="89">
        <f t="shared" si="285"/>
        <v>46400</v>
      </c>
      <c r="T62" s="89">
        <f t="shared" si="285"/>
        <v>46400</v>
      </c>
      <c r="U62" s="90"/>
      <c r="W62" s="169" t="str">
        <f t="shared" ca="1" si="10"/>
        <v/>
      </c>
      <c r="X62" s="169" t="str">
        <f t="shared" ca="1" si="11"/>
        <v/>
      </c>
      <c r="Y62" s="169" t="str">
        <f t="shared" ca="1" si="12"/>
        <v/>
      </c>
      <c r="Z62" s="170" t="str">
        <f t="shared" ca="1" si="13"/>
        <v/>
      </c>
    </row>
    <row r="63" spans="1:26" s="70" customFormat="1" ht="11.5" x14ac:dyDescent="0.25">
      <c r="A63" s="71" t="s">
        <v>66</v>
      </c>
      <c r="B63" s="71" t="s">
        <v>34</v>
      </c>
      <c r="C63" s="71" t="s">
        <v>927</v>
      </c>
      <c r="D63" s="71" t="s">
        <v>787</v>
      </c>
      <c r="E63" s="81">
        <f t="shared" ref="E63:E65" si="309">(COUNTIFS(J63,"&lt;="&amp;$C$1)*50%)+(COUNTIFS(M63,"&lt;="&amp;$C$1)*20%)+(COUNTIFS(P63,"&lt;="&amp;$C$1)*10%)+(COUNTIFS(S63,"&lt;="&amp;$C$1)*20%)</f>
        <v>0</v>
      </c>
      <c r="F63" s="81">
        <f t="shared" ref="F63:F65" si="310">(COUNTIFS(K63,"&lt;="&amp;$C$1)*50%)+(COUNTIFS(N63,"&lt;="&amp;$C$1)*20%)+(COUNTIFS(Q63,"&lt;="&amp;$C$1)*10%)+(COUNTIFS(T63,"&lt;="&amp;$C$1)*20%)</f>
        <v>0</v>
      </c>
      <c r="G63" s="81">
        <f t="shared" ref="G63:G65" si="311">(COUNTIFS(L63,"&lt;="&amp;$C$1)*50%)+(COUNTIFS(O63,"&lt;="&amp;$C$1)*20%)+(COUNTIFS(R63,"&lt;="&amp;$C$1)*10%)+(COUNTIFS(U63,"&lt;="&amp;$C$1)*20%)</f>
        <v>0</v>
      </c>
      <c r="H63" s="81">
        <f t="shared" ref="H63:H65" si="312">G63-E63</f>
        <v>0</v>
      </c>
      <c r="I63" s="82">
        <v>0.2</v>
      </c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W63" s="169" t="str">
        <f t="shared" ca="1" si="10"/>
        <v/>
      </c>
      <c r="X63" s="169" t="str">
        <f t="shared" ca="1" si="11"/>
        <v/>
      </c>
      <c r="Y63" s="169" t="str">
        <f t="shared" ca="1" si="12"/>
        <v/>
      </c>
      <c r="Z63" s="170" t="str">
        <f t="shared" ca="1" si="13"/>
        <v/>
      </c>
    </row>
    <row r="64" spans="1:26" s="70" customFormat="1" ht="11.5" x14ac:dyDescent="0.25">
      <c r="A64" s="71" t="s">
        <v>66</v>
      </c>
      <c r="B64" s="71" t="s">
        <v>34</v>
      </c>
      <c r="C64" s="71" t="s">
        <v>928</v>
      </c>
      <c r="D64" s="71" t="s">
        <v>788</v>
      </c>
      <c r="E64" s="81">
        <f t="shared" si="309"/>
        <v>0</v>
      </c>
      <c r="F64" s="81">
        <f t="shared" si="310"/>
        <v>0</v>
      </c>
      <c r="G64" s="81">
        <f t="shared" si="311"/>
        <v>0</v>
      </c>
      <c r="H64" s="81">
        <f t="shared" si="312"/>
        <v>0</v>
      </c>
      <c r="I64" s="82">
        <v>0.4</v>
      </c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W64" s="169" t="str">
        <f t="shared" ca="1" si="10"/>
        <v/>
      </c>
      <c r="X64" s="169" t="str">
        <f t="shared" ca="1" si="11"/>
        <v/>
      </c>
      <c r="Y64" s="169" t="str">
        <f t="shared" ca="1" si="12"/>
        <v/>
      </c>
      <c r="Z64" s="170" t="str">
        <f t="shared" ca="1" si="13"/>
        <v/>
      </c>
    </row>
    <row r="65" spans="1:26" s="70" customFormat="1" ht="11.5" x14ac:dyDescent="0.25">
      <c r="A65" s="71" t="s">
        <v>66</v>
      </c>
      <c r="B65" s="71" t="s">
        <v>34</v>
      </c>
      <c r="C65" s="71" t="s">
        <v>929</v>
      </c>
      <c r="D65" s="71" t="s">
        <v>789</v>
      </c>
      <c r="E65" s="81">
        <f t="shared" si="309"/>
        <v>0</v>
      </c>
      <c r="F65" s="81">
        <f t="shared" si="310"/>
        <v>0</v>
      </c>
      <c r="G65" s="81">
        <f t="shared" si="311"/>
        <v>0</v>
      </c>
      <c r="H65" s="81">
        <f t="shared" si="312"/>
        <v>0</v>
      </c>
      <c r="I65" s="82">
        <v>0.4</v>
      </c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W65" s="169" t="str">
        <f t="shared" ca="1" si="10"/>
        <v/>
      </c>
      <c r="X65" s="169" t="str">
        <f t="shared" ca="1" si="11"/>
        <v/>
      </c>
      <c r="Y65" s="169" t="str">
        <f t="shared" ca="1" si="12"/>
        <v/>
      </c>
      <c r="Z65" s="170" t="str">
        <f t="shared" ca="1" si="13"/>
        <v/>
      </c>
    </row>
    <row r="66" spans="1:26" s="70" customFormat="1" ht="11.5" x14ac:dyDescent="0.25">
      <c r="A66" s="73"/>
      <c r="B66" s="73"/>
      <c r="C66" s="77"/>
      <c r="D66" s="78"/>
      <c r="E66" s="79"/>
      <c r="F66" s="79"/>
      <c r="G66" s="79"/>
      <c r="H66" s="79"/>
      <c r="I66" s="75"/>
      <c r="J66" s="76"/>
      <c r="K66" s="76"/>
      <c r="L66" s="76"/>
      <c r="M66" s="80"/>
      <c r="N66" s="76"/>
      <c r="O66" s="76"/>
      <c r="P66" s="80"/>
      <c r="Q66" s="76"/>
      <c r="R66" s="76"/>
      <c r="S66" s="80"/>
      <c r="T66" s="76"/>
      <c r="U66" s="76"/>
      <c r="W66" s="169" t="str">
        <f t="shared" ca="1" si="10"/>
        <v/>
      </c>
      <c r="X66" s="169" t="str">
        <f t="shared" ca="1" si="11"/>
        <v/>
      </c>
      <c r="Y66" s="169" t="str">
        <f t="shared" ca="1" si="12"/>
        <v/>
      </c>
      <c r="Z66" s="170" t="str">
        <f t="shared" ca="1" si="13"/>
        <v/>
      </c>
    </row>
    <row r="67" spans="1:26" s="70" customFormat="1" ht="11.5" x14ac:dyDescent="0.25">
      <c r="A67" s="71" t="s">
        <v>64</v>
      </c>
      <c r="B67" s="87" t="s">
        <v>34</v>
      </c>
      <c r="C67" s="87" t="s">
        <v>930</v>
      </c>
      <c r="D67" s="87" t="s">
        <v>56</v>
      </c>
      <c r="E67" s="86">
        <f t="shared" si="15"/>
        <v>1</v>
      </c>
      <c r="F67" s="86">
        <f t="shared" si="16"/>
        <v>1</v>
      </c>
      <c r="G67" s="81">
        <f t="shared" si="17"/>
        <v>1</v>
      </c>
      <c r="H67" s="81">
        <f t="shared" si="18"/>
        <v>0</v>
      </c>
      <c r="I67" s="82">
        <v>0.2</v>
      </c>
      <c r="J67" s="85">
        <v>46115</v>
      </c>
      <c r="K67" s="85">
        <f t="shared" si="4"/>
        <v>46115</v>
      </c>
      <c r="L67" s="85">
        <v>46115</v>
      </c>
      <c r="M67" s="85">
        <f t="shared" si="5"/>
        <v>46157</v>
      </c>
      <c r="N67" s="85">
        <f t="shared" si="6"/>
        <v>46157</v>
      </c>
      <c r="O67" s="85">
        <v>46191</v>
      </c>
      <c r="P67" s="85">
        <f t="shared" si="7"/>
        <v>46199</v>
      </c>
      <c r="Q67" s="85">
        <f t="shared" si="8"/>
        <v>46199</v>
      </c>
      <c r="R67" s="85">
        <v>46219</v>
      </c>
      <c r="S67" s="85">
        <f t="shared" si="14"/>
        <v>46213</v>
      </c>
      <c r="T67" s="85">
        <f t="shared" si="9"/>
        <v>46213</v>
      </c>
      <c r="U67" s="85">
        <v>46262</v>
      </c>
      <c r="W67" s="169" t="str">
        <f t="shared" ca="1" si="10"/>
        <v>Completed</v>
      </c>
      <c r="X67" s="169" t="str">
        <f t="shared" ca="1" si="11"/>
        <v>Completed</v>
      </c>
      <c r="Y67" s="169" t="str">
        <f t="shared" ca="1" si="12"/>
        <v>Completed</v>
      </c>
      <c r="Z67" s="170" t="str">
        <f t="shared" ca="1" si="13"/>
        <v>Completed</v>
      </c>
    </row>
    <row r="68" spans="1:26" s="70" customFormat="1" ht="11.5" x14ac:dyDescent="0.25">
      <c r="A68" s="71" t="s">
        <v>64</v>
      </c>
      <c r="B68" s="87" t="s">
        <v>34</v>
      </c>
      <c r="C68" s="87" t="s">
        <v>931</v>
      </c>
      <c r="D68" s="87" t="s">
        <v>57</v>
      </c>
      <c r="E68" s="86">
        <f t="shared" si="15"/>
        <v>1</v>
      </c>
      <c r="F68" s="86">
        <f t="shared" si="16"/>
        <v>1</v>
      </c>
      <c r="G68" s="81">
        <f t="shared" si="17"/>
        <v>1</v>
      </c>
      <c r="H68" s="81">
        <f t="shared" si="18"/>
        <v>0</v>
      </c>
      <c r="I68" s="82">
        <v>0.2</v>
      </c>
      <c r="J68" s="85">
        <v>46115</v>
      </c>
      <c r="K68" s="85">
        <f t="shared" si="4"/>
        <v>46115</v>
      </c>
      <c r="L68" s="85">
        <v>46115</v>
      </c>
      <c r="M68" s="85">
        <f t="shared" si="5"/>
        <v>46157</v>
      </c>
      <c r="N68" s="85">
        <f t="shared" si="6"/>
        <v>46157</v>
      </c>
      <c r="O68" s="145">
        <v>46171</v>
      </c>
      <c r="P68" s="85">
        <f t="shared" si="7"/>
        <v>46199</v>
      </c>
      <c r="Q68" s="85">
        <f t="shared" si="8"/>
        <v>46199</v>
      </c>
      <c r="R68" s="85">
        <v>46199</v>
      </c>
      <c r="S68" s="85">
        <f t="shared" si="14"/>
        <v>46213</v>
      </c>
      <c r="T68" s="85">
        <f t="shared" si="9"/>
        <v>46213</v>
      </c>
      <c r="U68" s="85">
        <v>46204</v>
      </c>
      <c r="W68" s="169" t="str">
        <f t="shared" ca="1" si="10"/>
        <v>Completed</v>
      </c>
      <c r="X68" s="169" t="str">
        <f t="shared" ca="1" si="11"/>
        <v>Completed</v>
      </c>
      <c r="Y68" s="169" t="str">
        <f t="shared" ca="1" si="12"/>
        <v>Completed</v>
      </c>
      <c r="Z68" s="170" t="str">
        <f t="shared" ca="1" si="13"/>
        <v>Completed</v>
      </c>
    </row>
    <row r="69" spans="1:26" s="70" customFormat="1" ht="11.5" x14ac:dyDescent="0.25">
      <c r="A69" s="71" t="s">
        <v>64</v>
      </c>
      <c r="B69" s="87" t="s">
        <v>34</v>
      </c>
      <c r="C69" s="87" t="s">
        <v>932</v>
      </c>
      <c r="D69" s="87" t="s">
        <v>58</v>
      </c>
      <c r="E69" s="86">
        <f t="shared" si="15"/>
        <v>1</v>
      </c>
      <c r="F69" s="86">
        <f t="shared" si="16"/>
        <v>1</v>
      </c>
      <c r="G69" s="81">
        <f t="shared" si="17"/>
        <v>1</v>
      </c>
      <c r="H69" s="81">
        <f t="shared" si="18"/>
        <v>0</v>
      </c>
      <c r="I69" s="82">
        <v>0.2</v>
      </c>
      <c r="J69" s="85">
        <v>46115</v>
      </c>
      <c r="K69" s="85">
        <f t="shared" si="4"/>
        <v>46115</v>
      </c>
      <c r="L69" s="85">
        <v>46115</v>
      </c>
      <c r="M69" s="85">
        <f t="shared" si="5"/>
        <v>46157</v>
      </c>
      <c r="N69" s="85">
        <f t="shared" si="6"/>
        <v>46157</v>
      </c>
      <c r="O69" s="145">
        <v>46171</v>
      </c>
      <c r="P69" s="85">
        <f t="shared" si="7"/>
        <v>46199</v>
      </c>
      <c r="Q69" s="85">
        <f t="shared" si="8"/>
        <v>46199</v>
      </c>
      <c r="R69" s="85">
        <v>46219</v>
      </c>
      <c r="S69" s="85">
        <f t="shared" si="14"/>
        <v>46213</v>
      </c>
      <c r="T69" s="85">
        <f t="shared" si="9"/>
        <v>46213</v>
      </c>
      <c r="U69" s="85">
        <v>46233</v>
      </c>
      <c r="W69" s="169" t="str">
        <f t="shared" ca="1" si="10"/>
        <v>Completed</v>
      </c>
      <c r="X69" s="169" t="str">
        <f t="shared" ca="1" si="11"/>
        <v>Completed</v>
      </c>
      <c r="Y69" s="169" t="str">
        <f t="shared" ca="1" si="12"/>
        <v>Completed</v>
      </c>
      <c r="Z69" s="170" t="str">
        <f t="shared" ca="1" si="13"/>
        <v>Completed</v>
      </c>
    </row>
    <row r="70" spans="1:26" s="70" customFormat="1" ht="11.5" x14ac:dyDescent="0.25">
      <c r="A70" s="71" t="s">
        <v>64</v>
      </c>
      <c r="B70" s="87" t="s">
        <v>34</v>
      </c>
      <c r="C70" s="87" t="s">
        <v>933</v>
      </c>
      <c r="D70" s="87" t="s">
        <v>1119</v>
      </c>
      <c r="E70" s="86">
        <f t="shared" si="15"/>
        <v>1</v>
      </c>
      <c r="F70" s="86">
        <f t="shared" si="16"/>
        <v>1</v>
      </c>
      <c r="G70" s="81">
        <f t="shared" si="17"/>
        <v>0.79999999999999993</v>
      </c>
      <c r="H70" s="81">
        <f t="shared" si="18"/>
        <v>-0.20000000000000007</v>
      </c>
      <c r="I70" s="82">
        <v>0.2</v>
      </c>
      <c r="J70" s="85">
        <v>46115</v>
      </c>
      <c r="K70" s="85">
        <f t="shared" si="4"/>
        <v>46115</v>
      </c>
      <c r="L70" s="85">
        <v>46115</v>
      </c>
      <c r="M70" s="85">
        <f t="shared" si="5"/>
        <v>46157</v>
      </c>
      <c r="N70" s="85">
        <f t="shared" si="6"/>
        <v>46157</v>
      </c>
      <c r="O70" s="145">
        <v>46171</v>
      </c>
      <c r="P70" s="85">
        <f t="shared" si="7"/>
        <v>46199</v>
      </c>
      <c r="Q70" s="85">
        <f t="shared" si="8"/>
        <v>46199</v>
      </c>
      <c r="R70" s="85">
        <v>46274</v>
      </c>
      <c r="S70" s="85">
        <f t="shared" si="14"/>
        <v>46213</v>
      </c>
      <c r="T70" s="85">
        <f t="shared" si="9"/>
        <v>46213</v>
      </c>
      <c r="U70" s="85"/>
      <c r="W70" s="169" t="str">
        <f t="shared" ca="1" si="10"/>
        <v>Completed</v>
      </c>
      <c r="X70" s="169" t="str">
        <f t="shared" ca="1" si="11"/>
        <v>Completed</v>
      </c>
      <c r="Y70" s="169" t="str">
        <f t="shared" ca="1" si="12"/>
        <v>Completed</v>
      </c>
      <c r="Z70" s="170" t="str">
        <f t="shared" ca="1" si="13"/>
        <v>Overdue</v>
      </c>
    </row>
    <row r="71" spans="1:26" s="70" customFormat="1" ht="11.5" x14ac:dyDescent="0.25">
      <c r="A71" s="71" t="s">
        <v>64</v>
      </c>
      <c r="B71" s="87" t="s">
        <v>34</v>
      </c>
      <c r="C71" s="87" t="s">
        <v>934</v>
      </c>
      <c r="D71" s="87" t="s">
        <v>59</v>
      </c>
      <c r="E71" s="86">
        <f t="shared" ref="E71" si="313">(COUNTIFS(J71,"&lt;="&amp;$C$1)*50%)+(COUNTIFS(M71,"&lt;="&amp;$C$1)*20%)+(COUNTIFS(P71,"&lt;="&amp;$C$1)*10%)+(COUNTIFS(S71,"&lt;="&amp;$C$1)*20%)</f>
        <v>1</v>
      </c>
      <c r="F71" s="86">
        <f t="shared" ref="F71" si="314">(COUNTIFS(K71,"&lt;="&amp;$C$1)*50%)+(COUNTIFS(N71,"&lt;="&amp;$C$1)*20%)+(COUNTIFS(Q71,"&lt;="&amp;$C$1)*10%)+(COUNTIFS(T71,"&lt;="&amp;$C$1)*20%)</f>
        <v>1</v>
      </c>
      <c r="G71" s="81">
        <f t="shared" ref="G71" si="315">(COUNTIFS(L71,"&lt;="&amp;$C$1)*50%)+(COUNTIFS(O71,"&lt;="&amp;$C$1)*20%)+(COUNTIFS(R71,"&lt;="&amp;$C$1)*10%)+(COUNTIFS(U71,"&lt;="&amp;$C$1)*20%)</f>
        <v>1</v>
      </c>
      <c r="H71" s="81">
        <f t="shared" ref="H71" si="316">G71-E71</f>
        <v>0</v>
      </c>
      <c r="I71" s="82">
        <v>0.2</v>
      </c>
      <c r="J71" s="85">
        <v>46115</v>
      </c>
      <c r="K71" s="85">
        <f t="shared" si="4"/>
        <v>46115</v>
      </c>
      <c r="L71" s="85">
        <v>46115</v>
      </c>
      <c r="M71" s="85">
        <f t="shared" si="5"/>
        <v>46157</v>
      </c>
      <c r="N71" s="85">
        <f t="shared" si="6"/>
        <v>46157</v>
      </c>
      <c r="O71" s="85">
        <v>46199</v>
      </c>
      <c r="P71" s="85">
        <f t="shared" si="7"/>
        <v>46199</v>
      </c>
      <c r="Q71" s="85">
        <f t="shared" si="8"/>
        <v>46199</v>
      </c>
      <c r="R71" s="85">
        <v>46204</v>
      </c>
      <c r="S71" s="85">
        <f t="shared" si="14"/>
        <v>46213</v>
      </c>
      <c r="T71" s="85">
        <f t="shared" si="9"/>
        <v>46213</v>
      </c>
      <c r="U71" s="85">
        <v>46213</v>
      </c>
      <c r="W71" s="169" t="str">
        <f t="shared" ca="1" si="10"/>
        <v>Completed</v>
      </c>
      <c r="X71" s="169" t="str">
        <f t="shared" ca="1" si="11"/>
        <v>Completed</v>
      </c>
      <c r="Y71" s="169" t="str">
        <f t="shared" ca="1" si="12"/>
        <v>Completed</v>
      </c>
      <c r="Z71" s="170" t="str">
        <f t="shared" ca="1" si="13"/>
        <v>Completed</v>
      </c>
    </row>
    <row r="72" spans="1:26" s="70" customFormat="1" ht="11.5" x14ac:dyDescent="0.25">
      <c r="A72" s="176" t="s">
        <v>64</v>
      </c>
      <c r="B72" s="186" t="s">
        <v>34</v>
      </c>
      <c r="C72" s="186" t="s">
        <v>105</v>
      </c>
      <c r="D72" s="186" t="s">
        <v>1092</v>
      </c>
      <c r="E72" s="187">
        <f t="shared" si="15"/>
        <v>1</v>
      </c>
      <c r="F72" s="187">
        <f t="shared" si="16"/>
        <v>1</v>
      </c>
      <c r="G72" s="177">
        <f t="shared" si="17"/>
        <v>1</v>
      </c>
      <c r="H72" s="177">
        <f t="shared" si="18"/>
        <v>0</v>
      </c>
      <c r="I72" s="178">
        <v>0.25</v>
      </c>
      <c r="J72" s="179">
        <f>J9+28</f>
        <v>46150</v>
      </c>
      <c r="K72" s="179">
        <f t="shared" si="4"/>
        <v>46150</v>
      </c>
      <c r="L72" s="179">
        <v>46150</v>
      </c>
      <c r="M72" s="179">
        <f t="shared" si="5"/>
        <v>46192</v>
      </c>
      <c r="N72" s="179">
        <f t="shared" si="6"/>
        <v>46192</v>
      </c>
      <c r="O72" s="179">
        <v>46220</v>
      </c>
      <c r="P72" s="179">
        <f t="shared" si="7"/>
        <v>46234</v>
      </c>
      <c r="Q72" s="179">
        <f t="shared" si="8"/>
        <v>46234</v>
      </c>
      <c r="R72" s="179">
        <v>46241</v>
      </c>
      <c r="S72" s="179">
        <f t="shared" si="14"/>
        <v>46248</v>
      </c>
      <c r="T72" s="179">
        <f t="shared" si="9"/>
        <v>46248</v>
      </c>
      <c r="U72" s="179">
        <v>46241</v>
      </c>
      <c r="W72" s="169" t="str">
        <f t="shared" ca="1" si="10"/>
        <v>Completed</v>
      </c>
      <c r="X72" s="169" t="str">
        <f t="shared" ca="1" si="11"/>
        <v>Completed</v>
      </c>
      <c r="Y72" s="169" t="str">
        <f t="shared" ca="1" si="12"/>
        <v>Completed</v>
      </c>
      <c r="Z72" s="170" t="str">
        <f t="shared" ca="1" si="13"/>
        <v>Completed</v>
      </c>
    </row>
    <row r="73" spans="1:26" s="70" customFormat="1" ht="11.5" x14ac:dyDescent="0.25">
      <c r="A73" s="101" t="s">
        <v>64</v>
      </c>
      <c r="B73" s="102" t="s">
        <v>34</v>
      </c>
      <c r="C73" s="102" t="s">
        <v>105</v>
      </c>
      <c r="D73" s="102" t="s">
        <v>1093</v>
      </c>
      <c r="E73" s="103">
        <f t="shared" ref="E73" si="317">(COUNTIFS(J73,"&lt;="&amp;$C$1)*50%)+(COUNTIFS(M73,"&lt;="&amp;$C$1)*20%)+(COUNTIFS(P73,"&lt;="&amp;$C$1)*10%)+(COUNTIFS(S73,"&lt;="&amp;$C$1)*20%)</f>
        <v>0.79999999999999993</v>
      </c>
      <c r="F73" s="103">
        <f t="shared" ref="F73" si="318">(COUNTIFS(K73,"&lt;="&amp;$C$1)*50%)+(COUNTIFS(N73,"&lt;="&amp;$C$1)*20%)+(COUNTIFS(Q73,"&lt;="&amp;$C$1)*10%)+(COUNTIFS(T73,"&lt;="&amp;$C$1)*20%)</f>
        <v>0.79999999999999993</v>
      </c>
      <c r="G73" s="104">
        <f t="shared" ref="G73" si="319">(COUNTIFS(L73,"&lt;="&amp;$C$1)*50%)+(COUNTIFS(O73,"&lt;="&amp;$C$1)*20%)+(COUNTIFS(R73,"&lt;="&amp;$C$1)*10%)+(COUNTIFS(U73,"&lt;="&amp;$C$1)*20%)</f>
        <v>0.7</v>
      </c>
      <c r="H73" s="104">
        <f t="shared" ref="H73" si="320">G73-E73</f>
        <v>-9.9999999999999978E-2</v>
      </c>
      <c r="I73" s="105">
        <v>0.25</v>
      </c>
      <c r="J73" s="106">
        <f>J10+28</f>
        <v>46150</v>
      </c>
      <c r="K73" s="106">
        <f t="shared" ref="K73" si="321">J73</f>
        <v>46150</v>
      </c>
      <c r="L73" s="106">
        <v>46150</v>
      </c>
      <c r="M73" s="106">
        <f t="shared" ref="M73" si="322">J73+42</f>
        <v>46192</v>
      </c>
      <c r="N73" s="106">
        <f t="shared" ref="N73" si="323">M73</f>
        <v>46192</v>
      </c>
      <c r="O73" s="106">
        <v>46220</v>
      </c>
      <c r="P73" s="106">
        <v>46277</v>
      </c>
      <c r="Q73" s="106">
        <f t="shared" ref="Q73" si="324">P73</f>
        <v>46277</v>
      </c>
      <c r="R73" s="106"/>
      <c r="S73" s="106">
        <f t="shared" ref="S73" si="325">P73+14</f>
        <v>46291</v>
      </c>
      <c r="T73" s="106">
        <f t="shared" ref="T73" si="326">S73</f>
        <v>46291</v>
      </c>
      <c r="U73" s="106"/>
      <c r="W73" s="169" t="str">
        <f t="shared" ref="W73" ca="1" si="327">IF(OR(L73&lt;&gt;""),"Completed",
IF(K73="","",IF(K73&lt;TODAY(),"Overdue",
IF(AND(K73&gt;=TODAY()-WEEKDAY(TODAY(),2)+1,K73&lt;=TODAY()-WEEKDAY(TODAY(),2)+7),"Follow-This Week",
IF(AND(K73&gt;=TODAY()-WEEKDAY(TODAY(),2)+8,K73&lt;=TODAY()-WEEKDAY(TODAY(),2)+14),"Follow-Next Week","")))))</f>
        <v>Completed</v>
      </c>
      <c r="X73" s="169" t="str">
        <f t="shared" ref="X73" ca="1" si="328">IF(OR(O73&lt;&gt;""),"Completed",IF(N73="","",
IF(N73&lt;TODAY(),"Overdue",
IF(AND(N73&gt;=TODAY()-WEEKDAY(TODAY(),2)+1,N73&lt;=TODAY()-WEEKDAY(TODAY(),2)+7),"Follow-This Week",
IF(AND(N73&gt;=TODAY()-WEEKDAY(TODAY(),2)+8,N73&lt;=TODAY()-WEEKDAY(TODAY(),2)+14),"Follow-Next Week","")))))</f>
        <v>Completed</v>
      </c>
      <c r="Y73" s="169" t="str">
        <f t="shared" ref="Y73" ca="1" si="329">IF(OR(R73&lt;&gt;""),"Completed",IF(Q73="","",
IF(Q73&lt;TODAY(),"Overdue",
IF(AND(Q73&gt;=TODAY()-WEEKDAY(TODAY(),2)+1,Q73&lt;=TODAY()-WEEKDAY(TODAY(),2)+7),"Follow-This Week",
IF(AND(Q73&gt;=TODAY()-WEEKDAY(TODAY(),2)+8,Q73&lt;=TODAY()-WEEKDAY(TODAY(),2)+14),"Follow-Next Week","")))))</f>
        <v>Overdue</v>
      </c>
      <c r="Z73" s="170" t="str">
        <f t="shared" ref="Z73" ca="1" si="330">IF(OR(U73&lt;&gt;""),"Completed",IF(T73="","",
IF(T73&lt;TODAY(),"Overdue",
IF(AND(T73&gt;=TODAY()-WEEKDAY(TODAY(),2)+1,T73&lt;=TODAY()-WEEKDAY(TODAY(),2)+7),"Follow-This Week",
IF(AND(T73&gt;=TODAY()-WEEKDAY(TODAY(),2)+8,T73&lt;=TODAY()-WEEKDAY(TODAY(),2)+14),"Follow-Next Week","")))))</f>
        <v>Follow-Next Week</v>
      </c>
    </row>
    <row r="74" spans="1:26" s="70" customFormat="1" ht="11.5" x14ac:dyDescent="0.25">
      <c r="A74" s="176" t="s">
        <v>64</v>
      </c>
      <c r="B74" s="186" t="s">
        <v>34</v>
      </c>
      <c r="C74" s="186" t="s">
        <v>106</v>
      </c>
      <c r="D74" s="186" t="s">
        <v>1184</v>
      </c>
      <c r="E74" s="187">
        <f t="shared" si="15"/>
        <v>1</v>
      </c>
      <c r="F74" s="187">
        <f t="shared" si="16"/>
        <v>1</v>
      </c>
      <c r="G74" s="177">
        <f t="shared" si="17"/>
        <v>1</v>
      </c>
      <c r="H74" s="177">
        <f t="shared" si="18"/>
        <v>0</v>
      </c>
      <c r="I74" s="178">
        <v>0.25</v>
      </c>
      <c r="J74" s="179">
        <f>J11+28</f>
        <v>46164</v>
      </c>
      <c r="K74" s="179">
        <f t="shared" si="4"/>
        <v>46164</v>
      </c>
      <c r="L74" s="179">
        <v>46178</v>
      </c>
      <c r="M74" s="179">
        <f t="shared" si="5"/>
        <v>46206</v>
      </c>
      <c r="N74" s="179">
        <f t="shared" si="6"/>
        <v>46206</v>
      </c>
      <c r="O74" s="179">
        <v>46227</v>
      </c>
      <c r="P74" s="179">
        <f t="shared" si="7"/>
        <v>46248</v>
      </c>
      <c r="Q74" s="179">
        <f t="shared" si="8"/>
        <v>46248</v>
      </c>
      <c r="R74" s="179">
        <v>46276</v>
      </c>
      <c r="S74" s="179">
        <f t="shared" si="14"/>
        <v>46262</v>
      </c>
      <c r="T74" s="179">
        <f t="shared" si="9"/>
        <v>46262</v>
      </c>
      <c r="U74" s="179">
        <v>46276</v>
      </c>
      <c r="W74" s="169" t="str">
        <f t="shared" ca="1" si="10"/>
        <v>Completed</v>
      </c>
      <c r="X74" s="169" t="str">
        <f t="shared" ca="1" si="11"/>
        <v>Completed</v>
      </c>
      <c r="Y74" s="169" t="str">
        <f t="shared" ca="1" si="12"/>
        <v>Completed</v>
      </c>
      <c r="Z74" s="170" t="str">
        <f t="shared" ca="1" si="13"/>
        <v>Completed</v>
      </c>
    </row>
    <row r="75" spans="1:26" s="70" customFormat="1" ht="11.5" x14ac:dyDescent="0.25">
      <c r="A75" s="101" t="s">
        <v>64</v>
      </c>
      <c r="B75" s="102" t="s">
        <v>34</v>
      </c>
      <c r="C75" s="102" t="s">
        <v>106</v>
      </c>
      <c r="D75" s="102" t="s">
        <v>1188</v>
      </c>
      <c r="E75" s="103">
        <f t="shared" si="15"/>
        <v>1</v>
      </c>
      <c r="F75" s="103">
        <f t="shared" si="16"/>
        <v>1</v>
      </c>
      <c r="G75" s="104">
        <f t="shared" si="17"/>
        <v>0.7</v>
      </c>
      <c r="H75" s="104">
        <f t="shared" si="18"/>
        <v>-0.30000000000000004</v>
      </c>
      <c r="I75" s="105">
        <v>0.25</v>
      </c>
      <c r="J75" s="106">
        <f>J11+28</f>
        <v>46164</v>
      </c>
      <c r="K75" s="106">
        <f t="shared" si="4"/>
        <v>46164</v>
      </c>
      <c r="L75" s="106">
        <v>46178</v>
      </c>
      <c r="M75" s="106">
        <f t="shared" si="5"/>
        <v>46206</v>
      </c>
      <c r="N75" s="106">
        <f t="shared" si="6"/>
        <v>46206</v>
      </c>
      <c r="O75" s="106">
        <v>46227</v>
      </c>
      <c r="P75" s="106">
        <f t="shared" si="7"/>
        <v>46248</v>
      </c>
      <c r="Q75" s="106">
        <f t="shared" si="8"/>
        <v>46248</v>
      </c>
      <c r="R75" s="106"/>
      <c r="S75" s="106">
        <f t="shared" si="14"/>
        <v>46262</v>
      </c>
      <c r="T75" s="106">
        <f t="shared" si="9"/>
        <v>46262</v>
      </c>
      <c r="U75" s="107"/>
      <c r="W75" s="169" t="str">
        <f t="shared" ca="1" si="10"/>
        <v>Completed</v>
      </c>
      <c r="X75" s="169" t="str">
        <f t="shared" ca="1" si="11"/>
        <v>Completed</v>
      </c>
      <c r="Y75" s="169" t="str">
        <f t="shared" ca="1" si="12"/>
        <v>Overdue</v>
      </c>
      <c r="Z75" s="170" t="str">
        <f t="shared" ca="1" si="13"/>
        <v>Overdue</v>
      </c>
    </row>
    <row r="76" spans="1:26" s="70" customFormat="1" ht="11.5" x14ac:dyDescent="0.25">
      <c r="A76" s="176" t="s">
        <v>64</v>
      </c>
      <c r="B76" s="176" t="s">
        <v>34</v>
      </c>
      <c r="C76" s="176" t="s">
        <v>107</v>
      </c>
      <c r="D76" s="176" t="s">
        <v>1185</v>
      </c>
      <c r="E76" s="177">
        <f t="shared" si="15"/>
        <v>1</v>
      </c>
      <c r="F76" s="177">
        <f t="shared" si="16"/>
        <v>1</v>
      </c>
      <c r="G76" s="177">
        <f t="shared" si="17"/>
        <v>1</v>
      </c>
      <c r="H76" s="177">
        <f t="shared" si="18"/>
        <v>0</v>
      </c>
      <c r="I76" s="178">
        <v>0.25</v>
      </c>
      <c r="J76" s="179">
        <f>J13+28</f>
        <v>46171</v>
      </c>
      <c r="K76" s="182">
        <f t="shared" si="4"/>
        <v>46171</v>
      </c>
      <c r="L76" s="204">
        <v>46161</v>
      </c>
      <c r="M76" s="179">
        <f t="shared" si="5"/>
        <v>46213</v>
      </c>
      <c r="N76" s="182">
        <f t="shared" si="6"/>
        <v>46213</v>
      </c>
      <c r="O76" s="205">
        <v>46223</v>
      </c>
      <c r="P76" s="179">
        <f t="shared" si="7"/>
        <v>46255</v>
      </c>
      <c r="Q76" s="182">
        <f t="shared" si="8"/>
        <v>46255</v>
      </c>
      <c r="R76" s="179">
        <v>46276</v>
      </c>
      <c r="S76" s="179">
        <f t="shared" si="14"/>
        <v>46269</v>
      </c>
      <c r="T76" s="182">
        <f t="shared" si="9"/>
        <v>46269</v>
      </c>
      <c r="U76" s="179">
        <v>46276</v>
      </c>
      <c r="W76" s="169" t="str">
        <f t="shared" ca="1" si="10"/>
        <v>Completed</v>
      </c>
      <c r="X76" s="169" t="str">
        <f t="shared" ca="1" si="11"/>
        <v>Completed</v>
      </c>
      <c r="Y76" s="169" t="str">
        <f t="shared" ca="1" si="12"/>
        <v>Completed</v>
      </c>
      <c r="Z76" s="170" t="str">
        <f t="shared" ca="1" si="13"/>
        <v>Completed</v>
      </c>
    </row>
    <row r="77" spans="1:26" s="70" customFormat="1" ht="11.5" x14ac:dyDescent="0.25">
      <c r="A77" s="101" t="s">
        <v>64</v>
      </c>
      <c r="B77" s="101" t="s">
        <v>34</v>
      </c>
      <c r="C77" s="101" t="s">
        <v>107</v>
      </c>
      <c r="D77" s="101" t="s">
        <v>1189</v>
      </c>
      <c r="E77" s="104">
        <f t="shared" si="15"/>
        <v>1</v>
      </c>
      <c r="F77" s="104">
        <f t="shared" si="16"/>
        <v>1</v>
      </c>
      <c r="G77" s="104">
        <f t="shared" si="17"/>
        <v>0.79999999999999993</v>
      </c>
      <c r="H77" s="104">
        <f t="shared" si="18"/>
        <v>-0.20000000000000007</v>
      </c>
      <c r="I77" s="105">
        <v>0.25</v>
      </c>
      <c r="J77" s="106">
        <f>J13+28</f>
        <v>46171</v>
      </c>
      <c r="K77" s="108">
        <f t="shared" si="4"/>
        <v>46171</v>
      </c>
      <c r="L77" s="142">
        <v>46161</v>
      </c>
      <c r="M77" s="106">
        <f t="shared" si="5"/>
        <v>46213</v>
      </c>
      <c r="N77" s="108">
        <f t="shared" si="6"/>
        <v>46213</v>
      </c>
      <c r="O77" s="137">
        <v>46223</v>
      </c>
      <c r="P77" s="106">
        <f t="shared" si="7"/>
        <v>46255</v>
      </c>
      <c r="Q77" s="108">
        <f t="shared" si="8"/>
        <v>46255</v>
      </c>
      <c r="R77" s="161">
        <v>46283</v>
      </c>
      <c r="S77" s="106">
        <f t="shared" si="14"/>
        <v>46269</v>
      </c>
      <c r="T77" s="108">
        <f t="shared" si="9"/>
        <v>46269</v>
      </c>
      <c r="U77" s="106"/>
      <c r="W77" s="169" t="str">
        <f t="shared" ca="1" si="10"/>
        <v>Completed</v>
      </c>
      <c r="X77" s="169" t="str">
        <f t="shared" ca="1" si="11"/>
        <v>Completed</v>
      </c>
      <c r="Y77" s="169" t="str">
        <f t="shared" ca="1" si="12"/>
        <v>Completed</v>
      </c>
      <c r="Z77" s="170" t="str">
        <f t="shared" ca="1" si="13"/>
        <v>Overdue</v>
      </c>
    </row>
    <row r="78" spans="1:26" s="70" customFormat="1" ht="11.5" x14ac:dyDescent="0.25">
      <c r="A78" s="176" t="s">
        <v>64</v>
      </c>
      <c r="B78" s="176" t="s">
        <v>34</v>
      </c>
      <c r="C78" s="176" t="s">
        <v>108</v>
      </c>
      <c r="D78" s="176" t="s">
        <v>1186</v>
      </c>
      <c r="E78" s="177">
        <f t="shared" si="15"/>
        <v>1</v>
      </c>
      <c r="F78" s="177">
        <f t="shared" si="16"/>
        <v>1</v>
      </c>
      <c r="G78" s="177">
        <f t="shared" si="17"/>
        <v>1</v>
      </c>
      <c r="H78" s="177">
        <f t="shared" si="18"/>
        <v>0</v>
      </c>
      <c r="I78" s="178">
        <v>0.25</v>
      </c>
      <c r="J78" s="179">
        <f>J15+28</f>
        <v>46178</v>
      </c>
      <c r="K78" s="179">
        <f t="shared" si="4"/>
        <v>46178</v>
      </c>
      <c r="L78" s="179">
        <v>46150</v>
      </c>
      <c r="M78" s="179">
        <f t="shared" si="5"/>
        <v>46220</v>
      </c>
      <c r="N78" s="179">
        <f t="shared" si="6"/>
        <v>46220</v>
      </c>
      <c r="O78" s="179">
        <v>46230</v>
      </c>
      <c r="P78" s="179">
        <f t="shared" si="7"/>
        <v>46262</v>
      </c>
      <c r="Q78" s="179">
        <f t="shared" si="8"/>
        <v>46262</v>
      </c>
      <c r="R78" s="179">
        <v>46276</v>
      </c>
      <c r="S78" s="179">
        <f t="shared" si="14"/>
        <v>46276</v>
      </c>
      <c r="T78" s="179">
        <f t="shared" si="9"/>
        <v>46276</v>
      </c>
      <c r="U78" s="179">
        <v>46276</v>
      </c>
      <c r="W78" s="169" t="str">
        <f t="shared" ca="1" si="10"/>
        <v>Completed</v>
      </c>
      <c r="X78" s="169" t="str">
        <f t="shared" ca="1" si="11"/>
        <v>Completed</v>
      </c>
      <c r="Y78" s="169" t="str">
        <f t="shared" ca="1" si="12"/>
        <v>Completed</v>
      </c>
      <c r="Z78" s="170" t="str">
        <f t="shared" ca="1" si="13"/>
        <v>Completed</v>
      </c>
    </row>
    <row r="79" spans="1:26" s="70" customFormat="1" ht="11.5" x14ac:dyDescent="0.25">
      <c r="A79" s="101" t="s">
        <v>64</v>
      </c>
      <c r="B79" s="101" t="s">
        <v>34</v>
      </c>
      <c r="C79" s="101" t="s">
        <v>108</v>
      </c>
      <c r="D79" s="101" t="s">
        <v>1190</v>
      </c>
      <c r="E79" s="104">
        <f t="shared" si="15"/>
        <v>1</v>
      </c>
      <c r="F79" s="104">
        <f t="shared" si="16"/>
        <v>1</v>
      </c>
      <c r="G79" s="104">
        <f t="shared" si="17"/>
        <v>0.79999999999999993</v>
      </c>
      <c r="H79" s="104">
        <f t="shared" si="18"/>
        <v>-0.20000000000000007</v>
      </c>
      <c r="I79" s="105">
        <v>0.25</v>
      </c>
      <c r="J79" s="106">
        <f>J15+28</f>
        <v>46178</v>
      </c>
      <c r="K79" s="106">
        <f t="shared" si="4"/>
        <v>46178</v>
      </c>
      <c r="L79" s="106">
        <v>46150</v>
      </c>
      <c r="M79" s="106">
        <f t="shared" si="5"/>
        <v>46220</v>
      </c>
      <c r="N79" s="106">
        <f t="shared" si="6"/>
        <v>46220</v>
      </c>
      <c r="O79" s="106">
        <v>46230</v>
      </c>
      <c r="P79" s="106">
        <f t="shared" si="7"/>
        <v>46262</v>
      </c>
      <c r="Q79" s="106">
        <f t="shared" si="8"/>
        <v>46262</v>
      </c>
      <c r="R79" s="161">
        <v>46283</v>
      </c>
      <c r="S79" s="106">
        <f t="shared" si="14"/>
        <v>46276</v>
      </c>
      <c r="T79" s="106">
        <f t="shared" si="9"/>
        <v>46276</v>
      </c>
      <c r="U79" s="106"/>
      <c r="W79" s="169" t="str">
        <f t="shared" ca="1" si="10"/>
        <v>Completed</v>
      </c>
      <c r="X79" s="169" t="str">
        <f t="shared" ca="1" si="11"/>
        <v>Completed</v>
      </c>
      <c r="Y79" s="169" t="str">
        <f t="shared" ca="1" si="12"/>
        <v>Completed</v>
      </c>
      <c r="Z79" s="170" t="str">
        <f t="shared" ca="1" si="13"/>
        <v>Overdue</v>
      </c>
    </row>
    <row r="80" spans="1:26" s="70" customFormat="1" ht="11.5" x14ac:dyDescent="0.25">
      <c r="A80" s="176" t="s">
        <v>64</v>
      </c>
      <c r="B80" s="176" t="s">
        <v>34</v>
      </c>
      <c r="C80" s="176" t="s">
        <v>109</v>
      </c>
      <c r="D80" s="176" t="s">
        <v>1187</v>
      </c>
      <c r="E80" s="177">
        <f t="shared" si="15"/>
        <v>0.79999999999999993</v>
      </c>
      <c r="F80" s="177">
        <f t="shared" si="16"/>
        <v>0.79999999999999993</v>
      </c>
      <c r="G80" s="177">
        <f t="shared" si="17"/>
        <v>1</v>
      </c>
      <c r="H80" s="177">
        <f t="shared" si="18"/>
        <v>0.20000000000000007</v>
      </c>
      <c r="I80" s="178">
        <v>0.25</v>
      </c>
      <c r="J80" s="179">
        <f>J17+28</f>
        <v>46192</v>
      </c>
      <c r="K80" s="179">
        <f t="shared" si="4"/>
        <v>46192</v>
      </c>
      <c r="L80" s="179">
        <v>46155</v>
      </c>
      <c r="M80" s="179">
        <f t="shared" si="5"/>
        <v>46234</v>
      </c>
      <c r="N80" s="179">
        <f t="shared" si="6"/>
        <v>46234</v>
      </c>
      <c r="O80" s="179">
        <v>46230</v>
      </c>
      <c r="P80" s="179">
        <f t="shared" si="7"/>
        <v>46276</v>
      </c>
      <c r="Q80" s="179">
        <f t="shared" si="8"/>
        <v>46276</v>
      </c>
      <c r="R80" s="179">
        <v>46276</v>
      </c>
      <c r="S80" s="179">
        <f t="shared" si="14"/>
        <v>46290</v>
      </c>
      <c r="T80" s="179">
        <f t="shared" si="9"/>
        <v>46290</v>
      </c>
      <c r="U80" s="179">
        <v>46276</v>
      </c>
      <c r="W80" s="169" t="str">
        <f t="shared" ca="1" si="10"/>
        <v>Completed</v>
      </c>
      <c r="X80" s="169" t="str">
        <f t="shared" ca="1" si="11"/>
        <v>Completed</v>
      </c>
      <c r="Y80" s="169" t="str">
        <f t="shared" ca="1" si="12"/>
        <v>Completed</v>
      </c>
      <c r="Z80" s="170" t="str">
        <f t="shared" ca="1" si="13"/>
        <v>Completed</v>
      </c>
    </row>
    <row r="81" spans="1:26" s="70" customFormat="1" ht="11.5" x14ac:dyDescent="0.25">
      <c r="A81" s="101" t="s">
        <v>64</v>
      </c>
      <c r="B81" s="101" t="s">
        <v>34</v>
      </c>
      <c r="C81" s="101" t="s">
        <v>109</v>
      </c>
      <c r="D81" s="101" t="s">
        <v>1191</v>
      </c>
      <c r="E81" s="104">
        <f t="shared" ref="E81" si="331">(COUNTIFS(J81,"&lt;="&amp;$C$1)*50%)+(COUNTIFS(M81,"&lt;="&amp;$C$1)*20%)+(COUNTIFS(P81,"&lt;="&amp;$C$1)*10%)+(COUNTIFS(S81,"&lt;="&amp;$C$1)*20%)</f>
        <v>1</v>
      </c>
      <c r="F81" s="104">
        <f t="shared" ref="F81" si="332">(COUNTIFS(K81,"&lt;="&amp;$C$1)*50%)+(COUNTIFS(N81,"&lt;="&amp;$C$1)*20%)+(COUNTIFS(Q81,"&lt;="&amp;$C$1)*10%)+(COUNTIFS(T81,"&lt;="&amp;$C$1)*20%)</f>
        <v>1</v>
      </c>
      <c r="G81" s="104">
        <f t="shared" ref="G81" si="333">(COUNTIFS(L81,"&lt;="&amp;$C$1)*50%)+(COUNTIFS(O81,"&lt;="&amp;$C$1)*20%)+(COUNTIFS(R81,"&lt;="&amp;$C$1)*10%)+(COUNTIFS(U81,"&lt;="&amp;$C$1)*20%)</f>
        <v>0.79999999999999993</v>
      </c>
      <c r="H81" s="104">
        <f t="shared" ref="H81" si="334">G81-E81</f>
        <v>-0.20000000000000007</v>
      </c>
      <c r="I81" s="105">
        <v>0.25</v>
      </c>
      <c r="J81" s="106">
        <f>J22+28</f>
        <v>46185</v>
      </c>
      <c r="K81" s="106">
        <f t="shared" ref="K81" si="335">J81</f>
        <v>46185</v>
      </c>
      <c r="L81" s="106">
        <v>46155</v>
      </c>
      <c r="M81" s="106">
        <f t="shared" ref="M81" si="336">J81+42</f>
        <v>46227</v>
      </c>
      <c r="N81" s="106">
        <f t="shared" ref="N81" si="337">M81</f>
        <v>46227</v>
      </c>
      <c r="O81" s="106">
        <v>46230</v>
      </c>
      <c r="P81" s="106">
        <f t="shared" ref="P81" si="338">M81+42</f>
        <v>46269</v>
      </c>
      <c r="Q81" s="106">
        <f t="shared" ref="Q81" si="339">P81</f>
        <v>46269</v>
      </c>
      <c r="R81" s="161">
        <v>46283</v>
      </c>
      <c r="S81" s="106">
        <f t="shared" ref="S81" si="340">P81+14</f>
        <v>46283</v>
      </c>
      <c r="T81" s="106">
        <f t="shared" ref="T81" si="341">S81</f>
        <v>46283</v>
      </c>
      <c r="U81" s="106"/>
      <c r="W81" s="169" t="str">
        <f t="shared" ref="W81" ca="1" si="342">IF(OR(L81&lt;&gt;""),"Completed",
IF(K81="","",IF(K81&lt;TODAY(),"Overdue",
IF(AND(K81&gt;=TODAY()-WEEKDAY(TODAY(),2)+1,K81&lt;=TODAY()-WEEKDAY(TODAY(),2)+7),"Follow-This Week",
IF(AND(K81&gt;=TODAY()-WEEKDAY(TODAY(),2)+8,K81&lt;=TODAY()-WEEKDAY(TODAY(),2)+14),"Follow-Next Week","")))))</f>
        <v>Completed</v>
      </c>
      <c r="X81" s="169" t="str">
        <f t="shared" ref="X81" ca="1" si="343">IF(OR(O81&lt;&gt;""),"Completed",IF(N81="","",
IF(N81&lt;TODAY(),"Overdue",
IF(AND(N81&gt;=TODAY()-WEEKDAY(TODAY(),2)+1,N81&lt;=TODAY()-WEEKDAY(TODAY(),2)+7),"Follow-This Week",
IF(AND(N81&gt;=TODAY()-WEEKDAY(TODAY(),2)+8,N81&lt;=TODAY()-WEEKDAY(TODAY(),2)+14),"Follow-Next Week","")))))</f>
        <v>Completed</v>
      </c>
      <c r="Y81" s="169" t="str">
        <f t="shared" ref="Y81" ca="1" si="344">IF(OR(R81&lt;&gt;""),"Completed",IF(Q81="","",
IF(Q81&lt;TODAY(),"Overdue",
IF(AND(Q81&gt;=TODAY()-WEEKDAY(TODAY(),2)+1,Q81&lt;=TODAY()-WEEKDAY(TODAY(),2)+7),"Follow-This Week",
IF(AND(Q81&gt;=TODAY()-WEEKDAY(TODAY(),2)+8,Q81&lt;=TODAY()-WEEKDAY(TODAY(),2)+14),"Follow-Next Week","")))))</f>
        <v>Completed</v>
      </c>
      <c r="Z81" s="170" t="str">
        <f t="shared" ref="Z81" ca="1" si="345">IF(OR(U81&lt;&gt;""),"Completed",IF(T81="","",
IF(T81&lt;TODAY(),"Overdue",
IF(AND(T81&gt;=TODAY()-WEEKDAY(TODAY(),2)+1,T81&lt;=TODAY()-WEEKDAY(TODAY(),2)+7),"Follow-This Week",
IF(AND(T81&gt;=TODAY()-WEEKDAY(TODAY(),2)+8,T81&lt;=TODAY()-WEEKDAY(TODAY(),2)+14),"Follow-Next Week","")))))</f>
        <v>Overdue</v>
      </c>
    </row>
    <row r="82" spans="1:26" s="70" customFormat="1" ht="11.5" x14ac:dyDescent="0.25">
      <c r="A82" s="176" t="s">
        <v>64</v>
      </c>
      <c r="B82" s="176" t="s">
        <v>34</v>
      </c>
      <c r="C82" s="176" t="s">
        <v>110</v>
      </c>
      <c r="D82" s="176" t="s">
        <v>1194</v>
      </c>
      <c r="E82" s="177">
        <f t="shared" si="15"/>
        <v>0.7</v>
      </c>
      <c r="F82" s="177">
        <f t="shared" si="16"/>
        <v>0.7</v>
      </c>
      <c r="G82" s="177">
        <f t="shared" si="17"/>
        <v>1</v>
      </c>
      <c r="H82" s="177">
        <f t="shared" si="18"/>
        <v>0.30000000000000004</v>
      </c>
      <c r="I82" s="178">
        <v>0.25</v>
      </c>
      <c r="J82" s="179">
        <f>J19+28</f>
        <v>46206</v>
      </c>
      <c r="K82" s="180">
        <f t="shared" si="4"/>
        <v>46206</v>
      </c>
      <c r="L82" s="180">
        <v>46185</v>
      </c>
      <c r="M82" s="179">
        <f t="shared" si="5"/>
        <v>46248</v>
      </c>
      <c r="N82" s="180">
        <f t="shared" si="6"/>
        <v>46248</v>
      </c>
      <c r="O82" s="180">
        <v>46241</v>
      </c>
      <c r="P82" s="179">
        <f t="shared" si="7"/>
        <v>46290</v>
      </c>
      <c r="Q82" s="180">
        <f t="shared" si="8"/>
        <v>46290</v>
      </c>
      <c r="R82" s="179">
        <v>46283</v>
      </c>
      <c r="S82" s="179">
        <f t="shared" si="14"/>
        <v>46304</v>
      </c>
      <c r="T82" s="180">
        <f t="shared" si="9"/>
        <v>46304</v>
      </c>
      <c r="U82" s="179">
        <v>46283</v>
      </c>
      <c r="W82" s="169" t="str">
        <f t="shared" ca="1" si="10"/>
        <v>Completed</v>
      </c>
      <c r="X82" s="169" t="str">
        <f t="shared" ca="1" si="11"/>
        <v>Completed</v>
      </c>
      <c r="Y82" s="169" t="str">
        <f t="shared" ca="1" si="12"/>
        <v>Completed</v>
      </c>
      <c r="Z82" s="170" t="str">
        <f t="shared" ca="1" si="13"/>
        <v>Completed</v>
      </c>
    </row>
    <row r="83" spans="1:26" s="70" customFormat="1" ht="11.5" x14ac:dyDescent="0.25">
      <c r="A83" s="101" t="s">
        <v>64</v>
      </c>
      <c r="B83" s="101" t="s">
        <v>34</v>
      </c>
      <c r="C83" s="101" t="s">
        <v>110</v>
      </c>
      <c r="D83" s="101" t="s">
        <v>1195</v>
      </c>
      <c r="E83" s="104">
        <f t="shared" ref="E83" si="346">(COUNTIFS(J83,"&lt;="&amp;$C$1)*50%)+(COUNTIFS(M83,"&lt;="&amp;$C$1)*20%)+(COUNTIFS(P83,"&lt;="&amp;$C$1)*10%)+(COUNTIFS(S83,"&lt;="&amp;$C$1)*20%)</f>
        <v>0.7</v>
      </c>
      <c r="F83" s="104">
        <f t="shared" ref="F83" si="347">(COUNTIFS(K83,"&lt;="&amp;$C$1)*50%)+(COUNTIFS(N83,"&lt;="&amp;$C$1)*20%)+(COUNTIFS(Q83,"&lt;="&amp;$C$1)*10%)+(COUNTIFS(T83,"&lt;="&amp;$C$1)*20%)</f>
        <v>0.7</v>
      </c>
      <c r="G83" s="104">
        <f t="shared" ref="G83" si="348">(COUNTIFS(L83,"&lt;="&amp;$C$1)*50%)+(COUNTIFS(O83,"&lt;="&amp;$C$1)*20%)+(COUNTIFS(R83,"&lt;="&amp;$C$1)*10%)+(COUNTIFS(U83,"&lt;="&amp;$C$1)*20%)</f>
        <v>0.7</v>
      </c>
      <c r="H83" s="104">
        <f t="shared" ref="H83" si="349">G83-E83</f>
        <v>0</v>
      </c>
      <c r="I83" s="105">
        <v>0.25</v>
      </c>
      <c r="J83" s="106">
        <f>J20+28</f>
        <v>46220</v>
      </c>
      <c r="K83" s="107">
        <f t="shared" ref="K83" si="350">J83</f>
        <v>46220</v>
      </c>
      <c r="L83" s="107">
        <v>46185</v>
      </c>
      <c r="M83" s="106">
        <f t="shared" ref="M83" si="351">J83+42</f>
        <v>46262</v>
      </c>
      <c r="N83" s="107">
        <f t="shared" ref="N83" si="352">M83</f>
        <v>46262</v>
      </c>
      <c r="O83" s="107">
        <v>46241</v>
      </c>
      <c r="P83" s="106">
        <f t="shared" ref="P83" si="353">M83+42</f>
        <v>46304</v>
      </c>
      <c r="Q83" s="107">
        <f t="shared" ref="Q83" si="354">P83</f>
        <v>46304</v>
      </c>
      <c r="R83" s="106"/>
      <c r="S83" s="106">
        <f t="shared" ref="S83" si="355">P83+14</f>
        <v>46318</v>
      </c>
      <c r="T83" s="107">
        <f t="shared" ref="T83" si="356">S83</f>
        <v>46318</v>
      </c>
      <c r="U83" s="106"/>
      <c r="W83" s="169" t="str">
        <f t="shared" ref="W83" ca="1" si="357">IF(OR(L83&lt;&gt;""),"Completed",
IF(K83="","",IF(K83&lt;TODAY(),"Overdue",
IF(AND(K83&gt;=TODAY()-WEEKDAY(TODAY(),2)+1,K83&lt;=TODAY()-WEEKDAY(TODAY(),2)+7),"Follow-This Week",
IF(AND(K83&gt;=TODAY()-WEEKDAY(TODAY(),2)+8,K83&lt;=TODAY()-WEEKDAY(TODAY(),2)+14),"Follow-Next Week","")))))</f>
        <v>Completed</v>
      </c>
      <c r="X83" s="169" t="str">
        <f t="shared" ref="X83" ca="1" si="358">IF(OR(O83&lt;&gt;""),"Completed",IF(N83="","",
IF(N83&lt;TODAY(),"Overdue",
IF(AND(N83&gt;=TODAY()-WEEKDAY(TODAY(),2)+1,N83&lt;=TODAY()-WEEKDAY(TODAY(),2)+7),"Follow-This Week",
IF(AND(N83&gt;=TODAY()-WEEKDAY(TODAY(),2)+8,N83&lt;=TODAY()-WEEKDAY(TODAY(),2)+14),"Follow-Next Week","")))))</f>
        <v>Completed</v>
      </c>
      <c r="Y83" s="169" t="str">
        <f t="shared" ref="Y83" ca="1" si="359">IF(OR(R83&lt;&gt;""),"Completed",IF(Q83="","",
IF(Q83&lt;TODAY(),"Overdue",
IF(AND(Q83&gt;=TODAY()-WEEKDAY(TODAY(),2)+1,Q83&lt;=TODAY()-WEEKDAY(TODAY(),2)+7),"Follow-This Week",
IF(AND(Q83&gt;=TODAY()-WEEKDAY(TODAY(),2)+8,Q83&lt;=TODAY()-WEEKDAY(TODAY(),2)+14),"Follow-Next Week","")))))</f>
        <v/>
      </c>
      <c r="Z83" s="170" t="str">
        <f t="shared" ref="Z83" ca="1" si="360">IF(OR(U83&lt;&gt;""),"Completed",IF(T83="","",
IF(T83&lt;TODAY(),"Overdue",
IF(AND(T83&gt;=TODAY()-WEEKDAY(TODAY(),2)+1,T83&lt;=TODAY()-WEEKDAY(TODAY(),2)+7),"Follow-This Week",
IF(AND(T83&gt;=TODAY()-WEEKDAY(TODAY(),2)+8,T83&lt;=TODAY()-WEEKDAY(TODAY(),2)+14),"Follow-Next Week","")))))</f>
        <v/>
      </c>
    </row>
    <row r="84" spans="1:26" s="70" customFormat="1" ht="11.5" x14ac:dyDescent="0.25">
      <c r="A84" s="176" t="s">
        <v>64</v>
      </c>
      <c r="B84" s="176" t="s">
        <v>34</v>
      </c>
      <c r="C84" s="176" t="s">
        <v>111</v>
      </c>
      <c r="D84" s="176" t="s">
        <v>1196</v>
      </c>
      <c r="E84" s="177">
        <f t="shared" si="15"/>
        <v>0.7</v>
      </c>
      <c r="F84" s="177">
        <f t="shared" si="16"/>
        <v>0.7</v>
      </c>
      <c r="G84" s="177">
        <f t="shared" si="17"/>
        <v>1</v>
      </c>
      <c r="H84" s="177">
        <f t="shared" si="18"/>
        <v>0.30000000000000004</v>
      </c>
      <c r="I84" s="178">
        <v>0.25</v>
      </c>
      <c r="J84" s="179">
        <f>J20+28</f>
        <v>46220</v>
      </c>
      <c r="K84" s="180">
        <f t="shared" si="4"/>
        <v>46220</v>
      </c>
      <c r="L84" s="205">
        <v>46223</v>
      </c>
      <c r="M84" s="179">
        <f t="shared" si="5"/>
        <v>46262</v>
      </c>
      <c r="N84" s="180">
        <f t="shared" si="6"/>
        <v>46262</v>
      </c>
      <c r="O84" s="180">
        <v>46248</v>
      </c>
      <c r="P84" s="179">
        <f t="shared" si="7"/>
        <v>46304</v>
      </c>
      <c r="Q84" s="180">
        <f t="shared" si="8"/>
        <v>46304</v>
      </c>
      <c r="R84" s="179">
        <v>46283</v>
      </c>
      <c r="S84" s="179">
        <f t="shared" si="14"/>
        <v>46318</v>
      </c>
      <c r="T84" s="180">
        <f t="shared" si="9"/>
        <v>46318</v>
      </c>
      <c r="U84" s="179">
        <v>46283</v>
      </c>
      <c r="W84" s="169" t="str">
        <f t="shared" ca="1" si="10"/>
        <v>Completed</v>
      </c>
      <c r="X84" s="169" t="str">
        <f t="shared" ca="1" si="11"/>
        <v>Completed</v>
      </c>
      <c r="Y84" s="169" t="str">
        <f t="shared" ca="1" si="12"/>
        <v>Completed</v>
      </c>
      <c r="Z84" s="170" t="str">
        <f t="shared" ca="1" si="13"/>
        <v>Completed</v>
      </c>
    </row>
    <row r="85" spans="1:26" s="70" customFormat="1" ht="11.5" x14ac:dyDescent="0.25">
      <c r="A85" s="101" t="s">
        <v>64</v>
      </c>
      <c r="B85" s="101" t="s">
        <v>34</v>
      </c>
      <c r="C85" s="101" t="s">
        <v>111</v>
      </c>
      <c r="D85" s="101" t="s">
        <v>1197</v>
      </c>
      <c r="E85" s="104">
        <f t="shared" ref="E85" si="361">(COUNTIFS(J85,"&lt;="&amp;$C$1)*50%)+(COUNTIFS(M85,"&lt;="&amp;$C$1)*20%)+(COUNTIFS(P85,"&lt;="&amp;$C$1)*10%)+(COUNTIFS(S85,"&lt;="&amp;$C$1)*20%)</f>
        <v>0.7</v>
      </c>
      <c r="F85" s="104">
        <f t="shared" ref="F85" si="362">(COUNTIFS(K85,"&lt;="&amp;$C$1)*50%)+(COUNTIFS(N85,"&lt;="&amp;$C$1)*20%)+(COUNTIFS(Q85,"&lt;="&amp;$C$1)*10%)+(COUNTIFS(T85,"&lt;="&amp;$C$1)*20%)</f>
        <v>0.7</v>
      </c>
      <c r="G85" s="104">
        <f t="shared" ref="G85" si="363">(COUNTIFS(L85,"&lt;="&amp;$C$1)*50%)+(COUNTIFS(O85,"&lt;="&amp;$C$1)*20%)+(COUNTIFS(R85,"&lt;="&amp;$C$1)*10%)+(COUNTIFS(U85,"&lt;="&amp;$C$1)*20%)</f>
        <v>0.7</v>
      </c>
      <c r="H85" s="104">
        <f t="shared" ref="H85" si="364">G85-E85</f>
        <v>0</v>
      </c>
      <c r="I85" s="105">
        <v>0.25</v>
      </c>
      <c r="J85" s="106">
        <f>J21+28</f>
        <v>46220</v>
      </c>
      <c r="K85" s="107">
        <f t="shared" ref="K85" si="365">J85</f>
        <v>46220</v>
      </c>
      <c r="L85" s="137">
        <v>46223</v>
      </c>
      <c r="M85" s="106">
        <f t="shared" ref="M85" si="366">J85+42</f>
        <v>46262</v>
      </c>
      <c r="N85" s="107">
        <f t="shared" ref="N85" si="367">M85</f>
        <v>46262</v>
      </c>
      <c r="O85" s="107">
        <v>46248</v>
      </c>
      <c r="P85" s="106">
        <f t="shared" ref="P85" si="368">M85+42</f>
        <v>46304</v>
      </c>
      <c r="Q85" s="107">
        <f t="shared" ref="Q85" si="369">P85</f>
        <v>46304</v>
      </c>
      <c r="R85" s="106"/>
      <c r="S85" s="106">
        <f t="shared" ref="S85" si="370">P85+14</f>
        <v>46318</v>
      </c>
      <c r="T85" s="107">
        <f t="shared" ref="T85" si="371">S85</f>
        <v>46318</v>
      </c>
      <c r="U85" s="106"/>
      <c r="W85" s="169" t="str">
        <f t="shared" ref="W85" ca="1" si="372">IF(OR(L85&lt;&gt;""),"Completed",
IF(K85="","",IF(K85&lt;TODAY(),"Overdue",
IF(AND(K85&gt;=TODAY()-WEEKDAY(TODAY(),2)+1,K85&lt;=TODAY()-WEEKDAY(TODAY(),2)+7),"Follow-This Week",
IF(AND(K85&gt;=TODAY()-WEEKDAY(TODAY(),2)+8,K85&lt;=TODAY()-WEEKDAY(TODAY(),2)+14),"Follow-Next Week","")))))</f>
        <v>Completed</v>
      </c>
      <c r="X85" s="169" t="str">
        <f t="shared" ref="X85" ca="1" si="373">IF(OR(O85&lt;&gt;""),"Completed",IF(N85="","",
IF(N85&lt;TODAY(),"Overdue",
IF(AND(N85&gt;=TODAY()-WEEKDAY(TODAY(),2)+1,N85&lt;=TODAY()-WEEKDAY(TODAY(),2)+7),"Follow-This Week",
IF(AND(N85&gt;=TODAY()-WEEKDAY(TODAY(),2)+8,N85&lt;=TODAY()-WEEKDAY(TODAY(),2)+14),"Follow-Next Week","")))))</f>
        <v>Completed</v>
      </c>
      <c r="Y85" s="169" t="str">
        <f t="shared" ref="Y85" ca="1" si="374">IF(OR(R85&lt;&gt;""),"Completed",IF(Q85="","",
IF(Q85&lt;TODAY(),"Overdue",
IF(AND(Q85&gt;=TODAY()-WEEKDAY(TODAY(),2)+1,Q85&lt;=TODAY()-WEEKDAY(TODAY(),2)+7),"Follow-This Week",
IF(AND(Q85&gt;=TODAY()-WEEKDAY(TODAY(),2)+8,Q85&lt;=TODAY()-WEEKDAY(TODAY(),2)+14),"Follow-Next Week","")))))</f>
        <v/>
      </c>
      <c r="Z85" s="170" t="str">
        <f t="shared" ref="Z85" ca="1" si="375">IF(OR(U85&lt;&gt;""),"Completed",IF(T85="","",
IF(T85&lt;TODAY(),"Overdue",
IF(AND(T85&gt;=TODAY()-WEEKDAY(TODAY(),2)+1,T85&lt;=TODAY()-WEEKDAY(TODAY(),2)+7),"Follow-This Week",
IF(AND(T85&gt;=TODAY()-WEEKDAY(TODAY(),2)+8,T85&lt;=TODAY()-WEEKDAY(TODAY(),2)+14),"Follow-Next Week","")))))</f>
        <v/>
      </c>
    </row>
    <row r="86" spans="1:26" s="70" customFormat="1" ht="11.5" x14ac:dyDescent="0.25">
      <c r="A86" s="176" t="s">
        <v>64</v>
      </c>
      <c r="B86" s="176" t="s">
        <v>34</v>
      </c>
      <c r="C86" s="176" t="s">
        <v>112</v>
      </c>
      <c r="D86" s="176" t="s">
        <v>1198</v>
      </c>
      <c r="E86" s="177">
        <f t="shared" si="15"/>
        <v>1</v>
      </c>
      <c r="F86" s="177">
        <f t="shared" si="16"/>
        <v>1</v>
      </c>
      <c r="G86" s="177">
        <f t="shared" si="17"/>
        <v>1</v>
      </c>
      <c r="H86" s="177">
        <f t="shared" si="18"/>
        <v>0</v>
      </c>
      <c r="I86" s="178">
        <v>0.25</v>
      </c>
      <c r="J86" s="179">
        <f>J22+28</f>
        <v>46185</v>
      </c>
      <c r="K86" s="180">
        <f t="shared" si="4"/>
        <v>46185</v>
      </c>
      <c r="L86" s="180">
        <v>46181</v>
      </c>
      <c r="M86" s="179">
        <f t="shared" si="5"/>
        <v>46227</v>
      </c>
      <c r="N86" s="180">
        <f t="shared" si="6"/>
        <v>46227</v>
      </c>
      <c r="O86" s="179">
        <v>46227</v>
      </c>
      <c r="P86" s="179">
        <f t="shared" si="7"/>
        <v>46269</v>
      </c>
      <c r="Q86" s="180">
        <f t="shared" si="8"/>
        <v>46269</v>
      </c>
      <c r="R86" s="179">
        <v>46283</v>
      </c>
      <c r="S86" s="179">
        <f t="shared" si="14"/>
        <v>46283</v>
      </c>
      <c r="T86" s="180">
        <f t="shared" si="9"/>
        <v>46283</v>
      </c>
      <c r="U86" s="179">
        <v>46283</v>
      </c>
      <c r="W86" s="169" t="str">
        <f t="shared" ca="1" si="10"/>
        <v>Completed</v>
      </c>
      <c r="X86" s="169" t="str">
        <f t="shared" ca="1" si="11"/>
        <v>Completed</v>
      </c>
      <c r="Y86" s="169" t="str">
        <f t="shared" ca="1" si="12"/>
        <v>Completed</v>
      </c>
      <c r="Z86" s="170" t="str">
        <f t="shared" ca="1" si="13"/>
        <v>Completed</v>
      </c>
    </row>
    <row r="87" spans="1:26" s="70" customFormat="1" ht="11.5" x14ac:dyDescent="0.25">
      <c r="A87" s="101" t="s">
        <v>64</v>
      </c>
      <c r="B87" s="101" t="s">
        <v>34</v>
      </c>
      <c r="C87" s="101" t="s">
        <v>112</v>
      </c>
      <c r="D87" s="101" t="s">
        <v>1199</v>
      </c>
      <c r="E87" s="104">
        <f t="shared" ref="E87" si="376">(COUNTIFS(J87,"&lt;="&amp;$C$1)*50%)+(COUNTIFS(M87,"&lt;="&amp;$C$1)*20%)+(COUNTIFS(P87,"&lt;="&amp;$C$1)*10%)+(COUNTIFS(S87,"&lt;="&amp;$C$1)*20%)</f>
        <v>1</v>
      </c>
      <c r="F87" s="104">
        <f t="shared" ref="F87" si="377">(COUNTIFS(K87,"&lt;="&amp;$C$1)*50%)+(COUNTIFS(N87,"&lt;="&amp;$C$1)*20%)+(COUNTIFS(Q87,"&lt;="&amp;$C$1)*10%)+(COUNTIFS(T87,"&lt;="&amp;$C$1)*20%)</f>
        <v>1</v>
      </c>
      <c r="G87" s="104">
        <f t="shared" ref="G87" si="378">(COUNTIFS(L87,"&lt;="&amp;$C$1)*50%)+(COUNTIFS(O87,"&lt;="&amp;$C$1)*20%)+(COUNTIFS(R87,"&lt;="&amp;$C$1)*10%)+(COUNTIFS(U87,"&lt;="&amp;$C$1)*20%)</f>
        <v>0.7</v>
      </c>
      <c r="H87" s="104">
        <f t="shared" ref="H87" si="379">G87-E87</f>
        <v>-0.30000000000000004</v>
      </c>
      <c r="I87" s="105">
        <v>0.25</v>
      </c>
      <c r="J87" s="106">
        <f>J23+28</f>
        <v>46185</v>
      </c>
      <c r="K87" s="107">
        <f t="shared" ref="K87" si="380">J87</f>
        <v>46185</v>
      </c>
      <c r="L87" s="107">
        <v>46181</v>
      </c>
      <c r="M87" s="106">
        <f t="shared" ref="M87" si="381">J87+42</f>
        <v>46227</v>
      </c>
      <c r="N87" s="107">
        <f t="shared" ref="N87" si="382">M87</f>
        <v>46227</v>
      </c>
      <c r="O87" s="106">
        <v>46227</v>
      </c>
      <c r="P87" s="106">
        <f t="shared" ref="P87" si="383">M87+42</f>
        <v>46269</v>
      </c>
      <c r="Q87" s="107">
        <f t="shared" ref="Q87" si="384">P87</f>
        <v>46269</v>
      </c>
      <c r="R87" s="106"/>
      <c r="S87" s="106">
        <f t="shared" ref="S87" si="385">P87+14</f>
        <v>46283</v>
      </c>
      <c r="T87" s="107">
        <f t="shared" ref="T87" si="386">S87</f>
        <v>46283</v>
      </c>
      <c r="U87" s="106"/>
      <c r="W87" s="169" t="str">
        <f t="shared" ref="W87" ca="1" si="387">IF(OR(L87&lt;&gt;""),"Completed",
IF(K87="","",IF(K87&lt;TODAY(),"Overdue",
IF(AND(K87&gt;=TODAY()-WEEKDAY(TODAY(),2)+1,K87&lt;=TODAY()-WEEKDAY(TODAY(),2)+7),"Follow-This Week",
IF(AND(K87&gt;=TODAY()-WEEKDAY(TODAY(),2)+8,K87&lt;=TODAY()-WEEKDAY(TODAY(),2)+14),"Follow-Next Week","")))))</f>
        <v>Completed</v>
      </c>
      <c r="X87" s="169" t="str">
        <f t="shared" ref="X87" ca="1" si="388">IF(OR(O87&lt;&gt;""),"Completed",IF(N87="","",
IF(N87&lt;TODAY(),"Overdue",
IF(AND(N87&gt;=TODAY()-WEEKDAY(TODAY(),2)+1,N87&lt;=TODAY()-WEEKDAY(TODAY(),2)+7),"Follow-This Week",
IF(AND(N87&gt;=TODAY()-WEEKDAY(TODAY(),2)+8,N87&lt;=TODAY()-WEEKDAY(TODAY(),2)+14),"Follow-Next Week","")))))</f>
        <v>Completed</v>
      </c>
      <c r="Y87" s="169" t="str">
        <f t="shared" ref="Y87" ca="1" si="389">IF(OR(R87&lt;&gt;""),"Completed",IF(Q87="","",
IF(Q87&lt;TODAY(),"Overdue",
IF(AND(Q87&gt;=TODAY()-WEEKDAY(TODAY(),2)+1,Q87&lt;=TODAY()-WEEKDAY(TODAY(),2)+7),"Follow-This Week",
IF(AND(Q87&gt;=TODAY()-WEEKDAY(TODAY(),2)+8,Q87&lt;=TODAY()-WEEKDAY(TODAY(),2)+14),"Follow-Next Week","")))))</f>
        <v>Overdue</v>
      </c>
      <c r="Z87" s="170" t="str">
        <f t="shared" ref="Z87" ca="1" si="390">IF(OR(U87&lt;&gt;""),"Completed",IF(T87="","",
IF(T87&lt;TODAY(),"Overdue",
IF(AND(T87&gt;=TODAY()-WEEKDAY(TODAY(),2)+1,T87&lt;=TODAY()-WEEKDAY(TODAY(),2)+7),"Follow-This Week",
IF(AND(T87&gt;=TODAY()-WEEKDAY(TODAY(),2)+8,T87&lt;=TODAY()-WEEKDAY(TODAY(),2)+14),"Follow-Next Week","")))))</f>
        <v>Overdue</v>
      </c>
    </row>
    <row r="88" spans="1:26" s="70" customFormat="1" ht="11.5" x14ac:dyDescent="0.25">
      <c r="A88" s="101" t="s">
        <v>64</v>
      </c>
      <c r="B88" s="101" t="s">
        <v>34</v>
      </c>
      <c r="C88" s="101" t="s">
        <v>113</v>
      </c>
      <c r="D88" s="101" t="s">
        <v>114</v>
      </c>
      <c r="E88" s="104">
        <f t="shared" si="15"/>
        <v>0.7</v>
      </c>
      <c r="F88" s="104">
        <f t="shared" si="16"/>
        <v>0.7</v>
      </c>
      <c r="G88" s="104">
        <f>(COUNTIFS(L88,"&lt;="&amp;$C$1)*50%)+(COUNTIFS(O88,"&lt;="&amp;$C$1)*20%)+(COUNTIFS(R88,"&lt;="&amp;$C$1)*10%)+(COUNTIFS(U88,"&lt;="&amp;$C$1)*20%)</f>
        <v>0.7</v>
      </c>
      <c r="H88" s="104">
        <f t="shared" si="18"/>
        <v>0</v>
      </c>
      <c r="I88" s="109">
        <v>0.75</v>
      </c>
      <c r="J88" s="106">
        <f>J24+28</f>
        <v>46216</v>
      </c>
      <c r="K88" s="106">
        <f t="shared" si="4"/>
        <v>46216</v>
      </c>
      <c r="L88" s="107">
        <v>46219</v>
      </c>
      <c r="M88" s="106">
        <f>J88+35</f>
        <v>46251</v>
      </c>
      <c r="N88" s="106">
        <f t="shared" si="6"/>
        <v>46251</v>
      </c>
      <c r="O88" s="206">
        <v>46283</v>
      </c>
      <c r="P88" s="106">
        <f t="shared" si="7"/>
        <v>46293</v>
      </c>
      <c r="Q88" s="106">
        <f t="shared" si="8"/>
        <v>46293</v>
      </c>
      <c r="R88" s="107"/>
      <c r="S88" s="106">
        <f t="shared" si="14"/>
        <v>46307</v>
      </c>
      <c r="T88" s="106">
        <f t="shared" si="9"/>
        <v>46307</v>
      </c>
      <c r="U88" s="107"/>
      <c r="W88" s="169" t="str">
        <f t="shared" ca="1" si="10"/>
        <v>Completed</v>
      </c>
      <c r="X88" s="169" t="str">
        <f t="shared" ca="1" si="11"/>
        <v>Completed</v>
      </c>
      <c r="Y88" s="169" t="str">
        <f t="shared" ca="1" si="12"/>
        <v/>
      </c>
      <c r="Z88" s="170" t="str">
        <f t="shared" ca="1" si="13"/>
        <v/>
      </c>
    </row>
    <row r="89" spans="1:26" s="70" customFormat="1" ht="11.5" x14ac:dyDescent="0.25">
      <c r="A89" s="101" t="s">
        <v>64</v>
      </c>
      <c r="B89" s="101" t="s">
        <v>34</v>
      </c>
      <c r="C89" s="101" t="s">
        <v>115</v>
      </c>
      <c r="D89" s="101" t="s">
        <v>116</v>
      </c>
      <c r="E89" s="104">
        <f t="shared" si="15"/>
        <v>0.7</v>
      </c>
      <c r="F89" s="104">
        <f t="shared" si="16"/>
        <v>0.7</v>
      </c>
      <c r="G89" s="104">
        <f>(COUNTIFS(L89,"&lt;="&amp;$C$1)*50%)+(COUNTIFS(O89,"&lt;="&amp;$C$1)*20%)+(COUNTIFS(R89,"&lt;="&amp;$C$1)*10%)+(COUNTIFS(U89,"&lt;="&amp;$C$1)*20%)</f>
        <v>0.7</v>
      </c>
      <c r="H89" s="104">
        <f t="shared" si="18"/>
        <v>0</v>
      </c>
      <c r="I89" s="109">
        <v>0.5</v>
      </c>
      <c r="J89" s="106">
        <f>J26+28</f>
        <v>46234</v>
      </c>
      <c r="K89" s="106">
        <f t="shared" si="4"/>
        <v>46234</v>
      </c>
      <c r="L89" s="106">
        <v>46218</v>
      </c>
      <c r="M89" s="106">
        <f t="shared" si="5"/>
        <v>46276</v>
      </c>
      <c r="N89" s="106">
        <f t="shared" si="6"/>
        <v>46276</v>
      </c>
      <c r="O89" s="107">
        <v>46248</v>
      </c>
      <c r="P89" s="106">
        <f t="shared" si="7"/>
        <v>46318</v>
      </c>
      <c r="Q89" s="106">
        <f t="shared" si="8"/>
        <v>46318</v>
      </c>
      <c r="R89" s="107"/>
      <c r="S89" s="106">
        <f t="shared" si="14"/>
        <v>46332</v>
      </c>
      <c r="T89" s="106">
        <f t="shared" si="9"/>
        <v>46332</v>
      </c>
      <c r="U89" s="107"/>
      <c r="W89" s="169" t="str">
        <f t="shared" ca="1" si="10"/>
        <v>Completed</v>
      </c>
      <c r="X89" s="169" t="str">
        <f t="shared" ca="1" si="11"/>
        <v>Completed</v>
      </c>
      <c r="Y89" s="169" t="str">
        <f t="shared" ca="1" si="12"/>
        <v/>
      </c>
      <c r="Z89" s="170" t="str">
        <f t="shared" ca="1" si="13"/>
        <v/>
      </c>
    </row>
    <row r="90" spans="1:26" s="70" customFormat="1" ht="11.5" x14ac:dyDescent="0.25">
      <c r="A90" s="176" t="s">
        <v>64</v>
      </c>
      <c r="B90" s="176" t="s">
        <v>34</v>
      </c>
      <c r="C90" s="176" t="s">
        <v>117</v>
      </c>
      <c r="D90" s="176" t="s">
        <v>1094</v>
      </c>
      <c r="E90" s="177">
        <f t="shared" si="15"/>
        <v>1</v>
      </c>
      <c r="F90" s="177">
        <f t="shared" si="16"/>
        <v>1</v>
      </c>
      <c r="G90" s="177">
        <f t="shared" si="17"/>
        <v>1</v>
      </c>
      <c r="H90" s="177">
        <f t="shared" si="18"/>
        <v>0</v>
      </c>
      <c r="I90" s="181">
        <v>0.25</v>
      </c>
      <c r="J90" s="179">
        <f>J27+28</f>
        <v>46178</v>
      </c>
      <c r="K90" s="182">
        <f t="shared" si="4"/>
        <v>46178</v>
      </c>
      <c r="L90" s="179">
        <v>46218</v>
      </c>
      <c r="M90" s="179">
        <f t="shared" si="5"/>
        <v>46220</v>
      </c>
      <c r="N90" s="182">
        <f t="shared" si="6"/>
        <v>46220</v>
      </c>
      <c r="O90" s="179">
        <v>46234</v>
      </c>
      <c r="P90" s="179">
        <f t="shared" si="7"/>
        <v>46262</v>
      </c>
      <c r="Q90" s="182">
        <f t="shared" si="8"/>
        <v>46262</v>
      </c>
      <c r="R90" s="179">
        <v>46234</v>
      </c>
      <c r="S90" s="179">
        <f t="shared" si="14"/>
        <v>46276</v>
      </c>
      <c r="T90" s="182">
        <f t="shared" si="9"/>
        <v>46276</v>
      </c>
      <c r="U90" s="179">
        <v>46234</v>
      </c>
      <c r="W90" s="169" t="str">
        <f t="shared" ca="1" si="10"/>
        <v>Completed</v>
      </c>
      <c r="X90" s="169" t="str">
        <f t="shared" ca="1" si="11"/>
        <v>Completed</v>
      </c>
      <c r="Y90" s="169" t="str">
        <f t="shared" ca="1" si="12"/>
        <v>Completed</v>
      </c>
      <c r="Z90" s="170" t="str">
        <f t="shared" ca="1" si="13"/>
        <v>Completed</v>
      </c>
    </row>
    <row r="91" spans="1:26" s="70" customFormat="1" ht="11.5" x14ac:dyDescent="0.25">
      <c r="A91" s="101" t="s">
        <v>64</v>
      </c>
      <c r="B91" s="101" t="s">
        <v>34</v>
      </c>
      <c r="C91" s="101" t="s">
        <v>117</v>
      </c>
      <c r="D91" s="101" t="s">
        <v>1095</v>
      </c>
      <c r="E91" s="104">
        <f t="shared" ref="E91" si="391">(COUNTIFS(J91,"&lt;="&amp;$C$1)*50%)+(COUNTIFS(M91,"&lt;="&amp;$C$1)*20%)+(COUNTIFS(P91,"&lt;="&amp;$C$1)*10%)+(COUNTIFS(S91,"&lt;="&amp;$C$1)*20%)</f>
        <v>0.79999999999999993</v>
      </c>
      <c r="F91" s="104">
        <f t="shared" ref="F91" si="392">(COUNTIFS(K91,"&lt;="&amp;$C$1)*50%)+(COUNTIFS(N91,"&lt;="&amp;$C$1)*20%)+(COUNTIFS(Q91,"&lt;="&amp;$C$1)*10%)+(COUNTIFS(T91,"&lt;="&amp;$C$1)*20%)</f>
        <v>0.79999999999999993</v>
      </c>
      <c r="G91" s="104">
        <f t="shared" ref="G91" si="393">(COUNTIFS(L91,"&lt;="&amp;$C$1)*50%)+(COUNTIFS(O91,"&lt;="&amp;$C$1)*20%)+(COUNTIFS(R91,"&lt;="&amp;$C$1)*10%)+(COUNTIFS(U91,"&lt;="&amp;$C$1)*20%)</f>
        <v>0.7</v>
      </c>
      <c r="H91" s="104">
        <f t="shared" ref="H91" si="394">G91-E91</f>
        <v>-9.9999999999999978E-2</v>
      </c>
      <c r="I91" s="109">
        <v>0.25</v>
      </c>
      <c r="J91" s="106">
        <f>J29+28</f>
        <v>46185</v>
      </c>
      <c r="K91" s="108">
        <f t="shared" ref="K91" si="395">J91</f>
        <v>46185</v>
      </c>
      <c r="L91" s="106">
        <v>46218</v>
      </c>
      <c r="M91" s="106">
        <v>46241</v>
      </c>
      <c r="N91" s="108">
        <f t="shared" ref="N91" si="396">M91</f>
        <v>46241</v>
      </c>
      <c r="O91" s="107">
        <v>46248</v>
      </c>
      <c r="P91" s="106">
        <f t="shared" ref="P91" si="397">M91+42</f>
        <v>46283</v>
      </c>
      <c r="Q91" s="108">
        <f t="shared" ref="Q91" si="398">P91</f>
        <v>46283</v>
      </c>
      <c r="R91" s="106"/>
      <c r="S91" s="106">
        <f t="shared" ref="S91" si="399">P91+14</f>
        <v>46297</v>
      </c>
      <c r="T91" s="108">
        <f t="shared" ref="T91" si="400">S91</f>
        <v>46297</v>
      </c>
      <c r="U91" s="106"/>
      <c r="W91" s="169" t="str">
        <f t="shared" ref="W91" ca="1" si="401">IF(OR(L91&lt;&gt;""),"Completed",
IF(K91="","",IF(K91&lt;TODAY(),"Overdue",
IF(AND(K91&gt;=TODAY()-WEEKDAY(TODAY(),2)+1,K91&lt;=TODAY()-WEEKDAY(TODAY(),2)+7),"Follow-This Week",
IF(AND(K91&gt;=TODAY()-WEEKDAY(TODAY(),2)+8,K91&lt;=TODAY()-WEEKDAY(TODAY(),2)+14),"Follow-Next Week","")))))</f>
        <v>Completed</v>
      </c>
      <c r="X91" s="169" t="str">
        <f t="shared" ref="X91" ca="1" si="402">IF(OR(O91&lt;&gt;""),"Completed",IF(N91="","",
IF(N91&lt;TODAY(),"Overdue",
IF(AND(N91&gt;=TODAY()-WEEKDAY(TODAY(),2)+1,N91&lt;=TODAY()-WEEKDAY(TODAY(),2)+7),"Follow-This Week",
IF(AND(N91&gt;=TODAY()-WEEKDAY(TODAY(),2)+8,N91&lt;=TODAY()-WEEKDAY(TODAY(),2)+14),"Follow-Next Week","")))))</f>
        <v>Completed</v>
      </c>
      <c r="Y91" s="169" t="str">
        <f t="shared" ref="Y91" ca="1" si="403">IF(OR(R91&lt;&gt;""),"Completed",IF(Q91="","",
IF(Q91&lt;TODAY(),"Overdue",
IF(AND(Q91&gt;=TODAY()-WEEKDAY(TODAY(),2)+1,Q91&lt;=TODAY()-WEEKDAY(TODAY(),2)+7),"Follow-This Week",
IF(AND(Q91&gt;=TODAY()-WEEKDAY(TODAY(),2)+8,Q91&lt;=TODAY()-WEEKDAY(TODAY(),2)+14),"Follow-Next Week","")))))</f>
        <v>Overdue</v>
      </c>
      <c r="Z91" s="170" t="str">
        <f t="shared" ref="Z91" ca="1" si="404">IF(OR(U91&lt;&gt;""),"Completed",IF(T91="","",
IF(T91&lt;TODAY(),"Overdue",
IF(AND(T91&gt;=TODAY()-WEEKDAY(TODAY(),2)+1,T91&lt;=TODAY()-WEEKDAY(TODAY(),2)+7),"Follow-This Week",
IF(AND(T91&gt;=TODAY()-WEEKDAY(TODAY(),2)+8,T91&lt;=TODAY()-WEEKDAY(TODAY(),2)+14),"Follow-Next Week","")))))</f>
        <v/>
      </c>
    </row>
    <row r="92" spans="1:26" s="70" customFormat="1" ht="11.5" x14ac:dyDescent="0.25">
      <c r="A92" s="101" t="s">
        <v>64</v>
      </c>
      <c r="B92" s="101" t="s">
        <v>34</v>
      </c>
      <c r="C92" s="101" t="s">
        <v>118</v>
      </c>
      <c r="D92" s="101" t="s">
        <v>119</v>
      </c>
      <c r="E92" s="104">
        <f t="shared" si="15"/>
        <v>1</v>
      </c>
      <c r="F92" s="104">
        <f t="shared" si="16"/>
        <v>1</v>
      </c>
      <c r="G92" s="104">
        <f t="shared" si="17"/>
        <v>1</v>
      </c>
      <c r="H92" s="104">
        <f t="shared" si="18"/>
        <v>0</v>
      </c>
      <c r="I92" s="181">
        <v>0.25</v>
      </c>
      <c r="J92" s="106">
        <f t="shared" ref="J92:J99" si="405">J29+28</f>
        <v>46185</v>
      </c>
      <c r="K92" s="107">
        <f t="shared" si="4"/>
        <v>46185</v>
      </c>
      <c r="L92" s="107">
        <v>46185</v>
      </c>
      <c r="M92" s="106">
        <f t="shared" si="5"/>
        <v>46227</v>
      </c>
      <c r="N92" s="107">
        <f t="shared" si="6"/>
        <v>46227</v>
      </c>
      <c r="O92" s="106">
        <v>46225</v>
      </c>
      <c r="P92" s="106">
        <f t="shared" si="7"/>
        <v>46269</v>
      </c>
      <c r="Q92" s="107">
        <f t="shared" si="8"/>
        <v>46269</v>
      </c>
      <c r="R92" s="107">
        <v>46283</v>
      </c>
      <c r="S92" s="106">
        <f t="shared" si="14"/>
        <v>46283</v>
      </c>
      <c r="T92" s="107">
        <f t="shared" si="9"/>
        <v>46283</v>
      </c>
      <c r="U92" s="107">
        <v>46283</v>
      </c>
      <c r="W92" s="169" t="str">
        <f t="shared" ca="1" si="10"/>
        <v>Completed</v>
      </c>
      <c r="X92" s="169" t="str">
        <f t="shared" ca="1" si="11"/>
        <v>Completed</v>
      </c>
      <c r="Y92" s="169" t="str">
        <f t="shared" ca="1" si="12"/>
        <v>Completed</v>
      </c>
      <c r="Z92" s="170" t="str">
        <f t="shared" ca="1" si="13"/>
        <v>Completed</v>
      </c>
    </row>
    <row r="93" spans="1:26" s="70" customFormat="1" ht="11.5" x14ac:dyDescent="0.25">
      <c r="A93" s="101" t="s">
        <v>64</v>
      </c>
      <c r="B93" s="101" t="s">
        <v>34</v>
      </c>
      <c r="C93" s="101" t="s">
        <v>118</v>
      </c>
      <c r="D93" s="101" t="s">
        <v>119</v>
      </c>
      <c r="E93" s="104">
        <f t="shared" ref="E93" si="406">(COUNTIFS(J93,"&lt;="&amp;$C$1)*50%)+(COUNTIFS(M93,"&lt;="&amp;$C$1)*20%)+(COUNTIFS(P93,"&lt;="&amp;$C$1)*10%)+(COUNTIFS(S93,"&lt;="&amp;$C$1)*20%)</f>
        <v>1</v>
      </c>
      <c r="F93" s="104">
        <f t="shared" ref="F93" si="407">(COUNTIFS(K93,"&lt;="&amp;$C$1)*50%)+(COUNTIFS(N93,"&lt;="&amp;$C$1)*20%)+(COUNTIFS(Q93,"&lt;="&amp;$C$1)*10%)+(COUNTIFS(T93,"&lt;="&amp;$C$1)*20%)</f>
        <v>1</v>
      </c>
      <c r="G93" s="104">
        <f t="shared" ref="G93" si="408">(COUNTIFS(L93,"&lt;="&amp;$C$1)*50%)+(COUNTIFS(O93,"&lt;="&amp;$C$1)*20%)+(COUNTIFS(R93,"&lt;="&amp;$C$1)*10%)+(COUNTIFS(U93,"&lt;="&amp;$C$1)*20%)</f>
        <v>0.7</v>
      </c>
      <c r="H93" s="104">
        <f t="shared" ref="H93" si="409">G93-E93</f>
        <v>-0.30000000000000004</v>
      </c>
      <c r="I93" s="109">
        <v>0.25</v>
      </c>
      <c r="J93" s="106">
        <f t="shared" si="405"/>
        <v>46185</v>
      </c>
      <c r="K93" s="107">
        <f t="shared" ref="K93" si="410">J93</f>
        <v>46185</v>
      </c>
      <c r="L93" s="107">
        <v>46185</v>
      </c>
      <c r="M93" s="106">
        <f t="shared" ref="M93" si="411">J93+42</f>
        <v>46227</v>
      </c>
      <c r="N93" s="107">
        <f t="shared" ref="N93" si="412">M93</f>
        <v>46227</v>
      </c>
      <c r="O93" s="106">
        <v>46225</v>
      </c>
      <c r="P93" s="106">
        <f t="shared" ref="P93" si="413">M93+42</f>
        <v>46269</v>
      </c>
      <c r="Q93" s="107">
        <f t="shared" ref="Q93" si="414">P93</f>
        <v>46269</v>
      </c>
      <c r="R93" s="107"/>
      <c r="S93" s="106">
        <f t="shared" ref="S93" si="415">P93+14</f>
        <v>46283</v>
      </c>
      <c r="T93" s="107">
        <f t="shared" ref="T93" si="416">S93</f>
        <v>46283</v>
      </c>
      <c r="U93" s="107"/>
      <c r="W93" s="169" t="str">
        <f t="shared" ref="W93" ca="1" si="417">IF(OR(L93&lt;&gt;""),"Completed",
IF(K93="","",IF(K93&lt;TODAY(),"Overdue",
IF(AND(K93&gt;=TODAY()-WEEKDAY(TODAY(),2)+1,K93&lt;=TODAY()-WEEKDAY(TODAY(),2)+7),"Follow-This Week",
IF(AND(K93&gt;=TODAY()-WEEKDAY(TODAY(),2)+8,K93&lt;=TODAY()-WEEKDAY(TODAY(),2)+14),"Follow-Next Week","")))))</f>
        <v>Completed</v>
      </c>
      <c r="X93" s="169" t="str">
        <f t="shared" ref="X93" ca="1" si="418">IF(OR(O93&lt;&gt;""),"Completed",IF(N93="","",
IF(N93&lt;TODAY(),"Overdue",
IF(AND(N93&gt;=TODAY()-WEEKDAY(TODAY(),2)+1,N93&lt;=TODAY()-WEEKDAY(TODAY(),2)+7),"Follow-This Week",
IF(AND(N93&gt;=TODAY()-WEEKDAY(TODAY(),2)+8,N93&lt;=TODAY()-WEEKDAY(TODAY(),2)+14),"Follow-Next Week","")))))</f>
        <v>Completed</v>
      </c>
      <c r="Y93" s="169" t="str">
        <f t="shared" ref="Y93" ca="1" si="419">IF(OR(R93&lt;&gt;""),"Completed",IF(Q93="","",
IF(Q93&lt;TODAY(),"Overdue",
IF(AND(Q93&gt;=TODAY()-WEEKDAY(TODAY(),2)+1,Q93&lt;=TODAY()-WEEKDAY(TODAY(),2)+7),"Follow-This Week",
IF(AND(Q93&gt;=TODAY()-WEEKDAY(TODAY(),2)+8,Q93&lt;=TODAY()-WEEKDAY(TODAY(),2)+14),"Follow-Next Week","")))))</f>
        <v>Overdue</v>
      </c>
      <c r="Z93" s="170" t="str">
        <f t="shared" ref="Z93" ca="1" si="420">IF(OR(U93&lt;&gt;""),"Completed",IF(T93="","",
IF(T93&lt;TODAY(),"Overdue",
IF(AND(T93&gt;=TODAY()-WEEKDAY(TODAY(),2)+1,T93&lt;=TODAY()-WEEKDAY(TODAY(),2)+7),"Follow-This Week",
IF(AND(T93&gt;=TODAY()-WEEKDAY(TODAY(),2)+8,T93&lt;=TODAY()-WEEKDAY(TODAY(),2)+14),"Follow-Next Week","")))))</f>
        <v>Overdue</v>
      </c>
    </row>
    <row r="94" spans="1:26" s="70" customFormat="1" ht="11.5" x14ac:dyDescent="0.25">
      <c r="A94" s="101" t="s">
        <v>64</v>
      </c>
      <c r="B94" s="101" t="s">
        <v>34</v>
      </c>
      <c r="C94" s="101" t="s">
        <v>120</v>
      </c>
      <c r="D94" s="101" t="s">
        <v>121</v>
      </c>
      <c r="E94" s="104">
        <f t="shared" si="15"/>
        <v>0.5</v>
      </c>
      <c r="F94" s="104">
        <f t="shared" si="16"/>
        <v>0.5</v>
      </c>
      <c r="G94" s="104">
        <f t="shared" si="17"/>
        <v>1</v>
      </c>
      <c r="H94" s="104">
        <f t="shared" si="18"/>
        <v>0.5</v>
      </c>
      <c r="I94" s="105">
        <v>0.4</v>
      </c>
      <c r="J94" s="106">
        <f t="shared" si="405"/>
        <v>46255</v>
      </c>
      <c r="K94" s="106">
        <f t="shared" si="4"/>
        <v>46255</v>
      </c>
      <c r="L94" s="107">
        <v>46248</v>
      </c>
      <c r="M94" s="106">
        <f t="shared" si="5"/>
        <v>46297</v>
      </c>
      <c r="N94" s="106">
        <f t="shared" si="6"/>
        <v>46297</v>
      </c>
      <c r="O94" s="106">
        <v>46269</v>
      </c>
      <c r="P94" s="106">
        <f t="shared" si="7"/>
        <v>46339</v>
      </c>
      <c r="Q94" s="106">
        <f t="shared" si="8"/>
        <v>46339</v>
      </c>
      <c r="R94" s="107">
        <v>46283</v>
      </c>
      <c r="S94" s="106">
        <f t="shared" si="14"/>
        <v>46353</v>
      </c>
      <c r="T94" s="106">
        <f t="shared" si="9"/>
        <v>46353</v>
      </c>
      <c r="U94" s="107">
        <v>46283</v>
      </c>
      <c r="W94" s="169" t="str">
        <f t="shared" ca="1" si="10"/>
        <v>Completed</v>
      </c>
      <c r="X94" s="169" t="str">
        <f t="shared" ca="1" si="11"/>
        <v>Completed</v>
      </c>
      <c r="Y94" s="169" t="str">
        <f t="shared" ca="1" si="12"/>
        <v>Completed</v>
      </c>
      <c r="Z94" s="170" t="str">
        <f t="shared" ca="1" si="13"/>
        <v>Completed</v>
      </c>
    </row>
    <row r="95" spans="1:26" s="70" customFormat="1" ht="11.5" x14ac:dyDescent="0.25">
      <c r="A95" s="101" t="s">
        <v>64</v>
      </c>
      <c r="B95" s="101" t="s">
        <v>34</v>
      </c>
      <c r="C95" s="101" t="s">
        <v>120</v>
      </c>
      <c r="D95" s="101" t="s">
        <v>121</v>
      </c>
      <c r="E95" s="104">
        <f t="shared" ref="E95" si="421">(COUNTIFS(J95,"&lt;="&amp;$C$1)*50%)+(COUNTIFS(M95,"&lt;="&amp;$C$1)*20%)+(COUNTIFS(P95,"&lt;="&amp;$C$1)*10%)+(COUNTIFS(S95,"&lt;="&amp;$C$1)*20%)</f>
        <v>0.5</v>
      </c>
      <c r="F95" s="104">
        <f t="shared" ref="F95" si="422">(COUNTIFS(K95,"&lt;="&amp;$C$1)*50%)+(COUNTIFS(N95,"&lt;="&amp;$C$1)*20%)+(COUNTIFS(Q95,"&lt;="&amp;$C$1)*10%)+(COUNTIFS(T95,"&lt;="&amp;$C$1)*20%)</f>
        <v>0.5</v>
      </c>
      <c r="G95" s="104">
        <f t="shared" ref="G95" si="423">(COUNTIFS(L95,"&lt;="&amp;$C$1)*50%)+(COUNTIFS(O95,"&lt;="&amp;$C$1)*20%)+(COUNTIFS(R95,"&lt;="&amp;$C$1)*10%)+(COUNTIFS(U95,"&lt;="&amp;$C$1)*20%)</f>
        <v>0.7</v>
      </c>
      <c r="H95" s="104">
        <f t="shared" ref="H95" si="424">G95-E95</f>
        <v>0.19999999999999996</v>
      </c>
      <c r="I95" s="105">
        <v>0.4</v>
      </c>
      <c r="J95" s="106">
        <f t="shared" si="405"/>
        <v>46255</v>
      </c>
      <c r="K95" s="106">
        <f t="shared" ref="K95" si="425">J95</f>
        <v>46255</v>
      </c>
      <c r="L95" s="107">
        <v>46248</v>
      </c>
      <c r="M95" s="106">
        <f t="shared" ref="M95" si="426">J95+42</f>
        <v>46297</v>
      </c>
      <c r="N95" s="106">
        <f t="shared" ref="N95" si="427">M95</f>
        <v>46297</v>
      </c>
      <c r="O95" s="106">
        <v>46269</v>
      </c>
      <c r="P95" s="106">
        <f t="shared" ref="P95" si="428">M95+42</f>
        <v>46339</v>
      </c>
      <c r="Q95" s="106">
        <f t="shared" ref="Q95" si="429">P95</f>
        <v>46339</v>
      </c>
      <c r="R95" s="107"/>
      <c r="S95" s="106">
        <f t="shared" ref="S95" si="430">P95+14</f>
        <v>46353</v>
      </c>
      <c r="T95" s="106">
        <f t="shared" ref="T95" si="431">S95</f>
        <v>46353</v>
      </c>
      <c r="U95" s="107"/>
      <c r="W95" s="169" t="str">
        <f t="shared" ref="W95" ca="1" si="432">IF(OR(L95&lt;&gt;""),"Completed",
IF(K95="","",IF(K95&lt;TODAY(),"Overdue",
IF(AND(K95&gt;=TODAY()-WEEKDAY(TODAY(),2)+1,K95&lt;=TODAY()-WEEKDAY(TODAY(),2)+7),"Follow-This Week",
IF(AND(K95&gt;=TODAY()-WEEKDAY(TODAY(),2)+8,K95&lt;=TODAY()-WEEKDAY(TODAY(),2)+14),"Follow-Next Week","")))))</f>
        <v>Completed</v>
      </c>
      <c r="X95" s="169" t="str">
        <f t="shared" ref="X95" ca="1" si="433">IF(OR(O95&lt;&gt;""),"Completed",IF(N95="","",
IF(N95&lt;TODAY(),"Overdue",
IF(AND(N95&gt;=TODAY()-WEEKDAY(TODAY(),2)+1,N95&lt;=TODAY()-WEEKDAY(TODAY(),2)+7),"Follow-This Week",
IF(AND(N95&gt;=TODAY()-WEEKDAY(TODAY(),2)+8,N95&lt;=TODAY()-WEEKDAY(TODAY(),2)+14),"Follow-Next Week","")))))</f>
        <v>Completed</v>
      </c>
      <c r="Y95" s="169" t="str">
        <f t="shared" ref="Y95" ca="1" si="434">IF(OR(R95&lt;&gt;""),"Completed",IF(Q95="","",
IF(Q95&lt;TODAY(),"Overdue",
IF(AND(Q95&gt;=TODAY()-WEEKDAY(TODAY(),2)+1,Q95&lt;=TODAY()-WEEKDAY(TODAY(),2)+7),"Follow-This Week",
IF(AND(Q95&gt;=TODAY()-WEEKDAY(TODAY(),2)+8,Q95&lt;=TODAY()-WEEKDAY(TODAY(),2)+14),"Follow-Next Week","")))))</f>
        <v/>
      </c>
      <c r="Z95" s="170" t="str">
        <f t="shared" ref="Z95" ca="1" si="435">IF(OR(U95&lt;&gt;""),"Completed",IF(T95="","",
IF(T95&lt;TODAY(),"Overdue",
IF(AND(T95&gt;=TODAY()-WEEKDAY(TODAY(),2)+1,T95&lt;=TODAY()-WEEKDAY(TODAY(),2)+7),"Follow-This Week",
IF(AND(T95&gt;=TODAY()-WEEKDAY(TODAY(),2)+8,T95&lt;=TODAY()-WEEKDAY(TODAY(),2)+14),"Follow-Next Week","")))))</f>
        <v/>
      </c>
    </row>
    <row r="96" spans="1:26" s="70" customFormat="1" ht="11.5" x14ac:dyDescent="0.25">
      <c r="A96" s="101" t="s">
        <v>64</v>
      </c>
      <c r="B96" s="101" t="s">
        <v>34</v>
      </c>
      <c r="C96" s="101" t="s">
        <v>122</v>
      </c>
      <c r="D96" s="101" t="s">
        <v>123</v>
      </c>
      <c r="E96" s="104">
        <f t="shared" si="15"/>
        <v>0.5</v>
      </c>
      <c r="F96" s="104">
        <f t="shared" si="16"/>
        <v>0.5</v>
      </c>
      <c r="G96" s="104">
        <f t="shared" si="17"/>
        <v>0.7</v>
      </c>
      <c r="H96" s="104">
        <f t="shared" si="18"/>
        <v>0.19999999999999996</v>
      </c>
      <c r="I96" s="105">
        <v>0.8</v>
      </c>
      <c r="J96" s="106">
        <f t="shared" si="405"/>
        <v>46269</v>
      </c>
      <c r="K96" s="106">
        <f t="shared" si="4"/>
        <v>46269</v>
      </c>
      <c r="L96" s="107">
        <v>46202</v>
      </c>
      <c r="M96" s="106">
        <f t="shared" si="5"/>
        <v>46311</v>
      </c>
      <c r="N96" s="106">
        <f t="shared" si="6"/>
        <v>46311</v>
      </c>
      <c r="O96" s="137">
        <v>46209</v>
      </c>
      <c r="P96" s="106">
        <f t="shared" si="7"/>
        <v>46353</v>
      </c>
      <c r="Q96" s="106">
        <f t="shared" si="8"/>
        <v>46353</v>
      </c>
      <c r="R96" s="107"/>
      <c r="S96" s="106">
        <f t="shared" si="14"/>
        <v>46367</v>
      </c>
      <c r="T96" s="106">
        <f t="shared" si="9"/>
        <v>46367</v>
      </c>
      <c r="U96" s="107"/>
      <c r="W96" s="169" t="str">
        <f t="shared" ca="1" si="10"/>
        <v>Completed</v>
      </c>
      <c r="X96" s="169" t="str">
        <f t="shared" ca="1" si="11"/>
        <v>Completed</v>
      </c>
      <c r="Y96" s="169" t="str">
        <f t="shared" ca="1" si="12"/>
        <v/>
      </c>
      <c r="Z96" s="170" t="str">
        <f t="shared" ca="1" si="13"/>
        <v/>
      </c>
    </row>
    <row r="97" spans="1:26" s="70" customFormat="1" ht="11.5" x14ac:dyDescent="0.25">
      <c r="A97" s="101" t="s">
        <v>64</v>
      </c>
      <c r="B97" s="101" t="s">
        <v>34</v>
      </c>
      <c r="C97" s="101" t="s">
        <v>124</v>
      </c>
      <c r="D97" s="101" t="s">
        <v>125</v>
      </c>
      <c r="E97" s="104">
        <f t="shared" si="15"/>
        <v>0.5</v>
      </c>
      <c r="F97" s="104">
        <f t="shared" si="16"/>
        <v>0.5</v>
      </c>
      <c r="G97" s="104">
        <f t="shared" si="17"/>
        <v>0.7</v>
      </c>
      <c r="H97" s="104">
        <f t="shared" si="18"/>
        <v>0.19999999999999996</v>
      </c>
      <c r="I97" s="105">
        <v>0.8</v>
      </c>
      <c r="J97" s="106">
        <f t="shared" si="405"/>
        <v>46277</v>
      </c>
      <c r="K97" s="106">
        <f t="shared" si="4"/>
        <v>46277</v>
      </c>
      <c r="L97" s="106">
        <v>46248</v>
      </c>
      <c r="M97" s="106">
        <f t="shared" si="5"/>
        <v>46319</v>
      </c>
      <c r="N97" s="106">
        <f t="shared" si="6"/>
        <v>46319</v>
      </c>
      <c r="O97" s="106">
        <v>46269</v>
      </c>
      <c r="P97" s="106">
        <f t="shared" si="7"/>
        <v>46361</v>
      </c>
      <c r="Q97" s="106">
        <f t="shared" si="8"/>
        <v>46361</v>
      </c>
      <c r="R97" s="106"/>
      <c r="S97" s="106">
        <f t="shared" si="14"/>
        <v>46375</v>
      </c>
      <c r="T97" s="106">
        <f t="shared" si="9"/>
        <v>46375</v>
      </c>
      <c r="U97" s="106"/>
      <c r="W97" s="169" t="str">
        <f t="shared" ca="1" si="10"/>
        <v>Completed</v>
      </c>
      <c r="X97" s="169" t="str">
        <f t="shared" ca="1" si="11"/>
        <v>Completed</v>
      </c>
      <c r="Y97" s="169" t="str">
        <f t="shared" ca="1" si="12"/>
        <v/>
      </c>
      <c r="Z97" s="170" t="str">
        <f t="shared" ca="1" si="13"/>
        <v/>
      </c>
    </row>
    <row r="98" spans="1:26" s="70" customFormat="1" ht="11.5" x14ac:dyDescent="0.25">
      <c r="A98" s="101" t="s">
        <v>64</v>
      </c>
      <c r="B98" s="101" t="s">
        <v>34</v>
      </c>
      <c r="C98" s="101" t="s">
        <v>126</v>
      </c>
      <c r="D98" s="101" t="s">
        <v>127</v>
      </c>
      <c r="E98" s="104">
        <f t="shared" si="15"/>
        <v>0</v>
      </c>
      <c r="F98" s="104">
        <f t="shared" si="16"/>
        <v>0</v>
      </c>
      <c r="G98" s="104">
        <f t="shared" si="17"/>
        <v>0</v>
      </c>
      <c r="H98" s="104">
        <f t="shared" si="18"/>
        <v>0</v>
      </c>
      <c r="I98" s="105">
        <v>0.5</v>
      </c>
      <c r="J98" s="106">
        <f t="shared" si="405"/>
        <v>46330</v>
      </c>
      <c r="K98" s="106">
        <f t="shared" si="4"/>
        <v>46330</v>
      </c>
      <c r="L98" s="106"/>
      <c r="M98" s="106">
        <f t="shared" si="5"/>
        <v>46372</v>
      </c>
      <c r="N98" s="106">
        <f t="shared" si="6"/>
        <v>46372</v>
      </c>
      <c r="O98" s="106"/>
      <c r="P98" s="106">
        <f t="shared" si="7"/>
        <v>46414</v>
      </c>
      <c r="Q98" s="106">
        <f t="shared" si="8"/>
        <v>46414</v>
      </c>
      <c r="R98" s="106"/>
      <c r="S98" s="106">
        <f t="shared" si="14"/>
        <v>46428</v>
      </c>
      <c r="T98" s="106">
        <f t="shared" si="9"/>
        <v>46428</v>
      </c>
      <c r="U98" s="106"/>
      <c r="W98" s="169" t="str">
        <f t="shared" ca="1" si="10"/>
        <v/>
      </c>
      <c r="X98" s="169" t="str">
        <f t="shared" ca="1" si="11"/>
        <v/>
      </c>
      <c r="Y98" s="169" t="str">
        <f t="shared" ca="1" si="12"/>
        <v/>
      </c>
      <c r="Z98" s="170" t="str">
        <f t="shared" ca="1" si="13"/>
        <v/>
      </c>
    </row>
    <row r="99" spans="1:26" s="70" customFormat="1" ht="11.5" x14ac:dyDescent="0.25">
      <c r="A99" s="101" t="s">
        <v>64</v>
      </c>
      <c r="B99" s="101" t="s">
        <v>34</v>
      </c>
      <c r="C99" s="101" t="s">
        <v>128</v>
      </c>
      <c r="D99" s="101" t="s">
        <v>129</v>
      </c>
      <c r="E99" s="104">
        <f t="shared" si="15"/>
        <v>0.79999999999999993</v>
      </c>
      <c r="F99" s="104">
        <f t="shared" si="16"/>
        <v>0.79999999999999993</v>
      </c>
      <c r="G99" s="104">
        <f t="shared" si="17"/>
        <v>0.7</v>
      </c>
      <c r="H99" s="104">
        <f t="shared" si="18"/>
        <v>-9.9999999999999978E-2</v>
      </c>
      <c r="I99" s="105">
        <v>0.5</v>
      </c>
      <c r="J99" s="106">
        <f t="shared" si="405"/>
        <v>46199</v>
      </c>
      <c r="K99" s="106">
        <f t="shared" si="4"/>
        <v>46199</v>
      </c>
      <c r="L99" s="106">
        <v>46192</v>
      </c>
      <c r="M99" s="106">
        <f t="shared" si="5"/>
        <v>46241</v>
      </c>
      <c r="N99" s="106">
        <f t="shared" si="6"/>
        <v>46241</v>
      </c>
      <c r="O99" s="107">
        <v>46237</v>
      </c>
      <c r="P99" s="106">
        <f t="shared" si="7"/>
        <v>46283</v>
      </c>
      <c r="Q99" s="106">
        <f t="shared" si="8"/>
        <v>46283</v>
      </c>
      <c r="R99" s="106"/>
      <c r="S99" s="106">
        <f t="shared" si="14"/>
        <v>46297</v>
      </c>
      <c r="T99" s="106">
        <f t="shared" si="9"/>
        <v>46297</v>
      </c>
      <c r="U99" s="106"/>
      <c r="W99" s="169" t="str">
        <f t="shared" ref="W99:W172" ca="1" si="436">IF(OR(L99&lt;&gt;""),"Completed",
IF(K99="","",IF(K99&lt;TODAY(),"Overdue",
IF(AND(K99&gt;=TODAY()-WEEKDAY(TODAY(),2)+1,K99&lt;=TODAY()-WEEKDAY(TODAY(),2)+7),"Follow-This Week",
IF(AND(K99&gt;=TODAY()-WEEKDAY(TODAY(),2)+8,K99&lt;=TODAY()-WEEKDAY(TODAY(),2)+14),"Follow-Next Week","")))))</f>
        <v>Completed</v>
      </c>
      <c r="X99" s="169" t="str">
        <f t="shared" ref="X99:X172" ca="1" si="437">IF(OR(O99&lt;&gt;""),"Completed",IF(N99="","",
IF(N99&lt;TODAY(),"Overdue",
IF(AND(N99&gt;=TODAY()-WEEKDAY(TODAY(),2)+1,N99&lt;=TODAY()-WEEKDAY(TODAY(),2)+7),"Follow-This Week",
IF(AND(N99&gt;=TODAY()-WEEKDAY(TODAY(),2)+8,N99&lt;=TODAY()-WEEKDAY(TODAY(),2)+14),"Follow-Next Week","")))))</f>
        <v>Completed</v>
      </c>
      <c r="Y99" s="169" t="str">
        <f t="shared" ref="Y99:Y172" ca="1" si="438">IF(OR(R99&lt;&gt;""),"Completed",IF(Q99="","",
IF(Q99&lt;TODAY(),"Overdue",
IF(AND(Q99&gt;=TODAY()-WEEKDAY(TODAY(),2)+1,Q99&lt;=TODAY()-WEEKDAY(TODAY(),2)+7),"Follow-This Week",
IF(AND(Q99&gt;=TODAY()-WEEKDAY(TODAY(),2)+8,Q99&lt;=TODAY()-WEEKDAY(TODAY(),2)+14),"Follow-Next Week","")))))</f>
        <v>Overdue</v>
      </c>
      <c r="Z99" s="170" t="str">
        <f t="shared" ref="Z99:Z172" ca="1" si="439">IF(OR(U99&lt;&gt;""),"Completed",IF(T99="","",
IF(T99&lt;TODAY(),"Overdue",
IF(AND(T99&gt;=TODAY()-WEEKDAY(TODAY(),2)+1,T99&lt;=TODAY()-WEEKDAY(TODAY(),2)+7),"Follow-This Week",
IF(AND(T99&gt;=TODAY()-WEEKDAY(TODAY(),2)+8,T99&lt;=TODAY()-WEEKDAY(TODAY(),2)+14),"Follow-Next Week","")))))</f>
        <v/>
      </c>
    </row>
    <row r="100" spans="1:26" s="70" customFormat="1" ht="11.5" x14ac:dyDescent="0.25">
      <c r="A100" s="101" t="s">
        <v>64</v>
      </c>
      <c r="B100" s="101" t="s">
        <v>34</v>
      </c>
      <c r="C100" s="101" t="s">
        <v>130</v>
      </c>
      <c r="D100" s="101" t="s">
        <v>131</v>
      </c>
      <c r="E100" s="104">
        <f t="shared" si="15"/>
        <v>0.5</v>
      </c>
      <c r="F100" s="104">
        <f t="shared" si="16"/>
        <v>0.5</v>
      </c>
      <c r="G100" s="104">
        <f t="shared" si="17"/>
        <v>0.7</v>
      </c>
      <c r="H100" s="104">
        <f t="shared" si="18"/>
        <v>0.19999999999999996</v>
      </c>
      <c r="I100" s="105">
        <v>0.5</v>
      </c>
      <c r="J100" s="106">
        <f>J38+28</f>
        <v>46255</v>
      </c>
      <c r="K100" s="107">
        <f t="shared" si="4"/>
        <v>46255</v>
      </c>
      <c r="L100" s="106">
        <v>46150</v>
      </c>
      <c r="M100" s="106">
        <f t="shared" si="5"/>
        <v>46297</v>
      </c>
      <c r="N100" s="107">
        <f t="shared" si="6"/>
        <v>46297</v>
      </c>
      <c r="O100" s="106">
        <v>46220</v>
      </c>
      <c r="P100" s="106">
        <f t="shared" si="7"/>
        <v>46339</v>
      </c>
      <c r="Q100" s="107">
        <f t="shared" si="8"/>
        <v>46339</v>
      </c>
      <c r="R100" s="106"/>
      <c r="S100" s="106">
        <f t="shared" si="14"/>
        <v>46353</v>
      </c>
      <c r="T100" s="107">
        <f t="shared" si="9"/>
        <v>46353</v>
      </c>
      <c r="U100" s="106"/>
      <c r="W100" s="169" t="str">
        <f t="shared" ca="1" si="436"/>
        <v>Completed</v>
      </c>
      <c r="X100" s="169" t="str">
        <f t="shared" ca="1" si="437"/>
        <v>Completed</v>
      </c>
      <c r="Y100" s="169" t="str">
        <f t="shared" ca="1" si="438"/>
        <v/>
      </c>
      <c r="Z100" s="170" t="str">
        <f t="shared" ca="1" si="439"/>
        <v/>
      </c>
    </row>
    <row r="101" spans="1:26" s="70" customFormat="1" ht="11.5" x14ac:dyDescent="0.25">
      <c r="A101" s="176" t="s">
        <v>64</v>
      </c>
      <c r="B101" s="176" t="s">
        <v>34</v>
      </c>
      <c r="C101" s="176" t="s">
        <v>812</v>
      </c>
      <c r="D101" s="176" t="s">
        <v>1183</v>
      </c>
      <c r="E101" s="177">
        <f t="shared" si="15"/>
        <v>0.79999999999999993</v>
      </c>
      <c r="F101" s="177">
        <f t="shared" si="16"/>
        <v>0.79999999999999993</v>
      </c>
      <c r="G101" s="177">
        <f t="shared" si="17"/>
        <v>1</v>
      </c>
      <c r="H101" s="177">
        <f t="shared" si="18"/>
        <v>0.20000000000000007</v>
      </c>
      <c r="I101" s="178">
        <v>0.27500000000000002</v>
      </c>
      <c r="J101" s="179">
        <f>J39+28</f>
        <v>46192</v>
      </c>
      <c r="K101" s="179">
        <f t="shared" si="4"/>
        <v>46192</v>
      </c>
      <c r="L101" s="179">
        <v>46192</v>
      </c>
      <c r="M101" s="179">
        <f t="shared" si="5"/>
        <v>46234</v>
      </c>
      <c r="N101" s="179">
        <f t="shared" si="6"/>
        <v>46234</v>
      </c>
      <c r="O101" s="179">
        <v>46227</v>
      </c>
      <c r="P101" s="179">
        <f t="shared" si="7"/>
        <v>46276</v>
      </c>
      <c r="Q101" s="179">
        <f t="shared" si="8"/>
        <v>46276</v>
      </c>
      <c r="R101" s="179">
        <v>46276</v>
      </c>
      <c r="S101" s="179">
        <f t="shared" si="14"/>
        <v>46290</v>
      </c>
      <c r="T101" s="179">
        <f t="shared" si="9"/>
        <v>46290</v>
      </c>
      <c r="U101" s="180">
        <v>46276</v>
      </c>
      <c r="W101" s="169" t="str">
        <f t="shared" ca="1" si="436"/>
        <v>Completed</v>
      </c>
      <c r="X101" s="169" t="str">
        <f t="shared" ca="1" si="437"/>
        <v>Completed</v>
      </c>
      <c r="Y101" s="169" t="str">
        <f t="shared" ca="1" si="438"/>
        <v>Completed</v>
      </c>
      <c r="Z101" s="170" t="str">
        <f t="shared" ca="1" si="439"/>
        <v>Completed</v>
      </c>
    </row>
    <row r="102" spans="1:26" s="70" customFormat="1" ht="11.5" x14ac:dyDescent="0.25">
      <c r="A102" s="101" t="s">
        <v>64</v>
      </c>
      <c r="B102" s="101" t="s">
        <v>34</v>
      </c>
      <c r="C102" s="101" t="s">
        <v>812</v>
      </c>
      <c r="D102" s="101" t="s">
        <v>1165</v>
      </c>
      <c r="E102" s="104">
        <f t="shared" ref="E102" si="440">(COUNTIFS(J102,"&lt;="&amp;$C$1)*50%)+(COUNTIFS(M102,"&lt;="&amp;$C$1)*20%)+(COUNTIFS(P102,"&lt;="&amp;$C$1)*10%)+(COUNTIFS(S102,"&lt;="&amp;$C$1)*20%)</f>
        <v>0.79999999999999993</v>
      </c>
      <c r="F102" s="104">
        <f t="shared" ref="F102" si="441">(COUNTIFS(K102,"&lt;="&amp;$C$1)*50%)+(COUNTIFS(N102,"&lt;="&amp;$C$1)*20%)+(COUNTIFS(Q102,"&lt;="&amp;$C$1)*10%)+(COUNTIFS(T102,"&lt;="&amp;$C$1)*20%)</f>
        <v>0.79999999999999993</v>
      </c>
      <c r="G102" s="104">
        <f t="shared" ref="G102" si="442">(COUNTIFS(L102,"&lt;="&amp;$C$1)*50%)+(COUNTIFS(O102,"&lt;="&amp;$C$1)*20%)+(COUNTIFS(R102,"&lt;="&amp;$C$1)*10%)+(COUNTIFS(U102,"&lt;="&amp;$C$1)*20%)</f>
        <v>0.79999999999999993</v>
      </c>
      <c r="H102" s="104">
        <f t="shared" ref="H102" si="443">G102-E102</f>
        <v>0</v>
      </c>
      <c r="I102" s="105">
        <v>0.27500000000000002</v>
      </c>
      <c r="J102" s="106">
        <f>J40+28</f>
        <v>46192</v>
      </c>
      <c r="K102" s="106">
        <f t="shared" ref="K102" si="444">J102</f>
        <v>46192</v>
      </c>
      <c r="L102" s="106">
        <v>46192</v>
      </c>
      <c r="M102" s="106">
        <f t="shared" ref="M102" si="445">J102+42</f>
        <v>46234</v>
      </c>
      <c r="N102" s="106">
        <f t="shared" ref="N102" si="446">M102</f>
        <v>46234</v>
      </c>
      <c r="O102" s="106">
        <v>46227</v>
      </c>
      <c r="P102" s="106">
        <f t="shared" ref="P102" si="447">M102+42</f>
        <v>46276</v>
      </c>
      <c r="Q102" s="106">
        <f t="shared" ref="Q102" si="448">P102</f>
        <v>46276</v>
      </c>
      <c r="R102" s="161">
        <v>46283</v>
      </c>
      <c r="S102" s="106">
        <f t="shared" ref="S102" si="449">P102+14</f>
        <v>46290</v>
      </c>
      <c r="T102" s="106">
        <f t="shared" ref="T102" si="450">S102</f>
        <v>46290</v>
      </c>
      <c r="U102" s="107"/>
      <c r="W102" s="169" t="str">
        <f t="shared" ref="W102" ca="1" si="451">IF(OR(L102&lt;&gt;""),"Completed",
IF(K102="","",IF(K102&lt;TODAY(),"Overdue",
IF(AND(K102&gt;=TODAY()-WEEKDAY(TODAY(),2)+1,K102&lt;=TODAY()-WEEKDAY(TODAY(),2)+7),"Follow-This Week",
IF(AND(K102&gt;=TODAY()-WEEKDAY(TODAY(),2)+8,K102&lt;=TODAY()-WEEKDAY(TODAY(),2)+14),"Follow-Next Week","")))))</f>
        <v>Completed</v>
      </c>
      <c r="X102" s="169" t="str">
        <f t="shared" ref="X102" ca="1" si="452">IF(OR(O102&lt;&gt;""),"Completed",IF(N102="","",
IF(N102&lt;TODAY(),"Overdue",
IF(AND(N102&gt;=TODAY()-WEEKDAY(TODAY(),2)+1,N102&lt;=TODAY()-WEEKDAY(TODAY(),2)+7),"Follow-This Week",
IF(AND(N102&gt;=TODAY()-WEEKDAY(TODAY(),2)+8,N102&lt;=TODAY()-WEEKDAY(TODAY(),2)+14),"Follow-Next Week","")))))</f>
        <v>Completed</v>
      </c>
      <c r="Y102" s="169" t="str">
        <f t="shared" ref="Y102" ca="1" si="453">IF(OR(R102&lt;&gt;""),"Completed",IF(Q102="","",
IF(Q102&lt;TODAY(),"Overdue",
IF(AND(Q102&gt;=TODAY()-WEEKDAY(TODAY(),2)+1,Q102&lt;=TODAY()-WEEKDAY(TODAY(),2)+7),"Follow-This Week",
IF(AND(Q102&gt;=TODAY()-WEEKDAY(TODAY(),2)+8,Q102&lt;=TODAY()-WEEKDAY(TODAY(),2)+14),"Follow-Next Week","")))))</f>
        <v>Completed</v>
      </c>
      <c r="Z102" s="170" t="str">
        <f t="shared" ref="Z102" ca="1" si="454">IF(OR(U102&lt;&gt;""),"Completed",IF(T102="","",
IF(T102&lt;TODAY(),"Overdue",
IF(AND(T102&gt;=TODAY()-WEEKDAY(TODAY(),2)+1,T102&lt;=TODAY()-WEEKDAY(TODAY(),2)+7),"Follow-This Week",
IF(AND(T102&gt;=TODAY()-WEEKDAY(TODAY(),2)+8,T102&lt;=TODAY()-WEEKDAY(TODAY(),2)+14),"Follow-Next Week","")))))</f>
        <v>Follow-Next Week</v>
      </c>
    </row>
    <row r="103" spans="1:26" s="70" customFormat="1" ht="11.5" x14ac:dyDescent="0.25">
      <c r="A103" s="101" t="s">
        <v>64</v>
      </c>
      <c r="B103" s="101" t="s">
        <v>34</v>
      </c>
      <c r="C103" s="101" t="s">
        <v>813</v>
      </c>
      <c r="D103" s="101" t="s">
        <v>132</v>
      </c>
      <c r="E103" s="104">
        <f t="shared" si="15"/>
        <v>0.79999999999999993</v>
      </c>
      <c r="F103" s="104">
        <f t="shared" si="16"/>
        <v>0.79999999999999993</v>
      </c>
      <c r="G103" s="104">
        <f t="shared" si="17"/>
        <v>0.79999999999999993</v>
      </c>
      <c r="H103" s="104">
        <f t="shared" si="18"/>
        <v>0</v>
      </c>
      <c r="I103" s="105">
        <v>0.55000000000000004</v>
      </c>
      <c r="J103" s="106">
        <f>J41+28</f>
        <v>46199</v>
      </c>
      <c r="K103" s="107">
        <f t="shared" si="4"/>
        <v>46199</v>
      </c>
      <c r="L103" s="106">
        <v>46155</v>
      </c>
      <c r="M103" s="106">
        <f t="shared" si="5"/>
        <v>46241</v>
      </c>
      <c r="N103" s="107">
        <f t="shared" si="6"/>
        <v>46241</v>
      </c>
      <c r="O103" s="107">
        <v>46244</v>
      </c>
      <c r="P103" s="107">
        <f t="shared" si="7"/>
        <v>46283</v>
      </c>
      <c r="Q103" s="107">
        <f t="shared" si="8"/>
        <v>46283</v>
      </c>
      <c r="R103" s="161">
        <v>46283</v>
      </c>
      <c r="S103" s="106">
        <f t="shared" si="14"/>
        <v>46297</v>
      </c>
      <c r="T103" s="107">
        <f t="shared" si="9"/>
        <v>46297</v>
      </c>
      <c r="U103" s="107"/>
      <c r="W103" s="169" t="str">
        <f t="shared" ca="1" si="436"/>
        <v>Completed</v>
      </c>
      <c r="X103" s="169" t="str">
        <f t="shared" ca="1" si="437"/>
        <v>Completed</v>
      </c>
      <c r="Y103" s="169" t="str">
        <f t="shared" ca="1" si="438"/>
        <v>Completed</v>
      </c>
      <c r="Z103" s="170" t="str">
        <f t="shared" ca="1" si="439"/>
        <v/>
      </c>
    </row>
    <row r="104" spans="1:26" s="70" customFormat="1" ht="11.5" x14ac:dyDescent="0.25">
      <c r="A104" s="176" t="s">
        <v>64</v>
      </c>
      <c r="B104" s="176" t="s">
        <v>34</v>
      </c>
      <c r="C104" s="176" t="s">
        <v>814</v>
      </c>
      <c r="D104" s="176" t="s">
        <v>1113</v>
      </c>
      <c r="E104" s="177">
        <f t="shared" si="15"/>
        <v>0.7</v>
      </c>
      <c r="F104" s="177">
        <f t="shared" si="16"/>
        <v>0.7</v>
      </c>
      <c r="G104" s="177">
        <f t="shared" si="17"/>
        <v>1</v>
      </c>
      <c r="H104" s="177">
        <f t="shared" si="18"/>
        <v>0.30000000000000004</v>
      </c>
      <c r="I104" s="178">
        <v>0.375</v>
      </c>
      <c r="J104" s="179">
        <f>J42+28</f>
        <v>46220</v>
      </c>
      <c r="K104" s="180">
        <f t="shared" si="4"/>
        <v>46220</v>
      </c>
      <c r="L104" s="179">
        <v>46234</v>
      </c>
      <c r="M104" s="179">
        <f t="shared" si="5"/>
        <v>46262</v>
      </c>
      <c r="N104" s="180">
        <f t="shared" si="6"/>
        <v>46262</v>
      </c>
      <c r="O104" s="180">
        <v>46234</v>
      </c>
      <c r="P104" s="180">
        <f t="shared" si="7"/>
        <v>46304</v>
      </c>
      <c r="Q104" s="180">
        <f t="shared" si="8"/>
        <v>46304</v>
      </c>
      <c r="R104" s="180">
        <v>46234</v>
      </c>
      <c r="S104" s="179">
        <f t="shared" si="14"/>
        <v>46318</v>
      </c>
      <c r="T104" s="180">
        <f t="shared" si="9"/>
        <v>46318</v>
      </c>
      <c r="U104" s="180">
        <v>46234</v>
      </c>
      <c r="W104" s="169" t="str">
        <f t="shared" ca="1" si="436"/>
        <v>Completed</v>
      </c>
      <c r="X104" s="169" t="str">
        <f t="shared" ca="1" si="437"/>
        <v>Completed</v>
      </c>
      <c r="Y104" s="169" t="str">
        <f t="shared" ca="1" si="438"/>
        <v>Completed</v>
      </c>
      <c r="Z104" s="170" t="str">
        <f t="shared" ca="1" si="439"/>
        <v>Completed</v>
      </c>
    </row>
    <row r="105" spans="1:26" s="70" customFormat="1" ht="11.5" x14ac:dyDescent="0.25">
      <c r="A105" s="101" t="s">
        <v>64</v>
      </c>
      <c r="B105" s="101" t="s">
        <v>34</v>
      </c>
      <c r="C105" s="101" t="s">
        <v>814</v>
      </c>
      <c r="D105" s="101" t="s">
        <v>1114</v>
      </c>
      <c r="E105" s="104">
        <f t="shared" ref="E105" si="455">(COUNTIFS(J105,"&lt;="&amp;$C$1)*50%)+(COUNTIFS(M105,"&lt;="&amp;$C$1)*20%)+(COUNTIFS(P105,"&lt;="&amp;$C$1)*10%)+(COUNTIFS(S105,"&lt;="&amp;$C$1)*20%)</f>
        <v>0.7</v>
      </c>
      <c r="F105" s="104">
        <f t="shared" ref="F105" si="456">(COUNTIFS(K105,"&lt;="&amp;$C$1)*50%)+(COUNTIFS(N105,"&lt;="&amp;$C$1)*20%)+(COUNTIFS(Q105,"&lt;="&amp;$C$1)*10%)+(COUNTIFS(T105,"&lt;="&amp;$C$1)*20%)</f>
        <v>0.7</v>
      </c>
      <c r="G105" s="104">
        <f t="shared" ref="G105" si="457">(COUNTIFS(L105,"&lt;="&amp;$C$1)*50%)+(COUNTIFS(O105,"&lt;="&amp;$C$1)*20%)+(COUNTIFS(R105,"&lt;="&amp;$C$1)*10%)+(COUNTIFS(U105,"&lt;="&amp;$C$1)*20%)</f>
        <v>0.79999999999999993</v>
      </c>
      <c r="H105" s="104">
        <f t="shared" ref="H105" si="458">G105-E105</f>
        <v>9.9999999999999978E-2</v>
      </c>
      <c r="I105" s="105">
        <v>0.375</v>
      </c>
      <c r="J105" s="106">
        <v>46241</v>
      </c>
      <c r="K105" s="107">
        <v>46241</v>
      </c>
      <c r="L105" s="107">
        <v>46237</v>
      </c>
      <c r="M105" s="106">
        <v>46262</v>
      </c>
      <c r="N105" s="107">
        <v>46262</v>
      </c>
      <c r="O105" s="107">
        <v>46252</v>
      </c>
      <c r="P105" s="107">
        <v>46304</v>
      </c>
      <c r="Q105" s="107">
        <v>46304</v>
      </c>
      <c r="R105" s="161">
        <v>46283</v>
      </c>
      <c r="S105" s="106">
        <v>46318</v>
      </c>
      <c r="T105" s="107">
        <v>46318</v>
      </c>
      <c r="U105" s="107"/>
      <c r="W105" s="169" t="str">
        <f t="shared" ref="W105" ca="1" si="459">IF(OR(L105&lt;&gt;""),"Completed",
IF(K105="","",IF(K105&lt;TODAY(),"Overdue",
IF(AND(K105&gt;=TODAY()-WEEKDAY(TODAY(),2)+1,K105&lt;=TODAY()-WEEKDAY(TODAY(),2)+7),"Follow-This Week",
IF(AND(K105&gt;=TODAY()-WEEKDAY(TODAY(),2)+8,K105&lt;=TODAY()-WEEKDAY(TODAY(),2)+14),"Follow-Next Week","")))))</f>
        <v>Completed</v>
      </c>
      <c r="X105" s="169" t="str">
        <f t="shared" ref="X105" ca="1" si="460">IF(OR(O105&lt;&gt;""),"Completed",IF(N105="","",
IF(N105&lt;TODAY(),"Overdue",
IF(AND(N105&gt;=TODAY()-WEEKDAY(TODAY(),2)+1,N105&lt;=TODAY()-WEEKDAY(TODAY(),2)+7),"Follow-This Week",
IF(AND(N105&gt;=TODAY()-WEEKDAY(TODAY(),2)+8,N105&lt;=TODAY()-WEEKDAY(TODAY(),2)+14),"Follow-Next Week","")))))</f>
        <v>Completed</v>
      </c>
      <c r="Y105" s="169" t="str">
        <f t="shared" ref="Y105" ca="1" si="461">IF(OR(R105&lt;&gt;""),"Completed",IF(Q105="","",
IF(Q105&lt;TODAY(),"Overdue",
IF(AND(Q105&gt;=TODAY()-WEEKDAY(TODAY(),2)+1,Q105&lt;=TODAY()-WEEKDAY(TODAY(),2)+7),"Follow-This Week",
IF(AND(Q105&gt;=TODAY()-WEEKDAY(TODAY(),2)+8,Q105&lt;=TODAY()-WEEKDAY(TODAY(),2)+14),"Follow-Next Week","")))))</f>
        <v>Completed</v>
      </c>
      <c r="Z105" s="170" t="str">
        <f t="shared" ref="Z105" ca="1" si="462">IF(OR(U105&lt;&gt;""),"Completed",IF(T105="","",
IF(T105&lt;TODAY(),"Overdue",
IF(AND(T105&gt;=TODAY()-WEEKDAY(TODAY(),2)+1,T105&lt;=TODAY()-WEEKDAY(TODAY(),2)+7),"Follow-This Week",
IF(AND(T105&gt;=TODAY()-WEEKDAY(TODAY(),2)+8,T105&lt;=TODAY()-WEEKDAY(TODAY(),2)+14),"Follow-Next Week","")))))</f>
        <v/>
      </c>
    </row>
    <row r="106" spans="1:26" s="70" customFormat="1" ht="11.5" x14ac:dyDescent="0.25">
      <c r="A106" s="101" t="s">
        <v>64</v>
      </c>
      <c r="B106" s="101" t="s">
        <v>34</v>
      </c>
      <c r="C106" s="101" t="s">
        <v>133</v>
      </c>
      <c r="D106" s="101" t="s">
        <v>134</v>
      </c>
      <c r="E106" s="104">
        <f t="shared" si="15"/>
        <v>1</v>
      </c>
      <c r="F106" s="104">
        <f t="shared" si="16"/>
        <v>1</v>
      </c>
      <c r="G106" s="104">
        <f t="shared" si="17"/>
        <v>0.79999999999999993</v>
      </c>
      <c r="H106" s="104">
        <f t="shared" si="18"/>
        <v>-0.20000000000000007</v>
      </c>
      <c r="I106" s="105">
        <v>1</v>
      </c>
      <c r="J106" s="106">
        <f>J43+28</f>
        <v>46143</v>
      </c>
      <c r="K106" s="107">
        <f t="shared" si="4"/>
        <v>46143</v>
      </c>
      <c r="L106" s="106">
        <v>46122</v>
      </c>
      <c r="M106" s="106">
        <f t="shared" si="5"/>
        <v>46185</v>
      </c>
      <c r="N106" s="107">
        <f t="shared" si="6"/>
        <v>46185</v>
      </c>
      <c r="O106" s="107">
        <v>46213</v>
      </c>
      <c r="P106" s="106">
        <f t="shared" si="7"/>
        <v>46227</v>
      </c>
      <c r="Q106" s="107">
        <f t="shared" si="8"/>
        <v>46227</v>
      </c>
      <c r="R106" s="106">
        <v>46273</v>
      </c>
      <c r="S106" s="106">
        <f t="shared" si="14"/>
        <v>46241</v>
      </c>
      <c r="T106" s="107">
        <f t="shared" si="9"/>
        <v>46241</v>
      </c>
      <c r="U106" s="106"/>
      <c r="W106" s="169" t="str">
        <f t="shared" ca="1" si="436"/>
        <v>Completed</v>
      </c>
      <c r="X106" s="169" t="str">
        <f t="shared" ca="1" si="437"/>
        <v>Completed</v>
      </c>
      <c r="Y106" s="169" t="str">
        <f t="shared" ca="1" si="438"/>
        <v>Completed</v>
      </c>
      <c r="Z106" s="170" t="str">
        <f t="shared" ca="1" si="439"/>
        <v>Overdue</v>
      </c>
    </row>
    <row r="107" spans="1:26" s="70" customFormat="1" ht="11.5" x14ac:dyDescent="0.25">
      <c r="A107" s="101" t="s">
        <v>64</v>
      </c>
      <c r="B107" s="101" t="s">
        <v>34</v>
      </c>
      <c r="C107" s="101" t="s">
        <v>135</v>
      </c>
      <c r="D107" s="101" t="s">
        <v>136</v>
      </c>
      <c r="E107" s="104">
        <f t="shared" si="15"/>
        <v>0.7</v>
      </c>
      <c r="F107" s="104">
        <f t="shared" si="16"/>
        <v>0.7</v>
      </c>
      <c r="G107" s="104">
        <f>(COUNTIFS(L107,"&lt;="&amp;$C$1)*50%)+(COUNTIFS(O107,"&lt;="&amp;$C$1)*20%)+(COUNTIFS(R107,"&lt;="&amp;$C$1)*10%)+(COUNTIFS(U107,"&lt;="&amp;$C$1)*20%)</f>
        <v>0.7</v>
      </c>
      <c r="H107" s="104">
        <f t="shared" si="18"/>
        <v>0</v>
      </c>
      <c r="I107" s="105">
        <v>0.5</v>
      </c>
      <c r="J107" s="106">
        <f>J46+28</f>
        <v>46206</v>
      </c>
      <c r="K107" s="107">
        <f t="shared" si="4"/>
        <v>46206</v>
      </c>
      <c r="L107" s="106">
        <v>46220</v>
      </c>
      <c r="M107" s="106">
        <f t="shared" si="5"/>
        <v>46248</v>
      </c>
      <c r="N107" s="107">
        <f t="shared" si="6"/>
        <v>46248</v>
      </c>
      <c r="O107" s="107">
        <v>46252</v>
      </c>
      <c r="P107" s="106">
        <f t="shared" si="7"/>
        <v>46290</v>
      </c>
      <c r="Q107" s="107">
        <f t="shared" si="8"/>
        <v>46290</v>
      </c>
      <c r="R107" s="106"/>
      <c r="S107" s="106">
        <f t="shared" si="14"/>
        <v>46304</v>
      </c>
      <c r="T107" s="107">
        <f t="shared" si="9"/>
        <v>46304</v>
      </c>
      <c r="U107" s="106"/>
      <c r="W107" s="169" t="str">
        <f t="shared" ca="1" si="436"/>
        <v>Completed</v>
      </c>
      <c r="X107" s="169" t="str">
        <f t="shared" ca="1" si="437"/>
        <v>Completed</v>
      </c>
      <c r="Y107" s="169" t="str">
        <f t="shared" ca="1" si="438"/>
        <v>Follow-Next Week</v>
      </c>
      <c r="Z107" s="170" t="str">
        <f t="shared" ca="1" si="439"/>
        <v/>
      </c>
    </row>
    <row r="108" spans="1:26" s="70" customFormat="1" ht="11.5" x14ac:dyDescent="0.25">
      <c r="A108" s="101" t="s">
        <v>64</v>
      </c>
      <c r="B108" s="101" t="s">
        <v>34</v>
      </c>
      <c r="C108" s="101" t="s">
        <v>137</v>
      </c>
      <c r="D108" s="101" t="s">
        <v>138</v>
      </c>
      <c r="E108" s="104">
        <f t="shared" si="15"/>
        <v>0.7</v>
      </c>
      <c r="F108" s="104">
        <f t="shared" si="16"/>
        <v>0.7</v>
      </c>
      <c r="G108" s="104">
        <f>(COUNTIFS(L108,"&lt;="&amp;$C$1)*50%)+(COUNTIFS(O108,"&lt;="&amp;$C$1)*20%)+(COUNTIFS(R108,"&lt;="&amp;$C$1)*10%)+(COUNTIFS(U108,"&lt;="&amp;$C$1)*20%)</f>
        <v>0.7</v>
      </c>
      <c r="H108" s="104">
        <f t="shared" si="18"/>
        <v>0</v>
      </c>
      <c r="I108" s="105">
        <v>0.5</v>
      </c>
      <c r="J108" s="106">
        <f>J47+28</f>
        <v>46213</v>
      </c>
      <c r="K108" s="107">
        <f t="shared" si="4"/>
        <v>46213</v>
      </c>
      <c r="L108" s="106">
        <v>46220</v>
      </c>
      <c r="M108" s="106">
        <f t="shared" si="5"/>
        <v>46255</v>
      </c>
      <c r="N108" s="107">
        <f t="shared" si="6"/>
        <v>46255</v>
      </c>
      <c r="O108" s="107">
        <v>46248</v>
      </c>
      <c r="P108" s="106">
        <f t="shared" si="7"/>
        <v>46297</v>
      </c>
      <c r="Q108" s="107">
        <f t="shared" si="8"/>
        <v>46297</v>
      </c>
      <c r="R108" s="106"/>
      <c r="S108" s="106">
        <f t="shared" si="14"/>
        <v>46311</v>
      </c>
      <c r="T108" s="107">
        <f t="shared" si="9"/>
        <v>46311</v>
      </c>
      <c r="U108" s="106"/>
      <c r="W108" s="169" t="str">
        <f t="shared" ca="1" si="436"/>
        <v>Completed</v>
      </c>
      <c r="X108" s="169" t="str">
        <f t="shared" ca="1" si="437"/>
        <v>Completed</v>
      </c>
      <c r="Y108" s="169" t="str">
        <f t="shared" ca="1" si="438"/>
        <v/>
      </c>
      <c r="Z108" s="170" t="str">
        <f t="shared" ca="1" si="439"/>
        <v/>
      </c>
    </row>
    <row r="109" spans="1:26" s="70" customFormat="1" ht="11.5" x14ac:dyDescent="0.25">
      <c r="A109" s="176" t="s">
        <v>64</v>
      </c>
      <c r="B109" s="176" t="s">
        <v>34</v>
      </c>
      <c r="C109" s="176" t="s">
        <v>803</v>
      </c>
      <c r="D109" s="176" t="s">
        <v>1174</v>
      </c>
      <c r="E109" s="104">
        <f t="shared" ref="E109:E112" si="463">(COUNTIFS(J109,"&lt;="&amp;$C$1)*50%)+(COUNTIFS(M109,"&lt;="&amp;$C$1)*20%)+(COUNTIFS(P109,"&lt;="&amp;$C$1)*10%)+(COUNTIFS(S109,"&lt;="&amp;$C$1)*20%)</f>
        <v>1</v>
      </c>
      <c r="F109" s="104">
        <f t="shared" ref="F109:F112" si="464">(COUNTIFS(K109,"&lt;="&amp;$C$1)*50%)+(COUNTIFS(N109,"&lt;="&amp;$C$1)*20%)+(COUNTIFS(Q109,"&lt;="&amp;$C$1)*10%)+(COUNTIFS(T109,"&lt;="&amp;$C$1)*20%)</f>
        <v>1</v>
      </c>
      <c r="G109" s="104">
        <f t="shared" ref="G109:G112" si="465">(COUNTIFS(L109,"&lt;="&amp;$C$1)*50%)+(COUNTIFS(O109,"&lt;="&amp;$C$1)*20%)+(COUNTIFS(R109,"&lt;="&amp;$C$1)*10%)+(COUNTIFS(U109,"&lt;="&amp;$C$1)*20%)</f>
        <v>1</v>
      </c>
      <c r="H109" s="104">
        <f t="shared" ref="H109:H112" si="466">G109-E109</f>
        <v>0</v>
      </c>
      <c r="I109" s="178">
        <v>0.4</v>
      </c>
      <c r="J109" s="179">
        <v>46122</v>
      </c>
      <c r="K109" s="180">
        <f t="shared" ref="K109:K111" si="467">J109</f>
        <v>46122</v>
      </c>
      <c r="L109" s="179">
        <v>46115</v>
      </c>
      <c r="M109" s="179">
        <f t="shared" ref="M109:M111" si="468">J109+42</f>
        <v>46164</v>
      </c>
      <c r="N109" s="180">
        <f t="shared" ref="N109:N111" si="469">M109</f>
        <v>46164</v>
      </c>
      <c r="O109" s="179">
        <v>46191</v>
      </c>
      <c r="P109" s="179">
        <f t="shared" ref="P109:P111" si="470">M109+42</f>
        <v>46206</v>
      </c>
      <c r="Q109" s="180">
        <f t="shared" ref="Q109:Q111" si="471">P109</f>
        <v>46206</v>
      </c>
      <c r="R109" s="179">
        <v>46276</v>
      </c>
      <c r="S109" s="179">
        <f t="shared" ref="S109:S111" si="472">P109+14</f>
        <v>46220</v>
      </c>
      <c r="T109" s="180">
        <f t="shared" ref="T109:T111" si="473">S109</f>
        <v>46220</v>
      </c>
      <c r="U109" s="179">
        <v>46276</v>
      </c>
      <c r="W109" s="169" t="str">
        <f t="shared" ca="1" si="436"/>
        <v>Completed</v>
      </c>
      <c r="X109" s="169" t="str">
        <f t="shared" ca="1" si="437"/>
        <v>Completed</v>
      </c>
      <c r="Y109" s="169" t="str">
        <f t="shared" ca="1" si="438"/>
        <v>Completed</v>
      </c>
      <c r="Z109" s="170" t="str">
        <f t="shared" ca="1" si="439"/>
        <v>Completed</v>
      </c>
    </row>
    <row r="110" spans="1:26" s="70" customFormat="1" ht="11.5" x14ac:dyDescent="0.25">
      <c r="A110" s="176" t="s">
        <v>64</v>
      </c>
      <c r="B110" s="176" t="s">
        <v>34</v>
      </c>
      <c r="C110" s="176" t="s">
        <v>804</v>
      </c>
      <c r="D110" s="176" t="s">
        <v>1175</v>
      </c>
      <c r="E110" s="104">
        <f t="shared" si="463"/>
        <v>1</v>
      </c>
      <c r="F110" s="104">
        <f t="shared" si="464"/>
        <v>1</v>
      </c>
      <c r="G110" s="104">
        <f t="shared" si="465"/>
        <v>1</v>
      </c>
      <c r="H110" s="104">
        <f t="shared" si="466"/>
        <v>0</v>
      </c>
      <c r="I110" s="178">
        <v>0.4</v>
      </c>
      <c r="J110" s="179">
        <v>46129</v>
      </c>
      <c r="K110" s="180">
        <f t="shared" si="467"/>
        <v>46129</v>
      </c>
      <c r="L110" s="179">
        <v>46142</v>
      </c>
      <c r="M110" s="179">
        <f t="shared" si="468"/>
        <v>46171</v>
      </c>
      <c r="N110" s="180">
        <f t="shared" si="469"/>
        <v>46171</v>
      </c>
      <c r="O110" s="179">
        <v>46191</v>
      </c>
      <c r="P110" s="179">
        <f t="shared" si="470"/>
        <v>46213</v>
      </c>
      <c r="Q110" s="180">
        <f t="shared" si="471"/>
        <v>46213</v>
      </c>
      <c r="R110" s="179">
        <v>46276</v>
      </c>
      <c r="S110" s="179">
        <f t="shared" si="472"/>
        <v>46227</v>
      </c>
      <c r="T110" s="180">
        <f t="shared" si="473"/>
        <v>46227</v>
      </c>
      <c r="U110" s="179">
        <v>46276</v>
      </c>
      <c r="W110" s="169" t="str">
        <f t="shared" ca="1" si="436"/>
        <v>Completed</v>
      </c>
      <c r="X110" s="169" t="str">
        <f t="shared" ca="1" si="437"/>
        <v>Completed</v>
      </c>
      <c r="Y110" s="169" t="str">
        <f t="shared" ca="1" si="438"/>
        <v>Completed</v>
      </c>
      <c r="Z110" s="170" t="str">
        <f t="shared" ca="1" si="439"/>
        <v>Completed</v>
      </c>
    </row>
    <row r="111" spans="1:26" s="70" customFormat="1" ht="11.5" x14ac:dyDescent="0.25">
      <c r="A111" s="176" t="s">
        <v>64</v>
      </c>
      <c r="B111" s="176" t="s">
        <v>34</v>
      </c>
      <c r="C111" s="176" t="s">
        <v>805</v>
      </c>
      <c r="D111" s="176" t="s">
        <v>1176</v>
      </c>
      <c r="E111" s="104">
        <f t="shared" si="463"/>
        <v>1</v>
      </c>
      <c r="F111" s="104">
        <f t="shared" si="464"/>
        <v>1</v>
      </c>
      <c r="G111" s="104">
        <f t="shared" si="465"/>
        <v>1</v>
      </c>
      <c r="H111" s="104">
        <f t="shared" si="466"/>
        <v>0</v>
      </c>
      <c r="I111" s="178">
        <v>0.2</v>
      </c>
      <c r="J111" s="179">
        <v>46142</v>
      </c>
      <c r="K111" s="180">
        <f t="shared" si="467"/>
        <v>46142</v>
      </c>
      <c r="L111" s="179">
        <v>46248</v>
      </c>
      <c r="M111" s="179">
        <f t="shared" si="468"/>
        <v>46184</v>
      </c>
      <c r="N111" s="180">
        <f t="shared" si="469"/>
        <v>46184</v>
      </c>
      <c r="O111" s="179">
        <v>46248</v>
      </c>
      <c r="P111" s="179">
        <f t="shared" si="470"/>
        <v>46226</v>
      </c>
      <c r="Q111" s="180">
        <f t="shared" si="471"/>
        <v>46226</v>
      </c>
      <c r="R111" s="179">
        <v>46248</v>
      </c>
      <c r="S111" s="179">
        <f t="shared" si="472"/>
        <v>46240</v>
      </c>
      <c r="T111" s="180">
        <f t="shared" si="473"/>
        <v>46240</v>
      </c>
      <c r="U111" s="179">
        <v>46248</v>
      </c>
      <c r="W111" s="169" t="str">
        <f t="shared" ca="1" si="436"/>
        <v>Completed</v>
      </c>
      <c r="X111" s="169" t="str">
        <f t="shared" ca="1" si="437"/>
        <v>Completed</v>
      </c>
      <c r="Y111" s="169" t="str">
        <f t="shared" ca="1" si="438"/>
        <v>Completed</v>
      </c>
      <c r="Z111" s="170" t="str">
        <f t="shared" ca="1" si="439"/>
        <v>Completed</v>
      </c>
    </row>
    <row r="112" spans="1:26" s="70" customFormat="1" ht="11.5" x14ac:dyDescent="0.25">
      <c r="A112" s="176" t="s">
        <v>64</v>
      </c>
      <c r="B112" s="176" t="s">
        <v>34</v>
      </c>
      <c r="C112" s="176" t="s">
        <v>805</v>
      </c>
      <c r="D112" s="176" t="s">
        <v>1177</v>
      </c>
      <c r="E112" s="104">
        <f t="shared" si="463"/>
        <v>1</v>
      </c>
      <c r="F112" s="104">
        <f t="shared" si="464"/>
        <v>1</v>
      </c>
      <c r="G112" s="104">
        <f t="shared" si="465"/>
        <v>1</v>
      </c>
      <c r="H112" s="104">
        <f t="shared" si="466"/>
        <v>0</v>
      </c>
      <c r="I112" s="178"/>
      <c r="J112" s="179">
        <v>46142</v>
      </c>
      <c r="K112" s="180">
        <f t="shared" ref="K112" si="474">J112</f>
        <v>46142</v>
      </c>
      <c r="L112" s="179">
        <v>46276</v>
      </c>
      <c r="M112" s="179">
        <f t="shared" ref="M112" si="475">J112+42</f>
        <v>46184</v>
      </c>
      <c r="N112" s="180">
        <f t="shared" ref="N112" si="476">M112</f>
        <v>46184</v>
      </c>
      <c r="O112" s="179">
        <v>46276</v>
      </c>
      <c r="P112" s="179">
        <f t="shared" ref="P112" si="477">M112+42</f>
        <v>46226</v>
      </c>
      <c r="Q112" s="180">
        <f t="shared" ref="Q112" si="478">P112</f>
        <v>46226</v>
      </c>
      <c r="R112" s="179">
        <v>46276</v>
      </c>
      <c r="S112" s="179">
        <f t="shared" ref="S112" si="479">P112+14</f>
        <v>46240</v>
      </c>
      <c r="T112" s="180">
        <f t="shared" ref="T112" si="480">S112</f>
        <v>46240</v>
      </c>
      <c r="U112" s="179">
        <v>46276</v>
      </c>
      <c r="W112" s="169" t="str">
        <f t="shared" ref="W112" ca="1" si="481">IF(OR(L112&lt;&gt;""),"Completed",
IF(K112="","",IF(K112&lt;TODAY(),"Overdue",
IF(AND(K112&gt;=TODAY()-WEEKDAY(TODAY(),2)+1,K112&lt;=TODAY()-WEEKDAY(TODAY(),2)+7),"Follow-This Week",
IF(AND(K112&gt;=TODAY()-WEEKDAY(TODAY(),2)+8,K112&lt;=TODAY()-WEEKDAY(TODAY(),2)+14),"Follow-Next Week","")))))</f>
        <v>Completed</v>
      </c>
      <c r="X112" s="169" t="str">
        <f t="shared" ref="X112" ca="1" si="482">IF(OR(O112&lt;&gt;""),"Completed",IF(N112="","",
IF(N112&lt;TODAY(),"Overdue",
IF(AND(N112&gt;=TODAY()-WEEKDAY(TODAY(),2)+1,N112&lt;=TODAY()-WEEKDAY(TODAY(),2)+7),"Follow-This Week",
IF(AND(N112&gt;=TODAY()-WEEKDAY(TODAY(),2)+8,N112&lt;=TODAY()-WEEKDAY(TODAY(),2)+14),"Follow-Next Week","")))))</f>
        <v>Completed</v>
      </c>
      <c r="Y112" s="169" t="str">
        <f t="shared" ref="Y112" ca="1" si="483">IF(OR(R112&lt;&gt;""),"Completed",IF(Q112="","",
IF(Q112&lt;TODAY(),"Overdue",
IF(AND(Q112&gt;=TODAY()-WEEKDAY(TODAY(),2)+1,Q112&lt;=TODAY()-WEEKDAY(TODAY(),2)+7),"Follow-This Week",
IF(AND(Q112&gt;=TODAY()-WEEKDAY(TODAY(),2)+8,Q112&lt;=TODAY()-WEEKDAY(TODAY(),2)+14),"Follow-Next Week","")))))</f>
        <v>Completed</v>
      </c>
      <c r="Z112" s="170" t="str">
        <f t="shared" ref="Z112" ca="1" si="484">IF(OR(U112&lt;&gt;""),"Completed",IF(T112="","",
IF(T112&lt;TODAY(),"Overdue",
IF(AND(T112&gt;=TODAY()-WEEKDAY(TODAY(),2)+1,T112&lt;=TODAY()-WEEKDAY(TODAY(),2)+7),"Follow-This Week",
IF(AND(T112&gt;=TODAY()-WEEKDAY(TODAY(),2)+8,T112&lt;=TODAY()-WEEKDAY(TODAY(),2)+14),"Follow-Next Week","")))))</f>
        <v>Completed</v>
      </c>
    </row>
    <row r="113" spans="1:26" s="70" customFormat="1" ht="11.5" x14ac:dyDescent="0.25">
      <c r="A113" s="101" t="s">
        <v>64</v>
      </c>
      <c r="B113" s="101" t="s">
        <v>34</v>
      </c>
      <c r="C113" s="134" t="s">
        <v>861</v>
      </c>
      <c r="D113" s="101" t="s">
        <v>863</v>
      </c>
      <c r="E113" s="104">
        <v>0</v>
      </c>
      <c r="F113" s="104">
        <v>0</v>
      </c>
      <c r="G113" s="104">
        <v>0.5</v>
      </c>
      <c r="H113" s="104">
        <v>0.5</v>
      </c>
      <c r="I113" s="105">
        <v>0.2</v>
      </c>
      <c r="J113" s="106">
        <v>46157</v>
      </c>
      <c r="K113" s="107">
        <v>46157</v>
      </c>
      <c r="L113" s="106">
        <v>46150</v>
      </c>
      <c r="M113" s="106">
        <v>46199</v>
      </c>
      <c r="N113" s="107">
        <v>46199</v>
      </c>
      <c r="O113" s="106">
        <v>46191</v>
      </c>
      <c r="P113" s="106">
        <v>46241</v>
      </c>
      <c r="Q113" s="107">
        <v>46241</v>
      </c>
      <c r="R113" s="106">
        <v>46227</v>
      </c>
      <c r="S113" s="106">
        <v>46255</v>
      </c>
      <c r="T113" s="107">
        <v>46255</v>
      </c>
      <c r="U113" s="137">
        <v>46239</v>
      </c>
      <c r="W113" s="169" t="str">
        <f t="shared" ca="1" si="436"/>
        <v>Completed</v>
      </c>
      <c r="X113" s="169" t="str">
        <f t="shared" ca="1" si="437"/>
        <v>Completed</v>
      </c>
      <c r="Y113" s="169" t="str">
        <f t="shared" ca="1" si="438"/>
        <v>Completed</v>
      </c>
      <c r="Z113" s="170" t="str">
        <f t="shared" ca="1" si="439"/>
        <v>Completed</v>
      </c>
    </row>
    <row r="114" spans="1:26" s="70" customFormat="1" ht="11.5" x14ac:dyDescent="0.25">
      <c r="A114" s="101" t="s">
        <v>64</v>
      </c>
      <c r="B114" s="134" t="s">
        <v>34</v>
      </c>
      <c r="C114" s="134" t="s">
        <v>862</v>
      </c>
      <c r="D114" s="101" t="s">
        <v>864</v>
      </c>
      <c r="E114" s="104">
        <v>0</v>
      </c>
      <c r="F114" s="104">
        <v>0</v>
      </c>
      <c r="G114" s="104">
        <v>0.5</v>
      </c>
      <c r="H114" s="104">
        <v>0.5</v>
      </c>
      <c r="I114" s="105">
        <v>0.2</v>
      </c>
      <c r="J114" s="106">
        <v>46157</v>
      </c>
      <c r="K114" s="107">
        <v>46157</v>
      </c>
      <c r="L114" s="106">
        <v>46150</v>
      </c>
      <c r="M114" s="106">
        <v>46199</v>
      </c>
      <c r="N114" s="107">
        <v>46199</v>
      </c>
      <c r="O114" s="106">
        <v>46191</v>
      </c>
      <c r="P114" s="106">
        <v>46241</v>
      </c>
      <c r="Q114" s="107">
        <v>46241</v>
      </c>
      <c r="R114" s="106">
        <v>46227</v>
      </c>
      <c r="S114" s="106">
        <v>46255</v>
      </c>
      <c r="T114" s="107">
        <v>46255</v>
      </c>
      <c r="U114" s="137">
        <v>46239</v>
      </c>
      <c r="W114" s="169" t="str">
        <f t="shared" ca="1" si="436"/>
        <v>Completed</v>
      </c>
      <c r="X114" s="169" t="str">
        <f t="shared" ca="1" si="437"/>
        <v>Completed</v>
      </c>
      <c r="Y114" s="169" t="str">
        <f t="shared" ca="1" si="438"/>
        <v>Completed</v>
      </c>
      <c r="Z114" s="170" t="str">
        <f t="shared" ca="1" si="439"/>
        <v>Completed</v>
      </c>
    </row>
    <row r="115" spans="1:26" s="70" customFormat="1" ht="11.5" x14ac:dyDescent="0.25">
      <c r="A115" s="101" t="s">
        <v>64</v>
      </c>
      <c r="B115" s="101" t="s">
        <v>34</v>
      </c>
      <c r="C115" s="134" t="s">
        <v>855</v>
      </c>
      <c r="D115" s="135" t="s">
        <v>857</v>
      </c>
      <c r="E115" s="136">
        <v>0.5</v>
      </c>
      <c r="F115" s="136">
        <v>0.5</v>
      </c>
      <c r="G115" s="136">
        <v>0.5</v>
      </c>
      <c r="H115" s="136">
        <v>0</v>
      </c>
      <c r="I115" s="105">
        <v>0.2</v>
      </c>
      <c r="J115" s="137">
        <v>46143</v>
      </c>
      <c r="K115" s="137">
        <v>46143</v>
      </c>
      <c r="L115" s="106">
        <v>46142</v>
      </c>
      <c r="M115" s="106">
        <v>46185</v>
      </c>
      <c r="N115" s="106">
        <v>46185</v>
      </c>
      <c r="O115" s="106">
        <v>46191</v>
      </c>
      <c r="P115" s="106">
        <v>46227</v>
      </c>
      <c r="Q115" s="106">
        <v>46227</v>
      </c>
      <c r="R115" s="107">
        <v>46202</v>
      </c>
      <c r="S115" s="106">
        <v>46241</v>
      </c>
      <c r="T115" s="106">
        <v>46241</v>
      </c>
      <c r="U115" s="137">
        <v>46209</v>
      </c>
      <c r="W115" s="169" t="str">
        <f t="shared" ca="1" si="436"/>
        <v>Completed</v>
      </c>
      <c r="X115" s="169" t="str">
        <f t="shared" ca="1" si="437"/>
        <v>Completed</v>
      </c>
      <c r="Y115" s="169" t="str">
        <f t="shared" ca="1" si="438"/>
        <v>Completed</v>
      </c>
      <c r="Z115" s="170" t="str">
        <f t="shared" ca="1" si="439"/>
        <v>Completed</v>
      </c>
    </row>
    <row r="116" spans="1:26" s="70" customFormat="1" ht="11.5" x14ac:dyDescent="0.25">
      <c r="A116" s="101" t="s">
        <v>64</v>
      </c>
      <c r="B116" s="134" t="s">
        <v>34</v>
      </c>
      <c r="C116" s="134" t="s">
        <v>856</v>
      </c>
      <c r="D116" s="135" t="s">
        <v>858</v>
      </c>
      <c r="E116" s="104">
        <v>0.5</v>
      </c>
      <c r="F116" s="104">
        <v>0.5</v>
      </c>
      <c r="G116" s="104">
        <v>0.5</v>
      </c>
      <c r="H116" s="104">
        <v>0</v>
      </c>
      <c r="I116" s="105">
        <v>0.2</v>
      </c>
      <c r="J116" s="137">
        <v>46143</v>
      </c>
      <c r="K116" s="137">
        <v>46143</v>
      </c>
      <c r="L116" s="106">
        <v>46142</v>
      </c>
      <c r="M116" s="106">
        <v>46185</v>
      </c>
      <c r="N116" s="106">
        <v>46185</v>
      </c>
      <c r="O116" s="106">
        <v>46191</v>
      </c>
      <c r="P116" s="106">
        <v>46227</v>
      </c>
      <c r="Q116" s="106">
        <v>46227</v>
      </c>
      <c r="R116" s="106">
        <v>46254</v>
      </c>
      <c r="S116" s="106">
        <v>46241</v>
      </c>
      <c r="T116" s="106">
        <v>46241</v>
      </c>
      <c r="U116" s="137">
        <v>46269</v>
      </c>
      <c r="W116" s="169" t="str">
        <f t="shared" ca="1" si="436"/>
        <v>Completed</v>
      </c>
      <c r="X116" s="169" t="str">
        <f t="shared" ca="1" si="437"/>
        <v>Completed</v>
      </c>
      <c r="Y116" s="169" t="str">
        <f t="shared" ca="1" si="438"/>
        <v>Completed</v>
      </c>
      <c r="Z116" s="170" t="str">
        <f t="shared" ca="1" si="439"/>
        <v>Completed</v>
      </c>
    </row>
    <row r="117" spans="1:26" s="70" customFormat="1" ht="11.5" x14ac:dyDescent="0.25">
      <c r="A117" s="101" t="s">
        <v>64</v>
      </c>
      <c r="B117" s="101" t="s">
        <v>34</v>
      </c>
      <c r="C117" s="134" t="s">
        <v>859</v>
      </c>
      <c r="D117" s="135" t="s">
        <v>860</v>
      </c>
      <c r="E117" s="104">
        <v>0</v>
      </c>
      <c r="F117" s="104">
        <v>0</v>
      </c>
      <c r="G117" s="104">
        <v>0.5</v>
      </c>
      <c r="H117" s="104">
        <v>0.5</v>
      </c>
      <c r="I117" s="105">
        <v>0.2</v>
      </c>
      <c r="J117" s="137">
        <v>46157</v>
      </c>
      <c r="K117" s="137">
        <v>46157</v>
      </c>
      <c r="L117" s="106">
        <v>46150</v>
      </c>
      <c r="M117" s="106">
        <v>46199</v>
      </c>
      <c r="N117" s="106">
        <v>46199</v>
      </c>
      <c r="O117" s="106">
        <v>46191</v>
      </c>
      <c r="P117" s="106">
        <v>46241</v>
      </c>
      <c r="Q117" s="106">
        <v>46241</v>
      </c>
      <c r="R117" s="107">
        <v>46204</v>
      </c>
      <c r="S117" s="106">
        <v>46255</v>
      </c>
      <c r="T117" s="106">
        <v>46255</v>
      </c>
      <c r="U117" s="137">
        <v>46223</v>
      </c>
      <c r="W117" s="169" t="str">
        <f t="shared" ca="1" si="436"/>
        <v>Completed</v>
      </c>
      <c r="X117" s="169" t="str">
        <f t="shared" ca="1" si="437"/>
        <v>Completed</v>
      </c>
      <c r="Y117" s="169" t="str">
        <f t="shared" ca="1" si="438"/>
        <v>Completed</v>
      </c>
      <c r="Z117" s="170" t="str">
        <f t="shared" ca="1" si="439"/>
        <v>Completed</v>
      </c>
    </row>
    <row r="118" spans="1:26" s="70" customFormat="1" ht="11.5" x14ac:dyDescent="0.25">
      <c r="A118" s="101" t="s">
        <v>64</v>
      </c>
      <c r="B118" s="101" t="s">
        <v>34</v>
      </c>
      <c r="C118" s="134" t="s">
        <v>869</v>
      </c>
      <c r="D118" s="135" t="s">
        <v>870</v>
      </c>
      <c r="E118" s="104">
        <v>0</v>
      </c>
      <c r="F118" s="104">
        <v>0</v>
      </c>
      <c r="G118" s="104">
        <v>0.5</v>
      </c>
      <c r="H118" s="104">
        <v>0.5</v>
      </c>
      <c r="I118" s="105">
        <v>0.5</v>
      </c>
      <c r="J118" s="137">
        <f>J60+28</f>
        <v>46213</v>
      </c>
      <c r="K118" s="137">
        <f>K60+28</f>
        <v>46213</v>
      </c>
      <c r="L118" s="106">
        <v>46171</v>
      </c>
      <c r="M118" s="106">
        <f>J118+42</f>
        <v>46255</v>
      </c>
      <c r="N118" s="106">
        <f>K118+42</f>
        <v>46255</v>
      </c>
      <c r="O118" s="106">
        <v>46255</v>
      </c>
      <c r="P118" s="106">
        <f>M118+42</f>
        <v>46297</v>
      </c>
      <c r="Q118" s="106">
        <f>N118+42</f>
        <v>46297</v>
      </c>
      <c r="R118" s="106"/>
      <c r="S118" s="106">
        <f>P118+14</f>
        <v>46311</v>
      </c>
      <c r="T118" s="106">
        <f>Q118+14</f>
        <v>46311</v>
      </c>
      <c r="U118" s="137"/>
      <c r="W118" s="169" t="str">
        <f t="shared" ca="1" si="436"/>
        <v>Completed</v>
      </c>
      <c r="X118" s="169" t="str">
        <f t="shared" ca="1" si="437"/>
        <v>Completed</v>
      </c>
      <c r="Y118" s="169" t="str">
        <f t="shared" ca="1" si="438"/>
        <v/>
      </c>
      <c r="Z118" s="170" t="str">
        <f t="shared" ca="1" si="439"/>
        <v/>
      </c>
    </row>
    <row r="119" spans="1:26" s="70" customFormat="1" ht="11.5" x14ac:dyDescent="0.25">
      <c r="A119" s="101" t="s">
        <v>64</v>
      </c>
      <c r="B119" s="101" t="s">
        <v>34</v>
      </c>
      <c r="C119" s="101" t="s">
        <v>909</v>
      </c>
      <c r="D119" s="101" t="s">
        <v>910</v>
      </c>
      <c r="E119" s="104">
        <v>0</v>
      </c>
      <c r="F119" s="104">
        <v>0</v>
      </c>
      <c r="G119" s="104">
        <v>0.5</v>
      </c>
      <c r="H119" s="104">
        <v>0.5</v>
      </c>
      <c r="I119" s="105"/>
      <c r="J119" s="137">
        <f>J62+28</f>
        <v>46330</v>
      </c>
      <c r="K119" s="106">
        <f>K62+28</f>
        <v>46330</v>
      </c>
      <c r="L119" s="106"/>
      <c r="M119" s="106">
        <f>J119+42</f>
        <v>46372</v>
      </c>
      <c r="N119" s="106">
        <f>N62+28</f>
        <v>46372</v>
      </c>
      <c r="O119" s="106"/>
      <c r="P119" s="106">
        <f>M119+42</f>
        <v>46414</v>
      </c>
      <c r="Q119" s="106">
        <f>Q62+28</f>
        <v>46414</v>
      </c>
      <c r="R119" s="106"/>
      <c r="S119" s="106">
        <f>P119+14</f>
        <v>46428</v>
      </c>
      <c r="T119" s="106">
        <f t="shared" ref="T119" si="485">Q119+14</f>
        <v>46428</v>
      </c>
      <c r="U119" s="137"/>
      <c r="W119" s="169" t="str">
        <f t="shared" ca="1" si="436"/>
        <v/>
      </c>
      <c r="X119" s="169" t="str">
        <f t="shared" ca="1" si="437"/>
        <v/>
      </c>
      <c r="Y119" s="169" t="str">
        <f t="shared" ca="1" si="438"/>
        <v/>
      </c>
      <c r="Z119" s="170" t="str">
        <f t="shared" ca="1" si="439"/>
        <v/>
      </c>
    </row>
    <row r="120" spans="1:26" s="70" customFormat="1" ht="11.5" x14ac:dyDescent="0.25">
      <c r="A120" s="71" t="s">
        <v>64</v>
      </c>
      <c r="B120" s="71" t="s">
        <v>34</v>
      </c>
      <c r="C120" s="71" t="s">
        <v>935</v>
      </c>
      <c r="D120" s="71" t="s">
        <v>796</v>
      </c>
      <c r="E120" s="81">
        <f t="shared" ref="E120:E122" si="486">(COUNTIFS(J120,"&lt;="&amp;$C$1)*50%)+(COUNTIFS(M120,"&lt;="&amp;$C$1)*20%)+(COUNTIFS(P120,"&lt;="&amp;$C$1)*10%)+(COUNTIFS(S120,"&lt;="&amp;$C$1)*20%)</f>
        <v>0</v>
      </c>
      <c r="F120" s="81">
        <f t="shared" ref="F120:F122" si="487">(COUNTIFS(K120,"&lt;="&amp;$C$1)*50%)+(COUNTIFS(N120,"&lt;="&amp;$C$1)*20%)+(COUNTIFS(Q120,"&lt;="&amp;$C$1)*10%)+(COUNTIFS(T120,"&lt;="&amp;$C$1)*20%)</f>
        <v>0</v>
      </c>
      <c r="G120" s="81">
        <f t="shared" ref="G120:G122" si="488">(COUNTIFS(L120,"&lt;="&amp;$C$1)*50%)+(COUNTIFS(O120,"&lt;="&amp;$C$1)*20%)+(COUNTIFS(R120,"&lt;="&amp;$C$1)*10%)+(COUNTIFS(U120,"&lt;="&amp;$C$1)*20%)</f>
        <v>0</v>
      </c>
      <c r="H120" s="81">
        <f t="shared" ref="H120:H122" si="489">G120-E120</f>
        <v>0</v>
      </c>
      <c r="I120" s="82">
        <v>0.2</v>
      </c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W120" s="169" t="str">
        <f t="shared" ca="1" si="436"/>
        <v/>
      </c>
      <c r="X120" s="169" t="str">
        <f t="shared" ca="1" si="437"/>
        <v/>
      </c>
      <c r="Y120" s="169" t="str">
        <f t="shared" ca="1" si="438"/>
        <v/>
      </c>
      <c r="Z120" s="170" t="str">
        <f t="shared" ca="1" si="439"/>
        <v/>
      </c>
    </row>
    <row r="121" spans="1:26" s="70" customFormat="1" ht="11.5" x14ac:dyDescent="0.25">
      <c r="A121" s="71" t="s">
        <v>64</v>
      </c>
      <c r="B121" s="71" t="s">
        <v>34</v>
      </c>
      <c r="C121" s="71" t="s">
        <v>936</v>
      </c>
      <c r="D121" s="71" t="s">
        <v>797</v>
      </c>
      <c r="E121" s="81">
        <f t="shared" si="486"/>
        <v>0</v>
      </c>
      <c r="F121" s="81">
        <f t="shared" si="487"/>
        <v>0</v>
      </c>
      <c r="G121" s="81">
        <f t="shared" si="488"/>
        <v>0</v>
      </c>
      <c r="H121" s="81">
        <f t="shared" si="489"/>
        <v>0</v>
      </c>
      <c r="I121" s="82">
        <v>0.4</v>
      </c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W121" s="169" t="str">
        <f t="shared" ca="1" si="436"/>
        <v/>
      </c>
      <c r="X121" s="169" t="str">
        <f t="shared" ca="1" si="437"/>
        <v/>
      </c>
      <c r="Y121" s="169" t="str">
        <f t="shared" ca="1" si="438"/>
        <v/>
      </c>
      <c r="Z121" s="170" t="str">
        <f t="shared" ca="1" si="439"/>
        <v/>
      </c>
    </row>
    <row r="122" spans="1:26" s="70" customFormat="1" ht="11.5" x14ac:dyDescent="0.25">
      <c r="A122" s="71" t="s">
        <v>64</v>
      </c>
      <c r="B122" s="71" t="s">
        <v>34</v>
      </c>
      <c r="C122" s="71" t="s">
        <v>937</v>
      </c>
      <c r="D122" s="71" t="s">
        <v>798</v>
      </c>
      <c r="E122" s="81">
        <f t="shared" si="486"/>
        <v>0</v>
      </c>
      <c r="F122" s="81">
        <f t="shared" si="487"/>
        <v>0</v>
      </c>
      <c r="G122" s="81">
        <f t="shared" si="488"/>
        <v>0</v>
      </c>
      <c r="H122" s="81">
        <f t="shared" si="489"/>
        <v>0</v>
      </c>
      <c r="I122" s="82">
        <v>0.4</v>
      </c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W122" s="169" t="str">
        <f t="shared" ca="1" si="436"/>
        <v/>
      </c>
      <c r="X122" s="169" t="str">
        <f t="shared" ca="1" si="437"/>
        <v/>
      </c>
      <c r="Y122" s="169" t="str">
        <f t="shared" ca="1" si="438"/>
        <v/>
      </c>
      <c r="Z122" s="170" t="str">
        <f t="shared" ca="1" si="439"/>
        <v/>
      </c>
    </row>
    <row r="123" spans="1:26" s="70" customFormat="1" ht="11.5" x14ac:dyDescent="0.25">
      <c r="A123" s="73"/>
      <c r="B123" s="73"/>
      <c r="C123" s="77"/>
      <c r="D123" s="78"/>
      <c r="E123" s="79"/>
      <c r="F123" s="79"/>
      <c r="G123" s="79"/>
      <c r="H123" s="79"/>
      <c r="I123" s="75"/>
      <c r="J123" s="76"/>
      <c r="K123" s="76"/>
      <c r="L123" s="76"/>
      <c r="M123" s="80"/>
      <c r="N123" s="76"/>
      <c r="O123" s="76"/>
      <c r="P123" s="80"/>
      <c r="Q123" s="76"/>
      <c r="R123" s="76"/>
      <c r="S123" s="80"/>
      <c r="T123" s="76"/>
      <c r="U123" s="76"/>
      <c r="W123" s="169" t="str">
        <f t="shared" ca="1" si="436"/>
        <v/>
      </c>
      <c r="X123" s="169" t="str">
        <f t="shared" ca="1" si="437"/>
        <v/>
      </c>
      <c r="Y123" s="169" t="str">
        <f t="shared" ca="1" si="438"/>
        <v/>
      </c>
      <c r="Z123" s="170" t="str">
        <f t="shared" ca="1" si="439"/>
        <v/>
      </c>
    </row>
    <row r="124" spans="1:26" s="70" customFormat="1" ht="11.5" x14ac:dyDescent="0.25">
      <c r="A124" s="71" t="s">
        <v>67</v>
      </c>
      <c r="B124" s="87" t="s">
        <v>34</v>
      </c>
      <c r="C124" s="87" t="s">
        <v>930</v>
      </c>
      <c r="D124" s="87" t="s">
        <v>56</v>
      </c>
      <c r="E124" s="86">
        <f t="shared" ref="E124:E201" si="490">(COUNTIFS(J124,"&lt;="&amp;$C$1)*50%)+(COUNTIFS(M124,"&lt;="&amp;$C$1)*20%)+(COUNTIFS(P124,"&lt;="&amp;$C$1)*10%)+(COUNTIFS(S124,"&lt;="&amp;$C$1)*20%)</f>
        <v>1</v>
      </c>
      <c r="F124" s="86">
        <f t="shared" ref="F124:G201" si="491">(COUNTIFS(K124,"&lt;="&amp;$C$1)*50%)+(COUNTIFS(N124,"&lt;="&amp;$C$1)*20%)+(COUNTIFS(Q124,"&lt;="&amp;$C$1)*10%)+(COUNTIFS(T124,"&lt;="&amp;$C$1)*20%)</f>
        <v>1</v>
      </c>
      <c r="G124" s="86">
        <f t="shared" si="491"/>
        <v>1</v>
      </c>
      <c r="H124" s="86">
        <f t="shared" ref="H124:H201" si="492">G124-E124</f>
        <v>0</v>
      </c>
      <c r="I124" s="82">
        <v>0.2</v>
      </c>
      <c r="J124" s="85">
        <v>46115</v>
      </c>
      <c r="K124" s="85">
        <f t="shared" ref="K124:K202" si="493">J124</f>
        <v>46115</v>
      </c>
      <c r="L124" s="85">
        <v>46115</v>
      </c>
      <c r="M124" s="85">
        <f t="shared" ref="M124:M202" si="494">J124+42</f>
        <v>46157</v>
      </c>
      <c r="N124" s="85">
        <f t="shared" ref="N124:N202" si="495">M124</f>
        <v>46157</v>
      </c>
      <c r="O124" s="85">
        <v>46191</v>
      </c>
      <c r="P124" s="85">
        <f t="shared" ref="P124:P202" si="496">M124+42</f>
        <v>46199</v>
      </c>
      <c r="Q124" s="85">
        <f t="shared" ref="Q124:Q202" si="497">P124</f>
        <v>46199</v>
      </c>
      <c r="R124" s="85">
        <v>46219</v>
      </c>
      <c r="S124" s="85">
        <f t="shared" ref="S124:S202" si="498">P124+14</f>
        <v>46213</v>
      </c>
      <c r="T124" s="85">
        <f t="shared" ref="T124:T202" si="499">S124</f>
        <v>46213</v>
      </c>
      <c r="U124" s="85">
        <v>46262</v>
      </c>
      <c r="W124" s="169" t="str">
        <f t="shared" ca="1" si="436"/>
        <v>Completed</v>
      </c>
      <c r="X124" s="169" t="str">
        <f t="shared" ca="1" si="437"/>
        <v>Completed</v>
      </c>
      <c r="Y124" s="169" t="str">
        <f t="shared" ca="1" si="438"/>
        <v>Completed</v>
      </c>
      <c r="Z124" s="170" t="str">
        <f t="shared" ca="1" si="439"/>
        <v>Completed</v>
      </c>
    </row>
    <row r="125" spans="1:26" s="70" customFormat="1" ht="11.5" x14ac:dyDescent="0.25">
      <c r="A125" s="71" t="s">
        <v>67</v>
      </c>
      <c r="B125" s="87" t="s">
        <v>34</v>
      </c>
      <c r="C125" s="87" t="s">
        <v>931</v>
      </c>
      <c r="D125" s="87" t="s">
        <v>57</v>
      </c>
      <c r="E125" s="86">
        <f t="shared" si="490"/>
        <v>1</v>
      </c>
      <c r="F125" s="86">
        <f t="shared" si="491"/>
        <v>1</v>
      </c>
      <c r="G125" s="86">
        <f t="shared" si="491"/>
        <v>1</v>
      </c>
      <c r="H125" s="86">
        <f t="shared" si="492"/>
        <v>0</v>
      </c>
      <c r="I125" s="82">
        <v>0.2</v>
      </c>
      <c r="J125" s="85">
        <v>46115</v>
      </c>
      <c r="K125" s="85">
        <f t="shared" si="493"/>
        <v>46115</v>
      </c>
      <c r="L125" s="85">
        <v>46115</v>
      </c>
      <c r="M125" s="85">
        <f t="shared" si="494"/>
        <v>46157</v>
      </c>
      <c r="N125" s="85">
        <f t="shared" si="495"/>
        <v>46157</v>
      </c>
      <c r="O125" s="145">
        <v>46171</v>
      </c>
      <c r="P125" s="85">
        <f t="shared" si="496"/>
        <v>46199</v>
      </c>
      <c r="Q125" s="85">
        <f t="shared" si="497"/>
        <v>46199</v>
      </c>
      <c r="R125" s="85">
        <v>46199</v>
      </c>
      <c r="S125" s="85">
        <f t="shared" si="498"/>
        <v>46213</v>
      </c>
      <c r="T125" s="85">
        <f t="shared" si="499"/>
        <v>46213</v>
      </c>
      <c r="U125" s="85">
        <v>46204</v>
      </c>
      <c r="W125" s="169" t="str">
        <f t="shared" ca="1" si="436"/>
        <v>Completed</v>
      </c>
      <c r="X125" s="169" t="str">
        <f t="shared" ca="1" si="437"/>
        <v>Completed</v>
      </c>
      <c r="Y125" s="169" t="str">
        <f t="shared" ca="1" si="438"/>
        <v>Completed</v>
      </c>
      <c r="Z125" s="170" t="str">
        <f t="shared" ca="1" si="439"/>
        <v>Completed</v>
      </c>
    </row>
    <row r="126" spans="1:26" s="70" customFormat="1" ht="11.5" x14ac:dyDescent="0.25">
      <c r="A126" s="71" t="s">
        <v>67</v>
      </c>
      <c r="B126" s="87" t="s">
        <v>34</v>
      </c>
      <c r="C126" s="87" t="s">
        <v>932</v>
      </c>
      <c r="D126" s="87" t="s">
        <v>58</v>
      </c>
      <c r="E126" s="86">
        <f t="shared" si="490"/>
        <v>1</v>
      </c>
      <c r="F126" s="86">
        <f t="shared" si="491"/>
        <v>1</v>
      </c>
      <c r="G126" s="86">
        <f t="shared" si="491"/>
        <v>1</v>
      </c>
      <c r="H126" s="86">
        <f t="shared" si="492"/>
        <v>0</v>
      </c>
      <c r="I126" s="82">
        <v>0.2</v>
      </c>
      <c r="J126" s="85">
        <v>46115</v>
      </c>
      <c r="K126" s="85">
        <f t="shared" si="493"/>
        <v>46115</v>
      </c>
      <c r="L126" s="85">
        <v>46115</v>
      </c>
      <c r="M126" s="85">
        <f t="shared" si="494"/>
        <v>46157</v>
      </c>
      <c r="N126" s="85">
        <f t="shared" si="495"/>
        <v>46157</v>
      </c>
      <c r="O126" s="145">
        <v>46171</v>
      </c>
      <c r="P126" s="85">
        <f t="shared" si="496"/>
        <v>46199</v>
      </c>
      <c r="Q126" s="85">
        <f t="shared" si="497"/>
        <v>46199</v>
      </c>
      <c r="R126" s="85">
        <v>46219</v>
      </c>
      <c r="S126" s="85">
        <f t="shared" si="498"/>
        <v>46213</v>
      </c>
      <c r="T126" s="85">
        <f t="shared" si="499"/>
        <v>46213</v>
      </c>
      <c r="U126" s="85">
        <v>46233</v>
      </c>
      <c r="W126" s="169" t="str">
        <f t="shared" ca="1" si="436"/>
        <v>Completed</v>
      </c>
      <c r="X126" s="169" t="str">
        <f t="shared" ca="1" si="437"/>
        <v>Completed</v>
      </c>
      <c r="Y126" s="169" t="str">
        <f t="shared" ca="1" si="438"/>
        <v>Completed</v>
      </c>
      <c r="Z126" s="170" t="str">
        <f t="shared" ca="1" si="439"/>
        <v>Completed</v>
      </c>
    </row>
    <row r="127" spans="1:26" s="70" customFormat="1" ht="11.5" x14ac:dyDescent="0.25">
      <c r="A127" s="71" t="s">
        <v>67</v>
      </c>
      <c r="B127" s="87" t="s">
        <v>34</v>
      </c>
      <c r="C127" s="87" t="s">
        <v>933</v>
      </c>
      <c r="D127" s="87" t="s">
        <v>1119</v>
      </c>
      <c r="E127" s="86">
        <f t="shared" si="490"/>
        <v>1</v>
      </c>
      <c r="F127" s="86">
        <f t="shared" si="491"/>
        <v>1</v>
      </c>
      <c r="G127" s="86">
        <f t="shared" si="491"/>
        <v>0.79999999999999993</v>
      </c>
      <c r="H127" s="86">
        <f t="shared" si="492"/>
        <v>-0.20000000000000007</v>
      </c>
      <c r="I127" s="82">
        <v>0.2</v>
      </c>
      <c r="J127" s="85">
        <v>46115</v>
      </c>
      <c r="K127" s="85">
        <f t="shared" si="493"/>
        <v>46115</v>
      </c>
      <c r="L127" s="85">
        <v>46115</v>
      </c>
      <c r="M127" s="85">
        <f t="shared" si="494"/>
        <v>46157</v>
      </c>
      <c r="N127" s="85">
        <f t="shared" si="495"/>
        <v>46157</v>
      </c>
      <c r="O127" s="145">
        <v>46171</v>
      </c>
      <c r="P127" s="85">
        <f t="shared" si="496"/>
        <v>46199</v>
      </c>
      <c r="Q127" s="85">
        <f t="shared" si="497"/>
        <v>46199</v>
      </c>
      <c r="R127" s="85">
        <v>46274</v>
      </c>
      <c r="S127" s="85">
        <f t="shared" si="498"/>
        <v>46213</v>
      </c>
      <c r="T127" s="85">
        <f t="shared" si="499"/>
        <v>46213</v>
      </c>
      <c r="U127" s="85"/>
      <c r="W127" s="169" t="str">
        <f t="shared" ca="1" si="436"/>
        <v>Completed</v>
      </c>
      <c r="X127" s="169" t="str">
        <f t="shared" ca="1" si="437"/>
        <v>Completed</v>
      </c>
      <c r="Y127" s="169" t="str">
        <f t="shared" ca="1" si="438"/>
        <v>Completed</v>
      </c>
      <c r="Z127" s="170" t="str">
        <f t="shared" ca="1" si="439"/>
        <v>Overdue</v>
      </c>
    </row>
    <row r="128" spans="1:26" s="70" customFormat="1" ht="11.5" x14ac:dyDescent="0.25">
      <c r="A128" s="71" t="s">
        <v>67</v>
      </c>
      <c r="B128" s="87" t="s">
        <v>34</v>
      </c>
      <c r="C128" s="87" t="s">
        <v>934</v>
      </c>
      <c r="D128" s="87" t="s">
        <v>59</v>
      </c>
      <c r="E128" s="86">
        <f t="shared" si="490"/>
        <v>1</v>
      </c>
      <c r="F128" s="86">
        <f t="shared" si="491"/>
        <v>1</v>
      </c>
      <c r="G128" s="86">
        <f t="shared" si="491"/>
        <v>1</v>
      </c>
      <c r="H128" s="86">
        <f t="shared" si="492"/>
        <v>0</v>
      </c>
      <c r="I128" s="82">
        <v>0.2</v>
      </c>
      <c r="J128" s="85">
        <v>46115</v>
      </c>
      <c r="K128" s="85">
        <f t="shared" si="493"/>
        <v>46115</v>
      </c>
      <c r="L128" s="85">
        <v>46115</v>
      </c>
      <c r="M128" s="85">
        <f t="shared" si="494"/>
        <v>46157</v>
      </c>
      <c r="N128" s="85">
        <f t="shared" si="495"/>
        <v>46157</v>
      </c>
      <c r="O128" s="85">
        <v>46199</v>
      </c>
      <c r="P128" s="85">
        <f t="shared" si="496"/>
        <v>46199</v>
      </c>
      <c r="Q128" s="85">
        <f t="shared" si="497"/>
        <v>46199</v>
      </c>
      <c r="R128" s="85">
        <v>46204</v>
      </c>
      <c r="S128" s="85">
        <f t="shared" si="498"/>
        <v>46213</v>
      </c>
      <c r="T128" s="85">
        <f t="shared" si="499"/>
        <v>46213</v>
      </c>
      <c r="U128" s="85">
        <v>46213</v>
      </c>
      <c r="W128" s="169" t="str">
        <f t="shared" ca="1" si="436"/>
        <v>Completed</v>
      </c>
      <c r="X128" s="169" t="str">
        <f t="shared" ca="1" si="437"/>
        <v>Completed</v>
      </c>
      <c r="Y128" s="169" t="str">
        <f t="shared" ca="1" si="438"/>
        <v>Completed</v>
      </c>
      <c r="Z128" s="170" t="str">
        <f t="shared" ca="1" si="439"/>
        <v>Completed</v>
      </c>
    </row>
    <row r="129" spans="1:26" s="70" customFormat="1" ht="11.5" x14ac:dyDescent="0.25">
      <c r="A129" s="188" t="s">
        <v>67</v>
      </c>
      <c r="B129" s="198" t="s">
        <v>34</v>
      </c>
      <c r="C129" s="198" t="s">
        <v>139</v>
      </c>
      <c r="D129" s="198" t="s">
        <v>1200</v>
      </c>
      <c r="E129" s="199">
        <f t="shared" si="490"/>
        <v>1</v>
      </c>
      <c r="F129" s="199">
        <f t="shared" si="491"/>
        <v>1</v>
      </c>
      <c r="G129" s="199">
        <f t="shared" si="491"/>
        <v>1</v>
      </c>
      <c r="H129" s="199">
        <f t="shared" si="492"/>
        <v>0</v>
      </c>
      <c r="I129" s="190">
        <v>0.25</v>
      </c>
      <c r="J129" s="191">
        <f t="shared" ref="J129:J139" si="500">J72+28</f>
        <v>46178</v>
      </c>
      <c r="K129" s="191">
        <f t="shared" si="493"/>
        <v>46178</v>
      </c>
      <c r="L129" s="208">
        <v>46161</v>
      </c>
      <c r="M129" s="191">
        <f t="shared" si="494"/>
        <v>46220</v>
      </c>
      <c r="N129" s="191">
        <f t="shared" si="495"/>
        <v>46220</v>
      </c>
      <c r="O129" s="191">
        <v>46262</v>
      </c>
      <c r="P129" s="191">
        <f t="shared" si="496"/>
        <v>46262</v>
      </c>
      <c r="Q129" s="191">
        <f t="shared" si="497"/>
        <v>46262</v>
      </c>
      <c r="R129" s="191">
        <v>46283</v>
      </c>
      <c r="S129" s="191">
        <f t="shared" si="498"/>
        <v>46276</v>
      </c>
      <c r="T129" s="191">
        <f t="shared" si="499"/>
        <v>46276</v>
      </c>
      <c r="U129" s="191">
        <v>46283</v>
      </c>
      <c r="W129" s="169" t="str">
        <f t="shared" ca="1" si="436"/>
        <v>Completed</v>
      </c>
      <c r="X129" s="169" t="str">
        <f t="shared" ca="1" si="437"/>
        <v>Completed</v>
      </c>
      <c r="Y129" s="169" t="str">
        <f t="shared" ca="1" si="438"/>
        <v>Completed</v>
      </c>
      <c r="Z129" s="170" t="str">
        <f t="shared" ca="1" si="439"/>
        <v>Completed</v>
      </c>
    </row>
    <row r="130" spans="1:26" s="70" customFormat="1" ht="11.5" x14ac:dyDescent="0.25">
      <c r="A130" s="111" t="s">
        <v>67</v>
      </c>
      <c r="B130" s="117" t="s">
        <v>34</v>
      </c>
      <c r="C130" s="117" t="s">
        <v>139</v>
      </c>
      <c r="D130" s="117" t="s">
        <v>1205</v>
      </c>
      <c r="E130" s="118">
        <f t="shared" ref="E130" si="501">(COUNTIFS(J130,"&lt;="&amp;$C$1)*50%)+(COUNTIFS(M130,"&lt;="&amp;$C$1)*20%)+(COUNTIFS(P130,"&lt;="&amp;$C$1)*10%)+(COUNTIFS(S130,"&lt;="&amp;$C$1)*20%)</f>
        <v>1</v>
      </c>
      <c r="F130" s="118">
        <f t="shared" ref="F130" si="502">(COUNTIFS(K130,"&lt;="&amp;$C$1)*50%)+(COUNTIFS(N130,"&lt;="&amp;$C$1)*20%)+(COUNTIFS(Q130,"&lt;="&amp;$C$1)*10%)+(COUNTIFS(T130,"&lt;="&amp;$C$1)*20%)</f>
        <v>1</v>
      </c>
      <c r="G130" s="118">
        <f t="shared" ref="G130" si="503">(COUNTIFS(L130,"&lt;="&amp;$C$1)*50%)+(COUNTIFS(O130,"&lt;="&amp;$C$1)*20%)+(COUNTIFS(R130,"&lt;="&amp;$C$1)*10%)+(COUNTIFS(U130,"&lt;="&amp;$C$1)*20%)</f>
        <v>0.7</v>
      </c>
      <c r="H130" s="118">
        <f t="shared" ref="H130" si="504">G130-E130</f>
        <v>-0.30000000000000004</v>
      </c>
      <c r="I130" s="113">
        <v>0.25</v>
      </c>
      <c r="J130" s="114">
        <f t="shared" si="500"/>
        <v>46178</v>
      </c>
      <c r="K130" s="114">
        <f t="shared" ref="K130" si="505">J130</f>
        <v>46178</v>
      </c>
      <c r="L130" s="143">
        <v>46161</v>
      </c>
      <c r="M130" s="114">
        <f t="shared" ref="M130" si="506">J130+42</f>
        <v>46220</v>
      </c>
      <c r="N130" s="114">
        <f t="shared" ref="N130" si="507">M130</f>
        <v>46220</v>
      </c>
      <c r="O130" s="114">
        <v>46262</v>
      </c>
      <c r="P130" s="114">
        <f t="shared" ref="P130" si="508">M130+42</f>
        <v>46262</v>
      </c>
      <c r="Q130" s="114">
        <f t="shared" ref="Q130" si="509">P130</f>
        <v>46262</v>
      </c>
      <c r="R130" s="114"/>
      <c r="S130" s="114">
        <f t="shared" ref="S130" si="510">P130+14</f>
        <v>46276</v>
      </c>
      <c r="T130" s="114">
        <f t="shared" ref="T130" si="511">S130</f>
        <v>46276</v>
      </c>
      <c r="U130" s="114"/>
      <c r="W130" s="169" t="str">
        <f t="shared" ref="W130" ca="1" si="512">IF(OR(L130&lt;&gt;""),"Completed",
IF(K130="","",IF(K130&lt;TODAY(),"Overdue",
IF(AND(K130&gt;=TODAY()-WEEKDAY(TODAY(),2)+1,K130&lt;=TODAY()-WEEKDAY(TODAY(),2)+7),"Follow-This Week",
IF(AND(K130&gt;=TODAY()-WEEKDAY(TODAY(),2)+8,K130&lt;=TODAY()-WEEKDAY(TODAY(),2)+14),"Follow-Next Week","")))))</f>
        <v>Completed</v>
      </c>
      <c r="X130" s="169" t="str">
        <f t="shared" ref="X130" ca="1" si="513">IF(OR(O130&lt;&gt;""),"Completed",IF(N130="","",
IF(N130&lt;TODAY(),"Overdue",
IF(AND(N130&gt;=TODAY()-WEEKDAY(TODAY(),2)+1,N130&lt;=TODAY()-WEEKDAY(TODAY(),2)+7),"Follow-This Week",
IF(AND(N130&gt;=TODAY()-WEEKDAY(TODAY(),2)+8,N130&lt;=TODAY()-WEEKDAY(TODAY(),2)+14),"Follow-Next Week","")))))</f>
        <v>Completed</v>
      </c>
      <c r="Y130" s="169" t="str">
        <f t="shared" ref="Y130" ca="1" si="514">IF(OR(R130&lt;&gt;""),"Completed",IF(Q130="","",
IF(Q130&lt;TODAY(),"Overdue",
IF(AND(Q130&gt;=TODAY()-WEEKDAY(TODAY(),2)+1,Q130&lt;=TODAY()-WEEKDAY(TODAY(),2)+7),"Follow-This Week",
IF(AND(Q130&gt;=TODAY()-WEEKDAY(TODAY(),2)+8,Q130&lt;=TODAY()-WEEKDAY(TODAY(),2)+14),"Follow-Next Week","")))))</f>
        <v>Overdue</v>
      </c>
      <c r="Z130" s="170" t="str">
        <f t="shared" ref="Z130" ca="1" si="515">IF(OR(U130&lt;&gt;""),"Completed",IF(T130="","",
IF(T130&lt;TODAY(),"Overdue",
IF(AND(T130&gt;=TODAY()-WEEKDAY(TODAY(),2)+1,T130&lt;=TODAY()-WEEKDAY(TODAY(),2)+7),"Follow-This Week",
IF(AND(T130&gt;=TODAY()-WEEKDAY(TODAY(),2)+8,T130&lt;=TODAY()-WEEKDAY(TODAY(),2)+14),"Follow-Next Week","")))))</f>
        <v>Overdue</v>
      </c>
    </row>
    <row r="131" spans="1:26" s="70" customFormat="1" ht="11.5" x14ac:dyDescent="0.25">
      <c r="A131" s="188" t="s">
        <v>67</v>
      </c>
      <c r="B131" s="198" t="s">
        <v>34</v>
      </c>
      <c r="C131" s="198" t="s">
        <v>140</v>
      </c>
      <c r="D131" s="198" t="s">
        <v>1201</v>
      </c>
      <c r="E131" s="199">
        <f t="shared" si="490"/>
        <v>0.79999999999999993</v>
      </c>
      <c r="F131" s="199">
        <f t="shared" si="491"/>
        <v>0.79999999999999993</v>
      </c>
      <c r="G131" s="199">
        <f t="shared" si="491"/>
        <v>1</v>
      </c>
      <c r="H131" s="199">
        <f t="shared" si="492"/>
        <v>0.20000000000000007</v>
      </c>
      <c r="I131" s="190">
        <v>0.25</v>
      </c>
      <c r="J131" s="191">
        <f t="shared" si="500"/>
        <v>46192</v>
      </c>
      <c r="K131" s="191">
        <f t="shared" si="493"/>
        <v>46192</v>
      </c>
      <c r="L131" s="197">
        <v>46202</v>
      </c>
      <c r="M131" s="191">
        <f t="shared" si="494"/>
        <v>46234</v>
      </c>
      <c r="N131" s="191">
        <f t="shared" si="495"/>
        <v>46234</v>
      </c>
      <c r="O131" s="197">
        <v>46248</v>
      </c>
      <c r="P131" s="191">
        <f t="shared" si="496"/>
        <v>46276</v>
      </c>
      <c r="Q131" s="191">
        <f t="shared" si="497"/>
        <v>46276</v>
      </c>
      <c r="R131" s="191">
        <v>46283</v>
      </c>
      <c r="S131" s="191">
        <f t="shared" si="498"/>
        <v>46290</v>
      </c>
      <c r="T131" s="191">
        <f t="shared" si="499"/>
        <v>46290</v>
      </c>
      <c r="U131" s="191">
        <v>46283</v>
      </c>
      <c r="W131" s="169" t="str">
        <f t="shared" ca="1" si="436"/>
        <v>Completed</v>
      </c>
      <c r="X131" s="169" t="str">
        <f t="shared" ca="1" si="437"/>
        <v>Completed</v>
      </c>
      <c r="Y131" s="169" t="str">
        <f t="shared" ca="1" si="438"/>
        <v>Completed</v>
      </c>
      <c r="Z131" s="170" t="str">
        <f t="shared" ca="1" si="439"/>
        <v>Completed</v>
      </c>
    </row>
    <row r="132" spans="1:26" s="70" customFormat="1" ht="11.5" x14ac:dyDescent="0.25">
      <c r="A132" s="111" t="s">
        <v>67</v>
      </c>
      <c r="B132" s="117" t="s">
        <v>34</v>
      </c>
      <c r="C132" s="117" t="s">
        <v>140</v>
      </c>
      <c r="D132" s="117" t="s">
        <v>1206</v>
      </c>
      <c r="E132" s="118">
        <f t="shared" ref="E132" si="516">(COUNTIFS(J132,"&lt;="&amp;$C$1)*50%)+(COUNTIFS(M132,"&lt;="&amp;$C$1)*20%)+(COUNTIFS(P132,"&lt;="&amp;$C$1)*10%)+(COUNTIFS(S132,"&lt;="&amp;$C$1)*20%)</f>
        <v>0.79999999999999993</v>
      </c>
      <c r="F132" s="118">
        <f t="shared" ref="F132" si="517">(COUNTIFS(K132,"&lt;="&amp;$C$1)*50%)+(COUNTIFS(N132,"&lt;="&amp;$C$1)*20%)+(COUNTIFS(Q132,"&lt;="&amp;$C$1)*10%)+(COUNTIFS(T132,"&lt;="&amp;$C$1)*20%)</f>
        <v>0.79999999999999993</v>
      </c>
      <c r="G132" s="118">
        <f t="shared" ref="G132" si="518">(COUNTIFS(L132,"&lt;="&amp;$C$1)*50%)+(COUNTIFS(O132,"&lt;="&amp;$C$1)*20%)+(COUNTIFS(R132,"&lt;="&amp;$C$1)*10%)+(COUNTIFS(U132,"&lt;="&amp;$C$1)*20%)</f>
        <v>0.7</v>
      </c>
      <c r="H132" s="118">
        <f t="shared" ref="H132" si="519">G132-E132</f>
        <v>-9.9999999999999978E-2</v>
      </c>
      <c r="I132" s="113">
        <v>0.25</v>
      </c>
      <c r="J132" s="114">
        <f t="shared" si="500"/>
        <v>46192</v>
      </c>
      <c r="K132" s="114">
        <f t="shared" ref="K132" si="520">J132</f>
        <v>46192</v>
      </c>
      <c r="L132" s="115">
        <v>46202</v>
      </c>
      <c r="M132" s="114">
        <f t="shared" ref="M132" si="521">J132+42</f>
        <v>46234</v>
      </c>
      <c r="N132" s="114">
        <f t="shared" ref="N132" si="522">M132</f>
        <v>46234</v>
      </c>
      <c r="O132" s="115">
        <v>46248</v>
      </c>
      <c r="P132" s="114">
        <f t="shared" ref="P132" si="523">M132+42</f>
        <v>46276</v>
      </c>
      <c r="Q132" s="114">
        <f t="shared" ref="Q132" si="524">P132</f>
        <v>46276</v>
      </c>
      <c r="R132" s="114"/>
      <c r="S132" s="114">
        <f t="shared" ref="S132" si="525">P132+14</f>
        <v>46290</v>
      </c>
      <c r="T132" s="114">
        <f t="shared" ref="T132" si="526">S132</f>
        <v>46290</v>
      </c>
      <c r="U132" s="114"/>
      <c r="W132" s="169" t="str">
        <f t="shared" ref="W132" ca="1" si="527">IF(OR(L132&lt;&gt;""),"Completed",
IF(K132="","",IF(K132&lt;TODAY(),"Overdue",
IF(AND(K132&gt;=TODAY()-WEEKDAY(TODAY(),2)+1,K132&lt;=TODAY()-WEEKDAY(TODAY(),2)+7),"Follow-This Week",
IF(AND(K132&gt;=TODAY()-WEEKDAY(TODAY(),2)+8,K132&lt;=TODAY()-WEEKDAY(TODAY(),2)+14),"Follow-Next Week","")))))</f>
        <v>Completed</v>
      </c>
      <c r="X132" s="169" t="str">
        <f t="shared" ref="X132" ca="1" si="528">IF(OR(O132&lt;&gt;""),"Completed",IF(N132="","",
IF(N132&lt;TODAY(),"Overdue",
IF(AND(N132&gt;=TODAY()-WEEKDAY(TODAY(),2)+1,N132&lt;=TODAY()-WEEKDAY(TODAY(),2)+7),"Follow-This Week",
IF(AND(N132&gt;=TODAY()-WEEKDAY(TODAY(),2)+8,N132&lt;=TODAY()-WEEKDAY(TODAY(),2)+14),"Follow-Next Week","")))))</f>
        <v>Completed</v>
      </c>
      <c r="Y132" s="169" t="str">
        <f t="shared" ref="Y132" ca="1" si="529">IF(OR(R132&lt;&gt;""),"Completed",IF(Q132="","",
IF(Q132&lt;TODAY(),"Overdue",
IF(AND(Q132&gt;=TODAY()-WEEKDAY(TODAY(),2)+1,Q132&lt;=TODAY()-WEEKDAY(TODAY(),2)+7),"Follow-This Week",
IF(AND(Q132&gt;=TODAY()-WEEKDAY(TODAY(),2)+8,Q132&lt;=TODAY()-WEEKDAY(TODAY(),2)+14),"Follow-Next Week","")))))</f>
        <v>Overdue</v>
      </c>
      <c r="Z132" s="170" t="str">
        <f t="shared" ref="Z132" ca="1" si="530">IF(OR(U132&lt;&gt;""),"Completed",IF(T132="","",
IF(T132&lt;TODAY(),"Overdue",
IF(AND(T132&gt;=TODAY()-WEEKDAY(TODAY(),2)+1,T132&lt;=TODAY()-WEEKDAY(TODAY(),2)+7),"Follow-This Week",
IF(AND(T132&gt;=TODAY()-WEEKDAY(TODAY(),2)+8,T132&lt;=TODAY()-WEEKDAY(TODAY(),2)+14),"Follow-Next Week","")))))</f>
        <v>Follow-Next Week</v>
      </c>
    </row>
    <row r="133" spans="1:26" s="70" customFormat="1" ht="11.5" x14ac:dyDescent="0.25">
      <c r="A133" s="188" t="s">
        <v>67</v>
      </c>
      <c r="B133" s="198" t="s">
        <v>34</v>
      </c>
      <c r="C133" s="198" t="s">
        <v>141</v>
      </c>
      <c r="D133" s="198" t="s">
        <v>1202</v>
      </c>
      <c r="E133" s="199">
        <f t="shared" si="490"/>
        <v>0.79999999999999993</v>
      </c>
      <c r="F133" s="199">
        <f t="shared" si="491"/>
        <v>0.79999999999999993</v>
      </c>
      <c r="G133" s="199">
        <f t="shared" si="491"/>
        <v>1</v>
      </c>
      <c r="H133" s="199">
        <f t="shared" si="492"/>
        <v>0.20000000000000007</v>
      </c>
      <c r="I133" s="190">
        <v>0.25</v>
      </c>
      <c r="J133" s="191">
        <f t="shared" si="500"/>
        <v>46199</v>
      </c>
      <c r="K133" s="191">
        <f t="shared" si="493"/>
        <v>46199</v>
      </c>
      <c r="L133" s="191">
        <v>46175</v>
      </c>
      <c r="M133" s="191">
        <f t="shared" si="494"/>
        <v>46241</v>
      </c>
      <c r="N133" s="191">
        <f t="shared" si="495"/>
        <v>46241</v>
      </c>
      <c r="O133" s="191">
        <v>46241</v>
      </c>
      <c r="P133" s="191">
        <f t="shared" si="496"/>
        <v>46283</v>
      </c>
      <c r="Q133" s="191">
        <f t="shared" si="497"/>
        <v>46283</v>
      </c>
      <c r="R133" s="191">
        <v>46283</v>
      </c>
      <c r="S133" s="191">
        <f t="shared" si="498"/>
        <v>46297</v>
      </c>
      <c r="T133" s="191">
        <f t="shared" si="499"/>
        <v>46297</v>
      </c>
      <c r="U133" s="191">
        <v>46283</v>
      </c>
      <c r="W133" s="169" t="str">
        <f t="shared" ca="1" si="436"/>
        <v>Completed</v>
      </c>
      <c r="X133" s="169" t="str">
        <f t="shared" ca="1" si="437"/>
        <v>Completed</v>
      </c>
      <c r="Y133" s="169" t="str">
        <f t="shared" ca="1" si="438"/>
        <v>Completed</v>
      </c>
      <c r="Z133" s="170" t="str">
        <f t="shared" ca="1" si="439"/>
        <v>Completed</v>
      </c>
    </row>
    <row r="134" spans="1:26" s="70" customFormat="1" ht="11.5" x14ac:dyDescent="0.25">
      <c r="A134" s="111" t="s">
        <v>67</v>
      </c>
      <c r="B134" s="117" t="s">
        <v>34</v>
      </c>
      <c r="C134" s="117" t="s">
        <v>141</v>
      </c>
      <c r="D134" s="117" t="s">
        <v>1207</v>
      </c>
      <c r="E134" s="118">
        <f t="shared" ref="E134" si="531">(COUNTIFS(J134,"&lt;="&amp;$C$1)*50%)+(COUNTIFS(M134,"&lt;="&amp;$C$1)*20%)+(COUNTIFS(P134,"&lt;="&amp;$C$1)*10%)+(COUNTIFS(S134,"&lt;="&amp;$C$1)*20%)</f>
        <v>0.79999999999999993</v>
      </c>
      <c r="F134" s="118">
        <f t="shared" ref="F134" si="532">(COUNTIFS(K134,"&lt;="&amp;$C$1)*50%)+(COUNTIFS(N134,"&lt;="&amp;$C$1)*20%)+(COUNTIFS(Q134,"&lt;="&amp;$C$1)*10%)+(COUNTIFS(T134,"&lt;="&amp;$C$1)*20%)</f>
        <v>0.79999999999999993</v>
      </c>
      <c r="G134" s="118">
        <f t="shared" ref="G134" si="533">(COUNTIFS(L134,"&lt;="&amp;$C$1)*50%)+(COUNTIFS(O134,"&lt;="&amp;$C$1)*20%)+(COUNTIFS(R134,"&lt;="&amp;$C$1)*10%)+(COUNTIFS(U134,"&lt;="&amp;$C$1)*20%)</f>
        <v>0.7</v>
      </c>
      <c r="H134" s="118">
        <f t="shared" ref="H134" si="534">G134-E134</f>
        <v>-9.9999999999999978E-2</v>
      </c>
      <c r="I134" s="113">
        <v>0.25</v>
      </c>
      <c r="J134" s="114">
        <f t="shared" si="500"/>
        <v>46199</v>
      </c>
      <c r="K134" s="114">
        <f t="shared" ref="K134" si="535">J134</f>
        <v>46199</v>
      </c>
      <c r="L134" s="114">
        <v>46175</v>
      </c>
      <c r="M134" s="114">
        <f t="shared" ref="M134" si="536">J134+42</f>
        <v>46241</v>
      </c>
      <c r="N134" s="114">
        <f t="shared" ref="N134" si="537">M134</f>
        <v>46241</v>
      </c>
      <c r="O134" s="114">
        <v>46241</v>
      </c>
      <c r="P134" s="114">
        <f t="shared" ref="P134" si="538">M134+42</f>
        <v>46283</v>
      </c>
      <c r="Q134" s="114">
        <f t="shared" ref="Q134" si="539">P134</f>
        <v>46283</v>
      </c>
      <c r="R134" s="114"/>
      <c r="S134" s="114">
        <f t="shared" ref="S134" si="540">P134+14</f>
        <v>46297</v>
      </c>
      <c r="T134" s="114">
        <f t="shared" ref="T134" si="541">S134</f>
        <v>46297</v>
      </c>
      <c r="U134" s="114"/>
      <c r="W134" s="169" t="str">
        <f t="shared" ref="W134" ca="1" si="542">IF(OR(L134&lt;&gt;""),"Completed",
IF(K134="","",IF(K134&lt;TODAY(),"Overdue",
IF(AND(K134&gt;=TODAY()-WEEKDAY(TODAY(),2)+1,K134&lt;=TODAY()-WEEKDAY(TODAY(),2)+7),"Follow-This Week",
IF(AND(K134&gt;=TODAY()-WEEKDAY(TODAY(),2)+8,K134&lt;=TODAY()-WEEKDAY(TODAY(),2)+14),"Follow-Next Week","")))))</f>
        <v>Completed</v>
      </c>
      <c r="X134" s="169" t="str">
        <f t="shared" ref="X134" ca="1" si="543">IF(OR(O134&lt;&gt;""),"Completed",IF(N134="","",
IF(N134&lt;TODAY(),"Overdue",
IF(AND(N134&gt;=TODAY()-WEEKDAY(TODAY(),2)+1,N134&lt;=TODAY()-WEEKDAY(TODAY(),2)+7),"Follow-This Week",
IF(AND(N134&gt;=TODAY()-WEEKDAY(TODAY(),2)+8,N134&lt;=TODAY()-WEEKDAY(TODAY(),2)+14),"Follow-Next Week","")))))</f>
        <v>Completed</v>
      </c>
      <c r="Y134" s="169" t="str">
        <f t="shared" ref="Y134" ca="1" si="544">IF(OR(R134&lt;&gt;""),"Completed",IF(Q134="","",
IF(Q134&lt;TODAY(),"Overdue",
IF(AND(Q134&gt;=TODAY()-WEEKDAY(TODAY(),2)+1,Q134&lt;=TODAY()-WEEKDAY(TODAY(),2)+7),"Follow-This Week",
IF(AND(Q134&gt;=TODAY()-WEEKDAY(TODAY(),2)+8,Q134&lt;=TODAY()-WEEKDAY(TODAY(),2)+14),"Follow-Next Week","")))))</f>
        <v>Overdue</v>
      </c>
      <c r="Z134" s="170" t="str">
        <f t="shared" ref="Z134" ca="1" si="545">IF(OR(U134&lt;&gt;""),"Completed",IF(T134="","",
IF(T134&lt;TODAY(),"Overdue",
IF(AND(T134&gt;=TODAY()-WEEKDAY(TODAY(),2)+1,T134&lt;=TODAY()-WEEKDAY(TODAY(),2)+7),"Follow-This Week",
IF(AND(T134&gt;=TODAY()-WEEKDAY(TODAY(),2)+8,T134&lt;=TODAY()-WEEKDAY(TODAY(),2)+14),"Follow-Next Week","")))))</f>
        <v/>
      </c>
    </row>
    <row r="135" spans="1:26" s="70" customFormat="1" ht="11.5" x14ac:dyDescent="0.25">
      <c r="A135" s="188" t="s">
        <v>67</v>
      </c>
      <c r="B135" s="198" t="s">
        <v>34</v>
      </c>
      <c r="C135" s="198" t="s">
        <v>142</v>
      </c>
      <c r="D135" s="198" t="s">
        <v>1203</v>
      </c>
      <c r="E135" s="199">
        <f t="shared" si="490"/>
        <v>0.7</v>
      </c>
      <c r="F135" s="199">
        <f t="shared" si="491"/>
        <v>0.7</v>
      </c>
      <c r="G135" s="199">
        <f t="shared" si="491"/>
        <v>1</v>
      </c>
      <c r="H135" s="199">
        <f t="shared" si="492"/>
        <v>0.30000000000000004</v>
      </c>
      <c r="I135" s="190">
        <v>0.25</v>
      </c>
      <c r="J135" s="191">
        <f t="shared" si="500"/>
        <v>46206</v>
      </c>
      <c r="K135" s="191">
        <f t="shared" si="493"/>
        <v>46206</v>
      </c>
      <c r="L135" s="208">
        <v>46161</v>
      </c>
      <c r="M135" s="197">
        <f t="shared" si="494"/>
        <v>46248</v>
      </c>
      <c r="N135" s="191">
        <f t="shared" si="495"/>
        <v>46248</v>
      </c>
      <c r="O135" s="191">
        <v>46241</v>
      </c>
      <c r="P135" s="191">
        <f t="shared" si="496"/>
        <v>46290</v>
      </c>
      <c r="Q135" s="191">
        <f t="shared" si="497"/>
        <v>46290</v>
      </c>
      <c r="R135" s="191">
        <v>46283</v>
      </c>
      <c r="S135" s="191">
        <f t="shared" si="498"/>
        <v>46304</v>
      </c>
      <c r="T135" s="191">
        <f t="shared" si="499"/>
        <v>46304</v>
      </c>
      <c r="U135" s="191">
        <v>46283</v>
      </c>
      <c r="W135" s="169" t="str">
        <f t="shared" ca="1" si="436"/>
        <v>Completed</v>
      </c>
      <c r="X135" s="169" t="str">
        <f t="shared" ca="1" si="437"/>
        <v>Completed</v>
      </c>
      <c r="Y135" s="169" t="str">
        <f t="shared" ca="1" si="438"/>
        <v>Completed</v>
      </c>
      <c r="Z135" s="170" t="str">
        <f t="shared" ca="1" si="439"/>
        <v>Completed</v>
      </c>
    </row>
    <row r="136" spans="1:26" s="70" customFormat="1" ht="11.5" x14ac:dyDescent="0.25">
      <c r="A136" s="111" t="s">
        <v>67</v>
      </c>
      <c r="B136" s="117" t="s">
        <v>34</v>
      </c>
      <c r="C136" s="117" t="s">
        <v>142</v>
      </c>
      <c r="D136" s="117" t="s">
        <v>1208</v>
      </c>
      <c r="E136" s="118">
        <f t="shared" ref="E136" si="546">(COUNTIFS(J136,"&lt;="&amp;$C$1)*50%)+(COUNTIFS(M136,"&lt;="&amp;$C$1)*20%)+(COUNTIFS(P136,"&lt;="&amp;$C$1)*10%)+(COUNTIFS(S136,"&lt;="&amp;$C$1)*20%)</f>
        <v>0.7</v>
      </c>
      <c r="F136" s="118">
        <f t="shared" ref="F136" si="547">(COUNTIFS(K136,"&lt;="&amp;$C$1)*50%)+(COUNTIFS(N136,"&lt;="&amp;$C$1)*20%)+(COUNTIFS(Q136,"&lt;="&amp;$C$1)*10%)+(COUNTIFS(T136,"&lt;="&amp;$C$1)*20%)</f>
        <v>0.7</v>
      </c>
      <c r="G136" s="118">
        <f t="shared" ref="G136" si="548">(COUNTIFS(L136,"&lt;="&amp;$C$1)*50%)+(COUNTIFS(O136,"&lt;="&amp;$C$1)*20%)+(COUNTIFS(R136,"&lt;="&amp;$C$1)*10%)+(COUNTIFS(U136,"&lt;="&amp;$C$1)*20%)</f>
        <v>0.7</v>
      </c>
      <c r="H136" s="118">
        <f t="shared" ref="H136" si="549">G136-E136</f>
        <v>0</v>
      </c>
      <c r="I136" s="113">
        <v>0.25</v>
      </c>
      <c r="J136" s="114">
        <f t="shared" si="500"/>
        <v>46206</v>
      </c>
      <c r="K136" s="114">
        <f t="shared" ref="K136" si="550">J136</f>
        <v>46206</v>
      </c>
      <c r="L136" s="143">
        <v>46161</v>
      </c>
      <c r="M136" s="115">
        <f t="shared" ref="M136" si="551">J136+42</f>
        <v>46248</v>
      </c>
      <c r="N136" s="114">
        <f t="shared" ref="N136" si="552">M136</f>
        <v>46248</v>
      </c>
      <c r="O136" s="114">
        <v>46241</v>
      </c>
      <c r="P136" s="114">
        <f t="shared" ref="P136" si="553">M136+42</f>
        <v>46290</v>
      </c>
      <c r="Q136" s="114">
        <f t="shared" ref="Q136" si="554">P136</f>
        <v>46290</v>
      </c>
      <c r="R136" s="114"/>
      <c r="S136" s="114">
        <f t="shared" ref="S136" si="555">P136+14</f>
        <v>46304</v>
      </c>
      <c r="T136" s="114">
        <f t="shared" ref="T136" si="556">S136</f>
        <v>46304</v>
      </c>
      <c r="U136" s="114"/>
      <c r="W136" s="169" t="str">
        <f t="shared" ref="W136" ca="1" si="557">IF(OR(L136&lt;&gt;""),"Completed",
IF(K136="","",IF(K136&lt;TODAY(),"Overdue",
IF(AND(K136&gt;=TODAY()-WEEKDAY(TODAY(),2)+1,K136&lt;=TODAY()-WEEKDAY(TODAY(),2)+7),"Follow-This Week",
IF(AND(K136&gt;=TODAY()-WEEKDAY(TODAY(),2)+8,K136&lt;=TODAY()-WEEKDAY(TODAY(),2)+14),"Follow-Next Week","")))))</f>
        <v>Completed</v>
      </c>
      <c r="X136" s="169" t="str">
        <f t="shared" ref="X136" ca="1" si="558">IF(OR(O136&lt;&gt;""),"Completed",IF(N136="","",
IF(N136&lt;TODAY(),"Overdue",
IF(AND(N136&gt;=TODAY()-WEEKDAY(TODAY(),2)+1,N136&lt;=TODAY()-WEEKDAY(TODAY(),2)+7),"Follow-This Week",
IF(AND(N136&gt;=TODAY()-WEEKDAY(TODAY(),2)+8,N136&lt;=TODAY()-WEEKDAY(TODAY(),2)+14),"Follow-Next Week","")))))</f>
        <v>Completed</v>
      </c>
      <c r="Y136" s="169" t="str">
        <f t="shared" ref="Y136" ca="1" si="559">IF(OR(R136&lt;&gt;""),"Completed",IF(Q136="","",
IF(Q136&lt;TODAY(),"Overdue",
IF(AND(Q136&gt;=TODAY()-WEEKDAY(TODAY(),2)+1,Q136&lt;=TODAY()-WEEKDAY(TODAY(),2)+7),"Follow-This Week",
IF(AND(Q136&gt;=TODAY()-WEEKDAY(TODAY(),2)+8,Q136&lt;=TODAY()-WEEKDAY(TODAY(),2)+14),"Follow-Next Week","")))))</f>
        <v>Follow-Next Week</v>
      </c>
      <c r="Z136" s="170" t="str">
        <f t="shared" ref="Z136" ca="1" si="560">IF(OR(U136&lt;&gt;""),"Completed",IF(T136="","",
IF(T136&lt;TODAY(),"Overdue",
IF(AND(T136&gt;=TODAY()-WEEKDAY(TODAY(),2)+1,T136&lt;=TODAY()-WEEKDAY(TODAY(),2)+7),"Follow-This Week",
IF(AND(T136&gt;=TODAY()-WEEKDAY(TODAY(),2)+8,T136&lt;=TODAY()-WEEKDAY(TODAY(),2)+14),"Follow-Next Week","")))))</f>
        <v/>
      </c>
    </row>
    <row r="137" spans="1:26" s="70" customFormat="1" ht="11.5" x14ac:dyDescent="0.25">
      <c r="A137" s="188" t="s">
        <v>67</v>
      </c>
      <c r="B137" s="198" t="s">
        <v>34</v>
      </c>
      <c r="C137" s="198" t="s">
        <v>143</v>
      </c>
      <c r="D137" s="198" t="s">
        <v>1204</v>
      </c>
      <c r="E137" s="199">
        <f t="shared" si="490"/>
        <v>0.7</v>
      </c>
      <c r="F137" s="199">
        <f t="shared" si="491"/>
        <v>0.7</v>
      </c>
      <c r="G137" s="199">
        <f t="shared" si="491"/>
        <v>1</v>
      </c>
      <c r="H137" s="199">
        <f t="shared" si="492"/>
        <v>0.30000000000000004</v>
      </c>
      <c r="I137" s="190">
        <v>0.25</v>
      </c>
      <c r="J137" s="191">
        <f t="shared" si="500"/>
        <v>46220</v>
      </c>
      <c r="K137" s="191">
        <f t="shared" si="493"/>
        <v>46220</v>
      </c>
      <c r="L137" s="208">
        <v>46161</v>
      </c>
      <c r="M137" s="191">
        <f t="shared" si="494"/>
        <v>46262</v>
      </c>
      <c r="N137" s="191">
        <f t="shared" si="495"/>
        <v>46262</v>
      </c>
      <c r="O137" s="197">
        <v>46252</v>
      </c>
      <c r="P137" s="191">
        <f t="shared" si="496"/>
        <v>46304</v>
      </c>
      <c r="Q137" s="191">
        <f t="shared" si="497"/>
        <v>46304</v>
      </c>
      <c r="R137" s="191">
        <v>46283</v>
      </c>
      <c r="S137" s="191">
        <f t="shared" si="498"/>
        <v>46318</v>
      </c>
      <c r="T137" s="191">
        <f t="shared" si="499"/>
        <v>46318</v>
      </c>
      <c r="U137" s="191">
        <v>46283</v>
      </c>
      <c r="W137" s="169" t="str">
        <f t="shared" ca="1" si="436"/>
        <v>Completed</v>
      </c>
      <c r="X137" s="169" t="str">
        <f t="shared" ca="1" si="437"/>
        <v>Completed</v>
      </c>
      <c r="Y137" s="169" t="str">
        <f t="shared" ca="1" si="438"/>
        <v>Completed</v>
      </c>
      <c r="Z137" s="170" t="str">
        <f t="shared" ca="1" si="439"/>
        <v>Completed</v>
      </c>
    </row>
    <row r="138" spans="1:26" s="70" customFormat="1" ht="11.5" x14ac:dyDescent="0.25">
      <c r="A138" s="111" t="s">
        <v>67</v>
      </c>
      <c r="B138" s="117" t="s">
        <v>34</v>
      </c>
      <c r="C138" s="117" t="s">
        <v>143</v>
      </c>
      <c r="D138" s="117" t="s">
        <v>1209</v>
      </c>
      <c r="E138" s="118">
        <f t="shared" ref="E138" si="561">(COUNTIFS(J138,"&lt;="&amp;$C$1)*50%)+(COUNTIFS(M138,"&lt;="&amp;$C$1)*20%)+(COUNTIFS(P138,"&lt;="&amp;$C$1)*10%)+(COUNTIFS(S138,"&lt;="&amp;$C$1)*20%)</f>
        <v>0.7</v>
      </c>
      <c r="F138" s="118">
        <f t="shared" ref="F138" si="562">(COUNTIFS(K138,"&lt;="&amp;$C$1)*50%)+(COUNTIFS(N138,"&lt;="&amp;$C$1)*20%)+(COUNTIFS(Q138,"&lt;="&amp;$C$1)*10%)+(COUNTIFS(T138,"&lt;="&amp;$C$1)*20%)</f>
        <v>0.7</v>
      </c>
      <c r="G138" s="118">
        <f t="shared" ref="G138" si="563">(COUNTIFS(L138,"&lt;="&amp;$C$1)*50%)+(COUNTIFS(O138,"&lt;="&amp;$C$1)*20%)+(COUNTIFS(R138,"&lt;="&amp;$C$1)*10%)+(COUNTIFS(U138,"&lt;="&amp;$C$1)*20%)</f>
        <v>0.7</v>
      </c>
      <c r="H138" s="118">
        <f t="shared" ref="H138" si="564">G138-E138</f>
        <v>0</v>
      </c>
      <c r="I138" s="113">
        <v>0.25</v>
      </c>
      <c r="J138" s="114">
        <f t="shared" si="500"/>
        <v>46213</v>
      </c>
      <c r="K138" s="114">
        <f t="shared" ref="K138" si="565">J138</f>
        <v>46213</v>
      </c>
      <c r="L138" s="143">
        <v>46161</v>
      </c>
      <c r="M138" s="114">
        <f t="shared" ref="M138" si="566">J138+42</f>
        <v>46255</v>
      </c>
      <c r="N138" s="114">
        <f t="shared" ref="N138" si="567">M138</f>
        <v>46255</v>
      </c>
      <c r="O138" s="115">
        <v>46252</v>
      </c>
      <c r="P138" s="114">
        <f t="shared" ref="P138" si="568">M138+42</f>
        <v>46297</v>
      </c>
      <c r="Q138" s="114">
        <f t="shared" ref="Q138" si="569">P138</f>
        <v>46297</v>
      </c>
      <c r="R138" s="114"/>
      <c r="S138" s="114">
        <f t="shared" ref="S138" si="570">P138+14</f>
        <v>46311</v>
      </c>
      <c r="T138" s="114">
        <f t="shared" ref="T138" si="571">S138</f>
        <v>46311</v>
      </c>
      <c r="U138" s="114"/>
      <c r="W138" s="169" t="str">
        <f t="shared" ref="W138" ca="1" si="572">IF(OR(L138&lt;&gt;""),"Completed",
IF(K138="","",IF(K138&lt;TODAY(),"Overdue",
IF(AND(K138&gt;=TODAY()-WEEKDAY(TODAY(),2)+1,K138&lt;=TODAY()-WEEKDAY(TODAY(),2)+7),"Follow-This Week",
IF(AND(K138&gt;=TODAY()-WEEKDAY(TODAY(),2)+8,K138&lt;=TODAY()-WEEKDAY(TODAY(),2)+14),"Follow-Next Week","")))))</f>
        <v>Completed</v>
      </c>
      <c r="X138" s="169" t="str">
        <f t="shared" ref="X138" ca="1" si="573">IF(OR(O138&lt;&gt;""),"Completed",IF(N138="","",
IF(N138&lt;TODAY(),"Overdue",
IF(AND(N138&gt;=TODAY()-WEEKDAY(TODAY(),2)+1,N138&lt;=TODAY()-WEEKDAY(TODAY(),2)+7),"Follow-This Week",
IF(AND(N138&gt;=TODAY()-WEEKDAY(TODAY(),2)+8,N138&lt;=TODAY()-WEEKDAY(TODAY(),2)+14),"Follow-Next Week","")))))</f>
        <v>Completed</v>
      </c>
      <c r="Y138" s="169" t="str">
        <f t="shared" ref="Y138" ca="1" si="574">IF(OR(R138&lt;&gt;""),"Completed",IF(Q138="","",
IF(Q138&lt;TODAY(),"Overdue",
IF(AND(Q138&gt;=TODAY()-WEEKDAY(TODAY(),2)+1,Q138&lt;=TODAY()-WEEKDAY(TODAY(),2)+7),"Follow-This Week",
IF(AND(Q138&gt;=TODAY()-WEEKDAY(TODAY(),2)+8,Q138&lt;=TODAY()-WEEKDAY(TODAY(),2)+14),"Follow-Next Week","")))))</f>
        <v/>
      </c>
      <c r="Z138" s="170" t="str">
        <f t="shared" ref="Z138" ca="1" si="575">IF(OR(U138&lt;&gt;""),"Completed",IF(T138="","",
IF(T138&lt;TODAY(),"Overdue",
IF(AND(T138&gt;=TODAY()-WEEKDAY(TODAY(),2)+1,T138&lt;=TODAY()-WEEKDAY(TODAY(),2)+7),"Follow-This Week",
IF(AND(T138&gt;=TODAY()-WEEKDAY(TODAY(),2)+8,T138&lt;=TODAY()-WEEKDAY(TODAY(),2)+14),"Follow-Next Week","")))))</f>
        <v/>
      </c>
    </row>
    <row r="139" spans="1:26" s="70" customFormat="1" ht="11.5" x14ac:dyDescent="0.25">
      <c r="A139" s="111" t="s">
        <v>67</v>
      </c>
      <c r="B139" s="111" t="s">
        <v>34</v>
      </c>
      <c r="C139" s="111" t="s">
        <v>144</v>
      </c>
      <c r="D139" s="111" t="s">
        <v>145</v>
      </c>
      <c r="E139" s="112">
        <f t="shared" si="490"/>
        <v>0.7</v>
      </c>
      <c r="F139" s="112">
        <f t="shared" si="491"/>
        <v>0.7</v>
      </c>
      <c r="G139" s="112">
        <f t="shared" si="491"/>
        <v>0.7</v>
      </c>
      <c r="H139" s="118">
        <f t="shared" si="492"/>
        <v>0</v>
      </c>
      <c r="I139" s="113">
        <v>0.5</v>
      </c>
      <c r="J139" s="114">
        <f t="shared" si="500"/>
        <v>46234</v>
      </c>
      <c r="K139" s="114">
        <f t="shared" si="493"/>
        <v>46234</v>
      </c>
      <c r="L139" s="115">
        <v>46237</v>
      </c>
      <c r="M139" s="114">
        <f t="shared" si="494"/>
        <v>46276</v>
      </c>
      <c r="N139" s="114">
        <f t="shared" si="495"/>
        <v>46276</v>
      </c>
      <c r="O139" s="115">
        <v>46255</v>
      </c>
      <c r="P139" s="114">
        <f t="shared" si="496"/>
        <v>46318</v>
      </c>
      <c r="Q139" s="114">
        <f t="shared" si="497"/>
        <v>46318</v>
      </c>
      <c r="R139" s="114"/>
      <c r="S139" s="114">
        <f t="shared" si="498"/>
        <v>46332</v>
      </c>
      <c r="T139" s="114">
        <f t="shared" si="499"/>
        <v>46332</v>
      </c>
      <c r="U139" s="114"/>
      <c r="W139" s="169" t="str">
        <f t="shared" ca="1" si="436"/>
        <v>Completed</v>
      </c>
      <c r="X139" s="169" t="str">
        <f t="shared" ca="1" si="437"/>
        <v>Completed</v>
      </c>
      <c r="Y139" s="169" t="str">
        <f t="shared" ca="1" si="438"/>
        <v/>
      </c>
      <c r="Z139" s="170" t="str">
        <f t="shared" ca="1" si="439"/>
        <v/>
      </c>
    </row>
    <row r="140" spans="1:26" s="70" customFormat="1" ht="11.5" x14ac:dyDescent="0.25">
      <c r="A140" s="111" t="s">
        <v>67</v>
      </c>
      <c r="B140" s="111" t="s">
        <v>34</v>
      </c>
      <c r="C140" s="111" t="s">
        <v>146</v>
      </c>
      <c r="D140" s="111" t="s">
        <v>147</v>
      </c>
      <c r="E140" s="112">
        <f t="shared" si="490"/>
        <v>0.5</v>
      </c>
      <c r="F140" s="112">
        <f t="shared" si="491"/>
        <v>0.5</v>
      </c>
      <c r="G140" s="112">
        <f t="shared" si="491"/>
        <v>0.7</v>
      </c>
      <c r="H140" s="118">
        <f t="shared" si="492"/>
        <v>0.19999999999999996</v>
      </c>
      <c r="I140" s="119">
        <v>0.5</v>
      </c>
      <c r="J140" s="114">
        <f>J84+28</f>
        <v>46248</v>
      </c>
      <c r="K140" s="114">
        <f t="shared" si="493"/>
        <v>46248</v>
      </c>
      <c r="L140" s="114">
        <v>46227</v>
      </c>
      <c r="M140" s="114">
        <f t="shared" si="494"/>
        <v>46290</v>
      </c>
      <c r="N140" s="114">
        <f t="shared" si="495"/>
        <v>46290</v>
      </c>
      <c r="O140" s="115">
        <v>46248</v>
      </c>
      <c r="P140" s="114">
        <f t="shared" si="496"/>
        <v>46332</v>
      </c>
      <c r="Q140" s="114">
        <f t="shared" si="497"/>
        <v>46332</v>
      </c>
      <c r="R140" s="114"/>
      <c r="S140" s="114">
        <f t="shared" si="498"/>
        <v>46346</v>
      </c>
      <c r="T140" s="114">
        <f t="shared" si="499"/>
        <v>46346</v>
      </c>
      <c r="U140" s="114"/>
      <c r="W140" s="169" t="str">
        <f t="shared" ca="1" si="436"/>
        <v>Completed</v>
      </c>
      <c r="X140" s="169" t="str">
        <f t="shared" ca="1" si="437"/>
        <v>Completed</v>
      </c>
      <c r="Y140" s="169" t="str">
        <f t="shared" ca="1" si="438"/>
        <v/>
      </c>
      <c r="Z140" s="170" t="str">
        <f t="shared" ca="1" si="439"/>
        <v/>
      </c>
    </row>
    <row r="141" spans="1:26" s="70" customFormat="1" ht="11.5" x14ac:dyDescent="0.25">
      <c r="A141" s="111" t="s">
        <v>67</v>
      </c>
      <c r="B141" s="111" t="s">
        <v>34</v>
      </c>
      <c r="C141" s="111" t="s">
        <v>148</v>
      </c>
      <c r="D141" s="111" t="s">
        <v>149</v>
      </c>
      <c r="E141" s="112">
        <f t="shared" si="490"/>
        <v>0.7</v>
      </c>
      <c r="F141" s="112">
        <f t="shared" si="491"/>
        <v>0.7</v>
      </c>
      <c r="G141" s="112">
        <f t="shared" si="491"/>
        <v>0.7</v>
      </c>
      <c r="H141" s="118">
        <f t="shared" si="492"/>
        <v>0</v>
      </c>
      <c r="I141" s="119">
        <v>0.5</v>
      </c>
      <c r="J141" s="114">
        <f>J86+28</f>
        <v>46213</v>
      </c>
      <c r="K141" s="114">
        <f t="shared" si="493"/>
        <v>46213</v>
      </c>
      <c r="L141" s="115">
        <v>46237</v>
      </c>
      <c r="M141" s="114">
        <f t="shared" si="494"/>
        <v>46255</v>
      </c>
      <c r="N141" s="114">
        <f t="shared" si="495"/>
        <v>46255</v>
      </c>
      <c r="O141" s="115">
        <v>46248</v>
      </c>
      <c r="P141" s="114">
        <f t="shared" si="496"/>
        <v>46297</v>
      </c>
      <c r="Q141" s="114">
        <f t="shared" si="497"/>
        <v>46297</v>
      </c>
      <c r="R141" s="114"/>
      <c r="S141" s="114">
        <f t="shared" si="498"/>
        <v>46311</v>
      </c>
      <c r="T141" s="114">
        <f t="shared" si="499"/>
        <v>46311</v>
      </c>
      <c r="U141" s="114"/>
      <c r="W141" s="169" t="str">
        <f t="shared" ca="1" si="436"/>
        <v>Completed</v>
      </c>
      <c r="X141" s="169" t="str">
        <f t="shared" ca="1" si="437"/>
        <v>Completed</v>
      </c>
      <c r="Y141" s="169" t="str">
        <f t="shared" ca="1" si="438"/>
        <v/>
      </c>
      <c r="Z141" s="170" t="str">
        <f t="shared" ca="1" si="439"/>
        <v/>
      </c>
    </row>
    <row r="142" spans="1:26" s="70" customFormat="1" ht="11.5" x14ac:dyDescent="0.25">
      <c r="A142" s="111" t="s">
        <v>67</v>
      </c>
      <c r="B142" s="111" t="s">
        <v>34</v>
      </c>
      <c r="C142" s="111" t="s">
        <v>150</v>
      </c>
      <c r="D142" s="111" t="s">
        <v>151</v>
      </c>
      <c r="E142" s="112">
        <f t="shared" si="490"/>
        <v>0.5</v>
      </c>
      <c r="F142" s="112">
        <f t="shared" si="491"/>
        <v>0.5</v>
      </c>
      <c r="G142" s="112">
        <f t="shared" si="491"/>
        <v>0.7</v>
      </c>
      <c r="H142" s="118">
        <f t="shared" si="492"/>
        <v>0.19999999999999996</v>
      </c>
      <c r="I142" s="119">
        <v>0.75</v>
      </c>
      <c r="J142" s="114">
        <f>J88+28</f>
        <v>46244</v>
      </c>
      <c r="K142" s="114">
        <f t="shared" si="493"/>
        <v>46244</v>
      </c>
      <c r="L142" s="114">
        <v>46226</v>
      </c>
      <c r="M142" s="114">
        <f t="shared" si="494"/>
        <v>46286</v>
      </c>
      <c r="N142" s="114">
        <f t="shared" si="495"/>
        <v>46286</v>
      </c>
      <c r="O142" s="206">
        <v>46283</v>
      </c>
      <c r="P142" s="114">
        <f t="shared" si="496"/>
        <v>46328</v>
      </c>
      <c r="Q142" s="114">
        <f t="shared" si="497"/>
        <v>46328</v>
      </c>
      <c r="R142" s="114"/>
      <c r="S142" s="114">
        <f t="shared" si="498"/>
        <v>46342</v>
      </c>
      <c r="T142" s="114">
        <f t="shared" si="499"/>
        <v>46342</v>
      </c>
      <c r="U142" s="114"/>
      <c r="W142" s="169" t="str">
        <f t="shared" ca="1" si="436"/>
        <v>Completed</v>
      </c>
      <c r="X142" s="169" t="str">
        <f t="shared" ca="1" si="437"/>
        <v>Completed</v>
      </c>
      <c r="Y142" s="169" t="str">
        <f t="shared" ca="1" si="438"/>
        <v/>
      </c>
      <c r="Z142" s="170" t="str">
        <f t="shared" ca="1" si="439"/>
        <v/>
      </c>
    </row>
    <row r="143" spans="1:26" s="70" customFormat="1" ht="11.5" x14ac:dyDescent="0.25">
      <c r="A143" s="111" t="s">
        <v>67</v>
      </c>
      <c r="B143" s="111" t="s">
        <v>34</v>
      </c>
      <c r="C143" s="111" t="s">
        <v>152</v>
      </c>
      <c r="D143" s="111" t="s">
        <v>153</v>
      </c>
      <c r="E143" s="112">
        <f t="shared" si="490"/>
        <v>0.5</v>
      </c>
      <c r="F143" s="112">
        <f t="shared" si="491"/>
        <v>0.5</v>
      </c>
      <c r="G143" s="112">
        <f t="shared" si="491"/>
        <v>0</v>
      </c>
      <c r="H143" s="118">
        <f t="shared" si="492"/>
        <v>-0.5</v>
      </c>
      <c r="I143" s="119">
        <v>0.5</v>
      </c>
      <c r="J143" s="114">
        <f>J89+28</f>
        <v>46262</v>
      </c>
      <c r="K143" s="114">
        <f t="shared" si="493"/>
        <v>46262</v>
      </c>
      <c r="L143" s="114"/>
      <c r="M143" s="114">
        <f t="shared" si="494"/>
        <v>46304</v>
      </c>
      <c r="N143" s="114">
        <f t="shared" si="495"/>
        <v>46304</v>
      </c>
      <c r="O143" s="114"/>
      <c r="P143" s="114">
        <f t="shared" si="496"/>
        <v>46346</v>
      </c>
      <c r="Q143" s="114">
        <f t="shared" si="497"/>
        <v>46346</v>
      </c>
      <c r="R143" s="114"/>
      <c r="S143" s="114">
        <f t="shared" si="498"/>
        <v>46360</v>
      </c>
      <c r="T143" s="114">
        <f t="shared" si="499"/>
        <v>46360</v>
      </c>
      <c r="U143" s="114"/>
      <c r="W143" s="169" t="str">
        <f t="shared" ca="1" si="436"/>
        <v>Overdue</v>
      </c>
      <c r="X143" s="169" t="str">
        <f t="shared" ca="1" si="437"/>
        <v/>
      </c>
      <c r="Y143" s="169" t="str">
        <f t="shared" ca="1" si="438"/>
        <v/>
      </c>
      <c r="Z143" s="170" t="str">
        <f t="shared" ca="1" si="439"/>
        <v/>
      </c>
    </row>
    <row r="144" spans="1:26" s="70" customFormat="1" ht="11.5" x14ac:dyDescent="0.25">
      <c r="A144" s="111" t="s">
        <v>67</v>
      </c>
      <c r="B144" s="111" t="s">
        <v>34</v>
      </c>
      <c r="C144" s="111" t="s">
        <v>154</v>
      </c>
      <c r="D144" s="111" t="s">
        <v>155</v>
      </c>
      <c r="E144" s="112">
        <f t="shared" si="490"/>
        <v>0.7</v>
      </c>
      <c r="F144" s="112">
        <f t="shared" si="491"/>
        <v>0.7</v>
      </c>
      <c r="G144" s="112">
        <f t="shared" si="491"/>
        <v>0.7</v>
      </c>
      <c r="H144" s="118">
        <f t="shared" si="492"/>
        <v>0</v>
      </c>
      <c r="I144" s="119">
        <v>0.5</v>
      </c>
      <c r="J144" s="114">
        <f>J90+28</f>
        <v>46206</v>
      </c>
      <c r="K144" s="114">
        <f t="shared" si="493"/>
        <v>46206</v>
      </c>
      <c r="L144" s="114">
        <v>46255</v>
      </c>
      <c r="M144" s="114">
        <f t="shared" si="494"/>
        <v>46248</v>
      </c>
      <c r="N144" s="114">
        <f t="shared" si="495"/>
        <v>46248</v>
      </c>
      <c r="O144" s="114">
        <v>46269</v>
      </c>
      <c r="P144" s="114">
        <f t="shared" si="496"/>
        <v>46290</v>
      </c>
      <c r="Q144" s="114">
        <f t="shared" si="497"/>
        <v>46290</v>
      </c>
      <c r="R144" s="114"/>
      <c r="S144" s="114">
        <f t="shared" si="498"/>
        <v>46304</v>
      </c>
      <c r="T144" s="114">
        <f t="shared" si="499"/>
        <v>46304</v>
      </c>
      <c r="U144" s="114"/>
      <c r="W144" s="169" t="str">
        <f t="shared" ca="1" si="436"/>
        <v>Completed</v>
      </c>
      <c r="X144" s="169" t="str">
        <f t="shared" ca="1" si="437"/>
        <v>Completed</v>
      </c>
      <c r="Y144" s="169" t="str">
        <f t="shared" ca="1" si="438"/>
        <v>Follow-Next Week</v>
      </c>
      <c r="Z144" s="170" t="str">
        <f t="shared" ca="1" si="439"/>
        <v/>
      </c>
    </row>
    <row r="145" spans="1:26" s="70" customFormat="1" ht="11.5" x14ac:dyDescent="0.25">
      <c r="A145" s="111" t="s">
        <v>67</v>
      </c>
      <c r="B145" s="111" t="s">
        <v>34</v>
      </c>
      <c r="C145" s="111" t="s">
        <v>156</v>
      </c>
      <c r="D145" s="111" t="s">
        <v>157</v>
      </c>
      <c r="E145" s="112">
        <f t="shared" si="490"/>
        <v>0.7</v>
      </c>
      <c r="F145" s="112">
        <f t="shared" si="491"/>
        <v>0.7</v>
      </c>
      <c r="G145" s="112">
        <f t="shared" si="491"/>
        <v>0.7</v>
      </c>
      <c r="H145" s="112">
        <f t="shared" si="492"/>
        <v>0</v>
      </c>
      <c r="I145" s="113">
        <v>0.5</v>
      </c>
      <c r="J145" s="114">
        <f>J92+28</f>
        <v>46213</v>
      </c>
      <c r="K145" s="114">
        <f t="shared" si="493"/>
        <v>46213</v>
      </c>
      <c r="L145" s="115">
        <v>46248</v>
      </c>
      <c r="M145" s="114">
        <f t="shared" si="494"/>
        <v>46255</v>
      </c>
      <c r="N145" s="114">
        <f t="shared" si="495"/>
        <v>46255</v>
      </c>
      <c r="O145" s="114">
        <v>46269</v>
      </c>
      <c r="P145" s="114">
        <f t="shared" si="496"/>
        <v>46297</v>
      </c>
      <c r="Q145" s="114">
        <f t="shared" si="497"/>
        <v>46297</v>
      </c>
      <c r="R145" s="114"/>
      <c r="S145" s="114">
        <f t="shared" si="498"/>
        <v>46311</v>
      </c>
      <c r="T145" s="114">
        <f t="shared" si="499"/>
        <v>46311</v>
      </c>
      <c r="U145" s="114"/>
      <c r="W145" s="169" t="str">
        <f t="shared" ca="1" si="436"/>
        <v>Completed</v>
      </c>
      <c r="X145" s="169" t="str">
        <f t="shared" ca="1" si="437"/>
        <v>Completed</v>
      </c>
      <c r="Y145" s="169" t="str">
        <f t="shared" ca="1" si="438"/>
        <v/>
      </c>
      <c r="Z145" s="170" t="str">
        <f t="shared" ca="1" si="439"/>
        <v/>
      </c>
    </row>
    <row r="146" spans="1:26" s="70" customFormat="1" ht="11.5" x14ac:dyDescent="0.25">
      <c r="A146" s="111" t="s">
        <v>67</v>
      </c>
      <c r="B146" s="111" t="s">
        <v>34</v>
      </c>
      <c r="C146" s="111" t="s">
        <v>158</v>
      </c>
      <c r="D146" s="111" t="s">
        <v>159</v>
      </c>
      <c r="E146" s="112">
        <f t="shared" si="490"/>
        <v>0.5</v>
      </c>
      <c r="F146" s="112">
        <f t="shared" si="491"/>
        <v>0.5</v>
      </c>
      <c r="G146" s="112">
        <f t="shared" si="491"/>
        <v>0.5</v>
      </c>
      <c r="H146" s="112">
        <f t="shared" si="492"/>
        <v>0</v>
      </c>
      <c r="I146" s="113">
        <v>0.8</v>
      </c>
      <c r="J146" s="114">
        <f>J94+28</f>
        <v>46283</v>
      </c>
      <c r="K146" s="114">
        <f t="shared" si="493"/>
        <v>46283</v>
      </c>
      <c r="L146" s="114">
        <v>46262</v>
      </c>
      <c r="M146" s="114">
        <f t="shared" si="494"/>
        <v>46325</v>
      </c>
      <c r="N146" s="114">
        <f t="shared" si="495"/>
        <v>46325</v>
      </c>
      <c r="O146" s="114"/>
      <c r="P146" s="114">
        <f t="shared" si="496"/>
        <v>46367</v>
      </c>
      <c r="Q146" s="114">
        <f t="shared" si="497"/>
        <v>46367</v>
      </c>
      <c r="R146" s="114"/>
      <c r="S146" s="114">
        <f t="shared" si="498"/>
        <v>46381</v>
      </c>
      <c r="T146" s="114">
        <f t="shared" si="499"/>
        <v>46381</v>
      </c>
      <c r="U146" s="114"/>
      <c r="W146" s="169" t="str">
        <f t="shared" ca="1" si="436"/>
        <v>Completed</v>
      </c>
      <c r="X146" s="169" t="str">
        <f t="shared" ca="1" si="437"/>
        <v/>
      </c>
      <c r="Y146" s="169" t="str">
        <f t="shared" ca="1" si="438"/>
        <v/>
      </c>
      <c r="Z146" s="170" t="str">
        <f t="shared" ca="1" si="439"/>
        <v/>
      </c>
    </row>
    <row r="147" spans="1:26" s="70" customFormat="1" ht="11.5" x14ac:dyDescent="0.25">
      <c r="A147" s="111" t="s">
        <v>67</v>
      </c>
      <c r="B147" s="111" t="s">
        <v>34</v>
      </c>
      <c r="C147" s="111" t="s">
        <v>160</v>
      </c>
      <c r="D147" s="111" t="s">
        <v>161</v>
      </c>
      <c r="E147" s="112">
        <f t="shared" si="490"/>
        <v>0</v>
      </c>
      <c r="F147" s="112">
        <f t="shared" si="491"/>
        <v>0</v>
      </c>
      <c r="G147" s="112">
        <f t="shared" si="491"/>
        <v>0.7</v>
      </c>
      <c r="H147" s="112">
        <f t="shared" si="492"/>
        <v>0.7</v>
      </c>
      <c r="I147" s="113">
        <v>0.8</v>
      </c>
      <c r="J147" s="114">
        <f>J96+28</f>
        <v>46297</v>
      </c>
      <c r="K147" s="114">
        <f t="shared" si="493"/>
        <v>46297</v>
      </c>
      <c r="L147" s="114">
        <v>46226</v>
      </c>
      <c r="M147" s="114">
        <f t="shared" si="494"/>
        <v>46339</v>
      </c>
      <c r="N147" s="114">
        <f t="shared" si="495"/>
        <v>46339</v>
      </c>
      <c r="O147" s="115">
        <v>46248</v>
      </c>
      <c r="P147" s="114">
        <f t="shared" si="496"/>
        <v>46381</v>
      </c>
      <c r="Q147" s="114">
        <f t="shared" si="497"/>
        <v>46381</v>
      </c>
      <c r="R147" s="114"/>
      <c r="S147" s="114">
        <f t="shared" si="498"/>
        <v>46395</v>
      </c>
      <c r="T147" s="114">
        <f t="shared" si="499"/>
        <v>46395</v>
      </c>
      <c r="U147" s="114"/>
      <c r="W147" s="169" t="str">
        <f t="shared" ca="1" si="436"/>
        <v>Completed</v>
      </c>
      <c r="X147" s="169" t="str">
        <f t="shared" ca="1" si="437"/>
        <v>Completed</v>
      </c>
      <c r="Y147" s="169" t="str">
        <f t="shared" ca="1" si="438"/>
        <v/>
      </c>
      <c r="Z147" s="170" t="str">
        <f t="shared" ca="1" si="439"/>
        <v/>
      </c>
    </row>
    <row r="148" spans="1:26" s="70" customFormat="1" ht="11.5" x14ac:dyDescent="0.25">
      <c r="A148" s="111" t="s">
        <v>67</v>
      </c>
      <c r="B148" s="111" t="s">
        <v>34</v>
      </c>
      <c r="C148" s="111" t="s">
        <v>162</v>
      </c>
      <c r="D148" s="111" t="s">
        <v>163</v>
      </c>
      <c r="E148" s="112">
        <f t="shared" si="490"/>
        <v>0</v>
      </c>
      <c r="F148" s="112">
        <f t="shared" si="491"/>
        <v>0</v>
      </c>
      <c r="G148" s="112">
        <f t="shared" si="491"/>
        <v>0.5</v>
      </c>
      <c r="H148" s="112">
        <f t="shared" si="492"/>
        <v>0.5</v>
      </c>
      <c r="I148" s="113">
        <v>0.8</v>
      </c>
      <c r="J148" s="114">
        <f>J97+28</f>
        <v>46305</v>
      </c>
      <c r="K148" s="114">
        <f t="shared" si="493"/>
        <v>46305</v>
      </c>
      <c r="L148" s="115">
        <v>46276</v>
      </c>
      <c r="M148" s="114">
        <f t="shared" si="494"/>
        <v>46347</v>
      </c>
      <c r="N148" s="114">
        <f t="shared" si="495"/>
        <v>46347</v>
      </c>
      <c r="O148" s="114"/>
      <c r="P148" s="114">
        <f t="shared" si="496"/>
        <v>46389</v>
      </c>
      <c r="Q148" s="114">
        <f t="shared" si="497"/>
        <v>46389</v>
      </c>
      <c r="R148" s="114"/>
      <c r="S148" s="114">
        <f t="shared" si="498"/>
        <v>46403</v>
      </c>
      <c r="T148" s="114">
        <f t="shared" si="499"/>
        <v>46403</v>
      </c>
      <c r="U148" s="114"/>
      <c r="W148" s="169" t="str">
        <f t="shared" ca="1" si="436"/>
        <v>Completed</v>
      </c>
      <c r="X148" s="169" t="str">
        <f t="shared" ca="1" si="437"/>
        <v/>
      </c>
      <c r="Y148" s="169" t="str">
        <f t="shared" ca="1" si="438"/>
        <v/>
      </c>
      <c r="Z148" s="170" t="str">
        <f t="shared" ca="1" si="439"/>
        <v/>
      </c>
    </row>
    <row r="149" spans="1:26" s="70" customFormat="1" ht="11.5" x14ac:dyDescent="0.25">
      <c r="A149" s="111" t="s">
        <v>67</v>
      </c>
      <c r="B149" s="111" t="s">
        <v>34</v>
      </c>
      <c r="C149" s="111" t="s">
        <v>164</v>
      </c>
      <c r="D149" s="111" t="s">
        <v>127</v>
      </c>
      <c r="E149" s="112">
        <f t="shared" si="490"/>
        <v>0</v>
      </c>
      <c r="F149" s="112">
        <f t="shared" si="491"/>
        <v>0</v>
      </c>
      <c r="G149" s="112">
        <f t="shared" si="491"/>
        <v>0</v>
      </c>
      <c r="H149" s="112">
        <f t="shared" si="492"/>
        <v>0</v>
      </c>
      <c r="I149" s="113">
        <v>0.5</v>
      </c>
      <c r="J149" s="114">
        <f>J98+28</f>
        <v>46358</v>
      </c>
      <c r="K149" s="114">
        <f t="shared" si="493"/>
        <v>46358</v>
      </c>
      <c r="L149" s="115"/>
      <c r="M149" s="114">
        <f t="shared" si="494"/>
        <v>46400</v>
      </c>
      <c r="N149" s="114">
        <f t="shared" si="495"/>
        <v>46400</v>
      </c>
      <c r="O149" s="115"/>
      <c r="P149" s="114">
        <f t="shared" si="496"/>
        <v>46442</v>
      </c>
      <c r="Q149" s="114">
        <f t="shared" si="497"/>
        <v>46442</v>
      </c>
      <c r="R149" s="115"/>
      <c r="S149" s="114">
        <f t="shared" si="498"/>
        <v>46456</v>
      </c>
      <c r="T149" s="114">
        <f t="shared" si="499"/>
        <v>46456</v>
      </c>
      <c r="U149" s="115"/>
      <c r="W149" s="169" t="str">
        <f t="shared" ca="1" si="436"/>
        <v/>
      </c>
      <c r="X149" s="169" t="str">
        <f t="shared" ca="1" si="437"/>
        <v/>
      </c>
      <c r="Y149" s="169" t="str">
        <f t="shared" ca="1" si="438"/>
        <v/>
      </c>
      <c r="Z149" s="170" t="str">
        <f t="shared" ca="1" si="439"/>
        <v/>
      </c>
    </row>
    <row r="150" spans="1:26" s="70" customFormat="1" ht="11.5" x14ac:dyDescent="0.25">
      <c r="A150" s="188" t="s">
        <v>67</v>
      </c>
      <c r="B150" s="188" t="s">
        <v>34</v>
      </c>
      <c r="C150" s="188" t="s">
        <v>165</v>
      </c>
      <c r="D150" s="188" t="s">
        <v>1234</v>
      </c>
      <c r="E150" s="189">
        <f t="shared" si="490"/>
        <v>0.7</v>
      </c>
      <c r="F150" s="189">
        <f t="shared" si="491"/>
        <v>0.7</v>
      </c>
      <c r="G150" s="189">
        <f t="shared" si="491"/>
        <v>1</v>
      </c>
      <c r="H150" s="189">
        <f t="shared" si="492"/>
        <v>0.30000000000000004</v>
      </c>
      <c r="I150" s="190">
        <v>0.25</v>
      </c>
      <c r="J150" s="191">
        <f>J99+28</f>
        <v>46227</v>
      </c>
      <c r="K150" s="191">
        <f t="shared" si="493"/>
        <v>46227</v>
      </c>
      <c r="L150" s="191">
        <v>46269</v>
      </c>
      <c r="M150" s="191">
        <f t="shared" si="494"/>
        <v>46269</v>
      </c>
      <c r="N150" s="191">
        <f t="shared" si="495"/>
        <v>46269</v>
      </c>
      <c r="O150" s="191">
        <v>46283</v>
      </c>
      <c r="P150" s="191">
        <f t="shared" si="496"/>
        <v>46311</v>
      </c>
      <c r="Q150" s="191">
        <f t="shared" si="497"/>
        <v>46311</v>
      </c>
      <c r="R150" s="191">
        <v>46283</v>
      </c>
      <c r="S150" s="191">
        <f t="shared" si="498"/>
        <v>46325</v>
      </c>
      <c r="T150" s="191">
        <f t="shared" si="499"/>
        <v>46325</v>
      </c>
      <c r="U150" s="191">
        <v>46283</v>
      </c>
      <c r="W150" s="169" t="str">
        <f t="shared" ca="1" si="436"/>
        <v>Completed</v>
      </c>
      <c r="X150" s="169" t="str">
        <f t="shared" ca="1" si="437"/>
        <v>Completed</v>
      </c>
      <c r="Y150" s="169" t="str">
        <f t="shared" ca="1" si="438"/>
        <v>Completed</v>
      </c>
      <c r="Z150" s="170" t="str">
        <f t="shared" ca="1" si="439"/>
        <v>Completed</v>
      </c>
    </row>
    <row r="151" spans="1:26" s="70" customFormat="1" ht="11.5" x14ac:dyDescent="0.25">
      <c r="A151" s="111" t="s">
        <v>67</v>
      </c>
      <c r="B151" s="111" t="s">
        <v>34</v>
      </c>
      <c r="C151" s="111" t="s">
        <v>165</v>
      </c>
      <c r="D151" s="111" t="s">
        <v>1233</v>
      </c>
      <c r="E151" s="112">
        <f t="shared" ref="E151" si="576">(COUNTIFS(J151,"&lt;="&amp;$C$1)*50%)+(COUNTIFS(M151,"&lt;="&amp;$C$1)*20%)+(COUNTIFS(P151,"&lt;="&amp;$C$1)*10%)+(COUNTIFS(S151,"&lt;="&amp;$C$1)*20%)</f>
        <v>0.7</v>
      </c>
      <c r="F151" s="112">
        <f t="shared" ref="F151" si="577">(COUNTIFS(K151,"&lt;="&amp;$C$1)*50%)+(COUNTIFS(N151,"&lt;="&amp;$C$1)*20%)+(COUNTIFS(Q151,"&lt;="&amp;$C$1)*10%)+(COUNTIFS(T151,"&lt;="&amp;$C$1)*20%)</f>
        <v>0.7</v>
      </c>
      <c r="G151" s="112">
        <f t="shared" ref="G151" si="578">(COUNTIFS(L151,"&lt;="&amp;$C$1)*50%)+(COUNTIFS(O151,"&lt;="&amp;$C$1)*20%)+(COUNTIFS(R151,"&lt;="&amp;$C$1)*10%)+(COUNTIFS(U151,"&lt;="&amp;$C$1)*20%)</f>
        <v>0.7</v>
      </c>
      <c r="H151" s="112">
        <f t="shared" ref="H151" si="579">G151-E151</f>
        <v>0</v>
      </c>
      <c r="I151" s="113">
        <v>0.25</v>
      </c>
      <c r="J151" s="114">
        <v>46227</v>
      </c>
      <c r="K151" s="114">
        <v>46227</v>
      </c>
      <c r="L151" s="114">
        <v>46269</v>
      </c>
      <c r="M151" s="114">
        <v>46269</v>
      </c>
      <c r="N151" s="114">
        <v>46269</v>
      </c>
      <c r="O151" s="114">
        <v>46283</v>
      </c>
      <c r="P151" s="114">
        <v>46311</v>
      </c>
      <c r="Q151" s="114">
        <v>46311</v>
      </c>
      <c r="R151" s="114"/>
      <c r="S151" s="114">
        <v>46325</v>
      </c>
      <c r="T151" s="114">
        <v>46325</v>
      </c>
      <c r="U151" s="114"/>
      <c r="W151" s="169" t="str">
        <f t="shared" ref="W151" ca="1" si="580">IF(OR(L151&lt;&gt;""),"Completed",
IF(K151="","",IF(K151&lt;TODAY(),"Overdue",
IF(AND(K151&gt;=TODAY()-WEEKDAY(TODAY(),2)+1,K151&lt;=TODAY()-WEEKDAY(TODAY(),2)+7),"Follow-This Week",
IF(AND(K151&gt;=TODAY()-WEEKDAY(TODAY(),2)+8,K151&lt;=TODAY()-WEEKDAY(TODAY(),2)+14),"Follow-Next Week","")))))</f>
        <v>Completed</v>
      </c>
      <c r="X151" s="169" t="str">
        <f t="shared" ref="X151" ca="1" si="581">IF(OR(O151&lt;&gt;""),"Completed",IF(N151="","",
IF(N151&lt;TODAY(),"Overdue",
IF(AND(N151&gt;=TODAY()-WEEKDAY(TODAY(),2)+1,N151&lt;=TODAY()-WEEKDAY(TODAY(),2)+7),"Follow-This Week",
IF(AND(N151&gt;=TODAY()-WEEKDAY(TODAY(),2)+8,N151&lt;=TODAY()-WEEKDAY(TODAY(),2)+14),"Follow-Next Week","")))))</f>
        <v>Completed</v>
      </c>
      <c r="Y151" s="169" t="str">
        <f t="shared" ref="Y151" ca="1" si="582">IF(OR(R151&lt;&gt;""),"Completed",IF(Q151="","",
IF(Q151&lt;TODAY(),"Overdue",
IF(AND(Q151&gt;=TODAY()-WEEKDAY(TODAY(),2)+1,Q151&lt;=TODAY()-WEEKDAY(TODAY(),2)+7),"Follow-This Week",
IF(AND(Q151&gt;=TODAY()-WEEKDAY(TODAY(),2)+8,Q151&lt;=TODAY()-WEEKDAY(TODAY(),2)+14),"Follow-Next Week","")))))</f>
        <v/>
      </c>
      <c r="Z151" s="170" t="str">
        <f t="shared" ref="Z151" ca="1" si="583">IF(OR(U151&lt;&gt;""),"Completed",IF(T151="","",
IF(T151&lt;TODAY(),"Overdue",
IF(AND(T151&gt;=TODAY()-WEEKDAY(TODAY(),2)+1,T151&lt;=TODAY()-WEEKDAY(TODAY(),2)+7),"Follow-This Week",
IF(AND(T151&gt;=TODAY()-WEEKDAY(TODAY(),2)+8,T151&lt;=TODAY()-WEEKDAY(TODAY(),2)+14),"Follow-Next Week","")))))</f>
        <v/>
      </c>
    </row>
    <row r="152" spans="1:26" s="70" customFormat="1" ht="11.5" x14ac:dyDescent="0.25">
      <c r="A152" s="111" t="s">
        <v>67</v>
      </c>
      <c r="B152" s="111" t="s">
        <v>34</v>
      </c>
      <c r="C152" s="111" t="s">
        <v>166</v>
      </c>
      <c r="D152" s="111" t="s">
        <v>167</v>
      </c>
      <c r="E152" s="112">
        <f t="shared" si="490"/>
        <v>0.5</v>
      </c>
      <c r="F152" s="112">
        <f t="shared" si="491"/>
        <v>0.5</v>
      </c>
      <c r="G152" s="112">
        <f t="shared" si="491"/>
        <v>0.7</v>
      </c>
      <c r="H152" s="112">
        <f t="shared" si="492"/>
        <v>0.19999999999999996</v>
      </c>
      <c r="I152" s="113">
        <v>0.5</v>
      </c>
      <c r="J152" s="114">
        <f>J100+28</f>
        <v>46283</v>
      </c>
      <c r="K152" s="114">
        <f t="shared" si="493"/>
        <v>46283</v>
      </c>
      <c r="L152" s="143">
        <v>46161</v>
      </c>
      <c r="M152" s="114">
        <f t="shared" si="494"/>
        <v>46325</v>
      </c>
      <c r="N152" s="114">
        <f t="shared" si="495"/>
        <v>46325</v>
      </c>
      <c r="O152" s="114">
        <v>46262</v>
      </c>
      <c r="P152" s="114">
        <f t="shared" si="496"/>
        <v>46367</v>
      </c>
      <c r="Q152" s="114">
        <f t="shared" si="497"/>
        <v>46367</v>
      </c>
      <c r="R152" s="114"/>
      <c r="S152" s="114">
        <f t="shared" si="498"/>
        <v>46381</v>
      </c>
      <c r="T152" s="114">
        <f t="shared" si="499"/>
        <v>46381</v>
      </c>
      <c r="U152" s="114"/>
      <c r="W152" s="169" t="str">
        <f t="shared" ca="1" si="436"/>
        <v>Completed</v>
      </c>
      <c r="X152" s="169" t="str">
        <f t="shared" ca="1" si="437"/>
        <v>Completed</v>
      </c>
      <c r="Y152" s="169" t="str">
        <f t="shared" ca="1" si="438"/>
        <v/>
      </c>
      <c r="Z152" s="170" t="str">
        <f t="shared" ca="1" si="439"/>
        <v/>
      </c>
    </row>
    <row r="153" spans="1:26" s="70" customFormat="1" ht="11.5" x14ac:dyDescent="0.25">
      <c r="A153" s="111" t="s">
        <v>67</v>
      </c>
      <c r="B153" s="111" t="s">
        <v>34</v>
      </c>
      <c r="C153" s="111" t="s">
        <v>815</v>
      </c>
      <c r="D153" s="111" t="s">
        <v>168</v>
      </c>
      <c r="E153" s="112">
        <f t="shared" si="490"/>
        <v>0.7</v>
      </c>
      <c r="F153" s="112">
        <f t="shared" si="491"/>
        <v>0.7</v>
      </c>
      <c r="G153" s="112">
        <f t="shared" si="491"/>
        <v>0.7</v>
      </c>
      <c r="H153" s="112">
        <f t="shared" si="492"/>
        <v>0</v>
      </c>
      <c r="I153" s="113">
        <v>0.55000000000000004</v>
      </c>
      <c r="J153" s="114">
        <f>J101+28</f>
        <v>46220</v>
      </c>
      <c r="K153" s="114">
        <f t="shared" si="493"/>
        <v>46220</v>
      </c>
      <c r="L153" s="114">
        <v>46255</v>
      </c>
      <c r="M153" s="114">
        <f t="shared" si="494"/>
        <v>46262</v>
      </c>
      <c r="N153" s="114">
        <f t="shared" si="495"/>
        <v>46262</v>
      </c>
      <c r="O153" s="115">
        <v>46276</v>
      </c>
      <c r="P153" s="114">
        <f t="shared" si="496"/>
        <v>46304</v>
      </c>
      <c r="Q153" s="114">
        <f t="shared" si="497"/>
        <v>46304</v>
      </c>
      <c r="R153" s="115"/>
      <c r="S153" s="114">
        <f t="shared" si="498"/>
        <v>46318</v>
      </c>
      <c r="T153" s="114">
        <f t="shared" si="499"/>
        <v>46318</v>
      </c>
      <c r="U153" s="115"/>
      <c r="W153" s="169" t="str">
        <f t="shared" ca="1" si="436"/>
        <v>Completed</v>
      </c>
      <c r="X153" s="169" t="str">
        <f t="shared" ca="1" si="437"/>
        <v>Completed</v>
      </c>
      <c r="Y153" s="169" t="str">
        <f t="shared" ca="1" si="438"/>
        <v/>
      </c>
      <c r="Z153" s="170" t="str">
        <f t="shared" ca="1" si="439"/>
        <v/>
      </c>
    </row>
    <row r="154" spans="1:26" s="70" customFormat="1" ht="11.5" x14ac:dyDescent="0.25">
      <c r="A154" s="111" t="s">
        <v>67</v>
      </c>
      <c r="B154" s="111" t="s">
        <v>34</v>
      </c>
      <c r="C154" s="111" t="s">
        <v>816</v>
      </c>
      <c r="D154" s="111" t="s">
        <v>169</v>
      </c>
      <c r="E154" s="112">
        <f t="shared" si="490"/>
        <v>0.7</v>
      </c>
      <c r="F154" s="112">
        <f t="shared" si="491"/>
        <v>0.7</v>
      </c>
      <c r="G154" s="112">
        <f t="shared" si="491"/>
        <v>0.7</v>
      </c>
      <c r="H154" s="112">
        <f t="shared" si="492"/>
        <v>0</v>
      </c>
      <c r="I154" s="113">
        <v>0.55000000000000004</v>
      </c>
      <c r="J154" s="114">
        <f>J103+28</f>
        <v>46227</v>
      </c>
      <c r="K154" s="114">
        <f t="shared" si="493"/>
        <v>46227</v>
      </c>
      <c r="L154" s="114">
        <v>46175</v>
      </c>
      <c r="M154" s="114">
        <f t="shared" si="494"/>
        <v>46269</v>
      </c>
      <c r="N154" s="114">
        <f t="shared" si="495"/>
        <v>46269</v>
      </c>
      <c r="O154" s="114">
        <v>46255</v>
      </c>
      <c r="P154" s="114">
        <f t="shared" si="496"/>
        <v>46311</v>
      </c>
      <c r="Q154" s="114">
        <f t="shared" si="497"/>
        <v>46311</v>
      </c>
      <c r="R154" s="114"/>
      <c r="S154" s="114">
        <f t="shared" si="498"/>
        <v>46325</v>
      </c>
      <c r="T154" s="114">
        <f t="shared" si="499"/>
        <v>46325</v>
      </c>
      <c r="U154" s="114"/>
      <c r="W154" s="169" t="str">
        <f t="shared" ca="1" si="436"/>
        <v>Completed</v>
      </c>
      <c r="X154" s="169" t="str">
        <f t="shared" ca="1" si="437"/>
        <v>Completed</v>
      </c>
      <c r="Y154" s="169" t="str">
        <f t="shared" ca="1" si="438"/>
        <v/>
      </c>
      <c r="Z154" s="170" t="str">
        <f t="shared" ca="1" si="439"/>
        <v/>
      </c>
    </row>
    <row r="155" spans="1:26" s="70" customFormat="1" ht="11.5" x14ac:dyDescent="0.25">
      <c r="A155" s="111" t="s">
        <v>67</v>
      </c>
      <c r="B155" s="111" t="s">
        <v>34</v>
      </c>
      <c r="C155" s="111" t="s">
        <v>817</v>
      </c>
      <c r="D155" s="111" t="s">
        <v>170</v>
      </c>
      <c r="E155" s="112">
        <f t="shared" si="490"/>
        <v>0.5</v>
      </c>
      <c r="F155" s="112">
        <f t="shared" si="491"/>
        <v>0.5</v>
      </c>
      <c r="G155" s="112">
        <f t="shared" si="491"/>
        <v>0.7</v>
      </c>
      <c r="H155" s="112">
        <f t="shared" si="492"/>
        <v>0.19999999999999996</v>
      </c>
      <c r="I155" s="113">
        <v>0.75</v>
      </c>
      <c r="J155" s="114">
        <f>J104+28</f>
        <v>46248</v>
      </c>
      <c r="K155" s="114">
        <f t="shared" si="493"/>
        <v>46248</v>
      </c>
      <c r="L155" s="115">
        <v>46248</v>
      </c>
      <c r="M155" s="114">
        <f t="shared" si="494"/>
        <v>46290</v>
      </c>
      <c r="N155" s="114">
        <f t="shared" si="495"/>
        <v>46290</v>
      </c>
      <c r="O155" s="115">
        <v>46252</v>
      </c>
      <c r="P155" s="114">
        <f t="shared" si="496"/>
        <v>46332</v>
      </c>
      <c r="Q155" s="114">
        <f t="shared" si="497"/>
        <v>46332</v>
      </c>
      <c r="R155" s="114"/>
      <c r="S155" s="114">
        <f t="shared" si="498"/>
        <v>46346</v>
      </c>
      <c r="T155" s="114">
        <f t="shared" si="499"/>
        <v>46346</v>
      </c>
      <c r="U155" s="114"/>
      <c r="W155" s="169" t="str">
        <f t="shared" ca="1" si="436"/>
        <v>Completed</v>
      </c>
      <c r="X155" s="169" t="str">
        <f t="shared" ca="1" si="437"/>
        <v>Completed</v>
      </c>
      <c r="Y155" s="169" t="str">
        <f t="shared" ca="1" si="438"/>
        <v/>
      </c>
      <c r="Z155" s="170" t="str">
        <f t="shared" ca="1" si="439"/>
        <v/>
      </c>
    </row>
    <row r="156" spans="1:26" s="70" customFormat="1" ht="11.5" x14ac:dyDescent="0.25">
      <c r="A156" s="111" t="s">
        <v>67</v>
      </c>
      <c r="B156" s="111" t="s">
        <v>34</v>
      </c>
      <c r="C156" s="111" t="s">
        <v>171</v>
      </c>
      <c r="D156" s="111" t="s">
        <v>172</v>
      </c>
      <c r="E156" s="112">
        <f t="shared" si="490"/>
        <v>1</v>
      </c>
      <c r="F156" s="112">
        <f t="shared" si="491"/>
        <v>1</v>
      </c>
      <c r="G156" s="112">
        <f t="shared" si="491"/>
        <v>0.79999999999999993</v>
      </c>
      <c r="H156" s="112">
        <f t="shared" si="492"/>
        <v>-0.20000000000000007</v>
      </c>
      <c r="I156" s="113">
        <v>1</v>
      </c>
      <c r="J156" s="114">
        <f>J106+28</f>
        <v>46171</v>
      </c>
      <c r="K156" s="114">
        <f t="shared" si="493"/>
        <v>46171</v>
      </c>
      <c r="L156" s="114">
        <v>46130</v>
      </c>
      <c r="M156" s="114">
        <f t="shared" si="494"/>
        <v>46213</v>
      </c>
      <c r="N156" s="114">
        <f t="shared" si="495"/>
        <v>46213</v>
      </c>
      <c r="O156" s="114">
        <v>46230</v>
      </c>
      <c r="P156" s="114">
        <f t="shared" si="496"/>
        <v>46255</v>
      </c>
      <c r="Q156" s="114">
        <f t="shared" si="497"/>
        <v>46255</v>
      </c>
      <c r="R156" s="161">
        <v>46283</v>
      </c>
      <c r="S156" s="114">
        <f t="shared" si="498"/>
        <v>46269</v>
      </c>
      <c r="T156" s="114">
        <f t="shared" si="499"/>
        <v>46269</v>
      </c>
      <c r="U156" s="114"/>
      <c r="W156" s="169" t="str">
        <f t="shared" ca="1" si="436"/>
        <v>Completed</v>
      </c>
      <c r="X156" s="169" t="str">
        <f t="shared" ca="1" si="437"/>
        <v>Completed</v>
      </c>
      <c r="Y156" s="169" t="str">
        <f t="shared" ca="1" si="438"/>
        <v>Completed</v>
      </c>
      <c r="Z156" s="170" t="str">
        <f t="shared" ca="1" si="439"/>
        <v>Overdue</v>
      </c>
    </row>
    <row r="157" spans="1:26" s="70" customFormat="1" ht="11.5" x14ac:dyDescent="0.25">
      <c r="A157" s="111" t="s">
        <v>67</v>
      </c>
      <c r="B157" s="111" t="s">
        <v>34</v>
      </c>
      <c r="C157" s="111" t="s">
        <v>173</v>
      </c>
      <c r="D157" s="111" t="s">
        <v>174</v>
      </c>
      <c r="E157" s="112">
        <f t="shared" si="490"/>
        <v>0.7</v>
      </c>
      <c r="F157" s="112">
        <f t="shared" si="491"/>
        <v>0.7</v>
      </c>
      <c r="G157" s="112">
        <f t="shared" si="491"/>
        <v>0.7</v>
      </c>
      <c r="H157" s="112">
        <f t="shared" si="492"/>
        <v>0</v>
      </c>
      <c r="I157" s="113">
        <v>0.5</v>
      </c>
      <c r="J157" s="114">
        <f>J107+28</f>
        <v>46234</v>
      </c>
      <c r="K157" s="114">
        <f t="shared" si="493"/>
        <v>46234</v>
      </c>
      <c r="L157" s="114">
        <v>46230</v>
      </c>
      <c r="M157" s="114">
        <f t="shared" si="494"/>
        <v>46276</v>
      </c>
      <c r="N157" s="114">
        <f t="shared" si="495"/>
        <v>46276</v>
      </c>
      <c r="O157" s="115">
        <v>46248</v>
      </c>
      <c r="P157" s="114">
        <f t="shared" si="496"/>
        <v>46318</v>
      </c>
      <c r="Q157" s="114">
        <f t="shared" si="497"/>
        <v>46318</v>
      </c>
      <c r="R157" s="114"/>
      <c r="S157" s="114">
        <f t="shared" si="498"/>
        <v>46332</v>
      </c>
      <c r="T157" s="114">
        <f t="shared" si="499"/>
        <v>46332</v>
      </c>
      <c r="U157" s="114"/>
      <c r="W157" s="169" t="str">
        <f t="shared" ca="1" si="436"/>
        <v>Completed</v>
      </c>
      <c r="X157" s="169" t="str">
        <f t="shared" ca="1" si="437"/>
        <v>Completed</v>
      </c>
      <c r="Y157" s="169" t="str">
        <f t="shared" ca="1" si="438"/>
        <v/>
      </c>
      <c r="Z157" s="170" t="str">
        <f t="shared" ca="1" si="439"/>
        <v/>
      </c>
    </row>
    <row r="158" spans="1:26" s="70" customFormat="1" ht="11.5" x14ac:dyDescent="0.25">
      <c r="A158" s="111" t="s">
        <v>67</v>
      </c>
      <c r="B158" s="111" t="s">
        <v>34</v>
      </c>
      <c r="C158" s="111" t="s">
        <v>175</v>
      </c>
      <c r="D158" s="111" t="s">
        <v>176</v>
      </c>
      <c r="E158" s="112">
        <f t="shared" si="490"/>
        <v>0.7</v>
      </c>
      <c r="F158" s="112">
        <f t="shared" si="491"/>
        <v>0.7</v>
      </c>
      <c r="G158" s="112">
        <f t="shared" si="491"/>
        <v>0.7</v>
      </c>
      <c r="H158" s="112">
        <f t="shared" si="492"/>
        <v>0</v>
      </c>
      <c r="I158" s="113">
        <v>0.5</v>
      </c>
      <c r="J158" s="114">
        <f>J108+28</f>
        <v>46241</v>
      </c>
      <c r="K158" s="114">
        <f t="shared" si="493"/>
        <v>46241</v>
      </c>
      <c r="L158" s="114">
        <v>46230</v>
      </c>
      <c r="M158" s="114">
        <f t="shared" si="494"/>
        <v>46283</v>
      </c>
      <c r="N158" s="114">
        <f t="shared" si="495"/>
        <v>46283</v>
      </c>
      <c r="O158" s="115">
        <v>46248</v>
      </c>
      <c r="P158" s="114">
        <f t="shared" si="496"/>
        <v>46325</v>
      </c>
      <c r="Q158" s="114">
        <f t="shared" si="497"/>
        <v>46325</v>
      </c>
      <c r="R158" s="114"/>
      <c r="S158" s="114">
        <f t="shared" si="498"/>
        <v>46339</v>
      </c>
      <c r="T158" s="114">
        <f t="shared" si="499"/>
        <v>46339</v>
      </c>
      <c r="U158" s="114"/>
      <c r="W158" s="169" t="str">
        <f t="shared" ca="1" si="436"/>
        <v>Completed</v>
      </c>
      <c r="X158" s="169" t="str">
        <f t="shared" ca="1" si="437"/>
        <v>Completed</v>
      </c>
      <c r="Y158" s="169" t="str">
        <f t="shared" ca="1" si="438"/>
        <v/>
      </c>
      <c r="Z158" s="170" t="str">
        <f t="shared" ca="1" si="439"/>
        <v/>
      </c>
    </row>
    <row r="159" spans="1:26" s="70" customFormat="1" ht="11.5" x14ac:dyDescent="0.25">
      <c r="A159" s="188" t="s">
        <v>67</v>
      </c>
      <c r="B159" s="188" t="s">
        <v>34</v>
      </c>
      <c r="C159" s="188" t="s">
        <v>806</v>
      </c>
      <c r="D159" s="188" t="s">
        <v>1170</v>
      </c>
      <c r="E159" s="112">
        <f t="shared" ref="E159:E162" si="584">(COUNTIFS(J159,"&lt;="&amp;$C$1)*50%)+(COUNTIFS(M159,"&lt;="&amp;$C$1)*20%)+(COUNTIFS(P159,"&lt;="&amp;$C$1)*10%)+(COUNTIFS(S159,"&lt;="&amp;$C$1)*20%)</f>
        <v>1</v>
      </c>
      <c r="F159" s="112">
        <f t="shared" ref="F159:F162" si="585">(COUNTIFS(K159,"&lt;="&amp;$C$1)*50%)+(COUNTIFS(N159,"&lt;="&amp;$C$1)*20%)+(COUNTIFS(Q159,"&lt;="&amp;$C$1)*10%)+(COUNTIFS(T159,"&lt;="&amp;$C$1)*20%)</f>
        <v>1</v>
      </c>
      <c r="G159" s="112">
        <f t="shared" ref="G159:G162" si="586">(COUNTIFS(L159,"&lt;="&amp;$C$1)*50%)+(COUNTIFS(O159,"&lt;="&amp;$C$1)*20%)+(COUNTIFS(R159,"&lt;="&amp;$C$1)*10%)+(COUNTIFS(U159,"&lt;="&amp;$C$1)*20%)</f>
        <v>1</v>
      </c>
      <c r="H159" s="112">
        <f t="shared" ref="H159:H162" si="587">G159-E159</f>
        <v>0</v>
      </c>
      <c r="I159" s="190">
        <v>0.4</v>
      </c>
      <c r="J159" s="191">
        <v>46122</v>
      </c>
      <c r="K159" s="191">
        <f t="shared" ref="K159:K161" si="588">J159</f>
        <v>46122</v>
      </c>
      <c r="L159" s="191">
        <v>46115</v>
      </c>
      <c r="M159" s="191">
        <f t="shared" ref="M159:M161" si="589">J159+42</f>
        <v>46164</v>
      </c>
      <c r="N159" s="191">
        <f t="shared" ref="N159:N161" si="590">M159</f>
        <v>46164</v>
      </c>
      <c r="O159" s="191">
        <v>46191</v>
      </c>
      <c r="P159" s="191">
        <f t="shared" ref="P159:P161" si="591">M159+42</f>
        <v>46206</v>
      </c>
      <c r="Q159" s="191">
        <f t="shared" ref="Q159:Q161" si="592">P159</f>
        <v>46206</v>
      </c>
      <c r="R159" s="191">
        <v>46276</v>
      </c>
      <c r="S159" s="191">
        <f t="shared" ref="S159:S161" si="593">P159+14</f>
        <v>46220</v>
      </c>
      <c r="T159" s="191">
        <f t="shared" ref="T159:T161" si="594">S159</f>
        <v>46220</v>
      </c>
      <c r="U159" s="191">
        <v>46276</v>
      </c>
      <c r="W159" s="169" t="str">
        <f t="shared" ca="1" si="436"/>
        <v>Completed</v>
      </c>
      <c r="X159" s="169" t="str">
        <f t="shared" ca="1" si="437"/>
        <v>Completed</v>
      </c>
      <c r="Y159" s="169" t="str">
        <f t="shared" ca="1" si="438"/>
        <v>Completed</v>
      </c>
      <c r="Z159" s="170" t="str">
        <f t="shared" ca="1" si="439"/>
        <v>Completed</v>
      </c>
    </row>
    <row r="160" spans="1:26" s="70" customFormat="1" ht="11.5" x14ac:dyDescent="0.25">
      <c r="A160" s="188" t="s">
        <v>67</v>
      </c>
      <c r="B160" s="188" t="s">
        <v>34</v>
      </c>
      <c r="C160" s="188" t="s">
        <v>807</v>
      </c>
      <c r="D160" s="188" t="s">
        <v>1171</v>
      </c>
      <c r="E160" s="112">
        <f t="shared" si="584"/>
        <v>1</v>
      </c>
      <c r="F160" s="112">
        <f t="shared" si="585"/>
        <v>1</v>
      </c>
      <c r="G160" s="112">
        <f t="shared" si="586"/>
        <v>1</v>
      </c>
      <c r="H160" s="112">
        <f t="shared" si="587"/>
        <v>0</v>
      </c>
      <c r="I160" s="190">
        <v>0.4</v>
      </c>
      <c r="J160" s="191">
        <v>46129</v>
      </c>
      <c r="K160" s="191">
        <f t="shared" si="588"/>
        <v>46129</v>
      </c>
      <c r="L160" s="191">
        <v>46142</v>
      </c>
      <c r="M160" s="191">
        <f t="shared" si="589"/>
        <v>46171</v>
      </c>
      <c r="N160" s="191">
        <f t="shared" si="590"/>
        <v>46171</v>
      </c>
      <c r="O160" s="191">
        <v>46191</v>
      </c>
      <c r="P160" s="191">
        <f t="shared" si="591"/>
        <v>46213</v>
      </c>
      <c r="Q160" s="191">
        <f t="shared" si="592"/>
        <v>46213</v>
      </c>
      <c r="R160" s="191">
        <v>46276</v>
      </c>
      <c r="S160" s="191">
        <f t="shared" si="593"/>
        <v>46227</v>
      </c>
      <c r="T160" s="191">
        <f t="shared" si="594"/>
        <v>46227</v>
      </c>
      <c r="U160" s="191">
        <v>46276</v>
      </c>
      <c r="W160" s="169" t="str">
        <f t="shared" ca="1" si="436"/>
        <v>Completed</v>
      </c>
      <c r="X160" s="169" t="str">
        <f t="shared" ca="1" si="437"/>
        <v>Completed</v>
      </c>
      <c r="Y160" s="169" t="str">
        <f t="shared" ca="1" si="438"/>
        <v>Completed</v>
      </c>
      <c r="Z160" s="170" t="str">
        <f t="shared" ca="1" si="439"/>
        <v>Completed</v>
      </c>
    </row>
    <row r="161" spans="1:26" s="70" customFormat="1" ht="11.5" x14ac:dyDescent="0.25">
      <c r="A161" s="188" t="s">
        <v>67</v>
      </c>
      <c r="B161" s="188" t="s">
        <v>34</v>
      </c>
      <c r="C161" s="188" t="s">
        <v>808</v>
      </c>
      <c r="D161" s="188" t="s">
        <v>1172</v>
      </c>
      <c r="E161" s="112">
        <f t="shared" si="584"/>
        <v>1</v>
      </c>
      <c r="F161" s="112">
        <f t="shared" si="585"/>
        <v>1</v>
      </c>
      <c r="G161" s="112">
        <f t="shared" si="586"/>
        <v>1</v>
      </c>
      <c r="H161" s="112">
        <f t="shared" si="587"/>
        <v>0</v>
      </c>
      <c r="I161" s="190">
        <v>0.2</v>
      </c>
      <c r="J161" s="191">
        <v>46142</v>
      </c>
      <c r="K161" s="191">
        <f t="shared" si="588"/>
        <v>46142</v>
      </c>
      <c r="L161" s="191">
        <v>46248</v>
      </c>
      <c r="M161" s="191">
        <f t="shared" si="589"/>
        <v>46184</v>
      </c>
      <c r="N161" s="191">
        <f t="shared" si="590"/>
        <v>46184</v>
      </c>
      <c r="O161" s="191">
        <v>46248</v>
      </c>
      <c r="P161" s="191">
        <f t="shared" si="591"/>
        <v>46226</v>
      </c>
      <c r="Q161" s="191">
        <f t="shared" si="592"/>
        <v>46226</v>
      </c>
      <c r="R161" s="191">
        <v>46248</v>
      </c>
      <c r="S161" s="191">
        <f t="shared" si="593"/>
        <v>46240</v>
      </c>
      <c r="T161" s="191">
        <f t="shared" si="594"/>
        <v>46240</v>
      </c>
      <c r="U161" s="191">
        <v>46248</v>
      </c>
      <c r="W161" s="169" t="str">
        <f t="shared" ca="1" si="436"/>
        <v>Completed</v>
      </c>
      <c r="X161" s="169" t="str">
        <f t="shared" ca="1" si="437"/>
        <v>Completed</v>
      </c>
      <c r="Y161" s="169" t="str">
        <f t="shared" ca="1" si="438"/>
        <v>Completed</v>
      </c>
      <c r="Z161" s="170" t="str">
        <f t="shared" ca="1" si="439"/>
        <v>Completed</v>
      </c>
    </row>
    <row r="162" spans="1:26" s="70" customFormat="1" ht="11.5" x14ac:dyDescent="0.25">
      <c r="A162" s="188" t="s">
        <v>67</v>
      </c>
      <c r="B162" s="188" t="s">
        <v>34</v>
      </c>
      <c r="C162" s="188" t="s">
        <v>808</v>
      </c>
      <c r="D162" s="188" t="s">
        <v>1173</v>
      </c>
      <c r="E162" s="112">
        <f t="shared" si="584"/>
        <v>1</v>
      </c>
      <c r="F162" s="112">
        <f t="shared" si="585"/>
        <v>1</v>
      </c>
      <c r="G162" s="112">
        <f t="shared" si="586"/>
        <v>1</v>
      </c>
      <c r="H162" s="112">
        <f t="shared" si="587"/>
        <v>0</v>
      </c>
      <c r="I162" s="190"/>
      <c r="J162" s="191">
        <v>46142</v>
      </c>
      <c r="K162" s="191">
        <f t="shared" ref="K162" si="595">J162</f>
        <v>46142</v>
      </c>
      <c r="L162" s="191">
        <v>46276</v>
      </c>
      <c r="M162" s="191">
        <f t="shared" ref="M162" si="596">J162+42</f>
        <v>46184</v>
      </c>
      <c r="N162" s="191">
        <f t="shared" ref="N162" si="597">M162</f>
        <v>46184</v>
      </c>
      <c r="O162" s="191">
        <v>46276</v>
      </c>
      <c r="P162" s="191">
        <f t="shared" ref="P162" si="598">M162+42</f>
        <v>46226</v>
      </c>
      <c r="Q162" s="191">
        <f t="shared" ref="Q162" si="599">P162</f>
        <v>46226</v>
      </c>
      <c r="R162" s="191">
        <v>46276</v>
      </c>
      <c r="S162" s="191">
        <f t="shared" ref="S162" si="600">P162+14</f>
        <v>46240</v>
      </c>
      <c r="T162" s="191">
        <f t="shared" ref="T162" si="601">S162</f>
        <v>46240</v>
      </c>
      <c r="U162" s="191">
        <v>46276</v>
      </c>
      <c r="W162" s="169" t="str">
        <f t="shared" ref="W162" ca="1" si="602">IF(OR(L162&lt;&gt;""),"Completed",
IF(K162="","",IF(K162&lt;TODAY(),"Overdue",
IF(AND(K162&gt;=TODAY()-WEEKDAY(TODAY(),2)+1,K162&lt;=TODAY()-WEEKDAY(TODAY(),2)+7),"Follow-This Week",
IF(AND(K162&gt;=TODAY()-WEEKDAY(TODAY(),2)+8,K162&lt;=TODAY()-WEEKDAY(TODAY(),2)+14),"Follow-Next Week","")))))</f>
        <v>Completed</v>
      </c>
      <c r="X162" s="169" t="str">
        <f t="shared" ref="X162" ca="1" si="603">IF(OR(O162&lt;&gt;""),"Completed",IF(N162="","",
IF(N162&lt;TODAY(),"Overdue",
IF(AND(N162&gt;=TODAY()-WEEKDAY(TODAY(),2)+1,N162&lt;=TODAY()-WEEKDAY(TODAY(),2)+7),"Follow-This Week",
IF(AND(N162&gt;=TODAY()-WEEKDAY(TODAY(),2)+8,N162&lt;=TODAY()-WEEKDAY(TODAY(),2)+14),"Follow-Next Week","")))))</f>
        <v>Completed</v>
      </c>
      <c r="Y162" s="169" t="str">
        <f t="shared" ref="Y162" ca="1" si="604">IF(OR(R162&lt;&gt;""),"Completed",IF(Q162="","",
IF(Q162&lt;TODAY(),"Overdue",
IF(AND(Q162&gt;=TODAY()-WEEKDAY(TODAY(),2)+1,Q162&lt;=TODAY()-WEEKDAY(TODAY(),2)+7),"Follow-This Week",
IF(AND(Q162&gt;=TODAY()-WEEKDAY(TODAY(),2)+8,Q162&lt;=TODAY()-WEEKDAY(TODAY(),2)+14),"Follow-Next Week","")))))</f>
        <v>Completed</v>
      </c>
      <c r="Z162" s="170" t="str">
        <f t="shared" ref="Z162" ca="1" si="605">IF(OR(U162&lt;&gt;""),"Completed",IF(T162="","",
IF(T162&lt;TODAY(),"Overdue",
IF(AND(T162&gt;=TODAY()-WEEKDAY(TODAY(),2)+1,T162&lt;=TODAY()-WEEKDAY(TODAY(),2)+7),"Follow-This Week",
IF(AND(T162&gt;=TODAY()-WEEKDAY(TODAY(),2)+8,T162&lt;=TODAY()-WEEKDAY(TODAY(),2)+14),"Follow-Next Week","")))))</f>
        <v>Completed</v>
      </c>
    </row>
    <row r="163" spans="1:26" s="70" customFormat="1" ht="11.5" x14ac:dyDescent="0.25">
      <c r="A163" s="111" t="s">
        <v>67</v>
      </c>
      <c r="B163" s="111" t="s">
        <v>34</v>
      </c>
      <c r="C163" s="138" t="s">
        <v>861</v>
      </c>
      <c r="D163" s="111" t="s">
        <v>863</v>
      </c>
      <c r="E163" s="112">
        <v>0</v>
      </c>
      <c r="F163" s="112">
        <v>0</v>
      </c>
      <c r="G163" s="112">
        <v>0.5</v>
      </c>
      <c r="H163" s="112">
        <v>0.5</v>
      </c>
      <c r="I163" s="113">
        <v>0.2</v>
      </c>
      <c r="J163" s="114">
        <v>46157</v>
      </c>
      <c r="K163" s="114">
        <v>46157</v>
      </c>
      <c r="L163" s="114">
        <v>46150</v>
      </c>
      <c r="M163" s="114">
        <v>46199</v>
      </c>
      <c r="N163" s="114">
        <v>46199</v>
      </c>
      <c r="O163" s="114">
        <v>46191</v>
      </c>
      <c r="P163" s="114">
        <v>46241</v>
      </c>
      <c r="Q163" s="114">
        <v>46241</v>
      </c>
      <c r="R163" s="114">
        <v>46227</v>
      </c>
      <c r="S163" s="114">
        <v>46255</v>
      </c>
      <c r="T163" s="114">
        <v>46255</v>
      </c>
      <c r="U163" s="114">
        <v>46239</v>
      </c>
      <c r="W163" s="169" t="str">
        <f t="shared" ca="1" si="436"/>
        <v>Completed</v>
      </c>
      <c r="X163" s="169" t="str">
        <f t="shared" ca="1" si="437"/>
        <v>Completed</v>
      </c>
      <c r="Y163" s="169" t="str">
        <f t="shared" ca="1" si="438"/>
        <v>Completed</v>
      </c>
      <c r="Z163" s="170" t="str">
        <f t="shared" ca="1" si="439"/>
        <v>Completed</v>
      </c>
    </row>
    <row r="164" spans="1:26" s="70" customFormat="1" ht="11.5" x14ac:dyDescent="0.25">
      <c r="A164" s="111" t="s">
        <v>67</v>
      </c>
      <c r="B164" s="138" t="s">
        <v>34</v>
      </c>
      <c r="C164" s="138" t="s">
        <v>862</v>
      </c>
      <c r="D164" s="111" t="s">
        <v>864</v>
      </c>
      <c r="E164" s="112">
        <v>0</v>
      </c>
      <c r="F164" s="112">
        <v>0</v>
      </c>
      <c r="G164" s="112">
        <v>0.5</v>
      </c>
      <c r="H164" s="112">
        <v>0.5</v>
      </c>
      <c r="I164" s="113">
        <v>0.2</v>
      </c>
      <c r="J164" s="114">
        <v>46157</v>
      </c>
      <c r="K164" s="114">
        <v>46157</v>
      </c>
      <c r="L164" s="114">
        <v>46150</v>
      </c>
      <c r="M164" s="114">
        <v>46199</v>
      </c>
      <c r="N164" s="114">
        <v>46199</v>
      </c>
      <c r="O164" s="114">
        <v>46191</v>
      </c>
      <c r="P164" s="114">
        <v>46241</v>
      </c>
      <c r="Q164" s="114">
        <v>46241</v>
      </c>
      <c r="R164" s="114">
        <v>46227</v>
      </c>
      <c r="S164" s="114">
        <v>46255</v>
      </c>
      <c r="T164" s="114">
        <v>46255</v>
      </c>
      <c r="U164" s="114">
        <v>46239</v>
      </c>
      <c r="W164" s="169" t="str">
        <f t="shared" ca="1" si="436"/>
        <v>Completed</v>
      </c>
      <c r="X164" s="169" t="str">
        <f t="shared" ca="1" si="437"/>
        <v>Completed</v>
      </c>
      <c r="Y164" s="169" t="str">
        <f t="shared" ca="1" si="438"/>
        <v>Completed</v>
      </c>
      <c r="Z164" s="170" t="str">
        <f t="shared" ca="1" si="439"/>
        <v>Completed</v>
      </c>
    </row>
    <row r="165" spans="1:26" s="70" customFormat="1" ht="11.5" x14ac:dyDescent="0.25">
      <c r="A165" s="111" t="s">
        <v>67</v>
      </c>
      <c r="B165" s="111" t="s">
        <v>34</v>
      </c>
      <c r="C165" s="138" t="s">
        <v>855</v>
      </c>
      <c r="D165" s="139" t="s">
        <v>857</v>
      </c>
      <c r="E165" s="140">
        <v>0.5</v>
      </c>
      <c r="F165" s="140">
        <v>0.5</v>
      </c>
      <c r="G165" s="140">
        <v>0.5</v>
      </c>
      <c r="H165" s="140">
        <v>0</v>
      </c>
      <c r="I165" s="113">
        <v>0.2</v>
      </c>
      <c r="J165" s="141">
        <v>46143</v>
      </c>
      <c r="K165" s="141">
        <v>46143</v>
      </c>
      <c r="L165" s="114">
        <v>46142</v>
      </c>
      <c r="M165" s="114">
        <v>46185</v>
      </c>
      <c r="N165" s="114">
        <v>46185</v>
      </c>
      <c r="O165" s="114">
        <v>46191</v>
      </c>
      <c r="P165" s="114">
        <v>46227</v>
      </c>
      <c r="Q165" s="114">
        <v>46227</v>
      </c>
      <c r="R165" s="115">
        <v>46202</v>
      </c>
      <c r="S165" s="114">
        <v>46241</v>
      </c>
      <c r="T165" s="114">
        <v>46241</v>
      </c>
      <c r="U165" s="141">
        <v>46209</v>
      </c>
      <c r="W165" s="169" t="str">
        <f t="shared" ca="1" si="436"/>
        <v>Completed</v>
      </c>
      <c r="X165" s="169" t="str">
        <f t="shared" ca="1" si="437"/>
        <v>Completed</v>
      </c>
      <c r="Y165" s="169" t="str">
        <f t="shared" ca="1" si="438"/>
        <v>Completed</v>
      </c>
      <c r="Z165" s="170" t="str">
        <f t="shared" ca="1" si="439"/>
        <v>Completed</v>
      </c>
    </row>
    <row r="166" spans="1:26" s="70" customFormat="1" ht="11.5" x14ac:dyDescent="0.25">
      <c r="A166" s="111" t="s">
        <v>67</v>
      </c>
      <c r="B166" s="138" t="s">
        <v>34</v>
      </c>
      <c r="C166" s="138" t="s">
        <v>856</v>
      </c>
      <c r="D166" s="139" t="s">
        <v>858</v>
      </c>
      <c r="E166" s="112">
        <v>0.5</v>
      </c>
      <c r="F166" s="112">
        <v>0.5</v>
      </c>
      <c r="G166" s="112">
        <v>0.5</v>
      </c>
      <c r="H166" s="112">
        <v>0</v>
      </c>
      <c r="I166" s="113">
        <v>0.2</v>
      </c>
      <c r="J166" s="141">
        <v>46143</v>
      </c>
      <c r="K166" s="141">
        <v>46143</v>
      </c>
      <c r="L166" s="114">
        <v>46142</v>
      </c>
      <c r="M166" s="114">
        <v>46185</v>
      </c>
      <c r="N166" s="114">
        <v>46185</v>
      </c>
      <c r="O166" s="114">
        <v>46191</v>
      </c>
      <c r="P166" s="114">
        <v>46227</v>
      </c>
      <c r="Q166" s="114">
        <v>46227</v>
      </c>
      <c r="R166" s="114">
        <v>46254</v>
      </c>
      <c r="S166" s="114">
        <v>46241</v>
      </c>
      <c r="T166" s="114">
        <v>46241</v>
      </c>
      <c r="U166" s="141">
        <v>46269</v>
      </c>
      <c r="W166" s="169" t="str">
        <f t="shared" ca="1" si="436"/>
        <v>Completed</v>
      </c>
      <c r="X166" s="169" t="str">
        <f t="shared" ca="1" si="437"/>
        <v>Completed</v>
      </c>
      <c r="Y166" s="169" t="str">
        <f t="shared" ca="1" si="438"/>
        <v>Completed</v>
      </c>
      <c r="Z166" s="170" t="str">
        <f t="shared" ca="1" si="439"/>
        <v>Completed</v>
      </c>
    </row>
    <row r="167" spans="1:26" s="70" customFormat="1" ht="11.5" x14ac:dyDescent="0.25">
      <c r="A167" s="111" t="s">
        <v>67</v>
      </c>
      <c r="B167" s="111" t="s">
        <v>34</v>
      </c>
      <c r="C167" s="138" t="s">
        <v>859</v>
      </c>
      <c r="D167" s="139" t="s">
        <v>860</v>
      </c>
      <c r="E167" s="112">
        <v>0</v>
      </c>
      <c r="F167" s="112">
        <v>0</v>
      </c>
      <c r="G167" s="112">
        <v>0.5</v>
      </c>
      <c r="H167" s="112">
        <v>0.5</v>
      </c>
      <c r="I167" s="113">
        <v>0.2</v>
      </c>
      <c r="J167" s="141">
        <v>46157</v>
      </c>
      <c r="K167" s="141">
        <v>46157</v>
      </c>
      <c r="L167" s="114">
        <v>46150</v>
      </c>
      <c r="M167" s="114">
        <v>46199</v>
      </c>
      <c r="N167" s="114">
        <v>46199</v>
      </c>
      <c r="O167" s="114">
        <v>46191</v>
      </c>
      <c r="P167" s="114">
        <v>46241</v>
      </c>
      <c r="Q167" s="114">
        <v>46241</v>
      </c>
      <c r="R167" s="115">
        <v>46204</v>
      </c>
      <c r="S167" s="114">
        <v>46255</v>
      </c>
      <c r="T167" s="114">
        <v>46255</v>
      </c>
      <c r="U167" s="141">
        <v>46223</v>
      </c>
      <c r="W167" s="169" t="str">
        <f t="shared" ca="1" si="436"/>
        <v>Completed</v>
      </c>
      <c r="X167" s="169" t="str">
        <f t="shared" ca="1" si="437"/>
        <v>Completed</v>
      </c>
      <c r="Y167" s="169" t="str">
        <f t="shared" ca="1" si="438"/>
        <v>Completed</v>
      </c>
      <c r="Z167" s="170" t="str">
        <f t="shared" ca="1" si="439"/>
        <v>Completed</v>
      </c>
    </row>
    <row r="168" spans="1:26" s="70" customFormat="1" ht="11.5" x14ac:dyDescent="0.25">
      <c r="A168" s="111" t="s">
        <v>67</v>
      </c>
      <c r="B168" s="111" t="s">
        <v>34</v>
      </c>
      <c r="C168" s="138" t="s">
        <v>871</v>
      </c>
      <c r="D168" s="139" t="s">
        <v>872</v>
      </c>
      <c r="E168" s="112">
        <v>0</v>
      </c>
      <c r="F168" s="112">
        <v>0</v>
      </c>
      <c r="G168" s="112">
        <v>0.5</v>
      </c>
      <c r="H168" s="112">
        <v>0.5</v>
      </c>
      <c r="I168" s="113">
        <v>0.5</v>
      </c>
      <c r="J168" s="141">
        <f>J118+28</f>
        <v>46241</v>
      </c>
      <c r="K168" s="141">
        <f>K118+28</f>
        <v>46241</v>
      </c>
      <c r="L168" s="114">
        <v>46171</v>
      </c>
      <c r="M168" s="114">
        <f>J168+42</f>
        <v>46283</v>
      </c>
      <c r="N168" s="114">
        <f>K168+42</f>
        <v>46283</v>
      </c>
      <c r="O168" s="114">
        <v>46262</v>
      </c>
      <c r="P168" s="114">
        <f>M168+42</f>
        <v>46325</v>
      </c>
      <c r="Q168" s="114">
        <f>N168+42</f>
        <v>46325</v>
      </c>
      <c r="R168" s="114"/>
      <c r="S168" s="114">
        <f>P168+14</f>
        <v>46339</v>
      </c>
      <c r="T168" s="114">
        <f>Q168+14</f>
        <v>46339</v>
      </c>
      <c r="U168" s="141"/>
      <c r="W168" s="169" t="str">
        <f t="shared" ca="1" si="436"/>
        <v>Completed</v>
      </c>
      <c r="X168" s="169" t="str">
        <f t="shared" ca="1" si="437"/>
        <v>Completed</v>
      </c>
      <c r="Y168" s="169" t="str">
        <f t="shared" ca="1" si="438"/>
        <v/>
      </c>
      <c r="Z168" s="170" t="str">
        <f t="shared" ca="1" si="439"/>
        <v/>
      </c>
    </row>
    <row r="169" spans="1:26" s="70" customFormat="1" ht="11.5" x14ac:dyDescent="0.25">
      <c r="A169" s="111" t="s">
        <v>67</v>
      </c>
      <c r="B169" s="111" t="s">
        <v>34</v>
      </c>
      <c r="C169" s="111" t="s">
        <v>911</v>
      </c>
      <c r="D169" s="111" t="s">
        <v>912</v>
      </c>
      <c r="E169" s="112">
        <v>0</v>
      </c>
      <c r="F169" s="112">
        <v>0</v>
      </c>
      <c r="G169" s="112">
        <v>0.5</v>
      </c>
      <c r="H169" s="112">
        <v>0.5</v>
      </c>
      <c r="I169" s="113"/>
      <c r="J169" s="141">
        <f>J119+28</f>
        <v>46358</v>
      </c>
      <c r="K169" s="141">
        <f>K119+28</f>
        <v>46358</v>
      </c>
      <c r="L169" s="114"/>
      <c r="M169" s="114">
        <f>J169+42</f>
        <v>46400</v>
      </c>
      <c r="N169" s="114">
        <f>K169+42</f>
        <v>46400</v>
      </c>
      <c r="O169" s="114"/>
      <c r="P169" s="114">
        <f>M169+42</f>
        <v>46442</v>
      </c>
      <c r="Q169" s="114">
        <f t="shared" ref="Q169" si="606">N169+14</f>
        <v>46414</v>
      </c>
      <c r="R169" s="114"/>
      <c r="S169" s="114">
        <f>P169+14</f>
        <v>46456</v>
      </c>
      <c r="T169" s="114">
        <f t="shared" ref="T169" si="607">Q169+14</f>
        <v>46428</v>
      </c>
      <c r="U169" s="141"/>
      <c r="W169" s="169" t="str">
        <f t="shared" ca="1" si="436"/>
        <v/>
      </c>
      <c r="X169" s="169" t="str">
        <f t="shared" ca="1" si="437"/>
        <v/>
      </c>
      <c r="Y169" s="169" t="str">
        <f t="shared" ca="1" si="438"/>
        <v/>
      </c>
      <c r="Z169" s="170" t="str">
        <f t="shared" ca="1" si="439"/>
        <v/>
      </c>
    </row>
    <row r="170" spans="1:26" s="70" customFormat="1" ht="11.5" x14ac:dyDescent="0.25">
      <c r="A170" s="71" t="s">
        <v>67</v>
      </c>
      <c r="B170" s="71" t="s">
        <v>34</v>
      </c>
      <c r="C170" s="71" t="s">
        <v>938</v>
      </c>
      <c r="D170" s="71" t="s">
        <v>793</v>
      </c>
      <c r="E170" s="81">
        <f t="shared" si="490"/>
        <v>0</v>
      </c>
      <c r="F170" s="81">
        <f t="shared" si="491"/>
        <v>0</v>
      </c>
      <c r="G170" s="81">
        <f t="shared" si="491"/>
        <v>0</v>
      </c>
      <c r="H170" s="81">
        <f t="shared" si="492"/>
        <v>0</v>
      </c>
      <c r="I170" s="82">
        <v>0.2</v>
      </c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W170" s="169" t="str">
        <f t="shared" ca="1" si="436"/>
        <v/>
      </c>
      <c r="X170" s="169" t="str">
        <f t="shared" ca="1" si="437"/>
        <v/>
      </c>
      <c r="Y170" s="169" t="str">
        <f t="shared" ca="1" si="438"/>
        <v/>
      </c>
      <c r="Z170" s="170" t="str">
        <f t="shared" ca="1" si="439"/>
        <v/>
      </c>
    </row>
    <row r="171" spans="1:26" s="70" customFormat="1" ht="11.5" x14ac:dyDescent="0.25">
      <c r="A171" s="71" t="s">
        <v>67</v>
      </c>
      <c r="B171" s="71" t="s">
        <v>34</v>
      </c>
      <c r="C171" s="71" t="s">
        <v>939</v>
      </c>
      <c r="D171" s="71" t="s">
        <v>794</v>
      </c>
      <c r="E171" s="81">
        <f t="shared" si="490"/>
        <v>0</v>
      </c>
      <c r="F171" s="81">
        <f t="shared" si="491"/>
        <v>0</v>
      </c>
      <c r="G171" s="81">
        <f t="shared" si="491"/>
        <v>0</v>
      </c>
      <c r="H171" s="81">
        <f t="shared" si="492"/>
        <v>0</v>
      </c>
      <c r="I171" s="82">
        <v>0.4</v>
      </c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W171" s="169" t="str">
        <f t="shared" ca="1" si="436"/>
        <v/>
      </c>
      <c r="X171" s="169" t="str">
        <f t="shared" ca="1" si="437"/>
        <v/>
      </c>
      <c r="Y171" s="169" t="str">
        <f t="shared" ca="1" si="438"/>
        <v/>
      </c>
      <c r="Z171" s="170" t="str">
        <f t="shared" ca="1" si="439"/>
        <v/>
      </c>
    </row>
    <row r="172" spans="1:26" s="70" customFormat="1" ht="11.5" x14ac:dyDescent="0.25">
      <c r="A172" s="71" t="s">
        <v>67</v>
      </c>
      <c r="B172" s="71" t="s">
        <v>34</v>
      </c>
      <c r="C172" s="71" t="s">
        <v>940</v>
      </c>
      <c r="D172" s="71" t="s">
        <v>795</v>
      </c>
      <c r="E172" s="81">
        <f t="shared" si="490"/>
        <v>0</v>
      </c>
      <c r="F172" s="81">
        <f t="shared" si="491"/>
        <v>0</v>
      </c>
      <c r="G172" s="81">
        <f t="shared" si="491"/>
        <v>0</v>
      </c>
      <c r="H172" s="81">
        <f t="shared" si="492"/>
        <v>0</v>
      </c>
      <c r="I172" s="82">
        <v>0.4</v>
      </c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W172" s="169" t="str">
        <f t="shared" ca="1" si="436"/>
        <v/>
      </c>
      <c r="X172" s="169" t="str">
        <f t="shared" ca="1" si="437"/>
        <v/>
      </c>
      <c r="Y172" s="169" t="str">
        <f t="shared" ca="1" si="438"/>
        <v/>
      </c>
      <c r="Z172" s="170" t="str">
        <f t="shared" ca="1" si="439"/>
        <v/>
      </c>
    </row>
    <row r="173" spans="1:26" s="70" customFormat="1" ht="11.5" x14ac:dyDescent="0.25">
      <c r="A173" s="73"/>
      <c r="B173" s="73"/>
      <c r="C173" s="77"/>
      <c r="D173" s="78"/>
      <c r="E173" s="79"/>
      <c r="F173" s="79"/>
      <c r="G173" s="79"/>
      <c r="H173" s="79"/>
      <c r="I173" s="75"/>
      <c r="J173" s="76"/>
      <c r="K173" s="76"/>
      <c r="L173" s="76"/>
      <c r="M173" s="80"/>
      <c r="N173" s="76"/>
      <c r="O173" s="76"/>
      <c r="P173" s="80"/>
      <c r="Q173" s="76"/>
      <c r="R173" s="76"/>
      <c r="S173" s="80"/>
      <c r="T173" s="76"/>
      <c r="U173" s="76"/>
      <c r="W173" s="169" t="str">
        <f t="shared" ref="W173:W237" ca="1" si="608">IF(OR(L173&lt;&gt;""),"Completed",
IF(K173="","",IF(K173&lt;TODAY(),"Overdue",
IF(AND(K173&gt;=TODAY()-WEEKDAY(TODAY(),2)+1,K173&lt;=TODAY()-WEEKDAY(TODAY(),2)+7),"Follow-This Week",
IF(AND(K173&gt;=TODAY()-WEEKDAY(TODAY(),2)+8,K173&lt;=TODAY()-WEEKDAY(TODAY(),2)+14),"Follow-Next Week","")))))</f>
        <v/>
      </c>
      <c r="X173" s="169" t="str">
        <f t="shared" ref="X173:X237" ca="1" si="609">IF(OR(O173&lt;&gt;""),"Completed",IF(N173="","",
IF(N173&lt;TODAY(),"Overdue",
IF(AND(N173&gt;=TODAY()-WEEKDAY(TODAY(),2)+1,N173&lt;=TODAY()-WEEKDAY(TODAY(),2)+7),"Follow-This Week",
IF(AND(N173&gt;=TODAY()-WEEKDAY(TODAY(),2)+8,N173&lt;=TODAY()-WEEKDAY(TODAY(),2)+14),"Follow-Next Week","")))))</f>
        <v/>
      </c>
      <c r="Y173" s="169" t="str">
        <f t="shared" ref="Y173:Y237" ca="1" si="610">IF(OR(R173&lt;&gt;""),"Completed",IF(Q173="","",
IF(Q173&lt;TODAY(),"Overdue",
IF(AND(Q173&gt;=TODAY()-WEEKDAY(TODAY(),2)+1,Q173&lt;=TODAY()-WEEKDAY(TODAY(),2)+7),"Follow-This Week",
IF(AND(Q173&gt;=TODAY()-WEEKDAY(TODAY(),2)+8,Q173&lt;=TODAY()-WEEKDAY(TODAY(),2)+14),"Follow-Next Week","")))))</f>
        <v/>
      </c>
      <c r="Z173" s="170" t="str">
        <f t="shared" ref="Z173:Z237" ca="1" si="611">IF(OR(U173&lt;&gt;""),"Completed",IF(T173="","",
IF(T173&lt;TODAY(),"Overdue",
IF(AND(T173&gt;=TODAY()-WEEKDAY(TODAY(),2)+1,T173&lt;=TODAY()-WEEKDAY(TODAY(),2)+7),"Follow-This Week",
IF(AND(T173&gt;=TODAY()-WEEKDAY(TODAY(),2)+8,T173&lt;=TODAY()-WEEKDAY(TODAY(),2)+14),"Follow-Next Week","")))))</f>
        <v/>
      </c>
    </row>
    <row r="174" spans="1:26" s="70" customFormat="1" ht="11.5" x14ac:dyDescent="0.25">
      <c r="A174" s="71" t="s">
        <v>65</v>
      </c>
      <c r="B174" s="87" t="s">
        <v>34</v>
      </c>
      <c r="C174" s="87" t="s">
        <v>930</v>
      </c>
      <c r="D174" s="87" t="s">
        <v>56</v>
      </c>
      <c r="E174" s="81">
        <f t="shared" ref="E174:E178" si="612">(COUNTIFS(J174,"&lt;="&amp;$C$1)*50%)+(COUNTIFS(M174,"&lt;="&amp;$C$1)*20%)+(COUNTIFS(P174,"&lt;="&amp;$C$1)*10%)+(COUNTIFS(S174,"&lt;="&amp;$C$1)*20%)</f>
        <v>1</v>
      </c>
      <c r="F174" s="81">
        <f t="shared" ref="F174:F178" si="613">(COUNTIFS(K174,"&lt;="&amp;$C$1)*50%)+(COUNTIFS(N174,"&lt;="&amp;$C$1)*20%)+(COUNTIFS(Q174,"&lt;="&amp;$C$1)*10%)+(COUNTIFS(T174,"&lt;="&amp;$C$1)*20%)</f>
        <v>1</v>
      </c>
      <c r="G174" s="81">
        <f t="shared" ref="G174:G178" si="614">(COUNTIFS(L174,"&lt;="&amp;$C$1)*50%)+(COUNTIFS(O174,"&lt;="&amp;$C$1)*20%)+(COUNTIFS(R174,"&lt;="&amp;$C$1)*10%)+(COUNTIFS(U174,"&lt;="&amp;$C$1)*20%)</f>
        <v>1</v>
      </c>
      <c r="H174" s="81">
        <f t="shared" ref="H174:H178" si="615">G174-E174</f>
        <v>0</v>
      </c>
      <c r="I174" s="82">
        <v>0.2</v>
      </c>
      <c r="J174" s="85">
        <v>46115</v>
      </c>
      <c r="K174" s="85">
        <f t="shared" si="493"/>
        <v>46115</v>
      </c>
      <c r="L174" s="85">
        <v>46115</v>
      </c>
      <c r="M174" s="85">
        <f t="shared" si="494"/>
        <v>46157</v>
      </c>
      <c r="N174" s="85">
        <f t="shared" si="495"/>
        <v>46157</v>
      </c>
      <c r="O174" s="85">
        <v>46191</v>
      </c>
      <c r="P174" s="85">
        <f t="shared" si="496"/>
        <v>46199</v>
      </c>
      <c r="Q174" s="85">
        <f t="shared" si="497"/>
        <v>46199</v>
      </c>
      <c r="R174" s="85">
        <v>46219</v>
      </c>
      <c r="S174" s="85">
        <f t="shared" si="498"/>
        <v>46213</v>
      </c>
      <c r="T174" s="85">
        <f t="shared" si="499"/>
        <v>46213</v>
      </c>
      <c r="U174" s="85">
        <v>46262</v>
      </c>
      <c r="W174" s="169" t="str">
        <f t="shared" ca="1" si="608"/>
        <v>Completed</v>
      </c>
      <c r="X174" s="169" t="str">
        <f t="shared" ca="1" si="609"/>
        <v>Completed</v>
      </c>
      <c r="Y174" s="169" t="str">
        <f t="shared" ca="1" si="610"/>
        <v>Completed</v>
      </c>
      <c r="Z174" s="170" t="str">
        <f t="shared" ca="1" si="611"/>
        <v>Completed</v>
      </c>
    </row>
    <row r="175" spans="1:26" s="70" customFormat="1" ht="11.5" x14ac:dyDescent="0.25">
      <c r="A175" s="71" t="s">
        <v>65</v>
      </c>
      <c r="B175" s="87" t="s">
        <v>34</v>
      </c>
      <c r="C175" s="87" t="s">
        <v>931</v>
      </c>
      <c r="D175" s="87" t="s">
        <v>57</v>
      </c>
      <c r="E175" s="81">
        <f t="shared" si="612"/>
        <v>1</v>
      </c>
      <c r="F175" s="81">
        <f t="shared" si="613"/>
        <v>1</v>
      </c>
      <c r="G175" s="81">
        <f t="shared" si="614"/>
        <v>1</v>
      </c>
      <c r="H175" s="81">
        <f t="shared" si="615"/>
        <v>0</v>
      </c>
      <c r="I175" s="82">
        <v>0.2</v>
      </c>
      <c r="J175" s="85">
        <v>46115</v>
      </c>
      <c r="K175" s="85">
        <f t="shared" si="493"/>
        <v>46115</v>
      </c>
      <c r="L175" s="85">
        <v>46115</v>
      </c>
      <c r="M175" s="85">
        <f t="shared" si="494"/>
        <v>46157</v>
      </c>
      <c r="N175" s="85">
        <f t="shared" si="495"/>
        <v>46157</v>
      </c>
      <c r="O175" s="145">
        <v>46171</v>
      </c>
      <c r="P175" s="85">
        <f t="shared" si="496"/>
        <v>46199</v>
      </c>
      <c r="Q175" s="85">
        <f t="shared" si="497"/>
        <v>46199</v>
      </c>
      <c r="R175" s="85">
        <v>46199</v>
      </c>
      <c r="S175" s="85">
        <f t="shared" si="498"/>
        <v>46213</v>
      </c>
      <c r="T175" s="85">
        <f t="shared" si="499"/>
        <v>46213</v>
      </c>
      <c r="U175" s="85">
        <v>46204</v>
      </c>
      <c r="W175" s="169" t="str">
        <f t="shared" ca="1" si="608"/>
        <v>Completed</v>
      </c>
      <c r="X175" s="169" t="str">
        <f t="shared" ca="1" si="609"/>
        <v>Completed</v>
      </c>
      <c r="Y175" s="169" t="str">
        <f t="shared" ca="1" si="610"/>
        <v>Completed</v>
      </c>
      <c r="Z175" s="170" t="str">
        <f t="shared" ca="1" si="611"/>
        <v>Completed</v>
      </c>
    </row>
    <row r="176" spans="1:26" s="70" customFormat="1" ht="11.5" x14ac:dyDescent="0.25">
      <c r="A176" s="71" t="s">
        <v>65</v>
      </c>
      <c r="B176" s="87" t="s">
        <v>34</v>
      </c>
      <c r="C176" s="87" t="s">
        <v>932</v>
      </c>
      <c r="D176" s="87" t="s">
        <v>58</v>
      </c>
      <c r="E176" s="81">
        <f t="shared" si="612"/>
        <v>1</v>
      </c>
      <c r="F176" s="81">
        <f t="shared" si="613"/>
        <v>1</v>
      </c>
      <c r="G176" s="81">
        <f t="shared" si="614"/>
        <v>1</v>
      </c>
      <c r="H176" s="81">
        <f t="shared" si="615"/>
        <v>0</v>
      </c>
      <c r="I176" s="82">
        <v>0.2</v>
      </c>
      <c r="J176" s="85">
        <v>46115</v>
      </c>
      <c r="K176" s="85">
        <f t="shared" si="493"/>
        <v>46115</v>
      </c>
      <c r="L176" s="85">
        <v>46115</v>
      </c>
      <c r="M176" s="85">
        <f t="shared" si="494"/>
        <v>46157</v>
      </c>
      <c r="N176" s="85">
        <f t="shared" si="495"/>
        <v>46157</v>
      </c>
      <c r="O176" s="145">
        <v>46171</v>
      </c>
      <c r="P176" s="85">
        <f t="shared" si="496"/>
        <v>46199</v>
      </c>
      <c r="Q176" s="85">
        <f t="shared" si="497"/>
        <v>46199</v>
      </c>
      <c r="R176" s="85">
        <v>46219</v>
      </c>
      <c r="S176" s="85">
        <f t="shared" si="498"/>
        <v>46213</v>
      </c>
      <c r="T176" s="85">
        <f t="shared" si="499"/>
        <v>46213</v>
      </c>
      <c r="U176" s="85">
        <v>46233</v>
      </c>
      <c r="W176" s="169" t="str">
        <f t="shared" ca="1" si="608"/>
        <v>Completed</v>
      </c>
      <c r="X176" s="169" t="str">
        <f t="shared" ca="1" si="609"/>
        <v>Completed</v>
      </c>
      <c r="Y176" s="169" t="str">
        <f t="shared" ca="1" si="610"/>
        <v>Completed</v>
      </c>
      <c r="Z176" s="170" t="str">
        <f t="shared" ca="1" si="611"/>
        <v>Completed</v>
      </c>
    </row>
    <row r="177" spans="1:26" s="70" customFormat="1" ht="11.5" x14ac:dyDescent="0.25">
      <c r="A177" s="71" t="s">
        <v>65</v>
      </c>
      <c r="B177" s="87" t="s">
        <v>34</v>
      </c>
      <c r="C177" s="87" t="s">
        <v>933</v>
      </c>
      <c r="D177" s="87" t="s">
        <v>1119</v>
      </c>
      <c r="E177" s="81">
        <f t="shared" si="612"/>
        <v>1</v>
      </c>
      <c r="F177" s="81">
        <f t="shared" si="613"/>
        <v>1</v>
      </c>
      <c r="G177" s="81">
        <f t="shared" si="614"/>
        <v>0.79999999999999993</v>
      </c>
      <c r="H177" s="81">
        <f t="shared" si="615"/>
        <v>-0.20000000000000007</v>
      </c>
      <c r="I177" s="82">
        <v>0.2</v>
      </c>
      <c r="J177" s="85">
        <v>46115</v>
      </c>
      <c r="K177" s="85">
        <f t="shared" si="493"/>
        <v>46115</v>
      </c>
      <c r="L177" s="85">
        <v>46115</v>
      </c>
      <c r="M177" s="85">
        <f t="shared" si="494"/>
        <v>46157</v>
      </c>
      <c r="N177" s="85">
        <f t="shared" si="495"/>
        <v>46157</v>
      </c>
      <c r="O177" s="145">
        <v>46171</v>
      </c>
      <c r="P177" s="85">
        <f t="shared" si="496"/>
        <v>46199</v>
      </c>
      <c r="Q177" s="85">
        <f t="shared" si="497"/>
        <v>46199</v>
      </c>
      <c r="R177" s="85">
        <v>46274</v>
      </c>
      <c r="S177" s="85">
        <f t="shared" si="498"/>
        <v>46213</v>
      </c>
      <c r="T177" s="85">
        <f t="shared" si="499"/>
        <v>46213</v>
      </c>
      <c r="U177" s="85"/>
      <c r="W177" s="169" t="str">
        <f t="shared" ca="1" si="608"/>
        <v>Completed</v>
      </c>
      <c r="X177" s="169" t="str">
        <f t="shared" ca="1" si="609"/>
        <v>Completed</v>
      </c>
      <c r="Y177" s="169" t="str">
        <f t="shared" ca="1" si="610"/>
        <v>Completed</v>
      </c>
      <c r="Z177" s="170" t="str">
        <f t="shared" ca="1" si="611"/>
        <v>Overdue</v>
      </c>
    </row>
    <row r="178" spans="1:26" s="70" customFormat="1" ht="11.5" x14ac:dyDescent="0.25">
      <c r="A178" s="71" t="s">
        <v>65</v>
      </c>
      <c r="B178" s="87" t="s">
        <v>34</v>
      </c>
      <c r="C178" s="87" t="s">
        <v>934</v>
      </c>
      <c r="D178" s="87" t="s">
        <v>59</v>
      </c>
      <c r="E178" s="81">
        <f t="shared" si="612"/>
        <v>1</v>
      </c>
      <c r="F178" s="81">
        <f t="shared" si="613"/>
        <v>1</v>
      </c>
      <c r="G178" s="81">
        <f t="shared" si="614"/>
        <v>1</v>
      </c>
      <c r="H178" s="81">
        <f t="shared" si="615"/>
        <v>0</v>
      </c>
      <c r="I178" s="82">
        <v>0.2</v>
      </c>
      <c r="J178" s="85">
        <v>46115</v>
      </c>
      <c r="K178" s="85">
        <f t="shared" si="493"/>
        <v>46115</v>
      </c>
      <c r="L178" s="85">
        <v>46115</v>
      </c>
      <c r="M178" s="85">
        <f t="shared" si="494"/>
        <v>46157</v>
      </c>
      <c r="N178" s="85">
        <f t="shared" si="495"/>
        <v>46157</v>
      </c>
      <c r="O178" s="85">
        <v>46199</v>
      </c>
      <c r="P178" s="85">
        <f t="shared" si="496"/>
        <v>46199</v>
      </c>
      <c r="Q178" s="85">
        <f t="shared" si="497"/>
        <v>46199</v>
      </c>
      <c r="R178" s="85">
        <v>46204</v>
      </c>
      <c r="S178" s="85">
        <f t="shared" si="498"/>
        <v>46213</v>
      </c>
      <c r="T178" s="85">
        <f t="shared" si="499"/>
        <v>46213</v>
      </c>
      <c r="U178" s="85">
        <v>46213</v>
      </c>
      <c r="W178" s="169" t="str">
        <f t="shared" ca="1" si="608"/>
        <v>Completed</v>
      </c>
      <c r="X178" s="169" t="str">
        <f t="shared" ca="1" si="609"/>
        <v>Completed</v>
      </c>
      <c r="Y178" s="169" t="str">
        <f t="shared" ca="1" si="610"/>
        <v>Completed</v>
      </c>
      <c r="Z178" s="170" t="str">
        <f t="shared" ca="1" si="611"/>
        <v>Completed</v>
      </c>
    </row>
    <row r="179" spans="1:26" s="70" customFormat="1" ht="11.5" x14ac:dyDescent="0.25">
      <c r="A179" s="120" t="s">
        <v>65</v>
      </c>
      <c r="B179" s="121" t="s">
        <v>34</v>
      </c>
      <c r="C179" s="121" t="s">
        <v>177</v>
      </c>
      <c r="D179" s="121" t="s">
        <v>178</v>
      </c>
      <c r="E179" s="122">
        <f t="shared" si="490"/>
        <v>0.7</v>
      </c>
      <c r="F179" s="122">
        <f t="shared" si="491"/>
        <v>0.7</v>
      </c>
      <c r="G179" s="122">
        <f t="shared" si="491"/>
        <v>0.5</v>
      </c>
      <c r="H179" s="122">
        <f t="shared" si="492"/>
        <v>-0.19999999999999996</v>
      </c>
      <c r="I179" s="123">
        <v>0.5</v>
      </c>
      <c r="J179" s="124">
        <f>K129+28</f>
        <v>46206</v>
      </c>
      <c r="K179" s="124">
        <f t="shared" si="493"/>
        <v>46206</v>
      </c>
      <c r="L179" s="144">
        <v>46162</v>
      </c>
      <c r="M179" s="124">
        <f t="shared" si="494"/>
        <v>46248</v>
      </c>
      <c r="N179" s="124">
        <f t="shared" si="495"/>
        <v>46248</v>
      </c>
      <c r="O179" s="124"/>
      <c r="P179" s="124">
        <f t="shared" si="496"/>
        <v>46290</v>
      </c>
      <c r="Q179" s="124">
        <f t="shared" si="497"/>
        <v>46290</v>
      </c>
      <c r="R179" s="124"/>
      <c r="S179" s="124">
        <f t="shared" si="498"/>
        <v>46304</v>
      </c>
      <c r="T179" s="124">
        <f t="shared" si="499"/>
        <v>46304</v>
      </c>
      <c r="U179" s="124"/>
      <c r="W179" s="169" t="str">
        <f t="shared" ca="1" si="608"/>
        <v>Completed</v>
      </c>
      <c r="X179" s="169" t="str">
        <f t="shared" ca="1" si="609"/>
        <v>Overdue</v>
      </c>
      <c r="Y179" s="169" t="str">
        <f t="shared" ca="1" si="610"/>
        <v>Follow-Next Week</v>
      </c>
      <c r="Z179" s="170" t="str">
        <f t="shared" ca="1" si="611"/>
        <v/>
      </c>
    </row>
    <row r="180" spans="1:26" s="70" customFormat="1" ht="11.5" x14ac:dyDescent="0.25">
      <c r="A180" s="120" t="s">
        <v>65</v>
      </c>
      <c r="B180" s="121" t="s">
        <v>34</v>
      </c>
      <c r="C180" s="121" t="s">
        <v>179</v>
      </c>
      <c r="D180" s="121" t="s">
        <v>180</v>
      </c>
      <c r="E180" s="122">
        <f t="shared" si="490"/>
        <v>0.7</v>
      </c>
      <c r="F180" s="122">
        <f t="shared" si="491"/>
        <v>0.7</v>
      </c>
      <c r="G180" s="122">
        <f t="shared" si="491"/>
        <v>0.7</v>
      </c>
      <c r="H180" s="122">
        <f t="shared" si="492"/>
        <v>0</v>
      </c>
      <c r="I180" s="123">
        <v>0.5</v>
      </c>
      <c r="J180" s="124">
        <f>K131+28</f>
        <v>46220</v>
      </c>
      <c r="K180" s="124">
        <f t="shared" si="493"/>
        <v>46220</v>
      </c>
      <c r="L180" s="126">
        <v>46237</v>
      </c>
      <c r="M180" s="124">
        <f t="shared" si="494"/>
        <v>46262</v>
      </c>
      <c r="N180" s="124">
        <f t="shared" si="495"/>
        <v>46262</v>
      </c>
      <c r="O180" s="124">
        <v>46275</v>
      </c>
      <c r="P180" s="124">
        <f t="shared" si="496"/>
        <v>46304</v>
      </c>
      <c r="Q180" s="124">
        <f t="shared" si="497"/>
        <v>46304</v>
      </c>
      <c r="R180" s="124"/>
      <c r="S180" s="124">
        <f t="shared" si="498"/>
        <v>46318</v>
      </c>
      <c r="T180" s="124">
        <f t="shared" si="499"/>
        <v>46318</v>
      </c>
      <c r="U180" s="124"/>
      <c r="W180" s="169" t="str">
        <f t="shared" ca="1" si="608"/>
        <v>Completed</v>
      </c>
      <c r="X180" s="169" t="str">
        <f t="shared" ca="1" si="609"/>
        <v>Completed</v>
      </c>
      <c r="Y180" s="169" t="str">
        <f t="shared" ca="1" si="610"/>
        <v/>
      </c>
      <c r="Z180" s="170" t="str">
        <f t="shared" ca="1" si="611"/>
        <v/>
      </c>
    </row>
    <row r="181" spans="1:26" s="70" customFormat="1" ht="11.5" x14ac:dyDescent="0.25">
      <c r="A181" s="120" t="s">
        <v>65</v>
      </c>
      <c r="B181" s="120" t="s">
        <v>34</v>
      </c>
      <c r="C181" s="120" t="s">
        <v>181</v>
      </c>
      <c r="D181" s="120" t="s">
        <v>182</v>
      </c>
      <c r="E181" s="122">
        <f t="shared" si="490"/>
        <v>0.7</v>
      </c>
      <c r="F181" s="122">
        <f t="shared" si="491"/>
        <v>0.7</v>
      </c>
      <c r="G181" s="122">
        <f t="shared" si="491"/>
        <v>0.7</v>
      </c>
      <c r="H181" s="122">
        <f t="shared" si="492"/>
        <v>0</v>
      </c>
      <c r="I181" s="123">
        <v>0.5</v>
      </c>
      <c r="J181" s="124">
        <f>K133+28</f>
        <v>46227</v>
      </c>
      <c r="K181" s="124">
        <f t="shared" si="493"/>
        <v>46227</v>
      </c>
      <c r="L181" s="124">
        <v>46175</v>
      </c>
      <c r="M181" s="124">
        <f t="shared" si="494"/>
        <v>46269</v>
      </c>
      <c r="N181" s="124">
        <f t="shared" si="495"/>
        <v>46269</v>
      </c>
      <c r="O181" s="124">
        <v>46262</v>
      </c>
      <c r="P181" s="124">
        <f t="shared" si="496"/>
        <v>46311</v>
      </c>
      <c r="Q181" s="124">
        <f t="shared" si="497"/>
        <v>46311</v>
      </c>
      <c r="R181" s="124"/>
      <c r="S181" s="124">
        <f t="shared" si="498"/>
        <v>46325</v>
      </c>
      <c r="T181" s="124">
        <f t="shared" si="499"/>
        <v>46325</v>
      </c>
      <c r="U181" s="124"/>
      <c r="W181" s="169" t="str">
        <f t="shared" ca="1" si="608"/>
        <v>Completed</v>
      </c>
      <c r="X181" s="169" t="str">
        <f t="shared" ca="1" si="609"/>
        <v>Completed</v>
      </c>
      <c r="Y181" s="169" t="str">
        <f t="shared" ca="1" si="610"/>
        <v/>
      </c>
      <c r="Z181" s="170" t="str">
        <f t="shared" ca="1" si="611"/>
        <v/>
      </c>
    </row>
    <row r="182" spans="1:26" s="70" customFormat="1" ht="11.5" x14ac:dyDescent="0.25">
      <c r="A182" s="120" t="s">
        <v>65</v>
      </c>
      <c r="B182" s="120" t="s">
        <v>34</v>
      </c>
      <c r="C182" s="120" t="s">
        <v>183</v>
      </c>
      <c r="D182" s="120" t="s">
        <v>184</v>
      </c>
      <c r="E182" s="122">
        <f t="shared" si="490"/>
        <v>0.7</v>
      </c>
      <c r="F182" s="122">
        <f t="shared" si="491"/>
        <v>0.7</v>
      </c>
      <c r="G182" s="122">
        <f t="shared" si="491"/>
        <v>0.5</v>
      </c>
      <c r="H182" s="122">
        <f t="shared" si="492"/>
        <v>-0.19999999999999996</v>
      </c>
      <c r="I182" s="123">
        <v>0.5</v>
      </c>
      <c r="J182" s="124">
        <f>K135+28</f>
        <v>46234</v>
      </c>
      <c r="K182" s="124">
        <f t="shared" si="493"/>
        <v>46234</v>
      </c>
      <c r="L182" s="124">
        <v>46175</v>
      </c>
      <c r="M182" s="124">
        <f t="shared" si="494"/>
        <v>46276</v>
      </c>
      <c r="N182" s="124">
        <f t="shared" si="495"/>
        <v>46276</v>
      </c>
      <c r="O182" s="124"/>
      <c r="P182" s="124">
        <f t="shared" si="496"/>
        <v>46318</v>
      </c>
      <c r="Q182" s="124">
        <f t="shared" si="497"/>
        <v>46318</v>
      </c>
      <c r="R182" s="124"/>
      <c r="S182" s="124">
        <f t="shared" si="498"/>
        <v>46332</v>
      </c>
      <c r="T182" s="124">
        <f t="shared" si="499"/>
        <v>46332</v>
      </c>
      <c r="U182" s="124"/>
      <c r="W182" s="169" t="str">
        <f t="shared" ca="1" si="608"/>
        <v>Completed</v>
      </c>
      <c r="X182" s="169" t="str">
        <f t="shared" ca="1" si="609"/>
        <v>Overdue</v>
      </c>
      <c r="Y182" s="169" t="str">
        <f t="shared" ca="1" si="610"/>
        <v/>
      </c>
      <c r="Z182" s="170" t="str">
        <f t="shared" ca="1" si="611"/>
        <v/>
      </c>
    </row>
    <row r="183" spans="1:26" s="70" customFormat="1" ht="11.5" x14ac:dyDescent="0.25">
      <c r="A183" s="120" t="s">
        <v>65</v>
      </c>
      <c r="B183" s="120" t="s">
        <v>34</v>
      </c>
      <c r="C183" s="120" t="s">
        <v>185</v>
      </c>
      <c r="D183" s="120" t="s">
        <v>186</v>
      </c>
      <c r="E183" s="122">
        <f t="shared" si="490"/>
        <v>0.5</v>
      </c>
      <c r="F183" s="122">
        <f t="shared" si="491"/>
        <v>0.5</v>
      </c>
      <c r="G183" s="122">
        <f t="shared" si="491"/>
        <v>0.7</v>
      </c>
      <c r="H183" s="122">
        <f t="shared" si="492"/>
        <v>0.19999999999999996</v>
      </c>
      <c r="I183" s="123">
        <v>0.5</v>
      </c>
      <c r="J183" s="124">
        <f>K137+28</f>
        <v>46248</v>
      </c>
      <c r="K183" s="124">
        <f t="shared" si="493"/>
        <v>46248</v>
      </c>
      <c r="L183" s="144">
        <v>46162</v>
      </c>
      <c r="M183" s="124">
        <f t="shared" si="494"/>
        <v>46290</v>
      </c>
      <c r="N183" s="124">
        <f t="shared" si="495"/>
        <v>46290</v>
      </c>
      <c r="O183" s="161">
        <v>46279</v>
      </c>
      <c r="P183" s="124">
        <f t="shared" si="496"/>
        <v>46332</v>
      </c>
      <c r="Q183" s="124">
        <f t="shared" si="497"/>
        <v>46332</v>
      </c>
      <c r="R183" s="124"/>
      <c r="S183" s="124">
        <f t="shared" si="498"/>
        <v>46346</v>
      </c>
      <c r="T183" s="124">
        <f t="shared" si="499"/>
        <v>46346</v>
      </c>
      <c r="U183" s="124"/>
      <c r="W183" s="169" t="str">
        <f t="shared" ca="1" si="608"/>
        <v>Completed</v>
      </c>
      <c r="X183" s="169" t="str">
        <f t="shared" ca="1" si="609"/>
        <v>Completed</v>
      </c>
      <c r="Y183" s="169" t="str">
        <f t="shared" ca="1" si="610"/>
        <v/>
      </c>
      <c r="Z183" s="170" t="str">
        <f t="shared" ca="1" si="611"/>
        <v/>
      </c>
    </row>
    <row r="184" spans="1:26" s="70" customFormat="1" ht="11.5" x14ac:dyDescent="0.25">
      <c r="A184" s="120" t="s">
        <v>65</v>
      </c>
      <c r="B184" s="120" t="s">
        <v>34</v>
      </c>
      <c r="C184" s="120" t="s">
        <v>187</v>
      </c>
      <c r="D184" s="120" t="s">
        <v>188</v>
      </c>
      <c r="E184" s="122">
        <f t="shared" si="490"/>
        <v>0.5</v>
      </c>
      <c r="F184" s="122">
        <f t="shared" si="491"/>
        <v>0.5</v>
      </c>
      <c r="G184" s="122">
        <f t="shared" si="491"/>
        <v>0.5</v>
      </c>
      <c r="H184" s="127">
        <f t="shared" si="492"/>
        <v>0</v>
      </c>
      <c r="I184" s="125">
        <v>0.5</v>
      </c>
      <c r="J184" s="124">
        <f t="shared" ref="J184:J195" si="616">K139+28</f>
        <v>46262</v>
      </c>
      <c r="K184" s="124">
        <f t="shared" si="493"/>
        <v>46262</v>
      </c>
      <c r="L184" s="124">
        <v>46254</v>
      </c>
      <c r="M184" s="124">
        <f t="shared" si="494"/>
        <v>46304</v>
      </c>
      <c r="N184" s="124">
        <f t="shared" si="495"/>
        <v>46304</v>
      </c>
      <c r="O184" s="124"/>
      <c r="P184" s="124">
        <f t="shared" si="496"/>
        <v>46346</v>
      </c>
      <c r="Q184" s="124">
        <f t="shared" si="497"/>
        <v>46346</v>
      </c>
      <c r="R184" s="124"/>
      <c r="S184" s="124">
        <f t="shared" si="498"/>
        <v>46360</v>
      </c>
      <c r="T184" s="124">
        <f t="shared" si="499"/>
        <v>46360</v>
      </c>
      <c r="U184" s="124"/>
      <c r="W184" s="169" t="str">
        <f t="shared" ca="1" si="608"/>
        <v>Completed</v>
      </c>
      <c r="X184" s="169" t="str">
        <f t="shared" ca="1" si="609"/>
        <v/>
      </c>
      <c r="Y184" s="169" t="str">
        <f t="shared" ca="1" si="610"/>
        <v/>
      </c>
      <c r="Z184" s="170" t="str">
        <f t="shared" ca="1" si="611"/>
        <v/>
      </c>
    </row>
    <row r="185" spans="1:26" s="70" customFormat="1" ht="11.5" x14ac:dyDescent="0.25">
      <c r="A185" s="120" t="s">
        <v>65</v>
      </c>
      <c r="B185" s="120" t="s">
        <v>34</v>
      </c>
      <c r="C185" s="120" t="s">
        <v>189</v>
      </c>
      <c r="D185" s="120" t="s">
        <v>190</v>
      </c>
      <c r="E185" s="122">
        <f t="shared" si="490"/>
        <v>0.5</v>
      </c>
      <c r="F185" s="122">
        <f t="shared" si="491"/>
        <v>0.5</v>
      </c>
      <c r="G185" s="122">
        <f t="shared" si="491"/>
        <v>0.7</v>
      </c>
      <c r="H185" s="127">
        <f t="shared" si="492"/>
        <v>0.19999999999999996</v>
      </c>
      <c r="I185" s="125">
        <v>0.5</v>
      </c>
      <c r="J185" s="124">
        <f t="shared" si="616"/>
        <v>46276</v>
      </c>
      <c r="K185" s="124">
        <f t="shared" si="493"/>
        <v>46276</v>
      </c>
      <c r="L185" s="124">
        <v>46255</v>
      </c>
      <c r="M185" s="124">
        <f t="shared" si="494"/>
        <v>46318</v>
      </c>
      <c r="N185" s="124">
        <f t="shared" si="495"/>
        <v>46318</v>
      </c>
      <c r="O185" s="124">
        <v>46269</v>
      </c>
      <c r="P185" s="124">
        <f t="shared" si="496"/>
        <v>46360</v>
      </c>
      <c r="Q185" s="124">
        <f t="shared" si="497"/>
        <v>46360</v>
      </c>
      <c r="R185" s="124"/>
      <c r="S185" s="124">
        <f t="shared" si="498"/>
        <v>46374</v>
      </c>
      <c r="T185" s="124">
        <f t="shared" si="499"/>
        <v>46374</v>
      </c>
      <c r="U185" s="124"/>
      <c r="W185" s="169" t="str">
        <f t="shared" ca="1" si="608"/>
        <v>Completed</v>
      </c>
      <c r="X185" s="169" t="str">
        <f t="shared" ca="1" si="609"/>
        <v>Completed</v>
      </c>
      <c r="Y185" s="169" t="str">
        <f t="shared" ca="1" si="610"/>
        <v/>
      </c>
      <c r="Z185" s="170" t="str">
        <f t="shared" ca="1" si="611"/>
        <v/>
      </c>
    </row>
    <row r="186" spans="1:26" s="70" customFormat="1" ht="11.5" x14ac:dyDescent="0.25">
      <c r="A186" s="120" t="s">
        <v>65</v>
      </c>
      <c r="B186" s="120" t="s">
        <v>34</v>
      </c>
      <c r="C186" s="120" t="s">
        <v>191</v>
      </c>
      <c r="D186" s="120" t="s">
        <v>192</v>
      </c>
      <c r="E186" s="122">
        <f t="shared" si="490"/>
        <v>0.7</v>
      </c>
      <c r="F186" s="122">
        <f t="shared" si="491"/>
        <v>0.7</v>
      </c>
      <c r="G186" s="122">
        <f t="shared" si="491"/>
        <v>0.7</v>
      </c>
      <c r="H186" s="127">
        <f t="shared" si="492"/>
        <v>0</v>
      </c>
      <c r="I186" s="125">
        <v>0.5</v>
      </c>
      <c r="J186" s="124">
        <f t="shared" si="616"/>
        <v>46241</v>
      </c>
      <c r="K186" s="124">
        <f t="shared" si="493"/>
        <v>46241</v>
      </c>
      <c r="L186" s="124">
        <v>46241</v>
      </c>
      <c r="M186" s="124">
        <f t="shared" si="494"/>
        <v>46283</v>
      </c>
      <c r="N186" s="124">
        <f t="shared" si="495"/>
        <v>46283</v>
      </c>
      <c r="O186" s="124">
        <v>46248</v>
      </c>
      <c r="P186" s="124">
        <f t="shared" si="496"/>
        <v>46325</v>
      </c>
      <c r="Q186" s="124">
        <f t="shared" si="497"/>
        <v>46325</v>
      </c>
      <c r="R186" s="124"/>
      <c r="S186" s="124">
        <f t="shared" si="498"/>
        <v>46339</v>
      </c>
      <c r="T186" s="124">
        <f t="shared" si="499"/>
        <v>46339</v>
      </c>
      <c r="U186" s="124"/>
      <c r="W186" s="169" t="str">
        <f t="shared" ca="1" si="608"/>
        <v>Completed</v>
      </c>
      <c r="X186" s="169" t="str">
        <f t="shared" ca="1" si="609"/>
        <v>Completed</v>
      </c>
      <c r="Y186" s="169" t="str">
        <f t="shared" ca="1" si="610"/>
        <v/>
      </c>
      <c r="Z186" s="170" t="str">
        <f t="shared" ca="1" si="611"/>
        <v/>
      </c>
    </row>
    <row r="187" spans="1:26" s="70" customFormat="1" ht="11.5" x14ac:dyDescent="0.25">
      <c r="A187" s="120" t="s">
        <v>65</v>
      </c>
      <c r="B187" s="120" t="s">
        <v>34</v>
      </c>
      <c r="C187" s="120" t="s">
        <v>193</v>
      </c>
      <c r="D187" s="120" t="s">
        <v>194</v>
      </c>
      <c r="E187" s="122">
        <f t="shared" si="490"/>
        <v>0.5</v>
      </c>
      <c r="F187" s="122">
        <f t="shared" si="491"/>
        <v>0.5</v>
      </c>
      <c r="G187" s="122">
        <f t="shared" si="491"/>
        <v>0.7</v>
      </c>
      <c r="H187" s="127">
        <f t="shared" si="492"/>
        <v>0.19999999999999996</v>
      </c>
      <c r="I187" s="125">
        <v>0.75</v>
      </c>
      <c r="J187" s="124">
        <f t="shared" si="616"/>
        <v>46272</v>
      </c>
      <c r="K187" s="124">
        <f t="shared" si="493"/>
        <v>46272</v>
      </c>
      <c r="L187" s="124">
        <v>46241</v>
      </c>
      <c r="M187" s="124">
        <f>J187+35</f>
        <v>46307</v>
      </c>
      <c r="N187" s="124">
        <f t="shared" si="495"/>
        <v>46307</v>
      </c>
      <c r="O187" s="206">
        <v>46283</v>
      </c>
      <c r="P187" s="124">
        <f t="shared" si="496"/>
        <v>46349</v>
      </c>
      <c r="Q187" s="124">
        <f t="shared" si="497"/>
        <v>46349</v>
      </c>
      <c r="R187" s="124"/>
      <c r="S187" s="124">
        <f t="shared" si="498"/>
        <v>46363</v>
      </c>
      <c r="T187" s="124">
        <f t="shared" si="499"/>
        <v>46363</v>
      </c>
      <c r="U187" s="124"/>
      <c r="W187" s="169" t="str">
        <f t="shared" ca="1" si="608"/>
        <v>Completed</v>
      </c>
      <c r="X187" s="169" t="str">
        <f t="shared" ca="1" si="609"/>
        <v>Completed</v>
      </c>
      <c r="Y187" s="169" t="str">
        <f t="shared" ca="1" si="610"/>
        <v/>
      </c>
      <c r="Z187" s="170" t="str">
        <f t="shared" ca="1" si="611"/>
        <v/>
      </c>
    </row>
    <row r="188" spans="1:26" s="70" customFormat="1" ht="11.5" x14ac:dyDescent="0.25">
      <c r="A188" s="120" t="s">
        <v>65</v>
      </c>
      <c r="B188" s="120" t="s">
        <v>34</v>
      </c>
      <c r="C188" s="120" t="s">
        <v>195</v>
      </c>
      <c r="D188" s="120" t="s">
        <v>196</v>
      </c>
      <c r="E188" s="122">
        <f t="shared" si="490"/>
        <v>0</v>
      </c>
      <c r="F188" s="122">
        <f t="shared" si="491"/>
        <v>0</v>
      </c>
      <c r="G188" s="122">
        <f t="shared" si="491"/>
        <v>0</v>
      </c>
      <c r="H188" s="127">
        <f t="shared" si="492"/>
        <v>0</v>
      </c>
      <c r="I188" s="125">
        <v>0.5</v>
      </c>
      <c r="J188" s="124">
        <f t="shared" si="616"/>
        <v>46290</v>
      </c>
      <c r="K188" s="124">
        <f t="shared" si="493"/>
        <v>46290</v>
      </c>
      <c r="L188" s="124"/>
      <c r="M188" s="124">
        <f t="shared" si="494"/>
        <v>46332</v>
      </c>
      <c r="N188" s="124">
        <f t="shared" si="495"/>
        <v>46332</v>
      </c>
      <c r="O188" s="124"/>
      <c r="P188" s="124">
        <f t="shared" si="496"/>
        <v>46374</v>
      </c>
      <c r="Q188" s="124">
        <f t="shared" si="497"/>
        <v>46374</v>
      </c>
      <c r="R188" s="124"/>
      <c r="S188" s="124">
        <f t="shared" si="498"/>
        <v>46388</v>
      </c>
      <c r="T188" s="124">
        <f t="shared" si="499"/>
        <v>46388</v>
      </c>
      <c r="U188" s="124"/>
      <c r="W188" s="169" t="str">
        <f t="shared" ca="1" si="608"/>
        <v>Follow-Next Week</v>
      </c>
      <c r="X188" s="169" t="str">
        <f t="shared" ca="1" si="609"/>
        <v/>
      </c>
      <c r="Y188" s="169" t="str">
        <f t="shared" ca="1" si="610"/>
        <v/>
      </c>
      <c r="Z188" s="170" t="str">
        <f t="shared" ca="1" si="611"/>
        <v/>
      </c>
    </row>
    <row r="189" spans="1:26" s="70" customFormat="1" ht="11.5" x14ac:dyDescent="0.25">
      <c r="A189" s="120" t="s">
        <v>65</v>
      </c>
      <c r="B189" s="120" t="s">
        <v>34</v>
      </c>
      <c r="C189" s="120" t="s">
        <v>197</v>
      </c>
      <c r="D189" s="120" t="s">
        <v>198</v>
      </c>
      <c r="E189" s="122">
        <f t="shared" si="490"/>
        <v>0.7</v>
      </c>
      <c r="F189" s="122">
        <f t="shared" si="491"/>
        <v>0.7</v>
      </c>
      <c r="G189" s="122">
        <f t="shared" si="491"/>
        <v>0.7</v>
      </c>
      <c r="H189" s="122">
        <f t="shared" si="492"/>
        <v>0</v>
      </c>
      <c r="I189" s="125">
        <v>0.5</v>
      </c>
      <c r="J189" s="124">
        <f t="shared" si="616"/>
        <v>46234</v>
      </c>
      <c r="K189" s="124">
        <f t="shared" si="493"/>
        <v>46234</v>
      </c>
      <c r="L189" s="124">
        <v>46255</v>
      </c>
      <c r="M189" s="124">
        <f t="shared" si="494"/>
        <v>46276</v>
      </c>
      <c r="N189" s="124">
        <f t="shared" si="495"/>
        <v>46276</v>
      </c>
      <c r="O189" s="124">
        <v>46269</v>
      </c>
      <c r="P189" s="124">
        <f t="shared" si="496"/>
        <v>46318</v>
      </c>
      <c r="Q189" s="124">
        <f t="shared" si="497"/>
        <v>46318</v>
      </c>
      <c r="R189" s="124"/>
      <c r="S189" s="124">
        <f t="shared" si="498"/>
        <v>46332</v>
      </c>
      <c r="T189" s="124">
        <f t="shared" si="499"/>
        <v>46332</v>
      </c>
      <c r="U189" s="124"/>
      <c r="W189" s="169" t="str">
        <f t="shared" ca="1" si="608"/>
        <v>Completed</v>
      </c>
      <c r="X189" s="169" t="str">
        <f t="shared" ca="1" si="609"/>
        <v>Completed</v>
      </c>
      <c r="Y189" s="169" t="str">
        <f t="shared" ca="1" si="610"/>
        <v/>
      </c>
      <c r="Z189" s="170" t="str">
        <f t="shared" ca="1" si="611"/>
        <v/>
      </c>
    </row>
    <row r="190" spans="1:26" s="70" customFormat="1" ht="11.5" x14ac:dyDescent="0.25">
      <c r="A190" s="120" t="s">
        <v>65</v>
      </c>
      <c r="B190" s="120" t="s">
        <v>34</v>
      </c>
      <c r="C190" s="120" t="s">
        <v>199</v>
      </c>
      <c r="D190" s="120" t="s">
        <v>200</v>
      </c>
      <c r="E190" s="122">
        <f t="shared" si="490"/>
        <v>0.7</v>
      </c>
      <c r="F190" s="122">
        <f t="shared" si="491"/>
        <v>0.7</v>
      </c>
      <c r="G190" s="122">
        <f t="shared" si="491"/>
        <v>0.7</v>
      </c>
      <c r="H190" s="122">
        <f t="shared" si="492"/>
        <v>0</v>
      </c>
      <c r="I190" s="123">
        <v>0.5</v>
      </c>
      <c r="J190" s="124">
        <f t="shared" si="616"/>
        <v>46241</v>
      </c>
      <c r="K190" s="124">
        <f t="shared" si="493"/>
        <v>46241</v>
      </c>
      <c r="L190" s="124">
        <v>46255</v>
      </c>
      <c r="M190" s="124">
        <f t="shared" si="494"/>
        <v>46283</v>
      </c>
      <c r="N190" s="124">
        <f t="shared" si="495"/>
        <v>46283</v>
      </c>
      <c r="O190" s="124">
        <v>46269</v>
      </c>
      <c r="P190" s="124">
        <f t="shared" si="496"/>
        <v>46325</v>
      </c>
      <c r="Q190" s="124">
        <f t="shared" si="497"/>
        <v>46325</v>
      </c>
      <c r="R190" s="124"/>
      <c r="S190" s="124">
        <f t="shared" si="498"/>
        <v>46339</v>
      </c>
      <c r="T190" s="124">
        <f t="shared" si="499"/>
        <v>46339</v>
      </c>
      <c r="U190" s="124"/>
      <c r="W190" s="169" t="str">
        <f t="shared" ca="1" si="608"/>
        <v>Completed</v>
      </c>
      <c r="X190" s="169" t="str">
        <f t="shared" ca="1" si="609"/>
        <v>Completed</v>
      </c>
      <c r="Y190" s="169" t="str">
        <f t="shared" ca="1" si="610"/>
        <v/>
      </c>
      <c r="Z190" s="170" t="str">
        <f t="shared" ca="1" si="611"/>
        <v/>
      </c>
    </row>
    <row r="191" spans="1:26" s="70" customFormat="1" ht="11.5" x14ac:dyDescent="0.25">
      <c r="A191" s="120" t="s">
        <v>65</v>
      </c>
      <c r="B191" s="120" t="s">
        <v>34</v>
      </c>
      <c r="C191" s="120" t="s">
        <v>201</v>
      </c>
      <c r="D191" s="120" t="s">
        <v>202</v>
      </c>
      <c r="E191" s="122">
        <f t="shared" si="490"/>
        <v>0</v>
      </c>
      <c r="F191" s="122">
        <f t="shared" si="491"/>
        <v>0</v>
      </c>
      <c r="G191" s="122">
        <f t="shared" si="491"/>
        <v>0.5</v>
      </c>
      <c r="H191" s="122">
        <f t="shared" si="492"/>
        <v>0.5</v>
      </c>
      <c r="I191" s="123">
        <v>0.8</v>
      </c>
      <c r="J191" s="124">
        <f t="shared" si="616"/>
        <v>46311</v>
      </c>
      <c r="K191" s="124">
        <f t="shared" si="493"/>
        <v>46311</v>
      </c>
      <c r="L191" s="124">
        <v>46272</v>
      </c>
      <c r="M191" s="124">
        <f t="shared" si="494"/>
        <v>46353</v>
      </c>
      <c r="N191" s="124">
        <f t="shared" si="495"/>
        <v>46353</v>
      </c>
      <c r="O191" s="124"/>
      <c r="P191" s="124">
        <f t="shared" si="496"/>
        <v>46395</v>
      </c>
      <c r="Q191" s="124">
        <f t="shared" si="497"/>
        <v>46395</v>
      </c>
      <c r="R191" s="124"/>
      <c r="S191" s="124">
        <f t="shared" si="498"/>
        <v>46409</v>
      </c>
      <c r="T191" s="124">
        <f t="shared" si="499"/>
        <v>46409</v>
      </c>
      <c r="U191" s="124"/>
      <c r="W191" s="169" t="str">
        <f t="shared" ca="1" si="608"/>
        <v>Completed</v>
      </c>
      <c r="X191" s="169" t="str">
        <f t="shared" ca="1" si="609"/>
        <v/>
      </c>
      <c r="Y191" s="169" t="str">
        <f t="shared" ca="1" si="610"/>
        <v/>
      </c>
      <c r="Z191" s="170" t="str">
        <f t="shared" ca="1" si="611"/>
        <v/>
      </c>
    </row>
    <row r="192" spans="1:26" s="70" customFormat="1" ht="11.5" x14ac:dyDescent="0.25">
      <c r="A192" s="120" t="s">
        <v>65</v>
      </c>
      <c r="B192" s="120" t="s">
        <v>34</v>
      </c>
      <c r="C192" s="120" t="s">
        <v>203</v>
      </c>
      <c r="D192" s="120" t="s">
        <v>204</v>
      </c>
      <c r="E192" s="122">
        <f t="shared" si="490"/>
        <v>0</v>
      </c>
      <c r="F192" s="122">
        <f t="shared" si="491"/>
        <v>0</v>
      </c>
      <c r="G192" s="122">
        <f t="shared" si="491"/>
        <v>0.7</v>
      </c>
      <c r="H192" s="122">
        <f t="shared" si="492"/>
        <v>0.7</v>
      </c>
      <c r="I192" s="123">
        <v>0.8</v>
      </c>
      <c r="J192" s="124">
        <f t="shared" si="616"/>
        <v>46325</v>
      </c>
      <c r="K192" s="124">
        <f t="shared" si="493"/>
        <v>46325</v>
      </c>
      <c r="L192" s="124">
        <v>46254</v>
      </c>
      <c r="M192" s="124">
        <f t="shared" si="494"/>
        <v>46367</v>
      </c>
      <c r="N192" s="124">
        <f t="shared" si="495"/>
        <v>46367</v>
      </c>
      <c r="O192" s="124">
        <v>46269</v>
      </c>
      <c r="P192" s="124">
        <f t="shared" si="496"/>
        <v>46409</v>
      </c>
      <c r="Q192" s="124">
        <f t="shared" si="497"/>
        <v>46409</v>
      </c>
      <c r="R192" s="126"/>
      <c r="S192" s="124">
        <f t="shared" si="498"/>
        <v>46423</v>
      </c>
      <c r="T192" s="124">
        <f t="shared" si="499"/>
        <v>46423</v>
      </c>
      <c r="U192" s="126"/>
      <c r="W192" s="169" t="str">
        <f t="shared" ca="1" si="608"/>
        <v>Completed</v>
      </c>
      <c r="X192" s="169" t="str">
        <f t="shared" ca="1" si="609"/>
        <v>Completed</v>
      </c>
      <c r="Y192" s="169" t="str">
        <f t="shared" ca="1" si="610"/>
        <v/>
      </c>
      <c r="Z192" s="170" t="str">
        <f t="shared" ca="1" si="611"/>
        <v/>
      </c>
    </row>
    <row r="193" spans="1:26" s="70" customFormat="1" ht="11.5" x14ac:dyDescent="0.25">
      <c r="A193" s="120" t="s">
        <v>65</v>
      </c>
      <c r="B193" s="120" t="s">
        <v>34</v>
      </c>
      <c r="C193" s="120" t="s">
        <v>205</v>
      </c>
      <c r="D193" s="120" t="s">
        <v>206</v>
      </c>
      <c r="E193" s="122">
        <f t="shared" si="490"/>
        <v>0</v>
      </c>
      <c r="F193" s="122">
        <f t="shared" si="491"/>
        <v>0</v>
      </c>
      <c r="G193" s="122">
        <f t="shared" si="491"/>
        <v>0.5</v>
      </c>
      <c r="H193" s="122">
        <f t="shared" si="492"/>
        <v>0.5</v>
      </c>
      <c r="I193" s="123">
        <v>0.8</v>
      </c>
      <c r="J193" s="124">
        <f t="shared" si="616"/>
        <v>46333</v>
      </c>
      <c r="K193" s="124">
        <f t="shared" si="493"/>
        <v>46333</v>
      </c>
      <c r="L193" s="161">
        <v>46281</v>
      </c>
      <c r="M193" s="124">
        <f t="shared" si="494"/>
        <v>46375</v>
      </c>
      <c r="N193" s="124">
        <f t="shared" si="495"/>
        <v>46375</v>
      </c>
      <c r="O193" s="124"/>
      <c r="P193" s="124">
        <f t="shared" si="496"/>
        <v>46417</v>
      </c>
      <c r="Q193" s="124">
        <f t="shared" si="497"/>
        <v>46417</v>
      </c>
      <c r="R193" s="124"/>
      <c r="S193" s="124">
        <f t="shared" si="498"/>
        <v>46431</v>
      </c>
      <c r="T193" s="124">
        <f t="shared" si="499"/>
        <v>46431</v>
      </c>
      <c r="U193" s="124"/>
      <c r="W193" s="169" t="str">
        <f t="shared" ca="1" si="608"/>
        <v>Completed</v>
      </c>
      <c r="X193" s="169" t="str">
        <f t="shared" ca="1" si="609"/>
        <v/>
      </c>
      <c r="Y193" s="169" t="str">
        <f t="shared" ca="1" si="610"/>
        <v/>
      </c>
      <c r="Z193" s="170" t="str">
        <f t="shared" ca="1" si="611"/>
        <v/>
      </c>
    </row>
    <row r="194" spans="1:26" s="70" customFormat="1" ht="11.5" x14ac:dyDescent="0.25">
      <c r="A194" s="120" t="s">
        <v>65</v>
      </c>
      <c r="B194" s="120" t="s">
        <v>34</v>
      </c>
      <c r="C194" s="120" t="s">
        <v>207</v>
      </c>
      <c r="D194" s="120" t="s">
        <v>208</v>
      </c>
      <c r="E194" s="122">
        <f t="shared" si="490"/>
        <v>0</v>
      </c>
      <c r="F194" s="122">
        <f t="shared" si="491"/>
        <v>0</v>
      </c>
      <c r="G194" s="122">
        <f t="shared" si="491"/>
        <v>0</v>
      </c>
      <c r="H194" s="122">
        <f t="shared" si="492"/>
        <v>0</v>
      </c>
      <c r="I194" s="123">
        <v>0.5</v>
      </c>
      <c r="J194" s="124">
        <f t="shared" si="616"/>
        <v>46386</v>
      </c>
      <c r="K194" s="124">
        <f t="shared" si="493"/>
        <v>46386</v>
      </c>
      <c r="L194" s="126"/>
      <c r="M194" s="124">
        <f t="shared" si="494"/>
        <v>46428</v>
      </c>
      <c r="N194" s="124">
        <f t="shared" si="495"/>
        <v>46428</v>
      </c>
      <c r="O194" s="126"/>
      <c r="P194" s="124">
        <f t="shared" si="496"/>
        <v>46470</v>
      </c>
      <c r="Q194" s="124">
        <f t="shared" si="497"/>
        <v>46470</v>
      </c>
      <c r="R194" s="126"/>
      <c r="S194" s="124">
        <f t="shared" si="498"/>
        <v>46484</v>
      </c>
      <c r="T194" s="124">
        <f t="shared" si="499"/>
        <v>46484</v>
      </c>
      <c r="U194" s="126"/>
      <c r="W194" s="169" t="str">
        <f t="shared" ca="1" si="608"/>
        <v/>
      </c>
      <c r="X194" s="169" t="str">
        <f t="shared" ca="1" si="609"/>
        <v/>
      </c>
      <c r="Y194" s="169" t="str">
        <f t="shared" ca="1" si="610"/>
        <v/>
      </c>
      <c r="Z194" s="170" t="str">
        <f t="shared" ca="1" si="611"/>
        <v/>
      </c>
    </row>
    <row r="195" spans="1:26" s="70" customFormat="1" ht="11.5" x14ac:dyDescent="0.25">
      <c r="A195" s="120" t="s">
        <v>65</v>
      </c>
      <c r="B195" s="120" t="s">
        <v>34</v>
      </c>
      <c r="C195" s="120" t="s">
        <v>209</v>
      </c>
      <c r="D195" s="120" t="s">
        <v>210</v>
      </c>
      <c r="E195" s="122">
        <f t="shared" si="490"/>
        <v>0.5</v>
      </c>
      <c r="F195" s="122">
        <f t="shared" si="491"/>
        <v>0.5</v>
      </c>
      <c r="G195" s="122">
        <f t="shared" si="491"/>
        <v>0.5</v>
      </c>
      <c r="H195" s="122">
        <f t="shared" si="492"/>
        <v>0</v>
      </c>
      <c r="I195" s="123">
        <v>0.5</v>
      </c>
      <c r="J195" s="124">
        <f t="shared" si="616"/>
        <v>46255</v>
      </c>
      <c r="K195" s="124">
        <f t="shared" si="493"/>
        <v>46255</v>
      </c>
      <c r="L195" s="124">
        <v>46275</v>
      </c>
      <c r="M195" s="124">
        <f t="shared" si="494"/>
        <v>46297</v>
      </c>
      <c r="N195" s="124">
        <f t="shared" si="495"/>
        <v>46297</v>
      </c>
      <c r="O195" s="124"/>
      <c r="P195" s="124">
        <f t="shared" si="496"/>
        <v>46339</v>
      </c>
      <c r="Q195" s="124">
        <f t="shared" si="497"/>
        <v>46339</v>
      </c>
      <c r="R195" s="124"/>
      <c r="S195" s="124">
        <f t="shared" si="498"/>
        <v>46353</v>
      </c>
      <c r="T195" s="124">
        <f t="shared" si="499"/>
        <v>46353</v>
      </c>
      <c r="U195" s="124"/>
      <c r="W195" s="169" t="str">
        <f t="shared" ca="1" si="608"/>
        <v>Completed</v>
      </c>
      <c r="X195" s="169" t="str">
        <f t="shared" ca="1" si="609"/>
        <v/>
      </c>
      <c r="Y195" s="169" t="str">
        <f t="shared" ca="1" si="610"/>
        <v/>
      </c>
      <c r="Z195" s="170" t="str">
        <f t="shared" ca="1" si="611"/>
        <v/>
      </c>
    </row>
    <row r="196" spans="1:26" s="70" customFormat="1" ht="11.5" x14ac:dyDescent="0.25">
      <c r="A196" s="120" t="s">
        <v>65</v>
      </c>
      <c r="B196" s="120" t="s">
        <v>34</v>
      </c>
      <c r="C196" s="120" t="s">
        <v>211</v>
      </c>
      <c r="D196" s="120" t="s">
        <v>212</v>
      </c>
      <c r="E196" s="122">
        <f>(COUNTIFS(J196,"&lt;="&amp;$C$1)*50%)+(COUNTIFS(M196,"&lt;="&amp;$C$1)*20%)+(COUNTIFS(P196,"&lt;="&amp;$C$1)*10%)+(COUNTIFS(S196,"&lt;="&amp;$C$1)*20%)</f>
        <v>0</v>
      </c>
      <c r="F196" s="122">
        <f t="shared" si="491"/>
        <v>0</v>
      </c>
      <c r="G196" s="122">
        <f t="shared" si="491"/>
        <v>0.5</v>
      </c>
      <c r="H196" s="122">
        <f t="shared" si="492"/>
        <v>0.5</v>
      </c>
      <c r="I196" s="123">
        <v>0.5</v>
      </c>
      <c r="J196" s="124">
        <f t="shared" ref="J196:J202" si="617">K152+28</f>
        <v>46311</v>
      </c>
      <c r="K196" s="124">
        <f t="shared" si="493"/>
        <v>46311</v>
      </c>
      <c r="L196" s="144">
        <v>46162</v>
      </c>
      <c r="M196" s="124">
        <f t="shared" si="494"/>
        <v>46353</v>
      </c>
      <c r="N196" s="124">
        <f t="shared" si="495"/>
        <v>46353</v>
      </c>
      <c r="O196" s="124"/>
      <c r="P196" s="124">
        <f t="shared" si="496"/>
        <v>46395</v>
      </c>
      <c r="Q196" s="124">
        <f t="shared" si="497"/>
        <v>46395</v>
      </c>
      <c r="R196" s="124"/>
      <c r="S196" s="124">
        <f t="shared" si="498"/>
        <v>46409</v>
      </c>
      <c r="T196" s="124">
        <f t="shared" si="499"/>
        <v>46409</v>
      </c>
      <c r="U196" s="124"/>
      <c r="W196" s="169" t="str">
        <f t="shared" ca="1" si="608"/>
        <v>Completed</v>
      </c>
      <c r="X196" s="169" t="str">
        <f t="shared" ca="1" si="609"/>
        <v/>
      </c>
      <c r="Y196" s="169" t="str">
        <f t="shared" ca="1" si="610"/>
        <v/>
      </c>
      <c r="Z196" s="170" t="str">
        <f t="shared" ca="1" si="611"/>
        <v/>
      </c>
    </row>
    <row r="197" spans="1:26" s="70" customFormat="1" ht="11.5" x14ac:dyDescent="0.25">
      <c r="A197" s="120" t="s">
        <v>65</v>
      </c>
      <c r="B197" s="120" t="s">
        <v>34</v>
      </c>
      <c r="C197" s="120" t="s">
        <v>818</v>
      </c>
      <c r="D197" s="120" t="s">
        <v>213</v>
      </c>
      <c r="E197" s="122">
        <f>(COUNTIFS(J197,"&lt;="&amp;$C$1)*50%)+(COUNTIFS(M197,"&lt;="&amp;$C$1)*20%)+(COUNTIFS(P197,"&lt;="&amp;$C$1)*10%)+(COUNTIFS(S197,"&lt;="&amp;$C$1)*20%)</f>
        <v>0.5</v>
      </c>
      <c r="F197" s="122">
        <f t="shared" si="491"/>
        <v>0.5</v>
      </c>
      <c r="G197" s="122">
        <f t="shared" si="491"/>
        <v>0.5</v>
      </c>
      <c r="H197" s="122">
        <f t="shared" si="492"/>
        <v>0</v>
      </c>
      <c r="I197" s="123">
        <v>0.55000000000000004</v>
      </c>
      <c r="J197" s="124">
        <f t="shared" si="617"/>
        <v>46248</v>
      </c>
      <c r="K197" s="124">
        <f t="shared" si="493"/>
        <v>46248</v>
      </c>
      <c r="L197" s="124">
        <v>46269</v>
      </c>
      <c r="M197" s="124">
        <f t="shared" si="494"/>
        <v>46290</v>
      </c>
      <c r="N197" s="124">
        <f t="shared" si="495"/>
        <v>46290</v>
      </c>
      <c r="O197" s="126"/>
      <c r="P197" s="124">
        <f t="shared" si="496"/>
        <v>46332</v>
      </c>
      <c r="Q197" s="124">
        <f t="shared" si="497"/>
        <v>46332</v>
      </c>
      <c r="R197" s="126"/>
      <c r="S197" s="124">
        <f t="shared" si="498"/>
        <v>46346</v>
      </c>
      <c r="T197" s="124">
        <f t="shared" si="499"/>
        <v>46346</v>
      </c>
      <c r="U197" s="126"/>
      <c r="W197" s="169" t="str">
        <f t="shared" ca="1" si="608"/>
        <v>Completed</v>
      </c>
      <c r="X197" s="169" t="str">
        <f t="shared" ca="1" si="609"/>
        <v>Follow-Next Week</v>
      </c>
      <c r="Y197" s="169" t="str">
        <f t="shared" ca="1" si="610"/>
        <v/>
      </c>
      <c r="Z197" s="170" t="str">
        <f t="shared" ca="1" si="611"/>
        <v/>
      </c>
    </row>
    <row r="198" spans="1:26" s="70" customFormat="1" ht="11.5" x14ac:dyDescent="0.25">
      <c r="A198" s="120" t="s">
        <v>65</v>
      </c>
      <c r="B198" s="120" t="s">
        <v>34</v>
      </c>
      <c r="C198" s="120" t="s">
        <v>819</v>
      </c>
      <c r="D198" s="120" t="s">
        <v>214</v>
      </c>
      <c r="E198" s="122">
        <f t="shared" si="490"/>
        <v>0.5</v>
      </c>
      <c r="F198" s="122">
        <f t="shared" si="491"/>
        <v>0.5</v>
      </c>
      <c r="G198" s="122">
        <f t="shared" si="491"/>
        <v>0.7</v>
      </c>
      <c r="H198" s="122">
        <f t="shared" si="492"/>
        <v>0.19999999999999996</v>
      </c>
      <c r="I198" s="123">
        <v>0.55000000000000004</v>
      </c>
      <c r="J198" s="124">
        <f t="shared" si="617"/>
        <v>46255</v>
      </c>
      <c r="K198" s="124">
        <f t="shared" si="493"/>
        <v>46255</v>
      </c>
      <c r="L198" s="124">
        <v>46188</v>
      </c>
      <c r="M198" s="124">
        <f t="shared" si="494"/>
        <v>46297</v>
      </c>
      <c r="N198" s="124">
        <f t="shared" si="495"/>
        <v>46297</v>
      </c>
      <c r="O198" s="126">
        <v>46276</v>
      </c>
      <c r="P198" s="124">
        <f t="shared" si="496"/>
        <v>46339</v>
      </c>
      <c r="Q198" s="124">
        <f t="shared" si="497"/>
        <v>46339</v>
      </c>
      <c r="R198" s="124"/>
      <c r="S198" s="124">
        <f t="shared" si="498"/>
        <v>46353</v>
      </c>
      <c r="T198" s="124">
        <f t="shared" si="499"/>
        <v>46353</v>
      </c>
      <c r="U198" s="124"/>
      <c r="W198" s="169" t="str">
        <f t="shared" ca="1" si="608"/>
        <v>Completed</v>
      </c>
      <c r="X198" s="169" t="str">
        <f t="shared" ca="1" si="609"/>
        <v>Completed</v>
      </c>
      <c r="Y198" s="169" t="str">
        <f t="shared" ca="1" si="610"/>
        <v/>
      </c>
      <c r="Z198" s="170" t="str">
        <f t="shared" ca="1" si="611"/>
        <v/>
      </c>
    </row>
    <row r="199" spans="1:26" s="70" customFormat="1" ht="11.5" x14ac:dyDescent="0.25">
      <c r="A199" s="120" t="s">
        <v>65</v>
      </c>
      <c r="B199" s="120" t="s">
        <v>34</v>
      </c>
      <c r="C199" s="120" t="s">
        <v>820</v>
      </c>
      <c r="D199" s="120" t="s">
        <v>215</v>
      </c>
      <c r="E199" s="122">
        <f t="shared" si="490"/>
        <v>0.5</v>
      </c>
      <c r="F199" s="122">
        <f t="shared" si="491"/>
        <v>0.5</v>
      </c>
      <c r="G199" s="122">
        <f t="shared" si="491"/>
        <v>0.5</v>
      </c>
      <c r="H199" s="122">
        <f t="shared" si="492"/>
        <v>0</v>
      </c>
      <c r="I199" s="123">
        <v>0.75</v>
      </c>
      <c r="J199" s="124">
        <f t="shared" si="617"/>
        <v>46276</v>
      </c>
      <c r="K199" s="124">
        <f t="shared" si="493"/>
        <v>46276</v>
      </c>
      <c r="L199" s="124">
        <v>46269</v>
      </c>
      <c r="M199" s="124">
        <f t="shared" si="494"/>
        <v>46318</v>
      </c>
      <c r="N199" s="124">
        <f t="shared" si="495"/>
        <v>46318</v>
      </c>
      <c r="O199" s="124"/>
      <c r="P199" s="124">
        <f t="shared" si="496"/>
        <v>46360</v>
      </c>
      <c r="Q199" s="124">
        <f t="shared" si="497"/>
        <v>46360</v>
      </c>
      <c r="R199" s="124"/>
      <c r="S199" s="124">
        <f t="shared" si="498"/>
        <v>46374</v>
      </c>
      <c r="T199" s="124">
        <f t="shared" si="499"/>
        <v>46374</v>
      </c>
      <c r="U199" s="124"/>
      <c r="W199" s="169" t="str">
        <f t="shared" ca="1" si="608"/>
        <v>Completed</v>
      </c>
      <c r="X199" s="169" t="str">
        <f t="shared" ca="1" si="609"/>
        <v/>
      </c>
      <c r="Y199" s="169" t="str">
        <f t="shared" ca="1" si="610"/>
        <v/>
      </c>
      <c r="Z199" s="170" t="str">
        <f t="shared" ca="1" si="611"/>
        <v/>
      </c>
    </row>
    <row r="200" spans="1:26" s="70" customFormat="1" ht="11.5" x14ac:dyDescent="0.25">
      <c r="A200" s="120" t="s">
        <v>65</v>
      </c>
      <c r="B200" s="120" t="s">
        <v>34</v>
      </c>
      <c r="C200" s="120" t="s">
        <v>216</v>
      </c>
      <c r="D200" s="120" t="s">
        <v>217</v>
      </c>
      <c r="E200" s="122">
        <f t="shared" si="490"/>
        <v>0.79999999999999993</v>
      </c>
      <c r="F200" s="122">
        <f t="shared" si="491"/>
        <v>0.79999999999999993</v>
      </c>
      <c r="G200" s="122">
        <f t="shared" si="491"/>
        <v>0.7</v>
      </c>
      <c r="H200" s="122">
        <f t="shared" si="492"/>
        <v>-9.9999999999999978E-2</v>
      </c>
      <c r="I200" s="123">
        <v>1</v>
      </c>
      <c r="J200" s="124">
        <f t="shared" si="617"/>
        <v>46199</v>
      </c>
      <c r="K200" s="124">
        <f t="shared" si="493"/>
        <v>46199</v>
      </c>
      <c r="L200" s="124">
        <v>46130</v>
      </c>
      <c r="M200" s="124">
        <f t="shared" si="494"/>
        <v>46241</v>
      </c>
      <c r="N200" s="124">
        <f t="shared" si="495"/>
        <v>46241</v>
      </c>
      <c r="O200" s="124">
        <v>46255</v>
      </c>
      <c r="P200" s="124">
        <f t="shared" si="496"/>
        <v>46283</v>
      </c>
      <c r="Q200" s="124">
        <f t="shared" si="497"/>
        <v>46283</v>
      </c>
      <c r="R200" s="124"/>
      <c r="S200" s="124">
        <f t="shared" si="498"/>
        <v>46297</v>
      </c>
      <c r="T200" s="124">
        <f t="shared" si="499"/>
        <v>46297</v>
      </c>
      <c r="U200" s="124"/>
      <c r="W200" s="169" t="str">
        <f t="shared" ca="1" si="608"/>
        <v>Completed</v>
      </c>
      <c r="X200" s="169" t="str">
        <f t="shared" ca="1" si="609"/>
        <v>Completed</v>
      </c>
      <c r="Y200" s="169" t="str">
        <f t="shared" ca="1" si="610"/>
        <v>Overdue</v>
      </c>
      <c r="Z200" s="170" t="str">
        <f t="shared" ca="1" si="611"/>
        <v/>
      </c>
    </row>
    <row r="201" spans="1:26" s="70" customFormat="1" ht="11.5" x14ac:dyDescent="0.25">
      <c r="A201" s="120" t="s">
        <v>65</v>
      </c>
      <c r="B201" s="120" t="s">
        <v>34</v>
      </c>
      <c r="C201" s="120" t="s">
        <v>218</v>
      </c>
      <c r="D201" s="120" t="s">
        <v>219</v>
      </c>
      <c r="E201" s="122">
        <f t="shared" si="490"/>
        <v>0.5</v>
      </c>
      <c r="F201" s="122">
        <f t="shared" si="491"/>
        <v>0.5</v>
      </c>
      <c r="G201" s="122">
        <f t="shared" si="491"/>
        <v>0.7</v>
      </c>
      <c r="H201" s="122">
        <f t="shared" si="492"/>
        <v>0.19999999999999996</v>
      </c>
      <c r="I201" s="123">
        <v>0.5</v>
      </c>
      <c r="J201" s="124">
        <f t="shared" si="617"/>
        <v>46262</v>
      </c>
      <c r="K201" s="124">
        <f t="shared" si="493"/>
        <v>46262</v>
      </c>
      <c r="L201" s="124">
        <v>46262</v>
      </c>
      <c r="M201" s="124">
        <f t="shared" si="494"/>
        <v>46304</v>
      </c>
      <c r="N201" s="124">
        <f t="shared" si="495"/>
        <v>46304</v>
      </c>
      <c r="O201" s="161">
        <v>46281</v>
      </c>
      <c r="P201" s="124">
        <f t="shared" si="496"/>
        <v>46346</v>
      </c>
      <c r="Q201" s="124">
        <f t="shared" si="497"/>
        <v>46346</v>
      </c>
      <c r="R201" s="124"/>
      <c r="S201" s="124">
        <f t="shared" si="498"/>
        <v>46360</v>
      </c>
      <c r="T201" s="124">
        <f t="shared" si="499"/>
        <v>46360</v>
      </c>
      <c r="U201" s="124"/>
      <c r="W201" s="169" t="str">
        <f t="shared" ca="1" si="608"/>
        <v>Completed</v>
      </c>
      <c r="X201" s="169" t="str">
        <f t="shared" ca="1" si="609"/>
        <v>Completed</v>
      </c>
      <c r="Y201" s="169" t="str">
        <f t="shared" ca="1" si="610"/>
        <v/>
      </c>
      <c r="Z201" s="170" t="str">
        <f t="shared" ca="1" si="611"/>
        <v/>
      </c>
    </row>
    <row r="202" spans="1:26" s="70" customFormat="1" ht="11.5" x14ac:dyDescent="0.25">
      <c r="A202" s="120" t="s">
        <v>65</v>
      </c>
      <c r="B202" s="120" t="s">
        <v>34</v>
      </c>
      <c r="C202" s="120" t="s">
        <v>220</v>
      </c>
      <c r="D202" s="120" t="s">
        <v>221</v>
      </c>
      <c r="E202" s="122">
        <f t="shared" ref="E202:E271" si="618">(COUNTIFS(J202,"&lt;="&amp;$C$1)*50%)+(COUNTIFS(M202,"&lt;="&amp;$C$1)*20%)+(COUNTIFS(P202,"&lt;="&amp;$C$1)*10%)+(COUNTIFS(S202,"&lt;="&amp;$C$1)*20%)</f>
        <v>0.5</v>
      </c>
      <c r="F202" s="122">
        <f t="shared" ref="F202:G271" si="619">(COUNTIFS(K202,"&lt;="&amp;$C$1)*50%)+(COUNTIFS(N202,"&lt;="&amp;$C$1)*20%)+(COUNTIFS(Q202,"&lt;="&amp;$C$1)*10%)+(COUNTIFS(T202,"&lt;="&amp;$C$1)*20%)</f>
        <v>0.5</v>
      </c>
      <c r="G202" s="122">
        <f t="shared" si="619"/>
        <v>0.7</v>
      </c>
      <c r="H202" s="122">
        <f t="shared" ref="H202:H271" si="620">G202-E202</f>
        <v>0.19999999999999996</v>
      </c>
      <c r="I202" s="123">
        <v>0.5</v>
      </c>
      <c r="J202" s="124">
        <f t="shared" si="617"/>
        <v>46269</v>
      </c>
      <c r="K202" s="124">
        <f t="shared" si="493"/>
        <v>46269</v>
      </c>
      <c r="L202" s="124">
        <v>46262</v>
      </c>
      <c r="M202" s="124">
        <f t="shared" si="494"/>
        <v>46311</v>
      </c>
      <c r="N202" s="124">
        <f t="shared" si="495"/>
        <v>46311</v>
      </c>
      <c r="O202" s="161">
        <v>46281</v>
      </c>
      <c r="P202" s="124">
        <f t="shared" si="496"/>
        <v>46353</v>
      </c>
      <c r="Q202" s="124">
        <f t="shared" si="497"/>
        <v>46353</v>
      </c>
      <c r="R202" s="124"/>
      <c r="S202" s="124">
        <f t="shared" si="498"/>
        <v>46367</v>
      </c>
      <c r="T202" s="124">
        <f t="shared" si="499"/>
        <v>46367</v>
      </c>
      <c r="U202" s="124"/>
      <c r="W202" s="169" t="str">
        <f t="shared" ca="1" si="608"/>
        <v>Completed</v>
      </c>
      <c r="X202" s="169" t="str">
        <f t="shared" ca="1" si="609"/>
        <v>Completed</v>
      </c>
      <c r="Y202" s="169" t="str">
        <f t="shared" ca="1" si="610"/>
        <v/>
      </c>
      <c r="Z202" s="170" t="str">
        <f t="shared" ca="1" si="611"/>
        <v/>
      </c>
    </row>
    <row r="203" spans="1:26" s="70" customFormat="1" ht="11.5" x14ac:dyDescent="0.25">
      <c r="A203" s="192" t="s">
        <v>65</v>
      </c>
      <c r="B203" s="192" t="s">
        <v>34</v>
      </c>
      <c r="C203" s="192" t="s">
        <v>800</v>
      </c>
      <c r="D203" s="192" t="s">
        <v>1166</v>
      </c>
      <c r="E203" s="122">
        <f t="shared" si="618"/>
        <v>1</v>
      </c>
      <c r="F203" s="122">
        <f t="shared" si="619"/>
        <v>1</v>
      </c>
      <c r="G203" s="122">
        <f t="shared" si="619"/>
        <v>1</v>
      </c>
      <c r="H203" s="122">
        <f t="shared" si="620"/>
        <v>0</v>
      </c>
      <c r="I203" s="194">
        <v>0.4</v>
      </c>
      <c r="J203" s="195">
        <v>46122</v>
      </c>
      <c r="K203" s="195">
        <f t="shared" ref="K203:K205" si="621">J203</f>
        <v>46122</v>
      </c>
      <c r="L203" s="195">
        <v>46115</v>
      </c>
      <c r="M203" s="195">
        <f t="shared" ref="M203:M205" si="622">J203+42</f>
        <v>46164</v>
      </c>
      <c r="N203" s="195">
        <f t="shared" ref="N203:N205" si="623">M203</f>
        <v>46164</v>
      </c>
      <c r="O203" s="195">
        <v>46276</v>
      </c>
      <c r="P203" s="195">
        <f t="shared" ref="P203:P205" si="624">M203+42</f>
        <v>46206</v>
      </c>
      <c r="Q203" s="195">
        <f t="shared" ref="Q203:Q205" si="625">P203</f>
        <v>46206</v>
      </c>
      <c r="R203" s="195">
        <v>46276</v>
      </c>
      <c r="S203" s="195">
        <f t="shared" ref="S203:S205" si="626">P203+14</f>
        <v>46220</v>
      </c>
      <c r="T203" s="195">
        <f t="shared" ref="T203:T205" si="627">S203</f>
        <v>46220</v>
      </c>
      <c r="U203" s="195">
        <v>46276</v>
      </c>
      <c r="W203" s="169" t="str">
        <f t="shared" ca="1" si="608"/>
        <v>Completed</v>
      </c>
      <c r="X203" s="169" t="str">
        <f t="shared" ca="1" si="609"/>
        <v>Completed</v>
      </c>
      <c r="Y203" s="169" t="str">
        <f t="shared" ca="1" si="610"/>
        <v>Completed</v>
      </c>
      <c r="Z203" s="170" t="str">
        <f t="shared" ca="1" si="611"/>
        <v>Completed</v>
      </c>
    </row>
    <row r="204" spans="1:26" s="70" customFormat="1" ht="11.5" x14ac:dyDescent="0.25">
      <c r="A204" s="192" t="s">
        <v>65</v>
      </c>
      <c r="B204" s="192" t="s">
        <v>34</v>
      </c>
      <c r="C204" s="192" t="s">
        <v>801</v>
      </c>
      <c r="D204" s="192" t="s">
        <v>1167</v>
      </c>
      <c r="E204" s="122">
        <f t="shared" ref="E204:E206" si="628">(COUNTIFS(J204,"&lt;="&amp;$C$1)*50%)+(COUNTIFS(M204,"&lt;="&amp;$C$1)*20%)+(COUNTIFS(P204,"&lt;="&amp;$C$1)*10%)+(COUNTIFS(S204,"&lt;="&amp;$C$1)*20%)</f>
        <v>1</v>
      </c>
      <c r="F204" s="122">
        <f t="shared" ref="F204:F206" si="629">(COUNTIFS(K204,"&lt;="&amp;$C$1)*50%)+(COUNTIFS(N204,"&lt;="&amp;$C$1)*20%)+(COUNTIFS(Q204,"&lt;="&amp;$C$1)*10%)+(COUNTIFS(T204,"&lt;="&amp;$C$1)*20%)</f>
        <v>1</v>
      </c>
      <c r="G204" s="122">
        <f t="shared" ref="G204:G206" si="630">(COUNTIFS(L204,"&lt;="&amp;$C$1)*50%)+(COUNTIFS(O204,"&lt;="&amp;$C$1)*20%)+(COUNTIFS(R204,"&lt;="&amp;$C$1)*10%)+(COUNTIFS(U204,"&lt;="&amp;$C$1)*20%)</f>
        <v>1</v>
      </c>
      <c r="H204" s="122">
        <f t="shared" ref="H204:H206" si="631">G204-E204</f>
        <v>0</v>
      </c>
      <c r="I204" s="194">
        <v>0.4</v>
      </c>
      <c r="J204" s="195">
        <v>46129</v>
      </c>
      <c r="K204" s="195">
        <f t="shared" si="621"/>
        <v>46129</v>
      </c>
      <c r="L204" s="195">
        <v>46142</v>
      </c>
      <c r="M204" s="195">
        <f t="shared" si="622"/>
        <v>46171</v>
      </c>
      <c r="N204" s="195">
        <f t="shared" si="623"/>
        <v>46171</v>
      </c>
      <c r="O204" s="195">
        <v>46191</v>
      </c>
      <c r="P204" s="195">
        <f t="shared" si="624"/>
        <v>46213</v>
      </c>
      <c r="Q204" s="195">
        <f t="shared" si="625"/>
        <v>46213</v>
      </c>
      <c r="R204" s="195">
        <v>46276</v>
      </c>
      <c r="S204" s="195">
        <f t="shared" si="626"/>
        <v>46227</v>
      </c>
      <c r="T204" s="195">
        <f t="shared" si="627"/>
        <v>46227</v>
      </c>
      <c r="U204" s="195">
        <v>46276</v>
      </c>
      <c r="W204" s="169" t="str">
        <f t="shared" ca="1" si="608"/>
        <v>Completed</v>
      </c>
      <c r="X204" s="169" t="str">
        <f t="shared" ca="1" si="609"/>
        <v>Completed</v>
      </c>
      <c r="Y204" s="169" t="str">
        <f t="shared" ca="1" si="610"/>
        <v>Completed</v>
      </c>
      <c r="Z204" s="170" t="str">
        <f t="shared" ca="1" si="611"/>
        <v>Completed</v>
      </c>
    </row>
    <row r="205" spans="1:26" s="70" customFormat="1" ht="11.5" x14ac:dyDescent="0.25">
      <c r="A205" s="192" t="s">
        <v>65</v>
      </c>
      <c r="B205" s="192" t="s">
        <v>34</v>
      </c>
      <c r="C205" s="192" t="s">
        <v>802</v>
      </c>
      <c r="D205" s="192" t="s">
        <v>1168</v>
      </c>
      <c r="E205" s="122">
        <f t="shared" si="628"/>
        <v>1</v>
      </c>
      <c r="F205" s="122">
        <f t="shared" si="629"/>
        <v>1</v>
      </c>
      <c r="G205" s="122">
        <f t="shared" si="630"/>
        <v>1</v>
      </c>
      <c r="H205" s="122">
        <f t="shared" si="631"/>
        <v>0</v>
      </c>
      <c r="I205" s="194">
        <v>0.2</v>
      </c>
      <c r="J205" s="195">
        <v>46142</v>
      </c>
      <c r="K205" s="195">
        <f t="shared" si="621"/>
        <v>46142</v>
      </c>
      <c r="L205" s="195">
        <v>46248</v>
      </c>
      <c r="M205" s="195">
        <f t="shared" si="622"/>
        <v>46184</v>
      </c>
      <c r="N205" s="195">
        <f t="shared" si="623"/>
        <v>46184</v>
      </c>
      <c r="O205" s="195">
        <v>46248</v>
      </c>
      <c r="P205" s="195">
        <f t="shared" si="624"/>
        <v>46226</v>
      </c>
      <c r="Q205" s="195">
        <f t="shared" si="625"/>
        <v>46226</v>
      </c>
      <c r="R205" s="195">
        <v>46248</v>
      </c>
      <c r="S205" s="195">
        <f t="shared" si="626"/>
        <v>46240</v>
      </c>
      <c r="T205" s="195">
        <f t="shared" si="627"/>
        <v>46240</v>
      </c>
      <c r="U205" s="195">
        <v>46248</v>
      </c>
      <c r="W205" s="169" t="str">
        <f t="shared" ca="1" si="608"/>
        <v>Completed</v>
      </c>
      <c r="X205" s="169" t="str">
        <f t="shared" ca="1" si="609"/>
        <v>Completed</v>
      </c>
      <c r="Y205" s="169" t="str">
        <f t="shared" ca="1" si="610"/>
        <v>Completed</v>
      </c>
      <c r="Z205" s="170" t="str">
        <f t="shared" ca="1" si="611"/>
        <v>Completed</v>
      </c>
    </row>
    <row r="206" spans="1:26" s="70" customFormat="1" ht="11.5" x14ac:dyDescent="0.25">
      <c r="A206" s="192" t="s">
        <v>65</v>
      </c>
      <c r="B206" s="192" t="s">
        <v>34</v>
      </c>
      <c r="C206" s="192" t="s">
        <v>802</v>
      </c>
      <c r="D206" s="192" t="s">
        <v>1169</v>
      </c>
      <c r="E206" s="122">
        <f t="shared" si="628"/>
        <v>1</v>
      </c>
      <c r="F206" s="122">
        <f t="shared" si="629"/>
        <v>1</v>
      </c>
      <c r="G206" s="122">
        <f t="shared" si="630"/>
        <v>1</v>
      </c>
      <c r="H206" s="122">
        <f t="shared" si="631"/>
        <v>0</v>
      </c>
      <c r="I206" s="194"/>
      <c r="J206" s="195">
        <v>46142</v>
      </c>
      <c r="K206" s="195">
        <f t="shared" ref="K206" si="632">J206</f>
        <v>46142</v>
      </c>
      <c r="L206" s="195">
        <v>46276</v>
      </c>
      <c r="M206" s="195">
        <f t="shared" ref="M206" si="633">J206+42</f>
        <v>46184</v>
      </c>
      <c r="N206" s="195">
        <f t="shared" ref="N206" si="634">M206</f>
        <v>46184</v>
      </c>
      <c r="O206" s="195">
        <v>46276</v>
      </c>
      <c r="P206" s="195">
        <f t="shared" ref="P206" si="635">M206+42</f>
        <v>46226</v>
      </c>
      <c r="Q206" s="195">
        <f t="shared" ref="Q206" si="636">P206</f>
        <v>46226</v>
      </c>
      <c r="R206" s="195">
        <v>46276</v>
      </c>
      <c r="S206" s="195">
        <f t="shared" ref="S206" si="637">P206+14</f>
        <v>46240</v>
      </c>
      <c r="T206" s="195">
        <f t="shared" ref="T206" si="638">S206</f>
        <v>46240</v>
      </c>
      <c r="U206" s="195">
        <v>46276</v>
      </c>
      <c r="W206" s="169" t="str">
        <f t="shared" ref="W206" ca="1" si="639">IF(OR(L206&lt;&gt;""),"Completed",
IF(K206="","",IF(K206&lt;TODAY(),"Overdue",
IF(AND(K206&gt;=TODAY()-WEEKDAY(TODAY(),2)+1,K206&lt;=TODAY()-WEEKDAY(TODAY(),2)+7),"Follow-This Week",
IF(AND(K206&gt;=TODAY()-WEEKDAY(TODAY(),2)+8,K206&lt;=TODAY()-WEEKDAY(TODAY(),2)+14),"Follow-Next Week","")))))</f>
        <v>Completed</v>
      </c>
      <c r="X206" s="169" t="str">
        <f t="shared" ref="X206" ca="1" si="640">IF(OR(O206&lt;&gt;""),"Completed",IF(N206="","",
IF(N206&lt;TODAY(),"Overdue",
IF(AND(N206&gt;=TODAY()-WEEKDAY(TODAY(),2)+1,N206&lt;=TODAY()-WEEKDAY(TODAY(),2)+7),"Follow-This Week",
IF(AND(N206&gt;=TODAY()-WEEKDAY(TODAY(),2)+8,N206&lt;=TODAY()-WEEKDAY(TODAY(),2)+14),"Follow-Next Week","")))))</f>
        <v>Completed</v>
      </c>
      <c r="Y206" s="169" t="str">
        <f t="shared" ref="Y206" ca="1" si="641">IF(OR(R206&lt;&gt;""),"Completed",IF(Q206="","",
IF(Q206&lt;TODAY(),"Overdue",
IF(AND(Q206&gt;=TODAY()-WEEKDAY(TODAY(),2)+1,Q206&lt;=TODAY()-WEEKDAY(TODAY(),2)+7),"Follow-This Week",
IF(AND(Q206&gt;=TODAY()-WEEKDAY(TODAY(),2)+8,Q206&lt;=TODAY()-WEEKDAY(TODAY(),2)+14),"Follow-Next Week","")))))</f>
        <v>Completed</v>
      </c>
      <c r="Z206" s="170" t="str">
        <f t="shared" ref="Z206" ca="1" si="642">IF(OR(U206&lt;&gt;""),"Completed",IF(T206="","",
IF(T206&lt;TODAY(),"Overdue",
IF(AND(T206&gt;=TODAY()-WEEKDAY(TODAY(),2)+1,T206&lt;=TODAY()-WEEKDAY(TODAY(),2)+7),"Follow-This Week",
IF(AND(T206&gt;=TODAY()-WEEKDAY(TODAY(),2)+8,T206&lt;=TODAY()-WEEKDAY(TODAY(),2)+14),"Follow-Next Week","")))))</f>
        <v>Completed</v>
      </c>
    </row>
    <row r="207" spans="1:26" s="70" customFormat="1" ht="11.5" x14ac:dyDescent="0.25">
      <c r="A207" s="120" t="s">
        <v>65</v>
      </c>
      <c r="B207" s="120" t="s">
        <v>34</v>
      </c>
      <c r="C207" s="130" t="s">
        <v>861</v>
      </c>
      <c r="D207" s="120" t="s">
        <v>863</v>
      </c>
      <c r="E207" s="122">
        <v>0</v>
      </c>
      <c r="F207" s="122">
        <v>0</v>
      </c>
      <c r="G207" s="122">
        <v>0.5</v>
      </c>
      <c r="H207" s="122">
        <v>0.5</v>
      </c>
      <c r="I207" s="123">
        <v>0.2</v>
      </c>
      <c r="J207" s="124">
        <v>46157</v>
      </c>
      <c r="K207" s="124">
        <v>46157</v>
      </c>
      <c r="L207" s="124">
        <v>46150</v>
      </c>
      <c r="M207" s="124">
        <v>46199</v>
      </c>
      <c r="N207" s="124">
        <v>46199</v>
      </c>
      <c r="O207" s="124">
        <v>46191</v>
      </c>
      <c r="P207" s="124">
        <v>46241</v>
      </c>
      <c r="Q207" s="124">
        <v>46241</v>
      </c>
      <c r="R207" s="124">
        <v>46227</v>
      </c>
      <c r="S207" s="124">
        <v>46255</v>
      </c>
      <c r="T207" s="124">
        <v>46255</v>
      </c>
      <c r="U207" s="124">
        <v>46239</v>
      </c>
      <c r="W207" s="169" t="str">
        <f t="shared" ca="1" si="608"/>
        <v>Completed</v>
      </c>
      <c r="X207" s="169" t="str">
        <f t="shared" ca="1" si="609"/>
        <v>Completed</v>
      </c>
      <c r="Y207" s="169" t="str">
        <f t="shared" ca="1" si="610"/>
        <v>Completed</v>
      </c>
      <c r="Z207" s="170" t="str">
        <f t="shared" ca="1" si="611"/>
        <v>Completed</v>
      </c>
    </row>
    <row r="208" spans="1:26" s="70" customFormat="1" ht="11.5" x14ac:dyDescent="0.25">
      <c r="A208" s="120" t="s">
        <v>65</v>
      </c>
      <c r="B208" s="130" t="s">
        <v>34</v>
      </c>
      <c r="C208" s="130" t="s">
        <v>862</v>
      </c>
      <c r="D208" s="120" t="s">
        <v>864</v>
      </c>
      <c r="E208" s="122">
        <v>0</v>
      </c>
      <c r="F208" s="122">
        <v>0</v>
      </c>
      <c r="G208" s="122">
        <v>0.5</v>
      </c>
      <c r="H208" s="122">
        <v>0.5</v>
      </c>
      <c r="I208" s="123">
        <v>0.2</v>
      </c>
      <c r="J208" s="124">
        <v>46157</v>
      </c>
      <c r="K208" s="124">
        <v>46157</v>
      </c>
      <c r="L208" s="124">
        <v>46150</v>
      </c>
      <c r="M208" s="124">
        <v>46199</v>
      </c>
      <c r="N208" s="124">
        <v>46199</v>
      </c>
      <c r="O208" s="124">
        <v>46191</v>
      </c>
      <c r="P208" s="124">
        <v>46241</v>
      </c>
      <c r="Q208" s="124">
        <v>46241</v>
      </c>
      <c r="R208" s="124">
        <v>46227</v>
      </c>
      <c r="S208" s="124">
        <v>46255</v>
      </c>
      <c r="T208" s="124">
        <v>46255</v>
      </c>
      <c r="U208" s="124">
        <v>46239</v>
      </c>
      <c r="W208" s="169" t="str">
        <f t="shared" ca="1" si="608"/>
        <v>Completed</v>
      </c>
      <c r="X208" s="169" t="str">
        <f t="shared" ca="1" si="609"/>
        <v>Completed</v>
      </c>
      <c r="Y208" s="169" t="str">
        <f t="shared" ca="1" si="610"/>
        <v>Completed</v>
      </c>
      <c r="Z208" s="170" t="str">
        <f t="shared" ca="1" si="611"/>
        <v>Completed</v>
      </c>
    </row>
    <row r="209" spans="1:26" s="70" customFormat="1" ht="11.5" x14ac:dyDescent="0.25">
      <c r="A209" s="120" t="s">
        <v>65</v>
      </c>
      <c r="B209" s="120" t="s">
        <v>34</v>
      </c>
      <c r="C209" s="130" t="s">
        <v>855</v>
      </c>
      <c r="D209" s="131" t="s">
        <v>857</v>
      </c>
      <c r="E209" s="132">
        <v>0.5</v>
      </c>
      <c r="F209" s="132">
        <v>0.5</v>
      </c>
      <c r="G209" s="132">
        <v>0.5</v>
      </c>
      <c r="H209" s="132">
        <v>0</v>
      </c>
      <c r="I209" s="123">
        <v>0.2</v>
      </c>
      <c r="J209" s="133">
        <v>46143</v>
      </c>
      <c r="K209" s="133">
        <v>46143</v>
      </c>
      <c r="L209" s="124">
        <v>46142</v>
      </c>
      <c r="M209" s="124">
        <v>46185</v>
      </c>
      <c r="N209" s="124">
        <v>46185</v>
      </c>
      <c r="O209" s="124">
        <v>46191</v>
      </c>
      <c r="P209" s="124">
        <v>46227</v>
      </c>
      <c r="Q209" s="124">
        <v>46227</v>
      </c>
      <c r="R209" s="126">
        <v>46202</v>
      </c>
      <c r="S209" s="124">
        <v>46241</v>
      </c>
      <c r="T209" s="124">
        <v>46241</v>
      </c>
      <c r="U209" s="133">
        <v>46209</v>
      </c>
      <c r="W209" s="169" t="str">
        <f t="shared" ca="1" si="608"/>
        <v>Completed</v>
      </c>
      <c r="X209" s="169" t="str">
        <f t="shared" ca="1" si="609"/>
        <v>Completed</v>
      </c>
      <c r="Y209" s="169" t="str">
        <f t="shared" ca="1" si="610"/>
        <v>Completed</v>
      </c>
      <c r="Z209" s="170" t="str">
        <f t="shared" ca="1" si="611"/>
        <v>Completed</v>
      </c>
    </row>
    <row r="210" spans="1:26" s="70" customFormat="1" ht="11.5" x14ac:dyDescent="0.25">
      <c r="A210" s="120" t="s">
        <v>65</v>
      </c>
      <c r="B210" s="130" t="s">
        <v>34</v>
      </c>
      <c r="C210" s="130" t="s">
        <v>856</v>
      </c>
      <c r="D210" s="131" t="s">
        <v>858</v>
      </c>
      <c r="E210" s="122">
        <v>0.5</v>
      </c>
      <c r="F210" s="122">
        <v>0.5</v>
      </c>
      <c r="G210" s="122">
        <v>0.5</v>
      </c>
      <c r="H210" s="122">
        <v>0</v>
      </c>
      <c r="I210" s="123">
        <v>0.2</v>
      </c>
      <c r="J210" s="133">
        <v>46143</v>
      </c>
      <c r="K210" s="133">
        <v>46143</v>
      </c>
      <c r="L210" s="124">
        <v>46142</v>
      </c>
      <c r="M210" s="124">
        <v>46185</v>
      </c>
      <c r="N210" s="124">
        <v>46185</v>
      </c>
      <c r="O210" s="124">
        <v>46191</v>
      </c>
      <c r="P210" s="124">
        <v>46227</v>
      </c>
      <c r="Q210" s="124">
        <v>46227</v>
      </c>
      <c r="R210" s="124">
        <v>46254</v>
      </c>
      <c r="S210" s="124">
        <v>46241</v>
      </c>
      <c r="T210" s="124">
        <v>46241</v>
      </c>
      <c r="U210" s="133">
        <v>46269</v>
      </c>
      <c r="W210" s="169" t="str">
        <f t="shared" ca="1" si="608"/>
        <v>Completed</v>
      </c>
      <c r="X210" s="169" t="str">
        <f t="shared" ca="1" si="609"/>
        <v>Completed</v>
      </c>
      <c r="Y210" s="169" t="str">
        <f t="shared" ca="1" si="610"/>
        <v>Completed</v>
      </c>
      <c r="Z210" s="170" t="str">
        <f t="shared" ca="1" si="611"/>
        <v>Completed</v>
      </c>
    </row>
    <row r="211" spans="1:26" s="70" customFormat="1" ht="11.5" x14ac:dyDescent="0.25">
      <c r="A211" s="120" t="s">
        <v>65</v>
      </c>
      <c r="B211" s="120" t="s">
        <v>34</v>
      </c>
      <c r="C211" s="130" t="s">
        <v>859</v>
      </c>
      <c r="D211" s="131" t="s">
        <v>860</v>
      </c>
      <c r="E211" s="122">
        <v>0</v>
      </c>
      <c r="F211" s="122">
        <v>0</v>
      </c>
      <c r="G211" s="122">
        <v>0.5</v>
      </c>
      <c r="H211" s="122">
        <v>0.5</v>
      </c>
      <c r="I211" s="123">
        <v>0.2</v>
      </c>
      <c r="J211" s="133">
        <v>46157</v>
      </c>
      <c r="K211" s="133">
        <v>46157</v>
      </c>
      <c r="L211" s="124">
        <v>46150</v>
      </c>
      <c r="M211" s="124">
        <v>46199</v>
      </c>
      <c r="N211" s="124">
        <v>46199</v>
      </c>
      <c r="O211" s="124">
        <v>46191</v>
      </c>
      <c r="P211" s="124">
        <v>46241</v>
      </c>
      <c r="Q211" s="124">
        <v>46241</v>
      </c>
      <c r="R211" s="126">
        <v>46204</v>
      </c>
      <c r="S211" s="124">
        <v>46255</v>
      </c>
      <c r="T211" s="124">
        <v>46255</v>
      </c>
      <c r="U211" s="133">
        <v>46223</v>
      </c>
      <c r="W211" s="169" t="str">
        <f t="shared" ca="1" si="608"/>
        <v>Completed</v>
      </c>
      <c r="X211" s="169" t="str">
        <f t="shared" ca="1" si="609"/>
        <v>Completed</v>
      </c>
      <c r="Y211" s="169" t="str">
        <f t="shared" ca="1" si="610"/>
        <v>Completed</v>
      </c>
      <c r="Z211" s="170" t="str">
        <f t="shared" ca="1" si="611"/>
        <v>Completed</v>
      </c>
    </row>
    <row r="212" spans="1:26" s="70" customFormat="1" ht="11.5" x14ac:dyDescent="0.25">
      <c r="A212" s="120" t="s">
        <v>65</v>
      </c>
      <c r="B212" s="120" t="s">
        <v>34</v>
      </c>
      <c r="C212" s="130" t="s">
        <v>873</v>
      </c>
      <c r="D212" s="131" t="s">
        <v>874</v>
      </c>
      <c r="E212" s="122">
        <v>0</v>
      </c>
      <c r="F212" s="122">
        <v>0</v>
      </c>
      <c r="G212" s="122">
        <v>0.5</v>
      </c>
      <c r="H212" s="122">
        <v>0.5</v>
      </c>
      <c r="I212" s="123">
        <v>0.5</v>
      </c>
      <c r="J212" s="133">
        <f>J168+28</f>
        <v>46269</v>
      </c>
      <c r="K212" s="133">
        <f>K168+28</f>
        <v>46269</v>
      </c>
      <c r="L212" s="124">
        <v>46171</v>
      </c>
      <c r="M212" s="124">
        <f>J212+42</f>
        <v>46311</v>
      </c>
      <c r="N212" s="124">
        <f>K212+42</f>
        <v>46311</v>
      </c>
      <c r="O212" s="124">
        <v>46262</v>
      </c>
      <c r="P212" s="124">
        <f>M212+42</f>
        <v>46353</v>
      </c>
      <c r="Q212" s="124">
        <f>N212+42</f>
        <v>46353</v>
      </c>
      <c r="R212" s="124"/>
      <c r="S212" s="124">
        <f>P212+14</f>
        <v>46367</v>
      </c>
      <c r="T212" s="124">
        <f>Q212+14</f>
        <v>46367</v>
      </c>
      <c r="U212" s="133"/>
      <c r="W212" s="169" t="str">
        <f t="shared" ca="1" si="608"/>
        <v>Completed</v>
      </c>
      <c r="X212" s="169" t="str">
        <f t="shared" ca="1" si="609"/>
        <v>Completed</v>
      </c>
      <c r="Y212" s="169" t="str">
        <f t="shared" ca="1" si="610"/>
        <v/>
      </c>
      <c r="Z212" s="170" t="str">
        <f t="shared" ca="1" si="611"/>
        <v/>
      </c>
    </row>
    <row r="213" spans="1:26" s="70" customFormat="1" ht="11.5" x14ac:dyDescent="0.25">
      <c r="A213" s="120" t="s">
        <v>65</v>
      </c>
      <c r="B213" s="120" t="s">
        <v>34</v>
      </c>
      <c r="C213" s="120" t="s">
        <v>913</v>
      </c>
      <c r="D213" s="120" t="s">
        <v>914</v>
      </c>
      <c r="E213" s="122">
        <v>0</v>
      </c>
      <c r="F213" s="122">
        <v>0</v>
      </c>
      <c r="G213" s="122">
        <v>0.5</v>
      </c>
      <c r="H213" s="122">
        <v>0.5</v>
      </c>
      <c r="I213" s="123"/>
      <c r="J213" s="133">
        <f>J169+28</f>
        <v>46386</v>
      </c>
      <c r="K213" s="133">
        <f>K169+28</f>
        <v>46386</v>
      </c>
      <c r="L213" s="124"/>
      <c r="M213" s="124">
        <f>J213+42</f>
        <v>46428</v>
      </c>
      <c r="N213" s="124">
        <f>K213+42</f>
        <v>46428</v>
      </c>
      <c r="O213" s="124"/>
      <c r="P213" s="124">
        <f>M213+42</f>
        <v>46470</v>
      </c>
      <c r="Q213" s="124">
        <f>N213+42</f>
        <v>46470</v>
      </c>
      <c r="R213" s="124"/>
      <c r="S213" s="124">
        <f>P213+14</f>
        <v>46484</v>
      </c>
      <c r="T213" s="124">
        <f>Q213+14</f>
        <v>46484</v>
      </c>
      <c r="U213" s="133"/>
      <c r="W213" s="169" t="str">
        <f t="shared" ca="1" si="608"/>
        <v/>
      </c>
      <c r="X213" s="169" t="str">
        <f t="shared" ca="1" si="609"/>
        <v/>
      </c>
      <c r="Y213" s="169" t="str">
        <f t="shared" ca="1" si="610"/>
        <v/>
      </c>
      <c r="Z213" s="170" t="str">
        <f t="shared" ca="1" si="611"/>
        <v/>
      </c>
    </row>
    <row r="214" spans="1:26" s="70" customFormat="1" ht="11.5" x14ac:dyDescent="0.25">
      <c r="A214" s="71" t="s">
        <v>65</v>
      </c>
      <c r="B214" s="71" t="s">
        <v>34</v>
      </c>
      <c r="C214" s="71" t="s">
        <v>941</v>
      </c>
      <c r="D214" s="71" t="s">
        <v>790</v>
      </c>
      <c r="E214" s="81">
        <f t="shared" si="618"/>
        <v>0</v>
      </c>
      <c r="F214" s="81">
        <f t="shared" si="619"/>
        <v>0</v>
      </c>
      <c r="G214" s="81">
        <f t="shared" si="619"/>
        <v>0</v>
      </c>
      <c r="H214" s="81">
        <f t="shared" si="620"/>
        <v>0</v>
      </c>
      <c r="I214" s="82">
        <v>0.2</v>
      </c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W214" s="169" t="str">
        <f t="shared" ca="1" si="608"/>
        <v/>
      </c>
      <c r="X214" s="169" t="str">
        <f t="shared" ca="1" si="609"/>
        <v/>
      </c>
      <c r="Y214" s="169" t="str">
        <f t="shared" ca="1" si="610"/>
        <v/>
      </c>
      <c r="Z214" s="170" t="str">
        <f t="shared" ca="1" si="611"/>
        <v/>
      </c>
    </row>
    <row r="215" spans="1:26" s="70" customFormat="1" ht="11.5" x14ac:dyDescent="0.25">
      <c r="A215" s="71" t="s">
        <v>65</v>
      </c>
      <c r="B215" s="71" t="s">
        <v>34</v>
      </c>
      <c r="C215" s="71" t="s">
        <v>942</v>
      </c>
      <c r="D215" s="71" t="s">
        <v>791</v>
      </c>
      <c r="E215" s="81">
        <f t="shared" si="618"/>
        <v>0</v>
      </c>
      <c r="F215" s="81">
        <f t="shared" si="619"/>
        <v>0</v>
      </c>
      <c r="G215" s="81">
        <f t="shared" si="619"/>
        <v>0</v>
      </c>
      <c r="H215" s="81">
        <f t="shared" si="620"/>
        <v>0</v>
      </c>
      <c r="I215" s="82">
        <v>0.4</v>
      </c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W215" s="169" t="str">
        <f t="shared" ca="1" si="608"/>
        <v/>
      </c>
      <c r="X215" s="169" t="str">
        <f t="shared" ca="1" si="609"/>
        <v/>
      </c>
      <c r="Y215" s="169" t="str">
        <f t="shared" ca="1" si="610"/>
        <v/>
      </c>
      <c r="Z215" s="170" t="str">
        <f t="shared" ca="1" si="611"/>
        <v/>
      </c>
    </row>
    <row r="216" spans="1:26" s="70" customFormat="1" ht="11.5" x14ac:dyDescent="0.25">
      <c r="A216" s="71" t="s">
        <v>65</v>
      </c>
      <c r="B216" s="71" t="s">
        <v>34</v>
      </c>
      <c r="C216" s="71" t="s">
        <v>943</v>
      </c>
      <c r="D216" s="71" t="s">
        <v>792</v>
      </c>
      <c r="E216" s="81">
        <f t="shared" si="618"/>
        <v>0</v>
      </c>
      <c r="F216" s="81">
        <f t="shared" si="619"/>
        <v>0</v>
      </c>
      <c r="G216" s="81">
        <f t="shared" si="619"/>
        <v>0</v>
      </c>
      <c r="H216" s="81">
        <f t="shared" si="620"/>
        <v>0</v>
      </c>
      <c r="I216" s="82">
        <v>0.4</v>
      </c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W216" s="169" t="str">
        <f t="shared" ca="1" si="608"/>
        <v/>
      </c>
      <c r="X216" s="169" t="str">
        <f t="shared" ca="1" si="609"/>
        <v/>
      </c>
      <c r="Y216" s="169" t="str">
        <f t="shared" ca="1" si="610"/>
        <v/>
      </c>
      <c r="Z216" s="170" t="str">
        <f t="shared" ca="1" si="611"/>
        <v/>
      </c>
    </row>
    <row r="217" spans="1:26" s="70" customFormat="1" ht="11.5" x14ac:dyDescent="0.25">
      <c r="A217" s="77"/>
      <c r="B217" s="77"/>
      <c r="C217" s="77"/>
      <c r="D217" s="78"/>
      <c r="E217" s="79"/>
      <c r="F217" s="79"/>
      <c r="G217" s="79"/>
      <c r="H217" s="79"/>
      <c r="I217" s="75"/>
      <c r="J217" s="76"/>
      <c r="K217" s="76"/>
      <c r="L217" s="76"/>
      <c r="M217" s="80"/>
      <c r="N217" s="76"/>
      <c r="O217" s="76"/>
      <c r="P217" s="80"/>
      <c r="Q217" s="76"/>
      <c r="R217" s="76"/>
      <c r="S217" s="80"/>
      <c r="T217" s="76"/>
      <c r="U217" s="76"/>
      <c r="W217" s="169" t="str">
        <f t="shared" ca="1" si="608"/>
        <v/>
      </c>
      <c r="X217" s="169" t="str">
        <f t="shared" ca="1" si="609"/>
        <v/>
      </c>
      <c r="Y217" s="169" t="str">
        <f t="shared" ca="1" si="610"/>
        <v/>
      </c>
      <c r="Z217" s="170" t="str">
        <f t="shared" ca="1" si="611"/>
        <v/>
      </c>
    </row>
    <row r="218" spans="1:26" s="70" customFormat="1" ht="11.5" x14ac:dyDescent="0.25">
      <c r="A218" s="92" t="s">
        <v>66</v>
      </c>
      <c r="B218" s="92" t="s">
        <v>14</v>
      </c>
      <c r="C218" s="92" t="s">
        <v>838</v>
      </c>
      <c r="D218" s="92" t="s">
        <v>834</v>
      </c>
      <c r="E218" s="94">
        <f t="shared" si="618"/>
        <v>1</v>
      </c>
      <c r="F218" s="94">
        <f>(COUNTIFS(K218,"&lt;="&amp;$C$1)*50%)+(COUNTIFS(N218,"&lt;="&amp;$C$1)*20%)+(COUNTIFS(Q218,"&lt;="&amp;$C$1)*10%)+(COUNTIFS(T218,"&lt;="&amp;$C$1)*20%)</f>
        <v>1</v>
      </c>
      <c r="G218" s="94">
        <f t="shared" si="619"/>
        <v>1</v>
      </c>
      <c r="H218" s="94">
        <f t="shared" si="620"/>
        <v>0</v>
      </c>
      <c r="I218" s="95">
        <v>8.9999999999999993E-3</v>
      </c>
      <c r="J218" s="89">
        <v>46150</v>
      </c>
      <c r="K218" s="89">
        <f t="shared" ref="K218:K278" si="643">J218</f>
        <v>46150</v>
      </c>
      <c r="L218" s="89">
        <v>46175</v>
      </c>
      <c r="M218" s="89">
        <f t="shared" ref="M218:M278" si="644">J218+42</f>
        <v>46192</v>
      </c>
      <c r="N218" s="89">
        <f t="shared" ref="N218:N278" si="645">M218</f>
        <v>46192</v>
      </c>
      <c r="O218" s="89">
        <v>46191</v>
      </c>
      <c r="P218" s="89">
        <f t="shared" ref="P218:P278" si="646">M218+42</f>
        <v>46234</v>
      </c>
      <c r="Q218" s="89">
        <f t="shared" ref="Q218:Q278" si="647">P218</f>
        <v>46234</v>
      </c>
      <c r="R218" s="89">
        <v>46245</v>
      </c>
      <c r="S218" s="89">
        <f t="shared" ref="S218:S279" si="648">P218+14</f>
        <v>46248</v>
      </c>
      <c r="T218" s="89">
        <f t="shared" ref="T218:T278" si="649">S218</f>
        <v>46248</v>
      </c>
      <c r="U218" s="89">
        <v>46255</v>
      </c>
      <c r="W218" s="169" t="str">
        <f t="shared" ca="1" si="608"/>
        <v>Completed</v>
      </c>
      <c r="X218" s="169" t="str">
        <f t="shared" ca="1" si="609"/>
        <v>Completed</v>
      </c>
      <c r="Y218" s="169" t="str">
        <f t="shared" ca="1" si="610"/>
        <v>Completed</v>
      </c>
      <c r="Z218" s="170" t="str">
        <f t="shared" ca="1" si="611"/>
        <v>Completed</v>
      </c>
    </row>
    <row r="219" spans="1:26" s="70" customFormat="1" ht="11.5" x14ac:dyDescent="0.25">
      <c r="A219" s="92" t="s">
        <v>66</v>
      </c>
      <c r="B219" s="92" t="s">
        <v>14</v>
      </c>
      <c r="C219" s="92" t="s">
        <v>839</v>
      </c>
      <c r="D219" s="92" t="s">
        <v>835</v>
      </c>
      <c r="E219" s="94">
        <f t="shared" si="618"/>
        <v>1</v>
      </c>
      <c r="F219" s="94">
        <f>(COUNTIFS(K219,"&lt;="&amp;$C$1)*50%)+(COUNTIFS(N219,"&lt;="&amp;$C$1)*20%)+(COUNTIFS(Q219,"&lt;="&amp;$C$1)*10%)+(COUNTIFS(T219,"&lt;="&amp;$C$1)*20%)</f>
        <v>1</v>
      </c>
      <c r="G219" s="94">
        <f t="shared" si="619"/>
        <v>1</v>
      </c>
      <c r="H219" s="94">
        <f t="shared" si="620"/>
        <v>0</v>
      </c>
      <c r="I219" s="95">
        <v>8.9999999999999993E-3</v>
      </c>
      <c r="J219" s="89">
        <v>46150</v>
      </c>
      <c r="K219" s="89">
        <f t="shared" si="643"/>
        <v>46150</v>
      </c>
      <c r="L219" s="89">
        <v>46175</v>
      </c>
      <c r="M219" s="89">
        <f t="shared" si="644"/>
        <v>46192</v>
      </c>
      <c r="N219" s="89">
        <f t="shared" si="645"/>
        <v>46192</v>
      </c>
      <c r="O219" s="89">
        <v>46191</v>
      </c>
      <c r="P219" s="89">
        <f t="shared" si="646"/>
        <v>46234</v>
      </c>
      <c r="Q219" s="89">
        <f t="shared" si="647"/>
        <v>46234</v>
      </c>
      <c r="R219" s="89">
        <v>46245</v>
      </c>
      <c r="S219" s="89">
        <f t="shared" si="648"/>
        <v>46248</v>
      </c>
      <c r="T219" s="89">
        <f t="shared" si="649"/>
        <v>46248</v>
      </c>
      <c r="U219" s="89">
        <v>46255</v>
      </c>
      <c r="W219" s="169" t="str">
        <f t="shared" ca="1" si="608"/>
        <v>Completed</v>
      </c>
      <c r="X219" s="169" t="str">
        <f t="shared" ca="1" si="609"/>
        <v>Completed</v>
      </c>
      <c r="Y219" s="169" t="str">
        <f t="shared" ca="1" si="610"/>
        <v>Completed</v>
      </c>
      <c r="Z219" s="170" t="str">
        <f t="shared" ca="1" si="611"/>
        <v>Completed</v>
      </c>
    </row>
    <row r="220" spans="1:26" s="70" customFormat="1" ht="11.5" x14ac:dyDescent="0.25">
      <c r="A220" s="92" t="s">
        <v>66</v>
      </c>
      <c r="B220" s="92" t="s">
        <v>14</v>
      </c>
      <c r="C220" s="92" t="s">
        <v>840</v>
      </c>
      <c r="D220" s="92" t="s">
        <v>836</v>
      </c>
      <c r="E220" s="94">
        <f t="shared" si="618"/>
        <v>1</v>
      </c>
      <c r="F220" s="94">
        <f>(COUNTIFS(K220,"&lt;="&amp;$C$1)*50%)+(COUNTIFS(N220,"&lt;="&amp;$C$1)*20%)+(COUNTIFS(Q220,"&lt;="&amp;$C$1)*10%)+(COUNTIFS(T220,"&lt;="&amp;$C$1)*20%)</f>
        <v>1</v>
      </c>
      <c r="G220" s="94">
        <f t="shared" si="619"/>
        <v>1</v>
      </c>
      <c r="H220" s="94">
        <f t="shared" si="620"/>
        <v>0</v>
      </c>
      <c r="I220" s="95">
        <v>4.7E-2</v>
      </c>
      <c r="J220" s="89">
        <v>46150</v>
      </c>
      <c r="K220" s="89">
        <f t="shared" si="643"/>
        <v>46150</v>
      </c>
      <c r="L220" s="89">
        <v>46175</v>
      </c>
      <c r="M220" s="89">
        <f t="shared" si="644"/>
        <v>46192</v>
      </c>
      <c r="N220" s="89">
        <f t="shared" si="645"/>
        <v>46192</v>
      </c>
      <c r="O220" s="89">
        <v>46191</v>
      </c>
      <c r="P220" s="89">
        <f t="shared" si="646"/>
        <v>46234</v>
      </c>
      <c r="Q220" s="89">
        <f t="shared" si="647"/>
        <v>46234</v>
      </c>
      <c r="R220" s="89">
        <v>46245</v>
      </c>
      <c r="S220" s="89">
        <f t="shared" si="648"/>
        <v>46248</v>
      </c>
      <c r="T220" s="89">
        <f t="shared" si="649"/>
        <v>46248</v>
      </c>
      <c r="U220" s="89">
        <v>46255</v>
      </c>
      <c r="W220" s="169" t="str">
        <f t="shared" ca="1" si="608"/>
        <v>Completed</v>
      </c>
      <c r="X220" s="169" t="str">
        <f t="shared" ca="1" si="609"/>
        <v>Completed</v>
      </c>
      <c r="Y220" s="169" t="str">
        <f t="shared" ca="1" si="610"/>
        <v>Completed</v>
      </c>
      <c r="Z220" s="170" t="str">
        <f t="shared" ca="1" si="611"/>
        <v>Completed</v>
      </c>
    </row>
    <row r="221" spans="1:26" s="70" customFormat="1" ht="11.5" x14ac:dyDescent="0.25">
      <c r="A221" s="92" t="s">
        <v>66</v>
      </c>
      <c r="B221" s="92" t="s">
        <v>14</v>
      </c>
      <c r="C221" s="92" t="s">
        <v>841</v>
      </c>
      <c r="D221" s="92" t="s">
        <v>837</v>
      </c>
      <c r="E221" s="94">
        <f t="shared" si="618"/>
        <v>1</v>
      </c>
      <c r="F221" s="94">
        <f t="shared" si="619"/>
        <v>1</v>
      </c>
      <c r="G221" s="94">
        <f>(COUNTIFS(L221,"&lt;="&amp;$C$1)*50%)+(COUNTIFS(O221,"&lt;="&amp;$C$1)*20%)+(COUNTIFS(R221,"&lt;="&amp;$C$1)*10%)+(COUNTIFS(U221,"&lt;="&amp;$C$1)*20%)</f>
        <v>1</v>
      </c>
      <c r="H221" s="94">
        <f t="shared" si="620"/>
        <v>0</v>
      </c>
      <c r="I221" s="95">
        <v>4.7E-2</v>
      </c>
      <c r="J221" s="89">
        <v>46150</v>
      </c>
      <c r="K221" s="89">
        <f t="shared" si="643"/>
        <v>46150</v>
      </c>
      <c r="L221" s="89">
        <v>46175</v>
      </c>
      <c r="M221" s="89">
        <f t="shared" si="644"/>
        <v>46192</v>
      </c>
      <c r="N221" s="89">
        <f t="shared" si="645"/>
        <v>46192</v>
      </c>
      <c r="O221" s="89">
        <v>46191</v>
      </c>
      <c r="P221" s="89">
        <f t="shared" si="646"/>
        <v>46234</v>
      </c>
      <c r="Q221" s="89">
        <f t="shared" si="647"/>
        <v>46234</v>
      </c>
      <c r="R221" s="89">
        <v>46245</v>
      </c>
      <c r="S221" s="89">
        <f t="shared" si="648"/>
        <v>46248</v>
      </c>
      <c r="T221" s="89">
        <f t="shared" si="649"/>
        <v>46248</v>
      </c>
      <c r="U221" s="89">
        <v>46255</v>
      </c>
      <c r="W221" s="169" t="str">
        <f t="shared" ca="1" si="608"/>
        <v>Completed</v>
      </c>
      <c r="X221" s="169" t="str">
        <f t="shared" ca="1" si="609"/>
        <v>Completed</v>
      </c>
      <c r="Y221" s="169" t="str">
        <f t="shared" ca="1" si="610"/>
        <v>Completed</v>
      </c>
      <c r="Z221" s="170" t="str">
        <f t="shared" ca="1" si="611"/>
        <v>Completed</v>
      </c>
    </row>
    <row r="222" spans="1:26" s="70" customFormat="1" ht="11.5" x14ac:dyDescent="0.25">
      <c r="A222" s="92" t="s">
        <v>66</v>
      </c>
      <c r="B222" s="92" t="s">
        <v>14</v>
      </c>
      <c r="C222" s="92" t="s">
        <v>222</v>
      </c>
      <c r="D222" s="91" t="s">
        <v>223</v>
      </c>
      <c r="E222" s="93">
        <f t="shared" si="618"/>
        <v>1</v>
      </c>
      <c r="F222" s="93">
        <f t="shared" si="619"/>
        <v>1</v>
      </c>
      <c r="G222" s="93">
        <f>(COUNTIFS(L222,"&lt;="&amp;$C$1)*50%)+(COUNTIFS(O222,"&lt;="&amp;$C$1)*20%)+(COUNTIFS(R222,"&lt;="&amp;$C$1)*10%)+(COUNTIFS(U222,"&lt;="&amp;$C$1)*20%)</f>
        <v>1</v>
      </c>
      <c r="H222" s="93">
        <f t="shared" si="620"/>
        <v>0</v>
      </c>
      <c r="I222" s="129">
        <v>4.7E-2</v>
      </c>
      <c r="J222" s="89">
        <v>46150</v>
      </c>
      <c r="K222" s="89">
        <f t="shared" si="643"/>
        <v>46150</v>
      </c>
      <c r="L222" s="157">
        <v>46199</v>
      </c>
      <c r="M222" s="89">
        <f t="shared" si="644"/>
        <v>46192</v>
      </c>
      <c r="N222" s="89">
        <f t="shared" si="645"/>
        <v>46192</v>
      </c>
      <c r="O222" s="157">
        <v>46199</v>
      </c>
      <c r="P222" s="89">
        <f t="shared" si="646"/>
        <v>46234</v>
      </c>
      <c r="Q222" s="89">
        <f t="shared" si="647"/>
        <v>46234</v>
      </c>
      <c r="R222" s="157">
        <v>46234</v>
      </c>
      <c r="S222" s="89">
        <f t="shared" si="648"/>
        <v>46248</v>
      </c>
      <c r="T222" s="89">
        <f t="shared" si="649"/>
        <v>46248</v>
      </c>
      <c r="U222" s="157">
        <v>46248</v>
      </c>
      <c r="W222" s="169" t="str">
        <f t="shared" ca="1" si="608"/>
        <v>Completed</v>
      </c>
      <c r="X222" s="169" t="str">
        <f t="shared" ca="1" si="609"/>
        <v>Completed</v>
      </c>
      <c r="Y222" s="169" t="str">
        <f t="shared" ca="1" si="610"/>
        <v>Completed</v>
      </c>
      <c r="Z222" s="170" t="str">
        <f t="shared" ca="1" si="611"/>
        <v>Completed</v>
      </c>
    </row>
    <row r="223" spans="1:26" s="70" customFormat="1" ht="11.5" x14ac:dyDescent="0.25">
      <c r="A223" s="92" t="s">
        <v>66</v>
      </c>
      <c r="B223" s="92" t="s">
        <v>14</v>
      </c>
      <c r="C223" s="92" t="s">
        <v>224</v>
      </c>
      <c r="D223" s="91" t="s">
        <v>225</v>
      </c>
      <c r="E223" s="93">
        <f t="shared" si="618"/>
        <v>1</v>
      </c>
      <c r="F223" s="93">
        <f t="shared" si="619"/>
        <v>1</v>
      </c>
      <c r="G223" s="93">
        <f t="shared" si="619"/>
        <v>1</v>
      </c>
      <c r="H223" s="93">
        <f t="shared" si="620"/>
        <v>0</v>
      </c>
      <c r="I223" s="129">
        <v>4.7E-2</v>
      </c>
      <c r="J223" s="89">
        <v>46150</v>
      </c>
      <c r="K223" s="89">
        <f t="shared" si="643"/>
        <v>46150</v>
      </c>
      <c r="L223" s="157">
        <v>46199</v>
      </c>
      <c r="M223" s="89">
        <f t="shared" si="644"/>
        <v>46192</v>
      </c>
      <c r="N223" s="89">
        <f t="shared" si="645"/>
        <v>46192</v>
      </c>
      <c r="O223" s="157">
        <v>46199</v>
      </c>
      <c r="P223" s="89">
        <f t="shared" si="646"/>
        <v>46234</v>
      </c>
      <c r="Q223" s="89">
        <f t="shared" si="647"/>
        <v>46234</v>
      </c>
      <c r="R223" s="157">
        <v>46234</v>
      </c>
      <c r="S223" s="89">
        <f t="shared" si="648"/>
        <v>46248</v>
      </c>
      <c r="T223" s="89">
        <f t="shared" si="649"/>
        <v>46248</v>
      </c>
      <c r="U223" s="157">
        <v>46248</v>
      </c>
      <c r="W223" s="169" t="str">
        <f t="shared" ca="1" si="608"/>
        <v>Completed</v>
      </c>
      <c r="X223" s="169" t="str">
        <f t="shared" ca="1" si="609"/>
        <v>Completed</v>
      </c>
      <c r="Y223" s="169" t="str">
        <f t="shared" ca="1" si="610"/>
        <v>Completed</v>
      </c>
      <c r="Z223" s="170" t="str">
        <f t="shared" ca="1" si="611"/>
        <v>Completed</v>
      </c>
    </row>
    <row r="224" spans="1:26" s="70" customFormat="1" ht="11.5" x14ac:dyDescent="0.25">
      <c r="A224" s="92" t="s">
        <v>66</v>
      </c>
      <c r="B224" s="92" t="s">
        <v>14</v>
      </c>
      <c r="C224" s="92" t="s">
        <v>226</v>
      </c>
      <c r="D224" s="91" t="s">
        <v>227</v>
      </c>
      <c r="E224" s="93">
        <f t="shared" si="618"/>
        <v>1</v>
      </c>
      <c r="F224" s="93">
        <f t="shared" si="619"/>
        <v>1</v>
      </c>
      <c r="G224" s="93">
        <f t="shared" si="619"/>
        <v>0.79999999999999993</v>
      </c>
      <c r="H224" s="93">
        <f t="shared" si="620"/>
        <v>-0.20000000000000007</v>
      </c>
      <c r="I224" s="129">
        <v>4.7E-2</v>
      </c>
      <c r="J224" s="89">
        <v>46150</v>
      </c>
      <c r="K224" s="89">
        <f t="shared" si="643"/>
        <v>46150</v>
      </c>
      <c r="L224" s="89">
        <v>46130</v>
      </c>
      <c r="M224" s="89">
        <f t="shared" si="644"/>
        <v>46192</v>
      </c>
      <c r="N224" s="89">
        <f t="shared" si="645"/>
        <v>46192</v>
      </c>
      <c r="O224" s="89">
        <v>46198</v>
      </c>
      <c r="P224" s="89">
        <f t="shared" si="646"/>
        <v>46234</v>
      </c>
      <c r="Q224" s="89">
        <f t="shared" si="647"/>
        <v>46234</v>
      </c>
      <c r="R224" s="89">
        <v>46234</v>
      </c>
      <c r="S224" s="89">
        <f t="shared" si="648"/>
        <v>46248</v>
      </c>
      <c r="T224" s="89">
        <f t="shared" si="649"/>
        <v>46248</v>
      </c>
      <c r="U224" s="89"/>
      <c r="W224" s="169" t="str">
        <f t="shared" ca="1" si="608"/>
        <v>Completed</v>
      </c>
      <c r="X224" s="169" t="str">
        <f t="shared" ca="1" si="609"/>
        <v>Completed</v>
      </c>
      <c r="Y224" s="169" t="str">
        <f t="shared" ca="1" si="610"/>
        <v>Completed</v>
      </c>
      <c r="Z224" s="170" t="str">
        <f t="shared" ca="1" si="611"/>
        <v>Overdue</v>
      </c>
    </row>
    <row r="225" spans="1:26" s="70" customFormat="1" ht="11.5" x14ac:dyDescent="0.25">
      <c r="A225" s="92" t="s">
        <v>66</v>
      </c>
      <c r="B225" s="92" t="s">
        <v>14</v>
      </c>
      <c r="C225" s="92" t="s">
        <v>228</v>
      </c>
      <c r="D225" s="91" t="s">
        <v>229</v>
      </c>
      <c r="E225" s="93">
        <f t="shared" si="618"/>
        <v>1</v>
      </c>
      <c r="F225" s="93">
        <f t="shared" si="619"/>
        <v>1</v>
      </c>
      <c r="G225" s="93">
        <f t="shared" si="619"/>
        <v>0.79999999999999993</v>
      </c>
      <c r="H225" s="93">
        <f t="shared" si="620"/>
        <v>-0.20000000000000007</v>
      </c>
      <c r="I225" s="129">
        <v>4.7E-2</v>
      </c>
      <c r="J225" s="89">
        <v>46150</v>
      </c>
      <c r="K225" s="89">
        <f t="shared" si="643"/>
        <v>46150</v>
      </c>
      <c r="L225" s="89">
        <v>46130</v>
      </c>
      <c r="M225" s="89">
        <f t="shared" si="644"/>
        <v>46192</v>
      </c>
      <c r="N225" s="89">
        <f t="shared" si="645"/>
        <v>46192</v>
      </c>
      <c r="O225" s="89">
        <v>46198</v>
      </c>
      <c r="P225" s="89">
        <f t="shared" si="646"/>
        <v>46234</v>
      </c>
      <c r="Q225" s="89">
        <f t="shared" si="647"/>
        <v>46234</v>
      </c>
      <c r="R225" s="89">
        <v>46234</v>
      </c>
      <c r="S225" s="89">
        <f t="shared" si="648"/>
        <v>46248</v>
      </c>
      <c r="T225" s="89">
        <f t="shared" si="649"/>
        <v>46248</v>
      </c>
      <c r="U225" s="89"/>
      <c r="W225" s="169" t="str">
        <f t="shared" ca="1" si="608"/>
        <v>Completed</v>
      </c>
      <c r="X225" s="169" t="str">
        <f t="shared" ca="1" si="609"/>
        <v>Completed</v>
      </c>
      <c r="Y225" s="169" t="str">
        <f t="shared" ca="1" si="610"/>
        <v>Completed</v>
      </c>
      <c r="Z225" s="170" t="str">
        <f t="shared" ca="1" si="611"/>
        <v>Overdue</v>
      </c>
    </row>
    <row r="226" spans="1:26" s="70" customFormat="1" ht="11.5" x14ac:dyDescent="0.25">
      <c r="A226" s="92" t="s">
        <v>66</v>
      </c>
      <c r="B226" s="92" t="s">
        <v>14</v>
      </c>
      <c r="C226" s="92" t="s">
        <v>230</v>
      </c>
      <c r="D226" s="91" t="s">
        <v>231</v>
      </c>
      <c r="E226" s="93">
        <f t="shared" si="618"/>
        <v>1</v>
      </c>
      <c r="F226" s="93">
        <f t="shared" si="619"/>
        <v>1</v>
      </c>
      <c r="G226" s="93">
        <f t="shared" si="619"/>
        <v>0.79999999999999993</v>
      </c>
      <c r="H226" s="93">
        <f t="shared" si="620"/>
        <v>-0.20000000000000007</v>
      </c>
      <c r="I226" s="129">
        <v>4.7E-2</v>
      </c>
      <c r="J226" s="89">
        <v>46150</v>
      </c>
      <c r="K226" s="89">
        <f t="shared" si="643"/>
        <v>46150</v>
      </c>
      <c r="L226" s="89">
        <v>46130</v>
      </c>
      <c r="M226" s="89">
        <f t="shared" si="644"/>
        <v>46192</v>
      </c>
      <c r="N226" s="89">
        <f t="shared" si="645"/>
        <v>46192</v>
      </c>
      <c r="O226" s="89">
        <v>46198</v>
      </c>
      <c r="P226" s="89">
        <f t="shared" si="646"/>
        <v>46234</v>
      </c>
      <c r="Q226" s="89">
        <f t="shared" si="647"/>
        <v>46234</v>
      </c>
      <c r="R226" s="89">
        <v>46234</v>
      </c>
      <c r="S226" s="89">
        <f t="shared" si="648"/>
        <v>46248</v>
      </c>
      <c r="T226" s="89">
        <f t="shared" si="649"/>
        <v>46248</v>
      </c>
      <c r="U226" s="89"/>
      <c r="W226" s="169" t="str">
        <f t="shared" ca="1" si="608"/>
        <v>Completed</v>
      </c>
      <c r="X226" s="169" t="str">
        <f t="shared" ca="1" si="609"/>
        <v>Completed</v>
      </c>
      <c r="Y226" s="169" t="str">
        <f t="shared" ca="1" si="610"/>
        <v>Completed</v>
      </c>
      <c r="Z226" s="170" t="str">
        <f t="shared" ca="1" si="611"/>
        <v>Overdue</v>
      </c>
    </row>
    <row r="227" spans="1:26" s="70" customFormat="1" ht="11.5" x14ac:dyDescent="0.25">
      <c r="A227" s="92" t="s">
        <v>66</v>
      </c>
      <c r="B227" s="92" t="s">
        <v>14</v>
      </c>
      <c r="C227" s="92" t="s">
        <v>232</v>
      </c>
      <c r="D227" s="91" t="s">
        <v>233</v>
      </c>
      <c r="E227" s="93">
        <f t="shared" si="618"/>
        <v>1</v>
      </c>
      <c r="F227" s="93">
        <f t="shared" si="619"/>
        <v>1</v>
      </c>
      <c r="G227" s="93">
        <f t="shared" si="619"/>
        <v>0.79999999999999993</v>
      </c>
      <c r="H227" s="93">
        <f t="shared" si="620"/>
        <v>-0.20000000000000007</v>
      </c>
      <c r="I227" s="129">
        <v>4.7E-2</v>
      </c>
      <c r="J227" s="89">
        <v>46150</v>
      </c>
      <c r="K227" s="89">
        <f t="shared" si="643"/>
        <v>46150</v>
      </c>
      <c r="L227" s="89">
        <v>46130</v>
      </c>
      <c r="M227" s="89">
        <f t="shared" si="644"/>
        <v>46192</v>
      </c>
      <c r="N227" s="89">
        <f t="shared" si="645"/>
        <v>46192</v>
      </c>
      <c r="O227" s="89">
        <v>46198</v>
      </c>
      <c r="P227" s="89">
        <f t="shared" si="646"/>
        <v>46234</v>
      </c>
      <c r="Q227" s="89">
        <f t="shared" si="647"/>
        <v>46234</v>
      </c>
      <c r="R227" s="89">
        <v>46234</v>
      </c>
      <c r="S227" s="89">
        <f t="shared" si="648"/>
        <v>46248</v>
      </c>
      <c r="T227" s="89">
        <f t="shared" si="649"/>
        <v>46248</v>
      </c>
      <c r="U227" s="89"/>
      <c r="W227" s="169" t="str">
        <f t="shared" ca="1" si="608"/>
        <v>Completed</v>
      </c>
      <c r="X227" s="169" t="str">
        <f t="shared" ca="1" si="609"/>
        <v>Completed</v>
      </c>
      <c r="Y227" s="169" t="str">
        <f t="shared" ca="1" si="610"/>
        <v>Completed</v>
      </c>
      <c r="Z227" s="170" t="str">
        <f t="shared" ca="1" si="611"/>
        <v>Overdue</v>
      </c>
    </row>
    <row r="228" spans="1:26" s="70" customFormat="1" ht="11.5" x14ac:dyDescent="0.25">
      <c r="A228" s="92" t="s">
        <v>66</v>
      </c>
      <c r="B228" s="92" t="s">
        <v>14</v>
      </c>
      <c r="C228" s="92" t="s">
        <v>234</v>
      </c>
      <c r="D228" s="91" t="s">
        <v>235</v>
      </c>
      <c r="E228" s="93">
        <f t="shared" si="618"/>
        <v>1</v>
      </c>
      <c r="F228" s="93">
        <f t="shared" si="619"/>
        <v>1</v>
      </c>
      <c r="G228" s="93">
        <f t="shared" si="619"/>
        <v>0.79999999999999993</v>
      </c>
      <c r="H228" s="93">
        <f t="shared" si="620"/>
        <v>-0.20000000000000007</v>
      </c>
      <c r="I228" s="129">
        <v>4.7E-2</v>
      </c>
      <c r="J228" s="89">
        <v>46150</v>
      </c>
      <c r="K228" s="89">
        <f t="shared" si="643"/>
        <v>46150</v>
      </c>
      <c r="L228" s="89">
        <v>46130</v>
      </c>
      <c r="M228" s="89">
        <f t="shared" si="644"/>
        <v>46192</v>
      </c>
      <c r="N228" s="89">
        <f t="shared" si="645"/>
        <v>46192</v>
      </c>
      <c r="O228" s="89">
        <v>46198</v>
      </c>
      <c r="P228" s="89">
        <f t="shared" si="646"/>
        <v>46234</v>
      </c>
      <c r="Q228" s="89">
        <f t="shared" si="647"/>
        <v>46234</v>
      </c>
      <c r="R228" s="89">
        <v>46234</v>
      </c>
      <c r="S228" s="89">
        <f t="shared" si="648"/>
        <v>46248</v>
      </c>
      <c r="T228" s="89">
        <f t="shared" si="649"/>
        <v>46248</v>
      </c>
      <c r="U228" s="89"/>
      <c r="W228" s="169" t="str">
        <f t="shared" ca="1" si="608"/>
        <v>Completed</v>
      </c>
      <c r="X228" s="169" t="str">
        <f t="shared" ca="1" si="609"/>
        <v>Completed</v>
      </c>
      <c r="Y228" s="169" t="str">
        <f t="shared" ca="1" si="610"/>
        <v>Completed</v>
      </c>
      <c r="Z228" s="170" t="str">
        <f t="shared" ca="1" si="611"/>
        <v>Overdue</v>
      </c>
    </row>
    <row r="229" spans="1:26" s="70" customFormat="1" ht="11.5" x14ac:dyDescent="0.25">
      <c r="A229" s="92" t="s">
        <v>66</v>
      </c>
      <c r="B229" s="92" t="s">
        <v>14</v>
      </c>
      <c r="C229" s="92" t="s">
        <v>236</v>
      </c>
      <c r="D229" s="91" t="s">
        <v>237</v>
      </c>
      <c r="E229" s="93">
        <f t="shared" si="618"/>
        <v>1</v>
      </c>
      <c r="F229" s="93">
        <f t="shared" si="619"/>
        <v>1</v>
      </c>
      <c r="G229" s="93">
        <f t="shared" si="619"/>
        <v>0.79999999999999993</v>
      </c>
      <c r="H229" s="93">
        <f t="shared" si="620"/>
        <v>-0.20000000000000007</v>
      </c>
      <c r="I229" s="129">
        <v>4.7E-2</v>
      </c>
      <c r="J229" s="89">
        <v>46150</v>
      </c>
      <c r="K229" s="89">
        <f t="shared" si="643"/>
        <v>46150</v>
      </c>
      <c r="L229" s="89">
        <v>46130</v>
      </c>
      <c r="M229" s="89">
        <f t="shared" si="644"/>
        <v>46192</v>
      </c>
      <c r="N229" s="89">
        <f t="shared" si="645"/>
        <v>46192</v>
      </c>
      <c r="O229" s="89">
        <v>46198</v>
      </c>
      <c r="P229" s="89">
        <f t="shared" si="646"/>
        <v>46234</v>
      </c>
      <c r="Q229" s="89">
        <f t="shared" si="647"/>
        <v>46234</v>
      </c>
      <c r="R229" s="89">
        <v>46234</v>
      </c>
      <c r="S229" s="89">
        <f t="shared" si="648"/>
        <v>46248</v>
      </c>
      <c r="T229" s="89">
        <f t="shared" si="649"/>
        <v>46248</v>
      </c>
      <c r="U229" s="89"/>
      <c r="W229" s="169" t="str">
        <f t="shared" ca="1" si="608"/>
        <v>Completed</v>
      </c>
      <c r="X229" s="169" t="str">
        <f t="shared" ca="1" si="609"/>
        <v>Completed</v>
      </c>
      <c r="Y229" s="169" t="str">
        <f t="shared" ca="1" si="610"/>
        <v>Completed</v>
      </c>
      <c r="Z229" s="170" t="str">
        <f t="shared" ca="1" si="611"/>
        <v>Overdue</v>
      </c>
    </row>
    <row r="230" spans="1:26" s="70" customFormat="1" ht="11.5" x14ac:dyDescent="0.25">
      <c r="A230" s="92" t="s">
        <v>66</v>
      </c>
      <c r="B230" s="92" t="s">
        <v>14</v>
      </c>
      <c r="C230" s="92" t="s">
        <v>238</v>
      </c>
      <c r="D230" s="91" t="s">
        <v>239</v>
      </c>
      <c r="E230" s="93">
        <f t="shared" si="618"/>
        <v>1</v>
      </c>
      <c r="F230" s="93">
        <f t="shared" si="619"/>
        <v>1</v>
      </c>
      <c r="G230" s="93">
        <f t="shared" si="619"/>
        <v>0.79999999999999993</v>
      </c>
      <c r="H230" s="93">
        <f t="shared" si="620"/>
        <v>-0.20000000000000007</v>
      </c>
      <c r="I230" s="129">
        <v>4.7E-2</v>
      </c>
      <c r="J230" s="89">
        <v>46150</v>
      </c>
      <c r="K230" s="89">
        <f t="shared" si="643"/>
        <v>46150</v>
      </c>
      <c r="L230" s="89">
        <v>46130</v>
      </c>
      <c r="M230" s="89">
        <f t="shared" si="644"/>
        <v>46192</v>
      </c>
      <c r="N230" s="89">
        <f t="shared" si="645"/>
        <v>46192</v>
      </c>
      <c r="O230" s="89">
        <v>46198</v>
      </c>
      <c r="P230" s="89">
        <f t="shared" si="646"/>
        <v>46234</v>
      </c>
      <c r="Q230" s="89">
        <f t="shared" si="647"/>
        <v>46234</v>
      </c>
      <c r="R230" s="89">
        <v>46234</v>
      </c>
      <c r="S230" s="89">
        <f t="shared" si="648"/>
        <v>46248</v>
      </c>
      <c r="T230" s="89">
        <f t="shared" si="649"/>
        <v>46248</v>
      </c>
      <c r="U230" s="89"/>
      <c r="W230" s="169" t="str">
        <f t="shared" ca="1" si="608"/>
        <v>Completed</v>
      </c>
      <c r="X230" s="169" t="str">
        <f t="shared" ca="1" si="609"/>
        <v>Completed</v>
      </c>
      <c r="Y230" s="169" t="str">
        <f t="shared" ca="1" si="610"/>
        <v>Completed</v>
      </c>
      <c r="Z230" s="170" t="str">
        <f t="shared" ca="1" si="611"/>
        <v>Overdue</v>
      </c>
    </row>
    <row r="231" spans="1:26" s="70" customFormat="1" ht="11.5" x14ac:dyDescent="0.25">
      <c r="A231" s="92" t="s">
        <v>66</v>
      </c>
      <c r="B231" s="92" t="s">
        <v>14</v>
      </c>
      <c r="C231" s="92" t="s">
        <v>240</v>
      </c>
      <c r="D231" s="91" t="s">
        <v>241</v>
      </c>
      <c r="E231" s="93">
        <f t="shared" si="618"/>
        <v>1</v>
      </c>
      <c r="F231" s="93">
        <f t="shared" si="619"/>
        <v>1</v>
      </c>
      <c r="G231" s="93">
        <f t="shared" si="619"/>
        <v>0.79999999999999993</v>
      </c>
      <c r="H231" s="93">
        <f t="shared" si="620"/>
        <v>-0.20000000000000007</v>
      </c>
      <c r="I231" s="129">
        <v>4.7E-2</v>
      </c>
      <c r="J231" s="89">
        <v>46150</v>
      </c>
      <c r="K231" s="89">
        <f t="shared" si="643"/>
        <v>46150</v>
      </c>
      <c r="L231" s="89">
        <v>46130</v>
      </c>
      <c r="M231" s="89">
        <f t="shared" si="644"/>
        <v>46192</v>
      </c>
      <c r="N231" s="89">
        <f t="shared" si="645"/>
        <v>46192</v>
      </c>
      <c r="O231" s="89">
        <v>46198</v>
      </c>
      <c r="P231" s="89">
        <f t="shared" si="646"/>
        <v>46234</v>
      </c>
      <c r="Q231" s="89">
        <f t="shared" si="647"/>
        <v>46234</v>
      </c>
      <c r="R231" s="89">
        <v>46234</v>
      </c>
      <c r="S231" s="89">
        <f t="shared" si="648"/>
        <v>46248</v>
      </c>
      <c r="T231" s="89">
        <f t="shared" si="649"/>
        <v>46248</v>
      </c>
      <c r="U231" s="89"/>
      <c r="W231" s="169" t="str">
        <f t="shared" ca="1" si="608"/>
        <v>Completed</v>
      </c>
      <c r="X231" s="169" t="str">
        <f t="shared" ca="1" si="609"/>
        <v>Completed</v>
      </c>
      <c r="Y231" s="169" t="str">
        <f t="shared" ca="1" si="610"/>
        <v>Completed</v>
      </c>
      <c r="Z231" s="170" t="str">
        <f t="shared" ca="1" si="611"/>
        <v>Overdue</v>
      </c>
    </row>
    <row r="232" spans="1:26" s="70" customFormat="1" ht="11.5" x14ac:dyDescent="0.25">
      <c r="A232" s="92" t="s">
        <v>66</v>
      </c>
      <c r="B232" s="92" t="s">
        <v>14</v>
      </c>
      <c r="C232" s="92" t="s">
        <v>242</v>
      </c>
      <c r="D232" s="91" t="s">
        <v>243</v>
      </c>
      <c r="E232" s="93">
        <f t="shared" si="618"/>
        <v>1</v>
      </c>
      <c r="F232" s="93">
        <f t="shared" si="619"/>
        <v>1</v>
      </c>
      <c r="G232" s="93">
        <f t="shared" si="619"/>
        <v>0.79999999999999993</v>
      </c>
      <c r="H232" s="93">
        <f t="shared" si="620"/>
        <v>-0.20000000000000007</v>
      </c>
      <c r="I232" s="129">
        <v>4.7E-2</v>
      </c>
      <c r="J232" s="89">
        <v>46150</v>
      </c>
      <c r="K232" s="89">
        <f t="shared" si="643"/>
        <v>46150</v>
      </c>
      <c r="L232" s="89">
        <v>46130</v>
      </c>
      <c r="M232" s="89">
        <f t="shared" si="644"/>
        <v>46192</v>
      </c>
      <c r="N232" s="89">
        <f t="shared" si="645"/>
        <v>46192</v>
      </c>
      <c r="O232" s="89">
        <v>46198</v>
      </c>
      <c r="P232" s="89">
        <f t="shared" si="646"/>
        <v>46234</v>
      </c>
      <c r="Q232" s="89">
        <f t="shared" si="647"/>
        <v>46234</v>
      </c>
      <c r="R232" s="89">
        <v>46234</v>
      </c>
      <c r="S232" s="89">
        <f t="shared" si="648"/>
        <v>46248</v>
      </c>
      <c r="T232" s="89">
        <f t="shared" si="649"/>
        <v>46248</v>
      </c>
      <c r="U232" s="89"/>
      <c r="W232" s="169" t="str">
        <f t="shared" ca="1" si="608"/>
        <v>Completed</v>
      </c>
      <c r="X232" s="169" t="str">
        <f t="shared" ca="1" si="609"/>
        <v>Completed</v>
      </c>
      <c r="Y232" s="169" t="str">
        <f t="shared" ca="1" si="610"/>
        <v>Completed</v>
      </c>
      <c r="Z232" s="170" t="str">
        <f t="shared" ca="1" si="611"/>
        <v>Overdue</v>
      </c>
    </row>
    <row r="233" spans="1:26" s="70" customFormat="1" ht="11.5" x14ac:dyDescent="0.25">
      <c r="A233" s="92" t="s">
        <v>66</v>
      </c>
      <c r="B233" s="92" t="s">
        <v>14</v>
      </c>
      <c r="C233" s="92" t="s">
        <v>244</v>
      </c>
      <c r="D233" s="91" t="s">
        <v>245</v>
      </c>
      <c r="E233" s="93">
        <f t="shared" si="618"/>
        <v>1</v>
      </c>
      <c r="F233" s="93">
        <f t="shared" si="619"/>
        <v>1</v>
      </c>
      <c r="G233" s="93">
        <f t="shared" si="619"/>
        <v>0.79999999999999993</v>
      </c>
      <c r="H233" s="93">
        <f t="shared" si="620"/>
        <v>-0.20000000000000007</v>
      </c>
      <c r="I233" s="129">
        <v>4.7E-2</v>
      </c>
      <c r="J233" s="89">
        <v>46150</v>
      </c>
      <c r="K233" s="89">
        <f t="shared" si="643"/>
        <v>46150</v>
      </c>
      <c r="L233" s="89">
        <v>46130</v>
      </c>
      <c r="M233" s="89">
        <f t="shared" si="644"/>
        <v>46192</v>
      </c>
      <c r="N233" s="89">
        <f t="shared" si="645"/>
        <v>46192</v>
      </c>
      <c r="O233" s="89">
        <v>46198</v>
      </c>
      <c r="P233" s="89">
        <f t="shared" si="646"/>
        <v>46234</v>
      </c>
      <c r="Q233" s="89">
        <f t="shared" si="647"/>
        <v>46234</v>
      </c>
      <c r="R233" s="89">
        <v>46234</v>
      </c>
      <c r="S233" s="89">
        <f t="shared" si="648"/>
        <v>46248</v>
      </c>
      <c r="T233" s="89">
        <f t="shared" si="649"/>
        <v>46248</v>
      </c>
      <c r="U233" s="89"/>
      <c r="W233" s="169" t="str">
        <f t="shared" ca="1" si="608"/>
        <v>Completed</v>
      </c>
      <c r="X233" s="169" t="str">
        <f t="shared" ca="1" si="609"/>
        <v>Completed</v>
      </c>
      <c r="Y233" s="169" t="str">
        <f t="shared" ca="1" si="610"/>
        <v>Completed</v>
      </c>
      <c r="Z233" s="170" t="str">
        <f t="shared" ca="1" si="611"/>
        <v>Overdue</v>
      </c>
    </row>
    <row r="234" spans="1:26" s="70" customFormat="1" ht="11.5" x14ac:dyDescent="0.25">
      <c r="A234" s="92" t="s">
        <v>66</v>
      </c>
      <c r="B234" s="92" t="s">
        <v>14</v>
      </c>
      <c r="C234" s="92" t="s">
        <v>246</v>
      </c>
      <c r="D234" s="91" t="s">
        <v>247</v>
      </c>
      <c r="E234" s="93">
        <f t="shared" si="618"/>
        <v>1</v>
      </c>
      <c r="F234" s="93">
        <f t="shared" si="619"/>
        <v>1</v>
      </c>
      <c r="G234" s="93">
        <f t="shared" si="619"/>
        <v>0.79999999999999993</v>
      </c>
      <c r="H234" s="93">
        <f t="shared" si="620"/>
        <v>-0.20000000000000007</v>
      </c>
      <c r="I234" s="129">
        <v>4.7E-2</v>
      </c>
      <c r="J234" s="89">
        <v>46150</v>
      </c>
      <c r="K234" s="89">
        <f t="shared" si="643"/>
        <v>46150</v>
      </c>
      <c r="L234" s="89">
        <v>46130</v>
      </c>
      <c r="M234" s="89">
        <f t="shared" si="644"/>
        <v>46192</v>
      </c>
      <c r="N234" s="89">
        <f t="shared" si="645"/>
        <v>46192</v>
      </c>
      <c r="O234" s="89">
        <v>46198</v>
      </c>
      <c r="P234" s="89">
        <f t="shared" si="646"/>
        <v>46234</v>
      </c>
      <c r="Q234" s="89">
        <f t="shared" si="647"/>
        <v>46234</v>
      </c>
      <c r="R234" s="89">
        <v>46234</v>
      </c>
      <c r="S234" s="89">
        <f t="shared" si="648"/>
        <v>46248</v>
      </c>
      <c r="T234" s="89">
        <f t="shared" si="649"/>
        <v>46248</v>
      </c>
      <c r="U234" s="89"/>
      <c r="W234" s="169" t="str">
        <f t="shared" ca="1" si="608"/>
        <v>Completed</v>
      </c>
      <c r="X234" s="169" t="str">
        <f t="shared" ca="1" si="609"/>
        <v>Completed</v>
      </c>
      <c r="Y234" s="169" t="str">
        <f t="shared" ca="1" si="610"/>
        <v>Completed</v>
      </c>
      <c r="Z234" s="170" t="str">
        <f t="shared" ca="1" si="611"/>
        <v>Overdue</v>
      </c>
    </row>
    <row r="235" spans="1:26" s="70" customFormat="1" ht="11.5" x14ac:dyDescent="0.25">
      <c r="A235" s="92" t="s">
        <v>66</v>
      </c>
      <c r="B235" s="92" t="s">
        <v>14</v>
      </c>
      <c r="C235" s="92" t="s">
        <v>248</v>
      </c>
      <c r="D235" s="91" t="s">
        <v>249</v>
      </c>
      <c r="E235" s="93">
        <f t="shared" si="618"/>
        <v>1</v>
      </c>
      <c r="F235" s="93">
        <f t="shared" si="619"/>
        <v>1</v>
      </c>
      <c r="G235" s="93">
        <f t="shared" si="619"/>
        <v>0.79999999999999993</v>
      </c>
      <c r="H235" s="93">
        <f t="shared" si="620"/>
        <v>-0.20000000000000007</v>
      </c>
      <c r="I235" s="129">
        <v>4.7E-2</v>
      </c>
      <c r="J235" s="89">
        <v>46150</v>
      </c>
      <c r="K235" s="89">
        <f t="shared" si="643"/>
        <v>46150</v>
      </c>
      <c r="L235" s="89">
        <v>46130</v>
      </c>
      <c r="M235" s="89">
        <f t="shared" si="644"/>
        <v>46192</v>
      </c>
      <c r="N235" s="89">
        <f t="shared" si="645"/>
        <v>46192</v>
      </c>
      <c r="O235" s="89">
        <v>46198</v>
      </c>
      <c r="P235" s="89">
        <f t="shared" si="646"/>
        <v>46234</v>
      </c>
      <c r="Q235" s="89">
        <f t="shared" si="647"/>
        <v>46234</v>
      </c>
      <c r="R235" s="89">
        <v>46234</v>
      </c>
      <c r="S235" s="89">
        <f t="shared" si="648"/>
        <v>46248</v>
      </c>
      <c r="T235" s="89">
        <f t="shared" si="649"/>
        <v>46248</v>
      </c>
      <c r="U235" s="89"/>
      <c r="W235" s="169" t="str">
        <f t="shared" ca="1" si="608"/>
        <v>Completed</v>
      </c>
      <c r="X235" s="169" t="str">
        <f t="shared" ca="1" si="609"/>
        <v>Completed</v>
      </c>
      <c r="Y235" s="169" t="str">
        <f t="shared" ca="1" si="610"/>
        <v>Completed</v>
      </c>
      <c r="Z235" s="170" t="str">
        <f t="shared" ca="1" si="611"/>
        <v>Overdue</v>
      </c>
    </row>
    <row r="236" spans="1:26" s="70" customFormat="1" ht="11.5" x14ac:dyDescent="0.25">
      <c r="A236" s="92" t="s">
        <v>66</v>
      </c>
      <c r="B236" s="92" t="s">
        <v>14</v>
      </c>
      <c r="C236" s="92" t="s">
        <v>250</v>
      </c>
      <c r="D236" s="91" t="s">
        <v>251</v>
      </c>
      <c r="E236" s="93">
        <f t="shared" si="618"/>
        <v>1</v>
      </c>
      <c r="F236" s="93">
        <f t="shared" si="619"/>
        <v>1</v>
      </c>
      <c r="G236" s="93">
        <f t="shared" si="619"/>
        <v>0.79999999999999993</v>
      </c>
      <c r="H236" s="93">
        <f t="shared" si="620"/>
        <v>-0.20000000000000007</v>
      </c>
      <c r="I236" s="129">
        <v>4.7E-2</v>
      </c>
      <c r="J236" s="89">
        <v>46150</v>
      </c>
      <c r="K236" s="89">
        <f t="shared" si="643"/>
        <v>46150</v>
      </c>
      <c r="L236" s="89">
        <v>46130</v>
      </c>
      <c r="M236" s="89">
        <f t="shared" si="644"/>
        <v>46192</v>
      </c>
      <c r="N236" s="89">
        <f t="shared" si="645"/>
        <v>46192</v>
      </c>
      <c r="O236" s="89">
        <v>46198</v>
      </c>
      <c r="P236" s="89">
        <f t="shared" si="646"/>
        <v>46234</v>
      </c>
      <c r="Q236" s="89">
        <f t="shared" si="647"/>
        <v>46234</v>
      </c>
      <c r="R236" s="89">
        <v>46234</v>
      </c>
      <c r="S236" s="89">
        <f t="shared" si="648"/>
        <v>46248</v>
      </c>
      <c r="T236" s="89">
        <f t="shared" si="649"/>
        <v>46248</v>
      </c>
      <c r="U236" s="89"/>
      <c r="W236" s="169" t="str">
        <f t="shared" ca="1" si="608"/>
        <v>Completed</v>
      </c>
      <c r="X236" s="169" t="str">
        <f t="shared" ca="1" si="609"/>
        <v>Completed</v>
      </c>
      <c r="Y236" s="169" t="str">
        <f t="shared" ca="1" si="610"/>
        <v>Completed</v>
      </c>
      <c r="Z236" s="170" t="str">
        <f t="shared" ca="1" si="611"/>
        <v>Overdue</v>
      </c>
    </row>
    <row r="237" spans="1:26" s="70" customFormat="1" ht="11.5" x14ac:dyDescent="0.25">
      <c r="A237" s="92" t="s">
        <v>66</v>
      </c>
      <c r="B237" s="92" t="s">
        <v>14</v>
      </c>
      <c r="C237" s="92" t="s">
        <v>252</v>
      </c>
      <c r="D237" s="91" t="s">
        <v>253</v>
      </c>
      <c r="E237" s="93">
        <f t="shared" si="618"/>
        <v>1</v>
      </c>
      <c r="F237" s="93">
        <f t="shared" si="619"/>
        <v>1</v>
      </c>
      <c r="G237" s="93">
        <f t="shared" si="619"/>
        <v>0.79999999999999993</v>
      </c>
      <c r="H237" s="93">
        <f t="shared" si="620"/>
        <v>-0.20000000000000007</v>
      </c>
      <c r="I237" s="129">
        <v>4.7E-2</v>
      </c>
      <c r="J237" s="89">
        <v>46150</v>
      </c>
      <c r="K237" s="89">
        <f t="shared" si="643"/>
        <v>46150</v>
      </c>
      <c r="L237" s="89">
        <v>46130</v>
      </c>
      <c r="M237" s="89">
        <f t="shared" si="644"/>
        <v>46192</v>
      </c>
      <c r="N237" s="89">
        <f t="shared" si="645"/>
        <v>46192</v>
      </c>
      <c r="O237" s="89">
        <v>46198</v>
      </c>
      <c r="P237" s="89">
        <f t="shared" si="646"/>
        <v>46234</v>
      </c>
      <c r="Q237" s="89">
        <f t="shared" si="647"/>
        <v>46234</v>
      </c>
      <c r="R237" s="89">
        <v>46234</v>
      </c>
      <c r="S237" s="89">
        <f t="shared" si="648"/>
        <v>46248</v>
      </c>
      <c r="T237" s="89">
        <f t="shared" si="649"/>
        <v>46248</v>
      </c>
      <c r="U237" s="89"/>
      <c r="W237" s="169" t="str">
        <f t="shared" ca="1" si="608"/>
        <v>Completed</v>
      </c>
      <c r="X237" s="169" t="str">
        <f t="shared" ca="1" si="609"/>
        <v>Completed</v>
      </c>
      <c r="Y237" s="169" t="str">
        <f t="shared" ca="1" si="610"/>
        <v>Completed</v>
      </c>
      <c r="Z237" s="170" t="str">
        <f t="shared" ca="1" si="611"/>
        <v>Overdue</v>
      </c>
    </row>
    <row r="238" spans="1:26" s="70" customFormat="1" ht="11.5" x14ac:dyDescent="0.25">
      <c r="A238" s="92" t="s">
        <v>66</v>
      </c>
      <c r="B238" s="92" t="s">
        <v>14</v>
      </c>
      <c r="C238" s="92" t="s">
        <v>254</v>
      </c>
      <c r="D238" s="91" t="s">
        <v>255</v>
      </c>
      <c r="E238" s="93">
        <f t="shared" si="618"/>
        <v>1</v>
      </c>
      <c r="F238" s="93">
        <f t="shared" si="619"/>
        <v>1</v>
      </c>
      <c r="G238" s="93">
        <f t="shared" si="619"/>
        <v>0.79999999999999993</v>
      </c>
      <c r="H238" s="93">
        <f t="shared" si="620"/>
        <v>-0.20000000000000007</v>
      </c>
      <c r="I238" s="129">
        <v>4.7E-2</v>
      </c>
      <c r="J238" s="89">
        <v>46150</v>
      </c>
      <c r="K238" s="89">
        <f t="shared" si="643"/>
        <v>46150</v>
      </c>
      <c r="L238" s="89">
        <v>46130</v>
      </c>
      <c r="M238" s="89">
        <f t="shared" si="644"/>
        <v>46192</v>
      </c>
      <c r="N238" s="89">
        <f t="shared" si="645"/>
        <v>46192</v>
      </c>
      <c r="O238" s="89">
        <v>46198</v>
      </c>
      <c r="P238" s="89">
        <f t="shared" si="646"/>
        <v>46234</v>
      </c>
      <c r="Q238" s="89">
        <f t="shared" si="647"/>
        <v>46234</v>
      </c>
      <c r="R238" s="89">
        <v>46234</v>
      </c>
      <c r="S238" s="89">
        <f t="shared" si="648"/>
        <v>46248</v>
      </c>
      <c r="T238" s="89">
        <f t="shared" si="649"/>
        <v>46248</v>
      </c>
      <c r="U238" s="89"/>
      <c r="W238" s="169" t="str">
        <f t="shared" ref="W238:W301" ca="1" si="650">IF(OR(L238&lt;&gt;""),"Completed",
IF(K238="","",IF(K238&lt;TODAY(),"Overdue",
IF(AND(K238&gt;=TODAY()-WEEKDAY(TODAY(),2)+1,K238&lt;=TODAY()-WEEKDAY(TODAY(),2)+7),"Follow-This Week",
IF(AND(K238&gt;=TODAY()-WEEKDAY(TODAY(),2)+8,K238&lt;=TODAY()-WEEKDAY(TODAY(),2)+14),"Follow-Next Week","")))))</f>
        <v>Completed</v>
      </c>
      <c r="X238" s="169" t="str">
        <f t="shared" ref="X238:X301" ca="1" si="651">IF(OR(O238&lt;&gt;""),"Completed",IF(N238="","",
IF(N238&lt;TODAY(),"Overdue",
IF(AND(N238&gt;=TODAY()-WEEKDAY(TODAY(),2)+1,N238&lt;=TODAY()-WEEKDAY(TODAY(),2)+7),"Follow-This Week",
IF(AND(N238&gt;=TODAY()-WEEKDAY(TODAY(),2)+8,N238&lt;=TODAY()-WEEKDAY(TODAY(),2)+14),"Follow-Next Week","")))))</f>
        <v>Completed</v>
      </c>
      <c r="Y238" s="169" t="str">
        <f t="shared" ref="Y238:Y301" ca="1" si="652">IF(OR(R238&lt;&gt;""),"Completed",IF(Q238="","",
IF(Q238&lt;TODAY(),"Overdue",
IF(AND(Q238&gt;=TODAY()-WEEKDAY(TODAY(),2)+1,Q238&lt;=TODAY()-WEEKDAY(TODAY(),2)+7),"Follow-This Week",
IF(AND(Q238&gt;=TODAY()-WEEKDAY(TODAY(),2)+8,Q238&lt;=TODAY()-WEEKDAY(TODAY(),2)+14),"Follow-Next Week","")))))</f>
        <v>Completed</v>
      </c>
      <c r="Z238" s="170" t="str">
        <f t="shared" ref="Z238:Z301" ca="1" si="653">IF(OR(U238&lt;&gt;""),"Completed",IF(T238="","",
IF(T238&lt;TODAY(),"Overdue",
IF(AND(T238&gt;=TODAY()-WEEKDAY(TODAY(),2)+1,T238&lt;=TODAY()-WEEKDAY(TODAY(),2)+7),"Follow-This Week",
IF(AND(T238&gt;=TODAY()-WEEKDAY(TODAY(),2)+8,T238&lt;=TODAY()-WEEKDAY(TODAY(),2)+14),"Follow-Next Week","")))))</f>
        <v>Overdue</v>
      </c>
    </row>
    <row r="239" spans="1:26" s="70" customFormat="1" ht="11.5" x14ac:dyDescent="0.25">
      <c r="A239" s="92" t="s">
        <v>66</v>
      </c>
      <c r="B239" s="92" t="s">
        <v>14</v>
      </c>
      <c r="C239" s="92" t="s">
        <v>256</v>
      </c>
      <c r="D239" s="91" t="s">
        <v>257</v>
      </c>
      <c r="E239" s="93">
        <f t="shared" si="618"/>
        <v>1</v>
      </c>
      <c r="F239" s="93">
        <f t="shared" si="619"/>
        <v>1</v>
      </c>
      <c r="G239" s="93">
        <f t="shared" si="619"/>
        <v>0.79999999999999993</v>
      </c>
      <c r="H239" s="93">
        <f t="shared" si="620"/>
        <v>-0.20000000000000007</v>
      </c>
      <c r="I239" s="129">
        <v>4.7E-2</v>
      </c>
      <c r="J239" s="89">
        <v>46150</v>
      </c>
      <c r="K239" s="89">
        <f t="shared" si="643"/>
        <v>46150</v>
      </c>
      <c r="L239" s="89">
        <v>46130</v>
      </c>
      <c r="M239" s="89">
        <f t="shared" si="644"/>
        <v>46192</v>
      </c>
      <c r="N239" s="89">
        <f t="shared" si="645"/>
        <v>46192</v>
      </c>
      <c r="O239" s="89">
        <v>46198</v>
      </c>
      <c r="P239" s="89">
        <f t="shared" si="646"/>
        <v>46234</v>
      </c>
      <c r="Q239" s="89">
        <f t="shared" si="647"/>
        <v>46234</v>
      </c>
      <c r="R239" s="89">
        <v>46234</v>
      </c>
      <c r="S239" s="89">
        <f t="shared" si="648"/>
        <v>46248</v>
      </c>
      <c r="T239" s="89">
        <f t="shared" si="649"/>
        <v>46248</v>
      </c>
      <c r="U239" s="89"/>
      <c r="W239" s="169" t="str">
        <f t="shared" ca="1" si="650"/>
        <v>Completed</v>
      </c>
      <c r="X239" s="169" t="str">
        <f t="shared" ca="1" si="651"/>
        <v>Completed</v>
      </c>
      <c r="Y239" s="169" t="str">
        <f t="shared" ca="1" si="652"/>
        <v>Completed</v>
      </c>
      <c r="Z239" s="170" t="str">
        <f t="shared" ca="1" si="653"/>
        <v>Overdue</v>
      </c>
    </row>
    <row r="240" spans="1:26" s="70" customFormat="1" ht="11.5" x14ac:dyDescent="0.25">
      <c r="A240" s="92" t="s">
        <v>66</v>
      </c>
      <c r="B240" s="92" t="s">
        <v>14</v>
      </c>
      <c r="C240" s="92" t="s">
        <v>258</v>
      </c>
      <c r="D240" s="91" t="s">
        <v>259</v>
      </c>
      <c r="E240" s="93">
        <f t="shared" si="618"/>
        <v>1</v>
      </c>
      <c r="F240" s="93">
        <f t="shared" si="619"/>
        <v>1</v>
      </c>
      <c r="G240" s="93">
        <f t="shared" si="619"/>
        <v>0.79999999999999993</v>
      </c>
      <c r="H240" s="93">
        <f t="shared" si="620"/>
        <v>-0.20000000000000007</v>
      </c>
      <c r="I240" s="129">
        <v>4.7E-2</v>
      </c>
      <c r="J240" s="89">
        <v>46150</v>
      </c>
      <c r="K240" s="89">
        <f t="shared" si="643"/>
        <v>46150</v>
      </c>
      <c r="L240" s="89">
        <v>46130</v>
      </c>
      <c r="M240" s="89">
        <f t="shared" si="644"/>
        <v>46192</v>
      </c>
      <c r="N240" s="89">
        <f t="shared" si="645"/>
        <v>46192</v>
      </c>
      <c r="O240" s="89">
        <v>46198</v>
      </c>
      <c r="P240" s="89">
        <f t="shared" si="646"/>
        <v>46234</v>
      </c>
      <c r="Q240" s="89">
        <f t="shared" si="647"/>
        <v>46234</v>
      </c>
      <c r="R240" s="89">
        <v>46234</v>
      </c>
      <c r="S240" s="89">
        <f t="shared" si="648"/>
        <v>46248</v>
      </c>
      <c r="T240" s="89">
        <f t="shared" si="649"/>
        <v>46248</v>
      </c>
      <c r="U240" s="89"/>
      <c r="W240" s="169" t="str">
        <f t="shared" ca="1" si="650"/>
        <v>Completed</v>
      </c>
      <c r="X240" s="169" t="str">
        <f t="shared" ca="1" si="651"/>
        <v>Completed</v>
      </c>
      <c r="Y240" s="169" t="str">
        <f t="shared" ca="1" si="652"/>
        <v>Completed</v>
      </c>
      <c r="Z240" s="170" t="str">
        <f t="shared" ca="1" si="653"/>
        <v>Overdue</v>
      </c>
    </row>
    <row r="241" spans="1:26" s="70" customFormat="1" ht="11.5" x14ac:dyDescent="0.25">
      <c r="A241" s="92" t="s">
        <v>66</v>
      </c>
      <c r="B241" s="92" t="s">
        <v>14</v>
      </c>
      <c r="C241" s="92" t="s">
        <v>260</v>
      </c>
      <c r="D241" s="91" t="s">
        <v>261</v>
      </c>
      <c r="E241" s="93">
        <f t="shared" si="618"/>
        <v>1</v>
      </c>
      <c r="F241" s="93">
        <f t="shared" si="619"/>
        <v>1</v>
      </c>
      <c r="G241" s="93">
        <f t="shared" si="619"/>
        <v>0.79999999999999993</v>
      </c>
      <c r="H241" s="93">
        <f t="shared" si="620"/>
        <v>-0.20000000000000007</v>
      </c>
      <c r="I241" s="129">
        <v>4.7E-2</v>
      </c>
      <c r="J241" s="89">
        <v>46150</v>
      </c>
      <c r="K241" s="89">
        <f t="shared" si="643"/>
        <v>46150</v>
      </c>
      <c r="L241" s="89">
        <v>46130</v>
      </c>
      <c r="M241" s="89">
        <f t="shared" si="644"/>
        <v>46192</v>
      </c>
      <c r="N241" s="89">
        <f t="shared" si="645"/>
        <v>46192</v>
      </c>
      <c r="O241" s="89">
        <v>46198</v>
      </c>
      <c r="P241" s="89">
        <f t="shared" si="646"/>
        <v>46234</v>
      </c>
      <c r="Q241" s="89">
        <f t="shared" si="647"/>
        <v>46234</v>
      </c>
      <c r="R241" s="89">
        <v>46234</v>
      </c>
      <c r="S241" s="89">
        <f t="shared" si="648"/>
        <v>46248</v>
      </c>
      <c r="T241" s="89">
        <f t="shared" si="649"/>
        <v>46248</v>
      </c>
      <c r="U241" s="89"/>
      <c r="W241" s="169" t="str">
        <f t="shared" ca="1" si="650"/>
        <v>Completed</v>
      </c>
      <c r="X241" s="169" t="str">
        <f t="shared" ca="1" si="651"/>
        <v>Completed</v>
      </c>
      <c r="Y241" s="169" t="str">
        <f t="shared" ca="1" si="652"/>
        <v>Completed</v>
      </c>
      <c r="Z241" s="170" t="str">
        <f t="shared" ca="1" si="653"/>
        <v>Overdue</v>
      </c>
    </row>
    <row r="242" spans="1:26" s="70" customFormat="1" ht="11.5" x14ac:dyDescent="0.25">
      <c r="A242" s="92" t="s">
        <v>66</v>
      </c>
      <c r="B242" s="92" t="s">
        <v>14</v>
      </c>
      <c r="C242" s="92" t="s">
        <v>262</v>
      </c>
      <c r="D242" s="147" t="s">
        <v>915</v>
      </c>
      <c r="E242" s="93">
        <f t="shared" si="618"/>
        <v>1</v>
      </c>
      <c r="F242" s="93">
        <f t="shared" si="619"/>
        <v>1</v>
      </c>
      <c r="G242" s="93">
        <f t="shared" si="619"/>
        <v>1</v>
      </c>
      <c r="H242" s="93">
        <f t="shared" si="620"/>
        <v>0</v>
      </c>
      <c r="I242" s="129">
        <v>4.7E-2</v>
      </c>
      <c r="J242" s="89">
        <v>46150</v>
      </c>
      <c r="K242" s="89">
        <f t="shared" si="643"/>
        <v>46150</v>
      </c>
      <c r="L242" s="89">
        <v>46130</v>
      </c>
      <c r="M242" s="89">
        <f t="shared" si="644"/>
        <v>46192</v>
      </c>
      <c r="N242" s="89">
        <f t="shared" si="645"/>
        <v>46192</v>
      </c>
      <c r="O242" s="89">
        <v>46198</v>
      </c>
      <c r="P242" s="89">
        <f t="shared" si="646"/>
        <v>46234</v>
      </c>
      <c r="Q242" s="89">
        <f t="shared" si="647"/>
        <v>46234</v>
      </c>
      <c r="R242" s="89">
        <v>46234</v>
      </c>
      <c r="S242" s="89">
        <f t="shared" si="648"/>
        <v>46248</v>
      </c>
      <c r="T242" s="89">
        <f t="shared" si="649"/>
        <v>46248</v>
      </c>
      <c r="U242" s="89">
        <v>46262</v>
      </c>
      <c r="W242" s="169" t="str">
        <f t="shared" ca="1" si="650"/>
        <v>Completed</v>
      </c>
      <c r="X242" s="169" t="str">
        <f t="shared" ca="1" si="651"/>
        <v>Completed</v>
      </c>
      <c r="Y242" s="169" t="str">
        <f t="shared" ca="1" si="652"/>
        <v>Completed</v>
      </c>
      <c r="Z242" s="170" t="str">
        <f t="shared" ca="1" si="653"/>
        <v>Completed</v>
      </c>
    </row>
    <row r="243" spans="1:26" s="70" customFormat="1" ht="11.5" x14ac:dyDescent="0.25">
      <c r="A243" s="92" t="s">
        <v>66</v>
      </c>
      <c r="B243" s="92" t="s">
        <v>14</v>
      </c>
      <c r="C243" s="92" t="s">
        <v>263</v>
      </c>
      <c r="D243" s="91" t="s">
        <v>264</v>
      </c>
      <c r="E243" s="93">
        <f t="shared" si="618"/>
        <v>1</v>
      </c>
      <c r="F243" s="93">
        <f t="shared" si="619"/>
        <v>1</v>
      </c>
      <c r="G243" s="93">
        <f t="shared" si="619"/>
        <v>1</v>
      </c>
      <c r="H243" s="93">
        <f t="shared" si="620"/>
        <v>0</v>
      </c>
      <c r="I243" s="129">
        <v>4.7E-2</v>
      </c>
      <c r="J243" s="89">
        <v>46150</v>
      </c>
      <c r="K243" s="89">
        <f t="shared" si="643"/>
        <v>46150</v>
      </c>
      <c r="L243" s="89">
        <v>46130</v>
      </c>
      <c r="M243" s="89">
        <f t="shared" si="644"/>
        <v>46192</v>
      </c>
      <c r="N243" s="89">
        <f t="shared" si="645"/>
        <v>46192</v>
      </c>
      <c r="O243" s="90">
        <v>46223</v>
      </c>
      <c r="P243" s="89">
        <f t="shared" si="646"/>
        <v>46234</v>
      </c>
      <c r="Q243" s="89">
        <f t="shared" si="647"/>
        <v>46234</v>
      </c>
      <c r="R243" s="89">
        <v>46247</v>
      </c>
      <c r="S243" s="89">
        <f t="shared" si="648"/>
        <v>46248</v>
      </c>
      <c r="T243" s="89">
        <f t="shared" si="649"/>
        <v>46248</v>
      </c>
      <c r="U243" s="89">
        <v>46255</v>
      </c>
      <c r="W243" s="169" t="str">
        <f t="shared" ca="1" si="650"/>
        <v>Completed</v>
      </c>
      <c r="X243" s="169" t="str">
        <f t="shared" ca="1" si="651"/>
        <v>Completed</v>
      </c>
      <c r="Y243" s="169" t="str">
        <f t="shared" ca="1" si="652"/>
        <v>Completed</v>
      </c>
      <c r="Z243" s="170" t="str">
        <f t="shared" ca="1" si="653"/>
        <v>Completed</v>
      </c>
    </row>
    <row r="244" spans="1:26" s="70" customFormat="1" ht="11.5" x14ac:dyDescent="0.25">
      <c r="A244" s="92" t="s">
        <v>66</v>
      </c>
      <c r="B244" s="92" t="s">
        <v>14</v>
      </c>
      <c r="C244" s="92" t="s">
        <v>265</v>
      </c>
      <c r="D244" s="91" t="s">
        <v>266</v>
      </c>
      <c r="E244" s="93">
        <f t="shared" si="618"/>
        <v>1</v>
      </c>
      <c r="F244" s="93">
        <f t="shared" si="619"/>
        <v>1</v>
      </c>
      <c r="G244" s="93">
        <f t="shared" si="619"/>
        <v>1</v>
      </c>
      <c r="H244" s="93">
        <f t="shared" si="620"/>
        <v>0</v>
      </c>
      <c r="I244" s="129">
        <v>4.7E-2</v>
      </c>
      <c r="J244" s="89">
        <v>46150</v>
      </c>
      <c r="K244" s="89">
        <f t="shared" si="643"/>
        <v>46150</v>
      </c>
      <c r="L244" s="89">
        <v>46142</v>
      </c>
      <c r="M244" s="89">
        <f t="shared" si="644"/>
        <v>46192</v>
      </c>
      <c r="N244" s="89">
        <f t="shared" si="645"/>
        <v>46192</v>
      </c>
      <c r="O244" s="89">
        <v>46199</v>
      </c>
      <c r="P244" s="89">
        <f t="shared" si="646"/>
        <v>46234</v>
      </c>
      <c r="Q244" s="89">
        <f t="shared" si="647"/>
        <v>46234</v>
      </c>
      <c r="R244" s="89">
        <v>46247</v>
      </c>
      <c r="S244" s="89">
        <f t="shared" si="648"/>
        <v>46248</v>
      </c>
      <c r="T244" s="89">
        <f t="shared" si="649"/>
        <v>46248</v>
      </c>
      <c r="U244" s="89">
        <v>46255</v>
      </c>
      <c r="W244" s="169" t="str">
        <f t="shared" ca="1" si="650"/>
        <v>Completed</v>
      </c>
      <c r="X244" s="169" t="str">
        <f t="shared" ca="1" si="651"/>
        <v>Completed</v>
      </c>
      <c r="Y244" s="169" t="str">
        <f t="shared" ca="1" si="652"/>
        <v>Completed</v>
      </c>
      <c r="Z244" s="170" t="str">
        <f t="shared" ca="1" si="653"/>
        <v>Completed</v>
      </c>
    </row>
    <row r="245" spans="1:26" s="70" customFormat="1" ht="11.5" x14ac:dyDescent="0.25">
      <c r="A245" s="92" t="s">
        <v>66</v>
      </c>
      <c r="B245" s="92" t="s">
        <v>14</v>
      </c>
      <c r="C245" s="92" t="s">
        <v>267</v>
      </c>
      <c r="D245" s="91" t="s">
        <v>268</v>
      </c>
      <c r="E245" s="93">
        <f t="shared" si="618"/>
        <v>1</v>
      </c>
      <c r="F245" s="93">
        <f t="shared" si="619"/>
        <v>1</v>
      </c>
      <c r="G245" s="93">
        <f t="shared" si="619"/>
        <v>1</v>
      </c>
      <c r="H245" s="93">
        <f t="shared" si="620"/>
        <v>0</v>
      </c>
      <c r="I245" s="129">
        <v>4.7E-2</v>
      </c>
      <c r="J245" s="89">
        <v>46150</v>
      </c>
      <c r="K245" s="89">
        <f t="shared" si="643"/>
        <v>46150</v>
      </c>
      <c r="L245" s="89">
        <v>46142</v>
      </c>
      <c r="M245" s="89">
        <f t="shared" si="644"/>
        <v>46192</v>
      </c>
      <c r="N245" s="89">
        <f t="shared" si="645"/>
        <v>46192</v>
      </c>
      <c r="O245" s="89">
        <v>46199</v>
      </c>
      <c r="P245" s="89">
        <f t="shared" si="646"/>
        <v>46234</v>
      </c>
      <c r="Q245" s="89">
        <f t="shared" si="647"/>
        <v>46234</v>
      </c>
      <c r="R245" s="89">
        <v>46247</v>
      </c>
      <c r="S245" s="89">
        <f t="shared" si="648"/>
        <v>46248</v>
      </c>
      <c r="T245" s="89">
        <f t="shared" si="649"/>
        <v>46248</v>
      </c>
      <c r="U245" s="89">
        <v>46255</v>
      </c>
      <c r="W245" s="169" t="str">
        <f t="shared" ca="1" si="650"/>
        <v>Completed</v>
      </c>
      <c r="X245" s="169" t="str">
        <f t="shared" ca="1" si="651"/>
        <v>Completed</v>
      </c>
      <c r="Y245" s="169" t="str">
        <f t="shared" ca="1" si="652"/>
        <v>Completed</v>
      </c>
      <c r="Z245" s="170" t="str">
        <f t="shared" ca="1" si="653"/>
        <v>Completed</v>
      </c>
    </row>
    <row r="246" spans="1:26" s="70" customFormat="1" ht="11.5" x14ac:dyDescent="0.25">
      <c r="A246" s="92" t="s">
        <v>66</v>
      </c>
      <c r="B246" s="92" t="s">
        <v>14</v>
      </c>
      <c r="C246" s="92" t="s">
        <v>269</v>
      </c>
      <c r="D246" s="91" t="s">
        <v>270</v>
      </c>
      <c r="E246" s="93">
        <f t="shared" ref="E246:E262" si="654">(COUNTIFS(J246,"&lt;="&amp;$C$1)*50%)+(COUNTIFS(M246,"&lt;="&amp;$C$1)*20%)+(COUNTIFS(P246,"&lt;="&amp;$C$1)*10%)+(COUNTIFS(S246,"&lt;="&amp;$C$1)*20%)</f>
        <v>1</v>
      </c>
      <c r="F246" s="93">
        <f t="shared" ref="F246:F262" si="655">(COUNTIFS(K246,"&lt;="&amp;$C$1)*50%)+(COUNTIFS(N246,"&lt;="&amp;$C$1)*20%)+(COUNTIFS(Q246,"&lt;="&amp;$C$1)*10%)+(COUNTIFS(T246,"&lt;="&amp;$C$1)*20%)</f>
        <v>1</v>
      </c>
      <c r="G246" s="93">
        <f t="shared" ref="G246:G262" si="656">(COUNTIFS(L246,"&lt;="&amp;$C$1)*50%)+(COUNTIFS(O246,"&lt;="&amp;$C$1)*20%)+(COUNTIFS(R246,"&lt;="&amp;$C$1)*10%)+(COUNTIFS(U246,"&lt;="&amp;$C$1)*20%)</f>
        <v>1</v>
      </c>
      <c r="H246" s="93">
        <f t="shared" ref="H246:H262" si="657">G246-E246</f>
        <v>0</v>
      </c>
      <c r="I246" s="129">
        <v>4.7E-2</v>
      </c>
      <c r="J246" s="89">
        <v>46150</v>
      </c>
      <c r="K246" s="89">
        <f t="shared" si="643"/>
        <v>46150</v>
      </c>
      <c r="L246" s="89">
        <v>46142</v>
      </c>
      <c r="M246" s="89">
        <f t="shared" si="644"/>
        <v>46192</v>
      </c>
      <c r="N246" s="89">
        <f t="shared" si="645"/>
        <v>46192</v>
      </c>
      <c r="O246" s="89">
        <v>46199</v>
      </c>
      <c r="P246" s="89">
        <f t="shared" si="646"/>
        <v>46234</v>
      </c>
      <c r="Q246" s="89">
        <f t="shared" si="647"/>
        <v>46234</v>
      </c>
      <c r="R246" s="89">
        <v>46247</v>
      </c>
      <c r="S246" s="89">
        <f t="shared" si="648"/>
        <v>46248</v>
      </c>
      <c r="T246" s="89">
        <f t="shared" si="649"/>
        <v>46248</v>
      </c>
      <c r="U246" s="90">
        <v>46269</v>
      </c>
      <c r="W246" s="169" t="str">
        <f t="shared" ca="1" si="650"/>
        <v>Completed</v>
      </c>
      <c r="X246" s="169" t="str">
        <f t="shared" ca="1" si="651"/>
        <v>Completed</v>
      </c>
      <c r="Y246" s="169" t="str">
        <f t="shared" ca="1" si="652"/>
        <v>Completed</v>
      </c>
      <c r="Z246" s="170" t="str">
        <f t="shared" ca="1" si="653"/>
        <v>Completed</v>
      </c>
    </row>
    <row r="247" spans="1:26" s="70" customFormat="1" ht="11.5" x14ac:dyDescent="0.25">
      <c r="A247" s="92" t="s">
        <v>66</v>
      </c>
      <c r="B247" s="92" t="s">
        <v>14</v>
      </c>
      <c r="C247" s="92" t="s">
        <v>271</v>
      </c>
      <c r="D247" s="91" t="s">
        <v>272</v>
      </c>
      <c r="E247" s="93">
        <f t="shared" si="654"/>
        <v>1</v>
      </c>
      <c r="F247" s="93">
        <f>(COUNTIFS(K247,"&lt;="&amp;$C$1)*50%)+(COUNTIFS(N247,"&lt;="&amp;$C$1)*20%)+(COUNTIFS(Q247,"&lt;="&amp;$C$1)*10%)+(COUNTIFS(T247,"&lt;="&amp;$C$1)*20%)</f>
        <v>1</v>
      </c>
      <c r="G247" s="93">
        <f t="shared" si="656"/>
        <v>1</v>
      </c>
      <c r="H247" s="93">
        <f t="shared" si="657"/>
        <v>0</v>
      </c>
      <c r="I247" s="129">
        <v>4.7E-2</v>
      </c>
      <c r="J247" s="89">
        <v>46150</v>
      </c>
      <c r="K247" s="89">
        <f t="shared" si="643"/>
        <v>46150</v>
      </c>
      <c r="L247" s="89">
        <v>46142</v>
      </c>
      <c r="M247" s="89">
        <f t="shared" si="644"/>
        <v>46192</v>
      </c>
      <c r="N247" s="89">
        <f t="shared" si="645"/>
        <v>46192</v>
      </c>
      <c r="O247" s="89">
        <v>46185</v>
      </c>
      <c r="P247" s="89">
        <f t="shared" si="646"/>
        <v>46234</v>
      </c>
      <c r="Q247" s="89">
        <f t="shared" si="647"/>
        <v>46234</v>
      </c>
      <c r="R247" s="89">
        <v>46247</v>
      </c>
      <c r="S247" s="89">
        <f t="shared" si="648"/>
        <v>46248</v>
      </c>
      <c r="T247" s="89">
        <f t="shared" si="649"/>
        <v>46248</v>
      </c>
      <c r="U247" s="90">
        <v>46269</v>
      </c>
      <c r="W247" s="169" t="str">
        <f t="shared" ca="1" si="650"/>
        <v>Completed</v>
      </c>
      <c r="X247" s="169" t="str">
        <f t="shared" ca="1" si="651"/>
        <v>Completed</v>
      </c>
      <c r="Y247" s="169" t="str">
        <f t="shared" ca="1" si="652"/>
        <v>Completed</v>
      </c>
      <c r="Z247" s="170" t="str">
        <f t="shared" ca="1" si="653"/>
        <v>Completed</v>
      </c>
    </row>
    <row r="248" spans="1:26" s="70" customFormat="1" ht="11.5" x14ac:dyDescent="0.25">
      <c r="A248" s="92" t="s">
        <v>66</v>
      </c>
      <c r="B248" s="92" t="s">
        <v>14</v>
      </c>
      <c r="C248" s="92" t="s">
        <v>273</v>
      </c>
      <c r="D248" s="91" t="s">
        <v>274</v>
      </c>
      <c r="E248" s="93">
        <f t="shared" si="654"/>
        <v>1</v>
      </c>
      <c r="F248" s="93">
        <f>(COUNTIFS(K248,"&lt;="&amp;$C$1)*50%)+(COUNTIFS(N248,"&lt;="&amp;$C$1)*20%)+(COUNTIFS(Q248,"&lt;="&amp;$C$1)*10%)+(COUNTIFS(T248,"&lt;="&amp;$C$1)*20%)</f>
        <v>1</v>
      </c>
      <c r="G248" s="93">
        <f t="shared" si="656"/>
        <v>1</v>
      </c>
      <c r="H248" s="93">
        <f t="shared" si="657"/>
        <v>0</v>
      </c>
      <c r="I248" s="129">
        <v>4.7E-2</v>
      </c>
      <c r="J248" s="89">
        <v>46150</v>
      </c>
      <c r="K248" s="89">
        <f t="shared" si="643"/>
        <v>46150</v>
      </c>
      <c r="L248" s="89">
        <v>46142</v>
      </c>
      <c r="M248" s="89">
        <f t="shared" si="644"/>
        <v>46192</v>
      </c>
      <c r="N248" s="89">
        <f t="shared" si="645"/>
        <v>46192</v>
      </c>
      <c r="O248" s="89">
        <v>46185</v>
      </c>
      <c r="P248" s="89">
        <f t="shared" si="646"/>
        <v>46234</v>
      </c>
      <c r="Q248" s="89">
        <f t="shared" si="647"/>
        <v>46234</v>
      </c>
      <c r="R248" s="89">
        <v>46247</v>
      </c>
      <c r="S248" s="89">
        <f t="shared" si="648"/>
        <v>46248</v>
      </c>
      <c r="T248" s="89">
        <f t="shared" si="649"/>
        <v>46248</v>
      </c>
      <c r="U248" s="90">
        <v>46269</v>
      </c>
      <c r="W248" s="169" t="str">
        <f t="shared" ca="1" si="650"/>
        <v>Completed</v>
      </c>
      <c r="X248" s="169" t="str">
        <f t="shared" ca="1" si="651"/>
        <v>Completed</v>
      </c>
      <c r="Y248" s="169" t="str">
        <f t="shared" ca="1" si="652"/>
        <v>Completed</v>
      </c>
      <c r="Z248" s="170" t="str">
        <f t="shared" ca="1" si="653"/>
        <v>Completed</v>
      </c>
    </row>
    <row r="249" spans="1:26" s="70" customFormat="1" ht="11.5" x14ac:dyDescent="0.25">
      <c r="A249" s="92" t="s">
        <v>66</v>
      </c>
      <c r="B249" s="92" t="s">
        <v>14</v>
      </c>
      <c r="C249" s="92" t="s">
        <v>275</v>
      </c>
      <c r="D249" s="91" t="s">
        <v>276</v>
      </c>
      <c r="E249" s="93">
        <f t="shared" si="654"/>
        <v>1</v>
      </c>
      <c r="F249" s="93">
        <f t="shared" si="655"/>
        <v>1</v>
      </c>
      <c r="G249" s="93">
        <f t="shared" si="656"/>
        <v>1</v>
      </c>
      <c r="H249" s="93">
        <f t="shared" si="657"/>
        <v>0</v>
      </c>
      <c r="I249" s="129">
        <v>4.7E-2</v>
      </c>
      <c r="J249" s="89">
        <v>46150</v>
      </c>
      <c r="K249" s="89">
        <f t="shared" si="643"/>
        <v>46150</v>
      </c>
      <c r="L249" s="89">
        <v>46142</v>
      </c>
      <c r="M249" s="89">
        <f t="shared" si="644"/>
        <v>46192</v>
      </c>
      <c r="N249" s="89">
        <f t="shared" si="645"/>
        <v>46192</v>
      </c>
      <c r="O249" s="89">
        <v>46185</v>
      </c>
      <c r="P249" s="89">
        <f t="shared" si="646"/>
        <v>46234</v>
      </c>
      <c r="Q249" s="89">
        <f t="shared" si="647"/>
        <v>46234</v>
      </c>
      <c r="R249" s="89">
        <v>46247</v>
      </c>
      <c r="S249" s="89">
        <f t="shared" si="648"/>
        <v>46248</v>
      </c>
      <c r="T249" s="89">
        <f t="shared" si="649"/>
        <v>46248</v>
      </c>
      <c r="U249" s="90">
        <v>46269</v>
      </c>
      <c r="W249" s="169" t="str">
        <f t="shared" ca="1" si="650"/>
        <v>Completed</v>
      </c>
      <c r="X249" s="169" t="str">
        <f t="shared" ca="1" si="651"/>
        <v>Completed</v>
      </c>
      <c r="Y249" s="169" t="str">
        <f t="shared" ca="1" si="652"/>
        <v>Completed</v>
      </c>
      <c r="Z249" s="170" t="str">
        <f t="shared" ca="1" si="653"/>
        <v>Completed</v>
      </c>
    </row>
    <row r="250" spans="1:26" s="70" customFormat="1" ht="11.5" x14ac:dyDescent="0.25">
      <c r="A250" s="92" t="s">
        <v>66</v>
      </c>
      <c r="B250" s="92" t="s">
        <v>14</v>
      </c>
      <c r="C250" s="92" t="s">
        <v>277</v>
      </c>
      <c r="D250" s="91" t="s">
        <v>278</v>
      </c>
      <c r="E250" s="93">
        <f t="shared" si="654"/>
        <v>1</v>
      </c>
      <c r="F250" s="93">
        <f t="shared" si="655"/>
        <v>1</v>
      </c>
      <c r="G250" s="93">
        <f t="shared" si="656"/>
        <v>1</v>
      </c>
      <c r="H250" s="93">
        <f t="shared" si="657"/>
        <v>0</v>
      </c>
      <c r="I250" s="129">
        <v>4.7E-2</v>
      </c>
      <c r="J250" s="89">
        <v>46150</v>
      </c>
      <c r="K250" s="89">
        <f t="shared" si="643"/>
        <v>46150</v>
      </c>
      <c r="L250" s="89">
        <v>46142</v>
      </c>
      <c r="M250" s="89">
        <f t="shared" si="644"/>
        <v>46192</v>
      </c>
      <c r="N250" s="89">
        <f t="shared" si="645"/>
        <v>46192</v>
      </c>
      <c r="O250" s="89">
        <v>46185</v>
      </c>
      <c r="P250" s="89">
        <f t="shared" si="646"/>
        <v>46234</v>
      </c>
      <c r="Q250" s="89">
        <f t="shared" si="647"/>
        <v>46234</v>
      </c>
      <c r="R250" s="89">
        <v>46247</v>
      </c>
      <c r="S250" s="89">
        <f t="shared" si="648"/>
        <v>46248</v>
      </c>
      <c r="T250" s="89">
        <f t="shared" si="649"/>
        <v>46248</v>
      </c>
      <c r="U250" s="90">
        <v>46269</v>
      </c>
      <c r="W250" s="169" t="str">
        <f t="shared" ca="1" si="650"/>
        <v>Completed</v>
      </c>
      <c r="X250" s="169" t="str">
        <f t="shared" ca="1" si="651"/>
        <v>Completed</v>
      </c>
      <c r="Y250" s="169" t="str">
        <f t="shared" ca="1" si="652"/>
        <v>Completed</v>
      </c>
      <c r="Z250" s="170" t="str">
        <f t="shared" ca="1" si="653"/>
        <v>Completed</v>
      </c>
    </row>
    <row r="251" spans="1:26" s="70" customFormat="1" ht="11.5" x14ac:dyDescent="0.25">
      <c r="A251" s="92" t="s">
        <v>66</v>
      </c>
      <c r="B251" s="92" t="s">
        <v>14</v>
      </c>
      <c r="C251" s="92" t="s">
        <v>279</v>
      </c>
      <c r="D251" s="91" t="s">
        <v>280</v>
      </c>
      <c r="E251" s="93">
        <f t="shared" si="654"/>
        <v>1</v>
      </c>
      <c r="F251" s="93">
        <f t="shared" si="655"/>
        <v>1</v>
      </c>
      <c r="G251" s="93">
        <f t="shared" si="656"/>
        <v>0.7</v>
      </c>
      <c r="H251" s="93">
        <f t="shared" si="657"/>
        <v>-0.30000000000000004</v>
      </c>
      <c r="I251" s="129">
        <v>4.7E-2</v>
      </c>
      <c r="J251" s="89">
        <v>46171</v>
      </c>
      <c r="K251" s="89">
        <f t="shared" si="643"/>
        <v>46171</v>
      </c>
      <c r="L251" s="89">
        <v>46156</v>
      </c>
      <c r="M251" s="89">
        <f t="shared" si="644"/>
        <v>46213</v>
      </c>
      <c r="N251" s="89">
        <f t="shared" si="645"/>
        <v>46213</v>
      </c>
      <c r="O251" s="146">
        <v>46248</v>
      </c>
      <c r="P251" s="89">
        <f t="shared" si="646"/>
        <v>46255</v>
      </c>
      <c r="Q251" s="89">
        <f t="shared" si="647"/>
        <v>46255</v>
      </c>
      <c r="R251" s="89"/>
      <c r="S251" s="89">
        <f t="shared" si="648"/>
        <v>46269</v>
      </c>
      <c r="T251" s="89">
        <f t="shared" si="649"/>
        <v>46269</v>
      </c>
      <c r="U251" s="89"/>
      <c r="W251" s="169" t="str">
        <f t="shared" ca="1" si="650"/>
        <v>Completed</v>
      </c>
      <c r="X251" s="169" t="str">
        <f t="shared" ca="1" si="651"/>
        <v>Completed</v>
      </c>
      <c r="Y251" s="169" t="str">
        <f t="shared" ca="1" si="652"/>
        <v>Overdue</v>
      </c>
      <c r="Z251" s="170" t="str">
        <f t="shared" ca="1" si="653"/>
        <v>Overdue</v>
      </c>
    </row>
    <row r="252" spans="1:26" s="70" customFormat="1" ht="11.5" x14ac:dyDescent="0.25">
      <c r="A252" s="92" t="s">
        <v>66</v>
      </c>
      <c r="B252" s="92" t="s">
        <v>14</v>
      </c>
      <c r="C252" s="92" t="s">
        <v>281</v>
      </c>
      <c r="D252" s="91" t="s">
        <v>282</v>
      </c>
      <c r="E252" s="93">
        <f t="shared" si="654"/>
        <v>1</v>
      </c>
      <c r="F252" s="93">
        <f t="shared" si="655"/>
        <v>1</v>
      </c>
      <c r="G252" s="93">
        <f t="shared" si="656"/>
        <v>0.7</v>
      </c>
      <c r="H252" s="93">
        <f t="shared" si="657"/>
        <v>-0.30000000000000004</v>
      </c>
      <c r="I252" s="129">
        <v>4.7E-2</v>
      </c>
      <c r="J252" s="89">
        <v>46171</v>
      </c>
      <c r="K252" s="89">
        <f t="shared" si="643"/>
        <v>46171</v>
      </c>
      <c r="L252" s="89">
        <v>46156</v>
      </c>
      <c r="M252" s="89">
        <f t="shared" si="644"/>
        <v>46213</v>
      </c>
      <c r="N252" s="89">
        <f t="shared" si="645"/>
        <v>46213</v>
      </c>
      <c r="O252" s="146">
        <v>46248</v>
      </c>
      <c r="P252" s="89">
        <f t="shared" si="646"/>
        <v>46255</v>
      </c>
      <c r="Q252" s="89">
        <f t="shared" si="647"/>
        <v>46255</v>
      </c>
      <c r="R252" s="89"/>
      <c r="S252" s="89">
        <f t="shared" si="648"/>
        <v>46269</v>
      </c>
      <c r="T252" s="89">
        <f t="shared" si="649"/>
        <v>46269</v>
      </c>
      <c r="U252" s="89"/>
      <c r="W252" s="169" t="str">
        <f t="shared" ca="1" si="650"/>
        <v>Completed</v>
      </c>
      <c r="X252" s="169" t="str">
        <f t="shared" ca="1" si="651"/>
        <v>Completed</v>
      </c>
      <c r="Y252" s="169" t="str">
        <f t="shared" ca="1" si="652"/>
        <v>Overdue</v>
      </c>
      <c r="Z252" s="170" t="str">
        <f t="shared" ca="1" si="653"/>
        <v>Overdue</v>
      </c>
    </row>
    <row r="253" spans="1:26" s="70" customFormat="1" ht="11.5" x14ac:dyDescent="0.25">
      <c r="A253" s="92" t="s">
        <v>66</v>
      </c>
      <c r="B253" s="92" t="s">
        <v>14</v>
      </c>
      <c r="C253" s="92" t="s">
        <v>283</v>
      </c>
      <c r="D253" s="91" t="s">
        <v>284</v>
      </c>
      <c r="E253" s="93">
        <f t="shared" si="654"/>
        <v>1</v>
      </c>
      <c r="F253" s="93">
        <f t="shared" si="655"/>
        <v>1</v>
      </c>
      <c r="G253" s="93">
        <f t="shared" si="656"/>
        <v>1</v>
      </c>
      <c r="H253" s="93">
        <f t="shared" si="657"/>
        <v>0</v>
      </c>
      <c r="I253" s="129">
        <v>4.7E-2</v>
      </c>
      <c r="J253" s="89">
        <v>46171</v>
      </c>
      <c r="K253" s="89">
        <f t="shared" si="643"/>
        <v>46171</v>
      </c>
      <c r="L253" s="89">
        <v>46156</v>
      </c>
      <c r="M253" s="89">
        <f t="shared" si="644"/>
        <v>46213</v>
      </c>
      <c r="N253" s="89">
        <f t="shared" si="645"/>
        <v>46213</v>
      </c>
      <c r="O253" s="89">
        <v>46191</v>
      </c>
      <c r="P253" s="89">
        <f t="shared" si="646"/>
        <v>46255</v>
      </c>
      <c r="Q253" s="89">
        <f t="shared" si="647"/>
        <v>46255</v>
      </c>
      <c r="R253" s="146">
        <v>46249</v>
      </c>
      <c r="S253" s="89">
        <f t="shared" si="648"/>
        <v>46269</v>
      </c>
      <c r="T253" s="89">
        <f t="shared" si="649"/>
        <v>46269</v>
      </c>
      <c r="U253" s="89">
        <v>46262</v>
      </c>
      <c r="W253" s="169" t="str">
        <f t="shared" ca="1" si="650"/>
        <v>Completed</v>
      </c>
      <c r="X253" s="169" t="str">
        <f t="shared" ca="1" si="651"/>
        <v>Completed</v>
      </c>
      <c r="Y253" s="169" t="str">
        <f t="shared" ca="1" si="652"/>
        <v>Completed</v>
      </c>
      <c r="Z253" s="170" t="str">
        <f t="shared" ca="1" si="653"/>
        <v>Completed</v>
      </c>
    </row>
    <row r="254" spans="1:26" s="84" customFormat="1" ht="11.5" x14ac:dyDescent="0.25">
      <c r="A254" s="92" t="s">
        <v>66</v>
      </c>
      <c r="B254" s="92" t="s">
        <v>14</v>
      </c>
      <c r="C254" s="92" t="s">
        <v>285</v>
      </c>
      <c r="D254" s="91" t="s">
        <v>286</v>
      </c>
      <c r="E254" s="93">
        <f t="shared" si="654"/>
        <v>1</v>
      </c>
      <c r="F254" s="93">
        <f t="shared" si="655"/>
        <v>1</v>
      </c>
      <c r="G254" s="93">
        <f>(COUNTIFS(L254,"&lt;="&amp;$C$1)*50%)+(COUNTIFS(O254,"&lt;="&amp;$C$1)*20%)+(COUNTIFS(R254,"&lt;="&amp;$C$1)*10%)+(COUNTIFS(U254,"&lt;="&amp;$C$1)*20%)</f>
        <v>0.7</v>
      </c>
      <c r="H254" s="93">
        <f t="shared" si="657"/>
        <v>-0.30000000000000004</v>
      </c>
      <c r="I254" s="129">
        <v>4.7E-2</v>
      </c>
      <c r="J254" s="89">
        <v>46164</v>
      </c>
      <c r="K254" s="89">
        <f t="shared" si="643"/>
        <v>46164</v>
      </c>
      <c r="L254" s="89">
        <v>46142</v>
      </c>
      <c r="M254" s="89">
        <f t="shared" si="644"/>
        <v>46206</v>
      </c>
      <c r="N254" s="89">
        <f t="shared" si="645"/>
        <v>46206</v>
      </c>
      <c r="O254" s="146">
        <v>46248</v>
      </c>
      <c r="P254" s="89">
        <f t="shared" si="646"/>
        <v>46248</v>
      </c>
      <c r="Q254" s="89">
        <f t="shared" si="647"/>
        <v>46248</v>
      </c>
      <c r="R254" s="89"/>
      <c r="S254" s="89">
        <f t="shared" si="648"/>
        <v>46262</v>
      </c>
      <c r="T254" s="89">
        <f t="shared" si="649"/>
        <v>46262</v>
      </c>
      <c r="U254" s="89"/>
      <c r="W254" s="169" t="str">
        <f t="shared" ca="1" si="650"/>
        <v>Completed</v>
      </c>
      <c r="X254" s="169" t="str">
        <f t="shared" ca="1" si="651"/>
        <v>Completed</v>
      </c>
      <c r="Y254" s="169" t="str">
        <f t="shared" ca="1" si="652"/>
        <v>Overdue</v>
      </c>
      <c r="Z254" s="170" t="str">
        <f t="shared" ca="1" si="653"/>
        <v>Overdue</v>
      </c>
    </row>
    <row r="255" spans="1:26" s="70" customFormat="1" ht="11.5" x14ac:dyDescent="0.25">
      <c r="A255" s="92" t="s">
        <v>66</v>
      </c>
      <c r="B255" s="92" t="s">
        <v>14</v>
      </c>
      <c r="C255" s="92" t="s">
        <v>287</v>
      </c>
      <c r="D255" s="91" t="s">
        <v>288</v>
      </c>
      <c r="E255" s="93">
        <f t="shared" si="654"/>
        <v>1</v>
      </c>
      <c r="F255" s="93">
        <f t="shared" si="655"/>
        <v>1</v>
      </c>
      <c r="G255" s="93">
        <f>(COUNTIFS(L255,"&lt;="&amp;$C$1)*50%)+(COUNTIFS(O255,"&lt;="&amp;$C$1)*20%)+(COUNTIFS(R255,"&lt;="&amp;$C$1)*10%)+(COUNTIFS(U255,"&lt;="&amp;$C$1)*20%)</f>
        <v>0.7</v>
      </c>
      <c r="H255" s="93">
        <f t="shared" si="657"/>
        <v>-0.30000000000000004</v>
      </c>
      <c r="I255" s="129">
        <v>4.7E-2</v>
      </c>
      <c r="J255" s="89">
        <v>46171</v>
      </c>
      <c r="K255" s="89">
        <f t="shared" si="643"/>
        <v>46171</v>
      </c>
      <c r="L255" s="146">
        <v>46248</v>
      </c>
      <c r="M255" s="89">
        <f t="shared" si="644"/>
        <v>46213</v>
      </c>
      <c r="N255" s="89">
        <f t="shared" si="645"/>
        <v>46213</v>
      </c>
      <c r="O255" s="89">
        <v>46262</v>
      </c>
      <c r="P255" s="89">
        <f t="shared" si="646"/>
        <v>46255</v>
      </c>
      <c r="Q255" s="89">
        <f t="shared" si="647"/>
        <v>46255</v>
      </c>
      <c r="R255" s="89"/>
      <c r="S255" s="89">
        <f t="shared" si="648"/>
        <v>46269</v>
      </c>
      <c r="T255" s="89">
        <f t="shared" si="649"/>
        <v>46269</v>
      </c>
      <c r="U255" s="89"/>
      <c r="W255" s="169" t="str">
        <f t="shared" ca="1" si="650"/>
        <v>Completed</v>
      </c>
      <c r="X255" s="169" t="str">
        <f t="shared" ca="1" si="651"/>
        <v>Completed</v>
      </c>
      <c r="Y255" s="169" t="str">
        <f t="shared" ca="1" si="652"/>
        <v>Overdue</v>
      </c>
      <c r="Z255" s="170" t="str">
        <f t="shared" ca="1" si="653"/>
        <v>Overdue</v>
      </c>
    </row>
    <row r="256" spans="1:26" s="70" customFormat="1" ht="11.5" x14ac:dyDescent="0.25">
      <c r="A256" s="92" t="s">
        <v>66</v>
      </c>
      <c r="B256" s="92" t="s">
        <v>14</v>
      </c>
      <c r="C256" s="92" t="s">
        <v>289</v>
      </c>
      <c r="D256" s="91" t="s">
        <v>290</v>
      </c>
      <c r="E256" s="93">
        <f t="shared" si="654"/>
        <v>1</v>
      </c>
      <c r="F256" s="93">
        <f t="shared" si="655"/>
        <v>1</v>
      </c>
      <c r="G256" s="93">
        <f t="shared" si="656"/>
        <v>1</v>
      </c>
      <c r="H256" s="93">
        <f t="shared" si="657"/>
        <v>0</v>
      </c>
      <c r="I256" s="129">
        <v>4.7E-2</v>
      </c>
      <c r="J256" s="89">
        <v>46164</v>
      </c>
      <c r="K256" s="89">
        <f t="shared" si="643"/>
        <v>46164</v>
      </c>
      <c r="L256" s="89">
        <v>46156</v>
      </c>
      <c r="M256" s="89">
        <f t="shared" si="644"/>
        <v>46206</v>
      </c>
      <c r="N256" s="89">
        <f t="shared" si="645"/>
        <v>46206</v>
      </c>
      <c r="O256" s="89">
        <v>46185</v>
      </c>
      <c r="P256" s="89">
        <f t="shared" si="646"/>
        <v>46248</v>
      </c>
      <c r="Q256" s="89">
        <f t="shared" si="647"/>
        <v>46248</v>
      </c>
      <c r="R256" s="146">
        <v>46249</v>
      </c>
      <c r="S256" s="89">
        <f t="shared" si="648"/>
        <v>46262</v>
      </c>
      <c r="T256" s="89">
        <f t="shared" si="649"/>
        <v>46262</v>
      </c>
      <c r="U256" s="90">
        <v>46269</v>
      </c>
      <c r="W256" s="169" t="str">
        <f t="shared" ca="1" si="650"/>
        <v>Completed</v>
      </c>
      <c r="X256" s="169" t="str">
        <f t="shared" ca="1" si="651"/>
        <v>Completed</v>
      </c>
      <c r="Y256" s="169" t="str">
        <f t="shared" ca="1" si="652"/>
        <v>Completed</v>
      </c>
      <c r="Z256" s="170" t="str">
        <f t="shared" ca="1" si="653"/>
        <v>Completed</v>
      </c>
    </row>
    <row r="257" spans="1:26" s="70" customFormat="1" ht="11.5" x14ac:dyDescent="0.25">
      <c r="A257" s="92" t="s">
        <v>66</v>
      </c>
      <c r="B257" s="92" t="s">
        <v>14</v>
      </c>
      <c r="C257" s="92" t="s">
        <v>291</v>
      </c>
      <c r="D257" s="91" t="s">
        <v>292</v>
      </c>
      <c r="E257" s="93">
        <f t="shared" si="654"/>
        <v>1</v>
      </c>
      <c r="F257" s="93">
        <f t="shared" si="655"/>
        <v>1</v>
      </c>
      <c r="G257" s="93">
        <f t="shared" si="656"/>
        <v>1</v>
      </c>
      <c r="H257" s="93">
        <f t="shared" si="657"/>
        <v>0</v>
      </c>
      <c r="I257" s="129">
        <v>4.7E-2</v>
      </c>
      <c r="J257" s="89">
        <v>46164</v>
      </c>
      <c r="K257" s="89">
        <f t="shared" si="643"/>
        <v>46164</v>
      </c>
      <c r="L257" s="89">
        <v>46156</v>
      </c>
      <c r="M257" s="89">
        <f t="shared" si="644"/>
        <v>46206</v>
      </c>
      <c r="N257" s="89">
        <f t="shared" si="645"/>
        <v>46206</v>
      </c>
      <c r="O257" s="89">
        <v>46185</v>
      </c>
      <c r="P257" s="89">
        <f t="shared" si="646"/>
        <v>46248</v>
      </c>
      <c r="Q257" s="89">
        <f t="shared" si="647"/>
        <v>46248</v>
      </c>
      <c r="R257" s="146">
        <v>46249</v>
      </c>
      <c r="S257" s="89">
        <f t="shared" si="648"/>
        <v>46262</v>
      </c>
      <c r="T257" s="89">
        <f t="shared" si="649"/>
        <v>46262</v>
      </c>
      <c r="U257" s="90">
        <v>46269</v>
      </c>
      <c r="W257" s="169" t="str">
        <f t="shared" ca="1" si="650"/>
        <v>Completed</v>
      </c>
      <c r="X257" s="169" t="str">
        <f t="shared" ca="1" si="651"/>
        <v>Completed</v>
      </c>
      <c r="Y257" s="169" t="str">
        <f t="shared" ca="1" si="652"/>
        <v>Completed</v>
      </c>
      <c r="Z257" s="170" t="str">
        <f t="shared" ca="1" si="653"/>
        <v>Completed</v>
      </c>
    </row>
    <row r="258" spans="1:26" s="70" customFormat="1" ht="11.5" x14ac:dyDescent="0.25">
      <c r="A258" s="92" t="s">
        <v>66</v>
      </c>
      <c r="B258" s="92" t="s">
        <v>14</v>
      </c>
      <c r="C258" s="92" t="s">
        <v>842</v>
      </c>
      <c r="D258" s="91" t="s">
        <v>821</v>
      </c>
      <c r="E258" s="93">
        <f t="shared" si="654"/>
        <v>1</v>
      </c>
      <c r="F258" s="93">
        <f t="shared" si="655"/>
        <v>1</v>
      </c>
      <c r="G258" s="93">
        <f t="shared" si="656"/>
        <v>1</v>
      </c>
      <c r="H258" s="93">
        <f t="shared" si="657"/>
        <v>0</v>
      </c>
      <c r="I258" s="129">
        <v>4.7E-2</v>
      </c>
      <c r="J258" s="89">
        <v>46178</v>
      </c>
      <c r="K258" s="89">
        <f t="shared" si="643"/>
        <v>46178</v>
      </c>
      <c r="L258" s="89">
        <v>46182</v>
      </c>
      <c r="M258" s="89">
        <f t="shared" si="644"/>
        <v>46220</v>
      </c>
      <c r="N258" s="89">
        <f t="shared" si="645"/>
        <v>46220</v>
      </c>
      <c r="O258" s="89">
        <v>46191</v>
      </c>
      <c r="P258" s="89">
        <f t="shared" si="646"/>
        <v>46262</v>
      </c>
      <c r="Q258" s="89">
        <f t="shared" si="647"/>
        <v>46262</v>
      </c>
      <c r="R258" s="146">
        <v>46252</v>
      </c>
      <c r="S258" s="89">
        <f t="shared" si="648"/>
        <v>46276</v>
      </c>
      <c r="T258" s="89">
        <f t="shared" si="649"/>
        <v>46276</v>
      </c>
      <c r="U258" s="89">
        <v>46262</v>
      </c>
      <c r="W258" s="169" t="str">
        <f t="shared" ca="1" si="650"/>
        <v>Completed</v>
      </c>
      <c r="X258" s="169" t="str">
        <f t="shared" ca="1" si="651"/>
        <v>Completed</v>
      </c>
      <c r="Y258" s="169" t="str">
        <f t="shared" ca="1" si="652"/>
        <v>Completed</v>
      </c>
      <c r="Z258" s="170" t="str">
        <f t="shared" ca="1" si="653"/>
        <v>Completed</v>
      </c>
    </row>
    <row r="259" spans="1:26" s="70" customFormat="1" ht="11.5" x14ac:dyDescent="0.25">
      <c r="A259" s="92" t="s">
        <v>66</v>
      </c>
      <c r="B259" s="92" t="s">
        <v>14</v>
      </c>
      <c r="C259" s="92" t="s">
        <v>843</v>
      </c>
      <c r="D259" s="91" t="s">
        <v>822</v>
      </c>
      <c r="E259" s="93">
        <f t="shared" si="654"/>
        <v>1</v>
      </c>
      <c r="F259" s="93">
        <f t="shared" si="655"/>
        <v>1</v>
      </c>
      <c r="G259" s="93">
        <f t="shared" si="656"/>
        <v>1</v>
      </c>
      <c r="H259" s="93">
        <f t="shared" si="657"/>
        <v>0</v>
      </c>
      <c r="I259" s="129">
        <v>4.7E-2</v>
      </c>
      <c r="J259" s="89">
        <v>46178</v>
      </c>
      <c r="K259" s="89">
        <f t="shared" si="643"/>
        <v>46178</v>
      </c>
      <c r="L259" s="89">
        <v>46182</v>
      </c>
      <c r="M259" s="89">
        <f t="shared" si="644"/>
        <v>46220</v>
      </c>
      <c r="N259" s="89">
        <f t="shared" si="645"/>
        <v>46220</v>
      </c>
      <c r="O259" s="89">
        <v>46191</v>
      </c>
      <c r="P259" s="89">
        <f t="shared" si="646"/>
        <v>46262</v>
      </c>
      <c r="Q259" s="89">
        <f t="shared" si="647"/>
        <v>46262</v>
      </c>
      <c r="R259" s="146">
        <v>46252</v>
      </c>
      <c r="S259" s="89">
        <f t="shared" si="648"/>
        <v>46276</v>
      </c>
      <c r="T259" s="89">
        <f t="shared" si="649"/>
        <v>46276</v>
      </c>
      <c r="U259" s="89">
        <v>46262</v>
      </c>
      <c r="W259" s="169" t="str">
        <f t="shared" ca="1" si="650"/>
        <v>Completed</v>
      </c>
      <c r="X259" s="169" t="str">
        <f t="shared" ca="1" si="651"/>
        <v>Completed</v>
      </c>
      <c r="Y259" s="169" t="str">
        <f t="shared" ca="1" si="652"/>
        <v>Completed</v>
      </c>
      <c r="Z259" s="170" t="str">
        <f t="shared" ca="1" si="653"/>
        <v>Completed</v>
      </c>
    </row>
    <row r="260" spans="1:26" s="70" customFormat="1" ht="11.5" x14ac:dyDescent="0.25">
      <c r="A260" s="92" t="s">
        <v>66</v>
      </c>
      <c r="B260" s="92" t="s">
        <v>14</v>
      </c>
      <c r="C260" s="92" t="s">
        <v>844</v>
      </c>
      <c r="D260" s="91" t="s">
        <v>823</v>
      </c>
      <c r="E260" s="93">
        <f t="shared" si="654"/>
        <v>1</v>
      </c>
      <c r="F260" s="93">
        <f t="shared" si="655"/>
        <v>1</v>
      </c>
      <c r="G260" s="93">
        <f t="shared" si="656"/>
        <v>1</v>
      </c>
      <c r="H260" s="93">
        <f t="shared" si="657"/>
        <v>0</v>
      </c>
      <c r="I260" s="129">
        <v>4.7E-2</v>
      </c>
      <c r="J260" s="89">
        <v>46178</v>
      </c>
      <c r="K260" s="89">
        <f t="shared" si="643"/>
        <v>46178</v>
      </c>
      <c r="L260" s="89">
        <v>46182</v>
      </c>
      <c r="M260" s="89">
        <f t="shared" si="644"/>
        <v>46220</v>
      </c>
      <c r="N260" s="89">
        <f t="shared" si="645"/>
        <v>46220</v>
      </c>
      <c r="O260" s="89">
        <v>46191</v>
      </c>
      <c r="P260" s="89">
        <f t="shared" si="646"/>
        <v>46262</v>
      </c>
      <c r="Q260" s="89">
        <f t="shared" si="647"/>
        <v>46262</v>
      </c>
      <c r="R260" s="146">
        <v>46252</v>
      </c>
      <c r="S260" s="89">
        <f t="shared" si="648"/>
        <v>46276</v>
      </c>
      <c r="T260" s="89">
        <f t="shared" si="649"/>
        <v>46276</v>
      </c>
      <c r="U260" s="89">
        <v>46262</v>
      </c>
      <c r="W260" s="169" t="str">
        <f t="shared" ca="1" si="650"/>
        <v>Completed</v>
      </c>
      <c r="X260" s="169" t="str">
        <f t="shared" ca="1" si="651"/>
        <v>Completed</v>
      </c>
      <c r="Y260" s="169" t="str">
        <f t="shared" ca="1" si="652"/>
        <v>Completed</v>
      </c>
      <c r="Z260" s="170" t="str">
        <f t="shared" ca="1" si="653"/>
        <v>Completed</v>
      </c>
    </row>
    <row r="261" spans="1:26" s="70" customFormat="1" ht="11.5" x14ac:dyDescent="0.25">
      <c r="A261" s="92" t="s">
        <v>66</v>
      </c>
      <c r="B261" s="92" t="s">
        <v>14</v>
      </c>
      <c r="C261" s="92" t="s">
        <v>845</v>
      </c>
      <c r="D261" s="91" t="s">
        <v>824</v>
      </c>
      <c r="E261" s="93">
        <f t="shared" si="654"/>
        <v>1</v>
      </c>
      <c r="F261" s="93">
        <f t="shared" si="655"/>
        <v>1</v>
      </c>
      <c r="G261" s="93">
        <f t="shared" si="656"/>
        <v>1</v>
      </c>
      <c r="H261" s="93">
        <f t="shared" si="657"/>
        <v>0</v>
      </c>
      <c r="I261" s="129">
        <v>4.7E-2</v>
      </c>
      <c r="J261" s="89">
        <v>46178</v>
      </c>
      <c r="K261" s="89">
        <f t="shared" si="643"/>
        <v>46178</v>
      </c>
      <c r="L261" s="89">
        <v>46182</v>
      </c>
      <c r="M261" s="89">
        <f t="shared" si="644"/>
        <v>46220</v>
      </c>
      <c r="N261" s="89">
        <f t="shared" si="645"/>
        <v>46220</v>
      </c>
      <c r="O261" s="89">
        <v>46191</v>
      </c>
      <c r="P261" s="89">
        <f t="shared" si="646"/>
        <v>46262</v>
      </c>
      <c r="Q261" s="89">
        <f t="shared" si="647"/>
        <v>46262</v>
      </c>
      <c r="R261" s="146">
        <v>46252</v>
      </c>
      <c r="S261" s="89">
        <f t="shared" si="648"/>
        <v>46276</v>
      </c>
      <c r="T261" s="89">
        <f t="shared" si="649"/>
        <v>46276</v>
      </c>
      <c r="U261" s="89">
        <v>46262</v>
      </c>
      <c r="W261" s="169" t="str">
        <f t="shared" ca="1" si="650"/>
        <v>Completed</v>
      </c>
      <c r="X261" s="169" t="str">
        <f t="shared" ca="1" si="651"/>
        <v>Completed</v>
      </c>
      <c r="Y261" s="169" t="str">
        <f t="shared" ca="1" si="652"/>
        <v>Completed</v>
      </c>
      <c r="Z261" s="170" t="str">
        <f t="shared" ca="1" si="653"/>
        <v>Completed</v>
      </c>
    </row>
    <row r="262" spans="1:26" s="70" customFormat="1" ht="11.5" x14ac:dyDescent="0.25">
      <c r="A262" s="92" t="s">
        <v>66</v>
      </c>
      <c r="B262" s="92" t="s">
        <v>14</v>
      </c>
      <c r="C262" s="92" t="s">
        <v>846</v>
      </c>
      <c r="D262" s="91" t="s">
        <v>825</v>
      </c>
      <c r="E262" s="93">
        <f t="shared" si="654"/>
        <v>1</v>
      </c>
      <c r="F262" s="93">
        <f t="shared" si="655"/>
        <v>1</v>
      </c>
      <c r="G262" s="93">
        <f t="shared" si="656"/>
        <v>1</v>
      </c>
      <c r="H262" s="93">
        <f t="shared" si="657"/>
        <v>0</v>
      </c>
      <c r="I262" s="129">
        <v>4.7E-2</v>
      </c>
      <c r="J262" s="89">
        <v>46178</v>
      </c>
      <c r="K262" s="89">
        <f t="shared" si="643"/>
        <v>46178</v>
      </c>
      <c r="L262" s="89">
        <v>46182</v>
      </c>
      <c r="M262" s="89">
        <f t="shared" si="644"/>
        <v>46220</v>
      </c>
      <c r="N262" s="89">
        <f t="shared" si="645"/>
        <v>46220</v>
      </c>
      <c r="O262" s="89">
        <v>46191</v>
      </c>
      <c r="P262" s="89">
        <f t="shared" si="646"/>
        <v>46262</v>
      </c>
      <c r="Q262" s="89">
        <f t="shared" si="647"/>
        <v>46262</v>
      </c>
      <c r="R262" s="146">
        <v>46252</v>
      </c>
      <c r="S262" s="89">
        <f t="shared" si="648"/>
        <v>46276</v>
      </c>
      <c r="T262" s="89">
        <f t="shared" si="649"/>
        <v>46276</v>
      </c>
      <c r="U262" s="89">
        <v>46262</v>
      </c>
      <c r="W262" s="169" t="str">
        <f t="shared" ca="1" si="650"/>
        <v>Completed</v>
      </c>
      <c r="X262" s="169" t="str">
        <f t="shared" ca="1" si="651"/>
        <v>Completed</v>
      </c>
      <c r="Y262" s="169" t="str">
        <f t="shared" ca="1" si="652"/>
        <v>Completed</v>
      </c>
      <c r="Z262" s="170" t="str">
        <f t="shared" ca="1" si="653"/>
        <v>Completed</v>
      </c>
    </row>
    <row r="263" spans="1:26" s="70" customFormat="1" ht="11.5" x14ac:dyDescent="0.25">
      <c r="A263" s="92" t="s">
        <v>66</v>
      </c>
      <c r="B263" s="92" t="s">
        <v>14</v>
      </c>
      <c r="C263" s="92" t="s">
        <v>847</v>
      </c>
      <c r="D263" s="91" t="s">
        <v>826</v>
      </c>
      <c r="E263" s="93">
        <f t="shared" si="618"/>
        <v>1</v>
      </c>
      <c r="F263" s="93">
        <f t="shared" si="619"/>
        <v>1</v>
      </c>
      <c r="G263" s="93">
        <f>(COUNTIFS(L263,"&lt;="&amp;$C$1)*50%)+(COUNTIFS(O263,"&lt;="&amp;$C$1)*20%)+(COUNTIFS(R263,"&lt;="&amp;$C$1)*10%)+(COUNTIFS(U263,"&lt;="&amp;$C$1)*20%)</f>
        <v>1</v>
      </c>
      <c r="H263" s="93">
        <f t="shared" si="620"/>
        <v>0</v>
      </c>
      <c r="I263" s="129">
        <v>4.7E-2</v>
      </c>
      <c r="J263" s="89">
        <v>46178</v>
      </c>
      <c r="K263" s="89">
        <f t="shared" si="643"/>
        <v>46178</v>
      </c>
      <c r="L263" s="97">
        <v>46162</v>
      </c>
      <c r="M263" s="89">
        <f t="shared" si="644"/>
        <v>46220</v>
      </c>
      <c r="N263" s="89">
        <f t="shared" si="645"/>
        <v>46220</v>
      </c>
      <c r="O263" s="89">
        <v>46191</v>
      </c>
      <c r="P263" s="89">
        <f t="shared" si="646"/>
        <v>46262</v>
      </c>
      <c r="Q263" s="89">
        <f t="shared" si="647"/>
        <v>46262</v>
      </c>
      <c r="R263" s="146">
        <v>46252</v>
      </c>
      <c r="S263" s="89">
        <f t="shared" si="648"/>
        <v>46276</v>
      </c>
      <c r="T263" s="89">
        <f t="shared" si="649"/>
        <v>46276</v>
      </c>
      <c r="U263" s="89">
        <v>46262</v>
      </c>
      <c r="W263" s="169" t="str">
        <f t="shared" ca="1" si="650"/>
        <v>Completed</v>
      </c>
      <c r="X263" s="169" t="str">
        <f t="shared" ca="1" si="651"/>
        <v>Completed</v>
      </c>
      <c r="Y263" s="169" t="str">
        <f t="shared" ca="1" si="652"/>
        <v>Completed</v>
      </c>
      <c r="Z263" s="170" t="str">
        <f t="shared" ca="1" si="653"/>
        <v>Completed</v>
      </c>
    </row>
    <row r="264" spans="1:26" s="70" customFormat="1" ht="11.5" x14ac:dyDescent="0.25">
      <c r="A264" s="92" t="s">
        <v>66</v>
      </c>
      <c r="B264" s="92" t="s">
        <v>14</v>
      </c>
      <c r="C264" s="92" t="s">
        <v>848</v>
      </c>
      <c r="D264" s="91" t="s">
        <v>827</v>
      </c>
      <c r="E264" s="93">
        <f t="shared" si="618"/>
        <v>1</v>
      </c>
      <c r="F264" s="93">
        <f t="shared" si="619"/>
        <v>1</v>
      </c>
      <c r="G264" s="93">
        <f>(COUNTIFS(L264,"&lt;="&amp;$C$1)*50%)+(COUNTIFS(O264,"&lt;="&amp;$C$1)*20%)+(COUNTIFS(R264,"&lt;="&amp;$C$1)*10%)+(COUNTIFS(U264,"&lt;="&amp;$C$1)*20%)</f>
        <v>1</v>
      </c>
      <c r="H264" s="93">
        <f t="shared" si="620"/>
        <v>0</v>
      </c>
      <c r="I264" s="129">
        <v>4.7E-2</v>
      </c>
      <c r="J264" s="89">
        <v>46178</v>
      </c>
      <c r="K264" s="89">
        <f t="shared" si="643"/>
        <v>46178</v>
      </c>
      <c r="L264" s="97">
        <v>46162</v>
      </c>
      <c r="M264" s="89">
        <f t="shared" si="644"/>
        <v>46220</v>
      </c>
      <c r="N264" s="89">
        <f t="shared" si="645"/>
        <v>46220</v>
      </c>
      <c r="O264" s="89">
        <v>46191</v>
      </c>
      <c r="P264" s="89">
        <f t="shared" si="646"/>
        <v>46262</v>
      </c>
      <c r="Q264" s="89">
        <f t="shared" si="647"/>
        <v>46262</v>
      </c>
      <c r="R264" s="146">
        <v>46252</v>
      </c>
      <c r="S264" s="89">
        <f t="shared" si="648"/>
        <v>46276</v>
      </c>
      <c r="T264" s="89">
        <f t="shared" si="649"/>
        <v>46276</v>
      </c>
      <c r="U264" s="89">
        <v>46262</v>
      </c>
      <c r="W264" s="169" t="str">
        <f t="shared" ca="1" si="650"/>
        <v>Completed</v>
      </c>
      <c r="X264" s="169" t="str">
        <f t="shared" ca="1" si="651"/>
        <v>Completed</v>
      </c>
      <c r="Y264" s="169" t="str">
        <f t="shared" ca="1" si="652"/>
        <v>Completed</v>
      </c>
      <c r="Z264" s="170" t="str">
        <f t="shared" ca="1" si="653"/>
        <v>Completed</v>
      </c>
    </row>
    <row r="265" spans="1:26" s="70" customFormat="1" ht="11.5" x14ac:dyDescent="0.25">
      <c r="A265" s="92" t="s">
        <v>66</v>
      </c>
      <c r="B265" s="92" t="s">
        <v>14</v>
      </c>
      <c r="C265" s="92" t="s">
        <v>849</v>
      </c>
      <c r="D265" s="91" t="s">
        <v>828</v>
      </c>
      <c r="E265" s="93">
        <f t="shared" si="618"/>
        <v>1</v>
      </c>
      <c r="F265" s="93">
        <f t="shared" si="619"/>
        <v>1</v>
      </c>
      <c r="G265" s="93">
        <f t="shared" si="619"/>
        <v>1</v>
      </c>
      <c r="H265" s="93">
        <f t="shared" si="620"/>
        <v>0</v>
      </c>
      <c r="I265" s="129">
        <v>4.7E-2</v>
      </c>
      <c r="J265" s="89">
        <v>46178</v>
      </c>
      <c r="K265" s="89">
        <f t="shared" si="643"/>
        <v>46178</v>
      </c>
      <c r="L265" s="97">
        <v>46162</v>
      </c>
      <c r="M265" s="89">
        <f t="shared" si="644"/>
        <v>46220</v>
      </c>
      <c r="N265" s="89">
        <f t="shared" si="645"/>
        <v>46220</v>
      </c>
      <c r="O265" s="89">
        <v>46191</v>
      </c>
      <c r="P265" s="89">
        <f t="shared" si="646"/>
        <v>46262</v>
      </c>
      <c r="Q265" s="89">
        <f t="shared" si="647"/>
        <v>46262</v>
      </c>
      <c r="R265" s="146">
        <v>46252</v>
      </c>
      <c r="S265" s="89">
        <f t="shared" si="648"/>
        <v>46276</v>
      </c>
      <c r="T265" s="89">
        <f t="shared" si="649"/>
        <v>46276</v>
      </c>
      <c r="U265" s="89">
        <v>46262</v>
      </c>
      <c r="W265" s="169" t="str">
        <f t="shared" ca="1" si="650"/>
        <v>Completed</v>
      </c>
      <c r="X265" s="169" t="str">
        <f t="shared" ca="1" si="651"/>
        <v>Completed</v>
      </c>
      <c r="Y265" s="169" t="str">
        <f t="shared" ca="1" si="652"/>
        <v>Completed</v>
      </c>
      <c r="Z265" s="170" t="str">
        <f t="shared" ca="1" si="653"/>
        <v>Completed</v>
      </c>
    </row>
    <row r="266" spans="1:26" s="70" customFormat="1" ht="11.5" x14ac:dyDescent="0.25">
      <c r="A266" s="92" t="s">
        <v>66</v>
      </c>
      <c r="B266" s="92" t="s">
        <v>14</v>
      </c>
      <c r="C266" s="92" t="s">
        <v>850</v>
      </c>
      <c r="D266" s="91" t="s">
        <v>829</v>
      </c>
      <c r="E266" s="93">
        <f t="shared" si="618"/>
        <v>1</v>
      </c>
      <c r="F266" s="93">
        <f t="shared" si="619"/>
        <v>1</v>
      </c>
      <c r="G266" s="93">
        <f t="shared" si="619"/>
        <v>1</v>
      </c>
      <c r="H266" s="93">
        <f t="shared" si="620"/>
        <v>0</v>
      </c>
      <c r="I266" s="129">
        <v>4.7E-2</v>
      </c>
      <c r="J266" s="89">
        <v>46178</v>
      </c>
      <c r="K266" s="89">
        <f t="shared" si="643"/>
        <v>46178</v>
      </c>
      <c r="L266" s="97">
        <v>46162</v>
      </c>
      <c r="M266" s="89">
        <f t="shared" si="644"/>
        <v>46220</v>
      </c>
      <c r="N266" s="89">
        <f t="shared" si="645"/>
        <v>46220</v>
      </c>
      <c r="O266" s="89">
        <v>46191</v>
      </c>
      <c r="P266" s="89">
        <f t="shared" si="646"/>
        <v>46262</v>
      </c>
      <c r="Q266" s="89">
        <f t="shared" si="647"/>
        <v>46262</v>
      </c>
      <c r="R266" s="146">
        <v>46252</v>
      </c>
      <c r="S266" s="89">
        <f t="shared" si="648"/>
        <v>46276</v>
      </c>
      <c r="T266" s="89">
        <f t="shared" si="649"/>
        <v>46276</v>
      </c>
      <c r="U266" s="89">
        <v>46262</v>
      </c>
      <c r="W266" s="169" t="str">
        <f t="shared" ca="1" si="650"/>
        <v>Completed</v>
      </c>
      <c r="X266" s="169" t="str">
        <f t="shared" ca="1" si="651"/>
        <v>Completed</v>
      </c>
      <c r="Y266" s="169" t="str">
        <f t="shared" ca="1" si="652"/>
        <v>Completed</v>
      </c>
      <c r="Z266" s="170" t="str">
        <f t="shared" ca="1" si="653"/>
        <v>Completed</v>
      </c>
    </row>
    <row r="267" spans="1:26" s="70" customFormat="1" ht="11.5" x14ac:dyDescent="0.25">
      <c r="A267" s="92" t="s">
        <v>66</v>
      </c>
      <c r="B267" s="92" t="s">
        <v>14</v>
      </c>
      <c r="C267" s="92" t="s">
        <v>851</v>
      </c>
      <c r="D267" s="91" t="s">
        <v>830</v>
      </c>
      <c r="E267" s="93">
        <f t="shared" si="618"/>
        <v>1</v>
      </c>
      <c r="F267" s="93">
        <f t="shared" si="619"/>
        <v>1</v>
      </c>
      <c r="G267" s="93">
        <f t="shared" si="619"/>
        <v>1</v>
      </c>
      <c r="H267" s="93">
        <f t="shared" si="620"/>
        <v>0</v>
      </c>
      <c r="I267" s="129">
        <v>4.7E-2</v>
      </c>
      <c r="J267" s="89">
        <v>46178</v>
      </c>
      <c r="K267" s="89">
        <f t="shared" si="643"/>
        <v>46178</v>
      </c>
      <c r="L267" s="97">
        <v>46162</v>
      </c>
      <c r="M267" s="89">
        <f t="shared" si="644"/>
        <v>46220</v>
      </c>
      <c r="N267" s="89">
        <f t="shared" si="645"/>
        <v>46220</v>
      </c>
      <c r="O267" s="89">
        <v>46191</v>
      </c>
      <c r="P267" s="89">
        <f t="shared" si="646"/>
        <v>46262</v>
      </c>
      <c r="Q267" s="89">
        <f t="shared" si="647"/>
        <v>46262</v>
      </c>
      <c r="R267" s="146">
        <v>46252</v>
      </c>
      <c r="S267" s="89">
        <f t="shared" si="648"/>
        <v>46276</v>
      </c>
      <c r="T267" s="89">
        <f t="shared" si="649"/>
        <v>46276</v>
      </c>
      <c r="U267" s="89">
        <v>46262</v>
      </c>
      <c r="W267" s="169" t="str">
        <f t="shared" ca="1" si="650"/>
        <v>Completed</v>
      </c>
      <c r="X267" s="169" t="str">
        <f t="shared" ca="1" si="651"/>
        <v>Completed</v>
      </c>
      <c r="Y267" s="169" t="str">
        <f t="shared" ca="1" si="652"/>
        <v>Completed</v>
      </c>
      <c r="Z267" s="170" t="str">
        <f t="shared" ca="1" si="653"/>
        <v>Completed</v>
      </c>
    </row>
    <row r="268" spans="1:26" s="70" customFormat="1" ht="11.5" x14ac:dyDescent="0.25">
      <c r="A268" s="92" t="s">
        <v>66</v>
      </c>
      <c r="B268" s="92" t="s">
        <v>14</v>
      </c>
      <c r="C268" s="92" t="s">
        <v>852</v>
      </c>
      <c r="D268" s="91" t="s">
        <v>831</v>
      </c>
      <c r="E268" s="93">
        <f t="shared" si="618"/>
        <v>1</v>
      </c>
      <c r="F268" s="93">
        <f t="shared" si="619"/>
        <v>1</v>
      </c>
      <c r="G268" s="93">
        <f t="shared" si="619"/>
        <v>1</v>
      </c>
      <c r="H268" s="93">
        <f t="shared" si="620"/>
        <v>0</v>
      </c>
      <c r="I268" s="129">
        <v>4.7E-2</v>
      </c>
      <c r="J268" s="89">
        <v>46178</v>
      </c>
      <c r="K268" s="89">
        <f t="shared" si="643"/>
        <v>46178</v>
      </c>
      <c r="L268" s="97">
        <v>46162</v>
      </c>
      <c r="M268" s="89">
        <f t="shared" si="644"/>
        <v>46220</v>
      </c>
      <c r="N268" s="89">
        <f t="shared" si="645"/>
        <v>46220</v>
      </c>
      <c r="O268" s="89">
        <v>46191</v>
      </c>
      <c r="P268" s="89">
        <f t="shared" si="646"/>
        <v>46262</v>
      </c>
      <c r="Q268" s="89">
        <f t="shared" si="647"/>
        <v>46262</v>
      </c>
      <c r="R268" s="146">
        <v>46252</v>
      </c>
      <c r="S268" s="89">
        <f t="shared" si="648"/>
        <v>46276</v>
      </c>
      <c r="T268" s="89">
        <f t="shared" si="649"/>
        <v>46276</v>
      </c>
      <c r="U268" s="89">
        <v>46262</v>
      </c>
      <c r="W268" s="169" t="str">
        <f t="shared" ca="1" si="650"/>
        <v>Completed</v>
      </c>
      <c r="X268" s="169" t="str">
        <f t="shared" ca="1" si="651"/>
        <v>Completed</v>
      </c>
      <c r="Y268" s="169" t="str">
        <f t="shared" ca="1" si="652"/>
        <v>Completed</v>
      </c>
      <c r="Z268" s="170" t="str">
        <f t="shared" ca="1" si="653"/>
        <v>Completed</v>
      </c>
    </row>
    <row r="269" spans="1:26" s="70" customFormat="1" ht="11.5" x14ac:dyDescent="0.25">
      <c r="A269" s="92" t="s">
        <v>66</v>
      </c>
      <c r="B269" s="92" t="s">
        <v>14</v>
      </c>
      <c r="C269" s="92" t="s">
        <v>853</v>
      </c>
      <c r="D269" s="91" t="s">
        <v>832</v>
      </c>
      <c r="E269" s="93">
        <f t="shared" si="618"/>
        <v>1</v>
      </c>
      <c r="F269" s="93">
        <f t="shared" si="619"/>
        <v>1</v>
      </c>
      <c r="G269" s="93">
        <f t="shared" si="619"/>
        <v>1</v>
      </c>
      <c r="H269" s="93">
        <f t="shared" si="620"/>
        <v>0</v>
      </c>
      <c r="I269" s="129">
        <v>4.7E-2</v>
      </c>
      <c r="J269" s="89">
        <v>46178</v>
      </c>
      <c r="K269" s="89">
        <f t="shared" si="643"/>
        <v>46178</v>
      </c>
      <c r="L269" s="97">
        <v>46162</v>
      </c>
      <c r="M269" s="89">
        <f t="shared" si="644"/>
        <v>46220</v>
      </c>
      <c r="N269" s="89">
        <f t="shared" si="645"/>
        <v>46220</v>
      </c>
      <c r="O269" s="89">
        <v>46191</v>
      </c>
      <c r="P269" s="89">
        <f t="shared" si="646"/>
        <v>46262</v>
      </c>
      <c r="Q269" s="89">
        <f t="shared" si="647"/>
        <v>46262</v>
      </c>
      <c r="R269" s="146">
        <v>46252</v>
      </c>
      <c r="S269" s="89">
        <f t="shared" si="648"/>
        <v>46276</v>
      </c>
      <c r="T269" s="89">
        <f t="shared" si="649"/>
        <v>46276</v>
      </c>
      <c r="U269" s="89">
        <v>46262</v>
      </c>
      <c r="W269" s="169" t="str">
        <f t="shared" ca="1" si="650"/>
        <v>Completed</v>
      </c>
      <c r="X269" s="169" t="str">
        <f t="shared" ca="1" si="651"/>
        <v>Completed</v>
      </c>
      <c r="Y269" s="169" t="str">
        <f t="shared" ca="1" si="652"/>
        <v>Completed</v>
      </c>
      <c r="Z269" s="170" t="str">
        <f t="shared" ca="1" si="653"/>
        <v>Completed</v>
      </c>
    </row>
    <row r="270" spans="1:26" s="70" customFormat="1" ht="11.5" x14ac:dyDescent="0.25">
      <c r="A270" s="92" t="s">
        <v>66</v>
      </c>
      <c r="B270" s="92" t="s">
        <v>14</v>
      </c>
      <c r="C270" s="92" t="s">
        <v>854</v>
      </c>
      <c r="D270" s="91" t="s">
        <v>833</v>
      </c>
      <c r="E270" s="93">
        <f t="shared" si="618"/>
        <v>1</v>
      </c>
      <c r="F270" s="93">
        <f t="shared" si="619"/>
        <v>1</v>
      </c>
      <c r="G270" s="93">
        <f t="shared" si="619"/>
        <v>1</v>
      </c>
      <c r="H270" s="93">
        <f t="shared" si="620"/>
        <v>0</v>
      </c>
      <c r="I270" s="129">
        <v>4.7E-2</v>
      </c>
      <c r="J270" s="89">
        <v>46178</v>
      </c>
      <c r="K270" s="89">
        <f t="shared" si="643"/>
        <v>46178</v>
      </c>
      <c r="L270" s="97">
        <v>46162</v>
      </c>
      <c r="M270" s="89">
        <f t="shared" si="644"/>
        <v>46220</v>
      </c>
      <c r="N270" s="89">
        <f t="shared" si="645"/>
        <v>46220</v>
      </c>
      <c r="O270" s="89">
        <v>46191</v>
      </c>
      <c r="P270" s="89">
        <f t="shared" si="646"/>
        <v>46262</v>
      </c>
      <c r="Q270" s="89">
        <f t="shared" si="647"/>
        <v>46262</v>
      </c>
      <c r="R270" s="146">
        <v>46252</v>
      </c>
      <c r="S270" s="89">
        <f t="shared" si="648"/>
        <v>46276</v>
      </c>
      <c r="T270" s="89">
        <f t="shared" si="649"/>
        <v>46276</v>
      </c>
      <c r="U270" s="89">
        <v>46262</v>
      </c>
      <c r="W270" s="169" t="str">
        <f t="shared" ca="1" si="650"/>
        <v>Completed</v>
      </c>
      <c r="X270" s="169" t="str">
        <f t="shared" ca="1" si="651"/>
        <v>Completed</v>
      </c>
      <c r="Y270" s="169" t="str">
        <f t="shared" ca="1" si="652"/>
        <v>Completed</v>
      </c>
      <c r="Z270" s="170" t="str">
        <f t="shared" ca="1" si="653"/>
        <v>Completed</v>
      </c>
    </row>
    <row r="271" spans="1:26" s="70" customFormat="1" ht="11.5" x14ac:dyDescent="0.25">
      <c r="A271" s="92" t="s">
        <v>66</v>
      </c>
      <c r="B271" s="92" t="s">
        <v>14</v>
      </c>
      <c r="C271" s="92" t="s">
        <v>293</v>
      </c>
      <c r="D271" s="91" t="s">
        <v>294</v>
      </c>
      <c r="E271" s="93">
        <f t="shared" si="618"/>
        <v>1</v>
      </c>
      <c r="F271" s="93">
        <f t="shared" si="619"/>
        <v>1</v>
      </c>
      <c r="G271" s="93">
        <f t="shared" si="619"/>
        <v>1</v>
      </c>
      <c r="H271" s="93">
        <f t="shared" si="620"/>
        <v>0</v>
      </c>
      <c r="I271" s="129">
        <v>4.7E-2</v>
      </c>
      <c r="J271" s="89">
        <v>46164</v>
      </c>
      <c r="K271" s="89">
        <f t="shared" si="643"/>
        <v>46164</v>
      </c>
      <c r="L271" s="146">
        <v>46184</v>
      </c>
      <c r="M271" s="89">
        <f t="shared" si="644"/>
        <v>46206</v>
      </c>
      <c r="N271" s="89">
        <f t="shared" si="645"/>
        <v>46206</v>
      </c>
      <c r="O271" s="89">
        <v>46192</v>
      </c>
      <c r="P271" s="89">
        <f t="shared" si="646"/>
        <v>46248</v>
      </c>
      <c r="Q271" s="89">
        <f t="shared" si="647"/>
        <v>46248</v>
      </c>
      <c r="R271" s="89">
        <v>46254</v>
      </c>
      <c r="S271" s="89">
        <f t="shared" si="648"/>
        <v>46262</v>
      </c>
      <c r="T271" s="89">
        <f t="shared" si="649"/>
        <v>46262</v>
      </c>
      <c r="U271" s="90">
        <v>46269</v>
      </c>
      <c r="W271" s="169" t="str">
        <f t="shared" ca="1" si="650"/>
        <v>Completed</v>
      </c>
      <c r="X271" s="169" t="str">
        <f t="shared" ca="1" si="651"/>
        <v>Completed</v>
      </c>
      <c r="Y271" s="169" t="str">
        <f t="shared" ca="1" si="652"/>
        <v>Completed</v>
      </c>
      <c r="Z271" s="170" t="str">
        <f t="shared" ca="1" si="653"/>
        <v>Completed</v>
      </c>
    </row>
    <row r="272" spans="1:26" s="70" customFormat="1" ht="11.5" x14ac:dyDescent="0.25">
      <c r="A272" s="174" t="s">
        <v>66</v>
      </c>
      <c r="B272" s="174" t="s">
        <v>14</v>
      </c>
      <c r="C272" s="174" t="s">
        <v>295</v>
      </c>
      <c r="D272" s="158" t="s">
        <v>1105</v>
      </c>
      <c r="E272" s="159"/>
      <c r="F272" s="159"/>
      <c r="G272" s="159"/>
      <c r="H272" s="159"/>
      <c r="I272" s="129">
        <v>4.7E-2</v>
      </c>
      <c r="J272" s="155">
        <v>46164</v>
      </c>
      <c r="K272" s="155">
        <f t="shared" si="643"/>
        <v>46164</v>
      </c>
      <c r="L272" s="155">
        <v>46184</v>
      </c>
      <c r="M272" s="155">
        <f t="shared" si="644"/>
        <v>46206</v>
      </c>
      <c r="N272" s="155">
        <f t="shared" si="645"/>
        <v>46206</v>
      </c>
      <c r="O272" s="155">
        <v>46192</v>
      </c>
      <c r="P272" s="155">
        <f t="shared" si="646"/>
        <v>46248</v>
      </c>
      <c r="Q272" s="155">
        <f t="shared" si="647"/>
        <v>46248</v>
      </c>
      <c r="R272" s="155">
        <v>46262</v>
      </c>
      <c r="S272" s="155">
        <f t="shared" si="648"/>
        <v>46262</v>
      </c>
      <c r="T272" s="155">
        <f t="shared" si="649"/>
        <v>46262</v>
      </c>
      <c r="U272" s="155">
        <v>46262</v>
      </c>
      <c r="W272" s="169" t="str">
        <f t="shared" ca="1" si="650"/>
        <v>Completed</v>
      </c>
      <c r="X272" s="169" t="str">
        <f t="shared" ca="1" si="651"/>
        <v>Completed</v>
      </c>
      <c r="Y272" s="169" t="str">
        <f t="shared" ca="1" si="652"/>
        <v>Completed</v>
      </c>
      <c r="Z272" s="170" t="str">
        <f t="shared" ca="1" si="653"/>
        <v>Completed</v>
      </c>
    </row>
    <row r="273" spans="1:26" s="70" customFormat="1" ht="11.5" x14ac:dyDescent="0.25">
      <c r="A273" s="92" t="s">
        <v>66</v>
      </c>
      <c r="B273" s="92" t="s">
        <v>14</v>
      </c>
      <c r="C273" s="92" t="s">
        <v>296</v>
      </c>
      <c r="D273" s="91" t="s">
        <v>297</v>
      </c>
      <c r="E273" s="93">
        <f t="shared" ref="E273:E357" si="658">(COUNTIFS(J273,"&lt;="&amp;$C$1)*50%)+(COUNTIFS(M273,"&lt;="&amp;$C$1)*20%)+(COUNTIFS(P273,"&lt;="&amp;$C$1)*10%)+(COUNTIFS(S273,"&lt;="&amp;$C$1)*20%)</f>
        <v>1</v>
      </c>
      <c r="F273" s="93">
        <f t="shared" ref="F273:G357" si="659">(COUNTIFS(K273,"&lt;="&amp;$C$1)*50%)+(COUNTIFS(N273,"&lt;="&amp;$C$1)*20%)+(COUNTIFS(Q273,"&lt;="&amp;$C$1)*10%)+(COUNTIFS(T273,"&lt;="&amp;$C$1)*20%)</f>
        <v>1</v>
      </c>
      <c r="G273" s="93">
        <f t="shared" si="659"/>
        <v>1</v>
      </c>
      <c r="H273" s="93">
        <f t="shared" ref="H273:H357" si="660">G273-E273</f>
        <v>0</v>
      </c>
      <c r="I273" s="129">
        <v>4.7E-2</v>
      </c>
      <c r="J273" s="89">
        <v>46164</v>
      </c>
      <c r="K273" s="89">
        <f t="shared" si="643"/>
        <v>46164</v>
      </c>
      <c r="L273" s="146">
        <v>46184</v>
      </c>
      <c r="M273" s="89">
        <f t="shared" si="644"/>
        <v>46206</v>
      </c>
      <c r="N273" s="89">
        <f t="shared" si="645"/>
        <v>46206</v>
      </c>
      <c r="O273" s="89">
        <v>46192</v>
      </c>
      <c r="P273" s="89">
        <f t="shared" si="646"/>
        <v>46248</v>
      </c>
      <c r="Q273" s="89">
        <f t="shared" si="647"/>
        <v>46248</v>
      </c>
      <c r="R273" s="89">
        <v>46254</v>
      </c>
      <c r="S273" s="89">
        <f t="shared" si="648"/>
        <v>46262</v>
      </c>
      <c r="T273" s="89">
        <f t="shared" si="649"/>
        <v>46262</v>
      </c>
      <c r="U273" s="90">
        <v>46269</v>
      </c>
      <c r="W273" s="169" t="str">
        <f t="shared" ca="1" si="650"/>
        <v>Completed</v>
      </c>
      <c r="X273" s="169" t="str">
        <f t="shared" ca="1" si="651"/>
        <v>Completed</v>
      </c>
      <c r="Y273" s="169" t="str">
        <f t="shared" ca="1" si="652"/>
        <v>Completed</v>
      </c>
      <c r="Z273" s="170" t="str">
        <f t="shared" ca="1" si="653"/>
        <v>Completed</v>
      </c>
    </row>
    <row r="274" spans="1:26" s="70" customFormat="1" ht="11.5" x14ac:dyDescent="0.25">
      <c r="A274" s="91" t="s">
        <v>66</v>
      </c>
      <c r="B274" s="91" t="s">
        <v>14</v>
      </c>
      <c r="C274" s="91" t="s">
        <v>298</v>
      </c>
      <c r="D274" s="91" t="s">
        <v>299</v>
      </c>
      <c r="E274" s="93">
        <f t="shared" si="658"/>
        <v>1</v>
      </c>
      <c r="F274" s="93">
        <f t="shared" si="659"/>
        <v>1</v>
      </c>
      <c r="G274" s="93">
        <f t="shared" si="659"/>
        <v>1</v>
      </c>
      <c r="H274" s="93">
        <f t="shared" si="660"/>
        <v>0</v>
      </c>
      <c r="I274" s="129">
        <v>4.7E-2</v>
      </c>
      <c r="J274" s="89">
        <v>46164</v>
      </c>
      <c r="K274" s="89">
        <f t="shared" si="643"/>
        <v>46164</v>
      </c>
      <c r="L274" s="146">
        <v>46184</v>
      </c>
      <c r="M274" s="89">
        <f t="shared" si="644"/>
        <v>46206</v>
      </c>
      <c r="N274" s="89">
        <f t="shared" si="645"/>
        <v>46206</v>
      </c>
      <c r="O274" s="89">
        <v>46192</v>
      </c>
      <c r="P274" s="89">
        <f t="shared" si="646"/>
        <v>46248</v>
      </c>
      <c r="Q274" s="89">
        <f t="shared" si="647"/>
        <v>46248</v>
      </c>
      <c r="R274" s="89">
        <v>46254</v>
      </c>
      <c r="S274" s="89">
        <f t="shared" si="648"/>
        <v>46262</v>
      </c>
      <c r="T274" s="89">
        <f t="shared" si="649"/>
        <v>46262</v>
      </c>
      <c r="U274" s="90">
        <v>46269</v>
      </c>
      <c r="W274" s="169" t="str">
        <f t="shared" ca="1" si="650"/>
        <v>Completed</v>
      </c>
      <c r="X274" s="169" t="str">
        <f t="shared" ca="1" si="651"/>
        <v>Completed</v>
      </c>
      <c r="Y274" s="169" t="str">
        <f t="shared" ca="1" si="652"/>
        <v>Completed</v>
      </c>
      <c r="Z274" s="170" t="str">
        <f t="shared" ca="1" si="653"/>
        <v>Completed</v>
      </c>
    </row>
    <row r="275" spans="1:26" s="70" customFormat="1" ht="11.5" x14ac:dyDescent="0.25">
      <c r="A275" s="91" t="s">
        <v>66</v>
      </c>
      <c r="B275" s="91" t="s">
        <v>14</v>
      </c>
      <c r="C275" s="91" t="s">
        <v>300</v>
      </c>
      <c r="D275" s="91" t="s">
        <v>301</v>
      </c>
      <c r="E275" s="93">
        <f t="shared" si="658"/>
        <v>1</v>
      </c>
      <c r="F275" s="93">
        <f t="shared" si="659"/>
        <v>1</v>
      </c>
      <c r="G275" s="93">
        <f t="shared" si="659"/>
        <v>0.79999999999999993</v>
      </c>
      <c r="H275" s="93">
        <f t="shared" si="660"/>
        <v>-0.20000000000000007</v>
      </c>
      <c r="I275" s="129">
        <v>4.7E-2</v>
      </c>
      <c r="J275" s="89">
        <v>46185</v>
      </c>
      <c r="K275" s="89">
        <f t="shared" si="643"/>
        <v>46185</v>
      </c>
      <c r="L275" s="89">
        <v>46136</v>
      </c>
      <c r="M275" s="89">
        <f t="shared" si="644"/>
        <v>46227</v>
      </c>
      <c r="N275" s="89">
        <f t="shared" si="645"/>
        <v>46227</v>
      </c>
      <c r="O275" s="89">
        <v>46240</v>
      </c>
      <c r="P275" s="89">
        <f t="shared" si="646"/>
        <v>46269</v>
      </c>
      <c r="Q275" s="89">
        <f t="shared" si="647"/>
        <v>46269</v>
      </c>
      <c r="R275" s="161">
        <v>46283</v>
      </c>
      <c r="S275" s="89">
        <f t="shared" si="648"/>
        <v>46283</v>
      </c>
      <c r="T275" s="89">
        <f t="shared" si="649"/>
        <v>46283</v>
      </c>
      <c r="U275" s="89"/>
      <c r="W275" s="169" t="str">
        <f t="shared" ca="1" si="650"/>
        <v>Completed</v>
      </c>
      <c r="X275" s="169" t="str">
        <f t="shared" ca="1" si="651"/>
        <v>Completed</v>
      </c>
      <c r="Y275" s="169" t="str">
        <f t="shared" ca="1" si="652"/>
        <v>Completed</v>
      </c>
      <c r="Z275" s="170" t="str">
        <f t="shared" ca="1" si="653"/>
        <v>Overdue</v>
      </c>
    </row>
    <row r="276" spans="1:26" s="70" customFormat="1" ht="11.5" x14ac:dyDescent="0.25">
      <c r="A276" s="91" t="s">
        <v>66</v>
      </c>
      <c r="B276" s="91" t="s">
        <v>14</v>
      </c>
      <c r="C276" s="91" t="s">
        <v>944</v>
      </c>
      <c r="D276" s="91" t="s">
        <v>302</v>
      </c>
      <c r="E276" s="93">
        <f t="shared" si="658"/>
        <v>1</v>
      </c>
      <c r="F276" s="93">
        <f t="shared" si="659"/>
        <v>1</v>
      </c>
      <c r="G276" s="93">
        <f t="shared" si="659"/>
        <v>0.79999999999999993</v>
      </c>
      <c r="H276" s="93">
        <f t="shared" si="660"/>
        <v>-0.20000000000000007</v>
      </c>
      <c r="I276" s="129">
        <v>4.7E-2</v>
      </c>
      <c r="J276" s="89">
        <v>46185</v>
      </c>
      <c r="K276" s="89">
        <f t="shared" si="643"/>
        <v>46185</v>
      </c>
      <c r="L276" s="89">
        <v>46136</v>
      </c>
      <c r="M276" s="89">
        <f t="shared" si="644"/>
        <v>46227</v>
      </c>
      <c r="N276" s="89">
        <f t="shared" si="645"/>
        <v>46227</v>
      </c>
      <c r="O276" s="89">
        <v>46240</v>
      </c>
      <c r="P276" s="89">
        <f t="shared" si="646"/>
        <v>46269</v>
      </c>
      <c r="Q276" s="89">
        <f t="shared" si="647"/>
        <v>46269</v>
      </c>
      <c r="R276" s="161">
        <v>46283</v>
      </c>
      <c r="S276" s="89">
        <f t="shared" si="648"/>
        <v>46283</v>
      </c>
      <c r="T276" s="89">
        <f t="shared" si="649"/>
        <v>46283</v>
      </c>
      <c r="U276" s="89"/>
      <c r="W276" s="169" t="str">
        <f t="shared" ca="1" si="650"/>
        <v>Completed</v>
      </c>
      <c r="X276" s="169" t="str">
        <f t="shared" ca="1" si="651"/>
        <v>Completed</v>
      </c>
      <c r="Y276" s="169" t="str">
        <f t="shared" ca="1" si="652"/>
        <v>Completed</v>
      </c>
      <c r="Z276" s="170" t="str">
        <f t="shared" ca="1" si="653"/>
        <v>Overdue</v>
      </c>
    </row>
    <row r="277" spans="1:26" s="70" customFormat="1" ht="11.5" x14ac:dyDescent="0.25">
      <c r="A277" s="91" t="s">
        <v>66</v>
      </c>
      <c r="B277" s="91" t="s">
        <v>14</v>
      </c>
      <c r="C277" s="91" t="s">
        <v>945</v>
      </c>
      <c r="D277" s="91" t="s">
        <v>303</v>
      </c>
      <c r="E277" s="93">
        <f t="shared" si="658"/>
        <v>1</v>
      </c>
      <c r="F277" s="93">
        <f t="shared" si="659"/>
        <v>1</v>
      </c>
      <c r="G277" s="93">
        <f t="shared" si="659"/>
        <v>0.79999999999999993</v>
      </c>
      <c r="H277" s="93">
        <f t="shared" si="660"/>
        <v>-0.20000000000000007</v>
      </c>
      <c r="I277" s="129">
        <v>4.7E-2</v>
      </c>
      <c r="J277" s="89">
        <v>46185</v>
      </c>
      <c r="K277" s="89">
        <f t="shared" si="643"/>
        <v>46185</v>
      </c>
      <c r="L277" s="89">
        <v>46136</v>
      </c>
      <c r="M277" s="89">
        <f t="shared" si="644"/>
        <v>46227</v>
      </c>
      <c r="N277" s="89">
        <f t="shared" si="645"/>
        <v>46227</v>
      </c>
      <c r="O277" s="89">
        <v>46240</v>
      </c>
      <c r="P277" s="89">
        <f t="shared" si="646"/>
        <v>46269</v>
      </c>
      <c r="Q277" s="89">
        <f t="shared" si="647"/>
        <v>46269</v>
      </c>
      <c r="R277" s="161">
        <v>46283</v>
      </c>
      <c r="S277" s="89">
        <f t="shared" si="648"/>
        <v>46283</v>
      </c>
      <c r="T277" s="89">
        <f t="shared" si="649"/>
        <v>46283</v>
      </c>
      <c r="U277" s="89"/>
      <c r="W277" s="169" t="str">
        <f t="shared" ca="1" si="650"/>
        <v>Completed</v>
      </c>
      <c r="X277" s="169" t="str">
        <f t="shared" ca="1" si="651"/>
        <v>Completed</v>
      </c>
      <c r="Y277" s="169" t="str">
        <f t="shared" ca="1" si="652"/>
        <v>Completed</v>
      </c>
      <c r="Z277" s="170" t="str">
        <f t="shared" ca="1" si="653"/>
        <v>Overdue</v>
      </c>
    </row>
    <row r="278" spans="1:26" s="70" customFormat="1" ht="11.5" x14ac:dyDescent="0.25">
      <c r="A278" s="91" t="s">
        <v>66</v>
      </c>
      <c r="B278" s="91" t="s">
        <v>14</v>
      </c>
      <c r="C278" s="91" t="s">
        <v>946</v>
      </c>
      <c r="D278" s="91" t="s">
        <v>304</v>
      </c>
      <c r="E278" s="93">
        <f t="shared" si="658"/>
        <v>1</v>
      </c>
      <c r="F278" s="93">
        <f t="shared" si="659"/>
        <v>1</v>
      </c>
      <c r="G278" s="93">
        <f t="shared" si="659"/>
        <v>0.79999999999999993</v>
      </c>
      <c r="H278" s="93">
        <f t="shared" si="660"/>
        <v>-0.20000000000000007</v>
      </c>
      <c r="I278" s="129">
        <v>4.7E-2</v>
      </c>
      <c r="J278" s="89">
        <v>46185</v>
      </c>
      <c r="K278" s="89">
        <f t="shared" si="643"/>
        <v>46185</v>
      </c>
      <c r="L278" s="89">
        <v>46136</v>
      </c>
      <c r="M278" s="89">
        <f t="shared" si="644"/>
        <v>46227</v>
      </c>
      <c r="N278" s="89">
        <f t="shared" si="645"/>
        <v>46227</v>
      </c>
      <c r="O278" s="89">
        <v>46240</v>
      </c>
      <c r="P278" s="89">
        <f t="shared" si="646"/>
        <v>46269</v>
      </c>
      <c r="Q278" s="89">
        <f t="shared" si="647"/>
        <v>46269</v>
      </c>
      <c r="R278" s="161">
        <v>46283</v>
      </c>
      <c r="S278" s="89">
        <f t="shared" si="648"/>
        <v>46283</v>
      </c>
      <c r="T278" s="89">
        <f t="shared" si="649"/>
        <v>46283</v>
      </c>
      <c r="U278" s="89"/>
      <c r="W278" s="169" t="str">
        <f t="shared" ca="1" si="650"/>
        <v>Completed</v>
      </c>
      <c r="X278" s="169" t="str">
        <f t="shared" ca="1" si="651"/>
        <v>Completed</v>
      </c>
      <c r="Y278" s="169" t="str">
        <f t="shared" ca="1" si="652"/>
        <v>Completed</v>
      </c>
      <c r="Z278" s="170" t="str">
        <f t="shared" ca="1" si="653"/>
        <v>Overdue</v>
      </c>
    </row>
    <row r="279" spans="1:26" s="70" customFormat="1" ht="11.5" x14ac:dyDescent="0.25">
      <c r="A279" s="91" t="s">
        <v>66</v>
      </c>
      <c r="B279" s="91" t="s">
        <v>14</v>
      </c>
      <c r="C279" s="91" t="s">
        <v>947</v>
      </c>
      <c r="D279" s="91" t="s">
        <v>305</v>
      </c>
      <c r="E279" s="93">
        <f t="shared" si="658"/>
        <v>1</v>
      </c>
      <c r="F279" s="93">
        <f t="shared" si="659"/>
        <v>1</v>
      </c>
      <c r="G279" s="93">
        <f t="shared" si="659"/>
        <v>0.79999999999999993</v>
      </c>
      <c r="H279" s="93">
        <f t="shared" si="660"/>
        <v>-0.20000000000000007</v>
      </c>
      <c r="I279" s="129">
        <v>4.7E-2</v>
      </c>
      <c r="J279" s="89">
        <v>46185</v>
      </c>
      <c r="K279" s="89">
        <f t="shared" ref="K279:K367" si="661">J279</f>
        <v>46185</v>
      </c>
      <c r="L279" s="89">
        <v>46136</v>
      </c>
      <c r="M279" s="89">
        <f t="shared" ref="M279:M367" si="662">J279+42</f>
        <v>46227</v>
      </c>
      <c r="N279" s="89">
        <f t="shared" ref="N279:N367" si="663">M279</f>
        <v>46227</v>
      </c>
      <c r="O279" s="89">
        <v>46240</v>
      </c>
      <c r="P279" s="89">
        <f t="shared" ref="P279:P358" si="664">M279+42</f>
        <v>46269</v>
      </c>
      <c r="Q279" s="89">
        <f t="shared" ref="Q279:Q367" si="665">P279</f>
        <v>46269</v>
      </c>
      <c r="R279" s="161">
        <v>46283</v>
      </c>
      <c r="S279" s="89">
        <f t="shared" si="648"/>
        <v>46283</v>
      </c>
      <c r="T279" s="89">
        <f t="shared" ref="T279:T367" si="666">S279</f>
        <v>46283</v>
      </c>
      <c r="U279" s="89"/>
      <c r="W279" s="169" t="str">
        <f t="shared" ca="1" si="650"/>
        <v>Completed</v>
      </c>
      <c r="X279" s="169" t="str">
        <f t="shared" ca="1" si="651"/>
        <v>Completed</v>
      </c>
      <c r="Y279" s="169" t="str">
        <f t="shared" ca="1" si="652"/>
        <v>Completed</v>
      </c>
      <c r="Z279" s="170" t="str">
        <f t="shared" ca="1" si="653"/>
        <v>Overdue</v>
      </c>
    </row>
    <row r="280" spans="1:26" s="70" customFormat="1" ht="11.5" x14ac:dyDescent="0.25">
      <c r="A280" s="91" t="s">
        <v>66</v>
      </c>
      <c r="B280" s="91" t="s">
        <v>14</v>
      </c>
      <c r="C280" s="91" t="s">
        <v>948</v>
      </c>
      <c r="D280" s="91" t="s">
        <v>306</v>
      </c>
      <c r="E280" s="93">
        <f t="shared" ref="E280" si="667">(COUNTIFS(J280,"&lt;="&amp;$C$1)*50%)+(COUNTIFS(M280,"&lt;="&amp;$C$1)*20%)+(COUNTIFS(P280,"&lt;="&amp;$C$1)*10%)+(COUNTIFS(S280,"&lt;="&amp;$C$1)*20%)</f>
        <v>1</v>
      </c>
      <c r="F280" s="93">
        <f t="shared" ref="F280" si="668">(COUNTIFS(K280,"&lt;="&amp;$C$1)*50%)+(COUNTIFS(N280,"&lt;="&amp;$C$1)*20%)+(COUNTIFS(Q280,"&lt;="&amp;$C$1)*10%)+(COUNTIFS(T280,"&lt;="&amp;$C$1)*20%)</f>
        <v>1</v>
      </c>
      <c r="G280" s="93">
        <f t="shared" ref="G280" si="669">(COUNTIFS(L280,"&lt;="&amp;$C$1)*50%)+(COUNTIFS(O280,"&lt;="&amp;$C$1)*20%)+(COUNTIFS(R280,"&lt;="&amp;$C$1)*10%)+(COUNTIFS(U280,"&lt;="&amp;$C$1)*20%)</f>
        <v>0.79999999999999993</v>
      </c>
      <c r="H280" s="93">
        <f t="shared" ref="H280" si="670">G280-E280</f>
        <v>-0.20000000000000007</v>
      </c>
      <c r="I280" s="129">
        <v>4.7E-2</v>
      </c>
      <c r="J280" s="89">
        <v>46185</v>
      </c>
      <c r="K280" s="89">
        <f t="shared" si="661"/>
        <v>46185</v>
      </c>
      <c r="L280" s="89">
        <v>46136</v>
      </c>
      <c r="M280" s="89">
        <f t="shared" si="662"/>
        <v>46227</v>
      </c>
      <c r="N280" s="89">
        <f t="shared" si="663"/>
        <v>46227</v>
      </c>
      <c r="O280" s="89">
        <v>46240</v>
      </c>
      <c r="P280" s="89">
        <f t="shared" si="664"/>
        <v>46269</v>
      </c>
      <c r="Q280" s="89">
        <f t="shared" si="665"/>
        <v>46269</v>
      </c>
      <c r="R280" s="161">
        <v>46283</v>
      </c>
      <c r="S280" s="89">
        <f t="shared" ref="S280:S368" si="671">P280+14</f>
        <v>46283</v>
      </c>
      <c r="T280" s="89">
        <f t="shared" si="666"/>
        <v>46283</v>
      </c>
      <c r="U280" s="89"/>
      <c r="W280" s="169" t="str">
        <f t="shared" ca="1" si="650"/>
        <v>Completed</v>
      </c>
      <c r="X280" s="169" t="str">
        <f t="shared" ca="1" si="651"/>
        <v>Completed</v>
      </c>
      <c r="Y280" s="169" t="str">
        <f t="shared" ca="1" si="652"/>
        <v>Completed</v>
      </c>
      <c r="Z280" s="170" t="str">
        <f t="shared" ca="1" si="653"/>
        <v>Overdue</v>
      </c>
    </row>
    <row r="281" spans="1:26" s="70" customFormat="1" ht="11.5" x14ac:dyDescent="0.25">
      <c r="A281" s="91" t="s">
        <v>66</v>
      </c>
      <c r="B281" s="91" t="s">
        <v>14</v>
      </c>
      <c r="C281" s="91" t="s">
        <v>949</v>
      </c>
      <c r="D281" s="91" t="s">
        <v>307</v>
      </c>
      <c r="E281" s="93">
        <f t="shared" si="658"/>
        <v>1</v>
      </c>
      <c r="F281" s="93">
        <f t="shared" si="659"/>
        <v>1</v>
      </c>
      <c r="G281" s="93">
        <f t="shared" si="659"/>
        <v>0.79999999999999993</v>
      </c>
      <c r="H281" s="93">
        <f t="shared" si="660"/>
        <v>-0.20000000000000007</v>
      </c>
      <c r="I281" s="129">
        <v>4.7E-2</v>
      </c>
      <c r="J281" s="89">
        <v>46185</v>
      </c>
      <c r="K281" s="89">
        <f t="shared" si="661"/>
        <v>46185</v>
      </c>
      <c r="L281" s="89">
        <v>46136</v>
      </c>
      <c r="M281" s="89">
        <f t="shared" si="662"/>
        <v>46227</v>
      </c>
      <c r="N281" s="89">
        <f t="shared" si="663"/>
        <v>46227</v>
      </c>
      <c r="O281" s="89">
        <v>46240</v>
      </c>
      <c r="P281" s="89">
        <f t="shared" si="664"/>
        <v>46269</v>
      </c>
      <c r="Q281" s="89">
        <f t="shared" si="665"/>
        <v>46269</v>
      </c>
      <c r="R281" s="161">
        <v>46283</v>
      </c>
      <c r="S281" s="89">
        <f t="shared" si="671"/>
        <v>46283</v>
      </c>
      <c r="T281" s="89">
        <f t="shared" si="666"/>
        <v>46283</v>
      </c>
      <c r="U281" s="89"/>
      <c r="W281" s="169" t="str">
        <f t="shared" ca="1" si="650"/>
        <v>Completed</v>
      </c>
      <c r="X281" s="169" t="str">
        <f t="shared" ca="1" si="651"/>
        <v>Completed</v>
      </c>
      <c r="Y281" s="169" t="str">
        <f t="shared" ca="1" si="652"/>
        <v>Completed</v>
      </c>
      <c r="Z281" s="170" t="str">
        <f t="shared" ca="1" si="653"/>
        <v>Overdue</v>
      </c>
    </row>
    <row r="282" spans="1:26" s="70" customFormat="1" ht="11.5" x14ac:dyDescent="0.25">
      <c r="A282" s="91" t="s">
        <v>66</v>
      </c>
      <c r="B282" s="91" t="s">
        <v>14</v>
      </c>
      <c r="C282" s="91" t="s">
        <v>950</v>
      </c>
      <c r="D282" s="91" t="s">
        <v>308</v>
      </c>
      <c r="E282" s="93">
        <f t="shared" si="658"/>
        <v>1</v>
      </c>
      <c r="F282" s="93">
        <f t="shared" si="659"/>
        <v>1</v>
      </c>
      <c r="G282" s="93">
        <f t="shared" si="659"/>
        <v>0.79999999999999993</v>
      </c>
      <c r="H282" s="93">
        <f t="shared" si="660"/>
        <v>-0.20000000000000007</v>
      </c>
      <c r="I282" s="129">
        <v>4.7E-2</v>
      </c>
      <c r="J282" s="89">
        <v>46185</v>
      </c>
      <c r="K282" s="89">
        <f t="shared" si="661"/>
        <v>46185</v>
      </c>
      <c r="L282" s="89">
        <v>46136</v>
      </c>
      <c r="M282" s="89">
        <f t="shared" si="662"/>
        <v>46227</v>
      </c>
      <c r="N282" s="89">
        <f t="shared" si="663"/>
        <v>46227</v>
      </c>
      <c r="O282" s="89">
        <v>46240</v>
      </c>
      <c r="P282" s="89">
        <f t="shared" si="664"/>
        <v>46269</v>
      </c>
      <c r="Q282" s="89">
        <f t="shared" si="665"/>
        <v>46269</v>
      </c>
      <c r="R282" s="161">
        <v>46283</v>
      </c>
      <c r="S282" s="89">
        <f t="shared" si="671"/>
        <v>46283</v>
      </c>
      <c r="T282" s="89">
        <f t="shared" si="666"/>
        <v>46283</v>
      </c>
      <c r="U282" s="89"/>
      <c r="W282" s="169" t="str">
        <f t="shared" ca="1" si="650"/>
        <v>Completed</v>
      </c>
      <c r="X282" s="169" t="str">
        <f t="shared" ca="1" si="651"/>
        <v>Completed</v>
      </c>
      <c r="Y282" s="169" t="str">
        <f t="shared" ca="1" si="652"/>
        <v>Completed</v>
      </c>
      <c r="Z282" s="170" t="str">
        <f t="shared" ca="1" si="653"/>
        <v>Overdue</v>
      </c>
    </row>
    <row r="283" spans="1:26" s="70" customFormat="1" ht="11.5" x14ac:dyDescent="0.25">
      <c r="A283" s="91" t="s">
        <v>66</v>
      </c>
      <c r="B283" s="91" t="s">
        <v>14</v>
      </c>
      <c r="C283" s="91" t="s">
        <v>951</v>
      </c>
      <c r="D283" s="91" t="s">
        <v>309</v>
      </c>
      <c r="E283" s="93">
        <f t="shared" si="658"/>
        <v>1</v>
      </c>
      <c r="F283" s="93">
        <f t="shared" si="659"/>
        <v>1</v>
      </c>
      <c r="G283" s="93">
        <f t="shared" si="659"/>
        <v>0.79999999999999993</v>
      </c>
      <c r="H283" s="93">
        <f t="shared" si="660"/>
        <v>-0.20000000000000007</v>
      </c>
      <c r="I283" s="129">
        <v>4.7E-2</v>
      </c>
      <c r="J283" s="89">
        <v>46185</v>
      </c>
      <c r="K283" s="89">
        <f t="shared" si="661"/>
        <v>46185</v>
      </c>
      <c r="L283" s="89">
        <v>46136</v>
      </c>
      <c r="M283" s="89">
        <f t="shared" si="662"/>
        <v>46227</v>
      </c>
      <c r="N283" s="89">
        <f t="shared" si="663"/>
        <v>46227</v>
      </c>
      <c r="O283" s="89">
        <v>46240</v>
      </c>
      <c r="P283" s="89">
        <f t="shared" si="664"/>
        <v>46269</v>
      </c>
      <c r="Q283" s="89">
        <f t="shared" si="665"/>
        <v>46269</v>
      </c>
      <c r="R283" s="161">
        <v>46283</v>
      </c>
      <c r="S283" s="89">
        <f t="shared" si="671"/>
        <v>46283</v>
      </c>
      <c r="T283" s="89">
        <f t="shared" si="666"/>
        <v>46283</v>
      </c>
      <c r="U283" s="89"/>
      <c r="W283" s="169" t="str">
        <f t="shared" ca="1" si="650"/>
        <v>Completed</v>
      </c>
      <c r="X283" s="169" t="str">
        <f t="shared" ca="1" si="651"/>
        <v>Completed</v>
      </c>
      <c r="Y283" s="169" t="str">
        <f t="shared" ca="1" si="652"/>
        <v>Completed</v>
      </c>
      <c r="Z283" s="170" t="str">
        <f t="shared" ca="1" si="653"/>
        <v>Overdue</v>
      </c>
    </row>
    <row r="284" spans="1:26" s="70" customFormat="1" ht="11.5" x14ac:dyDescent="0.25">
      <c r="A284" s="91" t="s">
        <v>66</v>
      </c>
      <c r="B284" s="91" t="s">
        <v>14</v>
      </c>
      <c r="C284" s="91" t="s">
        <v>952</v>
      </c>
      <c r="D284" s="91" t="s">
        <v>310</v>
      </c>
      <c r="E284" s="93">
        <f t="shared" si="658"/>
        <v>1</v>
      </c>
      <c r="F284" s="93">
        <f t="shared" si="659"/>
        <v>1</v>
      </c>
      <c r="G284" s="93">
        <f t="shared" si="659"/>
        <v>0.79999999999999993</v>
      </c>
      <c r="H284" s="93">
        <f t="shared" si="660"/>
        <v>-0.20000000000000007</v>
      </c>
      <c r="I284" s="129">
        <v>4.7E-2</v>
      </c>
      <c r="J284" s="89">
        <v>46185</v>
      </c>
      <c r="K284" s="89">
        <f t="shared" si="661"/>
        <v>46185</v>
      </c>
      <c r="L284" s="89">
        <v>46136</v>
      </c>
      <c r="M284" s="89">
        <f t="shared" si="662"/>
        <v>46227</v>
      </c>
      <c r="N284" s="89">
        <f t="shared" si="663"/>
        <v>46227</v>
      </c>
      <c r="O284" s="89">
        <v>46240</v>
      </c>
      <c r="P284" s="89">
        <f t="shared" si="664"/>
        <v>46269</v>
      </c>
      <c r="Q284" s="89">
        <f t="shared" si="665"/>
        <v>46269</v>
      </c>
      <c r="R284" s="161">
        <v>46283</v>
      </c>
      <c r="S284" s="89">
        <f t="shared" si="671"/>
        <v>46283</v>
      </c>
      <c r="T284" s="89">
        <f t="shared" si="666"/>
        <v>46283</v>
      </c>
      <c r="U284" s="89"/>
      <c r="W284" s="169" t="str">
        <f t="shared" ca="1" si="650"/>
        <v>Completed</v>
      </c>
      <c r="X284" s="169" t="str">
        <f t="shared" ca="1" si="651"/>
        <v>Completed</v>
      </c>
      <c r="Y284" s="169" t="str">
        <f t="shared" ca="1" si="652"/>
        <v>Completed</v>
      </c>
      <c r="Z284" s="170" t="str">
        <f t="shared" ca="1" si="653"/>
        <v>Overdue</v>
      </c>
    </row>
    <row r="285" spans="1:26" s="70" customFormat="1" ht="11.5" x14ac:dyDescent="0.25">
      <c r="A285" s="91" t="s">
        <v>66</v>
      </c>
      <c r="B285" s="91" t="s">
        <v>14</v>
      </c>
      <c r="C285" s="91" t="s">
        <v>953</v>
      </c>
      <c r="D285" s="91" t="s">
        <v>311</v>
      </c>
      <c r="E285" s="93">
        <f t="shared" si="658"/>
        <v>1</v>
      </c>
      <c r="F285" s="93">
        <f t="shared" si="659"/>
        <v>1</v>
      </c>
      <c r="G285" s="93">
        <f t="shared" si="659"/>
        <v>0.79999999999999993</v>
      </c>
      <c r="H285" s="93">
        <f t="shared" si="660"/>
        <v>-0.20000000000000007</v>
      </c>
      <c r="I285" s="129">
        <v>4.7E-2</v>
      </c>
      <c r="J285" s="89">
        <v>46185</v>
      </c>
      <c r="K285" s="89">
        <f t="shared" si="661"/>
        <v>46185</v>
      </c>
      <c r="L285" s="89">
        <v>46136</v>
      </c>
      <c r="M285" s="89">
        <f t="shared" si="662"/>
        <v>46227</v>
      </c>
      <c r="N285" s="89">
        <f t="shared" si="663"/>
        <v>46227</v>
      </c>
      <c r="O285" s="89">
        <v>46240</v>
      </c>
      <c r="P285" s="89">
        <f t="shared" si="664"/>
        <v>46269</v>
      </c>
      <c r="Q285" s="89">
        <f t="shared" si="665"/>
        <v>46269</v>
      </c>
      <c r="R285" s="161">
        <v>46283</v>
      </c>
      <c r="S285" s="89">
        <f t="shared" si="671"/>
        <v>46283</v>
      </c>
      <c r="T285" s="89">
        <f t="shared" si="666"/>
        <v>46283</v>
      </c>
      <c r="U285" s="89"/>
      <c r="W285" s="169" t="str">
        <f t="shared" ca="1" si="650"/>
        <v>Completed</v>
      </c>
      <c r="X285" s="169" t="str">
        <f t="shared" ca="1" si="651"/>
        <v>Completed</v>
      </c>
      <c r="Y285" s="169" t="str">
        <f t="shared" ca="1" si="652"/>
        <v>Completed</v>
      </c>
      <c r="Z285" s="170" t="str">
        <f t="shared" ca="1" si="653"/>
        <v>Overdue</v>
      </c>
    </row>
    <row r="286" spans="1:26" s="70" customFormat="1" ht="11.5" x14ac:dyDescent="0.25">
      <c r="A286" s="92" t="s">
        <v>66</v>
      </c>
      <c r="B286" s="92" t="s">
        <v>14</v>
      </c>
      <c r="C286" s="92" t="s">
        <v>954</v>
      </c>
      <c r="D286" s="91" t="s">
        <v>312</v>
      </c>
      <c r="E286" s="93">
        <f t="shared" si="658"/>
        <v>1</v>
      </c>
      <c r="F286" s="93">
        <f t="shared" si="659"/>
        <v>1</v>
      </c>
      <c r="G286" s="93">
        <f t="shared" si="659"/>
        <v>0.79999999999999993</v>
      </c>
      <c r="H286" s="93">
        <f t="shared" si="660"/>
        <v>-0.20000000000000007</v>
      </c>
      <c r="I286" s="129">
        <v>4.7E-2</v>
      </c>
      <c r="J286" s="89">
        <v>46185</v>
      </c>
      <c r="K286" s="89">
        <f t="shared" si="661"/>
        <v>46185</v>
      </c>
      <c r="L286" s="89">
        <v>46136</v>
      </c>
      <c r="M286" s="89">
        <f t="shared" si="662"/>
        <v>46227</v>
      </c>
      <c r="N286" s="89">
        <f t="shared" si="663"/>
        <v>46227</v>
      </c>
      <c r="O286" s="89">
        <v>46240</v>
      </c>
      <c r="P286" s="89">
        <f t="shared" si="664"/>
        <v>46269</v>
      </c>
      <c r="Q286" s="89">
        <f t="shared" si="665"/>
        <v>46269</v>
      </c>
      <c r="R286" s="161">
        <v>46283</v>
      </c>
      <c r="S286" s="89">
        <f t="shared" si="671"/>
        <v>46283</v>
      </c>
      <c r="T286" s="89">
        <f t="shared" si="666"/>
        <v>46283</v>
      </c>
      <c r="U286" s="89"/>
      <c r="W286" s="169" t="str">
        <f t="shared" ca="1" si="650"/>
        <v>Completed</v>
      </c>
      <c r="X286" s="169" t="str">
        <f t="shared" ca="1" si="651"/>
        <v>Completed</v>
      </c>
      <c r="Y286" s="169" t="str">
        <f t="shared" ca="1" si="652"/>
        <v>Completed</v>
      </c>
      <c r="Z286" s="170" t="str">
        <f t="shared" ca="1" si="653"/>
        <v>Overdue</v>
      </c>
    </row>
    <row r="287" spans="1:26" s="70" customFormat="1" ht="11.5" x14ac:dyDescent="0.25">
      <c r="A287" s="92" t="s">
        <v>66</v>
      </c>
      <c r="B287" s="92" t="s">
        <v>14</v>
      </c>
      <c r="C287" s="92" t="s">
        <v>955</v>
      </c>
      <c r="D287" s="91" t="s">
        <v>313</v>
      </c>
      <c r="E287" s="93">
        <f t="shared" si="658"/>
        <v>1</v>
      </c>
      <c r="F287" s="93">
        <f t="shared" si="659"/>
        <v>1</v>
      </c>
      <c r="G287" s="93">
        <f t="shared" si="659"/>
        <v>0.79999999999999993</v>
      </c>
      <c r="H287" s="93">
        <f t="shared" si="660"/>
        <v>-0.20000000000000007</v>
      </c>
      <c r="I287" s="129">
        <v>4.7E-2</v>
      </c>
      <c r="J287" s="89">
        <v>46185</v>
      </c>
      <c r="K287" s="89">
        <f t="shared" si="661"/>
        <v>46185</v>
      </c>
      <c r="L287" s="89">
        <v>46136</v>
      </c>
      <c r="M287" s="89">
        <f t="shared" si="662"/>
        <v>46227</v>
      </c>
      <c r="N287" s="89">
        <f t="shared" si="663"/>
        <v>46227</v>
      </c>
      <c r="O287" s="89">
        <v>46240</v>
      </c>
      <c r="P287" s="89">
        <f t="shared" si="664"/>
        <v>46269</v>
      </c>
      <c r="Q287" s="89">
        <f t="shared" si="665"/>
        <v>46269</v>
      </c>
      <c r="R287" s="161">
        <v>46283</v>
      </c>
      <c r="S287" s="89">
        <f t="shared" si="671"/>
        <v>46283</v>
      </c>
      <c r="T287" s="89">
        <f t="shared" si="666"/>
        <v>46283</v>
      </c>
      <c r="U287" s="89"/>
      <c r="W287" s="169" t="str">
        <f t="shared" ca="1" si="650"/>
        <v>Completed</v>
      </c>
      <c r="X287" s="169" t="str">
        <f t="shared" ca="1" si="651"/>
        <v>Completed</v>
      </c>
      <c r="Y287" s="169" t="str">
        <f t="shared" ca="1" si="652"/>
        <v>Completed</v>
      </c>
      <c r="Z287" s="170" t="str">
        <f t="shared" ca="1" si="653"/>
        <v>Overdue</v>
      </c>
    </row>
    <row r="288" spans="1:26" s="70" customFormat="1" ht="11.5" x14ac:dyDescent="0.25">
      <c r="A288" s="92" t="s">
        <v>66</v>
      </c>
      <c r="B288" s="92" t="s">
        <v>14</v>
      </c>
      <c r="C288" s="92" t="s">
        <v>956</v>
      </c>
      <c r="D288" s="91" t="s">
        <v>314</v>
      </c>
      <c r="E288" s="93">
        <f t="shared" si="658"/>
        <v>1</v>
      </c>
      <c r="F288" s="93">
        <f t="shared" si="659"/>
        <v>1</v>
      </c>
      <c r="G288" s="93">
        <f t="shared" si="659"/>
        <v>0.79999999999999993</v>
      </c>
      <c r="H288" s="93">
        <f t="shared" si="660"/>
        <v>-0.20000000000000007</v>
      </c>
      <c r="I288" s="129">
        <v>4.7E-2</v>
      </c>
      <c r="J288" s="89">
        <v>46185</v>
      </c>
      <c r="K288" s="89">
        <f t="shared" si="661"/>
        <v>46185</v>
      </c>
      <c r="L288" s="89">
        <v>46136</v>
      </c>
      <c r="M288" s="89">
        <f t="shared" si="662"/>
        <v>46227</v>
      </c>
      <c r="N288" s="89">
        <f t="shared" si="663"/>
        <v>46227</v>
      </c>
      <c r="O288" s="89">
        <v>46240</v>
      </c>
      <c r="P288" s="89">
        <f t="shared" si="664"/>
        <v>46269</v>
      </c>
      <c r="Q288" s="89">
        <f t="shared" si="665"/>
        <v>46269</v>
      </c>
      <c r="R288" s="161">
        <v>46283</v>
      </c>
      <c r="S288" s="89">
        <f t="shared" si="671"/>
        <v>46283</v>
      </c>
      <c r="T288" s="89">
        <f t="shared" si="666"/>
        <v>46283</v>
      </c>
      <c r="U288" s="89"/>
      <c r="W288" s="169" t="str">
        <f t="shared" ca="1" si="650"/>
        <v>Completed</v>
      </c>
      <c r="X288" s="169" t="str">
        <f t="shared" ca="1" si="651"/>
        <v>Completed</v>
      </c>
      <c r="Y288" s="169" t="str">
        <f t="shared" ca="1" si="652"/>
        <v>Completed</v>
      </c>
      <c r="Z288" s="170" t="str">
        <f t="shared" ca="1" si="653"/>
        <v>Overdue</v>
      </c>
    </row>
    <row r="289" spans="1:26" s="70" customFormat="1" ht="11.5" x14ac:dyDescent="0.25">
      <c r="A289" s="92" t="s">
        <v>66</v>
      </c>
      <c r="B289" s="92" t="s">
        <v>14</v>
      </c>
      <c r="C289" s="92" t="s">
        <v>957</v>
      </c>
      <c r="D289" s="91" t="s">
        <v>315</v>
      </c>
      <c r="E289" s="93">
        <f t="shared" si="658"/>
        <v>1</v>
      </c>
      <c r="F289" s="93">
        <f t="shared" si="659"/>
        <v>1</v>
      </c>
      <c r="G289" s="93">
        <f t="shared" si="659"/>
        <v>0.79999999999999993</v>
      </c>
      <c r="H289" s="93">
        <f t="shared" si="660"/>
        <v>-0.20000000000000007</v>
      </c>
      <c r="I289" s="129">
        <v>4.7E-2</v>
      </c>
      <c r="J289" s="89">
        <v>46185</v>
      </c>
      <c r="K289" s="89">
        <f t="shared" si="661"/>
        <v>46185</v>
      </c>
      <c r="L289" s="89">
        <v>46136</v>
      </c>
      <c r="M289" s="89">
        <f t="shared" si="662"/>
        <v>46227</v>
      </c>
      <c r="N289" s="89">
        <f t="shared" si="663"/>
        <v>46227</v>
      </c>
      <c r="O289" s="89">
        <v>46240</v>
      </c>
      <c r="P289" s="89">
        <f t="shared" si="664"/>
        <v>46269</v>
      </c>
      <c r="Q289" s="89">
        <f t="shared" si="665"/>
        <v>46269</v>
      </c>
      <c r="R289" s="161">
        <v>46283</v>
      </c>
      <c r="S289" s="89">
        <f t="shared" si="671"/>
        <v>46283</v>
      </c>
      <c r="T289" s="89">
        <f t="shared" si="666"/>
        <v>46283</v>
      </c>
      <c r="U289" s="89"/>
      <c r="W289" s="169" t="str">
        <f t="shared" ca="1" si="650"/>
        <v>Completed</v>
      </c>
      <c r="X289" s="169" t="str">
        <f t="shared" ca="1" si="651"/>
        <v>Completed</v>
      </c>
      <c r="Y289" s="169" t="str">
        <f t="shared" ca="1" si="652"/>
        <v>Completed</v>
      </c>
      <c r="Z289" s="170" t="str">
        <f t="shared" ca="1" si="653"/>
        <v>Overdue</v>
      </c>
    </row>
    <row r="290" spans="1:26" s="70" customFormat="1" ht="11.5" x14ac:dyDescent="0.25">
      <c r="A290" s="92" t="s">
        <v>66</v>
      </c>
      <c r="B290" s="92" t="s">
        <v>14</v>
      </c>
      <c r="C290" s="92" t="s">
        <v>958</v>
      </c>
      <c r="D290" s="91" t="s">
        <v>316</v>
      </c>
      <c r="E290" s="93">
        <f t="shared" si="658"/>
        <v>1</v>
      </c>
      <c r="F290" s="93">
        <f t="shared" si="659"/>
        <v>1</v>
      </c>
      <c r="G290" s="93">
        <f t="shared" si="659"/>
        <v>0.79999999999999993</v>
      </c>
      <c r="H290" s="93">
        <f t="shared" si="660"/>
        <v>-0.20000000000000007</v>
      </c>
      <c r="I290" s="129">
        <v>4.7E-2</v>
      </c>
      <c r="J290" s="89">
        <v>46185</v>
      </c>
      <c r="K290" s="89">
        <f t="shared" si="661"/>
        <v>46185</v>
      </c>
      <c r="L290" s="89">
        <v>46136</v>
      </c>
      <c r="M290" s="89">
        <f t="shared" si="662"/>
        <v>46227</v>
      </c>
      <c r="N290" s="89">
        <f t="shared" si="663"/>
        <v>46227</v>
      </c>
      <c r="O290" s="89">
        <v>46240</v>
      </c>
      <c r="P290" s="89">
        <f t="shared" si="664"/>
        <v>46269</v>
      </c>
      <c r="Q290" s="89">
        <f t="shared" si="665"/>
        <v>46269</v>
      </c>
      <c r="R290" s="161">
        <v>46283</v>
      </c>
      <c r="S290" s="89">
        <f t="shared" si="671"/>
        <v>46283</v>
      </c>
      <c r="T290" s="89">
        <f t="shared" si="666"/>
        <v>46283</v>
      </c>
      <c r="U290" s="89"/>
      <c r="W290" s="169" t="str">
        <f t="shared" ca="1" si="650"/>
        <v>Completed</v>
      </c>
      <c r="X290" s="169" t="str">
        <f t="shared" ca="1" si="651"/>
        <v>Completed</v>
      </c>
      <c r="Y290" s="169" t="str">
        <f t="shared" ca="1" si="652"/>
        <v>Completed</v>
      </c>
      <c r="Z290" s="170" t="str">
        <f t="shared" ca="1" si="653"/>
        <v>Overdue</v>
      </c>
    </row>
    <row r="291" spans="1:26" s="70" customFormat="1" ht="11.5" x14ac:dyDescent="0.25">
      <c r="A291" s="92" t="s">
        <v>66</v>
      </c>
      <c r="B291" s="92" t="s">
        <v>14</v>
      </c>
      <c r="C291" s="92" t="s">
        <v>959</v>
      </c>
      <c r="D291" s="91" t="s">
        <v>317</v>
      </c>
      <c r="E291" s="93">
        <f t="shared" si="658"/>
        <v>1</v>
      </c>
      <c r="F291" s="93">
        <f t="shared" si="659"/>
        <v>1</v>
      </c>
      <c r="G291" s="93">
        <f t="shared" si="659"/>
        <v>0.79999999999999993</v>
      </c>
      <c r="H291" s="93">
        <f t="shared" si="660"/>
        <v>-0.20000000000000007</v>
      </c>
      <c r="I291" s="129">
        <v>4.7E-2</v>
      </c>
      <c r="J291" s="89">
        <v>46185</v>
      </c>
      <c r="K291" s="89">
        <f t="shared" si="661"/>
        <v>46185</v>
      </c>
      <c r="L291" s="89">
        <v>46136</v>
      </c>
      <c r="M291" s="89">
        <f t="shared" si="662"/>
        <v>46227</v>
      </c>
      <c r="N291" s="89">
        <f t="shared" si="663"/>
        <v>46227</v>
      </c>
      <c r="O291" s="89">
        <v>46240</v>
      </c>
      <c r="P291" s="89">
        <f t="shared" si="664"/>
        <v>46269</v>
      </c>
      <c r="Q291" s="89">
        <f t="shared" si="665"/>
        <v>46269</v>
      </c>
      <c r="R291" s="161">
        <v>46283</v>
      </c>
      <c r="S291" s="89">
        <f t="shared" si="671"/>
        <v>46283</v>
      </c>
      <c r="T291" s="89">
        <f t="shared" si="666"/>
        <v>46283</v>
      </c>
      <c r="U291" s="89"/>
      <c r="W291" s="169" t="str">
        <f t="shared" ca="1" si="650"/>
        <v>Completed</v>
      </c>
      <c r="X291" s="169" t="str">
        <f t="shared" ca="1" si="651"/>
        <v>Completed</v>
      </c>
      <c r="Y291" s="169" t="str">
        <f t="shared" ca="1" si="652"/>
        <v>Completed</v>
      </c>
      <c r="Z291" s="170" t="str">
        <f t="shared" ca="1" si="653"/>
        <v>Overdue</v>
      </c>
    </row>
    <row r="292" spans="1:26" s="70" customFormat="1" ht="11.5" x14ac:dyDescent="0.25">
      <c r="A292" s="92" t="s">
        <v>66</v>
      </c>
      <c r="B292" s="92" t="s">
        <v>14</v>
      </c>
      <c r="C292" s="92" t="s">
        <v>960</v>
      </c>
      <c r="D292" s="147" t="s">
        <v>1101</v>
      </c>
      <c r="E292" s="93">
        <f t="shared" si="658"/>
        <v>1</v>
      </c>
      <c r="F292" s="93">
        <f t="shared" si="659"/>
        <v>1</v>
      </c>
      <c r="G292" s="93">
        <f t="shared" si="659"/>
        <v>0.79999999999999993</v>
      </c>
      <c r="H292" s="93">
        <f t="shared" si="660"/>
        <v>-0.20000000000000007</v>
      </c>
      <c r="I292" s="129">
        <v>4.7E-2</v>
      </c>
      <c r="J292" s="89">
        <v>46185</v>
      </c>
      <c r="K292" s="89">
        <f t="shared" si="661"/>
        <v>46185</v>
      </c>
      <c r="L292" s="89">
        <v>46136</v>
      </c>
      <c r="M292" s="89">
        <f t="shared" si="662"/>
        <v>46227</v>
      </c>
      <c r="N292" s="89">
        <f t="shared" si="663"/>
        <v>46227</v>
      </c>
      <c r="O292" s="89">
        <v>46240</v>
      </c>
      <c r="P292" s="89">
        <f t="shared" si="664"/>
        <v>46269</v>
      </c>
      <c r="Q292" s="89">
        <f t="shared" si="665"/>
        <v>46269</v>
      </c>
      <c r="R292" s="161">
        <v>46283</v>
      </c>
      <c r="S292" s="89">
        <f t="shared" si="671"/>
        <v>46283</v>
      </c>
      <c r="T292" s="89">
        <f t="shared" si="666"/>
        <v>46283</v>
      </c>
      <c r="U292" s="89"/>
      <c r="W292" s="169" t="str">
        <f t="shared" ca="1" si="650"/>
        <v>Completed</v>
      </c>
      <c r="X292" s="169" t="str">
        <f t="shared" ca="1" si="651"/>
        <v>Completed</v>
      </c>
      <c r="Y292" s="169" t="str">
        <f t="shared" ca="1" si="652"/>
        <v>Completed</v>
      </c>
      <c r="Z292" s="170" t="str">
        <f t="shared" ca="1" si="653"/>
        <v>Overdue</v>
      </c>
    </row>
    <row r="293" spans="1:26" s="70" customFormat="1" ht="11.5" x14ac:dyDescent="0.25">
      <c r="A293" s="92" t="s">
        <v>66</v>
      </c>
      <c r="B293" s="92" t="s">
        <v>14</v>
      </c>
      <c r="C293" s="92" t="s">
        <v>961</v>
      </c>
      <c r="D293" s="91" t="s">
        <v>318</v>
      </c>
      <c r="E293" s="93">
        <f t="shared" si="658"/>
        <v>1</v>
      </c>
      <c r="F293" s="93">
        <f t="shared" si="659"/>
        <v>1</v>
      </c>
      <c r="G293" s="93">
        <f t="shared" si="659"/>
        <v>0.79999999999999993</v>
      </c>
      <c r="H293" s="93">
        <f t="shared" si="660"/>
        <v>-0.20000000000000007</v>
      </c>
      <c r="I293" s="129">
        <v>4.7E-2</v>
      </c>
      <c r="J293" s="89">
        <v>46185</v>
      </c>
      <c r="K293" s="89">
        <f t="shared" si="661"/>
        <v>46185</v>
      </c>
      <c r="L293" s="89">
        <v>46136</v>
      </c>
      <c r="M293" s="89">
        <f t="shared" si="662"/>
        <v>46227</v>
      </c>
      <c r="N293" s="89">
        <f t="shared" si="663"/>
        <v>46227</v>
      </c>
      <c r="O293" s="89">
        <v>46240</v>
      </c>
      <c r="P293" s="89">
        <f t="shared" si="664"/>
        <v>46269</v>
      </c>
      <c r="Q293" s="89">
        <f t="shared" si="665"/>
        <v>46269</v>
      </c>
      <c r="R293" s="161">
        <v>46283</v>
      </c>
      <c r="S293" s="89">
        <f t="shared" si="671"/>
        <v>46283</v>
      </c>
      <c r="T293" s="89">
        <f t="shared" si="666"/>
        <v>46283</v>
      </c>
      <c r="U293" s="89"/>
      <c r="W293" s="169" t="str">
        <f t="shared" ca="1" si="650"/>
        <v>Completed</v>
      </c>
      <c r="X293" s="169" t="str">
        <f t="shared" ca="1" si="651"/>
        <v>Completed</v>
      </c>
      <c r="Y293" s="169" t="str">
        <f t="shared" ca="1" si="652"/>
        <v>Completed</v>
      </c>
      <c r="Z293" s="170" t="str">
        <f t="shared" ca="1" si="653"/>
        <v>Overdue</v>
      </c>
    </row>
    <row r="294" spans="1:26" s="70" customFormat="1" ht="11.5" x14ac:dyDescent="0.25">
      <c r="A294" s="158" t="s">
        <v>66</v>
      </c>
      <c r="B294" s="158" t="s">
        <v>14</v>
      </c>
      <c r="C294" s="158" t="s">
        <v>319</v>
      </c>
      <c r="D294" s="158" t="s">
        <v>320</v>
      </c>
      <c r="E294" s="159"/>
      <c r="F294" s="159"/>
      <c r="G294" s="159"/>
      <c r="H294" s="159"/>
      <c r="I294" s="160">
        <v>4.7E-2</v>
      </c>
      <c r="J294" s="155">
        <v>46192</v>
      </c>
      <c r="K294" s="155">
        <f t="shared" si="661"/>
        <v>46192</v>
      </c>
      <c r="L294" s="156">
        <v>46199</v>
      </c>
      <c r="M294" s="155">
        <f t="shared" si="662"/>
        <v>46234</v>
      </c>
      <c r="N294" s="155">
        <f t="shared" si="663"/>
        <v>46234</v>
      </c>
      <c r="O294" s="156">
        <v>46234</v>
      </c>
      <c r="P294" s="155">
        <f t="shared" si="664"/>
        <v>46276</v>
      </c>
      <c r="Q294" s="155">
        <f t="shared" si="665"/>
        <v>46276</v>
      </c>
      <c r="R294" s="156">
        <v>46276</v>
      </c>
      <c r="S294" s="155">
        <f t="shared" si="671"/>
        <v>46290</v>
      </c>
      <c r="T294" s="155">
        <f t="shared" si="666"/>
        <v>46290</v>
      </c>
      <c r="U294" s="156">
        <v>46290</v>
      </c>
      <c r="W294" s="169" t="str">
        <f t="shared" ca="1" si="650"/>
        <v>Completed</v>
      </c>
      <c r="X294" s="169" t="str">
        <f t="shared" ca="1" si="651"/>
        <v>Completed</v>
      </c>
      <c r="Y294" s="169" t="str">
        <f t="shared" ca="1" si="652"/>
        <v>Completed</v>
      </c>
      <c r="Z294" s="170" t="str">
        <f t="shared" ca="1" si="653"/>
        <v>Completed</v>
      </c>
    </row>
    <row r="295" spans="1:26" s="70" customFormat="1" ht="11.5" x14ac:dyDescent="0.25">
      <c r="A295" s="158" t="s">
        <v>66</v>
      </c>
      <c r="B295" s="158" t="s">
        <v>14</v>
      </c>
      <c r="C295" s="158" t="s">
        <v>321</v>
      </c>
      <c r="D295" s="158" t="s">
        <v>322</v>
      </c>
      <c r="E295" s="159"/>
      <c r="F295" s="159"/>
      <c r="G295" s="159"/>
      <c r="H295" s="159"/>
      <c r="I295" s="160">
        <v>4.7E-2</v>
      </c>
      <c r="J295" s="155">
        <v>46192</v>
      </c>
      <c r="K295" s="155">
        <f t="shared" si="661"/>
        <v>46192</v>
      </c>
      <c r="L295" s="156">
        <v>46199</v>
      </c>
      <c r="M295" s="155">
        <f t="shared" si="662"/>
        <v>46234</v>
      </c>
      <c r="N295" s="155">
        <f t="shared" si="663"/>
        <v>46234</v>
      </c>
      <c r="O295" s="156">
        <v>46234</v>
      </c>
      <c r="P295" s="155">
        <f t="shared" si="664"/>
        <v>46276</v>
      </c>
      <c r="Q295" s="155">
        <f t="shared" si="665"/>
        <v>46276</v>
      </c>
      <c r="R295" s="156">
        <v>46276</v>
      </c>
      <c r="S295" s="155">
        <f t="shared" si="671"/>
        <v>46290</v>
      </c>
      <c r="T295" s="155">
        <f t="shared" si="666"/>
        <v>46290</v>
      </c>
      <c r="U295" s="156">
        <v>46290</v>
      </c>
      <c r="W295" s="169" t="str">
        <f t="shared" ca="1" si="650"/>
        <v>Completed</v>
      </c>
      <c r="X295" s="169" t="str">
        <f t="shared" ca="1" si="651"/>
        <v>Completed</v>
      </c>
      <c r="Y295" s="169" t="str">
        <f t="shared" ca="1" si="652"/>
        <v>Completed</v>
      </c>
      <c r="Z295" s="170" t="str">
        <f t="shared" ca="1" si="653"/>
        <v>Completed</v>
      </c>
    </row>
    <row r="296" spans="1:26" s="70" customFormat="1" ht="11.5" x14ac:dyDescent="0.25">
      <c r="A296" s="91" t="s">
        <v>66</v>
      </c>
      <c r="B296" s="91" t="s">
        <v>14</v>
      </c>
      <c r="C296" s="91" t="s">
        <v>919</v>
      </c>
      <c r="D296" s="91" t="s">
        <v>920</v>
      </c>
      <c r="E296" s="93">
        <f t="shared" ref="E296:E300" si="672">(COUNTIFS(J296,"&lt;="&amp;$C$1)*50%)+(COUNTIFS(M296,"&lt;="&amp;$C$1)*20%)+(COUNTIFS(P296,"&lt;="&amp;$C$1)*10%)+(COUNTIFS(S296,"&lt;="&amp;$C$1)*20%)</f>
        <v>0</v>
      </c>
      <c r="F296" s="93">
        <f t="shared" ref="F296:F300" si="673">(COUNTIFS(K296,"&lt;="&amp;$C$1)*50%)+(COUNTIFS(N296,"&lt;="&amp;$C$1)*20%)+(COUNTIFS(Q296,"&lt;="&amp;$C$1)*10%)+(COUNTIFS(T296,"&lt;="&amp;$C$1)*20%)</f>
        <v>0</v>
      </c>
      <c r="G296" s="93">
        <f t="shared" ref="G296:G300" si="674">(COUNTIFS(L296,"&lt;="&amp;$C$1)*50%)+(COUNTIFS(O296,"&lt;="&amp;$C$1)*20%)+(COUNTIFS(R296,"&lt;="&amp;$C$1)*10%)+(COUNTIFS(U296,"&lt;="&amp;$C$1)*20%)</f>
        <v>0</v>
      </c>
      <c r="H296" s="93">
        <f t="shared" ref="H296:H300" si="675">G296-E296</f>
        <v>0</v>
      </c>
      <c r="I296" s="129"/>
      <c r="J296" s="89">
        <v>46304</v>
      </c>
      <c r="K296" s="89">
        <f t="shared" ref="K296" si="676">J296</f>
        <v>46304</v>
      </c>
      <c r="L296" s="157"/>
      <c r="M296" s="89">
        <f t="shared" ref="M296:M297" si="677">J296+42</f>
        <v>46346</v>
      </c>
      <c r="N296" s="89">
        <f t="shared" ref="N296:N297" si="678">M296</f>
        <v>46346</v>
      </c>
      <c r="O296" s="89"/>
      <c r="P296" s="89">
        <f t="shared" ref="P296:P297" si="679">M296+42</f>
        <v>46388</v>
      </c>
      <c r="Q296" s="89">
        <f t="shared" ref="Q296:Q297" si="680">P296</f>
        <v>46388</v>
      </c>
      <c r="R296" s="89"/>
      <c r="S296" s="89">
        <f t="shared" ref="S296:S297" si="681">P296+14</f>
        <v>46402</v>
      </c>
      <c r="T296" s="89">
        <f t="shared" ref="T296:T297" si="682">S296</f>
        <v>46402</v>
      </c>
      <c r="U296" s="89"/>
      <c r="W296" s="169" t="str">
        <f t="shared" ca="1" si="650"/>
        <v/>
      </c>
      <c r="X296" s="169" t="str">
        <f t="shared" ca="1" si="651"/>
        <v/>
      </c>
      <c r="Y296" s="169" t="str">
        <f t="shared" ca="1" si="652"/>
        <v/>
      </c>
      <c r="Z296" s="170" t="str">
        <f t="shared" ca="1" si="653"/>
        <v/>
      </c>
    </row>
    <row r="297" spans="1:26" s="70" customFormat="1" ht="11.5" x14ac:dyDescent="0.25">
      <c r="A297" s="91" t="s">
        <v>66</v>
      </c>
      <c r="B297" s="91" t="s">
        <v>14</v>
      </c>
      <c r="C297" s="91" t="s">
        <v>919</v>
      </c>
      <c r="D297" s="91" t="s">
        <v>921</v>
      </c>
      <c r="E297" s="93">
        <f t="shared" si="672"/>
        <v>0</v>
      </c>
      <c r="F297" s="93">
        <f t="shared" si="673"/>
        <v>0</v>
      </c>
      <c r="G297" s="93">
        <f t="shared" si="674"/>
        <v>0</v>
      </c>
      <c r="H297" s="93">
        <f t="shared" si="675"/>
        <v>0</v>
      </c>
      <c r="I297" s="129"/>
      <c r="J297" s="89">
        <v>46304</v>
      </c>
      <c r="K297" s="89">
        <f t="shared" ref="K297" si="683">J297</f>
        <v>46304</v>
      </c>
      <c r="L297" s="157"/>
      <c r="M297" s="89">
        <f t="shared" si="677"/>
        <v>46346</v>
      </c>
      <c r="N297" s="89">
        <f t="shared" si="678"/>
        <v>46346</v>
      </c>
      <c r="O297" s="89"/>
      <c r="P297" s="89">
        <f t="shared" si="679"/>
        <v>46388</v>
      </c>
      <c r="Q297" s="89">
        <f t="shared" si="680"/>
        <v>46388</v>
      </c>
      <c r="R297" s="89"/>
      <c r="S297" s="89">
        <f t="shared" si="681"/>
        <v>46402</v>
      </c>
      <c r="T297" s="89">
        <f t="shared" si="682"/>
        <v>46402</v>
      </c>
      <c r="U297" s="89"/>
      <c r="W297" s="169" t="str">
        <f t="shared" ca="1" si="650"/>
        <v/>
      </c>
      <c r="X297" s="169" t="str">
        <f t="shared" ca="1" si="651"/>
        <v/>
      </c>
      <c r="Y297" s="169" t="str">
        <f t="shared" ca="1" si="652"/>
        <v/>
      </c>
      <c r="Z297" s="170" t="str">
        <f t="shared" ca="1" si="653"/>
        <v/>
      </c>
    </row>
    <row r="298" spans="1:26" s="70" customFormat="1" ht="11.5" x14ac:dyDescent="0.25">
      <c r="A298" s="92" t="s">
        <v>66</v>
      </c>
      <c r="B298" s="92" t="s">
        <v>14</v>
      </c>
      <c r="C298" s="91" t="s">
        <v>875</v>
      </c>
      <c r="D298" s="91" t="s">
        <v>880</v>
      </c>
      <c r="E298" s="93">
        <f t="shared" si="672"/>
        <v>0.79999999999999993</v>
      </c>
      <c r="F298" s="93">
        <f t="shared" si="673"/>
        <v>0.79999999999999993</v>
      </c>
      <c r="G298" s="93">
        <f t="shared" si="674"/>
        <v>0.7</v>
      </c>
      <c r="H298" s="93">
        <f t="shared" si="675"/>
        <v>-9.9999999999999978E-2</v>
      </c>
      <c r="I298" s="129"/>
      <c r="J298" s="89">
        <v>46199</v>
      </c>
      <c r="K298" s="89">
        <f t="shared" si="661"/>
        <v>46199</v>
      </c>
      <c r="L298" s="89">
        <v>46190</v>
      </c>
      <c r="M298" s="89">
        <f t="shared" ref="M298:M306" si="684">J298+42</f>
        <v>46241</v>
      </c>
      <c r="N298" s="89">
        <f t="shared" ref="N298:N306" si="685">M298</f>
        <v>46241</v>
      </c>
      <c r="O298" s="89">
        <v>46255</v>
      </c>
      <c r="P298" s="89">
        <f t="shared" ref="P298:P306" si="686">M298+42</f>
        <v>46283</v>
      </c>
      <c r="Q298" s="89">
        <f t="shared" ref="Q298:Q306" si="687">P298</f>
        <v>46283</v>
      </c>
      <c r="R298" s="89"/>
      <c r="S298" s="89">
        <f t="shared" ref="S298:S306" si="688">P298+14</f>
        <v>46297</v>
      </c>
      <c r="T298" s="89">
        <f t="shared" ref="T298:T306" si="689">S298</f>
        <v>46297</v>
      </c>
      <c r="U298" s="89"/>
      <c r="W298" s="169" t="str">
        <f t="shared" ca="1" si="650"/>
        <v>Completed</v>
      </c>
      <c r="X298" s="169" t="str">
        <f t="shared" ca="1" si="651"/>
        <v>Completed</v>
      </c>
      <c r="Y298" s="169" t="str">
        <f t="shared" ca="1" si="652"/>
        <v>Overdue</v>
      </c>
      <c r="Z298" s="170" t="str">
        <f t="shared" ca="1" si="653"/>
        <v/>
      </c>
    </row>
    <row r="299" spans="1:26" s="70" customFormat="1" ht="11.5" x14ac:dyDescent="0.25">
      <c r="A299" s="91" t="s">
        <v>66</v>
      </c>
      <c r="B299" s="91" t="s">
        <v>14</v>
      </c>
      <c r="C299" s="91" t="s">
        <v>876</v>
      </c>
      <c r="D299" s="91" t="s">
        <v>1120</v>
      </c>
      <c r="E299" s="93">
        <f t="shared" si="672"/>
        <v>0.5</v>
      </c>
      <c r="F299" s="93">
        <f t="shared" si="673"/>
        <v>0.5</v>
      </c>
      <c r="G299" s="93">
        <f t="shared" si="674"/>
        <v>0.5</v>
      </c>
      <c r="H299" s="93">
        <f t="shared" si="675"/>
        <v>0</v>
      </c>
      <c r="I299" s="129"/>
      <c r="J299" s="89">
        <v>46265</v>
      </c>
      <c r="K299" s="89">
        <f t="shared" si="661"/>
        <v>46265</v>
      </c>
      <c r="L299" s="89">
        <v>46255</v>
      </c>
      <c r="M299" s="89">
        <f t="shared" si="684"/>
        <v>46307</v>
      </c>
      <c r="N299" s="89">
        <f t="shared" si="685"/>
        <v>46307</v>
      </c>
      <c r="O299" s="89"/>
      <c r="P299" s="89">
        <f t="shared" si="686"/>
        <v>46349</v>
      </c>
      <c r="Q299" s="89">
        <f t="shared" si="687"/>
        <v>46349</v>
      </c>
      <c r="R299" s="89"/>
      <c r="S299" s="89">
        <f t="shared" si="688"/>
        <v>46363</v>
      </c>
      <c r="T299" s="89">
        <f t="shared" si="689"/>
        <v>46363</v>
      </c>
      <c r="U299" s="89"/>
      <c r="W299" s="169" t="str">
        <f t="shared" ca="1" si="650"/>
        <v>Completed</v>
      </c>
      <c r="X299" s="169" t="str">
        <f t="shared" ca="1" si="651"/>
        <v/>
      </c>
      <c r="Y299" s="169" t="str">
        <f t="shared" ca="1" si="652"/>
        <v/>
      </c>
      <c r="Z299" s="170" t="str">
        <f t="shared" ca="1" si="653"/>
        <v/>
      </c>
    </row>
    <row r="300" spans="1:26" s="70" customFormat="1" ht="11.5" x14ac:dyDescent="0.25">
      <c r="A300" s="91" t="s">
        <v>66</v>
      </c>
      <c r="B300" s="91" t="s">
        <v>14</v>
      </c>
      <c r="C300" s="91" t="s">
        <v>877</v>
      </c>
      <c r="D300" s="91" t="s">
        <v>1121</v>
      </c>
      <c r="E300" s="93">
        <f t="shared" si="672"/>
        <v>0.5</v>
      </c>
      <c r="F300" s="93">
        <f t="shared" si="673"/>
        <v>0.5</v>
      </c>
      <c r="G300" s="93">
        <f t="shared" si="674"/>
        <v>0.5</v>
      </c>
      <c r="H300" s="93">
        <f t="shared" si="675"/>
        <v>0</v>
      </c>
      <c r="I300" s="129"/>
      <c r="J300" s="89">
        <v>46265</v>
      </c>
      <c r="K300" s="89">
        <f t="shared" si="661"/>
        <v>46265</v>
      </c>
      <c r="L300" s="89">
        <v>46255</v>
      </c>
      <c r="M300" s="89">
        <f t="shared" si="684"/>
        <v>46307</v>
      </c>
      <c r="N300" s="89">
        <f t="shared" si="685"/>
        <v>46307</v>
      </c>
      <c r="O300" s="89"/>
      <c r="P300" s="89">
        <f t="shared" si="686"/>
        <v>46349</v>
      </c>
      <c r="Q300" s="89">
        <f t="shared" si="687"/>
        <v>46349</v>
      </c>
      <c r="R300" s="89"/>
      <c r="S300" s="89">
        <f t="shared" si="688"/>
        <v>46363</v>
      </c>
      <c r="T300" s="89">
        <f t="shared" si="689"/>
        <v>46363</v>
      </c>
      <c r="U300" s="89"/>
      <c r="W300" s="169" t="str">
        <f t="shared" ca="1" si="650"/>
        <v>Completed</v>
      </c>
      <c r="X300" s="169" t="str">
        <f t="shared" ca="1" si="651"/>
        <v/>
      </c>
      <c r="Y300" s="169" t="str">
        <f t="shared" ca="1" si="652"/>
        <v/>
      </c>
      <c r="Z300" s="170" t="str">
        <f t="shared" ca="1" si="653"/>
        <v/>
      </c>
    </row>
    <row r="301" spans="1:26" s="70" customFormat="1" ht="11.5" x14ac:dyDescent="0.25">
      <c r="A301" s="92" t="s">
        <v>66</v>
      </c>
      <c r="B301" s="92" t="s">
        <v>14</v>
      </c>
      <c r="C301" s="91" t="s">
        <v>878</v>
      </c>
      <c r="D301" s="91" t="s">
        <v>1122</v>
      </c>
      <c r="E301" s="93">
        <f t="shared" ref="E301:E306" si="690">(COUNTIFS(J301,"&lt;="&amp;$C$1)*50%)+(COUNTIFS(M301,"&lt;="&amp;$C$1)*20%)+(COUNTIFS(P301,"&lt;="&amp;$C$1)*10%)+(COUNTIFS(S301,"&lt;="&amp;$C$1)*20%)</f>
        <v>0.5</v>
      </c>
      <c r="F301" s="93">
        <f t="shared" ref="F301:F306" si="691">(COUNTIFS(K301,"&lt;="&amp;$C$1)*50%)+(COUNTIFS(N301,"&lt;="&amp;$C$1)*20%)+(COUNTIFS(Q301,"&lt;="&amp;$C$1)*10%)+(COUNTIFS(T301,"&lt;="&amp;$C$1)*20%)</f>
        <v>0.5</v>
      </c>
      <c r="G301" s="93">
        <f t="shared" ref="G301:G306" si="692">(COUNTIFS(L301,"&lt;="&amp;$C$1)*50%)+(COUNTIFS(O301,"&lt;="&amp;$C$1)*20%)+(COUNTIFS(R301,"&lt;="&amp;$C$1)*10%)+(COUNTIFS(U301,"&lt;="&amp;$C$1)*20%)</f>
        <v>0.5</v>
      </c>
      <c r="H301" s="93">
        <f t="shared" ref="H301:H306" si="693">G301-E301</f>
        <v>0</v>
      </c>
      <c r="I301" s="129"/>
      <c r="J301" s="89">
        <v>46265</v>
      </c>
      <c r="K301" s="89">
        <f t="shared" si="661"/>
        <v>46265</v>
      </c>
      <c r="L301" s="89">
        <v>46255</v>
      </c>
      <c r="M301" s="89">
        <f t="shared" si="684"/>
        <v>46307</v>
      </c>
      <c r="N301" s="89">
        <f t="shared" si="685"/>
        <v>46307</v>
      </c>
      <c r="O301" s="89"/>
      <c r="P301" s="89">
        <f t="shared" si="686"/>
        <v>46349</v>
      </c>
      <c r="Q301" s="89">
        <f t="shared" si="687"/>
        <v>46349</v>
      </c>
      <c r="R301" s="89"/>
      <c r="S301" s="89">
        <f t="shared" si="688"/>
        <v>46363</v>
      </c>
      <c r="T301" s="89">
        <f t="shared" si="689"/>
        <v>46363</v>
      </c>
      <c r="U301" s="89"/>
      <c r="W301" s="169" t="str">
        <f t="shared" ca="1" si="650"/>
        <v>Completed</v>
      </c>
      <c r="X301" s="169" t="str">
        <f t="shared" ca="1" si="651"/>
        <v/>
      </c>
      <c r="Y301" s="169" t="str">
        <f t="shared" ca="1" si="652"/>
        <v/>
      </c>
      <c r="Z301" s="170" t="str">
        <f t="shared" ca="1" si="653"/>
        <v/>
      </c>
    </row>
    <row r="302" spans="1:26" s="70" customFormat="1" ht="11.5" x14ac:dyDescent="0.25">
      <c r="A302" s="91" t="s">
        <v>66</v>
      </c>
      <c r="B302" s="91" t="s">
        <v>14</v>
      </c>
      <c r="C302" s="91" t="s">
        <v>879</v>
      </c>
      <c r="D302" s="91" t="s">
        <v>1123</v>
      </c>
      <c r="E302" s="93">
        <f t="shared" si="690"/>
        <v>0.5</v>
      </c>
      <c r="F302" s="93">
        <f t="shared" si="691"/>
        <v>0.5</v>
      </c>
      <c r="G302" s="93">
        <f t="shared" si="692"/>
        <v>0.5</v>
      </c>
      <c r="H302" s="93">
        <f t="shared" si="693"/>
        <v>0</v>
      </c>
      <c r="I302" s="129"/>
      <c r="J302" s="89">
        <v>46265</v>
      </c>
      <c r="K302" s="89">
        <f t="shared" si="661"/>
        <v>46265</v>
      </c>
      <c r="L302" s="89">
        <v>46255</v>
      </c>
      <c r="M302" s="89">
        <f t="shared" si="684"/>
        <v>46307</v>
      </c>
      <c r="N302" s="89">
        <f t="shared" si="685"/>
        <v>46307</v>
      </c>
      <c r="O302" s="89"/>
      <c r="P302" s="89">
        <f t="shared" si="686"/>
        <v>46349</v>
      </c>
      <c r="Q302" s="89">
        <f t="shared" si="687"/>
        <v>46349</v>
      </c>
      <c r="R302" s="89"/>
      <c r="S302" s="89">
        <f t="shared" si="688"/>
        <v>46363</v>
      </c>
      <c r="T302" s="89">
        <f t="shared" si="689"/>
        <v>46363</v>
      </c>
      <c r="U302" s="89"/>
      <c r="W302" s="169" t="str">
        <f t="shared" ref="W302:W377" ca="1" si="694">IF(OR(L302&lt;&gt;""),"Completed",
IF(K302="","",IF(K302&lt;TODAY(),"Overdue",
IF(AND(K302&gt;=TODAY()-WEEKDAY(TODAY(),2)+1,K302&lt;=TODAY()-WEEKDAY(TODAY(),2)+7),"Follow-This Week",
IF(AND(K302&gt;=TODAY()-WEEKDAY(TODAY(),2)+8,K302&lt;=TODAY()-WEEKDAY(TODAY(),2)+14),"Follow-Next Week","")))))</f>
        <v>Completed</v>
      </c>
      <c r="X302" s="169" t="str">
        <f t="shared" ref="X302:X377" ca="1" si="695">IF(OR(O302&lt;&gt;""),"Completed",IF(N302="","",
IF(N302&lt;TODAY(),"Overdue",
IF(AND(N302&gt;=TODAY()-WEEKDAY(TODAY(),2)+1,N302&lt;=TODAY()-WEEKDAY(TODAY(),2)+7),"Follow-This Week",
IF(AND(N302&gt;=TODAY()-WEEKDAY(TODAY(),2)+8,N302&lt;=TODAY()-WEEKDAY(TODAY(),2)+14),"Follow-Next Week","")))))</f>
        <v/>
      </c>
      <c r="Y302" s="169" t="str">
        <f t="shared" ref="Y302:Y377" ca="1" si="696">IF(OR(R302&lt;&gt;""),"Completed",IF(Q302="","",
IF(Q302&lt;TODAY(),"Overdue",
IF(AND(Q302&gt;=TODAY()-WEEKDAY(TODAY(),2)+1,Q302&lt;=TODAY()-WEEKDAY(TODAY(),2)+7),"Follow-This Week",
IF(AND(Q302&gt;=TODAY()-WEEKDAY(TODAY(),2)+8,Q302&lt;=TODAY()-WEEKDAY(TODAY(),2)+14),"Follow-Next Week","")))))</f>
        <v/>
      </c>
      <c r="Z302" s="170" t="str">
        <f t="shared" ref="Z302:Z377" ca="1" si="697">IF(OR(U302&lt;&gt;""),"Completed",IF(T302="","",
IF(T302&lt;TODAY(),"Overdue",
IF(AND(T302&gt;=TODAY()-WEEKDAY(TODAY(),2)+1,T302&lt;=TODAY()-WEEKDAY(TODAY(),2)+7),"Follow-This Week",
IF(AND(T302&gt;=TODAY()-WEEKDAY(TODAY(),2)+8,T302&lt;=TODAY()-WEEKDAY(TODAY(),2)+14),"Follow-Next Week","")))))</f>
        <v/>
      </c>
    </row>
    <row r="303" spans="1:26" s="70" customFormat="1" ht="11.5" x14ac:dyDescent="0.25">
      <c r="A303" s="91" t="s">
        <v>66</v>
      </c>
      <c r="B303" s="91" t="s">
        <v>14</v>
      </c>
      <c r="C303" s="91" t="s">
        <v>881</v>
      </c>
      <c r="D303" s="91" t="s">
        <v>1124</v>
      </c>
      <c r="E303" s="93">
        <f t="shared" si="690"/>
        <v>0.5</v>
      </c>
      <c r="F303" s="93">
        <f t="shared" si="691"/>
        <v>0.5</v>
      </c>
      <c r="G303" s="93">
        <f t="shared" si="692"/>
        <v>0.5</v>
      </c>
      <c r="H303" s="93">
        <f t="shared" si="693"/>
        <v>0</v>
      </c>
      <c r="I303" s="129"/>
      <c r="J303" s="89">
        <v>46265</v>
      </c>
      <c r="K303" s="89">
        <f t="shared" si="661"/>
        <v>46265</v>
      </c>
      <c r="L303" s="89">
        <v>46255</v>
      </c>
      <c r="M303" s="89">
        <f t="shared" si="684"/>
        <v>46307</v>
      </c>
      <c r="N303" s="89">
        <f t="shared" si="685"/>
        <v>46307</v>
      </c>
      <c r="O303" s="89"/>
      <c r="P303" s="89">
        <f t="shared" si="686"/>
        <v>46349</v>
      </c>
      <c r="Q303" s="89">
        <f t="shared" si="687"/>
        <v>46349</v>
      </c>
      <c r="R303" s="89"/>
      <c r="S303" s="89">
        <f t="shared" si="688"/>
        <v>46363</v>
      </c>
      <c r="T303" s="89">
        <f t="shared" si="689"/>
        <v>46363</v>
      </c>
      <c r="U303" s="89"/>
      <c r="W303" s="169" t="str">
        <f t="shared" ca="1" si="694"/>
        <v>Completed</v>
      </c>
      <c r="X303" s="169" t="str">
        <f t="shared" ca="1" si="695"/>
        <v/>
      </c>
      <c r="Y303" s="169" t="str">
        <f t="shared" ca="1" si="696"/>
        <v/>
      </c>
      <c r="Z303" s="170" t="str">
        <f t="shared" ca="1" si="697"/>
        <v/>
      </c>
    </row>
    <row r="304" spans="1:26" s="70" customFormat="1" ht="11.5" x14ac:dyDescent="0.25">
      <c r="A304" s="92" t="s">
        <v>66</v>
      </c>
      <c r="B304" s="92" t="s">
        <v>14</v>
      </c>
      <c r="C304" s="91" t="s">
        <v>882</v>
      </c>
      <c r="D304" s="91" t="s">
        <v>1125</v>
      </c>
      <c r="E304" s="93">
        <f t="shared" si="690"/>
        <v>0.5</v>
      </c>
      <c r="F304" s="93">
        <f t="shared" si="691"/>
        <v>0.5</v>
      </c>
      <c r="G304" s="93">
        <f t="shared" si="692"/>
        <v>0.5</v>
      </c>
      <c r="H304" s="93">
        <f t="shared" si="693"/>
        <v>0</v>
      </c>
      <c r="I304" s="129"/>
      <c r="J304" s="89">
        <v>46265</v>
      </c>
      <c r="K304" s="89">
        <f t="shared" si="661"/>
        <v>46265</v>
      </c>
      <c r="L304" s="89">
        <v>46255</v>
      </c>
      <c r="M304" s="89">
        <f t="shared" si="684"/>
        <v>46307</v>
      </c>
      <c r="N304" s="89">
        <f t="shared" si="685"/>
        <v>46307</v>
      </c>
      <c r="O304" s="89"/>
      <c r="P304" s="89">
        <f t="shared" si="686"/>
        <v>46349</v>
      </c>
      <c r="Q304" s="89">
        <f t="shared" si="687"/>
        <v>46349</v>
      </c>
      <c r="R304" s="89"/>
      <c r="S304" s="89">
        <f t="shared" si="688"/>
        <v>46363</v>
      </c>
      <c r="T304" s="89">
        <f t="shared" si="689"/>
        <v>46363</v>
      </c>
      <c r="U304" s="89"/>
      <c r="W304" s="169" t="str">
        <f t="shared" ca="1" si="694"/>
        <v>Completed</v>
      </c>
      <c r="X304" s="169" t="str">
        <f t="shared" ca="1" si="695"/>
        <v/>
      </c>
      <c r="Y304" s="169" t="str">
        <f t="shared" ca="1" si="696"/>
        <v/>
      </c>
      <c r="Z304" s="170" t="str">
        <f t="shared" ca="1" si="697"/>
        <v/>
      </c>
    </row>
    <row r="305" spans="1:26" s="70" customFormat="1" ht="11.5" x14ac:dyDescent="0.25">
      <c r="A305" s="91" t="s">
        <v>66</v>
      </c>
      <c r="B305" s="91" t="s">
        <v>14</v>
      </c>
      <c r="C305" s="91" t="s">
        <v>883</v>
      </c>
      <c r="D305" s="91" t="s">
        <v>1126</v>
      </c>
      <c r="E305" s="93">
        <f t="shared" si="690"/>
        <v>0.5</v>
      </c>
      <c r="F305" s="93">
        <f t="shared" si="691"/>
        <v>0.5</v>
      </c>
      <c r="G305" s="93">
        <f t="shared" si="692"/>
        <v>0.5</v>
      </c>
      <c r="H305" s="93">
        <f t="shared" si="693"/>
        <v>0</v>
      </c>
      <c r="I305" s="129"/>
      <c r="J305" s="89">
        <v>46265</v>
      </c>
      <c r="K305" s="89">
        <f t="shared" si="661"/>
        <v>46265</v>
      </c>
      <c r="L305" s="89">
        <v>46255</v>
      </c>
      <c r="M305" s="89">
        <f t="shared" si="684"/>
        <v>46307</v>
      </c>
      <c r="N305" s="89">
        <f t="shared" si="685"/>
        <v>46307</v>
      </c>
      <c r="O305" s="89"/>
      <c r="P305" s="89">
        <f t="shared" si="686"/>
        <v>46349</v>
      </c>
      <c r="Q305" s="89">
        <f t="shared" si="687"/>
        <v>46349</v>
      </c>
      <c r="R305" s="89"/>
      <c r="S305" s="89">
        <f t="shared" si="688"/>
        <v>46363</v>
      </c>
      <c r="T305" s="89">
        <f t="shared" si="689"/>
        <v>46363</v>
      </c>
      <c r="U305" s="89"/>
      <c r="W305" s="169" t="str">
        <f t="shared" ca="1" si="694"/>
        <v>Completed</v>
      </c>
      <c r="X305" s="169" t="str">
        <f t="shared" ca="1" si="695"/>
        <v/>
      </c>
      <c r="Y305" s="169" t="str">
        <f t="shared" ca="1" si="696"/>
        <v/>
      </c>
      <c r="Z305" s="170" t="str">
        <f t="shared" ca="1" si="697"/>
        <v/>
      </c>
    </row>
    <row r="306" spans="1:26" s="70" customFormat="1" ht="11.5" x14ac:dyDescent="0.25">
      <c r="A306" s="91" t="s">
        <v>66</v>
      </c>
      <c r="B306" s="91" t="s">
        <v>14</v>
      </c>
      <c r="C306" s="91" t="s">
        <v>884</v>
      </c>
      <c r="D306" s="91" t="s">
        <v>1127</v>
      </c>
      <c r="E306" s="93">
        <f t="shared" si="690"/>
        <v>0.5</v>
      </c>
      <c r="F306" s="93">
        <f t="shared" si="691"/>
        <v>0.5</v>
      </c>
      <c r="G306" s="93">
        <f t="shared" si="692"/>
        <v>0.5</v>
      </c>
      <c r="H306" s="93">
        <f t="shared" si="693"/>
        <v>0</v>
      </c>
      <c r="I306" s="129"/>
      <c r="J306" s="89">
        <v>46265</v>
      </c>
      <c r="K306" s="89">
        <f t="shared" si="661"/>
        <v>46265</v>
      </c>
      <c r="L306" s="89">
        <v>46255</v>
      </c>
      <c r="M306" s="89">
        <f t="shared" si="684"/>
        <v>46307</v>
      </c>
      <c r="N306" s="89">
        <f t="shared" si="685"/>
        <v>46307</v>
      </c>
      <c r="O306" s="89"/>
      <c r="P306" s="89">
        <f t="shared" si="686"/>
        <v>46349</v>
      </c>
      <c r="Q306" s="89">
        <f t="shared" si="687"/>
        <v>46349</v>
      </c>
      <c r="R306" s="89"/>
      <c r="S306" s="89">
        <f t="shared" si="688"/>
        <v>46363</v>
      </c>
      <c r="T306" s="89">
        <f t="shared" si="689"/>
        <v>46363</v>
      </c>
      <c r="U306" s="89"/>
      <c r="W306" s="169" t="str">
        <f t="shared" ca="1" si="694"/>
        <v>Completed</v>
      </c>
      <c r="X306" s="169" t="str">
        <f t="shared" ca="1" si="695"/>
        <v/>
      </c>
      <c r="Y306" s="169" t="str">
        <f t="shared" ca="1" si="696"/>
        <v/>
      </c>
      <c r="Z306" s="170" t="str">
        <f t="shared" ca="1" si="697"/>
        <v/>
      </c>
    </row>
    <row r="307" spans="1:26" s="70" customFormat="1" ht="11.5" x14ac:dyDescent="0.25">
      <c r="A307" s="91" t="s">
        <v>66</v>
      </c>
      <c r="B307" s="91" t="s">
        <v>14</v>
      </c>
      <c r="C307" s="91" t="s">
        <v>323</v>
      </c>
      <c r="D307" s="91" t="s">
        <v>324</v>
      </c>
      <c r="E307" s="93">
        <f t="shared" ref="E307:E310" si="698">(COUNTIFS(J307,"&lt;="&amp;$C$1)*50%)+(COUNTIFS(M307,"&lt;="&amp;$C$1)*20%)+(COUNTIFS(P307,"&lt;="&amp;$C$1)*10%)+(COUNTIFS(S307,"&lt;="&amp;$C$1)*20%)</f>
        <v>0.79999999999999993</v>
      </c>
      <c r="F307" s="93">
        <f t="shared" ref="F307:F310" si="699">(COUNTIFS(K307,"&lt;="&amp;$C$1)*50%)+(COUNTIFS(N307,"&lt;="&amp;$C$1)*20%)+(COUNTIFS(Q307,"&lt;="&amp;$C$1)*10%)+(COUNTIFS(T307,"&lt;="&amp;$C$1)*20%)</f>
        <v>0.79999999999999993</v>
      </c>
      <c r="G307" s="93">
        <f t="shared" ref="G307:G310" si="700">(COUNTIFS(L307,"&lt;="&amp;$C$1)*50%)+(COUNTIFS(O307,"&lt;="&amp;$C$1)*20%)+(COUNTIFS(R307,"&lt;="&amp;$C$1)*10%)+(COUNTIFS(U307,"&lt;="&amp;$C$1)*20%)</f>
        <v>0.7</v>
      </c>
      <c r="H307" s="93">
        <f t="shared" ref="H307:H310" si="701">G307-E307</f>
        <v>-9.9999999999999978E-2</v>
      </c>
      <c r="I307" s="95">
        <v>4.7E-2</v>
      </c>
      <c r="J307" s="89">
        <v>46192</v>
      </c>
      <c r="K307" s="89">
        <f t="shared" si="661"/>
        <v>46192</v>
      </c>
      <c r="L307" s="146">
        <v>46184</v>
      </c>
      <c r="M307" s="89">
        <f t="shared" si="662"/>
        <v>46234</v>
      </c>
      <c r="N307" s="89">
        <f t="shared" si="663"/>
        <v>46234</v>
      </c>
      <c r="O307" s="90">
        <v>46269</v>
      </c>
      <c r="P307" s="89">
        <f t="shared" si="664"/>
        <v>46276</v>
      </c>
      <c r="Q307" s="89">
        <f t="shared" si="665"/>
        <v>46276</v>
      </c>
      <c r="R307" s="89"/>
      <c r="S307" s="89">
        <f t="shared" si="671"/>
        <v>46290</v>
      </c>
      <c r="T307" s="89">
        <f t="shared" si="666"/>
        <v>46290</v>
      </c>
      <c r="U307" s="89"/>
      <c r="W307" s="169" t="str">
        <f t="shared" ca="1" si="694"/>
        <v>Completed</v>
      </c>
      <c r="X307" s="169" t="str">
        <f t="shared" ca="1" si="695"/>
        <v>Completed</v>
      </c>
      <c r="Y307" s="169" t="str">
        <f t="shared" ca="1" si="696"/>
        <v>Overdue</v>
      </c>
      <c r="Z307" s="170" t="str">
        <f t="shared" ca="1" si="697"/>
        <v>Follow-Next Week</v>
      </c>
    </row>
    <row r="308" spans="1:26" s="70" customFormat="1" ht="11.5" x14ac:dyDescent="0.25">
      <c r="A308" s="91" t="s">
        <v>66</v>
      </c>
      <c r="B308" s="91" t="s">
        <v>14</v>
      </c>
      <c r="C308" s="91" t="s">
        <v>325</v>
      </c>
      <c r="D308" s="91" t="s">
        <v>326</v>
      </c>
      <c r="E308" s="93">
        <f t="shared" si="698"/>
        <v>0.79999999999999993</v>
      </c>
      <c r="F308" s="93">
        <f t="shared" si="699"/>
        <v>0.79999999999999993</v>
      </c>
      <c r="G308" s="93">
        <f t="shared" si="700"/>
        <v>0.7</v>
      </c>
      <c r="H308" s="93">
        <f t="shared" si="701"/>
        <v>-9.9999999999999978E-2</v>
      </c>
      <c r="I308" s="95">
        <v>4.7E-2</v>
      </c>
      <c r="J308" s="89">
        <v>46192</v>
      </c>
      <c r="K308" s="89">
        <f t="shared" si="661"/>
        <v>46192</v>
      </c>
      <c r="L308" s="146">
        <v>46184</v>
      </c>
      <c r="M308" s="89">
        <f t="shared" si="662"/>
        <v>46234</v>
      </c>
      <c r="N308" s="89">
        <f t="shared" si="663"/>
        <v>46234</v>
      </c>
      <c r="O308" s="90">
        <v>46269</v>
      </c>
      <c r="P308" s="89">
        <f t="shared" si="664"/>
        <v>46276</v>
      </c>
      <c r="Q308" s="89">
        <f t="shared" si="665"/>
        <v>46276</v>
      </c>
      <c r="R308" s="89"/>
      <c r="S308" s="89">
        <f t="shared" si="671"/>
        <v>46290</v>
      </c>
      <c r="T308" s="89">
        <f t="shared" si="666"/>
        <v>46290</v>
      </c>
      <c r="U308" s="89"/>
      <c r="W308" s="169" t="str">
        <f t="shared" ca="1" si="694"/>
        <v>Completed</v>
      </c>
      <c r="X308" s="169" t="str">
        <f t="shared" ca="1" si="695"/>
        <v>Completed</v>
      </c>
      <c r="Y308" s="169" t="str">
        <f t="shared" ca="1" si="696"/>
        <v>Overdue</v>
      </c>
      <c r="Z308" s="170" t="str">
        <f t="shared" ca="1" si="697"/>
        <v>Follow-Next Week</v>
      </c>
    </row>
    <row r="309" spans="1:26" s="70" customFormat="1" ht="11.5" x14ac:dyDescent="0.25">
      <c r="A309" s="91" t="s">
        <v>66</v>
      </c>
      <c r="B309" s="91" t="s">
        <v>14</v>
      </c>
      <c r="C309" s="91" t="s">
        <v>327</v>
      </c>
      <c r="D309" s="91" t="s">
        <v>328</v>
      </c>
      <c r="E309" s="93">
        <f t="shared" si="698"/>
        <v>0.79999999999999993</v>
      </c>
      <c r="F309" s="93">
        <f t="shared" si="699"/>
        <v>0.79999999999999993</v>
      </c>
      <c r="G309" s="93">
        <f t="shared" si="700"/>
        <v>0.7</v>
      </c>
      <c r="H309" s="93">
        <f t="shared" si="701"/>
        <v>-9.9999999999999978E-2</v>
      </c>
      <c r="I309" s="95">
        <v>4.7E-2</v>
      </c>
      <c r="J309" s="89">
        <v>46192</v>
      </c>
      <c r="K309" s="89">
        <f t="shared" si="661"/>
        <v>46192</v>
      </c>
      <c r="L309" s="97">
        <v>46161</v>
      </c>
      <c r="M309" s="89">
        <f t="shared" si="662"/>
        <v>46234</v>
      </c>
      <c r="N309" s="89">
        <f t="shared" si="663"/>
        <v>46234</v>
      </c>
      <c r="O309" s="89">
        <v>46266</v>
      </c>
      <c r="P309" s="89">
        <f t="shared" si="664"/>
        <v>46276</v>
      </c>
      <c r="Q309" s="89">
        <f t="shared" si="665"/>
        <v>46276</v>
      </c>
      <c r="R309" s="89"/>
      <c r="S309" s="89">
        <f t="shared" si="671"/>
        <v>46290</v>
      </c>
      <c r="T309" s="89">
        <f t="shared" si="666"/>
        <v>46290</v>
      </c>
      <c r="U309" s="89"/>
      <c r="W309" s="169" t="str">
        <f t="shared" ca="1" si="694"/>
        <v>Completed</v>
      </c>
      <c r="X309" s="169" t="str">
        <f t="shared" ca="1" si="695"/>
        <v>Completed</v>
      </c>
      <c r="Y309" s="169" t="str">
        <f t="shared" ca="1" si="696"/>
        <v>Overdue</v>
      </c>
      <c r="Z309" s="170" t="str">
        <f t="shared" ca="1" si="697"/>
        <v>Follow-Next Week</v>
      </c>
    </row>
    <row r="310" spans="1:26" s="70" customFormat="1" ht="11.5" x14ac:dyDescent="0.25">
      <c r="A310" s="91" t="s">
        <v>66</v>
      </c>
      <c r="B310" s="91" t="s">
        <v>14</v>
      </c>
      <c r="C310" s="91" t="s">
        <v>329</v>
      </c>
      <c r="D310" s="91" t="s">
        <v>330</v>
      </c>
      <c r="E310" s="93">
        <f t="shared" si="698"/>
        <v>0.79999999999999993</v>
      </c>
      <c r="F310" s="93">
        <f t="shared" si="699"/>
        <v>0.79999999999999993</v>
      </c>
      <c r="G310" s="93">
        <f t="shared" si="700"/>
        <v>0.5</v>
      </c>
      <c r="H310" s="93">
        <f t="shared" si="701"/>
        <v>-0.29999999999999993</v>
      </c>
      <c r="I310" s="95">
        <v>4.7E-2</v>
      </c>
      <c r="J310" s="89">
        <v>46192</v>
      </c>
      <c r="K310" s="89">
        <f t="shared" si="661"/>
        <v>46192</v>
      </c>
      <c r="L310" s="146">
        <v>46184</v>
      </c>
      <c r="M310" s="89">
        <f t="shared" si="662"/>
        <v>46234</v>
      </c>
      <c r="N310" s="89">
        <f t="shared" si="663"/>
        <v>46234</v>
      </c>
      <c r="O310" s="89"/>
      <c r="P310" s="89">
        <f t="shared" si="664"/>
        <v>46276</v>
      </c>
      <c r="Q310" s="89">
        <f t="shared" si="665"/>
        <v>46276</v>
      </c>
      <c r="R310" s="89"/>
      <c r="S310" s="89">
        <f t="shared" si="671"/>
        <v>46290</v>
      </c>
      <c r="T310" s="89">
        <f t="shared" si="666"/>
        <v>46290</v>
      </c>
      <c r="U310" s="89"/>
      <c r="W310" s="169" t="str">
        <f t="shared" ca="1" si="694"/>
        <v>Completed</v>
      </c>
      <c r="X310" s="169" t="str">
        <f t="shared" ca="1" si="695"/>
        <v>Overdue</v>
      </c>
      <c r="Y310" s="169" t="str">
        <f t="shared" ca="1" si="696"/>
        <v>Overdue</v>
      </c>
      <c r="Z310" s="170" t="str">
        <f t="shared" ca="1" si="697"/>
        <v>Follow-Next Week</v>
      </c>
    </row>
    <row r="311" spans="1:26" s="70" customFormat="1" ht="11.5" x14ac:dyDescent="0.25">
      <c r="A311" s="158" t="s">
        <v>66</v>
      </c>
      <c r="B311" s="158" t="s">
        <v>14</v>
      </c>
      <c r="C311" s="158" t="s">
        <v>331</v>
      </c>
      <c r="D311" s="158" t="s">
        <v>1211</v>
      </c>
      <c r="E311" s="159">
        <f t="shared" si="658"/>
        <v>0.79999999999999993</v>
      </c>
      <c r="F311" s="159">
        <f t="shared" si="659"/>
        <v>0.79999999999999993</v>
      </c>
      <c r="G311" s="159">
        <f t="shared" si="659"/>
        <v>1</v>
      </c>
      <c r="H311" s="159">
        <f t="shared" si="660"/>
        <v>0.20000000000000007</v>
      </c>
      <c r="I311" s="153">
        <v>2.5000000000000001E-2</v>
      </c>
      <c r="J311" s="155">
        <v>46199</v>
      </c>
      <c r="K311" s="155">
        <f t="shared" si="661"/>
        <v>46199</v>
      </c>
      <c r="L311" s="155">
        <v>46142</v>
      </c>
      <c r="M311" s="155">
        <f t="shared" si="662"/>
        <v>46241</v>
      </c>
      <c r="N311" s="155">
        <f t="shared" si="663"/>
        <v>46241</v>
      </c>
      <c r="O311" s="155">
        <v>46255</v>
      </c>
      <c r="P311" s="155">
        <f t="shared" si="664"/>
        <v>46283</v>
      </c>
      <c r="Q311" s="155">
        <f t="shared" si="665"/>
        <v>46283</v>
      </c>
      <c r="R311" s="155">
        <v>46283</v>
      </c>
      <c r="S311" s="155">
        <f t="shared" si="671"/>
        <v>46297</v>
      </c>
      <c r="T311" s="155">
        <f t="shared" si="666"/>
        <v>46297</v>
      </c>
      <c r="U311" s="155">
        <v>46283</v>
      </c>
      <c r="W311" s="169" t="str">
        <f t="shared" ca="1" si="694"/>
        <v>Completed</v>
      </c>
      <c r="X311" s="169" t="str">
        <f t="shared" ca="1" si="695"/>
        <v>Completed</v>
      </c>
      <c r="Y311" s="169" t="str">
        <f t="shared" ca="1" si="696"/>
        <v>Completed</v>
      </c>
      <c r="Z311" s="170" t="str">
        <f t="shared" ca="1" si="697"/>
        <v>Completed</v>
      </c>
    </row>
    <row r="312" spans="1:26" s="70" customFormat="1" ht="11.5" x14ac:dyDescent="0.25">
      <c r="A312" s="158" t="s">
        <v>66</v>
      </c>
      <c r="B312" s="158" t="s">
        <v>14</v>
      </c>
      <c r="C312" s="158" t="s">
        <v>332</v>
      </c>
      <c r="D312" s="158" t="s">
        <v>1212</v>
      </c>
      <c r="E312" s="159">
        <f t="shared" si="658"/>
        <v>0.79999999999999993</v>
      </c>
      <c r="F312" s="159">
        <f t="shared" si="659"/>
        <v>0.79999999999999993</v>
      </c>
      <c r="G312" s="159">
        <f t="shared" si="659"/>
        <v>1</v>
      </c>
      <c r="H312" s="159">
        <f t="shared" si="660"/>
        <v>0.20000000000000007</v>
      </c>
      <c r="I312" s="153">
        <v>2.5000000000000001E-2</v>
      </c>
      <c r="J312" s="155">
        <v>46199</v>
      </c>
      <c r="K312" s="155">
        <f t="shared" si="661"/>
        <v>46199</v>
      </c>
      <c r="L312" s="155">
        <v>46142</v>
      </c>
      <c r="M312" s="155">
        <f t="shared" si="662"/>
        <v>46241</v>
      </c>
      <c r="N312" s="155">
        <f t="shared" si="663"/>
        <v>46241</v>
      </c>
      <c r="O312" s="155">
        <v>46255</v>
      </c>
      <c r="P312" s="155">
        <f t="shared" si="664"/>
        <v>46283</v>
      </c>
      <c r="Q312" s="155">
        <f t="shared" si="665"/>
        <v>46283</v>
      </c>
      <c r="R312" s="155">
        <v>46283</v>
      </c>
      <c r="S312" s="155">
        <f t="shared" si="671"/>
        <v>46297</v>
      </c>
      <c r="T312" s="155">
        <f t="shared" si="666"/>
        <v>46297</v>
      </c>
      <c r="U312" s="155">
        <v>46283</v>
      </c>
      <c r="W312" s="169" t="str">
        <f t="shared" ca="1" si="694"/>
        <v>Completed</v>
      </c>
      <c r="X312" s="169" t="str">
        <f t="shared" ca="1" si="695"/>
        <v>Completed</v>
      </c>
      <c r="Y312" s="169" t="str">
        <f t="shared" ca="1" si="696"/>
        <v>Completed</v>
      </c>
      <c r="Z312" s="170" t="str">
        <f t="shared" ca="1" si="697"/>
        <v>Completed</v>
      </c>
    </row>
    <row r="313" spans="1:26" s="70" customFormat="1" ht="11.5" x14ac:dyDescent="0.25">
      <c r="A313" s="158" t="s">
        <v>66</v>
      </c>
      <c r="B313" s="158" t="s">
        <v>14</v>
      </c>
      <c r="C313" s="158" t="s">
        <v>962</v>
      </c>
      <c r="D313" s="158" t="s">
        <v>1213</v>
      </c>
      <c r="E313" s="159">
        <f t="shared" si="658"/>
        <v>0.79999999999999993</v>
      </c>
      <c r="F313" s="159">
        <f t="shared" si="659"/>
        <v>0.79999999999999993</v>
      </c>
      <c r="G313" s="159">
        <f t="shared" si="659"/>
        <v>1</v>
      </c>
      <c r="H313" s="159">
        <f t="shared" si="660"/>
        <v>0.20000000000000007</v>
      </c>
      <c r="I313" s="153">
        <v>2.5000000000000001E-2</v>
      </c>
      <c r="J313" s="155">
        <v>46199</v>
      </c>
      <c r="K313" s="155">
        <f t="shared" si="661"/>
        <v>46199</v>
      </c>
      <c r="L313" s="155">
        <v>46191</v>
      </c>
      <c r="M313" s="155">
        <f t="shared" si="662"/>
        <v>46241</v>
      </c>
      <c r="N313" s="155">
        <f t="shared" si="663"/>
        <v>46241</v>
      </c>
      <c r="O313" s="155">
        <v>46266</v>
      </c>
      <c r="P313" s="155">
        <f t="shared" si="664"/>
        <v>46283</v>
      </c>
      <c r="Q313" s="155">
        <f t="shared" si="665"/>
        <v>46283</v>
      </c>
      <c r="R313" s="155">
        <v>46283</v>
      </c>
      <c r="S313" s="155">
        <f t="shared" si="671"/>
        <v>46297</v>
      </c>
      <c r="T313" s="155">
        <f t="shared" si="666"/>
        <v>46297</v>
      </c>
      <c r="U313" s="155">
        <v>46283</v>
      </c>
      <c r="W313" s="169" t="str">
        <f t="shared" ca="1" si="694"/>
        <v>Completed</v>
      </c>
      <c r="X313" s="169" t="str">
        <f t="shared" ca="1" si="695"/>
        <v>Completed</v>
      </c>
      <c r="Y313" s="169" t="str">
        <f t="shared" ca="1" si="696"/>
        <v>Completed</v>
      </c>
      <c r="Z313" s="170" t="str">
        <f t="shared" ca="1" si="697"/>
        <v>Completed</v>
      </c>
    </row>
    <row r="314" spans="1:26" s="70" customFormat="1" ht="11.5" x14ac:dyDescent="0.25">
      <c r="A314" s="158" t="s">
        <v>66</v>
      </c>
      <c r="B314" s="158" t="s">
        <v>14</v>
      </c>
      <c r="C314" s="158" t="s">
        <v>963</v>
      </c>
      <c r="D314" s="158" t="s">
        <v>1214</v>
      </c>
      <c r="E314" s="159">
        <f t="shared" si="658"/>
        <v>0.79999999999999993</v>
      </c>
      <c r="F314" s="159">
        <f t="shared" si="659"/>
        <v>0.79999999999999993</v>
      </c>
      <c r="G314" s="159">
        <f t="shared" si="659"/>
        <v>1</v>
      </c>
      <c r="H314" s="159">
        <f t="shared" si="660"/>
        <v>0.20000000000000007</v>
      </c>
      <c r="I314" s="153">
        <v>2.5000000000000001E-2</v>
      </c>
      <c r="J314" s="155">
        <v>46199</v>
      </c>
      <c r="K314" s="155">
        <f t="shared" si="661"/>
        <v>46199</v>
      </c>
      <c r="L314" s="155">
        <v>46191</v>
      </c>
      <c r="M314" s="155">
        <f t="shared" si="662"/>
        <v>46241</v>
      </c>
      <c r="N314" s="155">
        <f t="shared" si="663"/>
        <v>46241</v>
      </c>
      <c r="O314" s="155">
        <v>46266</v>
      </c>
      <c r="P314" s="155">
        <f t="shared" si="664"/>
        <v>46283</v>
      </c>
      <c r="Q314" s="155">
        <f t="shared" si="665"/>
        <v>46283</v>
      </c>
      <c r="R314" s="155">
        <v>46283</v>
      </c>
      <c r="S314" s="155">
        <f t="shared" si="671"/>
        <v>46297</v>
      </c>
      <c r="T314" s="155">
        <f t="shared" si="666"/>
        <v>46297</v>
      </c>
      <c r="U314" s="155">
        <v>46283</v>
      </c>
      <c r="W314" s="169" t="str">
        <f t="shared" ca="1" si="694"/>
        <v>Completed</v>
      </c>
      <c r="X314" s="169" t="str">
        <f t="shared" ca="1" si="695"/>
        <v>Completed</v>
      </c>
      <c r="Y314" s="169" t="str">
        <f t="shared" ca="1" si="696"/>
        <v>Completed</v>
      </c>
      <c r="Z314" s="170" t="str">
        <f t="shared" ca="1" si="697"/>
        <v>Completed</v>
      </c>
    </row>
    <row r="315" spans="1:26" s="70" customFormat="1" ht="11.5" x14ac:dyDescent="0.25">
      <c r="A315" s="158" t="s">
        <v>66</v>
      </c>
      <c r="B315" s="158" t="s">
        <v>14</v>
      </c>
      <c r="C315" s="158" t="s">
        <v>964</v>
      </c>
      <c r="D315" s="158" t="s">
        <v>1215</v>
      </c>
      <c r="E315" s="159">
        <f t="shared" ref="E315" si="702">(COUNTIFS(J315,"&lt;="&amp;$C$1)*50%)+(COUNTIFS(M315,"&lt;="&amp;$C$1)*20%)+(COUNTIFS(P315,"&lt;="&amp;$C$1)*10%)+(COUNTIFS(S315,"&lt;="&amp;$C$1)*20%)</f>
        <v>0.79999999999999993</v>
      </c>
      <c r="F315" s="159">
        <f t="shared" ref="F315" si="703">(COUNTIFS(K315,"&lt;="&amp;$C$1)*50%)+(COUNTIFS(N315,"&lt;="&amp;$C$1)*20%)+(COUNTIFS(Q315,"&lt;="&amp;$C$1)*10%)+(COUNTIFS(T315,"&lt;="&amp;$C$1)*20%)</f>
        <v>0.79999999999999993</v>
      </c>
      <c r="G315" s="159">
        <f t="shared" ref="G315" si="704">(COUNTIFS(L315,"&lt;="&amp;$C$1)*50%)+(COUNTIFS(O315,"&lt;="&amp;$C$1)*20%)+(COUNTIFS(R315,"&lt;="&amp;$C$1)*10%)+(COUNTIFS(U315,"&lt;="&amp;$C$1)*20%)</f>
        <v>1</v>
      </c>
      <c r="H315" s="159">
        <f t="shared" ref="H315" si="705">G315-E315</f>
        <v>0.20000000000000007</v>
      </c>
      <c r="I315" s="153">
        <v>2.5000000000000001E-2</v>
      </c>
      <c r="J315" s="155">
        <v>46199</v>
      </c>
      <c r="K315" s="155">
        <f t="shared" si="661"/>
        <v>46199</v>
      </c>
      <c r="L315" s="155">
        <v>46191</v>
      </c>
      <c r="M315" s="155">
        <f t="shared" si="662"/>
        <v>46241</v>
      </c>
      <c r="N315" s="155">
        <f t="shared" si="663"/>
        <v>46241</v>
      </c>
      <c r="O315" s="155">
        <v>46283</v>
      </c>
      <c r="P315" s="155">
        <f t="shared" si="664"/>
        <v>46283</v>
      </c>
      <c r="Q315" s="155">
        <f t="shared" si="665"/>
        <v>46283</v>
      </c>
      <c r="R315" s="155">
        <v>46283</v>
      </c>
      <c r="S315" s="155">
        <f t="shared" si="671"/>
        <v>46297</v>
      </c>
      <c r="T315" s="155">
        <f t="shared" si="666"/>
        <v>46297</v>
      </c>
      <c r="U315" s="155">
        <v>46283</v>
      </c>
      <c r="W315" s="169" t="str">
        <f t="shared" ca="1" si="694"/>
        <v>Completed</v>
      </c>
      <c r="X315" s="169" t="str">
        <f t="shared" ca="1" si="695"/>
        <v>Completed</v>
      </c>
      <c r="Y315" s="169" t="str">
        <f t="shared" ca="1" si="696"/>
        <v>Completed</v>
      </c>
      <c r="Z315" s="170" t="str">
        <f t="shared" ca="1" si="697"/>
        <v>Completed</v>
      </c>
    </row>
    <row r="316" spans="1:26" s="70" customFormat="1" ht="11.5" x14ac:dyDescent="0.25">
      <c r="A316" s="158" t="s">
        <v>66</v>
      </c>
      <c r="B316" s="158" t="s">
        <v>14</v>
      </c>
      <c r="C316" s="158" t="s">
        <v>965</v>
      </c>
      <c r="D316" s="158" t="s">
        <v>1216</v>
      </c>
      <c r="E316" s="159">
        <f t="shared" si="658"/>
        <v>0.79999999999999993</v>
      </c>
      <c r="F316" s="159">
        <f t="shared" si="659"/>
        <v>0.79999999999999993</v>
      </c>
      <c r="G316" s="159">
        <f t="shared" si="659"/>
        <v>1</v>
      </c>
      <c r="H316" s="159">
        <f t="shared" si="660"/>
        <v>0.20000000000000007</v>
      </c>
      <c r="I316" s="153">
        <v>2.5000000000000001E-2</v>
      </c>
      <c r="J316" s="155">
        <v>46199</v>
      </c>
      <c r="K316" s="155">
        <f t="shared" si="661"/>
        <v>46199</v>
      </c>
      <c r="L316" s="155">
        <v>46191</v>
      </c>
      <c r="M316" s="155">
        <f t="shared" si="662"/>
        <v>46241</v>
      </c>
      <c r="N316" s="155">
        <f t="shared" si="663"/>
        <v>46241</v>
      </c>
      <c r="O316" s="155">
        <v>46283</v>
      </c>
      <c r="P316" s="155">
        <f t="shared" si="664"/>
        <v>46283</v>
      </c>
      <c r="Q316" s="155">
        <f t="shared" si="665"/>
        <v>46283</v>
      </c>
      <c r="R316" s="155">
        <v>46283</v>
      </c>
      <c r="S316" s="155">
        <f t="shared" si="671"/>
        <v>46297</v>
      </c>
      <c r="T316" s="155">
        <f t="shared" si="666"/>
        <v>46297</v>
      </c>
      <c r="U316" s="155">
        <v>46283</v>
      </c>
      <c r="W316" s="169" t="str">
        <f t="shared" ca="1" si="694"/>
        <v>Completed</v>
      </c>
      <c r="X316" s="169" t="str">
        <f t="shared" ca="1" si="695"/>
        <v>Completed</v>
      </c>
      <c r="Y316" s="169" t="str">
        <f t="shared" ca="1" si="696"/>
        <v>Completed</v>
      </c>
      <c r="Z316" s="170" t="str">
        <f t="shared" ca="1" si="697"/>
        <v>Completed</v>
      </c>
    </row>
    <row r="317" spans="1:26" s="70" customFormat="1" ht="11.5" x14ac:dyDescent="0.25">
      <c r="A317" s="158" t="s">
        <v>66</v>
      </c>
      <c r="B317" s="158" t="s">
        <v>14</v>
      </c>
      <c r="C317" s="158" t="s">
        <v>966</v>
      </c>
      <c r="D317" s="158" t="s">
        <v>1217</v>
      </c>
      <c r="E317" s="159">
        <f t="shared" si="658"/>
        <v>0.79999999999999993</v>
      </c>
      <c r="F317" s="159">
        <f t="shared" si="659"/>
        <v>0.79999999999999993</v>
      </c>
      <c r="G317" s="159">
        <f t="shared" si="659"/>
        <v>1</v>
      </c>
      <c r="H317" s="159">
        <f t="shared" si="660"/>
        <v>0.20000000000000007</v>
      </c>
      <c r="I317" s="153">
        <v>2.5000000000000001E-2</v>
      </c>
      <c r="J317" s="155">
        <v>46199</v>
      </c>
      <c r="K317" s="155">
        <f t="shared" si="661"/>
        <v>46199</v>
      </c>
      <c r="L317" s="155">
        <v>46191</v>
      </c>
      <c r="M317" s="155">
        <f t="shared" si="662"/>
        <v>46241</v>
      </c>
      <c r="N317" s="155">
        <f t="shared" si="663"/>
        <v>46241</v>
      </c>
      <c r="O317" s="155">
        <v>46283</v>
      </c>
      <c r="P317" s="155">
        <f t="shared" si="664"/>
        <v>46283</v>
      </c>
      <c r="Q317" s="155">
        <f t="shared" si="665"/>
        <v>46283</v>
      </c>
      <c r="R317" s="155">
        <v>46283</v>
      </c>
      <c r="S317" s="155">
        <f t="shared" si="671"/>
        <v>46297</v>
      </c>
      <c r="T317" s="155">
        <f t="shared" si="666"/>
        <v>46297</v>
      </c>
      <c r="U317" s="155">
        <v>46283</v>
      </c>
      <c r="W317" s="169" t="str">
        <f t="shared" ca="1" si="694"/>
        <v>Completed</v>
      </c>
      <c r="X317" s="169" t="str">
        <f t="shared" ca="1" si="695"/>
        <v>Completed</v>
      </c>
      <c r="Y317" s="169" t="str">
        <f t="shared" ca="1" si="696"/>
        <v>Completed</v>
      </c>
      <c r="Z317" s="170" t="str">
        <f t="shared" ca="1" si="697"/>
        <v>Completed</v>
      </c>
    </row>
    <row r="318" spans="1:26" s="70" customFormat="1" ht="11.5" x14ac:dyDescent="0.25">
      <c r="A318" s="158" t="s">
        <v>66</v>
      </c>
      <c r="B318" s="158" t="s">
        <v>14</v>
      </c>
      <c r="C318" s="158" t="s">
        <v>967</v>
      </c>
      <c r="D318" s="158" t="s">
        <v>1218</v>
      </c>
      <c r="E318" s="159">
        <f t="shared" si="658"/>
        <v>0.79999999999999993</v>
      </c>
      <c r="F318" s="159">
        <f t="shared" si="659"/>
        <v>0.79999999999999993</v>
      </c>
      <c r="G318" s="159">
        <f t="shared" si="659"/>
        <v>1</v>
      </c>
      <c r="H318" s="159">
        <f t="shared" si="660"/>
        <v>0.20000000000000007</v>
      </c>
      <c r="I318" s="153">
        <v>2.5000000000000001E-2</v>
      </c>
      <c r="J318" s="155">
        <v>46199</v>
      </c>
      <c r="K318" s="155">
        <f t="shared" si="661"/>
        <v>46199</v>
      </c>
      <c r="L318" s="155">
        <v>46191</v>
      </c>
      <c r="M318" s="155">
        <f t="shared" si="662"/>
        <v>46241</v>
      </c>
      <c r="N318" s="155">
        <f t="shared" si="663"/>
        <v>46241</v>
      </c>
      <c r="O318" s="155">
        <v>46283</v>
      </c>
      <c r="P318" s="155">
        <f t="shared" si="664"/>
        <v>46283</v>
      </c>
      <c r="Q318" s="155">
        <f t="shared" si="665"/>
        <v>46283</v>
      </c>
      <c r="R318" s="155">
        <v>46283</v>
      </c>
      <c r="S318" s="155">
        <f t="shared" si="671"/>
        <v>46297</v>
      </c>
      <c r="T318" s="155">
        <f t="shared" si="666"/>
        <v>46297</v>
      </c>
      <c r="U318" s="155">
        <v>46283</v>
      </c>
      <c r="W318" s="169" t="str">
        <f t="shared" ca="1" si="694"/>
        <v>Completed</v>
      </c>
      <c r="X318" s="169" t="str">
        <f t="shared" ca="1" si="695"/>
        <v>Completed</v>
      </c>
      <c r="Y318" s="169" t="str">
        <f t="shared" ca="1" si="696"/>
        <v>Completed</v>
      </c>
      <c r="Z318" s="170" t="str">
        <f t="shared" ca="1" si="697"/>
        <v>Completed</v>
      </c>
    </row>
    <row r="319" spans="1:26" s="70" customFormat="1" ht="11.5" x14ac:dyDescent="0.25">
      <c r="A319" s="158" t="s">
        <v>66</v>
      </c>
      <c r="B319" s="158" t="s">
        <v>14</v>
      </c>
      <c r="C319" s="158" t="s">
        <v>968</v>
      </c>
      <c r="D319" s="158" t="s">
        <v>1219</v>
      </c>
      <c r="E319" s="159">
        <f t="shared" si="658"/>
        <v>0.79999999999999993</v>
      </c>
      <c r="F319" s="159">
        <f t="shared" si="659"/>
        <v>0.79999999999999993</v>
      </c>
      <c r="G319" s="159">
        <f t="shared" si="659"/>
        <v>1</v>
      </c>
      <c r="H319" s="159">
        <f t="shared" si="660"/>
        <v>0.20000000000000007</v>
      </c>
      <c r="I319" s="153">
        <v>2.5000000000000001E-2</v>
      </c>
      <c r="J319" s="155">
        <v>46199</v>
      </c>
      <c r="K319" s="155">
        <f t="shared" si="661"/>
        <v>46199</v>
      </c>
      <c r="L319" s="155">
        <v>46191</v>
      </c>
      <c r="M319" s="155">
        <f t="shared" si="662"/>
        <v>46241</v>
      </c>
      <c r="N319" s="155">
        <f t="shared" si="663"/>
        <v>46241</v>
      </c>
      <c r="O319" s="155">
        <v>46283</v>
      </c>
      <c r="P319" s="155">
        <f t="shared" si="664"/>
        <v>46283</v>
      </c>
      <c r="Q319" s="155">
        <f t="shared" si="665"/>
        <v>46283</v>
      </c>
      <c r="R319" s="155">
        <v>46283</v>
      </c>
      <c r="S319" s="155">
        <f t="shared" si="671"/>
        <v>46297</v>
      </c>
      <c r="T319" s="155">
        <f t="shared" si="666"/>
        <v>46297</v>
      </c>
      <c r="U319" s="155">
        <v>46283</v>
      </c>
      <c r="W319" s="169" t="str">
        <f t="shared" ca="1" si="694"/>
        <v>Completed</v>
      </c>
      <c r="X319" s="169" t="str">
        <f t="shared" ca="1" si="695"/>
        <v>Completed</v>
      </c>
      <c r="Y319" s="169" t="str">
        <f t="shared" ca="1" si="696"/>
        <v>Completed</v>
      </c>
      <c r="Z319" s="170" t="str">
        <f t="shared" ca="1" si="697"/>
        <v>Completed</v>
      </c>
    </row>
    <row r="320" spans="1:26" s="70" customFormat="1" ht="11.5" x14ac:dyDescent="0.25">
      <c r="A320" s="158" t="s">
        <v>66</v>
      </c>
      <c r="B320" s="158" t="s">
        <v>14</v>
      </c>
      <c r="C320" s="158" t="s">
        <v>969</v>
      </c>
      <c r="D320" s="158" t="s">
        <v>1220</v>
      </c>
      <c r="E320" s="159">
        <f t="shared" si="658"/>
        <v>0.79999999999999993</v>
      </c>
      <c r="F320" s="159">
        <f t="shared" si="659"/>
        <v>0.79999999999999993</v>
      </c>
      <c r="G320" s="159">
        <f t="shared" si="659"/>
        <v>1</v>
      </c>
      <c r="H320" s="159">
        <f t="shared" si="660"/>
        <v>0.20000000000000007</v>
      </c>
      <c r="I320" s="153">
        <v>2.5000000000000001E-2</v>
      </c>
      <c r="J320" s="155">
        <v>46199</v>
      </c>
      <c r="K320" s="155">
        <f t="shared" si="661"/>
        <v>46199</v>
      </c>
      <c r="L320" s="155">
        <v>46191</v>
      </c>
      <c r="M320" s="155">
        <f t="shared" si="662"/>
        <v>46241</v>
      </c>
      <c r="N320" s="155">
        <f t="shared" si="663"/>
        <v>46241</v>
      </c>
      <c r="O320" s="155">
        <v>46283</v>
      </c>
      <c r="P320" s="155">
        <f t="shared" si="664"/>
        <v>46283</v>
      </c>
      <c r="Q320" s="155">
        <f t="shared" si="665"/>
        <v>46283</v>
      </c>
      <c r="R320" s="155">
        <v>46283</v>
      </c>
      <c r="S320" s="155">
        <f t="shared" si="671"/>
        <v>46297</v>
      </c>
      <c r="T320" s="155">
        <f t="shared" si="666"/>
        <v>46297</v>
      </c>
      <c r="U320" s="155">
        <v>46283</v>
      </c>
      <c r="W320" s="169" t="str">
        <f t="shared" ca="1" si="694"/>
        <v>Completed</v>
      </c>
      <c r="X320" s="169" t="str">
        <f t="shared" ca="1" si="695"/>
        <v>Completed</v>
      </c>
      <c r="Y320" s="169" t="str">
        <f t="shared" ca="1" si="696"/>
        <v>Completed</v>
      </c>
      <c r="Z320" s="170" t="str">
        <f t="shared" ca="1" si="697"/>
        <v>Completed</v>
      </c>
    </row>
    <row r="321" spans="1:26" s="70" customFormat="1" ht="11.5" x14ac:dyDescent="0.25">
      <c r="A321" s="158" t="s">
        <v>66</v>
      </c>
      <c r="B321" s="158" t="s">
        <v>14</v>
      </c>
      <c r="C321" s="158" t="s">
        <v>970</v>
      </c>
      <c r="D321" s="158" t="s">
        <v>1221</v>
      </c>
      <c r="E321" s="159">
        <f t="shared" si="658"/>
        <v>0.79999999999999993</v>
      </c>
      <c r="F321" s="159">
        <f t="shared" si="659"/>
        <v>0.79999999999999993</v>
      </c>
      <c r="G321" s="159">
        <f t="shared" si="659"/>
        <v>1</v>
      </c>
      <c r="H321" s="159">
        <f t="shared" si="660"/>
        <v>0.20000000000000007</v>
      </c>
      <c r="I321" s="153">
        <v>2.5000000000000001E-2</v>
      </c>
      <c r="J321" s="155">
        <v>46199</v>
      </c>
      <c r="K321" s="155">
        <f t="shared" si="661"/>
        <v>46199</v>
      </c>
      <c r="L321" s="155">
        <v>46191</v>
      </c>
      <c r="M321" s="155">
        <f t="shared" si="662"/>
        <v>46241</v>
      </c>
      <c r="N321" s="155">
        <f t="shared" si="663"/>
        <v>46241</v>
      </c>
      <c r="O321" s="155">
        <v>46283</v>
      </c>
      <c r="P321" s="155">
        <f t="shared" si="664"/>
        <v>46283</v>
      </c>
      <c r="Q321" s="155">
        <f t="shared" si="665"/>
        <v>46283</v>
      </c>
      <c r="R321" s="155">
        <v>46283</v>
      </c>
      <c r="S321" s="155">
        <f t="shared" si="671"/>
        <v>46297</v>
      </c>
      <c r="T321" s="155">
        <f t="shared" si="666"/>
        <v>46297</v>
      </c>
      <c r="U321" s="155">
        <v>46283</v>
      </c>
      <c r="W321" s="169" t="str">
        <f t="shared" ca="1" si="694"/>
        <v>Completed</v>
      </c>
      <c r="X321" s="169" t="str">
        <f t="shared" ca="1" si="695"/>
        <v>Completed</v>
      </c>
      <c r="Y321" s="169" t="str">
        <f t="shared" ca="1" si="696"/>
        <v>Completed</v>
      </c>
      <c r="Z321" s="170" t="str">
        <f t="shared" ca="1" si="697"/>
        <v>Completed</v>
      </c>
    </row>
    <row r="322" spans="1:26" s="70" customFormat="1" ht="11.5" x14ac:dyDescent="0.25">
      <c r="A322" s="91" t="s">
        <v>66</v>
      </c>
      <c r="B322" s="91" t="s">
        <v>14</v>
      </c>
      <c r="C322" s="91" t="s">
        <v>331</v>
      </c>
      <c r="D322" s="91" t="s">
        <v>1222</v>
      </c>
      <c r="E322" s="93">
        <f t="shared" ref="E322:E325" si="706">(COUNTIFS(J322,"&lt;="&amp;$C$1)*50%)+(COUNTIFS(M322,"&lt;="&amp;$C$1)*20%)+(COUNTIFS(P322,"&lt;="&amp;$C$1)*10%)+(COUNTIFS(S322,"&lt;="&amp;$C$1)*20%)</f>
        <v>0.79999999999999993</v>
      </c>
      <c r="F322" s="93">
        <f t="shared" ref="F322:F325" si="707">(COUNTIFS(K322,"&lt;="&amp;$C$1)*50%)+(COUNTIFS(N322,"&lt;="&amp;$C$1)*20%)+(COUNTIFS(Q322,"&lt;="&amp;$C$1)*10%)+(COUNTIFS(T322,"&lt;="&amp;$C$1)*20%)</f>
        <v>0.79999999999999993</v>
      </c>
      <c r="G322" s="93">
        <f t="shared" ref="G322:G325" si="708">(COUNTIFS(L322,"&lt;="&amp;$C$1)*50%)+(COUNTIFS(O322,"&lt;="&amp;$C$1)*20%)+(COUNTIFS(R322,"&lt;="&amp;$C$1)*10%)+(COUNTIFS(U322,"&lt;="&amp;$C$1)*20%)</f>
        <v>0.7</v>
      </c>
      <c r="H322" s="93">
        <f t="shared" ref="H322:H325" si="709">G322-E322</f>
        <v>-9.9999999999999978E-2</v>
      </c>
      <c r="I322" s="95">
        <v>2.1999999999999999E-2</v>
      </c>
      <c r="J322" s="89">
        <v>46199</v>
      </c>
      <c r="K322" s="89">
        <f t="shared" ref="K322:K325" si="710">J322</f>
        <v>46199</v>
      </c>
      <c r="L322" s="89">
        <v>46142</v>
      </c>
      <c r="M322" s="89">
        <f t="shared" ref="M322:M325" si="711">J322+42</f>
        <v>46241</v>
      </c>
      <c r="N322" s="89">
        <f t="shared" ref="N322:N325" si="712">M322</f>
        <v>46241</v>
      </c>
      <c r="O322" s="89">
        <v>46255</v>
      </c>
      <c r="P322" s="89">
        <f t="shared" ref="P322:P325" si="713">M322+42</f>
        <v>46283</v>
      </c>
      <c r="Q322" s="89">
        <f t="shared" ref="Q322:Q325" si="714">P322</f>
        <v>46283</v>
      </c>
      <c r="R322" s="89"/>
      <c r="S322" s="89">
        <f t="shared" ref="S322:S325" si="715">P322+14</f>
        <v>46297</v>
      </c>
      <c r="T322" s="89">
        <f t="shared" ref="T322:T325" si="716">S322</f>
        <v>46297</v>
      </c>
      <c r="U322" s="89"/>
      <c r="W322" s="169" t="str">
        <f t="shared" ref="W322:W325" ca="1" si="717">IF(OR(L322&lt;&gt;""),"Completed",
IF(K322="","",IF(K322&lt;TODAY(),"Overdue",
IF(AND(K322&gt;=TODAY()-WEEKDAY(TODAY(),2)+1,K322&lt;=TODAY()-WEEKDAY(TODAY(),2)+7),"Follow-This Week",
IF(AND(K322&gt;=TODAY()-WEEKDAY(TODAY(),2)+8,K322&lt;=TODAY()-WEEKDAY(TODAY(),2)+14),"Follow-Next Week","")))))</f>
        <v>Completed</v>
      </c>
      <c r="X322" s="169" t="str">
        <f t="shared" ref="X322:X325" ca="1" si="718">IF(OR(O322&lt;&gt;""),"Completed",IF(N322="","",
IF(N322&lt;TODAY(),"Overdue",
IF(AND(N322&gt;=TODAY()-WEEKDAY(TODAY(),2)+1,N322&lt;=TODAY()-WEEKDAY(TODAY(),2)+7),"Follow-This Week",
IF(AND(N322&gt;=TODAY()-WEEKDAY(TODAY(),2)+8,N322&lt;=TODAY()-WEEKDAY(TODAY(),2)+14),"Follow-Next Week","")))))</f>
        <v>Completed</v>
      </c>
      <c r="Y322" s="169" t="str">
        <f t="shared" ref="Y322:Y325" ca="1" si="719">IF(OR(R322&lt;&gt;""),"Completed",IF(Q322="","",
IF(Q322&lt;TODAY(),"Overdue",
IF(AND(Q322&gt;=TODAY()-WEEKDAY(TODAY(),2)+1,Q322&lt;=TODAY()-WEEKDAY(TODAY(),2)+7),"Follow-This Week",
IF(AND(Q322&gt;=TODAY()-WEEKDAY(TODAY(),2)+8,Q322&lt;=TODAY()-WEEKDAY(TODAY(),2)+14),"Follow-Next Week","")))))</f>
        <v>Overdue</v>
      </c>
      <c r="Z322" s="170" t="str">
        <f t="shared" ref="Z322:Z325" ca="1" si="720">IF(OR(U322&lt;&gt;""),"Completed",IF(T322="","",
IF(T322&lt;TODAY(),"Overdue",
IF(AND(T322&gt;=TODAY()-WEEKDAY(TODAY(),2)+1,T322&lt;=TODAY()-WEEKDAY(TODAY(),2)+7),"Follow-This Week",
IF(AND(T322&gt;=TODAY()-WEEKDAY(TODAY(),2)+8,T322&lt;=TODAY()-WEEKDAY(TODAY(),2)+14),"Follow-Next Week","")))))</f>
        <v/>
      </c>
    </row>
    <row r="323" spans="1:26" s="70" customFormat="1" ht="11.5" x14ac:dyDescent="0.25">
      <c r="A323" s="91" t="s">
        <v>66</v>
      </c>
      <c r="B323" s="91" t="s">
        <v>14</v>
      </c>
      <c r="C323" s="91" t="s">
        <v>332</v>
      </c>
      <c r="D323" s="91" t="s">
        <v>1223</v>
      </c>
      <c r="E323" s="93">
        <f t="shared" si="706"/>
        <v>0.79999999999999993</v>
      </c>
      <c r="F323" s="93">
        <f t="shared" si="707"/>
        <v>0.79999999999999993</v>
      </c>
      <c r="G323" s="93">
        <f t="shared" si="708"/>
        <v>0.7</v>
      </c>
      <c r="H323" s="93">
        <f t="shared" si="709"/>
        <v>-9.9999999999999978E-2</v>
      </c>
      <c r="I323" s="95">
        <v>2.1999999999999999E-2</v>
      </c>
      <c r="J323" s="89">
        <v>46199</v>
      </c>
      <c r="K323" s="89">
        <f t="shared" si="710"/>
        <v>46199</v>
      </c>
      <c r="L323" s="89">
        <v>46142</v>
      </c>
      <c r="M323" s="89">
        <f t="shared" si="711"/>
        <v>46241</v>
      </c>
      <c r="N323" s="89">
        <f t="shared" si="712"/>
        <v>46241</v>
      </c>
      <c r="O323" s="89">
        <v>46255</v>
      </c>
      <c r="P323" s="89">
        <f t="shared" si="713"/>
        <v>46283</v>
      </c>
      <c r="Q323" s="89">
        <f t="shared" si="714"/>
        <v>46283</v>
      </c>
      <c r="R323" s="89"/>
      <c r="S323" s="89">
        <f t="shared" si="715"/>
        <v>46297</v>
      </c>
      <c r="T323" s="89">
        <f t="shared" si="716"/>
        <v>46297</v>
      </c>
      <c r="U323" s="89"/>
      <c r="W323" s="169" t="str">
        <f t="shared" ca="1" si="717"/>
        <v>Completed</v>
      </c>
      <c r="X323" s="169" t="str">
        <f t="shared" ca="1" si="718"/>
        <v>Completed</v>
      </c>
      <c r="Y323" s="169" t="str">
        <f t="shared" ca="1" si="719"/>
        <v>Overdue</v>
      </c>
      <c r="Z323" s="170" t="str">
        <f t="shared" ca="1" si="720"/>
        <v/>
      </c>
    </row>
    <row r="324" spans="1:26" s="70" customFormat="1" ht="11.5" x14ac:dyDescent="0.25">
      <c r="A324" s="91" t="s">
        <v>66</v>
      </c>
      <c r="B324" s="91" t="s">
        <v>14</v>
      </c>
      <c r="C324" s="91" t="s">
        <v>962</v>
      </c>
      <c r="D324" s="91" t="s">
        <v>1224</v>
      </c>
      <c r="E324" s="93">
        <f t="shared" si="706"/>
        <v>0.79999999999999993</v>
      </c>
      <c r="F324" s="93">
        <f t="shared" si="707"/>
        <v>0.79999999999999993</v>
      </c>
      <c r="G324" s="93">
        <f t="shared" si="708"/>
        <v>0.7</v>
      </c>
      <c r="H324" s="93">
        <f t="shared" si="709"/>
        <v>-9.9999999999999978E-2</v>
      </c>
      <c r="I324" s="95">
        <v>2.1999999999999999E-2</v>
      </c>
      <c r="J324" s="89">
        <v>46199</v>
      </c>
      <c r="K324" s="89">
        <f t="shared" si="710"/>
        <v>46199</v>
      </c>
      <c r="L324" s="89">
        <v>46191</v>
      </c>
      <c r="M324" s="89">
        <f t="shared" si="711"/>
        <v>46241</v>
      </c>
      <c r="N324" s="89">
        <f t="shared" si="712"/>
        <v>46241</v>
      </c>
      <c r="O324" s="89">
        <v>46266</v>
      </c>
      <c r="P324" s="89">
        <f t="shared" si="713"/>
        <v>46283</v>
      </c>
      <c r="Q324" s="89">
        <f t="shared" si="714"/>
        <v>46283</v>
      </c>
      <c r="R324" s="89"/>
      <c r="S324" s="89">
        <f t="shared" si="715"/>
        <v>46297</v>
      </c>
      <c r="T324" s="89">
        <f t="shared" si="716"/>
        <v>46297</v>
      </c>
      <c r="U324" s="89"/>
      <c r="W324" s="169" t="str">
        <f t="shared" ca="1" si="717"/>
        <v>Completed</v>
      </c>
      <c r="X324" s="169" t="str">
        <f t="shared" ca="1" si="718"/>
        <v>Completed</v>
      </c>
      <c r="Y324" s="169" t="str">
        <f t="shared" ca="1" si="719"/>
        <v>Overdue</v>
      </c>
      <c r="Z324" s="170" t="str">
        <f t="shared" ca="1" si="720"/>
        <v/>
      </c>
    </row>
    <row r="325" spans="1:26" s="70" customFormat="1" ht="11.5" x14ac:dyDescent="0.25">
      <c r="A325" s="91" t="s">
        <v>66</v>
      </c>
      <c r="B325" s="91" t="s">
        <v>14</v>
      </c>
      <c r="C325" s="91" t="s">
        <v>963</v>
      </c>
      <c r="D325" s="91" t="s">
        <v>1225</v>
      </c>
      <c r="E325" s="93">
        <f t="shared" si="706"/>
        <v>0.79999999999999993</v>
      </c>
      <c r="F325" s="93">
        <f t="shared" si="707"/>
        <v>0.79999999999999993</v>
      </c>
      <c r="G325" s="93">
        <f t="shared" si="708"/>
        <v>0.7</v>
      </c>
      <c r="H325" s="93">
        <f t="shared" si="709"/>
        <v>-9.9999999999999978E-2</v>
      </c>
      <c r="I325" s="95">
        <v>2.1999999999999999E-2</v>
      </c>
      <c r="J325" s="89">
        <v>46199</v>
      </c>
      <c r="K325" s="89">
        <f t="shared" si="710"/>
        <v>46199</v>
      </c>
      <c r="L325" s="89">
        <v>46191</v>
      </c>
      <c r="M325" s="89">
        <f t="shared" si="711"/>
        <v>46241</v>
      </c>
      <c r="N325" s="89">
        <f t="shared" si="712"/>
        <v>46241</v>
      </c>
      <c r="O325" s="89">
        <v>46266</v>
      </c>
      <c r="P325" s="89">
        <f t="shared" si="713"/>
        <v>46283</v>
      </c>
      <c r="Q325" s="89">
        <f t="shared" si="714"/>
        <v>46283</v>
      </c>
      <c r="R325" s="89"/>
      <c r="S325" s="89">
        <f t="shared" si="715"/>
        <v>46297</v>
      </c>
      <c r="T325" s="89">
        <f t="shared" si="716"/>
        <v>46297</v>
      </c>
      <c r="U325" s="89"/>
      <c r="W325" s="169" t="str">
        <f t="shared" ca="1" si="717"/>
        <v>Completed</v>
      </c>
      <c r="X325" s="169" t="str">
        <f t="shared" ca="1" si="718"/>
        <v>Completed</v>
      </c>
      <c r="Y325" s="169" t="str">
        <f t="shared" ca="1" si="719"/>
        <v>Overdue</v>
      </c>
      <c r="Z325" s="170" t="str">
        <f t="shared" ca="1" si="720"/>
        <v/>
      </c>
    </row>
    <row r="326" spans="1:26" s="70" customFormat="1" ht="11.5" x14ac:dyDescent="0.25">
      <c r="A326" s="91" t="s">
        <v>66</v>
      </c>
      <c r="B326" s="91" t="s">
        <v>14</v>
      </c>
      <c r="C326" s="91" t="s">
        <v>964</v>
      </c>
      <c r="D326" s="91" t="s">
        <v>1226</v>
      </c>
      <c r="E326" s="93">
        <f t="shared" si="658"/>
        <v>0.79999999999999993</v>
      </c>
      <c r="F326" s="93">
        <f t="shared" si="659"/>
        <v>0.79999999999999993</v>
      </c>
      <c r="G326" s="93">
        <f t="shared" si="659"/>
        <v>0.5</v>
      </c>
      <c r="H326" s="93">
        <f t="shared" si="660"/>
        <v>-0.29999999999999993</v>
      </c>
      <c r="I326" s="95">
        <v>2.1999999999999999E-2</v>
      </c>
      <c r="J326" s="89">
        <v>46199</v>
      </c>
      <c r="K326" s="89">
        <f t="shared" ref="K326:K335" si="721">J326</f>
        <v>46199</v>
      </c>
      <c r="L326" s="89">
        <v>46191</v>
      </c>
      <c r="M326" s="89">
        <f t="shared" ref="M326:M335" si="722">J326+42</f>
        <v>46241</v>
      </c>
      <c r="N326" s="89">
        <f t="shared" ref="N326:N335" si="723">M326</f>
        <v>46241</v>
      </c>
      <c r="O326" s="89"/>
      <c r="P326" s="89">
        <f t="shared" ref="P326:P335" si="724">M326+42</f>
        <v>46283</v>
      </c>
      <c r="Q326" s="89">
        <f t="shared" ref="Q326:Q335" si="725">P326</f>
        <v>46283</v>
      </c>
      <c r="R326" s="89"/>
      <c r="S326" s="89">
        <f t="shared" ref="S326:S335" si="726">P326+14</f>
        <v>46297</v>
      </c>
      <c r="T326" s="89">
        <f t="shared" ref="T326:T335" si="727">S326</f>
        <v>46297</v>
      </c>
      <c r="U326" s="89"/>
      <c r="W326" s="169" t="str">
        <f t="shared" ref="W326:W335" ca="1" si="728">IF(OR(L326&lt;&gt;""),"Completed",
IF(K326="","",IF(K326&lt;TODAY(),"Overdue",
IF(AND(K326&gt;=TODAY()-WEEKDAY(TODAY(),2)+1,K326&lt;=TODAY()-WEEKDAY(TODAY(),2)+7),"Follow-This Week",
IF(AND(K326&gt;=TODAY()-WEEKDAY(TODAY(),2)+8,K326&lt;=TODAY()-WEEKDAY(TODAY(),2)+14),"Follow-Next Week","")))))</f>
        <v>Completed</v>
      </c>
      <c r="X326" s="169" t="str">
        <f t="shared" ref="X326:X335" ca="1" si="729">IF(OR(O326&lt;&gt;""),"Completed",IF(N326="","",
IF(N326&lt;TODAY(),"Overdue",
IF(AND(N326&gt;=TODAY()-WEEKDAY(TODAY(),2)+1,N326&lt;=TODAY()-WEEKDAY(TODAY(),2)+7),"Follow-This Week",
IF(AND(N326&gt;=TODAY()-WEEKDAY(TODAY(),2)+8,N326&lt;=TODAY()-WEEKDAY(TODAY(),2)+14),"Follow-Next Week","")))))</f>
        <v>Overdue</v>
      </c>
      <c r="Y326" s="169" t="str">
        <f t="shared" ref="Y326:Y335" ca="1" si="730">IF(OR(R326&lt;&gt;""),"Completed",IF(Q326="","",
IF(Q326&lt;TODAY(),"Overdue",
IF(AND(Q326&gt;=TODAY()-WEEKDAY(TODAY(),2)+1,Q326&lt;=TODAY()-WEEKDAY(TODAY(),2)+7),"Follow-This Week",
IF(AND(Q326&gt;=TODAY()-WEEKDAY(TODAY(),2)+8,Q326&lt;=TODAY()-WEEKDAY(TODAY(),2)+14),"Follow-Next Week","")))))</f>
        <v>Overdue</v>
      </c>
      <c r="Z326" s="170" t="str">
        <f t="shared" ref="Z326:Z335" ca="1" si="731">IF(OR(U326&lt;&gt;""),"Completed",IF(T326="","",
IF(T326&lt;TODAY(),"Overdue",
IF(AND(T326&gt;=TODAY()-WEEKDAY(TODAY(),2)+1,T326&lt;=TODAY()-WEEKDAY(TODAY(),2)+7),"Follow-This Week",
IF(AND(T326&gt;=TODAY()-WEEKDAY(TODAY(),2)+8,T326&lt;=TODAY()-WEEKDAY(TODAY(),2)+14),"Follow-Next Week","")))))</f>
        <v/>
      </c>
    </row>
    <row r="327" spans="1:26" s="70" customFormat="1" ht="11.5" x14ac:dyDescent="0.25">
      <c r="A327" s="91" t="s">
        <v>66</v>
      </c>
      <c r="B327" s="91" t="s">
        <v>14</v>
      </c>
      <c r="C327" s="91" t="s">
        <v>965</v>
      </c>
      <c r="D327" s="91" t="s">
        <v>1227</v>
      </c>
      <c r="E327" s="93">
        <f t="shared" ref="E327:E335" si="732">(COUNTIFS(J327,"&lt;="&amp;$C$1)*50%)+(COUNTIFS(M327,"&lt;="&amp;$C$1)*20%)+(COUNTIFS(P327,"&lt;="&amp;$C$1)*10%)+(COUNTIFS(S327,"&lt;="&amp;$C$1)*20%)</f>
        <v>0.79999999999999993</v>
      </c>
      <c r="F327" s="93">
        <f t="shared" ref="F327:F335" si="733">(COUNTIFS(K327,"&lt;="&amp;$C$1)*50%)+(COUNTIFS(N327,"&lt;="&amp;$C$1)*20%)+(COUNTIFS(Q327,"&lt;="&amp;$C$1)*10%)+(COUNTIFS(T327,"&lt;="&amp;$C$1)*20%)</f>
        <v>0.79999999999999993</v>
      </c>
      <c r="G327" s="93">
        <f t="shared" ref="G327:G335" si="734">(COUNTIFS(L327,"&lt;="&amp;$C$1)*50%)+(COUNTIFS(O327,"&lt;="&amp;$C$1)*20%)+(COUNTIFS(R327,"&lt;="&amp;$C$1)*10%)+(COUNTIFS(U327,"&lt;="&amp;$C$1)*20%)</f>
        <v>0.5</v>
      </c>
      <c r="H327" s="93">
        <f t="shared" ref="H327:H335" si="735">G327-E327</f>
        <v>-0.29999999999999993</v>
      </c>
      <c r="I327" s="95">
        <v>2.1999999999999999E-2</v>
      </c>
      <c r="J327" s="89">
        <v>46199</v>
      </c>
      <c r="K327" s="89">
        <f t="shared" si="721"/>
        <v>46199</v>
      </c>
      <c r="L327" s="89">
        <v>46191</v>
      </c>
      <c r="M327" s="89">
        <f t="shared" si="722"/>
        <v>46241</v>
      </c>
      <c r="N327" s="89">
        <f t="shared" si="723"/>
        <v>46241</v>
      </c>
      <c r="O327" s="89"/>
      <c r="P327" s="89">
        <f t="shared" si="724"/>
        <v>46283</v>
      </c>
      <c r="Q327" s="89">
        <f t="shared" si="725"/>
        <v>46283</v>
      </c>
      <c r="R327" s="89"/>
      <c r="S327" s="89">
        <f t="shared" si="726"/>
        <v>46297</v>
      </c>
      <c r="T327" s="89">
        <f t="shared" si="727"/>
        <v>46297</v>
      </c>
      <c r="U327" s="89"/>
      <c r="W327" s="169" t="str">
        <f t="shared" ca="1" si="728"/>
        <v>Completed</v>
      </c>
      <c r="X327" s="169" t="str">
        <f t="shared" ca="1" si="729"/>
        <v>Overdue</v>
      </c>
      <c r="Y327" s="169" t="str">
        <f t="shared" ca="1" si="730"/>
        <v>Overdue</v>
      </c>
      <c r="Z327" s="170" t="str">
        <f t="shared" ca="1" si="731"/>
        <v/>
      </c>
    </row>
    <row r="328" spans="1:26" s="70" customFormat="1" ht="11.5" x14ac:dyDescent="0.25">
      <c r="A328" s="91" t="s">
        <v>66</v>
      </c>
      <c r="B328" s="91" t="s">
        <v>14</v>
      </c>
      <c r="C328" s="91" t="s">
        <v>966</v>
      </c>
      <c r="D328" s="91" t="s">
        <v>1228</v>
      </c>
      <c r="E328" s="93">
        <f t="shared" si="732"/>
        <v>0.79999999999999993</v>
      </c>
      <c r="F328" s="93">
        <f t="shared" si="733"/>
        <v>0.79999999999999993</v>
      </c>
      <c r="G328" s="93">
        <f t="shared" si="734"/>
        <v>0.5</v>
      </c>
      <c r="H328" s="93">
        <f t="shared" si="735"/>
        <v>-0.29999999999999993</v>
      </c>
      <c r="I328" s="95">
        <v>2.1999999999999999E-2</v>
      </c>
      <c r="J328" s="89">
        <v>46199</v>
      </c>
      <c r="K328" s="89">
        <f t="shared" si="721"/>
        <v>46199</v>
      </c>
      <c r="L328" s="89">
        <v>46191</v>
      </c>
      <c r="M328" s="89">
        <f t="shared" si="722"/>
        <v>46241</v>
      </c>
      <c r="N328" s="89">
        <f t="shared" si="723"/>
        <v>46241</v>
      </c>
      <c r="O328" s="89"/>
      <c r="P328" s="89">
        <f t="shared" si="724"/>
        <v>46283</v>
      </c>
      <c r="Q328" s="89">
        <f t="shared" si="725"/>
        <v>46283</v>
      </c>
      <c r="R328" s="89"/>
      <c r="S328" s="89">
        <f t="shared" si="726"/>
        <v>46297</v>
      </c>
      <c r="T328" s="89">
        <f t="shared" si="727"/>
        <v>46297</v>
      </c>
      <c r="U328" s="89"/>
      <c r="W328" s="169" t="str">
        <f t="shared" ca="1" si="728"/>
        <v>Completed</v>
      </c>
      <c r="X328" s="169" t="str">
        <f t="shared" ca="1" si="729"/>
        <v>Overdue</v>
      </c>
      <c r="Y328" s="169" t="str">
        <f t="shared" ca="1" si="730"/>
        <v>Overdue</v>
      </c>
      <c r="Z328" s="170" t="str">
        <f t="shared" ca="1" si="731"/>
        <v/>
      </c>
    </row>
    <row r="329" spans="1:26" s="70" customFormat="1" ht="11.5" x14ac:dyDescent="0.25">
      <c r="A329" s="91" t="s">
        <v>66</v>
      </c>
      <c r="B329" s="91" t="s">
        <v>14</v>
      </c>
      <c r="C329" s="91" t="s">
        <v>967</v>
      </c>
      <c r="D329" s="91" t="s">
        <v>1229</v>
      </c>
      <c r="E329" s="93">
        <f t="shared" si="732"/>
        <v>0.79999999999999993</v>
      </c>
      <c r="F329" s="93">
        <f t="shared" si="733"/>
        <v>0.79999999999999993</v>
      </c>
      <c r="G329" s="93">
        <f t="shared" si="734"/>
        <v>0.5</v>
      </c>
      <c r="H329" s="93">
        <f t="shared" si="735"/>
        <v>-0.29999999999999993</v>
      </c>
      <c r="I329" s="95">
        <v>2.1999999999999999E-2</v>
      </c>
      <c r="J329" s="89">
        <v>46199</v>
      </c>
      <c r="K329" s="89">
        <f t="shared" si="721"/>
        <v>46199</v>
      </c>
      <c r="L329" s="89">
        <v>46191</v>
      </c>
      <c r="M329" s="89">
        <f t="shared" si="722"/>
        <v>46241</v>
      </c>
      <c r="N329" s="89">
        <f t="shared" si="723"/>
        <v>46241</v>
      </c>
      <c r="O329" s="89"/>
      <c r="P329" s="89">
        <f t="shared" si="724"/>
        <v>46283</v>
      </c>
      <c r="Q329" s="89">
        <f t="shared" si="725"/>
        <v>46283</v>
      </c>
      <c r="R329" s="89"/>
      <c r="S329" s="89">
        <f t="shared" si="726"/>
        <v>46297</v>
      </c>
      <c r="T329" s="89">
        <f t="shared" si="727"/>
        <v>46297</v>
      </c>
      <c r="U329" s="89"/>
      <c r="W329" s="169" t="str">
        <f t="shared" ca="1" si="728"/>
        <v>Completed</v>
      </c>
      <c r="X329" s="169" t="str">
        <f t="shared" ca="1" si="729"/>
        <v>Overdue</v>
      </c>
      <c r="Y329" s="169" t="str">
        <f t="shared" ca="1" si="730"/>
        <v>Overdue</v>
      </c>
      <c r="Z329" s="170" t="str">
        <f t="shared" ca="1" si="731"/>
        <v/>
      </c>
    </row>
    <row r="330" spans="1:26" s="70" customFormat="1" ht="11.5" x14ac:dyDescent="0.25">
      <c r="A330" s="91" t="s">
        <v>66</v>
      </c>
      <c r="B330" s="91" t="s">
        <v>14</v>
      </c>
      <c r="C330" s="91" t="s">
        <v>968</v>
      </c>
      <c r="D330" s="91" t="s">
        <v>1230</v>
      </c>
      <c r="E330" s="93">
        <f t="shared" si="732"/>
        <v>0.79999999999999993</v>
      </c>
      <c r="F330" s="93">
        <f t="shared" si="733"/>
        <v>0.79999999999999993</v>
      </c>
      <c r="G330" s="93">
        <f t="shared" si="734"/>
        <v>0.5</v>
      </c>
      <c r="H330" s="93">
        <f t="shared" si="735"/>
        <v>-0.29999999999999993</v>
      </c>
      <c r="I330" s="95">
        <v>2.1999999999999999E-2</v>
      </c>
      <c r="J330" s="89">
        <v>46199</v>
      </c>
      <c r="K330" s="89">
        <f t="shared" si="721"/>
        <v>46199</v>
      </c>
      <c r="L330" s="89">
        <v>46191</v>
      </c>
      <c r="M330" s="89">
        <f t="shared" si="722"/>
        <v>46241</v>
      </c>
      <c r="N330" s="89">
        <f t="shared" si="723"/>
        <v>46241</v>
      </c>
      <c r="O330" s="89"/>
      <c r="P330" s="89">
        <f t="shared" si="724"/>
        <v>46283</v>
      </c>
      <c r="Q330" s="89">
        <f t="shared" si="725"/>
        <v>46283</v>
      </c>
      <c r="R330" s="89"/>
      <c r="S330" s="89">
        <f t="shared" si="726"/>
        <v>46297</v>
      </c>
      <c r="T330" s="89">
        <f t="shared" si="727"/>
        <v>46297</v>
      </c>
      <c r="U330" s="89"/>
      <c r="W330" s="169" t="str">
        <f t="shared" ca="1" si="728"/>
        <v>Completed</v>
      </c>
      <c r="X330" s="169" t="str">
        <f t="shared" ca="1" si="729"/>
        <v>Overdue</v>
      </c>
      <c r="Y330" s="169" t="str">
        <f t="shared" ca="1" si="730"/>
        <v>Overdue</v>
      </c>
      <c r="Z330" s="170" t="str">
        <f t="shared" ca="1" si="731"/>
        <v/>
      </c>
    </row>
    <row r="331" spans="1:26" s="70" customFormat="1" ht="11.5" x14ac:dyDescent="0.25">
      <c r="A331" s="91" t="s">
        <v>66</v>
      </c>
      <c r="B331" s="91" t="s">
        <v>14</v>
      </c>
      <c r="C331" s="91" t="s">
        <v>969</v>
      </c>
      <c r="D331" s="91" t="s">
        <v>1231</v>
      </c>
      <c r="E331" s="93">
        <f t="shared" si="732"/>
        <v>0.79999999999999993</v>
      </c>
      <c r="F331" s="93">
        <f t="shared" si="733"/>
        <v>0.79999999999999993</v>
      </c>
      <c r="G331" s="93">
        <f t="shared" si="734"/>
        <v>0.5</v>
      </c>
      <c r="H331" s="93">
        <f t="shared" si="735"/>
        <v>-0.29999999999999993</v>
      </c>
      <c r="I331" s="95">
        <v>2.1999999999999999E-2</v>
      </c>
      <c r="J331" s="89">
        <v>46199</v>
      </c>
      <c r="K331" s="89">
        <f t="shared" si="721"/>
        <v>46199</v>
      </c>
      <c r="L331" s="89">
        <v>46191</v>
      </c>
      <c r="M331" s="89">
        <f t="shared" si="722"/>
        <v>46241</v>
      </c>
      <c r="N331" s="89">
        <f t="shared" si="723"/>
        <v>46241</v>
      </c>
      <c r="O331" s="89"/>
      <c r="P331" s="89">
        <f t="shared" si="724"/>
        <v>46283</v>
      </c>
      <c r="Q331" s="89">
        <f t="shared" si="725"/>
        <v>46283</v>
      </c>
      <c r="R331" s="89"/>
      <c r="S331" s="89">
        <f t="shared" si="726"/>
        <v>46297</v>
      </c>
      <c r="T331" s="89">
        <f t="shared" si="727"/>
        <v>46297</v>
      </c>
      <c r="U331" s="89"/>
      <c r="W331" s="169" t="str">
        <f t="shared" ca="1" si="728"/>
        <v>Completed</v>
      </c>
      <c r="X331" s="169" t="str">
        <f t="shared" ca="1" si="729"/>
        <v>Overdue</v>
      </c>
      <c r="Y331" s="169" t="str">
        <f t="shared" ca="1" si="730"/>
        <v>Overdue</v>
      </c>
      <c r="Z331" s="170" t="str">
        <f t="shared" ca="1" si="731"/>
        <v/>
      </c>
    </row>
    <row r="332" spans="1:26" s="70" customFormat="1" ht="11.5" x14ac:dyDescent="0.25">
      <c r="A332" s="91" t="s">
        <v>66</v>
      </c>
      <c r="B332" s="91" t="s">
        <v>14</v>
      </c>
      <c r="C332" s="91" t="s">
        <v>970</v>
      </c>
      <c r="D332" s="91" t="s">
        <v>1232</v>
      </c>
      <c r="E332" s="93">
        <f t="shared" si="732"/>
        <v>0.79999999999999993</v>
      </c>
      <c r="F332" s="93">
        <f t="shared" si="733"/>
        <v>0.79999999999999993</v>
      </c>
      <c r="G332" s="93">
        <f t="shared" si="734"/>
        <v>0.5</v>
      </c>
      <c r="H332" s="93">
        <f t="shared" si="735"/>
        <v>-0.29999999999999993</v>
      </c>
      <c r="I332" s="95">
        <v>2.1999999999999999E-2</v>
      </c>
      <c r="J332" s="89">
        <v>46199</v>
      </c>
      <c r="K332" s="89">
        <f t="shared" si="721"/>
        <v>46199</v>
      </c>
      <c r="L332" s="89">
        <v>46191</v>
      </c>
      <c r="M332" s="89">
        <f t="shared" si="722"/>
        <v>46241</v>
      </c>
      <c r="N332" s="89">
        <f t="shared" si="723"/>
        <v>46241</v>
      </c>
      <c r="O332" s="89"/>
      <c r="P332" s="89">
        <f t="shared" si="724"/>
        <v>46283</v>
      </c>
      <c r="Q332" s="89">
        <f t="shared" si="725"/>
        <v>46283</v>
      </c>
      <c r="R332" s="89"/>
      <c r="S332" s="89">
        <f t="shared" si="726"/>
        <v>46297</v>
      </c>
      <c r="T332" s="89">
        <f t="shared" si="727"/>
        <v>46297</v>
      </c>
      <c r="U332" s="89"/>
      <c r="W332" s="169" t="str">
        <f t="shared" ca="1" si="728"/>
        <v>Completed</v>
      </c>
      <c r="X332" s="169" t="str">
        <f t="shared" ca="1" si="729"/>
        <v>Overdue</v>
      </c>
      <c r="Y332" s="169" t="str">
        <f t="shared" ca="1" si="730"/>
        <v>Overdue</v>
      </c>
      <c r="Z332" s="170" t="str">
        <f t="shared" ca="1" si="731"/>
        <v/>
      </c>
    </row>
    <row r="333" spans="1:26" s="70" customFormat="1" ht="11.5" x14ac:dyDescent="0.25">
      <c r="A333" s="158" t="s">
        <v>66</v>
      </c>
      <c r="B333" s="158" t="s">
        <v>14</v>
      </c>
      <c r="C333" s="158" t="s">
        <v>333</v>
      </c>
      <c r="D333" s="158" t="s">
        <v>1210</v>
      </c>
      <c r="E333" s="159">
        <f t="shared" si="732"/>
        <v>0.7</v>
      </c>
      <c r="F333" s="159">
        <f t="shared" si="733"/>
        <v>0.7</v>
      </c>
      <c r="G333" s="159">
        <f t="shared" si="734"/>
        <v>1</v>
      </c>
      <c r="H333" s="159">
        <f t="shared" si="735"/>
        <v>0.30000000000000004</v>
      </c>
      <c r="I333" s="153">
        <v>0.03</v>
      </c>
      <c r="J333" s="155">
        <v>46206</v>
      </c>
      <c r="K333" s="155">
        <f t="shared" si="721"/>
        <v>46206</v>
      </c>
      <c r="L333" s="155">
        <v>46283</v>
      </c>
      <c r="M333" s="155">
        <f t="shared" si="722"/>
        <v>46248</v>
      </c>
      <c r="N333" s="155">
        <f t="shared" si="723"/>
        <v>46248</v>
      </c>
      <c r="O333" s="155">
        <v>46283</v>
      </c>
      <c r="P333" s="155">
        <f t="shared" si="724"/>
        <v>46290</v>
      </c>
      <c r="Q333" s="155">
        <f t="shared" si="725"/>
        <v>46290</v>
      </c>
      <c r="R333" s="155">
        <v>46283</v>
      </c>
      <c r="S333" s="155">
        <f t="shared" si="726"/>
        <v>46304</v>
      </c>
      <c r="T333" s="155">
        <f t="shared" si="727"/>
        <v>46304</v>
      </c>
      <c r="U333" s="155">
        <v>46283</v>
      </c>
      <c r="W333" s="169" t="str">
        <f t="shared" ca="1" si="728"/>
        <v>Completed</v>
      </c>
      <c r="X333" s="169" t="str">
        <f t="shared" ca="1" si="729"/>
        <v>Completed</v>
      </c>
      <c r="Y333" s="169" t="str">
        <f t="shared" ca="1" si="730"/>
        <v>Completed</v>
      </c>
      <c r="Z333" s="170" t="str">
        <f t="shared" ca="1" si="731"/>
        <v>Completed</v>
      </c>
    </row>
    <row r="334" spans="1:26" s="70" customFormat="1" ht="11.5" x14ac:dyDescent="0.25">
      <c r="A334" s="158" t="s">
        <v>66</v>
      </c>
      <c r="B334" s="158" t="s">
        <v>14</v>
      </c>
      <c r="C334" s="158" t="s">
        <v>335</v>
      </c>
      <c r="D334" s="158" t="s">
        <v>336</v>
      </c>
      <c r="E334" s="159">
        <f t="shared" si="732"/>
        <v>0.7</v>
      </c>
      <c r="F334" s="159">
        <f t="shared" si="733"/>
        <v>0.7</v>
      </c>
      <c r="G334" s="159">
        <f t="shared" si="734"/>
        <v>1</v>
      </c>
      <c r="H334" s="159">
        <f t="shared" si="735"/>
        <v>0.30000000000000004</v>
      </c>
      <c r="I334" s="153">
        <v>0.03</v>
      </c>
      <c r="J334" s="155">
        <v>46206</v>
      </c>
      <c r="K334" s="155">
        <f t="shared" si="721"/>
        <v>46206</v>
      </c>
      <c r="L334" s="155">
        <v>46283</v>
      </c>
      <c r="M334" s="155">
        <f t="shared" si="722"/>
        <v>46248</v>
      </c>
      <c r="N334" s="155">
        <f t="shared" si="723"/>
        <v>46248</v>
      </c>
      <c r="O334" s="155">
        <v>46283</v>
      </c>
      <c r="P334" s="155">
        <f t="shared" si="724"/>
        <v>46290</v>
      </c>
      <c r="Q334" s="155">
        <f t="shared" si="725"/>
        <v>46290</v>
      </c>
      <c r="R334" s="155">
        <v>46283</v>
      </c>
      <c r="S334" s="155">
        <f t="shared" si="726"/>
        <v>46304</v>
      </c>
      <c r="T334" s="155">
        <f t="shared" si="727"/>
        <v>46304</v>
      </c>
      <c r="U334" s="155">
        <v>46283</v>
      </c>
      <c r="W334" s="169" t="str">
        <f t="shared" ca="1" si="728"/>
        <v>Completed</v>
      </c>
      <c r="X334" s="169" t="str">
        <f t="shared" ca="1" si="729"/>
        <v>Completed</v>
      </c>
      <c r="Y334" s="169" t="str">
        <f t="shared" ca="1" si="730"/>
        <v>Completed</v>
      </c>
      <c r="Z334" s="170" t="str">
        <f t="shared" ca="1" si="731"/>
        <v>Completed</v>
      </c>
    </row>
    <row r="335" spans="1:26" s="70" customFormat="1" ht="11.5" x14ac:dyDescent="0.25">
      <c r="A335" s="158" t="s">
        <v>66</v>
      </c>
      <c r="B335" s="158" t="s">
        <v>14</v>
      </c>
      <c r="C335" s="158" t="s">
        <v>337</v>
      </c>
      <c r="D335" s="158" t="s">
        <v>338</v>
      </c>
      <c r="E335" s="159">
        <f t="shared" si="732"/>
        <v>0.7</v>
      </c>
      <c r="F335" s="159">
        <f t="shared" si="733"/>
        <v>0.7</v>
      </c>
      <c r="G335" s="159">
        <f t="shared" si="734"/>
        <v>1</v>
      </c>
      <c r="H335" s="159">
        <f t="shared" si="735"/>
        <v>0.30000000000000004</v>
      </c>
      <c r="I335" s="153">
        <v>0.03</v>
      </c>
      <c r="J335" s="155">
        <v>46206</v>
      </c>
      <c r="K335" s="155">
        <f t="shared" si="721"/>
        <v>46206</v>
      </c>
      <c r="L335" s="155">
        <v>46283</v>
      </c>
      <c r="M335" s="155">
        <f t="shared" si="722"/>
        <v>46248</v>
      </c>
      <c r="N335" s="155">
        <f t="shared" si="723"/>
        <v>46248</v>
      </c>
      <c r="O335" s="155">
        <v>46283</v>
      </c>
      <c r="P335" s="155">
        <f t="shared" si="724"/>
        <v>46290</v>
      </c>
      <c r="Q335" s="155">
        <f t="shared" si="725"/>
        <v>46290</v>
      </c>
      <c r="R335" s="155">
        <v>46283</v>
      </c>
      <c r="S335" s="155">
        <f t="shared" si="726"/>
        <v>46304</v>
      </c>
      <c r="T335" s="155">
        <f t="shared" si="727"/>
        <v>46304</v>
      </c>
      <c r="U335" s="155">
        <v>46283</v>
      </c>
      <c r="W335" s="169" t="str">
        <f t="shared" ca="1" si="728"/>
        <v>Completed</v>
      </c>
      <c r="X335" s="169" t="str">
        <f t="shared" ca="1" si="729"/>
        <v>Completed</v>
      </c>
      <c r="Y335" s="169" t="str">
        <f t="shared" ca="1" si="730"/>
        <v>Completed</v>
      </c>
      <c r="Z335" s="170" t="str">
        <f t="shared" ca="1" si="731"/>
        <v>Completed</v>
      </c>
    </row>
    <row r="336" spans="1:26" s="70" customFormat="1" ht="11.5" x14ac:dyDescent="0.25">
      <c r="A336" s="91" t="s">
        <v>66</v>
      </c>
      <c r="B336" s="91" t="s">
        <v>14</v>
      </c>
      <c r="C336" s="91" t="s">
        <v>333</v>
      </c>
      <c r="D336" s="91" t="s">
        <v>334</v>
      </c>
      <c r="E336" s="93">
        <f t="shared" si="658"/>
        <v>0.7</v>
      </c>
      <c r="F336" s="93">
        <f t="shared" si="659"/>
        <v>0.7</v>
      </c>
      <c r="G336" s="93">
        <f t="shared" si="659"/>
        <v>0</v>
      </c>
      <c r="H336" s="93">
        <f t="shared" si="660"/>
        <v>-0.7</v>
      </c>
      <c r="I336" s="95">
        <v>1.7000000000000001E-2</v>
      </c>
      <c r="J336" s="89">
        <v>46206</v>
      </c>
      <c r="K336" s="89">
        <f t="shared" si="661"/>
        <v>46206</v>
      </c>
      <c r="L336" s="89"/>
      <c r="M336" s="89">
        <f t="shared" si="662"/>
        <v>46248</v>
      </c>
      <c r="N336" s="89">
        <f t="shared" si="663"/>
        <v>46248</v>
      </c>
      <c r="O336" s="89"/>
      <c r="P336" s="89">
        <f t="shared" si="664"/>
        <v>46290</v>
      </c>
      <c r="Q336" s="89">
        <f t="shared" si="665"/>
        <v>46290</v>
      </c>
      <c r="R336" s="89"/>
      <c r="S336" s="89">
        <f t="shared" si="671"/>
        <v>46304</v>
      </c>
      <c r="T336" s="89">
        <f t="shared" si="666"/>
        <v>46304</v>
      </c>
      <c r="U336" s="89"/>
      <c r="W336" s="169" t="str">
        <f t="shared" ca="1" si="694"/>
        <v>Overdue</v>
      </c>
      <c r="X336" s="169" t="str">
        <f t="shared" ca="1" si="695"/>
        <v>Overdue</v>
      </c>
      <c r="Y336" s="169" t="str">
        <f t="shared" ca="1" si="696"/>
        <v>Follow-Next Week</v>
      </c>
      <c r="Z336" s="170" t="str">
        <f t="shared" ca="1" si="697"/>
        <v/>
      </c>
    </row>
    <row r="337" spans="1:26" s="70" customFormat="1" ht="11.5" x14ac:dyDescent="0.25">
      <c r="A337" s="91" t="s">
        <v>66</v>
      </c>
      <c r="B337" s="91" t="s">
        <v>14</v>
      </c>
      <c r="C337" s="91" t="s">
        <v>335</v>
      </c>
      <c r="D337" s="91" t="s">
        <v>336</v>
      </c>
      <c r="E337" s="93">
        <f t="shared" si="658"/>
        <v>0.7</v>
      </c>
      <c r="F337" s="93">
        <f t="shared" si="659"/>
        <v>0.7</v>
      </c>
      <c r="G337" s="93">
        <f t="shared" si="659"/>
        <v>0</v>
      </c>
      <c r="H337" s="93">
        <f t="shared" si="660"/>
        <v>-0.7</v>
      </c>
      <c r="I337" s="95">
        <v>1.7000000000000001E-2</v>
      </c>
      <c r="J337" s="89">
        <v>46206</v>
      </c>
      <c r="K337" s="89">
        <f t="shared" si="661"/>
        <v>46206</v>
      </c>
      <c r="L337" s="89"/>
      <c r="M337" s="89">
        <f t="shared" si="662"/>
        <v>46248</v>
      </c>
      <c r="N337" s="89">
        <f t="shared" si="663"/>
        <v>46248</v>
      </c>
      <c r="O337" s="89"/>
      <c r="P337" s="89">
        <f t="shared" si="664"/>
        <v>46290</v>
      </c>
      <c r="Q337" s="89">
        <f t="shared" si="665"/>
        <v>46290</v>
      </c>
      <c r="R337" s="89"/>
      <c r="S337" s="89">
        <f t="shared" si="671"/>
        <v>46304</v>
      </c>
      <c r="T337" s="89">
        <f t="shared" si="666"/>
        <v>46304</v>
      </c>
      <c r="U337" s="89"/>
      <c r="W337" s="169" t="str">
        <f t="shared" ca="1" si="694"/>
        <v>Overdue</v>
      </c>
      <c r="X337" s="169" t="str">
        <f t="shared" ca="1" si="695"/>
        <v>Overdue</v>
      </c>
      <c r="Y337" s="169" t="str">
        <f t="shared" ca="1" si="696"/>
        <v>Follow-Next Week</v>
      </c>
      <c r="Z337" s="170" t="str">
        <f t="shared" ca="1" si="697"/>
        <v/>
      </c>
    </row>
    <row r="338" spans="1:26" s="70" customFormat="1" ht="11.5" x14ac:dyDescent="0.25">
      <c r="A338" s="91" t="s">
        <v>66</v>
      </c>
      <c r="B338" s="91" t="s">
        <v>14</v>
      </c>
      <c r="C338" s="91" t="s">
        <v>337</v>
      </c>
      <c r="D338" s="91" t="s">
        <v>338</v>
      </c>
      <c r="E338" s="93">
        <f t="shared" si="658"/>
        <v>0.7</v>
      </c>
      <c r="F338" s="93">
        <f t="shared" si="659"/>
        <v>0.7</v>
      </c>
      <c r="G338" s="93">
        <f t="shared" si="659"/>
        <v>0</v>
      </c>
      <c r="H338" s="93">
        <f t="shared" si="660"/>
        <v>-0.7</v>
      </c>
      <c r="I338" s="95">
        <v>1.7000000000000001E-2</v>
      </c>
      <c r="J338" s="89">
        <v>46206</v>
      </c>
      <c r="K338" s="89">
        <f t="shared" si="661"/>
        <v>46206</v>
      </c>
      <c r="L338" s="89"/>
      <c r="M338" s="89">
        <f t="shared" si="662"/>
        <v>46248</v>
      </c>
      <c r="N338" s="89">
        <f t="shared" si="663"/>
        <v>46248</v>
      </c>
      <c r="O338" s="89"/>
      <c r="P338" s="89">
        <f t="shared" si="664"/>
        <v>46290</v>
      </c>
      <c r="Q338" s="89">
        <f t="shared" si="665"/>
        <v>46290</v>
      </c>
      <c r="R338" s="89"/>
      <c r="S338" s="89">
        <f t="shared" si="671"/>
        <v>46304</v>
      </c>
      <c r="T338" s="89">
        <f t="shared" si="666"/>
        <v>46304</v>
      </c>
      <c r="U338" s="89"/>
      <c r="W338" s="169" t="str">
        <f t="shared" ca="1" si="694"/>
        <v>Overdue</v>
      </c>
      <c r="X338" s="169" t="str">
        <f t="shared" ca="1" si="695"/>
        <v>Overdue</v>
      </c>
      <c r="Y338" s="169" t="str">
        <f t="shared" ca="1" si="696"/>
        <v>Follow-Next Week</v>
      </c>
      <c r="Z338" s="170" t="str">
        <f t="shared" ca="1" si="697"/>
        <v/>
      </c>
    </row>
    <row r="339" spans="1:26" s="70" customFormat="1" ht="11.5" x14ac:dyDescent="0.25">
      <c r="A339" s="91" t="s">
        <v>66</v>
      </c>
      <c r="B339" s="91" t="s">
        <v>14</v>
      </c>
      <c r="C339" s="91" t="s">
        <v>971</v>
      </c>
      <c r="D339" s="91" t="s">
        <v>339</v>
      </c>
      <c r="E339" s="93">
        <f t="shared" si="658"/>
        <v>0.7</v>
      </c>
      <c r="F339" s="93">
        <f t="shared" si="659"/>
        <v>0.7</v>
      </c>
      <c r="G339" s="93">
        <f t="shared" si="659"/>
        <v>0.7</v>
      </c>
      <c r="H339" s="93">
        <f t="shared" si="660"/>
        <v>0</v>
      </c>
      <c r="I339" s="95">
        <v>4.7E-2</v>
      </c>
      <c r="J339" s="89">
        <v>46206</v>
      </c>
      <c r="K339" s="89">
        <f t="shared" si="661"/>
        <v>46206</v>
      </c>
      <c r="L339" s="89">
        <v>46190</v>
      </c>
      <c r="M339" s="89">
        <f t="shared" si="662"/>
        <v>46248</v>
      </c>
      <c r="N339" s="89">
        <f t="shared" si="663"/>
        <v>46248</v>
      </c>
      <c r="O339" s="89">
        <v>46247</v>
      </c>
      <c r="P339" s="89">
        <f t="shared" si="664"/>
        <v>46290</v>
      </c>
      <c r="Q339" s="89">
        <f t="shared" si="665"/>
        <v>46290</v>
      </c>
      <c r="R339" s="89"/>
      <c r="S339" s="89">
        <f t="shared" si="671"/>
        <v>46304</v>
      </c>
      <c r="T339" s="89">
        <f t="shared" si="666"/>
        <v>46304</v>
      </c>
      <c r="U339" s="89"/>
      <c r="W339" s="169" t="str">
        <f t="shared" ca="1" si="694"/>
        <v>Completed</v>
      </c>
      <c r="X339" s="169" t="str">
        <f t="shared" ca="1" si="695"/>
        <v>Completed</v>
      </c>
      <c r="Y339" s="169" t="str">
        <f t="shared" ca="1" si="696"/>
        <v>Follow-Next Week</v>
      </c>
      <c r="Z339" s="170" t="str">
        <f t="shared" ca="1" si="697"/>
        <v/>
      </c>
    </row>
    <row r="340" spans="1:26" s="70" customFormat="1" ht="11.5" x14ac:dyDescent="0.25">
      <c r="A340" s="91" t="s">
        <v>66</v>
      </c>
      <c r="B340" s="91" t="s">
        <v>14</v>
      </c>
      <c r="C340" s="91" t="s">
        <v>972</v>
      </c>
      <c r="D340" s="91" t="s">
        <v>340</v>
      </c>
      <c r="E340" s="93">
        <f t="shared" si="658"/>
        <v>0.7</v>
      </c>
      <c r="F340" s="93">
        <f t="shared" si="659"/>
        <v>0.7</v>
      </c>
      <c r="G340" s="93">
        <f t="shared" si="659"/>
        <v>0.7</v>
      </c>
      <c r="H340" s="93">
        <f t="shared" si="660"/>
        <v>0</v>
      </c>
      <c r="I340" s="95">
        <v>4.7E-2</v>
      </c>
      <c r="J340" s="89">
        <v>46206</v>
      </c>
      <c r="K340" s="89">
        <f t="shared" si="661"/>
        <v>46206</v>
      </c>
      <c r="L340" s="89">
        <v>46190</v>
      </c>
      <c r="M340" s="89">
        <f t="shared" si="662"/>
        <v>46248</v>
      </c>
      <c r="N340" s="89">
        <f t="shared" si="663"/>
        <v>46248</v>
      </c>
      <c r="O340" s="89">
        <v>46247</v>
      </c>
      <c r="P340" s="89">
        <f t="shared" si="664"/>
        <v>46290</v>
      </c>
      <c r="Q340" s="89">
        <f t="shared" si="665"/>
        <v>46290</v>
      </c>
      <c r="R340" s="89"/>
      <c r="S340" s="89">
        <f t="shared" si="671"/>
        <v>46304</v>
      </c>
      <c r="T340" s="89">
        <f t="shared" si="666"/>
        <v>46304</v>
      </c>
      <c r="U340" s="89"/>
      <c r="W340" s="169" t="str">
        <f t="shared" ca="1" si="694"/>
        <v>Completed</v>
      </c>
      <c r="X340" s="169" t="str">
        <f t="shared" ca="1" si="695"/>
        <v>Completed</v>
      </c>
      <c r="Y340" s="169" t="str">
        <f t="shared" ca="1" si="696"/>
        <v>Follow-Next Week</v>
      </c>
      <c r="Z340" s="170" t="str">
        <f t="shared" ca="1" si="697"/>
        <v/>
      </c>
    </row>
    <row r="341" spans="1:26" s="70" customFormat="1" ht="11.5" x14ac:dyDescent="0.25">
      <c r="A341" s="91" t="s">
        <v>66</v>
      </c>
      <c r="B341" s="91" t="s">
        <v>14</v>
      </c>
      <c r="C341" s="91" t="s">
        <v>973</v>
      </c>
      <c r="D341" s="91" t="s">
        <v>341</v>
      </c>
      <c r="E341" s="93">
        <f t="shared" si="658"/>
        <v>0.7</v>
      </c>
      <c r="F341" s="93">
        <f t="shared" si="659"/>
        <v>0.7</v>
      </c>
      <c r="G341" s="93">
        <f t="shared" si="659"/>
        <v>0.7</v>
      </c>
      <c r="H341" s="93">
        <f t="shared" si="660"/>
        <v>0</v>
      </c>
      <c r="I341" s="95">
        <v>4.7E-2</v>
      </c>
      <c r="J341" s="89">
        <v>46206</v>
      </c>
      <c r="K341" s="89">
        <f t="shared" si="661"/>
        <v>46206</v>
      </c>
      <c r="L341" s="89">
        <v>46190</v>
      </c>
      <c r="M341" s="89">
        <f t="shared" si="662"/>
        <v>46248</v>
      </c>
      <c r="N341" s="89">
        <f t="shared" si="663"/>
        <v>46248</v>
      </c>
      <c r="O341" s="89">
        <v>46247</v>
      </c>
      <c r="P341" s="89">
        <f t="shared" si="664"/>
        <v>46290</v>
      </c>
      <c r="Q341" s="89">
        <f t="shared" si="665"/>
        <v>46290</v>
      </c>
      <c r="R341" s="89"/>
      <c r="S341" s="89">
        <f t="shared" si="671"/>
        <v>46304</v>
      </c>
      <c r="T341" s="89">
        <f t="shared" si="666"/>
        <v>46304</v>
      </c>
      <c r="U341" s="89"/>
      <c r="W341" s="169" t="str">
        <f t="shared" ca="1" si="694"/>
        <v>Completed</v>
      </c>
      <c r="X341" s="169" t="str">
        <f t="shared" ca="1" si="695"/>
        <v>Completed</v>
      </c>
      <c r="Y341" s="169" t="str">
        <f t="shared" ca="1" si="696"/>
        <v>Follow-Next Week</v>
      </c>
      <c r="Z341" s="170" t="str">
        <f t="shared" ca="1" si="697"/>
        <v/>
      </c>
    </row>
    <row r="342" spans="1:26" s="70" customFormat="1" ht="11.5" x14ac:dyDescent="0.25">
      <c r="A342" s="91" t="s">
        <v>66</v>
      </c>
      <c r="B342" s="91" t="s">
        <v>14</v>
      </c>
      <c r="C342" s="91" t="s">
        <v>974</v>
      </c>
      <c r="D342" s="91" t="s">
        <v>342</v>
      </c>
      <c r="E342" s="93">
        <f t="shared" si="658"/>
        <v>0.7</v>
      </c>
      <c r="F342" s="93">
        <f t="shared" si="659"/>
        <v>0.7</v>
      </c>
      <c r="G342" s="93">
        <f t="shared" si="659"/>
        <v>0.7</v>
      </c>
      <c r="H342" s="93">
        <f t="shared" si="660"/>
        <v>0</v>
      </c>
      <c r="I342" s="95">
        <v>4.7E-2</v>
      </c>
      <c r="J342" s="89">
        <v>46206</v>
      </c>
      <c r="K342" s="89">
        <f t="shared" si="661"/>
        <v>46206</v>
      </c>
      <c r="L342" s="89">
        <v>46190</v>
      </c>
      <c r="M342" s="89">
        <f t="shared" si="662"/>
        <v>46248</v>
      </c>
      <c r="N342" s="89">
        <f t="shared" si="663"/>
        <v>46248</v>
      </c>
      <c r="O342" s="89">
        <v>46247</v>
      </c>
      <c r="P342" s="89">
        <f t="shared" si="664"/>
        <v>46290</v>
      </c>
      <c r="Q342" s="89">
        <f t="shared" si="665"/>
        <v>46290</v>
      </c>
      <c r="R342" s="89"/>
      <c r="S342" s="89">
        <f t="shared" si="671"/>
        <v>46304</v>
      </c>
      <c r="T342" s="89">
        <f t="shared" si="666"/>
        <v>46304</v>
      </c>
      <c r="U342" s="89"/>
      <c r="W342" s="169" t="str">
        <f t="shared" ca="1" si="694"/>
        <v>Completed</v>
      </c>
      <c r="X342" s="169" t="str">
        <f t="shared" ca="1" si="695"/>
        <v>Completed</v>
      </c>
      <c r="Y342" s="169" t="str">
        <f t="shared" ca="1" si="696"/>
        <v>Follow-Next Week</v>
      </c>
      <c r="Z342" s="170" t="str">
        <f t="shared" ca="1" si="697"/>
        <v/>
      </c>
    </row>
    <row r="343" spans="1:26" s="70" customFormat="1" ht="11.5" x14ac:dyDescent="0.25">
      <c r="A343" s="91" t="s">
        <v>66</v>
      </c>
      <c r="B343" s="91" t="s">
        <v>14</v>
      </c>
      <c r="C343" s="91" t="s">
        <v>975</v>
      </c>
      <c r="D343" s="91" t="s">
        <v>343</v>
      </c>
      <c r="E343" s="93">
        <f t="shared" si="658"/>
        <v>0.7</v>
      </c>
      <c r="F343" s="93">
        <f t="shared" si="659"/>
        <v>0.7</v>
      </c>
      <c r="G343" s="93">
        <f t="shared" si="659"/>
        <v>0.7</v>
      </c>
      <c r="H343" s="93">
        <f t="shared" si="660"/>
        <v>0</v>
      </c>
      <c r="I343" s="95">
        <v>4.7E-2</v>
      </c>
      <c r="J343" s="89">
        <v>46206</v>
      </c>
      <c r="K343" s="89">
        <f t="shared" si="661"/>
        <v>46206</v>
      </c>
      <c r="L343" s="89">
        <v>46190</v>
      </c>
      <c r="M343" s="89">
        <f t="shared" si="662"/>
        <v>46248</v>
      </c>
      <c r="N343" s="89">
        <f t="shared" si="663"/>
        <v>46248</v>
      </c>
      <c r="O343" s="89">
        <v>46247</v>
      </c>
      <c r="P343" s="89">
        <f t="shared" si="664"/>
        <v>46290</v>
      </c>
      <c r="Q343" s="89">
        <f t="shared" si="665"/>
        <v>46290</v>
      </c>
      <c r="R343" s="89"/>
      <c r="S343" s="89">
        <f t="shared" si="671"/>
        <v>46304</v>
      </c>
      <c r="T343" s="89">
        <f t="shared" si="666"/>
        <v>46304</v>
      </c>
      <c r="U343" s="89"/>
      <c r="W343" s="169" t="str">
        <f t="shared" ca="1" si="694"/>
        <v>Completed</v>
      </c>
      <c r="X343" s="169" t="str">
        <f t="shared" ca="1" si="695"/>
        <v>Completed</v>
      </c>
      <c r="Y343" s="169" t="str">
        <f t="shared" ca="1" si="696"/>
        <v>Follow-Next Week</v>
      </c>
      <c r="Z343" s="170" t="str">
        <f t="shared" ca="1" si="697"/>
        <v/>
      </c>
    </row>
    <row r="344" spans="1:26" s="70" customFormat="1" ht="11.5" x14ac:dyDescent="0.25">
      <c r="A344" s="91" t="s">
        <v>66</v>
      </c>
      <c r="B344" s="91" t="s">
        <v>14</v>
      </c>
      <c r="C344" s="91" t="s">
        <v>976</v>
      </c>
      <c r="D344" s="91" t="s">
        <v>344</v>
      </c>
      <c r="E344" s="93">
        <f t="shared" si="658"/>
        <v>0.7</v>
      </c>
      <c r="F344" s="93">
        <f t="shared" si="659"/>
        <v>0.7</v>
      </c>
      <c r="G344" s="93">
        <f t="shared" si="659"/>
        <v>0.7</v>
      </c>
      <c r="H344" s="93">
        <f t="shared" si="660"/>
        <v>0</v>
      </c>
      <c r="I344" s="95">
        <v>4.7E-2</v>
      </c>
      <c r="J344" s="89">
        <v>46206</v>
      </c>
      <c r="K344" s="89">
        <f t="shared" si="661"/>
        <v>46206</v>
      </c>
      <c r="L344" s="89">
        <v>46190</v>
      </c>
      <c r="M344" s="89">
        <f t="shared" si="662"/>
        <v>46248</v>
      </c>
      <c r="N344" s="89">
        <f t="shared" si="663"/>
        <v>46248</v>
      </c>
      <c r="O344" s="89">
        <v>46247</v>
      </c>
      <c r="P344" s="89">
        <f t="shared" si="664"/>
        <v>46290</v>
      </c>
      <c r="Q344" s="89">
        <f t="shared" si="665"/>
        <v>46290</v>
      </c>
      <c r="R344" s="89"/>
      <c r="S344" s="89">
        <f t="shared" si="671"/>
        <v>46304</v>
      </c>
      <c r="T344" s="89">
        <f t="shared" si="666"/>
        <v>46304</v>
      </c>
      <c r="U344" s="89"/>
      <c r="W344" s="169" t="str">
        <f t="shared" ca="1" si="694"/>
        <v>Completed</v>
      </c>
      <c r="X344" s="169" t="str">
        <f t="shared" ca="1" si="695"/>
        <v>Completed</v>
      </c>
      <c r="Y344" s="169" t="str">
        <f t="shared" ca="1" si="696"/>
        <v>Follow-Next Week</v>
      </c>
      <c r="Z344" s="170" t="str">
        <f t="shared" ca="1" si="697"/>
        <v/>
      </c>
    </row>
    <row r="345" spans="1:26" s="70" customFormat="1" ht="11.5" x14ac:dyDescent="0.25">
      <c r="A345" s="92" t="s">
        <v>66</v>
      </c>
      <c r="B345" s="92" t="s">
        <v>14</v>
      </c>
      <c r="C345" s="92" t="s">
        <v>345</v>
      </c>
      <c r="D345" s="92" t="s">
        <v>346</v>
      </c>
      <c r="E345" s="94">
        <f t="shared" si="658"/>
        <v>0.7</v>
      </c>
      <c r="F345" s="94">
        <f t="shared" si="659"/>
        <v>0.7</v>
      </c>
      <c r="G345" s="94">
        <f t="shared" si="659"/>
        <v>1</v>
      </c>
      <c r="H345" s="94">
        <f t="shared" si="660"/>
        <v>0.30000000000000004</v>
      </c>
      <c r="I345" s="95">
        <v>4.7E-2</v>
      </c>
      <c r="J345" s="89">
        <v>46206</v>
      </c>
      <c r="K345" s="89">
        <f t="shared" si="661"/>
        <v>46206</v>
      </c>
      <c r="L345" s="89">
        <v>46220</v>
      </c>
      <c r="M345" s="89">
        <f t="shared" si="662"/>
        <v>46248</v>
      </c>
      <c r="N345" s="89">
        <f t="shared" si="663"/>
        <v>46248</v>
      </c>
      <c r="O345" s="89">
        <v>46233</v>
      </c>
      <c r="P345" s="89">
        <f t="shared" si="664"/>
        <v>46290</v>
      </c>
      <c r="Q345" s="89">
        <f t="shared" si="665"/>
        <v>46290</v>
      </c>
      <c r="R345" s="89">
        <v>46254</v>
      </c>
      <c r="S345" s="89">
        <f t="shared" si="671"/>
        <v>46304</v>
      </c>
      <c r="T345" s="89">
        <f t="shared" si="666"/>
        <v>46304</v>
      </c>
      <c r="U345" s="90">
        <v>46269</v>
      </c>
      <c r="W345" s="169" t="str">
        <f t="shared" ca="1" si="694"/>
        <v>Completed</v>
      </c>
      <c r="X345" s="169" t="str">
        <f t="shared" ca="1" si="695"/>
        <v>Completed</v>
      </c>
      <c r="Y345" s="169" t="str">
        <f t="shared" ca="1" si="696"/>
        <v>Completed</v>
      </c>
      <c r="Z345" s="170" t="str">
        <f t="shared" ca="1" si="697"/>
        <v>Completed</v>
      </c>
    </row>
    <row r="346" spans="1:26" s="70" customFormat="1" ht="11.5" x14ac:dyDescent="0.25">
      <c r="A346" s="92" t="s">
        <v>66</v>
      </c>
      <c r="B346" s="92" t="s">
        <v>14</v>
      </c>
      <c r="C346" s="92" t="s">
        <v>347</v>
      </c>
      <c r="D346" s="92" t="s">
        <v>348</v>
      </c>
      <c r="E346" s="94">
        <f t="shared" si="658"/>
        <v>0.7</v>
      </c>
      <c r="F346" s="94">
        <f t="shared" si="659"/>
        <v>0.7</v>
      </c>
      <c r="G346" s="94">
        <f t="shared" si="659"/>
        <v>1</v>
      </c>
      <c r="H346" s="94">
        <f t="shared" si="660"/>
        <v>0.30000000000000004</v>
      </c>
      <c r="I346" s="95">
        <v>4.7E-2</v>
      </c>
      <c r="J346" s="89">
        <v>46206</v>
      </c>
      <c r="K346" s="89">
        <f t="shared" si="661"/>
        <v>46206</v>
      </c>
      <c r="L346" s="89">
        <v>46220</v>
      </c>
      <c r="M346" s="89">
        <f t="shared" si="662"/>
        <v>46248</v>
      </c>
      <c r="N346" s="89">
        <f t="shared" si="663"/>
        <v>46248</v>
      </c>
      <c r="O346" s="89">
        <v>46233</v>
      </c>
      <c r="P346" s="89">
        <f t="shared" si="664"/>
        <v>46290</v>
      </c>
      <c r="Q346" s="89">
        <f t="shared" si="665"/>
        <v>46290</v>
      </c>
      <c r="R346" s="89">
        <v>46254</v>
      </c>
      <c r="S346" s="89">
        <f t="shared" si="671"/>
        <v>46304</v>
      </c>
      <c r="T346" s="89">
        <f t="shared" si="666"/>
        <v>46304</v>
      </c>
      <c r="U346" s="90">
        <v>46269</v>
      </c>
      <c r="W346" s="169" t="str">
        <f t="shared" ca="1" si="694"/>
        <v>Completed</v>
      </c>
      <c r="X346" s="169" t="str">
        <f t="shared" ca="1" si="695"/>
        <v>Completed</v>
      </c>
      <c r="Y346" s="169" t="str">
        <f t="shared" ca="1" si="696"/>
        <v>Completed</v>
      </c>
      <c r="Z346" s="170" t="str">
        <f t="shared" ca="1" si="697"/>
        <v>Completed</v>
      </c>
    </row>
    <row r="347" spans="1:26" s="70" customFormat="1" ht="11.5" x14ac:dyDescent="0.25">
      <c r="A347" s="173" t="s">
        <v>66</v>
      </c>
      <c r="B347" s="173" t="s">
        <v>14</v>
      </c>
      <c r="C347" s="173" t="s">
        <v>349</v>
      </c>
      <c r="D347" s="173" t="s">
        <v>1081</v>
      </c>
      <c r="E347" s="152"/>
      <c r="F347" s="152"/>
      <c r="G347" s="152"/>
      <c r="H347" s="152"/>
      <c r="I347" s="160">
        <v>4.7E-2</v>
      </c>
      <c r="J347" s="155">
        <v>46206</v>
      </c>
      <c r="K347" s="155">
        <f t="shared" si="661"/>
        <v>46206</v>
      </c>
      <c r="L347" s="156">
        <v>46227</v>
      </c>
      <c r="M347" s="155">
        <f t="shared" si="662"/>
        <v>46248</v>
      </c>
      <c r="N347" s="155">
        <f t="shared" si="663"/>
        <v>46248</v>
      </c>
      <c r="O347" s="156">
        <v>46227</v>
      </c>
      <c r="P347" s="155">
        <f t="shared" si="664"/>
        <v>46290</v>
      </c>
      <c r="Q347" s="155">
        <f t="shared" si="665"/>
        <v>46290</v>
      </c>
      <c r="R347" s="156">
        <v>46227</v>
      </c>
      <c r="S347" s="155">
        <f t="shared" si="671"/>
        <v>46304</v>
      </c>
      <c r="T347" s="155">
        <f t="shared" si="666"/>
        <v>46304</v>
      </c>
      <c r="U347" s="156">
        <v>46227</v>
      </c>
      <c r="W347" s="169"/>
      <c r="X347" s="169"/>
      <c r="Y347" s="169"/>
      <c r="Z347" s="170"/>
    </row>
    <row r="348" spans="1:26" s="70" customFormat="1" ht="11.5" x14ac:dyDescent="0.25">
      <c r="A348" s="91" t="s">
        <v>66</v>
      </c>
      <c r="B348" s="91" t="s">
        <v>14</v>
      </c>
      <c r="C348" s="91" t="s">
        <v>977</v>
      </c>
      <c r="D348" s="91" t="s">
        <v>350</v>
      </c>
      <c r="E348" s="94">
        <f t="shared" ref="E348:G348" si="736">(COUNTIFS(J348,"&lt;="&amp;$C$1)*50%)+(COUNTIFS(M348,"&lt;="&amp;$C$1)*20%)+(COUNTIFS(P348,"&lt;="&amp;$C$1)*10%)+(COUNTIFS(S348,"&lt;="&amp;$C$1)*20%)</f>
        <v>0.7</v>
      </c>
      <c r="F348" s="94">
        <f t="shared" si="736"/>
        <v>0.7</v>
      </c>
      <c r="G348" s="94">
        <f t="shared" si="736"/>
        <v>1</v>
      </c>
      <c r="H348" s="94">
        <f>G348-E348</f>
        <v>0.30000000000000004</v>
      </c>
      <c r="I348" s="95">
        <v>4.7E-2</v>
      </c>
      <c r="J348" s="89">
        <v>46206</v>
      </c>
      <c r="K348" s="89">
        <f t="shared" si="661"/>
        <v>46206</v>
      </c>
      <c r="L348" s="89">
        <v>46220</v>
      </c>
      <c r="M348" s="89">
        <f t="shared" si="662"/>
        <v>46248</v>
      </c>
      <c r="N348" s="89">
        <f t="shared" si="663"/>
        <v>46248</v>
      </c>
      <c r="O348" s="89">
        <v>46233</v>
      </c>
      <c r="P348" s="89">
        <f t="shared" si="664"/>
        <v>46290</v>
      </c>
      <c r="Q348" s="89">
        <f t="shared" si="665"/>
        <v>46290</v>
      </c>
      <c r="R348" s="89">
        <v>46254</v>
      </c>
      <c r="S348" s="89">
        <f t="shared" si="671"/>
        <v>46304</v>
      </c>
      <c r="T348" s="89">
        <f t="shared" si="666"/>
        <v>46304</v>
      </c>
      <c r="U348" s="90">
        <v>46269</v>
      </c>
      <c r="W348" s="169" t="str">
        <f t="shared" ca="1" si="694"/>
        <v>Completed</v>
      </c>
      <c r="X348" s="169" t="str">
        <f t="shared" ca="1" si="695"/>
        <v>Completed</v>
      </c>
      <c r="Y348" s="169" t="str">
        <f t="shared" ca="1" si="696"/>
        <v>Completed</v>
      </c>
      <c r="Z348" s="170" t="str">
        <f t="shared" ca="1" si="697"/>
        <v>Completed</v>
      </c>
    </row>
    <row r="349" spans="1:26" s="70" customFormat="1" ht="11.5" x14ac:dyDescent="0.25">
      <c r="A349" s="92" t="s">
        <v>66</v>
      </c>
      <c r="B349" s="92" t="s">
        <v>14</v>
      </c>
      <c r="C349" s="92" t="s">
        <v>351</v>
      </c>
      <c r="D349" s="92" t="s">
        <v>352</v>
      </c>
      <c r="E349" s="94">
        <f t="shared" si="658"/>
        <v>0.7</v>
      </c>
      <c r="F349" s="94">
        <f t="shared" si="659"/>
        <v>0.7</v>
      </c>
      <c r="G349" s="94">
        <f t="shared" si="659"/>
        <v>0.7</v>
      </c>
      <c r="H349" s="94">
        <f t="shared" si="660"/>
        <v>0</v>
      </c>
      <c r="I349" s="95">
        <v>4.7E-2</v>
      </c>
      <c r="J349" s="89">
        <v>46206</v>
      </c>
      <c r="K349" s="89">
        <f t="shared" si="661"/>
        <v>46206</v>
      </c>
      <c r="L349" s="146">
        <v>46248</v>
      </c>
      <c r="M349" s="89">
        <f t="shared" si="662"/>
        <v>46248</v>
      </c>
      <c r="N349" s="89">
        <f t="shared" si="663"/>
        <v>46248</v>
      </c>
      <c r="O349" s="89">
        <v>46255</v>
      </c>
      <c r="P349" s="89">
        <f t="shared" si="664"/>
        <v>46290</v>
      </c>
      <c r="Q349" s="89">
        <f t="shared" si="665"/>
        <v>46290</v>
      </c>
      <c r="R349" s="89"/>
      <c r="S349" s="89">
        <f t="shared" si="671"/>
        <v>46304</v>
      </c>
      <c r="T349" s="89">
        <f t="shared" si="666"/>
        <v>46304</v>
      </c>
      <c r="U349" s="89"/>
      <c r="W349" s="169" t="str">
        <f t="shared" ca="1" si="694"/>
        <v>Completed</v>
      </c>
      <c r="X349" s="169" t="str">
        <f t="shared" ca="1" si="695"/>
        <v>Completed</v>
      </c>
      <c r="Y349" s="169" t="str">
        <f t="shared" ca="1" si="696"/>
        <v>Follow-Next Week</v>
      </c>
      <c r="Z349" s="170" t="str">
        <f t="shared" ca="1" si="697"/>
        <v/>
      </c>
    </row>
    <row r="350" spans="1:26" s="70" customFormat="1" ht="11.5" x14ac:dyDescent="0.25">
      <c r="A350" s="92" t="s">
        <v>66</v>
      </c>
      <c r="B350" s="92" t="s">
        <v>14</v>
      </c>
      <c r="C350" s="92" t="s">
        <v>353</v>
      </c>
      <c r="D350" s="92" t="s">
        <v>354</v>
      </c>
      <c r="E350" s="94">
        <f t="shared" si="658"/>
        <v>0.7</v>
      </c>
      <c r="F350" s="94">
        <f t="shared" si="659"/>
        <v>0.7</v>
      </c>
      <c r="G350" s="94">
        <f t="shared" si="659"/>
        <v>0.7</v>
      </c>
      <c r="H350" s="94">
        <f t="shared" si="660"/>
        <v>0</v>
      </c>
      <c r="I350" s="95">
        <v>4.7E-2</v>
      </c>
      <c r="J350" s="89">
        <v>46206</v>
      </c>
      <c r="K350" s="89">
        <f t="shared" si="661"/>
        <v>46206</v>
      </c>
      <c r="L350" s="146">
        <v>46248</v>
      </c>
      <c r="M350" s="89">
        <f t="shared" si="662"/>
        <v>46248</v>
      </c>
      <c r="N350" s="89">
        <f t="shared" si="663"/>
        <v>46248</v>
      </c>
      <c r="O350" s="89">
        <v>46255</v>
      </c>
      <c r="P350" s="89">
        <f t="shared" si="664"/>
        <v>46290</v>
      </c>
      <c r="Q350" s="89">
        <f t="shared" si="665"/>
        <v>46290</v>
      </c>
      <c r="R350" s="89"/>
      <c r="S350" s="89">
        <f t="shared" si="671"/>
        <v>46304</v>
      </c>
      <c r="T350" s="89">
        <f t="shared" si="666"/>
        <v>46304</v>
      </c>
      <c r="U350" s="89"/>
      <c r="W350" s="169" t="str">
        <f t="shared" ca="1" si="694"/>
        <v>Completed</v>
      </c>
      <c r="X350" s="169" t="str">
        <f t="shared" ca="1" si="695"/>
        <v>Completed</v>
      </c>
      <c r="Y350" s="169" t="str">
        <f t="shared" ca="1" si="696"/>
        <v>Follow-Next Week</v>
      </c>
      <c r="Z350" s="170" t="str">
        <f t="shared" ca="1" si="697"/>
        <v/>
      </c>
    </row>
    <row r="351" spans="1:26" s="70" customFormat="1" ht="11.5" x14ac:dyDescent="0.25">
      <c r="A351" s="92" t="s">
        <v>66</v>
      </c>
      <c r="B351" s="92" t="s">
        <v>14</v>
      </c>
      <c r="C351" s="92" t="s">
        <v>42</v>
      </c>
      <c r="D351" s="92" t="s">
        <v>355</v>
      </c>
      <c r="E351" s="94">
        <f t="shared" si="658"/>
        <v>0</v>
      </c>
      <c r="F351" s="94">
        <f t="shared" si="659"/>
        <v>0</v>
      </c>
      <c r="G351" s="94">
        <f t="shared" si="659"/>
        <v>0</v>
      </c>
      <c r="H351" s="94">
        <f t="shared" si="660"/>
        <v>0</v>
      </c>
      <c r="I351" s="129">
        <v>1.5</v>
      </c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W351" s="169" t="str">
        <f t="shared" ca="1" si="694"/>
        <v/>
      </c>
      <c r="X351" s="169" t="str">
        <f t="shared" ca="1" si="695"/>
        <v/>
      </c>
      <c r="Y351" s="169" t="str">
        <f t="shared" ca="1" si="696"/>
        <v/>
      </c>
      <c r="Z351" s="170" t="str">
        <f t="shared" ca="1" si="697"/>
        <v/>
      </c>
    </row>
    <row r="352" spans="1:26" s="70" customFormat="1" ht="11.5" x14ac:dyDescent="0.25">
      <c r="A352" s="73"/>
      <c r="B352" s="73"/>
      <c r="C352" s="73"/>
      <c r="D352" s="73"/>
      <c r="E352" s="74"/>
      <c r="F352" s="74"/>
      <c r="G352" s="74"/>
      <c r="H352" s="74"/>
      <c r="I352" s="75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W352" s="169" t="str">
        <f t="shared" ca="1" si="694"/>
        <v/>
      </c>
      <c r="X352" s="169" t="str">
        <f t="shared" ca="1" si="695"/>
        <v/>
      </c>
      <c r="Y352" s="169" t="str">
        <f t="shared" ca="1" si="696"/>
        <v/>
      </c>
      <c r="Z352" s="170" t="str">
        <f t="shared" ca="1" si="697"/>
        <v/>
      </c>
    </row>
    <row r="353" spans="1:26" s="70" customFormat="1" ht="11.5" x14ac:dyDescent="0.25">
      <c r="A353" s="101" t="s">
        <v>64</v>
      </c>
      <c r="B353" s="101" t="s">
        <v>14</v>
      </c>
      <c r="C353" s="101" t="s">
        <v>838</v>
      </c>
      <c r="D353" s="101" t="s">
        <v>834</v>
      </c>
      <c r="E353" s="104">
        <f t="shared" si="658"/>
        <v>1</v>
      </c>
      <c r="F353" s="104">
        <f t="shared" si="659"/>
        <v>1</v>
      </c>
      <c r="G353" s="104">
        <f t="shared" si="659"/>
        <v>1</v>
      </c>
      <c r="H353" s="104">
        <f t="shared" si="660"/>
        <v>0</v>
      </c>
      <c r="I353" s="105">
        <v>8.9999999999999993E-3</v>
      </c>
      <c r="J353" s="106">
        <f t="shared" ref="J353:J384" si="737">J218+28</f>
        <v>46178</v>
      </c>
      <c r="K353" s="106">
        <f t="shared" si="661"/>
        <v>46178</v>
      </c>
      <c r="L353" s="106">
        <v>46175</v>
      </c>
      <c r="M353" s="107">
        <f t="shared" si="662"/>
        <v>46220</v>
      </c>
      <c r="N353" s="106">
        <f t="shared" si="663"/>
        <v>46220</v>
      </c>
      <c r="O353" s="106">
        <v>46191</v>
      </c>
      <c r="P353" s="107">
        <f t="shared" si="664"/>
        <v>46262</v>
      </c>
      <c r="Q353" s="106">
        <f t="shared" si="665"/>
        <v>46262</v>
      </c>
      <c r="R353" s="106">
        <v>46245</v>
      </c>
      <c r="S353" s="106">
        <f t="shared" si="671"/>
        <v>46276</v>
      </c>
      <c r="T353" s="106">
        <f t="shared" si="666"/>
        <v>46276</v>
      </c>
      <c r="U353" s="106">
        <v>46255</v>
      </c>
      <c r="W353" s="169" t="str">
        <f t="shared" ca="1" si="694"/>
        <v>Completed</v>
      </c>
      <c r="X353" s="169" t="str">
        <f t="shared" ca="1" si="695"/>
        <v>Completed</v>
      </c>
      <c r="Y353" s="169" t="str">
        <f t="shared" ca="1" si="696"/>
        <v>Completed</v>
      </c>
      <c r="Z353" s="170" t="str">
        <f t="shared" ca="1" si="697"/>
        <v>Completed</v>
      </c>
    </row>
    <row r="354" spans="1:26" s="70" customFormat="1" ht="11.5" x14ac:dyDescent="0.25">
      <c r="A354" s="101" t="s">
        <v>64</v>
      </c>
      <c r="B354" s="101" t="s">
        <v>14</v>
      </c>
      <c r="C354" s="101" t="s">
        <v>839</v>
      </c>
      <c r="D354" s="101" t="s">
        <v>835</v>
      </c>
      <c r="E354" s="104">
        <f t="shared" si="658"/>
        <v>1</v>
      </c>
      <c r="F354" s="104">
        <f t="shared" si="659"/>
        <v>1</v>
      </c>
      <c r="G354" s="104">
        <f t="shared" si="659"/>
        <v>1</v>
      </c>
      <c r="H354" s="104">
        <f t="shared" si="660"/>
        <v>0</v>
      </c>
      <c r="I354" s="105">
        <v>8.9999999999999993E-3</v>
      </c>
      <c r="J354" s="106">
        <f t="shared" si="737"/>
        <v>46178</v>
      </c>
      <c r="K354" s="106">
        <f t="shared" si="661"/>
        <v>46178</v>
      </c>
      <c r="L354" s="106">
        <v>46175</v>
      </c>
      <c r="M354" s="107">
        <f t="shared" si="662"/>
        <v>46220</v>
      </c>
      <c r="N354" s="106">
        <f t="shared" si="663"/>
        <v>46220</v>
      </c>
      <c r="O354" s="106">
        <v>46191</v>
      </c>
      <c r="P354" s="107">
        <f t="shared" si="664"/>
        <v>46262</v>
      </c>
      <c r="Q354" s="106">
        <f t="shared" si="665"/>
        <v>46262</v>
      </c>
      <c r="R354" s="106">
        <v>46245</v>
      </c>
      <c r="S354" s="106">
        <f t="shared" si="671"/>
        <v>46276</v>
      </c>
      <c r="T354" s="106">
        <f t="shared" si="666"/>
        <v>46276</v>
      </c>
      <c r="U354" s="106">
        <v>46255</v>
      </c>
      <c r="W354" s="169" t="str">
        <f t="shared" ca="1" si="694"/>
        <v>Completed</v>
      </c>
      <c r="X354" s="169" t="str">
        <f t="shared" ca="1" si="695"/>
        <v>Completed</v>
      </c>
      <c r="Y354" s="169" t="str">
        <f t="shared" ca="1" si="696"/>
        <v>Completed</v>
      </c>
      <c r="Z354" s="170" t="str">
        <f t="shared" ca="1" si="697"/>
        <v>Completed</v>
      </c>
    </row>
    <row r="355" spans="1:26" s="70" customFormat="1" ht="11.5" x14ac:dyDescent="0.25">
      <c r="A355" s="101" t="s">
        <v>64</v>
      </c>
      <c r="B355" s="101" t="s">
        <v>14</v>
      </c>
      <c r="C355" s="101" t="s">
        <v>840</v>
      </c>
      <c r="D355" s="101" t="s">
        <v>836</v>
      </c>
      <c r="E355" s="104">
        <f t="shared" si="658"/>
        <v>1</v>
      </c>
      <c r="F355" s="104">
        <f t="shared" si="659"/>
        <v>1</v>
      </c>
      <c r="G355" s="104">
        <f t="shared" si="659"/>
        <v>1</v>
      </c>
      <c r="H355" s="103">
        <f t="shared" si="660"/>
        <v>0</v>
      </c>
      <c r="I355" s="109">
        <v>4.7E-2</v>
      </c>
      <c r="J355" s="106">
        <f t="shared" si="737"/>
        <v>46178</v>
      </c>
      <c r="K355" s="106">
        <f t="shared" si="661"/>
        <v>46178</v>
      </c>
      <c r="L355" s="106">
        <v>46175</v>
      </c>
      <c r="M355" s="107">
        <f t="shared" si="662"/>
        <v>46220</v>
      </c>
      <c r="N355" s="106">
        <f t="shared" si="663"/>
        <v>46220</v>
      </c>
      <c r="O355" s="106">
        <v>46191</v>
      </c>
      <c r="P355" s="107">
        <f t="shared" si="664"/>
        <v>46262</v>
      </c>
      <c r="Q355" s="106">
        <f t="shared" si="665"/>
        <v>46262</v>
      </c>
      <c r="R355" s="106">
        <v>46245</v>
      </c>
      <c r="S355" s="106">
        <f t="shared" si="671"/>
        <v>46276</v>
      </c>
      <c r="T355" s="106">
        <f t="shared" si="666"/>
        <v>46276</v>
      </c>
      <c r="U355" s="106">
        <v>46255</v>
      </c>
      <c r="W355" s="169" t="str">
        <f t="shared" ca="1" si="694"/>
        <v>Completed</v>
      </c>
      <c r="X355" s="169" t="str">
        <f t="shared" ca="1" si="695"/>
        <v>Completed</v>
      </c>
      <c r="Y355" s="169" t="str">
        <f t="shared" ca="1" si="696"/>
        <v>Completed</v>
      </c>
      <c r="Z355" s="170" t="str">
        <f t="shared" ca="1" si="697"/>
        <v>Completed</v>
      </c>
    </row>
    <row r="356" spans="1:26" s="70" customFormat="1" ht="11.5" x14ac:dyDescent="0.25">
      <c r="A356" s="101" t="s">
        <v>64</v>
      </c>
      <c r="B356" s="101" t="s">
        <v>14</v>
      </c>
      <c r="C356" s="101" t="s">
        <v>841</v>
      </c>
      <c r="D356" s="101" t="s">
        <v>837</v>
      </c>
      <c r="E356" s="104">
        <f t="shared" si="658"/>
        <v>1</v>
      </c>
      <c r="F356" s="104">
        <f t="shared" si="659"/>
        <v>1</v>
      </c>
      <c r="G356" s="104">
        <f t="shared" si="659"/>
        <v>1</v>
      </c>
      <c r="H356" s="103">
        <f t="shared" si="660"/>
        <v>0</v>
      </c>
      <c r="I356" s="109">
        <v>4.7E-2</v>
      </c>
      <c r="J356" s="106">
        <f t="shared" si="737"/>
        <v>46178</v>
      </c>
      <c r="K356" s="106">
        <f t="shared" si="661"/>
        <v>46178</v>
      </c>
      <c r="L356" s="106">
        <v>46175</v>
      </c>
      <c r="M356" s="107">
        <f t="shared" si="662"/>
        <v>46220</v>
      </c>
      <c r="N356" s="106">
        <f t="shared" si="663"/>
        <v>46220</v>
      </c>
      <c r="O356" s="106">
        <v>46191</v>
      </c>
      <c r="P356" s="107">
        <f t="shared" si="664"/>
        <v>46262</v>
      </c>
      <c r="Q356" s="106">
        <f t="shared" si="665"/>
        <v>46262</v>
      </c>
      <c r="R356" s="106">
        <v>46245</v>
      </c>
      <c r="S356" s="106">
        <f t="shared" si="671"/>
        <v>46276</v>
      </c>
      <c r="T356" s="106">
        <f t="shared" si="666"/>
        <v>46276</v>
      </c>
      <c r="U356" s="106">
        <v>46255</v>
      </c>
      <c r="W356" s="169" t="str">
        <f t="shared" ca="1" si="694"/>
        <v>Completed</v>
      </c>
      <c r="X356" s="169" t="str">
        <f t="shared" ca="1" si="695"/>
        <v>Completed</v>
      </c>
      <c r="Y356" s="169" t="str">
        <f t="shared" ca="1" si="696"/>
        <v>Completed</v>
      </c>
      <c r="Z356" s="170" t="str">
        <f t="shared" ca="1" si="697"/>
        <v>Completed</v>
      </c>
    </row>
    <row r="357" spans="1:26" s="70" customFormat="1" ht="11.5" x14ac:dyDescent="0.25">
      <c r="A357" s="101" t="s">
        <v>64</v>
      </c>
      <c r="B357" s="101" t="s">
        <v>14</v>
      </c>
      <c r="C357" s="101" t="s">
        <v>356</v>
      </c>
      <c r="D357" s="101" t="s">
        <v>357</v>
      </c>
      <c r="E357" s="104">
        <f t="shared" si="658"/>
        <v>1</v>
      </c>
      <c r="F357" s="104">
        <f t="shared" si="659"/>
        <v>1</v>
      </c>
      <c r="G357" s="104">
        <f t="shared" si="659"/>
        <v>0</v>
      </c>
      <c r="H357" s="103">
        <f t="shared" si="660"/>
        <v>-1</v>
      </c>
      <c r="I357" s="109">
        <v>4.7E-2</v>
      </c>
      <c r="J357" s="106">
        <f t="shared" si="737"/>
        <v>46178</v>
      </c>
      <c r="K357" s="107">
        <f t="shared" si="661"/>
        <v>46178</v>
      </c>
      <c r="L357" s="107"/>
      <c r="M357" s="107">
        <f t="shared" si="662"/>
        <v>46220</v>
      </c>
      <c r="N357" s="107">
        <f t="shared" si="663"/>
        <v>46220</v>
      </c>
      <c r="O357" s="107"/>
      <c r="P357" s="107">
        <f t="shared" si="664"/>
        <v>46262</v>
      </c>
      <c r="Q357" s="107">
        <f t="shared" si="665"/>
        <v>46262</v>
      </c>
      <c r="R357" s="107"/>
      <c r="S357" s="106">
        <f t="shared" si="671"/>
        <v>46276</v>
      </c>
      <c r="T357" s="107">
        <f t="shared" si="666"/>
        <v>46276</v>
      </c>
      <c r="U357" s="107"/>
      <c r="W357" s="169" t="str">
        <f t="shared" ca="1" si="694"/>
        <v>Overdue</v>
      </c>
      <c r="X357" s="169" t="str">
        <f t="shared" ca="1" si="695"/>
        <v>Overdue</v>
      </c>
      <c r="Y357" s="169" t="str">
        <f t="shared" ca="1" si="696"/>
        <v>Overdue</v>
      </c>
      <c r="Z357" s="170" t="str">
        <f t="shared" ca="1" si="697"/>
        <v>Overdue</v>
      </c>
    </row>
    <row r="358" spans="1:26" s="70" customFormat="1" ht="11.5" x14ac:dyDescent="0.25">
      <c r="A358" s="101" t="s">
        <v>64</v>
      </c>
      <c r="B358" s="101" t="s">
        <v>14</v>
      </c>
      <c r="C358" s="101" t="s">
        <v>358</v>
      </c>
      <c r="D358" s="101" t="s">
        <v>359</v>
      </c>
      <c r="E358" s="104">
        <f t="shared" ref="E358:E414" si="738">(COUNTIFS(J358,"&lt;="&amp;$C$1)*50%)+(COUNTIFS(M358,"&lt;="&amp;$C$1)*20%)+(COUNTIFS(P358,"&lt;="&amp;$C$1)*10%)+(COUNTIFS(S358,"&lt;="&amp;$C$1)*20%)</f>
        <v>1</v>
      </c>
      <c r="F358" s="104">
        <f t="shared" ref="F358:G414" si="739">(COUNTIFS(K358,"&lt;="&amp;$C$1)*50%)+(COUNTIFS(N358,"&lt;="&amp;$C$1)*20%)+(COUNTIFS(Q358,"&lt;="&amp;$C$1)*10%)+(COUNTIFS(T358,"&lt;="&amp;$C$1)*20%)</f>
        <v>1</v>
      </c>
      <c r="G358" s="104">
        <f t="shared" si="739"/>
        <v>0</v>
      </c>
      <c r="H358" s="103">
        <f t="shared" ref="H358:H414" si="740">G358-E358</f>
        <v>-1</v>
      </c>
      <c r="I358" s="109">
        <v>4.7E-2</v>
      </c>
      <c r="J358" s="106">
        <f t="shared" si="737"/>
        <v>46178</v>
      </c>
      <c r="K358" s="107">
        <f t="shared" si="661"/>
        <v>46178</v>
      </c>
      <c r="L358" s="107"/>
      <c r="M358" s="107">
        <f t="shared" si="662"/>
        <v>46220</v>
      </c>
      <c r="N358" s="107">
        <f t="shared" si="663"/>
        <v>46220</v>
      </c>
      <c r="O358" s="107"/>
      <c r="P358" s="107">
        <f t="shared" si="664"/>
        <v>46262</v>
      </c>
      <c r="Q358" s="107">
        <f t="shared" si="665"/>
        <v>46262</v>
      </c>
      <c r="R358" s="107"/>
      <c r="S358" s="106">
        <f t="shared" si="671"/>
        <v>46276</v>
      </c>
      <c r="T358" s="107">
        <f t="shared" si="666"/>
        <v>46276</v>
      </c>
      <c r="U358" s="107"/>
      <c r="W358" s="169" t="str">
        <f t="shared" ca="1" si="694"/>
        <v>Overdue</v>
      </c>
      <c r="X358" s="169" t="str">
        <f t="shared" ca="1" si="695"/>
        <v>Overdue</v>
      </c>
      <c r="Y358" s="169" t="str">
        <f t="shared" ca="1" si="696"/>
        <v>Overdue</v>
      </c>
      <c r="Z358" s="170" t="str">
        <f t="shared" ca="1" si="697"/>
        <v>Overdue</v>
      </c>
    </row>
    <row r="359" spans="1:26" s="70" customFormat="1" ht="11.5" x14ac:dyDescent="0.25">
      <c r="A359" s="101" t="s">
        <v>64</v>
      </c>
      <c r="B359" s="101" t="s">
        <v>14</v>
      </c>
      <c r="C359" s="101" t="s">
        <v>360</v>
      </c>
      <c r="D359" s="101" t="s">
        <v>361</v>
      </c>
      <c r="E359" s="104">
        <f t="shared" si="738"/>
        <v>1</v>
      </c>
      <c r="F359" s="104">
        <f t="shared" si="739"/>
        <v>1</v>
      </c>
      <c r="G359" s="104">
        <f t="shared" si="739"/>
        <v>0.79999999999999993</v>
      </c>
      <c r="H359" s="103">
        <f t="shared" si="740"/>
        <v>-0.20000000000000007</v>
      </c>
      <c r="I359" s="109">
        <v>4.7E-2</v>
      </c>
      <c r="J359" s="106">
        <f t="shared" si="737"/>
        <v>46178</v>
      </c>
      <c r="K359" s="107">
        <f t="shared" si="661"/>
        <v>46178</v>
      </c>
      <c r="L359" s="106">
        <v>46130</v>
      </c>
      <c r="M359" s="107">
        <f t="shared" si="662"/>
        <v>46220</v>
      </c>
      <c r="N359" s="107">
        <f t="shared" si="663"/>
        <v>46220</v>
      </c>
      <c r="O359" s="107">
        <v>46217</v>
      </c>
      <c r="P359" s="107">
        <f>M359+38</f>
        <v>46258</v>
      </c>
      <c r="Q359" s="107">
        <f t="shared" si="665"/>
        <v>46258</v>
      </c>
      <c r="R359" s="106">
        <v>46273</v>
      </c>
      <c r="S359" s="106">
        <f t="shared" si="671"/>
        <v>46272</v>
      </c>
      <c r="T359" s="107">
        <f t="shared" si="666"/>
        <v>46272</v>
      </c>
      <c r="U359" s="107"/>
      <c r="W359" s="169" t="str">
        <f t="shared" ca="1" si="694"/>
        <v>Completed</v>
      </c>
      <c r="X359" s="169" t="str">
        <f t="shared" ca="1" si="695"/>
        <v>Completed</v>
      </c>
      <c r="Y359" s="169" t="str">
        <f t="shared" ca="1" si="696"/>
        <v>Completed</v>
      </c>
      <c r="Z359" s="170" t="str">
        <f t="shared" ca="1" si="697"/>
        <v>Overdue</v>
      </c>
    </row>
    <row r="360" spans="1:26" s="70" customFormat="1" ht="11.5" x14ac:dyDescent="0.25">
      <c r="A360" s="101" t="s">
        <v>64</v>
      </c>
      <c r="B360" s="101" t="s">
        <v>14</v>
      </c>
      <c r="C360" s="101" t="s">
        <v>362</v>
      </c>
      <c r="D360" s="101" t="s">
        <v>363</v>
      </c>
      <c r="E360" s="104">
        <f t="shared" si="738"/>
        <v>1</v>
      </c>
      <c r="F360" s="104">
        <f t="shared" si="739"/>
        <v>1</v>
      </c>
      <c r="G360" s="104">
        <f t="shared" si="739"/>
        <v>0.79999999999999993</v>
      </c>
      <c r="H360" s="103">
        <f t="shared" si="740"/>
        <v>-0.20000000000000007</v>
      </c>
      <c r="I360" s="109">
        <v>4.7E-2</v>
      </c>
      <c r="J360" s="106">
        <f t="shared" si="737"/>
        <v>46178</v>
      </c>
      <c r="K360" s="107">
        <f t="shared" si="661"/>
        <v>46178</v>
      </c>
      <c r="L360" s="106">
        <v>46130</v>
      </c>
      <c r="M360" s="107">
        <f t="shared" si="662"/>
        <v>46220</v>
      </c>
      <c r="N360" s="107">
        <f t="shared" si="663"/>
        <v>46220</v>
      </c>
      <c r="O360" s="107">
        <v>46217</v>
      </c>
      <c r="P360" s="107">
        <f t="shared" ref="P360:P385" si="741">M360+38</f>
        <v>46258</v>
      </c>
      <c r="Q360" s="107">
        <f t="shared" si="665"/>
        <v>46258</v>
      </c>
      <c r="R360" s="106">
        <v>46273</v>
      </c>
      <c r="S360" s="106">
        <f t="shared" si="671"/>
        <v>46272</v>
      </c>
      <c r="T360" s="107">
        <f t="shared" si="666"/>
        <v>46272</v>
      </c>
      <c r="U360" s="107"/>
      <c r="W360" s="169" t="str">
        <f t="shared" ca="1" si="694"/>
        <v>Completed</v>
      </c>
      <c r="X360" s="169" t="str">
        <f t="shared" ca="1" si="695"/>
        <v>Completed</v>
      </c>
      <c r="Y360" s="169" t="str">
        <f t="shared" ca="1" si="696"/>
        <v>Completed</v>
      </c>
      <c r="Z360" s="170" t="str">
        <f t="shared" ca="1" si="697"/>
        <v>Overdue</v>
      </c>
    </row>
    <row r="361" spans="1:26" s="70" customFormat="1" ht="11.5" x14ac:dyDescent="0.25">
      <c r="A361" s="101" t="s">
        <v>64</v>
      </c>
      <c r="B361" s="101" t="s">
        <v>14</v>
      </c>
      <c r="C361" s="101" t="s">
        <v>364</v>
      </c>
      <c r="D361" s="101" t="s">
        <v>365</v>
      </c>
      <c r="E361" s="104">
        <f t="shared" si="738"/>
        <v>1</v>
      </c>
      <c r="F361" s="104">
        <f t="shared" si="739"/>
        <v>1</v>
      </c>
      <c r="G361" s="104">
        <f t="shared" si="739"/>
        <v>0.79999999999999993</v>
      </c>
      <c r="H361" s="103">
        <f t="shared" si="740"/>
        <v>-0.20000000000000007</v>
      </c>
      <c r="I361" s="109">
        <v>4.7E-2</v>
      </c>
      <c r="J361" s="106">
        <f t="shared" si="737"/>
        <v>46178</v>
      </c>
      <c r="K361" s="107">
        <f t="shared" si="661"/>
        <v>46178</v>
      </c>
      <c r="L361" s="106">
        <v>46130</v>
      </c>
      <c r="M361" s="107">
        <f t="shared" si="662"/>
        <v>46220</v>
      </c>
      <c r="N361" s="107">
        <f t="shared" si="663"/>
        <v>46220</v>
      </c>
      <c r="O361" s="107">
        <v>46217</v>
      </c>
      <c r="P361" s="107">
        <f t="shared" si="741"/>
        <v>46258</v>
      </c>
      <c r="Q361" s="107">
        <f t="shared" si="665"/>
        <v>46258</v>
      </c>
      <c r="R361" s="106">
        <v>46273</v>
      </c>
      <c r="S361" s="106">
        <f t="shared" si="671"/>
        <v>46272</v>
      </c>
      <c r="T361" s="107">
        <f t="shared" si="666"/>
        <v>46272</v>
      </c>
      <c r="U361" s="107"/>
      <c r="W361" s="169" t="str">
        <f t="shared" ca="1" si="694"/>
        <v>Completed</v>
      </c>
      <c r="X361" s="169" t="str">
        <f t="shared" ca="1" si="695"/>
        <v>Completed</v>
      </c>
      <c r="Y361" s="169" t="str">
        <f t="shared" ca="1" si="696"/>
        <v>Completed</v>
      </c>
      <c r="Z361" s="170" t="str">
        <f t="shared" ca="1" si="697"/>
        <v>Overdue</v>
      </c>
    </row>
    <row r="362" spans="1:26" s="70" customFormat="1" ht="11.5" x14ac:dyDescent="0.25">
      <c r="A362" s="101" t="s">
        <v>64</v>
      </c>
      <c r="B362" s="101" t="s">
        <v>14</v>
      </c>
      <c r="C362" s="101" t="s">
        <v>366</v>
      </c>
      <c r="D362" s="101" t="s">
        <v>367</v>
      </c>
      <c r="E362" s="104">
        <f t="shared" si="738"/>
        <v>1</v>
      </c>
      <c r="F362" s="104">
        <f t="shared" si="739"/>
        <v>1</v>
      </c>
      <c r="G362" s="104">
        <f t="shared" si="739"/>
        <v>0.79999999999999993</v>
      </c>
      <c r="H362" s="103">
        <f t="shared" si="740"/>
        <v>-0.20000000000000007</v>
      </c>
      <c r="I362" s="109">
        <v>4.7E-2</v>
      </c>
      <c r="J362" s="106">
        <f t="shared" si="737"/>
        <v>46178</v>
      </c>
      <c r="K362" s="107">
        <f t="shared" si="661"/>
        <v>46178</v>
      </c>
      <c r="L362" s="106">
        <v>46130</v>
      </c>
      <c r="M362" s="107">
        <f t="shared" si="662"/>
        <v>46220</v>
      </c>
      <c r="N362" s="107">
        <f t="shared" si="663"/>
        <v>46220</v>
      </c>
      <c r="O362" s="107">
        <v>46217</v>
      </c>
      <c r="P362" s="107">
        <f t="shared" si="741"/>
        <v>46258</v>
      </c>
      <c r="Q362" s="107">
        <f t="shared" si="665"/>
        <v>46258</v>
      </c>
      <c r="R362" s="106">
        <v>46273</v>
      </c>
      <c r="S362" s="106">
        <f t="shared" si="671"/>
        <v>46272</v>
      </c>
      <c r="T362" s="107">
        <f t="shared" si="666"/>
        <v>46272</v>
      </c>
      <c r="U362" s="107"/>
      <c r="W362" s="169" t="str">
        <f t="shared" ca="1" si="694"/>
        <v>Completed</v>
      </c>
      <c r="X362" s="169" t="str">
        <f t="shared" ca="1" si="695"/>
        <v>Completed</v>
      </c>
      <c r="Y362" s="169" t="str">
        <f t="shared" ca="1" si="696"/>
        <v>Completed</v>
      </c>
      <c r="Z362" s="170" t="str">
        <f t="shared" ca="1" si="697"/>
        <v>Overdue</v>
      </c>
    </row>
    <row r="363" spans="1:26" s="70" customFormat="1" ht="11.5" x14ac:dyDescent="0.25">
      <c r="A363" s="101" t="s">
        <v>64</v>
      </c>
      <c r="B363" s="101" t="s">
        <v>14</v>
      </c>
      <c r="C363" s="101" t="s">
        <v>368</v>
      </c>
      <c r="D363" s="101" t="s">
        <v>369</v>
      </c>
      <c r="E363" s="104">
        <f t="shared" si="738"/>
        <v>1</v>
      </c>
      <c r="F363" s="104">
        <f t="shared" si="739"/>
        <v>1</v>
      </c>
      <c r="G363" s="104">
        <f t="shared" si="739"/>
        <v>0.79999999999999993</v>
      </c>
      <c r="H363" s="103">
        <f t="shared" si="740"/>
        <v>-0.20000000000000007</v>
      </c>
      <c r="I363" s="109">
        <v>4.7E-2</v>
      </c>
      <c r="J363" s="106">
        <f t="shared" si="737"/>
        <v>46178</v>
      </c>
      <c r="K363" s="107">
        <f t="shared" si="661"/>
        <v>46178</v>
      </c>
      <c r="L363" s="106">
        <v>46130</v>
      </c>
      <c r="M363" s="107">
        <f t="shared" si="662"/>
        <v>46220</v>
      </c>
      <c r="N363" s="107">
        <f t="shared" si="663"/>
        <v>46220</v>
      </c>
      <c r="O363" s="107">
        <v>46217</v>
      </c>
      <c r="P363" s="107">
        <f t="shared" si="741"/>
        <v>46258</v>
      </c>
      <c r="Q363" s="107">
        <f t="shared" si="665"/>
        <v>46258</v>
      </c>
      <c r="R363" s="106">
        <v>46273</v>
      </c>
      <c r="S363" s="106">
        <f t="shared" si="671"/>
        <v>46272</v>
      </c>
      <c r="T363" s="107">
        <f t="shared" si="666"/>
        <v>46272</v>
      </c>
      <c r="U363" s="107"/>
      <c r="W363" s="169" t="str">
        <f t="shared" ca="1" si="694"/>
        <v>Completed</v>
      </c>
      <c r="X363" s="169" t="str">
        <f t="shared" ca="1" si="695"/>
        <v>Completed</v>
      </c>
      <c r="Y363" s="169" t="str">
        <f t="shared" ca="1" si="696"/>
        <v>Completed</v>
      </c>
      <c r="Z363" s="170" t="str">
        <f t="shared" ca="1" si="697"/>
        <v>Overdue</v>
      </c>
    </row>
    <row r="364" spans="1:26" s="70" customFormat="1" ht="11.5" x14ac:dyDescent="0.25">
      <c r="A364" s="101" t="s">
        <v>64</v>
      </c>
      <c r="B364" s="101" t="s">
        <v>14</v>
      </c>
      <c r="C364" s="101" t="s">
        <v>370</v>
      </c>
      <c r="D364" s="101" t="s">
        <v>371</v>
      </c>
      <c r="E364" s="104">
        <f t="shared" si="738"/>
        <v>1</v>
      </c>
      <c r="F364" s="104">
        <f t="shared" si="739"/>
        <v>1</v>
      </c>
      <c r="G364" s="104">
        <f t="shared" si="739"/>
        <v>0.79999999999999993</v>
      </c>
      <c r="H364" s="103">
        <f t="shared" si="740"/>
        <v>-0.20000000000000007</v>
      </c>
      <c r="I364" s="109">
        <v>4.7E-2</v>
      </c>
      <c r="J364" s="106">
        <f t="shared" si="737"/>
        <v>46178</v>
      </c>
      <c r="K364" s="107">
        <f t="shared" si="661"/>
        <v>46178</v>
      </c>
      <c r="L364" s="106">
        <v>46130</v>
      </c>
      <c r="M364" s="107">
        <f t="shared" si="662"/>
        <v>46220</v>
      </c>
      <c r="N364" s="107">
        <f t="shared" si="663"/>
        <v>46220</v>
      </c>
      <c r="O364" s="107">
        <v>46217</v>
      </c>
      <c r="P364" s="107">
        <f t="shared" si="741"/>
        <v>46258</v>
      </c>
      <c r="Q364" s="107">
        <f t="shared" si="665"/>
        <v>46258</v>
      </c>
      <c r="R364" s="106">
        <v>46273</v>
      </c>
      <c r="S364" s="106">
        <f t="shared" si="671"/>
        <v>46272</v>
      </c>
      <c r="T364" s="107">
        <f t="shared" si="666"/>
        <v>46272</v>
      </c>
      <c r="U364" s="107"/>
      <c r="W364" s="169" t="str">
        <f t="shared" ca="1" si="694"/>
        <v>Completed</v>
      </c>
      <c r="X364" s="169" t="str">
        <f t="shared" ca="1" si="695"/>
        <v>Completed</v>
      </c>
      <c r="Y364" s="169" t="str">
        <f t="shared" ca="1" si="696"/>
        <v>Completed</v>
      </c>
      <c r="Z364" s="170" t="str">
        <f t="shared" ca="1" si="697"/>
        <v>Overdue</v>
      </c>
    </row>
    <row r="365" spans="1:26" s="70" customFormat="1" ht="11.5" x14ac:dyDescent="0.25">
      <c r="A365" s="101" t="s">
        <v>64</v>
      </c>
      <c r="B365" s="101" t="s">
        <v>14</v>
      </c>
      <c r="C365" s="101" t="s">
        <v>372</v>
      </c>
      <c r="D365" s="101" t="s">
        <v>373</v>
      </c>
      <c r="E365" s="104">
        <f t="shared" si="738"/>
        <v>1</v>
      </c>
      <c r="F365" s="104">
        <f t="shared" si="739"/>
        <v>1</v>
      </c>
      <c r="G365" s="104">
        <f t="shared" si="739"/>
        <v>0.79999999999999993</v>
      </c>
      <c r="H365" s="103">
        <f t="shared" si="740"/>
        <v>-0.20000000000000007</v>
      </c>
      <c r="I365" s="109">
        <v>4.7E-2</v>
      </c>
      <c r="J365" s="106">
        <f t="shared" si="737"/>
        <v>46178</v>
      </c>
      <c r="K365" s="107">
        <f t="shared" si="661"/>
        <v>46178</v>
      </c>
      <c r="L365" s="106">
        <v>46130</v>
      </c>
      <c r="M365" s="107">
        <f t="shared" si="662"/>
        <v>46220</v>
      </c>
      <c r="N365" s="107">
        <f t="shared" si="663"/>
        <v>46220</v>
      </c>
      <c r="O365" s="107">
        <v>46217</v>
      </c>
      <c r="P365" s="107">
        <f t="shared" si="741"/>
        <v>46258</v>
      </c>
      <c r="Q365" s="107">
        <f t="shared" si="665"/>
        <v>46258</v>
      </c>
      <c r="R365" s="106">
        <v>46273</v>
      </c>
      <c r="S365" s="106">
        <f t="shared" si="671"/>
        <v>46272</v>
      </c>
      <c r="T365" s="107">
        <f t="shared" si="666"/>
        <v>46272</v>
      </c>
      <c r="U365" s="107"/>
      <c r="W365" s="169" t="str">
        <f t="shared" ca="1" si="694"/>
        <v>Completed</v>
      </c>
      <c r="X365" s="169" t="str">
        <f t="shared" ca="1" si="695"/>
        <v>Completed</v>
      </c>
      <c r="Y365" s="169" t="str">
        <f t="shared" ca="1" si="696"/>
        <v>Completed</v>
      </c>
      <c r="Z365" s="170" t="str">
        <f t="shared" ca="1" si="697"/>
        <v>Overdue</v>
      </c>
    </row>
    <row r="366" spans="1:26" s="70" customFormat="1" ht="11.5" x14ac:dyDescent="0.25">
      <c r="A366" s="101" t="s">
        <v>64</v>
      </c>
      <c r="B366" s="101" t="s">
        <v>14</v>
      </c>
      <c r="C366" s="101" t="s">
        <v>374</v>
      </c>
      <c r="D366" s="101" t="s">
        <v>375</v>
      </c>
      <c r="E366" s="104">
        <f t="shared" si="738"/>
        <v>1</v>
      </c>
      <c r="F366" s="104">
        <f t="shared" si="739"/>
        <v>1</v>
      </c>
      <c r="G366" s="104">
        <f t="shared" si="739"/>
        <v>0.79999999999999993</v>
      </c>
      <c r="H366" s="103">
        <f t="shared" si="740"/>
        <v>-0.20000000000000007</v>
      </c>
      <c r="I366" s="109">
        <v>4.7E-2</v>
      </c>
      <c r="J366" s="106">
        <f t="shared" si="737"/>
        <v>46178</v>
      </c>
      <c r="K366" s="107">
        <f t="shared" si="661"/>
        <v>46178</v>
      </c>
      <c r="L366" s="106">
        <v>46130</v>
      </c>
      <c r="M366" s="107">
        <f t="shared" si="662"/>
        <v>46220</v>
      </c>
      <c r="N366" s="107">
        <f t="shared" si="663"/>
        <v>46220</v>
      </c>
      <c r="O366" s="107">
        <v>46217</v>
      </c>
      <c r="P366" s="107">
        <f t="shared" si="741"/>
        <v>46258</v>
      </c>
      <c r="Q366" s="107">
        <f t="shared" si="665"/>
        <v>46258</v>
      </c>
      <c r="R366" s="106">
        <v>46273</v>
      </c>
      <c r="S366" s="106">
        <f t="shared" si="671"/>
        <v>46272</v>
      </c>
      <c r="T366" s="107">
        <f t="shared" si="666"/>
        <v>46272</v>
      </c>
      <c r="U366" s="107"/>
      <c r="W366" s="169" t="str">
        <f t="shared" ca="1" si="694"/>
        <v>Completed</v>
      </c>
      <c r="X366" s="169" t="str">
        <f t="shared" ca="1" si="695"/>
        <v>Completed</v>
      </c>
      <c r="Y366" s="169" t="str">
        <f t="shared" ca="1" si="696"/>
        <v>Completed</v>
      </c>
      <c r="Z366" s="170" t="str">
        <f t="shared" ca="1" si="697"/>
        <v>Overdue</v>
      </c>
    </row>
    <row r="367" spans="1:26" s="70" customFormat="1" ht="11.5" x14ac:dyDescent="0.25">
      <c r="A367" s="101" t="s">
        <v>64</v>
      </c>
      <c r="B367" s="101" t="s">
        <v>14</v>
      </c>
      <c r="C367" s="101" t="s">
        <v>376</v>
      </c>
      <c r="D367" s="101" t="s">
        <v>377</v>
      </c>
      <c r="E367" s="104">
        <f t="shared" si="738"/>
        <v>1</v>
      </c>
      <c r="F367" s="104">
        <f t="shared" si="739"/>
        <v>1</v>
      </c>
      <c r="G367" s="104">
        <f t="shared" si="739"/>
        <v>0.79999999999999993</v>
      </c>
      <c r="H367" s="103">
        <f t="shared" si="740"/>
        <v>-0.20000000000000007</v>
      </c>
      <c r="I367" s="109">
        <v>4.7E-2</v>
      </c>
      <c r="J367" s="106">
        <f t="shared" si="737"/>
        <v>46178</v>
      </c>
      <c r="K367" s="107">
        <f t="shared" si="661"/>
        <v>46178</v>
      </c>
      <c r="L367" s="106">
        <v>46130</v>
      </c>
      <c r="M367" s="107">
        <f t="shared" si="662"/>
        <v>46220</v>
      </c>
      <c r="N367" s="107">
        <f t="shared" si="663"/>
        <v>46220</v>
      </c>
      <c r="O367" s="107">
        <v>46217</v>
      </c>
      <c r="P367" s="107">
        <f t="shared" si="741"/>
        <v>46258</v>
      </c>
      <c r="Q367" s="107">
        <f t="shared" si="665"/>
        <v>46258</v>
      </c>
      <c r="R367" s="106">
        <v>46273</v>
      </c>
      <c r="S367" s="106">
        <f t="shared" si="671"/>
        <v>46272</v>
      </c>
      <c r="T367" s="107">
        <f t="shared" si="666"/>
        <v>46272</v>
      </c>
      <c r="U367" s="107"/>
      <c r="W367" s="169" t="str">
        <f t="shared" ca="1" si="694"/>
        <v>Completed</v>
      </c>
      <c r="X367" s="169" t="str">
        <f t="shared" ca="1" si="695"/>
        <v>Completed</v>
      </c>
      <c r="Y367" s="169" t="str">
        <f t="shared" ca="1" si="696"/>
        <v>Completed</v>
      </c>
      <c r="Z367" s="170" t="str">
        <f t="shared" ca="1" si="697"/>
        <v>Overdue</v>
      </c>
    </row>
    <row r="368" spans="1:26" s="70" customFormat="1" ht="11.5" x14ac:dyDescent="0.25">
      <c r="A368" s="101" t="s">
        <v>64</v>
      </c>
      <c r="B368" s="101" t="s">
        <v>14</v>
      </c>
      <c r="C368" s="101" t="s">
        <v>378</v>
      </c>
      <c r="D368" s="101" t="s">
        <v>379</v>
      </c>
      <c r="E368" s="104">
        <f t="shared" si="738"/>
        <v>1</v>
      </c>
      <c r="F368" s="104">
        <f t="shared" si="739"/>
        <v>1</v>
      </c>
      <c r="G368" s="104">
        <f t="shared" si="739"/>
        <v>0.79999999999999993</v>
      </c>
      <c r="H368" s="103">
        <f t="shared" si="740"/>
        <v>-0.20000000000000007</v>
      </c>
      <c r="I368" s="109">
        <v>4.7E-2</v>
      </c>
      <c r="J368" s="106">
        <f t="shared" si="737"/>
        <v>46178</v>
      </c>
      <c r="K368" s="107">
        <f t="shared" ref="K368:K438" si="742">J368</f>
        <v>46178</v>
      </c>
      <c r="L368" s="106">
        <v>46130</v>
      </c>
      <c r="M368" s="107">
        <f t="shared" ref="M368:M438" si="743">J368+42</f>
        <v>46220</v>
      </c>
      <c r="N368" s="107">
        <f t="shared" ref="N368:N438" si="744">M368</f>
        <v>46220</v>
      </c>
      <c r="O368" s="107">
        <v>46217</v>
      </c>
      <c r="P368" s="107">
        <f t="shared" si="741"/>
        <v>46258</v>
      </c>
      <c r="Q368" s="107">
        <f t="shared" ref="Q368:Q438" si="745">P368</f>
        <v>46258</v>
      </c>
      <c r="R368" s="106">
        <v>46273</v>
      </c>
      <c r="S368" s="106">
        <f t="shared" si="671"/>
        <v>46272</v>
      </c>
      <c r="T368" s="107">
        <f t="shared" ref="T368:T438" si="746">S368</f>
        <v>46272</v>
      </c>
      <c r="U368" s="107"/>
      <c r="W368" s="169" t="str">
        <f t="shared" ca="1" si="694"/>
        <v>Completed</v>
      </c>
      <c r="X368" s="169" t="str">
        <f t="shared" ca="1" si="695"/>
        <v>Completed</v>
      </c>
      <c r="Y368" s="169" t="str">
        <f t="shared" ca="1" si="696"/>
        <v>Completed</v>
      </c>
      <c r="Z368" s="170" t="str">
        <f t="shared" ca="1" si="697"/>
        <v>Overdue</v>
      </c>
    </row>
    <row r="369" spans="1:26" s="70" customFormat="1" ht="11.5" x14ac:dyDescent="0.25">
      <c r="A369" s="101" t="s">
        <v>64</v>
      </c>
      <c r="B369" s="101" t="s">
        <v>14</v>
      </c>
      <c r="C369" s="101" t="s">
        <v>380</v>
      </c>
      <c r="D369" s="101" t="s">
        <v>381</v>
      </c>
      <c r="E369" s="104">
        <f t="shared" si="738"/>
        <v>1</v>
      </c>
      <c r="F369" s="104">
        <f t="shared" si="739"/>
        <v>1</v>
      </c>
      <c r="G369" s="104">
        <f t="shared" si="739"/>
        <v>0.79999999999999993</v>
      </c>
      <c r="H369" s="103">
        <f t="shared" si="740"/>
        <v>-0.20000000000000007</v>
      </c>
      <c r="I369" s="109">
        <v>4.7E-2</v>
      </c>
      <c r="J369" s="106">
        <f t="shared" si="737"/>
        <v>46178</v>
      </c>
      <c r="K369" s="107">
        <f t="shared" si="742"/>
        <v>46178</v>
      </c>
      <c r="L369" s="106">
        <v>46130</v>
      </c>
      <c r="M369" s="107">
        <f t="shared" si="743"/>
        <v>46220</v>
      </c>
      <c r="N369" s="107">
        <f t="shared" si="744"/>
        <v>46220</v>
      </c>
      <c r="O369" s="107">
        <v>46217</v>
      </c>
      <c r="P369" s="107">
        <f t="shared" si="741"/>
        <v>46258</v>
      </c>
      <c r="Q369" s="107">
        <f t="shared" si="745"/>
        <v>46258</v>
      </c>
      <c r="R369" s="106">
        <v>46273</v>
      </c>
      <c r="S369" s="106">
        <f t="shared" ref="S369:S439" si="747">P369+14</f>
        <v>46272</v>
      </c>
      <c r="T369" s="107">
        <f t="shared" si="746"/>
        <v>46272</v>
      </c>
      <c r="U369" s="107"/>
      <c r="W369" s="169" t="str">
        <f t="shared" ca="1" si="694"/>
        <v>Completed</v>
      </c>
      <c r="X369" s="169" t="str">
        <f t="shared" ca="1" si="695"/>
        <v>Completed</v>
      </c>
      <c r="Y369" s="169" t="str">
        <f t="shared" ca="1" si="696"/>
        <v>Completed</v>
      </c>
      <c r="Z369" s="170" t="str">
        <f t="shared" ca="1" si="697"/>
        <v>Overdue</v>
      </c>
    </row>
    <row r="370" spans="1:26" s="70" customFormat="1" ht="11.5" x14ac:dyDescent="0.25">
      <c r="A370" s="101" t="s">
        <v>64</v>
      </c>
      <c r="B370" s="101" t="s">
        <v>14</v>
      </c>
      <c r="C370" s="101" t="s">
        <v>382</v>
      </c>
      <c r="D370" s="101" t="s">
        <v>383</v>
      </c>
      <c r="E370" s="104">
        <f t="shared" si="738"/>
        <v>1</v>
      </c>
      <c r="F370" s="104">
        <f t="shared" si="739"/>
        <v>1</v>
      </c>
      <c r="G370" s="104">
        <f t="shared" si="739"/>
        <v>0.79999999999999993</v>
      </c>
      <c r="H370" s="103">
        <f t="shared" si="740"/>
        <v>-0.20000000000000007</v>
      </c>
      <c r="I370" s="109">
        <v>4.7E-2</v>
      </c>
      <c r="J370" s="106">
        <f t="shared" si="737"/>
        <v>46178</v>
      </c>
      <c r="K370" s="107">
        <f t="shared" si="742"/>
        <v>46178</v>
      </c>
      <c r="L370" s="106">
        <v>46130</v>
      </c>
      <c r="M370" s="107">
        <f t="shared" si="743"/>
        <v>46220</v>
      </c>
      <c r="N370" s="107">
        <f t="shared" si="744"/>
        <v>46220</v>
      </c>
      <c r="O370" s="107">
        <v>46217</v>
      </c>
      <c r="P370" s="107">
        <f t="shared" si="741"/>
        <v>46258</v>
      </c>
      <c r="Q370" s="107">
        <f t="shared" si="745"/>
        <v>46258</v>
      </c>
      <c r="R370" s="106">
        <v>46273</v>
      </c>
      <c r="S370" s="106">
        <f t="shared" si="747"/>
        <v>46272</v>
      </c>
      <c r="T370" s="107">
        <f t="shared" si="746"/>
        <v>46272</v>
      </c>
      <c r="U370" s="107"/>
      <c r="W370" s="169" t="str">
        <f t="shared" ca="1" si="694"/>
        <v>Completed</v>
      </c>
      <c r="X370" s="169" t="str">
        <f t="shared" ca="1" si="695"/>
        <v>Completed</v>
      </c>
      <c r="Y370" s="169" t="str">
        <f t="shared" ca="1" si="696"/>
        <v>Completed</v>
      </c>
      <c r="Z370" s="170" t="str">
        <f t="shared" ca="1" si="697"/>
        <v>Overdue</v>
      </c>
    </row>
    <row r="371" spans="1:26" s="70" customFormat="1" ht="11.5" x14ac:dyDescent="0.25">
      <c r="A371" s="101" t="s">
        <v>64</v>
      </c>
      <c r="B371" s="101" t="s">
        <v>14</v>
      </c>
      <c r="C371" s="101" t="s">
        <v>384</v>
      </c>
      <c r="D371" s="101" t="s">
        <v>385</v>
      </c>
      <c r="E371" s="104">
        <f t="shared" si="738"/>
        <v>1</v>
      </c>
      <c r="F371" s="104">
        <f t="shared" si="739"/>
        <v>1</v>
      </c>
      <c r="G371" s="104">
        <f t="shared" si="739"/>
        <v>0.79999999999999993</v>
      </c>
      <c r="H371" s="103">
        <f t="shared" si="740"/>
        <v>-0.20000000000000007</v>
      </c>
      <c r="I371" s="109">
        <v>4.7E-2</v>
      </c>
      <c r="J371" s="106">
        <f t="shared" si="737"/>
        <v>46178</v>
      </c>
      <c r="K371" s="107">
        <f t="shared" si="742"/>
        <v>46178</v>
      </c>
      <c r="L371" s="106">
        <v>46130</v>
      </c>
      <c r="M371" s="107">
        <f t="shared" si="743"/>
        <v>46220</v>
      </c>
      <c r="N371" s="107">
        <f t="shared" si="744"/>
        <v>46220</v>
      </c>
      <c r="O371" s="107">
        <v>46217</v>
      </c>
      <c r="P371" s="107">
        <f t="shared" si="741"/>
        <v>46258</v>
      </c>
      <c r="Q371" s="107">
        <f t="shared" si="745"/>
        <v>46258</v>
      </c>
      <c r="R371" s="106">
        <v>46273</v>
      </c>
      <c r="S371" s="106">
        <f t="shared" si="747"/>
        <v>46272</v>
      </c>
      <c r="T371" s="107">
        <f t="shared" si="746"/>
        <v>46272</v>
      </c>
      <c r="U371" s="107"/>
      <c r="W371" s="169" t="str">
        <f t="shared" ca="1" si="694"/>
        <v>Completed</v>
      </c>
      <c r="X371" s="169" t="str">
        <f t="shared" ca="1" si="695"/>
        <v>Completed</v>
      </c>
      <c r="Y371" s="169" t="str">
        <f t="shared" ca="1" si="696"/>
        <v>Completed</v>
      </c>
      <c r="Z371" s="170" t="str">
        <f t="shared" ca="1" si="697"/>
        <v>Overdue</v>
      </c>
    </row>
    <row r="372" spans="1:26" s="70" customFormat="1" ht="11.5" x14ac:dyDescent="0.25">
      <c r="A372" s="101" t="s">
        <v>64</v>
      </c>
      <c r="B372" s="101" t="s">
        <v>14</v>
      </c>
      <c r="C372" s="101" t="s">
        <v>386</v>
      </c>
      <c r="D372" s="101" t="s">
        <v>387</v>
      </c>
      <c r="E372" s="104">
        <f t="shared" si="738"/>
        <v>1</v>
      </c>
      <c r="F372" s="104">
        <f t="shared" si="739"/>
        <v>1</v>
      </c>
      <c r="G372" s="104">
        <f t="shared" si="739"/>
        <v>0.79999999999999993</v>
      </c>
      <c r="H372" s="103">
        <f t="shared" si="740"/>
        <v>-0.20000000000000007</v>
      </c>
      <c r="I372" s="109">
        <v>4.7E-2</v>
      </c>
      <c r="J372" s="106">
        <f t="shared" si="737"/>
        <v>46178</v>
      </c>
      <c r="K372" s="107">
        <f t="shared" si="742"/>
        <v>46178</v>
      </c>
      <c r="L372" s="106">
        <v>46130</v>
      </c>
      <c r="M372" s="107">
        <f t="shared" si="743"/>
        <v>46220</v>
      </c>
      <c r="N372" s="107">
        <f t="shared" si="744"/>
        <v>46220</v>
      </c>
      <c r="O372" s="107">
        <v>46217</v>
      </c>
      <c r="P372" s="107">
        <f t="shared" si="741"/>
        <v>46258</v>
      </c>
      <c r="Q372" s="107">
        <f t="shared" si="745"/>
        <v>46258</v>
      </c>
      <c r="R372" s="106">
        <v>46273</v>
      </c>
      <c r="S372" s="106">
        <f t="shared" si="747"/>
        <v>46272</v>
      </c>
      <c r="T372" s="107">
        <f t="shared" si="746"/>
        <v>46272</v>
      </c>
      <c r="U372" s="107"/>
      <c r="W372" s="169" t="str">
        <f t="shared" ca="1" si="694"/>
        <v>Completed</v>
      </c>
      <c r="X372" s="169" t="str">
        <f t="shared" ca="1" si="695"/>
        <v>Completed</v>
      </c>
      <c r="Y372" s="169" t="str">
        <f t="shared" ca="1" si="696"/>
        <v>Completed</v>
      </c>
      <c r="Z372" s="170" t="str">
        <f t="shared" ca="1" si="697"/>
        <v>Overdue</v>
      </c>
    </row>
    <row r="373" spans="1:26" s="70" customFormat="1" ht="11.5" x14ac:dyDescent="0.25">
      <c r="A373" s="101" t="s">
        <v>64</v>
      </c>
      <c r="B373" s="101" t="s">
        <v>14</v>
      </c>
      <c r="C373" s="101" t="s">
        <v>388</v>
      </c>
      <c r="D373" s="101" t="s">
        <v>389</v>
      </c>
      <c r="E373" s="104">
        <f t="shared" si="738"/>
        <v>1</v>
      </c>
      <c r="F373" s="104">
        <f t="shared" si="739"/>
        <v>1</v>
      </c>
      <c r="G373" s="104">
        <f t="shared" si="739"/>
        <v>0.79999999999999993</v>
      </c>
      <c r="H373" s="103">
        <f t="shared" si="740"/>
        <v>-0.20000000000000007</v>
      </c>
      <c r="I373" s="109">
        <v>4.7E-2</v>
      </c>
      <c r="J373" s="106">
        <f t="shared" si="737"/>
        <v>46178</v>
      </c>
      <c r="K373" s="107">
        <f t="shared" si="742"/>
        <v>46178</v>
      </c>
      <c r="L373" s="106">
        <v>46130</v>
      </c>
      <c r="M373" s="107">
        <f t="shared" si="743"/>
        <v>46220</v>
      </c>
      <c r="N373" s="107">
        <f t="shared" si="744"/>
        <v>46220</v>
      </c>
      <c r="O373" s="107">
        <v>46217</v>
      </c>
      <c r="P373" s="107">
        <f t="shared" si="741"/>
        <v>46258</v>
      </c>
      <c r="Q373" s="107">
        <f t="shared" si="745"/>
        <v>46258</v>
      </c>
      <c r="R373" s="106">
        <v>46273</v>
      </c>
      <c r="S373" s="106">
        <f t="shared" si="747"/>
        <v>46272</v>
      </c>
      <c r="T373" s="107">
        <f t="shared" si="746"/>
        <v>46272</v>
      </c>
      <c r="U373" s="107"/>
      <c r="W373" s="169" t="str">
        <f t="shared" ca="1" si="694"/>
        <v>Completed</v>
      </c>
      <c r="X373" s="169" t="str">
        <f t="shared" ca="1" si="695"/>
        <v>Completed</v>
      </c>
      <c r="Y373" s="169" t="str">
        <f t="shared" ca="1" si="696"/>
        <v>Completed</v>
      </c>
      <c r="Z373" s="170" t="str">
        <f t="shared" ca="1" si="697"/>
        <v>Overdue</v>
      </c>
    </row>
    <row r="374" spans="1:26" s="70" customFormat="1" ht="11.5" x14ac:dyDescent="0.25">
      <c r="A374" s="101" t="s">
        <v>64</v>
      </c>
      <c r="B374" s="101" t="s">
        <v>14</v>
      </c>
      <c r="C374" s="101" t="s">
        <v>390</v>
      </c>
      <c r="D374" s="101" t="s">
        <v>391</v>
      </c>
      <c r="E374" s="104">
        <f t="shared" si="738"/>
        <v>1</v>
      </c>
      <c r="F374" s="104">
        <f t="shared" si="739"/>
        <v>1</v>
      </c>
      <c r="G374" s="104">
        <f t="shared" si="739"/>
        <v>0.79999999999999993</v>
      </c>
      <c r="H374" s="103">
        <f t="shared" si="740"/>
        <v>-0.20000000000000007</v>
      </c>
      <c r="I374" s="109">
        <v>4.7E-2</v>
      </c>
      <c r="J374" s="106">
        <f t="shared" si="737"/>
        <v>46178</v>
      </c>
      <c r="K374" s="107">
        <f t="shared" si="742"/>
        <v>46178</v>
      </c>
      <c r="L374" s="106">
        <v>46130</v>
      </c>
      <c r="M374" s="107">
        <f t="shared" si="743"/>
        <v>46220</v>
      </c>
      <c r="N374" s="107">
        <f t="shared" si="744"/>
        <v>46220</v>
      </c>
      <c r="O374" s="107">
        <v>46217</v>
      </c>
      <c r="P374" s="107">
        <f t="shared" si="741"/>
        <v>46258</v>
      </c>
      <c r="Q374" s="107">
        <f t="shared" si="745"/>
        <v>46258</v>
      </c>
      <c r="R374" s="106">
        <v>46273</v>
      </c>
      <c r="S374" s="106">
        <f t="shared" si="747"/>
        <v>46272</v>
      </c>
      <c r="T374" s="107">
        <f t="shared" si="746"/>
        <v>46272</v>
      </c>
      <c r="U374" s="107"/>
      <c r="W374" s="169" t="str">
        <f t="shared" ca="1" si="694"/>
        <v>Completed</v>
      </c>
      <c r="X374" s="169" t="str">
        <f t="shared" ca="1" si="695"/>
        <v>Completed</v>
      </c>
      <c r="Y374" s="169" t="str">
        <f t="shared" ca="1" si="696"/>
        <v>Completed</v>
      </c>
      <c r="Z374" s="170" t="str">
        <f t="shared" ca="1" si="697"/>
        <v>Overdue</v>
      </c>
    </row>
    <row r="375" spans="1:26" s="70" customFormat="1" ht="11.5" x14ac:dyDescent="0.25">
      <c r="A375" s="101" t="s">
        <v>64</v>
      </c>
      <c r="B375" s="101" t="s">
        <v>14</v>
      </c>
      <c r="C375" s="101" t="s">
        <v>392</v>
      </c>
      <c r="D375" s="101" t="s">
        <v>393</v>
      </c>
      <c r="E375" s="104">
        <f t="shared" si="738"/>
        <v>1</v>
      </c>
      <c r="F375" s="104">
        <f t="shared" si="739"/>
        <v>1</v>
      </c>
      <c r="G375" s="104">
        <f t="shared" si="739"/>
        <v>0.79999999999999993</v>
      </c>
      <c r="H375" s="103">
        <f t="shared" si="740"/>
        <v>-0.20000000000000007</v>
      </c>
      <c r="I375" s="109">
        <v>4.7E-2</v>
      </c>
      <c r="J375" s="106">
        <f t="shared" si="737"/>
        <v>46178</v>
      </c>
      <c r="K375" s="107">
        <f t="shared" si="742"/>
        <v>46178</v>
      </c>
      <c r="L375" s="106">
        <v>46130</v>
      </c>
      <c r="M375" s="107">
        <f t="shared" si="743"/>
        <v>46220</v>
      </c>
      <c r="N375" s="107">
        <f t="shared" si="744"/>
        <v>46220</v>
      </c>
      <c r="O375" s="107">
        <v>46217</v>
      </c>
      <c r="P375" s="107">
        <f t="shared" si="741"/>
        <v>46258</v>
      </c>
      <c r="Q375" s="107">
        <f t="shared" si="745"/>
        <v>46258</v>
      </c>
      <c r="R375" s="106">
        <v>46273</v>
      </c>
      <c r="S375" s="106">
        <f t="shared" si="747"/>
        <v>46272</v>
      </c>
      <c r="T375" s="107">
        <f t="shared" si="746"/>
        <v>46272</v>
      </c>
      <c r="U375" s="107"/>
      <c r="W375" s="169" t="str">
        <f t="shared" ca="1" si="694"/>
        <v>Completed</v>
      </c>
      <c r="X375" s="169" t="str">
        <f t="shared" ca="1" si="695"/>
        <v>Completed</v>
      </c>
      <c r="Y375" s="169" t="str">
        <f t="shared" ca="1" si="696"/>
        <v>Completed</v>
      </c>
      <c r="Z375" s="170" t="str">
        <f t="shared" ca="1" si="697"/>
        <v>Overdue</v>
      </c>
    </row>
    <row r="376" spans="1:26" s="70" customFormat="1" ht="11.5" x14ac:dyDescent="0.25">
      <c r="A376" s="101" t="s">
        <v>64</v>
      </c>
      <c r="B376" s="101" t="s">
        <v>14</v>
      </c>
      <c r="C376" s="101" t="s">
        <v>394</v>
      </c>
      <c r="D376" s="101" t="s">
        <v>395</v>
      </c>
      <c r="E376" s="104">
        <f t="shared" si="738"/>
        <v>1</v>
      </c>
      <c r="F376" s="104">
        <f>(COUNTIFS(K376,"&lt;="&amp;$C$1)*50%)+(COUNTIFS(N376,"&lt;="&amp;$C$1)*20%)+(COUNTIFS(Q376,"&lt;="&amp;$C$1)*10%)+(COUNTIFS(T376,"&lt;="&amp;$C$1)*20%)</f>
        <v>1</v>
      </c>
      <c r="G376" s="104">
        <f t="shared" si="739"/>
        <v>0.79999999999999993</v>
      </c>
      <c r="H376" s="103">
        <f t="shared" si="740"/>
        <v>-0.20000000000000007</v>
      </c>
      <c r="I376" s="109">
        <v>4.7E-2</v>
      </c>
      <c r="J376" s="106">
        <f t="shared" si="737"/>
        <v>46178</v>
      </c>
      <c r="K376" s="107">
        <f t="shared" si="742"/>
        <v>46178</v>
      </c>
      <c r="L376" s="106">
        <v>46130</v>
      </c>
      <c r="M376" s="107">
        <f t="shared" si="743"/>
        <v>46220</v>
      </c>
      <c r="N376" s="107">
        <f t="shared" si="744"/>
        <v>46220</v>
      </c>
      <c r="O376" s="107">
        <v>46217</v>
      </c>
      <c r="P376" s="107">
        <f t="shared" si="741"/>
        <v>46258</v>
      </c>
      <c r="Q376" s="107">
        <f t="shared" si="745"/>
        <v>46258</v>
      </c>
      <c r="R376" s="106">
        <v>46273</v>
      </c>
      <c r="S376" s="106">
        <f t="shared" si="747"/>
        <v>46272</v>
      </c>
      <c r="T376" s="107">
        <f t="shared" si="746"/>
        <v>46272</v>
      </c>
      <c r="U376" s="107"/>
      <c r="W376" s="169" t="str">
        <f t="shared" ca="1" si="694"/>
        <v>Completed</v>
      </c>
      <c r="X376" s="169" t="str">
        <f t="shared" ca="1" si="695"/>
        <v>Completed</v>
      </c>
      <c r="Y376" s="169" t="str">
        <f t="shared" ca="1" si="696"/>
        <v>Completed</v>
      </c>
      <c r="Z376" s="170" t="str">
        <f t="shared" ca="1" si="697"/>
        <v>Overdue</v>
      </c>
    </row>
    <row r="377" spans="1:26" s="70" customFormat="1" ht="11.5" x14ac:dyDescent="0.25">
      <c r="A377" s="101" t="s">
        <v>64</v>
      </c>
      <c r="B377" s="101" t="s">
        <v>14</v>
      </c>
      <c r="C377" s="101" t="s">
        <v>396</v>
      </c>
      <c r="D377" s="148" t="s">
        <v>916</v>
      </c>
      <c r="E377" s="104">
        <f t="shared" si="738"/>
        <v>1</v>
      </c>
      <c r="F377" s="104">
        <f>(COUNTIFS(K377,"&lt;="&amp;$C$1)*50%)+(COUNTIFS(N377,"&lt;="&amp;$C$1)*20%)+(COUNTIFS(Q377,"&lt;="&amp;$C$1)*10%)+(COUNTIFS(T377,"&lt;="&amp;$C$1)*20%)</f>
        <v>1</v>
      </c>
      <c r="G377" s="104">
        <f t="shared" si="739"/>
        <v>0.79999999999999993</v>
      </c>
      <c r="H377" s="103">
        <f t="shared" si="740"/>
        <v>-0.20000000000000007</v>
      </c>
      <c r="I377" s="109">
        <v>4.7E-2</v>
      </c>
      <c r="J377" s="106">
        <f t="shared" si="737"/>
        <v>46178</v>
      </c>
      <c r="K377" s="106">
        <f t="shared" si="742"/>
        <v>46178</v>
      </c>
      <c r="L377" s="106">
        <v>46130</v>
      </c>
      <c r="M377" s="107">
        <f t="shared" si="743"/>
        <v>46220</v>
      </c>
      <c r="N377" s="106">
        <f t="shared" si="744"/>
        <v>46220</v>
      </c>
      <c r="O377" s="107">
        <v>46217</v>
      </c>
      <c r="P377" s="107">
        <f t="shared" si="741"/>
        <v>46258</v>
      </c>
      <c r="Q377" s="106">
        <f t="shared" si="745"/>
        <v>46258</v>
      </c>
      <c r="R377" s="106">
        <v>46273</v>
      </c>
      <c r="S377" s="106">
        <f t="shared" si="747"/>
        <v>46272</v>
      </c>
      <c r="T377" s="106">
        <f t="shared" si="746"/>
        <v>46272</v>
      </c>
      <c r="U377" s="107"/>
      <c r="W377" s="169" t="str">
        <f t="shared" ca="1" si="694"/>
        <v>Completed</v>
      </c>
      <c r="X377" s="169" t="str">
        <f t="shared" ca="1" si="695"/>
        <v>Completed</v>
      </c>
      <c r="Y377" s="169" t="str">
        <f t="shared" ca="1" si="696"/>
        <v>Completed</v>
      </c>
      <c r="Z377" s="170" t="str">
        <f t="shared" ca="1" si="697"/>
        <v>Overdue</v>
      </c>
    </row>
    <row r="378" spans="1:26" s="70" customFormat="1" ht="11.5" x14ac:dyDescent="0.25">
      <c r="A378" s="101" t="s">
        <v>64</v>
      </c>
      <c r="B378" s="101" t="s">
        <v>14</v>
      </c>
      <c r="C378" s="101" t="s">
        <v>397</v>
      </c>
      <c r="D378" s="101" t="s">
        <v>398</v>
      </c>
      <c r="E378" s="104">
        <f t="shared" si="738"/>
        <v>1</v>
      </c>
      <c r="F378" s="104">
        <f t="shared" si="739"/>
        <v>1</v>
      </c>
      <c r="G378" s="104">
        <f t="shared" si="739"/>
        <v>0.79999999999999993</v>
      </c>
      <c r="H378" s="103">
        <f t="shared" si="740"/>
        <v>-0.20000000000000007</v>
      </c>
      <c r="I378" s="109">
        <v>4.7E-2</v>
      </c>
      <c r="J378" s="106">
        <f t="shared" si="737"/>
        <v>46178</v>
      </c>
      <c r="K378" s="106">
        <f t="shared" si="742"/>
        <v>46178</v>
      </c>
      <c r="L378" s="106">
        <v>46130</v>
      </c>
      <c r="M378" s="107">
        <f t="shared" si="743"/>
        <v>46220</v>
      </c>
      <c r="N378" s="106">
        <f t="shared" si="744"/>
        <v>46220</v>
      </c>
      <c r="O378" s="107">
        <v>46224</v>
      </c>
      <c r="P378" s="107">
        <f t="shared" si="741"/>
        <v>46258</v>
      </c>
      <c r="Q378" s="106">
        <f t="shared" si="745"/>
        <v>46258</v>
      </c>
      <c r="R378" s="106">
        <v>46273</v>
      </c>
      <c r="S378" s="106">
        <f t="shared" si="747"/>
        <v>46272</v>
      </c>
      <c r="T378" s="106">
        <f t="shared" si="746"/>
        <v>46272</v>
      </c>
      <c r="U378" s="107"/>
      <c r="W378" s="169" t="str">
        <f t="shared" ref="W378:W443" ca="1" si="748">IF(OR(L378&lt;&gt;""),"Completed",
IF(K378="","",IF(K378&lt;TODAY(),"Overdue",
IF(AND(K378&gt;=TODAY()-WEEKDAY(TODAY(),2)+1,K378&lt;=TODAY()-WEEKDAY(TODAY(),2)+7),"Follow-This Week",
IF(AND(K378&gt;=TODAY()-WEEKDAY(TODAY(),2)+8,K378&lt;=TODAY()-WEEKDAY(TODAY(),2)+14),"Follow-Next Week","")))))</f>
        <v>Completed</v>
      </c>
      <c r="X378" s="169" t="str">
        <f t="shared" ref="X378:X443" ca="1" si="749">IF(OR(O378&lt;&gt;""),"Completed",IF(N378="","",
IF(N378&lt;TODAY(),"Overdue",
IF(AND(N378&gt;=TODAY()-WEEKDAY(TODAY(),2)+1,N378&lt;=TODAY()-WEEKDAY(TODAY(),2)+7),"Follow-This Week",
IF(AND(N378&gt;=TODAY()-WEEKDAY(TODAY(),2)+8,N378&lt;=TODAY()-WEEKDAY(TODAY(),2)+14),"Follow-Next Week","")))))</f>
        <v>Completed</v>
      </c>
      <c r="Y378" s="169" t="str">
        <f t="shared" ref="Y378:Y443" ca="1" si="750">IF(OR(R378&lt;&gt;""),"Completed",IF(Q378="","",
IF(Q378&lt;TODAY(),"Overdue",
IF(AND(Q378&gt;=TODAY()-WEEKDAY(TODAY(),2)+1,Q378&lt;=TODAY()-WEEKDAY(TODAY(),2)+7),"Follow-This Week",
IF(AND(Q378&gt;=TODAY()-WEEKDAY(TODAY(),2)+8,Q378&lt;=TODAY()-WEEKDAY(TODAY(),2)+14),"Follow-Next Week","")))))</f>
        <v>Completed</v>
      </c>
      <c r="Z378" s="170" t="str">
        <f t="shared" ref="Z378:Z443" ca="1" si="751">IF(OR(U378&lt;&gt;""),"Completed",IF(T378="","",
IF(T378&lt;TODAY(),"Overdue",
IF(AND(T378&gt;=TODAY()-WEEKDAY(TODAY(),2)+1,T378&lt;=TODAY()-WEEKDAY(TODAY(),2)+7),"Follow-This Week",
IF(AND(T378&gt;=TODAY()-WEEKDAY(TODAY(),2)+8,T378&lt;=TODAY()-WEEKDAY(TODAY(),2)+14),"Follow-Next Week","")))))</f>
        <v>Overdue</v>
      </c>
    </row>
    <row r="379" spans="1:26" s="70" customFormat="1" ht="11.5" x14ac:dyDescent="0.25">
      <c r="A379" s="101" t="s">
        <v>64</v>
      </c>
      <c r="B379" s="101" t="s">
        <v>14</v>
      </c>
      <c r="C379" s="101" t="s">
        <v>399</v>
      </c>
      <c r="D379" s="101" t="s">
        <v>400</v>
      </c>
      <c r="E379" s="104">
        <f t="shared" si="738"/>
        <v>1</v>
      </c>
      <c r="F379" s="104">
        <f t="shared" si="739"/>
        <v>1</v>
      </c>
      <c r="G379" s="104">
        <f t="shared" si="739"/>
        <v>0.7</v>
      </c>
      <c r="H379" s="103">
        <f t="shared" si="740"/>
        <v>-0.30000000000000004</v>
      </c>
      <c r="I379" s="109">
        <v>4.7E-2</v>
      </c>
      <c r="J379" s="106">
        <f t="shared" si="737"/>
        <v>46178</v>
      </c>
      <c r="K379" s="106">
        <f t="shared" si="742"/>
        <v>46178</v>
      </c>
      <c r="L379" s="106">
        <v>46150</v>
      </c>
      <c r="M379" s="107">
        <f t="shared" si="743"/>
        <v>46220</v>
      </c>
      <c r="N379" s="106">
        <f t="shared" si="744"/>
        <v>46220</v>
      </c>
      <c r="O379" s="106">
        <v>46205</v>
      </c>
      <c r="P379" s="107">
        <f t="shared" si="741"/>
        <v>46258</v>
      </c>
      <c r="Q379" s="106">
        <f t="shared" si="745"/>
        <v>46258</v>
      </c>
      <c r="R379" s="206"/>
      <c r="S379" s="106">
        <f t="shared" si="747"/>
        <v>46272</v>
      </c>
      <c r="T379" s="106">
        <f t="shared" si="746"/>
        <v>46272</v>
      </c>
      <c r="U379" s="107"/>
      <c r="W379" s="169" t="str">
        <f t="shared" ca="1" si="748"/>
        <v>Completed</v>
      </c>
      <c r="X379" s="169" t="str">
        <f t="shared" ca="1" si="749"/>
        <v>Completed</v>
      </c>
      <c r="Y379" s="169" t="str">
        <f t="shared" ca="1" si="750"/>
        <v>Overdue</v>
      </c>
      <c r="Z379" s="170" t="str">
        <f t="shared" ca="1" si="751"/>
        <v>Overdue</v>
      </c>
    </row>
    <row r="380" spans="1:26" s="70" customFormat="1" ht="11.5" x14ac:dyDescent="0.25">
      <c r="A380" s="101" t="s">
        <v>64</v>
      </c>
      <c r="B380" s="101" t="s">
        <v>14</v>
      </c>
      <c r="C380" s="101" t="s">
        <v>401</v>
      </c>
      <c r="D380" s="101" t="s">
        <v>402</v>
      </c>
      <c r="E380" s="104">
        <f t="shared" si="738"/>
        <v>1</v>
      </c>
      <c r="F380" s="104">
        <f t="shared" si="739"/>
        <v>1</v>
      </c>
      <c r="G380" s="104">
        <f t="shared" si="739"/>
        <v>0.7</v>
      </c>
      <c r="H380" s="103">
        <f t="shared" si="740"/>
        <v>-0.30000000000000004</v>
      </c>
      <c r="I380" s="109">
        <v>4.7E-2</v>
      </c>
      <c r="J380" s="106">
        <f t="shared" si="737"/>
        <v>46178</v>
      </c>
      <c r="K380" s="106">
        <f t="shared" si="742"/>
        <v>46178</v>
      </c>
      <c r="L380" s="106">
        <v>46150</v>
      </c>
      <c r="M380" s="107">
        <f t="shared" si="743"/>
        <v>46220</v>
      </c>
      <c r="N380" s="106">
        <f t="shared" si="744"/>
        <v>46220</v>
      </c>
      <c r="O380" s="106">
        <v>46205</v>
      </c>
      <c r="P380" s="107">
        <f t="shared" si="741"/>
        <v>46258</v>
      </c>
      <c r="Q380" s="106">
        <f t="shared" si="745"/>
        <v>46258</v>
      </c>
      <c r="R380" s="206"/>
      <c r="S380" s="106">
        <f t="shared" si="747"/>
        <v>46272</v>
      </c>
      <c r="T380" s="106">
        <f t="shared" si="746"/>
        <v>46272</v>
      </c>
      <c r="U380" s="107"/>
      <c r="W380" s="169" t="str">
        <f t="shared" ca="1" si="748"/>
        <v>Completed</v>
      </c>
      <c r="X380" s="169" t="str">
        <f t="shared" ca="1" si="749"/>
        <v>Completed</v>
      </c>
      <c r="Y380" s="169" t="str">
        <f t="shared" ca="1" si="750"/>
        <v>Overdue</v>
      </c>
      <c r="Z380" s="170" t="str">
        <f t="shared" ca="1" si="751"/>
        <v>Overdue</v>
      </c>
    </row>
    <row r="381" spans="1:26" s="70" customFormat="1" ht="11.5" x14ac:dyDescent="0.25">
      <c r="A381" s="101" t="s">
        <v>64</v>
      </c>
      <c r="B381" s="101" t="s">
        <v>14</v>
      </c>
      <c r="C381" s="101" t="s">
        <v>403</v>
      </c>
      <c r="D381" s="101" t="s">
        <v>404</v>
      </c>
      <c r="E381" s="104">
        <f t="shared" si="738"/>
        <v>1</v>
      </c>
      <c r="F381" s="104">
        <f t="shared" si="739"/>
        <v>1</v>
      </c>
      <c r="G381" s="104">
        <f t="shared" si="739"/>
        <v>1</v>
      </c>
      <c r="H381" s="103">
        <f t="shared" si="740"/>
        <v>0</v>
      </c>
      <c r="I381" s="109">
        <v>4.7E-2</v>
      </c>
      <c r="J381" s="106">
        <f t="shared" si="737"/>
        <v>46178</v>
      </c>
      <c r="K381" s="106">
        <f t="shared" si="742"/>
        <v>46178</v>
      </c>
      <c r="L381" s="106">
        <v>46150</v>
      </c>
      <c r="M381" s="107">
        <f t="shared" si="743"/>
        <v>46220</v>
      </c>
      <c r="N381" s="106">
        <f t="shared" si="744"/>
        <v>46220</v>
      </c>
      <c r="O381" s="106">
        <v>46205</v>
      </c>
      <c r="P381" s="107">
        <f t="shared" si="741"/>
        <v>46258</v>
      </c>
      <c r="Q381" s="106">
        <f t="shared" si="745"/>
        <v>46258</v>
      </c>
      <c r="R381" s="107">
        <v>46248</v>
      </c>
      <c r="S381" s="106">
        <f t="shared" si="747"/>
        <v>46272</v>
      </c>
      <c r="T381" s="106">
        <f t="shared" si="746"/>
        <v>46272</v>
      </c>
      <c r="U381" s="106">
        <v>46262</v>
      </c>
      <c r="W381" s="169" t="str">
        <f t="shared" ca="1" si="748"/>
        <v>Completed</v>
      </c>
      <c r="X381" s="169" t="str">
        <f t="shared" ca="1" si="749"/>
        <v>Completed</v>
      </c>
      <c r="Y381" s="169" t="str">
        <f t="shared" ca="1" si="750"/>
        <v>Completed</v>
      </c>
      <c r="Z381" s="170" t="str">
        <f t="shared" ca="1" si="751"/>
        <v>Completed</v>
      </c>
    </row>
    <row r="382" spans="1:26" s="70" customFormat="1" ht="11.5" x14ac:dyDescent="0.25">
      <c r="A382" s="101" t="s">
        <v>64</v>
      </c>
      <c r="B382" s="101" t="s">
        <v>14</v>
      </c>
      <c r="C382" s="101" t="s">
        <v>405</v>
      </c>
      <c r="D382" s="101" t="s">
        <v>406</v>
      </c>
      <c r="E382" s="104">
        <f t="shared" si="738"/>
        <v>1</v>
      </c>
      <c r="F382" s="104">
        <f t="shared" si="739"/>
        <v>1</v>
      </c>
      <c r="G382" s="104">
        <f t="shared" si="739"/>
        <v>0.7</v>
      </c>
      <c r="H382" s="103">
        <f t="shared" si="740"/>
        <v>-0.30000000000000004</v>
      </c>
      <c r="I382" s="109">
        <v>4.7E-2</v>
      </c>
      <c r="J382" s="106">
        <f t="shared" si="737"/>
        <v>46178</v>
      </c>
      <c r="K382" s="106">
        <f t="shared" si="742"/>
        <v>46178</v>
      </c>
      <c r="L382" s="142">
        <v>46157</v>
      </c>
      <c r="M382" s="107">
        <f t="shared" si="743"/>
        <v>46220</v>
      </c>
      <c r="N382" s="106">
        <f t="shared" si="744"/>
        <v>46220</v>
      </c>
      <c r="O382" s="106">
        <v>46190</v>
      </c>
      <c r="P382" s="107">
        <f t="shared" si="741"/>
        <v>46258</v>
      </c>
      <c r="Q382" s="106">
        <f t="shared" si="745"/>
        <v>46258</v>
      </c>
      <c r="R382" s="107"/>
      <c r="S382" s="106">
        <f t="shared" si="747"/>
        <v>46272</v>
      </c>
      <c r="T382" s="106">
        <f t="shared" si="746"/>
        <v>46272</v>
      </c>
      <c r="U382" s="107"/>
      <c r="W382" s="169" t="str">
        <f t="shared" ca="1" si="748"/>
        <v>Completed</v>
      </c>
      <c r="X382" s="169" t="str">
        <f t="shared" ca="1" si="749"/>
        <v>Completed</v>
      </c>
      <c r="Y382" s="169" t="str">
        <f t="shared" ca="1" si="750"/>
        <v>Overdue</v>
      </c>
      <c r="Z382" s="170" t="str">
        <f t="shared" ca="1" si="751"/>
        <v>Overdue</v>
      </c>
    </row>
    <row r="383" spans="1:26" s="70" customFormat="1" ht="11.5" x14ac:dyDescent="0.25">
      <c r="A383" s="101" t="s">
        <v>64</v>
      </c>
      <c r="B383" s="101" t="s">
        <v>14</v>
      </c>
      <c r="C383" s="101" t="s">
        <v>407</v>
      </c>
      <c r="D383" s="101" t="s">
        <v>408</v>
      </c>
      <c r="E383" s="104">
        <f t="shared" si="738"/>
        <v>1</v>
      </c>
      <c r="F383" s="104">
        <f t="shared" si="739"/>
        <v>1</v>
      </c>
      <c r="G383" s="104">
        <f t="shared" si="739"/>
        <v>0.7</v>
      </c>
      <c r="H383" s="103">
        <f t="shared" si="740"/>
        <v>-0.30000000000000004</v>
      </c>
      <c r="I383" s="109">
        <v>4.7E-2</v>
      </c>
      <c r="J383" s="106">
        <f t="shared" si="737"/>
        <v>46178</v>
      </c>
      <c r="K383" s="106">
        <f t="shared" si="742"/>
        <v>46178</v>
      </c>
      <c r="L383" s="142">
        <v>46157</v>
      </c>
      <c r="M383" s="107">
        <f t="shared" si="743"/>
        <v>46220</v>
      </c>
      <c r="N383" s="106">
        <f t="shared" si="744"/>
        <v>46220</v>
      </c>
      <c r="O383" s="106">
        <v>46190</v>
      </c>
      <c r="P383" s="107">
        <f t="shared" si="741"/>
        <v>46258</v>
      </c>
      <c r="Q383" s="106">
        <f t="shared" si="745"/>
        <v>46258</v>
      </c>
      <c r="R383" s="107"/>
      <c r="S383" s="106">
        <f t="shared" si="747"/>
        <v>46272</v>
      </c>
      <c r="T383" s="106">
        <f t="shared" si="746"/>
        <v>46272</v>
      </c>
      <c r="U383" s="107"/>
      <c r="W383" s="169" t="str">
        <f t="shared" ca="1" si="748"/>
        <v>Completed</v>
      </c>
      <c r="X383" s="169" t="str">
        <f t="shared" ca="1" si="749"/>
        <v>Completed</v>
      </c>
      <c r="Y383" s="169" t="str">
        <f t="shared" ca="1" si="750"/>
        <v>Overdue</v>
      </c>
      <c r="Z383" s="170" t="str">
        <f t="shared" ca="1" si="751"/>
        <v>Overdue</v>
      </c>
    </row>
    <row r="384" spans="1:26" s="70" customFormat="1" ht="11.5" x14ac:dyDescent="0.25">
      <c r="A384" s="101" t="s">
        <v>64</v>
      </c>
      <c r="B384" s="101" t="s">
        <v>14</v>
      </c>
      <c r="C384" s="101" t="s">
        <v>409</v>
      </c>
      <c r="D384" s="101" t="s">
        <v>410</v>
      </c>
      <c r="E384" s="104">
        <f t="shared" si="738"/>
        <v>1</v>
      </c>
      <c r="F384" s="104">
        <f t="shared" si="739"/>
        <v>1</v>
      </c>
      <c r="G384" s="104">
        <f t="shared" si="739"/>
        <v>0.7</v>
      </c>
      <c r="H384" s="103">
        <f t="shared" si="740"/>
        <v>-0.30000000000000004</v>
      </c>
      <c r="I384" s="109">
        <v>4.7E-2</v>
      </c>
      <c r="J384" s="106">
        <f t="shared" si="737"/>
        <v>46178</v>
      </c>
      <c r="K384" s="106">
        <f t="shared" si="742"/>
        <v>46178</v>
      </c>
      <c r="L384" s="142">
        <v>46157</v>
      </c>
      <c r="M384" s="107">
        <f t="shared" si="743"/>
        <v>46220</v>
      </c>
      <c r="N384" s="106">
        <f t="shared" si="744"/>
        <v>46220</v>
      </c>
      <c r="O384" s="106">
        <v>46190</v>
      </c>
      <c r="P384" s="107">
        <f t="shared" si="741"/>
        <v>46258</v>
      </c>
      <c r="Q384" s="106">
        <f t="shared" si="745"/>
        <v>46258</v>
      </c>
      <c r="R384" s="107"/>
      <c r="S384" s="106">
        <f t="shared" si="747"/>
        <v>46272</v>
      </c>
      <c r="T384" s="106">
        <f t="shared" si="746"/>
        <v>46272</v>
      </c>
      <c r="U384" s="107"/>
      <c r="W384" s="169" t="str">
        <f t="shared" ca="1" si="748"/>
        <v>Completed</v>
      </c>
      <c r="X384" s="169" t="str">
        <f t="shared" ca="1" si="749"/>
        <v>Completed</v>
      </c>
      <c r="Y384" s="169" t="str">
        <f t="shared" ca="1" si="750"/>
        <v>Overdue</v>
      </c>
      <c r="Z384" s="170" t="str">
        <f t="shared" ca="1" si="751"/>
        <v>Overdue</v>
      </c>
    </row>
    <row r="385" spans="1:26" s="70" customFormat="1" ht="11.5" x14ac:dyDescent="0.25">
      <c r="A385" s="101" t="s">
        <v>64</v>
      </c>
      <c r="B385" s="101" t="s">
        <v>14</v>
      </c>
      <c r="C385" s="101" t="s">
        <v>411</v>
      </c>
      <c r="D385" s="101" t="s">
        <v>412</v>
      </c>
      <c r="E385" s="104">
        <f t="shared" si="738"/>
        <v>1</v>
      </c>
      <c r="F385" s="104">
        <f t="shared" si="739"/>
        <v>1</v>
      </c>
      <c r="G385" s="104">
        <f t="shared" si="739"/>
        <v>0.7</v>
      </c>
      <c r="H385" s="103">
        <f t="shared" si="740"/>
        <v>-0.30000000000000004</v>
      </c>
      <c r="I385" s="109">
        <v>4.7E-2</v>
      </c>
      <c r="J385" s="106">
        <f t="shared" ref="J385:J416" si="752">J250+28</f>
        <v>46178</v>
      </c>
      <c r="K385" s="106">
        <f t="shared" si="742"/>
        <v>46178</v>
      </c>
      <c r="L385" s="142">
        <v>46157</v>
      </c>
      <c r="M385" s="107">
        <f t="shared" si="743"/>
        <v>46220</v>
      </c>
      <c r="N385" s="106">
        <f t="shared" si="744"/>
        <v>46220</v>
      </c>
      <c r="O385" s="106">
        <v>46190</v>
      </c>
      <c r="P385" s="107">
        <f t="shared" si="741"/>
        <v>46258</v>
      </c>
      <c r="Q385" s="106">
        <f t="shared" si="745"/>
        <v>46258</v>
      </c>
      <c r="R385" s="107"/>
      <c r="S385" s="106">
        <f t="shared" si="747"/>
        <v>46272</v>
      </c>
      <c r="T385" s="106">
        <f t="shared" si="746"/>
        <v>46272</v>
      </c>
      <c r="U385" s="107"/>
      <c r="W385" s="169" t="str">
        <f t="shared" ca="1" si="748"/>
        <v>Completed</v>
      </c>
      <c r="X385" s="169" t="str">
        <f t="shared" ca="1" si="749"/>
        <v>Completed</v>
      </c>
      <c r="Y385" s="169" t="str">
        <f t="shared" ca="1" si="750"/>
        <v>Overdue</v>
      </c>
      <c r="Z385" s="170" t="str">
        <f t="shared" ca="1" si="751"/>
        <v>Overdue</v>
      </c>
    </row>
    <row r="386" spans="1:26" s="70" customFormat="1" ht="11.5" x14ac:dyDescent="0.25">
      <c r="A386" s="101" t="s">
        <v>64</v>
      </c>
      <c r="B386" s="101" t="s">
        <v>14</v>
      </c>
      <c r="C386" s="101" t="s">
        <v>413</v>
      </c>
      <c r="D386" s="101" t="s">
        <v>414</v>
      </c>
      <c r="E386" s="104">
        <f t="shared" si="738"/>
        <v>0.79999999999999993</v>
      </c>
      <c r="F386" s="104">
        <f t="shared" si="739"/>
        <v>0.79999999999999993</v>
      </c>
      <c r="G386" s="104">
        <f t="shared" si="739"/>
        <v>0.5</v>
      </c>
      <c r="H386" s="103">
        <f t="shared" si="740"/>
        <v>-0.29999999999999993</v>
      </c>
      <c r="I386" s="109">
        <v>4.7E-2</v>
      </c>
      <c r="J386" s="106">
        <f t="shared" si="752"/>
        <v>46199</v>
      </c>
      <c r="K386" s="106">
        <f t="shared" si="742"/>
        <v>46199</v>
      </c>
      <c r="L386" s="106">
        <v>46156</v>
      </c>
      <c r="M386" s="107">
        <f t="shared" si="743"/>
        <v>46241</v>
      </c>
      <c r="N386" s="106">
        <f t="shared" si="744"/>
        <v>46241</v>
      </c>
      <c r="O386" s="206"/>
      <c r="P386" s="107">
        <f t="shared" ref="P386:P438" si="753">M386+42</f>
        <v>46283</v>
      </c>
      <c r="Q386" s="106">
        <f t="shared" si="745"/>
        <v>46283</v>
      </c>
      <c r="R386" s="107"/>
      <c r="S386" s="106">
        <f t="shared" si="747"/>
        <v>46297</v>
      </c>
      <c r="T386" s="106">
        <f t="shared" si="746"/>
        <v>46297</v>
      </c>
      <c r="U386" s="107"/>
      <c r="W386" s="169" t="str">
        <f t="shared" ca="1" si="748"/>
        <v>Completed</v>
      </c>
      <c r="X386" s="169" t="str">
        <f t="shared" ca="1" si="749"/>
        <v>Overdue</v>
      </c>
      <c r="Y386" s="169" t="str">
        <f t="shared" ca="1" si="750"/>
        <v>Overdue</v>
      </c>
      <c r="Z386" s="170" t="str">
        <f t="shared" ca="1" si="751"/>
        <v/>
      </c>
    </row>
    <row r="387" spans="1:26" s="70" customFormat="1" ht="11.5" x14ac:dyDescent="0.25">
      <c r="A387" s="101" t="s">
        <v>64</v>
      </c>
      <c r="B387" s="101" t="s">
        <v>14</v>
      </c>
      <c r="C387" s="101" t="s">
        <v>415</v>
      </c>
      <c r="D387" s="101" t="s">
        <v>416</v>
      </c>
      <c r="E387" s="104">
        <f t="shared" si="738"/>
        <v>0.79999999999999993</v>
      </c>
      <c r="F387" s="104">
        <f t="shared" si="739"/>
        <v>0.79999999999999993</v>
      </c>
      <c r="G387" s="104">
        <f t="shared" si="739"/>
        <v>0.5</v>
      </c>
      <c r="H387" s="103">
        <f t="shared" si="740"/>
        <v>-0.29999999999999993</v>
      </c>
      <c r="I387" s="109">
        <v>4.7E-2</v>
      </c>
      <c r="J387" s="106">
        <f t="shared" si="752"/>
        <v>46199</v>
      </c>
      <c r="K387" s="106">
        <f t="shared" si="742"/>
        <v>46199</v>
      </c>
      <c r="L387" s="106">
        <v>46156</v>
      </c>
      <c r="M387" s="107">
        <f t="shared" si="743"/>
        <v>46241</v>
      </c>
      <c r="N387" s="106">
        <f t="shared" si="744"/>
        <v>46241</v>
      </c>
      <c r="O387" s="206"/>
      <c r="P387" s="107">
        <f t="shared" si="753"/>
        <v>46283</v>
      </c>
      <c r="Q387" s="106">
        <f t="shared" si="745"/>
        <v>46283</v>
      </c>
      <c r="R387" s="107"/>
      <c r="S387" s="106">
        <f t="shared" si="747"/>
        <v>46297</v>
      </c>
      <c r="T387" s="106">
        <f t="shared" si="746"/>
        <v>46297</v>
      </c>
      <c r="U387" s="107"/>
      <c r="W387" s="169" t="str">
        <f t="shared" ca="1" si="748"/>
        <v>Completed</v>
      </c>
      <c r="X387" s="169" t="str">
        <f t="shared" ca="1" si="749"/>
        <v>Overdue</v>
      </c>
      <c r="Y387" s="169" t="str">
        <f t="shared" ca="1" si="750"/>
        <v>Overdue</v>
      </c>
      <c r="Z387" s="170" t="str">
        <f t="shared" ca="1" si="751"/>
        <v/>
      </c>
    </row>
    <row r="388" spans="1:26" s="70" customFormat="1" ht="11.5" x14ac:dyDescent="0.25">
      <c r="A388" s="101" t="s">
        <v>64</v>
      </c>
      <c r="B388" s="101" t="s">
        <v>14</v>
      </c>
      <c r="C388" s="101" t="s">
        <v>417</v>
      </c>
      <c r="D388" s="101" t="s">
        <v>418</v>
      </c>
      <c r="E388" s="104">
        <f t="shared" si="738"/>
        <v>0.79999999999999993</v>
      </c>
      <c r="F388" s="104">
        <f t="shared" si="739"/>
        <v>0.79999999999999993</v>
      </c>
      <c r="G388" s="104">
        <f t="shared" si="739"/>
        <v>0.7</v>
      </c>
      <c r="H388" s="104">
        <f t="shared" si="740"/>
        <v>-9.9999999999999978E-2</v>
      </c>
      <c r="I388" s="105">
        <v>4.7E-2</v>
      </c>
      <c r="J388" s="106">
        <f t="shared" si="752"/>
        <v>46199</v>
      </c>
      <c r="K388" s="106">
        <f t="shared" si="742"/>
        <v>46199</v>
      </c>
      <c r="L388" s="106">
        <v>46156</v>
      </c>
      <c r="M388" s="107">
        <f t="shared" si="743"/>
        <v>46241</v>
      </c>
      <c r="N388" s="106">
        <f t="shared" si="744"/>
        <v>46241</v>
      </c>
      <c r="O388" s="106">
        <v>46191</v>
      </c>
      <c r="P388" s="107">
        <f t="shared" si="753"/>
        <v>46283</v>
      </c>
      <c r="Q388" s="106">
        <f t="shared" si="745"/>
        <v>46283</v>
      </c>
      <c r="R388" s="107"/>
      <c r="S388" s="106">
        <f t="shared" si="747"/>
        <v>46297</v>
      </c>
      <c r="T388" s="106">
        <f t="shared" si="746"/>
        <v>46297</v>
      </c>
      <c r="U388" s="107"/>
      <c r="W388" s="169" t="str">
        <f t="shared" ca="1" si="748"/>
        <v>Completed</v>
      </c>
      <c r="X388" s="169" t="str">
        <f t="shared" ca="1" si="749"/>
        <v>Completed</v>
      </c>
      <c r="Y388" s="169" t="str">
        <f t="shared" ca="1" si="750"/>
        <v>Overdue</v>
      </c>
      <c r="Z388" s="170" t="str">
        <f t="shared" ca="1" si="751"/>
        <v/>
      </c>
    </row>
    <row r="389" spans="1:26" s="70" customFormat="1" ht="11.5" x14ac:dyDescent="0.25">
      <c r="A389" s="101" t="s">
        <v>64</v>
      </c>
      <c r="B389" s="101" t="s">
        <v>14</v>
      </c>
      <c r="C389" s="101" t="s">
        <v>419</v>
      </c>
      <c r="D389" s="101" t="s">
        <v>420</v>
      </c>
      <c r="E389" s="104">
        <f t="shared" si="738"/>
        <v>0.79999999999999993</v>
      </c>
      <c r="F389" s="104">
        <f t="shared" si="739"/>
        <v>0.79999999999999993</v>
      </c>
      <c r="G389" s="104">
        <f t="shared" si="739"/>
        <v>0.7</v>
      </c>
      <c r="H389" s="104">
        <f t="shared" si="740"/>
        <v>-9.9999999999999978E-2</v>
      </c>
      <c r="I389" s="105">
        <v>4.7E-2</v>
      </c>
      <c r="J389" s="106">
        <f t="shared" si="752"/>
        <v>46192</v>
      </c>
      <c r="K389" s="106">
        <f t="shared" si="742"/>
        <v>46192</v>
      </c>
      <c r="L389" s="106">
        <v>46178</v>
      </c>
      <c r="M389" s="107">
        <f t="shared" si="743"/>
        <v>46234</v>
      </c>
      <c r="N389" s="106">
        <f t="shared" si="744"/>
        <v>46234</v>
      </c>
      <c r="O389" s="107">
        <v>46266</v>
      </c>
      <c r="P389" s="107">
        <f t="shared" si="753"/>
        <v>46276</v>
      </c>
      <c r="Q389" s="106">
        <f t="shared" si="745"/>
        <v>46276</v>
      </c>
      <c r="R389" s="107"/>
      <c r="S389" s="106">
        <f t="shared" si="747"/>
        <v>46290</v>
      </c>
      <c r="T389" s="106">
        <f t="shared" si="746"/>
        <v>46290</v>
      </c>
      <c r="U389" s="107"/>
      <c r="W389" s="169" t="str">
        <f t="shared" ca="1" si="748"/>
        <v>Completed</v>
      </c>
      <c r="X389" s="169" t="str">
        <f t="shared" ca="1" si="749"/>
        <v>Completed</v>
      </c>
      <c r="Y389" s="169" t="str">
        <f t="shared" ca="1" si="750"/>
        <v>Overdue</v>
      </c>
      <c r="Z389" s="170" t="str">
        <f t="shared" ca="1" si="751"/>
        <v>Follow-Next Week</v>
      </c>
    </row>
    <row r="390" spans="1:26" s="70" customFormat="1" ht="11.5" x14ac:dyDescent="0.25">
      <c r="A390" s="101" t="s">
        <v>64</v>
      </c>
      <c r="B390" s="101" t="s">
        <v>14</v>
      </c>
      <c r="C390" s="101" t="s">
        <v>421</v>
      </c>
      <c r="D390" s="101" t="s">
        <v>422</v>
      </c>
      <c r="E390" s="104">
        <f t="shared" si="738"/>
        <v>0.79999999999999993</v>
      </c>
      <c r="F390" s="104">
        <f t="shared" si="739"/>
        <v>0.79999999999999993</v>
      </c>
      <c r="G390" s="104">
        <f t="shared" si="739"/>
        <v>0</v>
      </c>
      <c r="H390" s="104">
        <f t="shared" si="740"/>
        <v>-0.79999999999999993</v>
      </c>
      <c r="I390" s="105">
        <v>4.7E-2</v>
      </c>
      <c r="J390" s="106">
        <f t="shared" si="752"/>
        <v>46199</v>
      </c>
      <c r="K390" s="106">
        <f t="shared" si="742"/>
        <v>46199</v>
      </c>
      <c r="L390" s="107"/>
      <c r="M390" s="107">
        <f t="shared" si="743"/>
        <v>46241</v>
      </c>
      <c r="N390" s="106">
        <f t="shared" si="744"/>
        <v>46241</v>
      </c>
      <c r="O390" s="107"/>
      <c r="P390" s="107">
        <f t="shared" si="753"/>
        <v>46283</v>
      </c>
      <c r="Q390" s="106">
        <f t="shared" si="745"/>
        <v>46283</v>
      </c>
      <c r="R390" s="107"/>
      <c r="S390" s="106">
        <f t="shared" si="747"/>
        <v>46297</v>
      </c>
      <c r="T390" s="106">
        <f t="shared" si="746"/>
        <v>46297</v>
      </c>
      <c r="U390" s="107"/>
      <c r="W390" s="169" t="str">
        <f t="shared" ca="1" si="748"/>
        <v>Overdue</v>
      </c>
      <c r="X390" s="169" t="str">
        <f t="shared" ca="1" si="749"/>
        <v>Overdue</v>
      </c>
      <c r="Y390" s="169" t="str">
        <f t="shared" ca="1" si="750"/>
        <v>Overdue</v>
      </c>
      <c r="Z390" s="170" t="str">
        <f t="shared" ca="1" si="751"/>
        <v/>
      </c>
    </row>
    <row r="391" spans="1:26" s="70" customFormat="1" ht="11.5" x14ac:dyDescent="0.25">
      <c r="A391" s="101" t="s">
        <v>64</v>
      </c>
      <c r="B391" s="101" t="s">
        <v>14</v>
      </c>
      <c r="C391" s="101" t="s">
        <v>423</v>
      </c>
      <c r="D391" s="101" t="s">
        <v>424</v>
      </c>
      <c r="E391" s="104">
        <f t="shared" si="738"/>
        <v>0.79999999999999993</v>
      </c>
      <c r="F391" s="104">
        <f t="shared" si="739"/>
        <v>0.79999999999999993</v>
      </c>
      <c r="G391" s="104">
        <f t="shared" si="739"/>
        <v>0.7</v>
      </c>
      <c r="H391" s="104">
        <f t="shared" si="740"/>
        <v>-9.9999999999999978E-2</v>
      </c>
      <c r="I391" s="105">
        <v>4.7E-2</v>
      </c>
      <c r="J391" s="106">
        <f t="shared" si="752"/>
        <v>46192</v>
      </c>
      <c r="K391" s="106">
        <f t="shared" si="742"/>
        <v>46192</v>
      </c>
      <c r="L391" s="106">
        <v>46191</v>
      </c>
      <c r="M391" s="107">
        <f t="shared" si="743"/>
        <v>46234</v>
      </c>
      <c r="N391" s="106">
        <f t="shared" si="744"/>
        <v>46234</v>
      </c>
      <c r="O391" s="206">
        <v>46283</v>
      </c>
      <c r="P391" s="107">
        <f t="shared" si="753"/>
        <v>46276</v>
      </c>
      <c r="Q391" s="106">
        <f t="shared" si="745"/>
        <v>46276</v>
      </c>
      <c r="R391" s="107"/>
      <c r="S391" s="106">
        <f t="shared" si="747"/>
        <v>46290</v>
      </c>
      <c r="T391" s="106">
        <f t="shared" si="746"/>
        <v>46290</v>
      </c>
      <c r="U391" s="107"/>
      <c r="W391" s="169" t="str">
        <f t="shared" ca="1" si="748"/>
        <v>Completed</v>
      </c>
      <c r="X391" s="169" t="str">
        <f t="shared" ca="1" si="749"/>
        <v>Completed</v>
      </c>
      <c r="Y391" s="169" t="str">
        <f t="shared" ca="1" si="750"/>
        <v>Overdue</v>
      </c>
      <c r="Z391" s="170" t="str">
        <f t="shared" ca="1" si="751"/>
        <v>Follow-Next Week</v>
      </c>
    </row>
    <row r="392" spans="1:26" s="70" customFormat="1" ht="11.5" x14ac:dyDescent="0.25">
      <c r="A392" s="101" t="s">
        <v>64</v>
      </c>
      <c r="B392" s="101" t="s">
        <v>14</v>
      </c>
      <c r="C392" s="101" t="s">
        <v>425</v>
      </c>
      <c r="D392" s="101" t="s">
        <v>426</v>
      </c>
      <c r="E392" s="104">
        <f t="shared" si="738"/>
        <v>0.79999999999999993</v>
      </c>
      <c r="F392" s="104">
        <f t="shared" si="739"/>
        <v>0.79999999999999993</v>
      </c>
      <c r="G392" s="104">
        <f t="shared" si="739"/>
        <v>0.7</v>
      </c>
      <c r="H392" s="104">
        <f t="shared" si="740"/>
        <v>-9.9999999999999978E-2</v>
      </c>
      <c r="I392" s="105">
        <v>4.7E-2</v>
      </c>
      <c r="J392" s="106">
        <f t="shared" si="752"/>
        <v>46192</v>
      </c>
      <c r="K392" s="106">
        <f t="shared" si="742"/>
        <v>46192</v>
      </c>
      <c r="L392" s="106">
        <v>46191</v>
      </c>
      <c r="M392" s="107">
        <f t="shared" si="743"/>
        <v>46234</v>
      </c>
      <c r="N392" s="106">
        <f t="shared" si="744"/>
        <v>46234</v>
      </c>
      <c r="O392" s="206">
        <v>46283</v>
      </c>
      <c r="P392" s="107">
        <f t="shared" si="753"/>
        <v>46276</v>
      </c>
      <c r="Q392" s="106">
        <f t="shared" si="745"/>
        <v>46276</v>
      </c>
      <c r="R392" s="107"/>
      <c r="S392" s="106">
        <f t="shared" si="747"/>
        <v>46290</v>
      </c>
      <c r="T392" s="106">
        <f t="shared" si="746"/>
        <v>46290</v>
      </c>
      <c r="U392" s="107"/>
      <c r="W392" s="169" t="str">
        <f t="shared" ca="1" si="748"/>
        <v>Completed</v>
      </c>
      <c r="X392" s="169" t="str">
        <f t="shared" ca="1" si="749"/>
        <v>Completed</v>
      </c>
      <c r="Y392" s="169" t="str">
        <f t="shared" ca="1" si="750"/>
        <v>Overdue</v>
      </c>
      <c r="Z392" s="170" t="str">
        <f t="shared" ca="1" si="751"/>
        <v>Follow-Next Week</v>
      </c>
    </row>
    <row r="393" spans="1:26" s="70" customFormat="1" ht="11.5" x14ac:dyDescent="0.25">
      <c r="A393" s="101" t="s">
        <v>64</v>
      </c>
      <c r="B393" s="101" t="s">
        <v>14</v>
      </c>
      <c r="C393" s="101" t="s">
        <v>842</v>
      </c>
      <c r="D393" s="101" t="s">
        <v>821</v>
      </c>
      <c r="E393" s="104">
        <f t="shared" si="738"/>
        <v>0.7</v>
      </c>
      <c r="F393" s="104">
        <f t="shared" si="739"/>
        <v>0.7</v>
      </c>
      <c r="G393" s="104">
        <f t="shared" si="739"/>
        <v>1</v>
      </c>
      <c r="H393" s="104">
        <f t="shared" si="740"/>
        <v>0.30000000000000004</v>
      </c>
      <c r="I393" s="105">
        <v>4.7E-2</v>
      </c>
      <c r="J393" s="106">
        <f t="shared" si="752"/>
        <v>46206</v>
      </c>
      <c r="K393" s="106">
        <f t="shared" si="742"/>
        <v>46206</v>
      </c>
      <c r="L393" s="106">
        <v>46182</v>
      </c>
      <c r="M393" s="107">
        <f t="shared" si="743"/>
        <v>46248</v>
      </c>
      <c r="N393" s="106">
        <f t="shared" si="744"/>
        <v>46248</v>
      </c>
      <c r="O393" s="106">
        <v>46191</v>
      </c>
      <c r="P393" s="107">
        <f t="shared" si="753"/>
        <v>46290</v>
      </c>
      <c r="Q393" s="106">
        <f t="shared" si="745"/>
        <v>46290</v>
      </c>
      <c r="R393" s="107">
        <v>46252</v>
      </c>
      <c r="S393" s="106">
        <f t="shared" si="747"/>
        <v>46304</v>
      </c>
      <c r="T393" s="106">
        <f t="shared" si="746"/>
        <v>46304</v>
      </c>
      <c r="U393" s="106">
        <v>46262</v>
      </c>
      <c r="W393" s="169" t="str">
        <f t="shared" ca="1" si="748"/>
        <v>Completed</v>
      </c>
      <c r="X393" s="169" t="str">
        <f t="shared" ca="1" si="749"/>
        <v>Completed</v>
      </c>
      <c r="Y393" s="169" t="str">
        <f t="shared" ca="1" si="750"/>
        <v>Completed</v>
      </c>
      <c r="Z393" s="170" t="str">
        <f t="shared" ca="1" si="751"/>
        <v>Completed</v>
      </c>
    </row>
    <row r="394" spans="1:26" s="70" customFormat="1" ht="11.5" x14ac:dyDescent="0.25">
      <c r="A394" s="101" t="s">
        <v>64</v>
      </c>
      <c r="B394" s="101" t="s">
        <v>14</v>
      </c>
      <c r="C394" s="101" t="s">
        <v>843</v>
      </c>
      <c r="D394" s="101" t="s">
        <v>822</v>
      </c>
      <c r="E394" s="104">
        <f t="shared" si="738"/>
        <v>0.7</v>
      </c>
      <c r="F394" s="104">
        <f t="shared" si="739"/>
        <v>0.7</v>
      </c>
      <c r="G394" s="104">
        <f t="shared" si="739"/>
        <v>1</v>
      </c>
      <c r="H394" s="104">
        <f t="shared" si="740"/>
        <v>0.30000000000000004</v>
      </c>
      <c r="I394" s="105">
        <v>4.7E-2</v>
      </c>
      <c r="J394" s="106">
        <f t="shared" si="752"/>
        <v>46206</v>
      </c>
      <c r="K394" s="106">
        <f t="shared" si="742"/>
        <v>46206</v>
      </c>
      <c r="L394" s="106">
        <v>46182</v>
      </c>
      <c r="M394" s="107">
        <f t="shared" si="743"/>
        <v>46248</v>
      </c>
      <c r="N394" s="106">
        <f t="shared" si="744"/>
        <v>46248</v>
      </c>
      <c r="O394" s="106">
        <v>46191</v>
      </c>
      <c r="P394" s="107">
        <f t="shared" si="753"/>
        <v>46290</v>
      </c>
      <c r="Q394" s="106">
        <f t="shared" si="745"/>
        <v>46290</v>
      </c>
      <c r="R394" s="107">
        <v>46252</v>
      </c>
      <c r="S394" s="106">
        <f t="shared" si="747"/>
        <v>46304</v>
      </c>
      <c r="T394" s="106">
        <f t="shared" si="746"/>
        <v>46304</v>
      </c>
      <c r="U394" s="106">
        <v>46262</v>
      </c>
      <c r="W394" s="169" t="str">
        <f t="shared" ca="1" si="748"/>
        <v>Completed</v>
      </c>
      <c r="X394" s="169" t="str">
        <f t="shared" ca="1" si="749"/>
        <v>Completed</v>
      </c>
      <c r="Y394" s="169" t="str">
        <f t="shared" ca="1" si="750"/>
        <v>Completed</v>
      </c>
      <c r="Z394" s="170" t="str">
        <f t="shared" ca="1" si="751"/>
        <v>Completed</v>
      </c>
    </row>
    <row r="395" spans="1:26" s="70" customFormat="1" ht="11.5" x14ac:dyDescent="0.25">
      <c r="A395" s="101" t="s">
        <v>64</v>
      </c>
      <c r="B395" s="101" t="s">
        <v>14</v>
      </c>
      <c r="C395" s="101" t="s">
        <v>844</v>
      </c>
      <c r="D395" s="101" t="s">
        <v>823</v>
      </c>
      <c r="E395" s="104">
        <f t="shared" si="738"/>
        <v>0.7</v>
      </c>
      <c r="F395" s="104">
        <f t="shared" si="739"/>
        <v>0.7</v>
      </c>
      <c r="G395" s="104">
        <f t="shared" si="739"/>
        <v>1</v>
      </c>
      <c r="H395" s="104">
        <f t="shared" si="740"/>
        <v>0.30000000000000004</v>
      </c>
      <c r="I395" s="105">
        <v>4.7E-2</v>
      </c>
      <c r="J395" s="106">
        <f t="shared" si="752"/>
        <v>46206</v>
      </c>
      <c r="K395" s="106">
        <f t="shared" si="742"/>
        <v>46206</v>
      </c>
      <c r="L395" s="106">
        <v>46182</v>
      </c>
      <c r="M395" s="107">
        <f t="shared" si="743"/>
        <v>46248</v>
      </c>
      <c r="N395" s="106">
        <f t="shared" si="744"/>
        <v>46248</v>
      </c>
      <c r="O395" s="106">
        <v>46191</v>
      </c>
      <c r="P395" s="107">
        <f t="shared" si="753"/>
        <v>46290</v>
      </c>
      <c r="Q395" s="106">
        <f t="shared" si="745"/>
        <v>46290</v>
      </c>
      <c r="R395" s="107">
        <v>46252</v>
      </c>
      <c r="S395" s="106">
        <f t="shared" si="747"/>
        <v>46304</v>
      </c>
      <c r="T395" s="106">
        <f t="shared" si="746"/>
        <v>46304</v>
      </c>
      <c r="U395" s="106">
        <v>46262</v>
      </c>
      <c r="W395" s="169" t="str">
        <f t="shared" ca="1" si="748"/>
        <v>Completed</v>
      </c>
      <c r="X395" s="169" t="str">
        <f t="shared" ca="1" si="749"/>
        <v>Completed</v>
      </c>
      <c r="Y395" s="169" t="str">
        <f t="shared" ca="1" si="750"/>
        <v>Completed</v>
      </c>
      <c r="Z395" s="170" t="str">
        <f t="shared" ca="1" si="751"/>
        <v>Completed</v>
      </c>
    </row>
    <row r="396" spans="1:26" s="70" customFormat="1" ht="11.5" x14ac:dyDescent="0.25">
      <c r="A396" s="101" t="s">
        <v>64</v>
      </c>
      <c r="B396" s="101" t="s">
        <v>14</v>
      </c>
      <c r="C396" s="101" t="s">
        <v>845</v>
      </c>
      <c r="D396" s="101" t="s">
        <v>824</v>
      </c>
      <c r="E396" s="104">
        <f t="shared" si="738"/>
        <v>0.7</v>
      </c>
      <c r="F396" s="104">
        <f t="shared" si="739"/>
        <v>0.7</v>
      </c>
      <c r="G396" s="104">
        <f t="shared" si="739"/>
        <v>1</v>
      </c>
      <c r="H396" s="104">
        <f t="shared" si="740"/>
        <v>0.30000000000000004</v>
      </c>
      <c r="I396" s="105">
        <v>4.7E-2</v>
      </c>
      <c r="J396" s="106">
        <f t="shared" si="752"/>
        <v>46206</v>
      </c>
      <c r="K396" s="106">
        <f t="shared" si="742"/>
        <v>46206</v>
      </c>
      <c r="L396" s="106">
        <v>46182</v>
      </c>
      <c r="M396" s="107">
        <f t="shared" si="743"/>
        <v>46248</v>
      </c>
      <c r="N396" s="106">
        <f t="shared" si="744"/>
        <v>46248</v>
      </c>
      <c r="O396" s="106">
        <v>46191</v>
      </c>
      <c r="P396" s="107">
        <f t="shared" si="753"/>
        <v>46290</v>
      </c>
      <c r="Q396" s="106">
        <f t="shared" si="745"/>
        <v>46290</v>
      </c>
      <c r="R396" s="107">
        <v>46252</v>
      </c>
      <c r="S396" s="106">
        <f t="shared" si="747"/>
        <v>46304</v>
      </c>
      <c r="T396" s="106">
        <f t="shared" si="746"/>
        <v>46304</v>
      </c>
      <c r="U396" s="106">
        <v>46262</v>
      </c>
      <c r="W396" s="169" t="str">
        <f t="shared" ca="1" si="748"/>
        <v>Completed</v>
      </c>
      <c r="X396" s="169" t="str">
        <f t="shared" ca="1" si="749"/>
        <v>Completed</v>
      </c>
      <c r="Y396" s="169" t="str">
        <f t="shared" ca="1" si="750"/>
        <v>Completed</v>
      </c>
      <c r="Z396" s="170" t="str">
        <f t="shared" ca="1" si="751"/>
        <v>Completed</v>
      </c>
    </row>
    <row r="397" spans="1:26" s="70" customFormat="1" ht="11.5" x14ac:dyDescent="0.25">
      <c r="A397" s="101" t="s">
        <v>64</v>
      </c>
      <c r="B397" s="101" t="s">
        <v>14</v>
      </c>
      <c r="C397" s="101" t="s">
        <v>846</v>
      </c>
      <c r="D397" s="101" t="s">
        <v>825</v>
      </c>
      <c r="E397" s="104">
        <f t="shared" si="738"/>
        <v>0.7</v>
      </c>
      <c r="F397" s="104">
        <f t="shared" si="739"/>
        <v>0.7</v>
      </c>
      <c r="G397" s="104">
        <f t="shared" si="739"/>
        <v>1</v>
      </c>
      <c r="H397" s="104">
        <f t="shared" si="740"/>
        <v>0.30000000000000004</v>
      </c>
      <c r="I397" s="105">
        <v>4.7E-2</v>
      </c>
      <c r="J397" s="106">
        <f t="shared" si="752"/>
        <v>46206</v>
      </c>
      <c r="K397" s="106">
        <f t="shared" si="742"/>
        <v>46206</v>
      </c>
      <c r="L397" s="106">
        <v>46182</v>
      </c>
      <c r="M397" s="107">
        <f t="shared" si="743"/>
        <v>46248</v>
      </c>
      <c r="N397" s="106">
        <f t="shared" si="744"/>
        <v>46248</v>
      </c>
      <c r="O397" s="106">
        <v>46191</v>
      </c>
      <c r="P397" s="107">
        <f t="shared" si="753"/>
        <v>46290</v>
      </c>
      <c r="Q397" s="106">
        <f t="shared" si="745"/>
        <v>46290</v>
      </c>
      <c r="R397" s="107">
        <v>46252</v>
      </c>
      <c r="S397" s="106">
        <f t="shared" si="747"/>
        <v>46304</v>
      </c>
      <c r="T397" s="106">
        <f t="shared" si="746"/>
        <v>46304</v>
      </c>
      <c r="U397" s="106">
        <v>46262</v>
      </c>
      <c r="W397" s="169" t="str">
        <f t="shared" ca="1" si="748"/>
        <v>Completed</v>
      </c>
      <c r="X397" s="169" t="str">
        <f t="shared" ca="1" si="749"/>
        <v>Completed</v>
      </c>
      <c r="Y397" s="169" t="str">
        <f t="shared" ca="1" si="750"/>
        <v>Completed</v>
      </c>
      <c r="Z397" s="170" t="str">
        <f t="shared" ca="1" si="751"/>
        <v>Completed</v>
      </c>
    </row>
    <row r="398" spans="1:26" s="70" customFormat="1" ht="11.5" x14ac:dyDescent="0.25">
      <c r="A398" s="101" t="s">
        <v>64</v>
      </c>
      <c r="B398" s="101" t="s">
        <v>14</v>
      </c>
      <c r="C398" s="101" t="s">
        <v>847</v>
      </c>
      <c r="D398" s="101" t="s">
        <v>826</v>
      </c>
      <c r="E398" s="104">
        <f t="shared" si="738"/>
        <v>0.7</v>
      </c>
      <c r="F398" s="104">
        <f t="shared" si="739"/>
        <v>0.7</v>
      </c>
      <c r="G398" s="104">
        <f t="shared" si="739"/>
        <v>1</v>
      </c>
      <c r="H398" s="104">
        <f t="shared" si="740"/>
        <v>0.30000000000000004</v>
      </c>
      <c r="I398" s="105">
        <v>4.7E-2</v>
      </c>
      <c r="J398" s="106">
        <f t="shared" si="752"/>
        <v>46206</v>
      </c>
      <c r="K398" s="106">
        <f t="shared" si="742"/>
        <v>46206</v>
      </c>
      <c r="L398" s="142">
        <v>46162</v>
      </c>
      <c r="M398" s="107">
        <f t="shared" si="743"/>
        <v>46248</v>
      </c>
      <c r="N398" s="106">
        <f t="shared" si="744"/>
        <v>46248</v>
      </c>
      <c r="O398" s="106">
        <v>46191</v>
      </c>
      <c r="P398" s="107">
        <f t="shared" si="753"/>
        <v>46290</v>
      </c>
      <c r="Q398" s="106">
        <f t="shared" si="745"/>
        <v>46290</v>
      </c>
      <c r="R398" s="107">
        <v>46252</v>
      </c>
      <c r="S398" s="106">
        <f t="shared" si="747"/>
        <v>46304</v>
      </c>
      <c r="T398" s="106">
        <f t="shared" si="746"/>
        <v>46304</v>
      </c>
      <c r="U398" s="106">
        <v>46262</v>
      </c>
      <c r="W398" s="169" t="str">
        <f t="shared" ca="1" si="748"/>
        <v>Completed</v>
      </c>
      <c r="X398" s="169" t="str">
        <f t="shared" ca="1" si="749"/>
        <v>Completed</v>
      </c>
      <c r="Y398" s="169" t="str">
        <f t="shared" ca="1" si="750"/>
        <v>Completed</v>
      </c>
      <c r="Z398" s="170" t="str">
        <f t="shared" ca="1" si="751"/>
        <v>Completed</v>
      </c>
    </row>
    <row r="399" spans="1:26" s="70" customFormat="1" ht="11.5" x14ac:dyDescent="0.25">
      <c r="A399" s="101" t="s">
        <v>64</v>
      </c>
      <c r="B399" s="101" t="s">
        <v>14</v>
      </c>
      <c r="C399" s="101" t="s">
        <v>848</v>
      </c>
      <c r="D399" s="101" t="s">
        <v>827</v>
      </c>
      <c r="E399" s="104">
        <f t="shared" si="738"/>
        <v>0.7</v>
      </c>
      <c r="F399" s="104">
        <f t="shared" si="739"/>
        <v>0.7</v>
      </c>
      <c r="G399" s="104">
        <f t="shared" si="739"/>
        <v>1</v>
      </c>
      <c r="H399" s="104">
        <f t="shared" si="740"/>
        <v>0.30000000000000004</v>
      </c>
      <c r="I399" s="105">
        <v>4.7E-2</v>
      </c>
      <c r="J399" s="106">
        <f t="shared" si="752"/>
        <v>46206</v>
      </c>
      <c r="K399" s="106">
        <f t="shared" si="742"/>
        <v>46206</v>
      </c>
      <c r="L399" s="142">
        <v>46162</v>
      </c>
      <c r="M399" s="107">
        <f t="shared" si="743"/>
        <v>46248</v>
      </c>
      <c r="N399" s="106">
        <f t="shared" si="744"/>
        <v>46248</v>
      </c>
      <c r="O399" s="106">
        <v>46191</v>
      </c>
      <c r="P399" s="107">
        <f t="shared" si="753"/>
        <v>46290</v>
      </c>
      <c r="Q399" s="106">
        <f t="shared" si="745"/>
        <v>46290</v>
      </c>
      <c r="R399" s="107">
        <v>46252</v>
      </c>
      <c r="S399" s="106">
        <f t="shared" si="747"/>
        <v>46304</v>
      </c>
      <c r="T399" s="106">
        <f t="shared" si="746"/>
        <v>46304</v>
      </c>
      <c r="U399" s="106">
        <v>46262</v>
      </c>
      <c r="W399" s="169" t="str">
        <f t="shared" ca="1" si="748"/>
        <v>Completed</v>
      </c>
      <c r="X399" s="169" t="str">
        <f t="shared" ca="1" si="749"/>
        <v>Completed</v>
      </c>
      <c r="Y399" s="169" t="str">
        <f t="shared" ca="1" si="750"/>
        <v>Completed</v>
      </c>
      <c r="Z399" s="170" t="str">
        <f t="shared" ca="1" si="751"/>
        <v>Completed</v>
      </c>
    </row>
    <row r="400" spans="1:26" s="70" customFormat="1" ht="11.5" x14ac:dyDescent="0.25">
      <c r="A400" s="101" t="s">
        <v>64</v>
      </c>
      <c r="B400" s="101" t="s">
        <v>14</v>
      </c>
      <c r="C400" s="101" t="s">
        <v>849</v>
      </c>
      <c r="D400" s="101" t="s">
        <v>828</v>
      </c>
      <c r="E400" s="104">
        <f t="shared" si="738"/>
        <v>0.7</v>
      </c>
      <c r="F400" s="104">
        <f t="shared" si="739"/>
        <v>0.7</v>
      </c>
      <c r="G400" s="104">
        <f t="shared" si="739"/>
        <v>1</v>
      </c>
      <c r="H400" s="104">
        <f t="shared" si="740"/>
        <v>0.30000000000000004</v>
      </c>
      <c r="I400" s="105">
        <v>4.7E-2</v>
      </c>
      <c r="J400" s="106">
        <f t="shared" si="752"/>
        <v>46206</v>
      </c>
      <c r="K400" s="106">
        <f t="shared" si="742"/>
        <v>46206</v>
      </c>
      <c r="L400" s="142">
        <v>46162</v>
      </c>
      <c r="M400" s="107">
        <f t="shared" si="743"/>
        <v>46248</v>
      </c>
      <c r="N400" s="106">
        <f t="shared" si="744"/>
        <v>46248</v>
      </c>
      <c r="O400" s="106">
        <v>46191</v>
      </c>
      <c r="P400" s="107">
        <f t="shared" si="753"/>
        <v>46290</v>
      </c>
      <c r="Q400" s="106">
        <f t="shared" si="745"/>
        <v>46290</v>
      </c>
      <c r="R400" s="107">
        <v>46252</v>
      </c>
      <c r="S400" s="106">
        <f t="shared" si="747"/>
        <v>46304</v>
      </c>
      <c r="T400" s="106">
        <f t="shared" si="746"/>
        <v>46304</v>
      </c>
      <c r="U400" s="106">
        <v>46262</v>
      </c>
      <c r="W400" s="169" t="str">
        <f t="shared" ca="1" si="748"/>
        <v>Completed</v>
      </c>
      <c r="X400" s="169" t="str">
        <f t="shared" ca="1" si="749"/>
        <v>Completed</v>
      </c>
      <c r="Y400" s="169" t="str">
        <f t="shared" ca="1" si="750"/>
        <v>Completed</v>
      </c>
      <c r="Z400" s="170" t="str">
        <f t="shared" ca="1" si="751"/>
        <v>Completed</v>
      </c>
    </row>
    <row r="401" spans="1:26" s="70" customFormat="1" ht="11.5" x14ac:dyDescent="0.25">
      <c r="A401" s="101" t="s">
        <v>64</v>
      </c>
      <c r="B401" s="101" t="s">
        <v>14</v>
      </c>
      <c r="C401" s="101" t="s">
        <v>850</v>
      </c>
      <c r="D401" s="101" t="s">
        <v>829</v>
      </c>
      <c r="E401" s="104">
        <f t="shared" si="738"/>
        <v>0.7</v>
      </c>
      <c r="F401" s="104">
        <f t="shared" si="739"/>
        <v>0.7</v>
      </c>
      <c r="G401" s="104">
        <f t="shared" si="739"/>
        <v>1</v>
      </c>
      <c r="H401" s="104">
        <f t="shared" si="740"/>
        <v>0.30000000000000004</v>
      </c>
      <c r="I401" s="105">
        <v>4.7E-2</v>
      </c>
      <c r="J401" s="106">
        <f t="shared" si="752"/>
        <v>46206</v>
      </c>
      <c r="K401" s="106">
        <f t="shared" si="742"/>
        <v>46206</v>
      </c>
      <c r="L401" s="142">
        <v>46162</v>
      </c>
      <c r="M401" s="107">
        <f t="shared" si="743"/>
        <v>46248</v>
      </c>
      <c r="N401" s="106">
        <f t="shared" si="744"/>
        <v>46248</v>
      </c>
      <c r="O401" s="106">
        <v>46191</v>
      </c>
      <c r="P401" s="107">
        <f t="shared" si="753"/>
        <v>46290</v>
      </c>
      <c r="Q401" s="106">
        <f t="shared" si="745"/>
        <v>46290</v>
      </c>
      <c r="R401" s="107">
        <v>46252</v>
      </c>
      <c r="S401" s="106">
        <f t="shared" si="747"/>
        <v>46304</v>
      </c>
      <c r="T401" s="106">
        <f t="shared" si="746"/>
        <v>46304</v>
      </c>
      <c r="U401" s="106">
        <v>46262</v>
      </c>
      <c r="W401" s="169" t="str">
        <f t="shared" ca="1" si="748"/>
        <v>Completed</v>
      </c>
      <c r="X401" s="169" t="str">
        <f t="shared" ca="1" si="749"/>
        <v>Completed</v>
      </c>
      <c r="Y401" s="169" t="str">
        <f t="shared" ca="1" si="750"/>
        <v>Completed</v>
      </c>
      <c r="Z401" s="170" t="str">
        <f t="shared" ca="1" si="751"/>
        <v>Completed</v>
      </c>
    </row>
    <row r="402" spans="1:26" s="70" customFormat="1" ht="11.5" x14ac:dyDescent="0.25">
      <c r="A402" s="101" t="s">
        <v>64</v>
      </c>
      <c r="B402" s="101" t="s">
        <v>14</v>
      </c>
      <c r="C402" s="101" t="s">
        <v>851</v>
      </c>
      <c r="D402" s="101" t="s">
        <v>830</v>
      </c>
      <c r="E402" s="104">
        <f t="shared" si="738"/>
        <v>0.7</v>
      </c>
      <c r="F402" s="104">
        <f t="shared" si="739"/>
        <v>0.7</v>
      </c>
      <c r="G402" s="104">
        <f t="shared" si="739"/>
        <v>1</v>
      </c>
      <c r="H402" s="104">
        <f t="shared" si="740"/>
        <v>0.30000000000000004</v>
      </c>
      <c r="I402" s="105">
        <v>4.7E-2</v>
      </c>
      <c r="J402" s="106">
        <f t="shared" si="752"/>
        <v>46206</v>
      </c>
      <c r="K402" s="106">
        <f t="shared" si="742"/>
        <v>46206</v>
      </c>
      <c r="L402" s="142">
        <v>46162</v>
      </c>
      <c r="M402" s="107">
        <f t="shared" si="743"/>
        <v>46248</v>
      </c>
      <c r="N402" s="106">
        <f t="shared" si="744"/>
        <v>46248</v>
      </c>
      <c r="O402" s="106">
        <v>46191</v>
      </c>
      <c r="P402" s="107">
        <f t="shared" si="753"/>
        <v>46290</v>
      </c>
      <c r="Q402" s="106">
        <f t="shared" si="745"/>
        <v>46290</v>
      </c>
      <c r="R402" s="107">
        <v>46252</v>
      </c>
      <c r="S402" s="106">
        <f t="shared" si="747"/>
        <v>46304</v>
      </c>
      <c r="T402" s="106">
        <f t="shared" si="746"/>
        <v>46304</v>
      </c>
      <c r="U402" s="106">
        <v>46262</v>
      </c>
      <c r="W402" s="169" t="str">
        <f t="shared" ca="1" si="748"/>
        <v>Completed</v>
      </c>
      <c r="X402" s="169" t="str">
        <f t="shared" ca="1" si="749"/>
        <v>Completed</v>
      </c>
      <c r="Y402" s="169" t="str">
        <f t="shared" ca="1" si="750"/>
        <v>Completed</v>
      </c>
      <c r="Z402" s="170" t="str">
        <f t="shared" ca="1" si="751"/>
        <v>Completed</v>
      </c>
    </row>
    <row r="403" spans="1:26" s="70" customFormat="1" ht="11.5" x14ac:dyDescent="0.25">
      <c r="A403" s="101" t="s">
        <v>64</v>
      </c>
      <c r="B403" s="101" t="s">
        <v>14</v>
      </c>
      <c r="C403" s="101" t="s">
        <v>852</v>
      </c>
      <c r="D403" s="101" t="s">
        <v>831</v>
      </c>
      <c r="E403" s="104">
        <f t="shared" si="738"/>
        <v>0.7</v>
      </c>
      <c r="F403" s="104">
        <f t="shared" si="739"/>
        <v>0.7</v>
      </c>
      <c r="G403" s="104">
        <f t="shared" si="739"/>
        <v>1</v>
      </c>
      <c r="H403" s="104">
        <f t="shared" si="740"/>
        <v>0.30000000000000004</v>
      </c>
      <c r="I403" s="105">
        <v>4.7E-2</v>
      </c>
      <c r="J403" s="106">
        <f t="shared" si="752"/>
        <v>46206</v>
      </c>
      <c r="K403" s="106">
        <f t="shared" si="742"/>
        <v>46206</v>
      </c>
      <c r="L403" s="142">
        <v>46162</v>
      </c>
      <c r="M403" s="107">
        <f t="shared" si="743"/>
        <v>46248</v>
      </c>
      <c r="N403" s="106">
        <f t="shared" si="744"/>
        <v>46248</v>
      </c>
      <c r="O403" s="106">
        <v>46191</v>
      </c>
      <c r="P403" s="107">
        <f t="shared" si="753"/>
        <v>46290</v>
      </c>
      <c r="Q403" s="106">
        <f t="shared" si="745"/>
        <v>46290</v>
      </c>
      <c r="R403" s="107">
        <v>46252</v>
      </c>
      <c r="S403" s="106">
        <f t="shared" si="747"/>
        <v>46304</v>
      </c>
      <c r="T403" s="106">
        <f t="shared" si="746"/>
        <v>46304</v>
      </c>
      <c r="U403" s="106">
        <v>46262</v>
      </c>
      <c r="W403" s="169" t="str">
        <f t="shared" ca="1" si="748"/>
        <v>Completed</v>
      </c>
      <c r="X403" s="169" t="str">
        <f t="shared" ca="1" si="749"/>
        <v>Completed</v>
      </c>
      <c r="Y403" s="169" t="str">
        <f t="shared" ca="1" si="750"/>
        <v>Completed</v>
      </c>
      <c r="Z403" s="170" t="str">
        <f t="shared" ca="1" si="751"/>
        <v>Completed</v>
      </c>
    </row>
    <row r="404" spans="1:26" s="70" customFormat="1" ht="11.5" x14ac:dyDescent="0.25">
      <c r="A404" s="101" t="s">
        <v>64</v>
      </c>
      <c r="B404" s="101" t="s">
        <v>14</v>
      </c>
      <c r="C404" s="101" t="s">
        <v>853</v>
      </c>
      <c r="D404" s="101" t="s">
        <v>832</v>
      </c>
      <c r="E404" s="104">
        <f t="shared" si="738"/>
        <v>0.7</v>
      </c>
      <c r="F404" s="104">
        <f t="shared" si="739"/>
        <v>0.7</v>
      </c>
      <c r="G404" s="104">
        <f t="shared" si="739"/>
        <v>1</v>
      </c>
      <c r="H404" s="104">
        <f t="shared" si="740"/>
        <v>0.30000000000000004</v>
      </c>
      <c r="I404" s="105">
        <v>4.7E-2</v>
      </c>
      <c r="J404" s="106">
        <f t="shared" si="752"/>
        <v>46206</v>
      </c>
      <c r="K404" s="106">
        <f t="shared" si="742"/>
        <v>46206</v>
      </c>
      <c r="L404" s="142">
        <v>46162</v>
      </c>
      <c r="M404" s="107">
        <f t="shared" si="743"/>
        <v>46248</v>
      </c>
      <c r="N404" s="106">
        <f t="shared" si="744"/>
        <v>46248</v>
      </c>
      <c r="O404" s="106">
        <v>46191</v>
      </c>
      <c r="P404" s="107">
        <f t="shared" si="753"/>
        <v>46290</v>
      </c>
      <c r="Q404" s="106">
        <f t="shared" si="745"/>
        <v>46290</v>
      </c>
      <c r="R404" s="107">
        <v>46252</v>
      </c>
      <c r="S404" s="106">
        <f t="shared" si="747"/>
        <v>46304</v>
      </c>
      <c r="T404" s="106">
        <f t="shared" si="746"/>
        <v>46304</v>
      </c>
      <c r="U404" s="106">
        <v>46262</v>
      </c>
      <c r="W404" s="169" t="str">
        <f t="shared" ca="1" si="748"/>
        <v>Completed</v>
      </c>
      <c r="X404" s="169" t="str">
        <f t="shared" ca="1" si="749"/>
        <v>Completed</v>
      </c>
      <c r="Y404" s="169" t="str">
        <f t="shared" ca="1" si="750"/>
        <v>Completed</v>
      </c>
      <c r="Z404" s="170" t="str">
        <f t="shared" ca="1" si="751"/>
        <v>Completed</v>
      </c>
    </row>
    <row r="405" spans="1:26" s="70" customFormat="1" ht="11.5" x14ac:dyDescent="0.25">
      <c r="A405" s="101" t="s">
        <v>64</v>
      </c>
      <c r="B405" s="101" t="s">
        <v>14</v>
      </c>
      <c r="C405" s="101" t="s">
        <v>854</v>
      </c>
      <c r="D405" s="101" t="s">
        <v>833</v>
      </c>
      <c r="E405" s="104">
        <f t="shared" si="738"/>
        <v>0.7</v>
      </c>
      <c r="F405" s="104">
        <f t="shared" si="739"/>
        <v>0.7</v>
      </c>
      <c r="G405" s="104">
        <f t="shared" si="739"/>
        <v>1</v>
      </c>
      <c r="H405" s="104">
        <f t="shared" si="740"/>
        <v>0.30000000000000004</v>
      </c>
      <c r="I405" s="105">
        <v>4.7E-2</v>
      </c>
      <c r="J405" s="106">
        <f t="shared" si="752"/>
        <v>46206</v>
      </c>
      <c r="K405" s="106">
        <f t="shared" si="742"/>
        <v>46206</v>
      </c>
      <c r="L405" s="142">
        <v>46162</v>
      </c>
      <c r="M405" s="107">
        <f t="shared" si="743"/>
        <v>46248</v>
      </c>
      <c r="N405" s="106">
        <f t="shared" si="744"/>
        <v>46248</v>
      </c>
      <c r="O405" s="106">
        <v>46191</v>
      </c>
      <c r="P405" s="107">
        <f t="shared" si="753"/>
        <v>46290</v>
      </c>
      <c r="Q405" s="106">
        <f t="shared" si="745"/>
        <v>46290</v>
      </c>
      <c r="R405" s="107">
        <v>46252</v>
      </c>
      <c r="S405" s="106">
        <f t="shared" si="747"/>
        <v>46304</v>
      </c>
      <c r="T405" s="106">
        <f t="shared" si="746"/>
        <v>46304</v>
      </c>
      <c r="U405" s="106">
        <v>46262</v>
      </c>
      <c r="W405" s="169" t="str">
        <f t="shared" ca="1" si="748"/>
        <v>Completed</v>
      </c>
      <c r="X405" s="169" t="str">
        <f t="shared" ca="1" si="749"/>
        <v>Completed</v>
      </c>
      <c r="Y405" s="169" t="str">
        <f t="shared" ca="1" si="750"/>
        <v>Completed</v>
      </c>
      <c r="Z405" s="170" t="str">
        <f t="shared" ca="1" si="751"/>
        <v>Completed</v>
      </c>
    </row>
    <row r="406" spans="1:26" s="70" customFormat="1" ht="11.5" x14ac:dyDescent="0.25">
      <c r="A406" s="101" t="s">
        <v>64</v>
      </c>
      <c r="B406" s="101" t="s">
        <v>14</v>
      </c>
      <c r="C406" s="101" t="s">
        <v>427</v>
      </c>
      <c r="D406" s="101" t="s">
        <v>428</v>
      </c>
      <c r="E406" s="104">
        <f t="shared" si="738"/>
        <v>0.79999999999999993</v>
      </c>
      <c r="F406" s="104">
        <f t="shared" si="739"/>
        <v>0.79999999999999993</v>
      </c>
      <c r="G406" s="104">
        <f t="shared" si="739"/>
        <v>0.7</v>
      </c>
      <c r="H406" s="104">
        <f t="shared" si="740"/>
        <v>-9.9999999999999978E-2</v>
      </c>
      <c r="I406" s="105">
        <v>4.7E-2</v>
      </c>
      <c r="J406" s="106">
        <f t="shared" si="752"/>
        <v>46192</v>
      </c>
      <c r="K406" s="106">
        <f t="shared" si="742"/>
        <v>46192</v>
      </c>
      <c r="L406" s="107">
        <v>46184</v>
      </c>
      <c r="M406" s="107">
        <f t="shared" si="743"/>
        <v>46234</v>
      </c>
      <c r="N406" s="106">
        <f t="shared" si="744"/>
        <v>46234</v>
      </c>
      <c r="O406" s="107">
        <v>46213</v>
      </c>
      <c r="P406" s="107">
        <f t="shared" si="753"/>
        <v>46276</v>
      </c>
      <c r="Q406" s="106">
        <f t="shared" si="745"/>
        <v>46276</v>
      </c>
      <c r="R406" s="107"/>
      <c r="S406" s="106">
        <f t="shared" si="747"/>
        <v>46290</v>
      </c>
      <c r="T406" s="106">
        <f t="shared" si="746"/>
        <v>46290</v>
      </c>
      <c r="U406" s="107"/>
      <c r="W406" s="169" t="str">
        <f t="shared" ca="1" si="748"/>
        <v>Completed</v>
      </c>
      <c r="X406" s="169" t="str">
        <f t="shared" ca="1" si="749"/>
        <v>Completed</v>
      </c>
      <c r="Y406" s="169" t="str">
        <f t="shared" ca="1" si="750"/>
        <v>Overdue</v>
      </c>
      <c r="Z406" s="170" t="str">
        <f t="shared" ca="1" si="751"/>
        <v>Follow-Next Week</v>
      </c>
    </row>
    <row r="407" spans="1:26" s="70" customFormat="1" ht="11.5" x14ac:dyDescent="0.25">
      <c r="A407" s="176" t="s">
        <v>64</v>
      </c>
      <c r="B407" s="176" t="s">
        <v>14</v>
      </c>
      <c r="C407" s="176" t="s">
        <v>429</v>
      </c>
      <c r="D407" s="176" t="s">
        <v>1144</v>
      </c>
      <c r="E407" s="177"/>
      <c r="F407" s="177"/>
      <c r="G407" s="177">
        <f t="shared" si="739"/>
        <v>1</v>
      </c>
      <c r="H407" s="177"/>
      <c r="I407" s="176">
        <v>4.7E-2</v>
      </c>
      <c r="J407" s="179">
        <f t="shared" si="752"/>
        <v>46192</v>
      </c>
      <c r="K407" s="179">
        <f t="shared" si="742"/>
        <v>46192</v>
      </c>
      <c r="L407" s="180">
        <v>46184</v>
      </c>
      <c r="M407" s="180">
        <f t="shared" si="743"/>
        <v>46234</v>
      </c>
      <c r="N407" s="179">
        <f t="shared" si="744"/>
        <v>46234</v>
      </c>
      <c r="O407" s="180">
        <v>46213</v>
      </c>
      <c r="P407" s="180">
        <f t="shared" si="753"/>
        <v>46276</v>
      </c>
      <c r="Q407" s="179">
        <f t="shared" si="745"/>
        <v>46276</v>
      </c>
      <c r="R407" s="180">
        <v>46262</v>
      </c>
      <c r="S407" s="179">
        <f t="shared" si="747"/>
        <v>46290</v>
      </c>
      <c r="T407" s="179">
        <f t="shared" si="746"/>
        <v>46290</v>
      </c>
      <c r="U407" s="180">
        <v>46262</v>
      </c>
      <c r="W407" s="169" t="str">
        <f t="shared" ca="1" si="748"/>
        <v>Completed</v>
      </c>
      <c r="X407" s="169" t="str">
        <f t="shared" ca="1" si="749"/>
        <v>Completed</v>
      </c>
      <c r="Y407" s="169" t="str">
        <f t="shared" ca="1" si="750"/>
        <v>Completed</v>
      </c>
      <c r="Z407" s="170" t="str">
        <f t="shared" ca="1" si="751"/>
        <v>Completed</v>
      </c>
    </row>
    <row r="408" spans="1:26" s="70" customFormat="1" ht="11.5" x14ac:dyDescent="0.25">
      <c r="A408" s="101" t="s">
        <v>64</v>
      </c>
      <c r="B408" s="101" t="s">
        <v>14</v>
      </c>
      <c r="C408" s="101" t="s">
        <v>430</v>
      </c>
      <c r="D408" s="102" t="s">
        <v>431</v>
      </c>
      <c r="E408" s="104">
        <f t="shared" si="738"/>
        <v>0.79999999999999993</v>
      </c>
      <c r="F408" s="104">
        <f t="shared" si="739"/>
        <v>0.79999999999999993</v>
      </c>
      <c r="G408" s="104">
        <f t="shared" si="739"/>
        <v>0.7</v>
      </c>
      <c r="H408" s="104">
        <f t="shared" si="740"/>
        <v>-9.9999999999999978E-2</v>
      </c>
      <c r="I408" s="105">
        <v>4.7E-2</v>
      </c>
      <c r="J408" s="106">
        <f t="shared" si="752"/>
        <v>46192</v>
      </c>
      <c r="K408" s="106">
        <f t="shared" si="742"/>
        <v>46192</v>
      </c>
      <c r="L408" s="107">
        <v>46268</v>
      </c>
      <c r="M408" s="107">
        <f t="shared" si="743"/>
        <v>46234</v>
      </c>
      <c r="N408" s="106">
        <f t="shared" si="744"/>
        <v>46234</v>
      </c>
      <c r="O408" s="161">
        <v>46281</v>
      </c>
      <c r="P408" s="107">
        <f t="shared" si="753"/>
        <v>46276</v>
      </c>
      <c r="Q408" s="106">
        <f t="shared" si="745"/>
        <v>46276</v>
      </c>
      <c r="R408" s="107"/>
      <c r="S408" s="106">
        <f t="shared" si="747"/>
        <v>46290</v>
      </c>
      <c r="T408" s="106">
        <f t="shared" si="746"/>
        <v>46290</v>
      </c>
      <c r="U408" s="107"/>
      <c r="W408" s="169" t="str">
        <f t="shared" ca="1" si="748"/>
        <v>Completed</v>
      </c>
      <c r="X408" s="169" t="str">
        <f t="shared" ca="1" si="749"/>
        <v>Completed</v>
      </c>
      <c r="Y408" s="169" t="str">
        <f t="shared" ca="1" si="750"/>
        <v>Overdue</v>
      </c>
      <c r="Z408" s="170" t="str">
        <f t="shared" ca="1" si="751"/>
        <v>Follow-Next Week</v>
      </c>
    </row>
    <row r="409" spans="1:26" s="70" customFormat="1" ht="11.5" x14ac:dyDescent="0.25">
      <c r="A409" s="101" t="s">
        <v>64</v>
      </c>
      <c r="B409" s="101" t="s">
        <v>14</v>
      </c>
      <c r="C409" s="101" t="s">
        <v>432</v>
      </c>
      <c r="D409" s="102" t="s">
        <v>433</v>
      </c>
      <c r="E409" s="104">
        <f t="shared" si="738"/>
        <v>0.79999999999999993</v>
      </c>
      <c r="F409" s="104">
        <f t="shared" si="739"/>
        <v>0.79999999999999993</v>
      </c>
      <c r="G409" s="104">
        <f t="shared" si="739"/>
        <v>0.7</v>
      </c>
      <c r="H409" s="104">
        <f t="shared" si="740"/>
        <v>-9.9999999999999978E-2</v>
      </c>
      <c r="I409" s="105">
        <v>4.7E-2</v>
      </c>
      <c r="J409" s="106">
        <f t="shared" si="752"/>
        <v>46192</v>
      </c>
      <c r="K409" s="106">
        <f t="shared" si="742"/>
        <v>46192</v>
      </c>
      <c r="L409" s="107">
        <v>46268</v>
      </c>
      <c r="M409" s="107">
        <f t="shared" si="743"/>
        <v>46234</v>
      </c>
      <c r="N409" s="106">
        <f t="shared" si="744"/>
        <v>46234</v>
      </c>
      <c r="O409" s="161">
        <v>46281</v>
      </c>
      <c r="P409" s="107">
        <f t="shared" si="753"/>
        <v>46276</v>
      </c>
      <c r="Q409" s="106">
        <f t="shared" si="745"/>
        <v>46276</v>
      </c>
      <c r="R409" s="107"/>
      <c r="S409" s="106">
        <f t="shared" si="747"/>
        <v>46290</v>
      </c>
      <c r="T409" s="106">
        <f t="shared" si="746"/>
        <v>46290</v>
      </c>
      <c r="U409" s="107"/>
      <c r="W409" s="169" t="str">
        <f t="shared" ca="1" si="748"/>
        <v>Completed</v>
      </c>
      <c r="X409" s="169" t="str">
        <f t="shared" ca="1" si="749"/>
        <v>Completed</v>
      </c>
      <c r="Y409" s="169" t="str">
        <f t="shared" ca="1" si="750"/>
        <v>Overdue</v>
      </c>
      <c r="Z409" s="170" t="str">
        <f t="shared" ca="1" si="751"/>
        <v>Follow-Next Week</v>
      </c>
    </row>
    <row r="410" spans="1:26" s="70" customFormat="1" ht="11.5" x14ac:dyDescent="0.25">
      <c r="A410" s="101" t="s">
        <v>64</v>
      </c>
      <c r="B410" s="101" t="s">
        <v>14</v>
      </c>
      <c r="C410" s="101" t="s">
        <v>434</v>
      </c>
      <c r="D410" s="102" t="s">
        <v>435</v>
      </c>
      <c r="E410" s="104">
        <f t="shared" si="738"/>
        <v>0.7</v>
      </c>
      <c r="F410" s="104">
        <f t="shared" si="739"/>
        <v>0.7</v>
      </c>
      <c r="G410" s="104">
        <f t="shared" si="739"/>
        <v>0.7</v>
      </c>
      <c r="H410" s="104">
        <f t="shared" si="740"/>
        <v>0</v>
      </c>
      <c r="I410" s="105">
        <v>4.7E-2</v>
      </c>
      <c r="J410" s="106">
        <f t="shared" si="752"/>
        <v>46213</v>
      </c>
      <c r="K410" s="106">
        <f t="shared" si="742"/>
        <v>46213</v>
      </c>
      <c r="L410" s="106">
        <v>46142</v>
      </c>
      <c r="M410" s="107">
        <f t="shared" si="743"/>
        <v>46255</v>
      </c>
      <c r="N410" s="106">
        <f t="shared" si="744"/>
        <v>46255</v>
      </c>
      <c r="O410" s="107">
        <v>46266</v>
      </c>
      <c r="P410" s="107">
        <f t="shared" si="753"/>
        <v>46297</v>
      </c>
      <c r="Q410" s="106">
        <f t="shared" si="745"/>
        <v>46297</v>
      </c>
      <c r="R410" s="107"/>
      <c r="S410" s="106">
        <f t="shared" si="747"/>
        <v>46311</v>
      </c>
      <c r="T410" s="106">
        <f t="shared" si="746"/>
        <v>46311</v>
      </c>
      <c r="U410" s="107"/>
      <c r="W410" s="169" t="str">
        <f t="shared" ca="1" si="748"/>
        <v>Completed</v>
      </c>
      <c r="X410" s="169" t="str">
        <f t="shared" ca="1" si="749"/>
        <v>Completed</v>
      </c>
      <c r="Y410" s="169" t="str">
        <f t="shared" ca="1" si="750"/>
        <v/>
      </c>
      <c r="Z410" s="170" t="str">
        <f t="shared" ca="1" si="751"/>
        <v/>
      </c>
    </row>
    <row r="411" spans="1:26" s="70" customFormat="1" ht="11.5" x14ac:dyDescent="0.25">
      <c r="A411" s="102" t="s">
        <v>64</v>
      </c>
      <c r="B411" s="102" t="s">
        <v>14</v>
      </c>
      <c r="C411" s="102" t="s">
        <v>978</v>
      </c>
      <c r="D411" s="102" t="s">
        <v>436</v>
      </c>
      <c r="E411" s="103">
        <f t="shared" si="738"/>
        <v>0.7</v>
      </c>
      <c r="F411" s="103">
        <f t="shared" si="739"/>
        <v>0.7</v>
      </c>
      <c r="G411" s="103">
        <f t="shared" si="739"/>
        <v>0.7</v>
      </c>
      <c r="H411" s="103">
        <f t="shared" si="740"/>
        <v>0</v>
      </c>
      <c r="I411" s="109">
        <v>4.7E-2</v>
      </c>
      <c r="J411" s="106">
        <f t="shared" si="752"/>
        <v>46213</v>
      </c>
      <c r="K411" s="106">
        <f t="shared" si="742"/>
        <v>46213</v>
      </c>
      <c r="L411" s="106">
        <v>46142</v>
      </c>
      <c r="M411" s="107">
        <f t="shared" si="743"/>
        <v>46255</v>
      </c>
      <c r="N411" s="106">
        <f t="shared" si="744"/>
        <v>46255</v>
      </c>
      <c r="O411" s="107">
        <v>46266</v>
      </c>
      <c r="P411" s="107">
        <f t="shared" si="753"/>
        <v>46297</v>
      </c>
      <c r="Q411" s="106">
        <f t="shared" si="745"/>
        <v>46297</v>
      </c>
      <c r="R411" s="107"/>
      <c r="S411" s="106">
        <f t="shared" si="747"/>
        <v>46311</v>
      </c>
      <c r="T411" s="106">
        <f t="shared" si="746"/>
        <v>46311</v>
      </c>
      <c r="U411" s="107"/>
      <c r="W411" s="169" t="str">
        <f t="shared" ca="1" si="748"/>
        <v>Completed</v>
      </c>
      <c r="X411" s="169" t="str">
        <f t="shared" ca="1" si="749"/>
        <v>Completed</v>
      </c>
      <c r="Y411" s="169" t="str">
        <f t="shared" ca="1" si="750"/>
        <v/>
      </c>
      <c r="Z411" s="170" t="str">
        <f t="shared" ca="1" si="751"/>
        <v/>
      </c>
    </row>
    <row r="412" spans="1:26" s="70" customFormat="1" ht="11.5" x14ac:dyDescent="0.25">
      <c r="A412" s="102" t="s">
        <v>64</v>
      </c>
      <c r="B412" s="102" t="s">
        <v>14</v>
      </c>
      <c r="C412" s="102" t="s">
        <v>979</v>
      </c>
      <c r="D412" s="102" t="s">
        <v>437</v>
      </c>
      <c r="E412" s="103">
        <f t="shared" si="738"/>
        <v>0.7</v>
      </c>
      <c r="F412" s="103">
        <f t="shared" si="739"/>
        <v>0.7</v>
      </c>
      <c r="G412" s="103">
        <f t="shared" si="739"/>
        <v>0.7</v>
      </c>
      <c r="H412" s="103">
        <f t="shared" si="740"/>
        <v>0</v>
      </c>
      <c r="I412" s="109">
        <v>4.7E-2</v>
      </c>
      <c r="J412" s="106">
        <f t="shared" si="752"/>
        <v>46213</v>
      </c>
      <c r="K412" s="106">
        <f t="shared" si="742"/>
        <v>46213</v>
      </c>
      <c r="L412" s="106">
        <v>46142</v>
      </c>
      <c r="M412" s="107">
        <f t="shared" si="743"/>
        <v>46255</v>
      </c>
      <c r="N412" s="106">
        <f t="shared" si="744"/>
        <v>46255</v>
      </c>
      <c r="O412" s="107">
        <v>46266</v>
      </c>
      <c r="P412" s="107">
        <f t="shared" si="753"/>
        <v>46297</v>
      </c>
      <c r="Q412" s="106">
        <f t="shared" si="745"/>
        <v>46297</v>
      </c>
      <c r="R412" s="107"/>
      <c r="S412" s="106">
        <f t="shared" si="747"/>
        <v>46311</v>
      </c>
      <c r="T412" s="106">
        <f t="shared" si="746"/>
        <v>46311</v>
      </c>
      <c r="U412" s="107"/>
      <c r="W412" s="169" t="str">
        <f t="shared" ca="1" si="748"/>
        <v>Completed</v>
      </c>
      <c r="X412" s="169" t="str">
        <f t="shared" ca="1" si="749"/>
        <v>Completed</v>
      </c>
      <c r="Y412" s="169" t="str">
        <f t="shared" ca="1" si="750"/>
        <v/>
      </c>
      <c r="Z412" s="170" t="str">
        <f t="shared" ca="1" si="751"/>
        <v/>
      </c>
    </row>
    <row r="413" spans="1:26" s="70" customFormat="1" ht="11.5" x14ac:dyDescent="0.25">
      <c r="A413" s="102" t="s">
        <v>64</v>
      </c>
      <c r="B413" s="102" t="s">
        <v>14</v>
      </c>
      <c r="C413" s="102" t="s">
        <v>980</v>
      </c>
      <c r="D413" s="102" t="s">
        <v>438</v>
      </c>
      <c r="E413" s="103">
        <f t="shared" ref="E413" si="754">(COUNTIFS(J413,"&lt;="&amp;$C$1)*50%)+(COUNTIFS(M413,"&lt;="&amp;$C$1)*20%)+(COUNTIFS(P413,"&lt;="&amp;$C$1)*10%)+(COUNTIFS(S413,"&lt;="&amp;$C$1)*20%)</f>
        <v>0.7</v>
      </c>
      <c r="F413" s="103">
        <f t="shared" ref="F413" si="755">(COUNTIFS(K413,"&lt;="&amp;$C$1)*50%)+(COUNTIFS(N413,"&lt;="&amp;$C$1)*20%)+(COUNTIFS(Q413,"&lt;="&amp;$C$1)*10%)+(COUNTIFS(T413,"&lt;="&amp;$C$1)*20%)</f>
        <v>0.7</v>
      </c>
      <c r="G413" s="103">
        <f t="shared" ref="G413" si="756">(COUNTIFS(L413,"&lt;="&amp;$C$1)*50%)+(COUNTIFS(O413,"&lt;="&amp;$C$1)*20%)+(COUNTIFS(R413,"&lt;="&amp;$C$1)*10%)+(COUNTIFS(U413,"&lt;="&amp;$C$1)*20%)</f>
        <v>0.7</v>
      </c>
      <c r="H413" s="103">
        <f t="shared" ref="H413" si="757">G413-E413</f>
        <v>0</v>
      </c>
      <c r="I413" s="109">
        <v>4.7E-2</v>
      </c>
      <c r="J413" s="106">
        <f t="shared" si="752"/>
        <v>46213</v>
      </c>
      <c r="K413" s="106">
        <f t="shared" si="742"/>
        <v>46213</v>
      </c>
      <c r="L413" s="106">
        <v>46142</v>
      </c>
      <c r="M413" s="107">
        <f t="shared" si="743"/>
        <v>46255</v>
      </c>
      <c r="N413" s="106">
        <f t="shared" si="744"/>
        <v>46255</v>
      </c>
      <c r="O413" s="107">
        <v>46266</v>
      </c>
      <c r="P413" s="107">
        <f t="shared" si="753"/>
        <v>46297</v>
      </c>
      <c r="Q413" s="106">
        <f t="shared" si="745"/>
        <v>46297</v>
      </c>
      <c r="R413" s="107"/>
      <c r="S413" s="106">
        <f t="shared" si="747"/>
        <v>46311</v>
      </c>
      <c r="T413" s="106">
        <f t="shared" si="746"/>
        <v>46311</v>
      </c>
      <c r="U413" s="107"/>
      <c r="W413" s="169" t="str">
        <f t="shared" ca="1" si="748"/>
        <v>Completed</v>
      </c>
      <c r="X413" s="169" t="str">
        <f t="shared" ca="1" si="749"/>
        <v>Completed</v>
      </c>
      <c r="Y413" s="169" t="str">
        <f t="shared" ca="1" si="750"/>
        <v/>
      </c>
      <c r="Z413" s="170" t="str">
        <f t="shared" ca="1" si="751"/>
        <v/>
      </c>
    </row>
    <row r="414" spans="1:26" s="70" customFormat="1" ht="11.5" x14ac:dyDescent="0.25">
      <c r="A414" s="102" t="s">
        <v>64</v>
      </c>
      <c r="B414" s="102" t="s">
        <v>14</v>
      </c>
      <c r="C414" s="102" t="s">
        <v>981</v>
      </c>
      <c r="D414" s="102" t="s">
        <v>439</v>
      </c>
      <c r="E414" s="103">
        <f t="shared" si="738"/>
        <v>0.7</v>
      </c>
      <c r="F414" s="103">
        <f t="shared" si="739"/>
        <v>0.7</v>
      </c>
      <c r="G414" s="103">
        <f t="shared" si="739"/>
        <v>0.7</v>
      </c>
      <c r="H414" s="103">
        <f t="shared" si="740"/>
        <v>0</v>
      </c>
      <c r="I414" s="109">
        <v>4.7E-2</v>
      </c>
      <c r="J414" s="106">
        <f t="shared" si="752"/>
        <v>46213</v>
      </c>
      <c r="K414" s="106">
        <f t="shared" si="742"/>
        <v>46213</v>
      </c>
      <c r="L414" s="106">
        <v>46142</v>
      </c>
      <c r="M414" s="107">
        <f t="shared" si="743"/>
        <v>46255</v>
      </c>
      <c r="N414" s="106">
        <f t="shared" si="744"/>
        <v>46255</v>
      </c>
      <c r="O414" s="107">
        <v>46266</v>
      </c>
      <c r="P414" s="107">
        <f t="shared" si="753"/>
        <v>46297</v>
      </c>
      <c r="Q414" s="106">
        <f t="shared" si="745"/>
        <v>46297</v>
      </c>
      <c r="R414" s="107"/>
      <c r="S414" s="106">
        <f t="shared" si="747"/>
        <v>46311</v>
      </c>
      <c r="T414" s="106">
        <f t="shared" si="746"/>
        <v>46311</v>
      </c>
      <c r="U414" s="107"/>
      <c r="W414" s="169" t="str">
        <f t="shared" ca="1" si="748"/>
        <v>Completed</v>
      </c>
      <c r="X414" s="169" t="str">
        <f t="shared" ca="1" si="749"/>
        <v>Completed</v>
      </c>
      <c r="Y414" s="169" t="str">
        <f t="shared" ca="1" si="750"/>
        <v/>
      </c>
      <c r="Z414" s="170" t="str">
        <f t="shared" ca="1" si="751"/>
        <v/>
      </c>
    </row>
    <row r="415" spans="1:26" s="70" customFormat="1" ht="11.5" x14ac:dyDescent="0.25">
      <c r="A415" s="102" t="s">
        <v>64</v>
      </c>
      <c r="B415" s="102" t="s">
        <v>14</v>
      </c>
      <c r="C415" s="102" t="s">
        <v>982</v>
      </c>
      <c r="D415" s="102" t="s">
        <v>440</v>
      </c>
      <c r="E415" s="103">
        <f t="shared" ref="E415:E482" si="758">(COUNTIFS(J415,"&lt;="&amp;$C$1)*50%)+(COUNTIFS(M415,"&lt;="&amp;$C$1)*20%)+(COUNTIFS(P415,"&lt;="&amp;$C$1)*10%)+(COUNTIFS(S415,"&lt;="&amp;$C$1)*20%)</f>
        <v>0.7</v>
      </c>
      <c r="F415" s="103">
        <f t="shared" ref="F415:G482" si="759">(COUNTIFS(K415,"&lt;="&amp;$C$1)*50%)+(COUNTIFS(N415,"&lt;="&amp;$C$1)*20%)+(COUNTIFS(Q415,"&lt;="&amp;$C$1)*10%)+(COUNTIFS(T415,"&lt;="&amp;$C$1)*20%)</f>
        <v>0.7</v>
      </c>
      <c r="G415" s="103">
        <f t="shared" si="759"/>
        <v>0.7</v>
      </c>
      <c r="H415" s="103">
        <f t="shared" ref="H415:H482" si="760">G415-E415</f>
        <v>0</v>
      </c>
      <c r="I415" s="109">
        <v>4.7E-2</v>
      </c>
      <c r="J415" s="106">
        <f t="shared" si="752"/>
        <v>46213</v>
      </c>
      <c r="K415" s="106">
        <f t="shared" si="742"/>
        <v>46213</v>
      </c>
      <c r="L415" s="106">
        <v>46142</v>
      </c>
      <c r="M415" s="107">
        <f t="shared" si="743"/>
        <v>46255</v>
      </c>
      <c r="N415" s="106">
        <f t="shared" si="744"/>
        <v>46255</v>
      </c>
      <c r="O415" s="107">
        <v>46266</v>
      </c>
      <c r="P415" s="107">
        <f t="shared" si="753"/>
        <v>46297</v>
      </c>
      <c r="Q415" s="106">
        <f t="shared" si="745"/>
        <v>46297</v>
      </c>
      <c r="R415" s="107"/>
      <c r="S415" s="106">
        <f t="shared" si="747"/>
        <v>46311</v>
      </c>
      <c r="T415" s="106">
        <f t="shared" si="746"/>
        <v>46311</v>
      </c>
      <c r="U415" s="107"/>
      <c r="W415" s="169" t="str">
        <f t="shared" ca="1" si="748"/>
        <v>Completed</v>
      </c>
      <c r="X415" s="169" t="str">
        <f t="shared" ca="1" si="749"/>
        <v>Completed</v>
      </c>
      <c r="Y415" s="169" t="str">
        <f t="shared" ca="1" si="750"/>
        <v/>
      </c>
      <c r="Z415" s="170" t="str">
        <f t="shared" ca="1" si="751"/>
        <v/>
      </c>
    </row>
    <row r="416" spans="1:26" s="70" customFormat="1" ht="11.5" x14ac:dyDescent="0.25">
      <c r="A416" s="102" t="s">
        <v>64</v>
      </c>
      <c r="B416" s="102" t="s">
        <v>14</v>
      </c>
      <c r="C416" s="102" t="s">
        <v>983</v>
      </c>
      <c r="D416" s="102" t="s">
        <v>441</v>
      </c>
      <c r="E416" s="103">
        <f t="shared" si="758"/>
        <v>0.7</v>
      </c>
      <c r="F416" s="103">
        <f t="shared" si="759"/>
        <v>0.7</v>
      </c>
      <c r="G416" s="103">
        <f t="shared" si="759"/>
        <v>0.7</v>
      </c>
      <c r="H416" s="103">
        <f t="shared" si="760"/>
        <v>0</v>
      </c>
      <c r="I416" s="109">
        <v>4.7E-2</v>
      </c>
      <c r="J416" s="106">
        <f t="shared" si="752"/>
        <v>46213</v>
      </c>
      <c r="K416" s="106">
        <f t="shared" si="742"/>
        <v>46213</v>
      </c>
      <c r="L416" s="106">
        <v>46142</v>
      </c>
      <c r="M416" s="107">
        <f t="shared" si="743"/>
        <v>46255</v>
      </c>
      <c r="N416" s="106">
        <f t="shared" si="744"/>
        <v>46255</v>
      </c>
      <c r="O416" s="107">
        <v>46266</v>
      </c>
      <c r="P416" s="107">
        <f t="shared" si="753"/>
        <v>46297</v>
      </c>
      <c r="Q416" s="106">
        <f t="shared" si="745"/>
        <v>46297</v>
      </c>
      <c r="R416" s="107"/>
      <c r="S416" s="106">
        <f t="shared" si="747"/>
        <v>46311</v>
      </c>
      <c r="T416" s="106">
        <f t="shared" si="746"/>
        <v>46311</v>
      </c>
      <c r="U416" s="107"/>
      <c r="W416" s="169" t="str">
        <f t="shared" ca="1" si="748"/>
        <v>Completed</v>
      </c>
      <c r="X416" s="169" t="str">
        <f t="shared" ca="1" si="749"/>
        <v>Completed</v>
      </c>
      <c r="Y416" s="169" t="str">
        <f t="shared" ca="1" si="750"/>
        <v/>
      </c>
      <c r="Z416" s="170" t="str">
        <f t="shared" ca="1" si="751"/>
        <v/>
      </c>
    </row>
    <row r="417" spans="1:26" s="70" customFormat="1" ht="11.5" x14ac:dyDescent="0.25">
      <c r="A417" s="102" t="s">
        <v>64</v>
      </c>
      <c r="B417" s="102" t="s">
        <v>14</v>
      </c>
      <c r="C417" s="102" t="s">
        <v>984</v>
      </c>
      <c r="D417" s="102" t="s">
        <v>442</v>
      </c>
      <c r="E417" s="103">
        <f t="shared" si="758"/>
        <v>0.7</v>
      </c>
      <c r="F417" s="103">
        <f t="shared" si="759"/>
        <v>0.7</v>
      </c>
      <c r="G417" s="103">
        <f t="shared" si="759"/>
        <v>0.7</v>
      </c>
      <c r="H417" s="103">
        <f t="shared" si="760"/>
        <v>0</v>
      </c>
      <c r="I417" s="109">
        <v>4.7E-2</v>
      </c>
      <c r="J417" s="106">
        <f t="shared" ref="J417:J448" si="761">J282+28</f>
        <v>46213</v>
      </c>
      <c r="K417" s="106">
        <f t="shared" si="742"/>
        <v>46213</v>
      </c>
      <c r="L417" s="106">
        <v>46142</v>
      </c>
      <c r="M417" s="107">
        <f t="shared" si="743"/>
        <v>46255</v>
      </c>
      <c r="N417" s="106">
        <f t="shared" si="744"/>
        <v>46255</v>
      </c>
      <c r="O417" s="107">
        <v>46266</v>
      </c>
      <c r="P417" s="107">
        <f t="shared" si="753"/>
        <v>46297</v>
      </c>
      <c r="Q417" s="106">
        <f t="shared" si="745"/>
        <v>46297</v>
      </c>
      <c r="R417" s="107"/>
      <c r="S417" s="106">
        <f t="shared" si="747"/>
        <v>46311</v>
      </c>
      <c r="T417" s="106">
        <f t="shared" si="746"/>
        <v>46311</v>
      </c>
      <c r="U417" s="107"/>
      <c r="W417" s="169" t="str">
        <f t="shared" ca="1" si="748"/>
        <v>Completed</v>
      </c>
      <c r="X417" s="169" t="str">
        <f t="shared" ca="1" si="749"/>
        <v>Completed</v>
      </c>
      <c r="Y417" s="169" t="str">
        <f t="shared" ca="1" si="750"/>
        <v/>
      </c>
      <c r="Z417" s="170" t="str">
        <f t="shared" ca="1" si="751"/>
        <v/>
      </c>
    </row>
    <row r="418" spans="1:26" s="70" customFormat="1" ht="11.5" x14ac:dyDescent="0.25">
      <c r="A418" s="102" t="s">
        <v>64</v>
      </c>
      <c r="B418" s="102" t="s">
        <v>14</v>
      </c>
      <c r="C418" s="102" t="s">
        <v>985</v>
      </c>
      <c r="D418" s="102" t="s">
        <v>443</v>
      </c>
      <c r="E418" s="103">
        <f t="shared" si="758"/>
        <v>0.7</v>
      </c>
      <c r="F418" s="103">
        <f t="shared" si="759"/>
        <v>0.7</v>
      </c>
      <c r="G418" s="103">
        <f t="shared" si="759"/>
        <v>0.7</v>
      </c>
      <c r="H418" s="103">
        <f t="shared" si="760"/>
        <v>0</v>
      </c>
      <c r="I418" s="109">
        <v>4.7E-2</v>
      </c>
      <c r="J418" s="106">
        <f t="shared" si="761"/>
        <v>46213</v>
      </c>
      <c r="K418" s="106">
        <f t="shared" si="742"/>
        <v>46213</v>
      </c>
      <c r="L418" s="106">
        <v>46142</v>
      </c>
      <c r="M418" s="107">
        <f t="shared" si="743"/>
        <v>46255</v>
      </c>
      <c r="N418" s="106">
        <f t="shared" si="744"/>
        <v>46255</v>
      </c>
      <c r="O418" s="107">
        <v>46266</v>
      </c>
      <c r="P418" s="107">
        <f t="shared" si="753"/>
        <v>46297</v>
      </c>
      <c r="Q418" s="106">
        <f t="shared" si="745"/>
        <v>46297</v>
      </c>
      <c r="R418" s="107"/>
      <c r="S418" s="106">
        <f t="shared" si="747"/>
        <v>46311</v>
      </c>
      <c r="T418" s="106">
        <f t="shared" si="746"/>
        <v>46311</v>
      </c>
      <c r="U418" s="107"/>
      <c r="W418" s="169" t="str">
        <f t="shared" ca="1" si="748"/>
        <v>Completed</v>
      </c>
      <c r="X418" s="169" t="str">
        <f t="shared" ca="1" si="749"/>
        <v>Completed</v>
      </c>
      <c r="Y418" s="169" t="str">
        <f t="shared" ca="1" si="750"/>
        <v/>
      </c>
      <c r="Z418" s="170" t="str">
        <f t="shared" ca="1" si="751"/>
        <v/>
      </c>
    </row>
    <row r="419" spans="1:26" s="70" customFormat="1" ht="11.5" x14ac:dyDescent="0.25">
      <c r="A419" s="102" t="s">
        <v>64</v>
      </c>
      <c r="B419" s="102" t="s">
        <v>14</v>
      </c>
      <c r="C419" s="102" t="s">
        <v>986</v>
      </c>
      <c r="D419" s="102" t="s">
        <v>444</v>
      </c>
      <c r="E419" s="103">
        <f t="shared" si="758"/>
        <v>0.7</v>
      </c>
      <c r="F419" s="103">
        <f t="shared" si="759"/>
        <v>0.7</v>
      </c>
      <c r="G419" s="103">
        <f t="shared" si="759"/>
        <v>0.7</v>
      </c>
      <c r="H419" s="103">
        <f t="shared" si="760"/>
        <v>0</v>
      </c>
      <c r="I419" s="109">
        <v>4.7E-2</v>
      </c>
      <c r="J419" s="106">
        <f t="shared" si="761"/>
        <v>46213</v>
      </c>
      <c r="K419" s="106">
        <f t="shared" si="742"/>
        <v>46213</v>
      </c>
      <c r="L419" s="106">
        <v>46142</v>
      </c>
      <c r="M419" s="107">
        <f t="shared" si="743"/>
        <v>46255</v>
      </c>
      <c r="N419" s="106">
        <f t="shared" si="744"/>
        <v>46255</v>
      </c>
      <c r="O419" s="107">
        <v>46266</v>
      </c>
      <c r="P419" s="107">
        <f t="shared" si="753"/>
        <v>46297</v>
      </c>
      <c r="Q419" s="106">
        <f t="shared" si="745"/>
        <v>46297</v>
      </c>
      <c r="R419" s="107"/>
      <c r="S419" s="106">
        <f t="shared" si="747"/>
        <v>46311</v>
      </c>
      <c r="T419" s="106">
        <f t="shared" si="746"/>
        <v>46311</v>
      </c>
      <c r="U419" s="107"/>
      <c r="W419" s="169" t="str">
        <f t="shared" ca="1" si="748"/>
        <v>Completed</v>
      </c>
      <c r="X419" s="169" t="str">
        <f t="shared" ca="1" si="749"/>
        <v>Completed</v>
      </c>
      <c r="Y419" s="169" t="str">
        <f t="shared" ca="1" si="750"/>
        <v/>
      </c>
      <c r="Z419" s="170" t="str">
        <f t="shared" ca="1" si="751"/>
        <v/>
      </c>
    </row>
    <row r="420" spans="1:26" s="70" customFormat="1" ht="11.5" x14ac:dyDescent="0.25">
      <c r="A420" s="102" t="s">
        <v>64</v>
      </c>
      <c r="B420" s="102" t="s">
        <v>14</v>
      </c>
      <c r="C420" s="102" t="s">
        <v>987</v>
      </c>
      <c r="D420" s="102" t="s">
        <v>445</v>
      </c>
      <c r="E420" s="103">
        <f t="shared" si="758"/>
        <v>0.7</v>
      </c>
      <c r="F420" s="103">
        <f t="shared" si="759"/>
        <v>0.7</v>
      </c>
      <c r="G420" s="103">
        <f t="shared" si="759"/>
        <v>0.7</v>
      </c>
      <c r="H420" s="103">
        <f t="shared" si="760"/>
        <v>0</v>
      </c>
      <c r="I420" s="109">
        <v>4.7E-2</v>
      </c>
      <c r="J420" s="106">
        <f t="shared" si="761"/>
        <v>46213</v>
      </c>
      <c r="K420" s="106">
        <f t="shared" si="742"/>
        <v>46213</v>
      </c>
      <c r="L420" s="106">
        <v>46142</v>
      </c>
      <c r="M420" s="107">
        <f t="shared" si="743"/>
        <v>46255</v>
      </c>
      <c r="N420" s="106">
        <f t="shared" si="744"/>
        <v>46255</v>
      </c>
      <c r="O420" s="107">
        <v>46266</v>
      </c>
      <c r="P420" s="107">
        <f t="shared" si="753"/>
        <v>46297</v>
      </c>
      <c r="Q420" s="106">
        <f t="shared" si="745"/>
        <v>46297</v>
      </c>
      <c r="R420" s="107"/>
      <c r="S420" s="106">
        <f t="shared" si="747"/>
        <v>46311</v>
      </c>
      <c r="T420" s="106">
        <f t="shared" si="746"/>
        <v>46311</v>
      </c>
      <c r="U420" s="107"/>
      <c r="W420" s="169" t="str">
        <f t="shared" ca="1" si="748"/>
        <v>Completed</v>
      </c>
      <c r="X420" s="169" t="str">
        <f t="shared" ca="1" si="749"/>
        <v>Completed</v>
      </c>
      <c r="Y420" s="169" t="str">
        <f t="shared" ca="1" si="750"/>
        <v/>
      </c>
      <c r="Z420" s="170" t="str">
        <f t="shared" ca="1" si="751"/>
        <v/>
      </c>
    </row>
    <row r="421" spans="1:26" s="70" customFormat="1" ht="11.5" x14ac:dyDescent="0.25">
      <c r="A421" s="102" t="s">
        <v>64</v>
      </c>
      <c r="B421" s="102" t="s">
        <v>14</v>
      </c>
      <c r="C421" s="102" t="s">
        <v>988</v>
      </c>
      <c r="D421" s="102" t="s">
        <v>446</v>
      </c>
      <c r="E421" s="103">
        <f t="shared" si="758"/>
        <v>0.7</v>
      </c>
      <c r="F421" s="103">
        <f t="shared" si="759"/>
        <v>0.7</v>
      </c>
      <c r="G421" s="103">
        <f t="shared" si="759"/>
        <v>0.7</v>
      </c>
      <c r="H421" s="103">
        <f t="shared" si="760"/>
        <v>0</v>
      </c>
      <c r="I421" s="109">
        <v>4.7E-2</v>
      </c>
      <c r="J421" s="106">
        <f t="shared" si="761"/>
        <v>46213</v>
      </c>
      <c r="K421" s="106">
        <f t="shared" si="742"/>
        <v>46213</v>
      </c>
      <c r="L421" s="106">
        <v>46142</v>
      </c>
      <c r="M421" s="107">
        <f t="shared" si="743"/>
        <v>46255</v>
      </c>
      <c r="N421" s="106">
        <f t="shared" si="744"/>
        <v>46255</v>
      </c>
      <c r="O421" s="107">
        <v>46266</v>
      </c>
      <c r="P421" s="107">
        <f t="shared" si="753"/>
        <v>46297</v>
      </c>
      <c r="Q421" s="106">
        <f t="shared" si="745"/>
        <v>46297</v>
      </c>
      <c r="R421" s="107"/>
      <c r="S421" s="106">
        <f t="shared" si="747"/>
        <v>46311</v>
      </c>
      <c r="T421" s="106">
        <f t="shared" si="746"/>
        <v>46311</v>
      </c>
      <c r="U421" s="107"/>
      <c r="W421" s="169" t="str">
        <f t="shared" ca="1" si="748"/>
        <v>Completed</v>
      </c>
      <c r="X421" s="169" t="str">
        <f t="shared" ca="1" si="749"/>
        <v>Completed</v>
      </c>
      <c r="Y421" s="169" t="str">
        <f t="shared" ca="1" si="750"/>
        <v/>
      </c>
      <c r="Z421" s="170" t="str">
        <f t="shared" ca="1" si="751"/>
        <v/>
      </c>
    </row>
    <row r="422" spans="1:26" s="70" customFormat="1" ht="11.5" x14ac:dyDescent="0.25">
      <c r="A422" s="102" t="s">
        <v>64</v>
      </c>
      <c r="B422" s="102" t="s">
        <v>14</v>
      </c>
      <c r="C422" s="102" t="s">
        <v>989</v>
      </c>
      <c r="D422" s="102" t="s">
        <v>447</v>
      </c>
      <c r="E422" s="103">
        <f t="shared" si="758"/>
        <v>0.7</v>
      </c>
      <c r="F422" s="103">
        <f t="shared" si="759"/>
        <v>0.7</v>
      </c>
      <c r="G422" s="103">
        <f t="shared" si="759"/>
        <v>0.7</v>
      </c>
      <c r="H422" s="103">
        <f t="shared" si="760"/>
        <v>0</v>
      </c>
      <c r="I422" s="109">
        <v>4.7E-2</v>
      </c>
      <c r="J422" s="106">
        <f t="shared" si="761"/>
        <v>46213</v>
      </c>
      <c r="K422" s="106">
        <f t="shared" si="742"/>
        <v>46213</v>
      </c>
      <c r="L422" s="106">
        <v>46142</v>
      </c>
      <c r="M422" s="107">
        <f t="shared" si="743"/>
        <v>46255</v>
      </c>
      <c r="N422" s="106">
        <f t="shared" si="744"/>
        <v>46255</v>
      </c>
      <c r="O422" s="107">
        <v>46266</v>
      </c>
      <c r="P422" s="107">
        <f t="shared" si="753"/>
        <v>46297</v>
      </c>
      <c r="Q422" s="106">
        <f t="shared" si="745"/>
        <v>46297</v>
      </c>
      <c r="R422" s="107"/>
      <c r="S422" s="106">
        <f t="shared" si="747"/>
        <v>46311</v>
      </c>
      <c r="T422" s="106">
        <f t="shared" si="746"/>
        <v>46311</v>
      </c>
      <c r="U422" s="107"/>
      <c r="W422" s="169" t="str">
        <f t="shared" ca="1" si="748"/>
        <v>Completed</v>
      </c>
      <c r="X422" s="169" t="str">
        <f t="shared" ca="1" si="749"/>
        <v>Completed</v>
      </c>
      <c r="Y422" s="169" t="str">
        <f t="shared" ca="1" si="750"/>
        <v/>
      </c>
      <c r="Z422" s="170" t="str">
        <f t="shared" ca="1" si="751"/>
        <v/>
      </c>
    </row>
    <row r="423" spans="1:26" s="70" customFormat="1" ht="11.5" x14ac:dyDescent="0.25">
      <c r="A423" s="102" t="s">
        <v>64</v>
      </c>
      <c r="B423" s="102" t="s">
        <v>14</v>
      </c>
      <c r="C423" s="102" t="s">
        <v>990</v>
      </c>
      <c r="D423" s="102" t="s">
        <v>448</v>
      </c>
      <c r="E423" s="103">
        <f t="shared" si="758"/>
        <v>0.7</v>
      </c>
      <c r="F423" s="103">
        <f t="shared" si="759"/>
        <v>0.7</v>
      </c>
      <c r="G423" s="103">
        <f t="shared" si="759"/>
        <v>0.7</v>
      </c>
      <c r="H423" s="103">
        <f t="shared" si="760"/>
        <v>0</v>
      </c>
      <c r="I423" s="109">
        <v>4.7E-2</v>
      </c>
      <c r="J423" s="106">
        <f t="shared" si="761"/>
        <v>46213</v>
      </c>
      <c r="K423" s="106">
        <f t="shared" si="742"/>
        <v>46213</v>
      </c>
      <c r="L423" s="106">
        <v>46142</v>
      </c>
      <c r="M423" s="107">
        <f t="shared" si="743"/>
        <v>46255</v>
      </c>
      <c r="N423" s="106">
        <f t="shared" si="744"/>
        <v>46255</v>
      </c>
      <c r="O423" s="107">
        <v>46266</v>
      </c>
      <c r="P423" s="107">
        <f t="shared" si="753"/>
        <v>46297</v>
      </c>
      <c r="Q423" s="106">
        <f t="shared" si="745"/>
        <v>46297</v>
      </c>
      <c r="R423" s="107"/>
      <c r="S423" s="106">
        <f t="shared" si="747"/>
        <v>46311</v>
      </c>
      <c r="T423" s="106">
        <f t="shared" si="746"/>
        <v>46311</v>
      </c>
      <c r="U423" s="107"/>
      <c r="W423" s="169" t="str">
        <f t="shared" ca="1" si="748"/>
        <v>Completed</v>
      </c>
      <c r="X423" s="169" t="str">
        <f t="shared" ca="1" si="749"/>
        <v>Completed</v>
      </c>
      <c r="Y423" s="169" t="str">
        <f t="shared" ca="1" si="750"/>
        <v/>
      </c>
      <c r="Z423" s="170" t="str">
        <f t="shared" ca="1" si="751"/>
        <v/>
      </c>
    </row>
    <row r="424" spans="1:26" s="70" customFormat="1" ht="11.5" x14ac:dyDescent="0.25">
      <c r="A424" s="102" t="s">
        <v>64</v>
      </c>
      <c r="B424" s="102" t="s">
        <v>14</v>
      </c>
      <c r="C424" s="102" t="s">
        <v>991</v>
      </c>
      <c r="D424" s="102" t="s">
        <v>449</v>
      </c>
      <c r="E424" s="103">
        <f t="shared" si="758"/>
        <v>0.7</v>
      </c>
      <c r="F424" s="103">
        <f t="shared" si="759"/>
        <v>0.7</v>
      </c>
      <c r="G424" s="103">
        <f t="shared" si="759"/>
        <v>0.7</v>
      </c>
      <c r="H424" s="103">
        <f t="shared" si="760"/>
        <v>0</v>
      </c>
      <c r="I424" s="109">
        <v>4.7E-2</v>
      </c>
      <c r="J424" s="106">
        <f t="shared" si="761"/>
        <v>46213</v>
      </c>
      <c r="K424" s="107">
        <f t="shared" si="742"/>
        <v>46213</v>
      </c>
      <c r="L424" s="106">
        <v>46142</v>
      </c>
      <c r="M424" s="107">
        <f t="shared" si="743"/>
        <v>46255</v>
      </c>
      <c r="N424" s="107">
        <f t="shared" si="744"/>
        <v>46255</v>
      </c>
      <c r="O424" s="107">
        <v>46266</v>
      </c>
      <c r="P424" s="107">
        <f t="shared" si="753"/>
        <v>46297</v>
      </c>
      <c r="Q424" s="107">
        <f t="shared" si="745"/>
        <v>46297</v>
      </c>
      <c r="R424" s="107"/>
      <c r="S424" s="106">
        <f t="shared" si="747"/>
        <v>46311</v>
      </c>
      <c r="T424" s="107">
        <f t="shared" si="746"/>
        <v>46311</v>
      </c>
      <c r="U424" s="107"/>
      <c r="W424" s="169" t="str">
        <f t="shared" ca="1" si="748"/>
        <v>Completed</v>
      </c>
      <c r="X424" s="169" t="str">
        <f t="shared" ca="1" si="749"/>
        <v>Completed</v>
      </c>
      <c r="Y424" s="169" t="str">
        <f t="shared" ca="1" si="750"/>
        <v/>
      </c>
      <c r="Z424" s="170" t="str">
        <f t="shared" ca="1" si="751"/>
        <v/>
      </c>
    </row>
    <row r="425" spans="1:26" s="70" customFormat="1" ht="11.5" x14ac:dyDescent="0.25">
      <c r="A425" s="102" t="s">
        <v>64</v>
      </c>
      <c r="B425" s="102" t="s">
        <v>14</v>
      </c>
      <c r="C425" s="102" t="s">
        <v>992</v>
      </c>
      <c r="D425" s="102" t="s">
        <v>450</v>
      </c>
      <c r="E425" s="103">
        <f t="shared" si="758"/>
        <v>0.7</v>
      </c>
      <c r="F425" s="103">
        <f t="shared" si="759"/>
        <v>0.7</v>
      </c>
      <c r="G425" s="103">
        <f t="shared" si="759"/>
        <v>0.7</v>
      </c>
      <c r="H425" s="103">
        <f t="shared" si="760"/>
        <v>0</v>
      </c>
      <c r="I425" s="109">
        <v>4.7E-2</v>
      </c>
      <c r="J425" s="106">
        <f t="shared" si="761"/>
        <v>46213</v>
      </c>
      <c r="K425" s="107">
        <f t="shared" si="742"/>
        <v>46213</v>
      </c>
      <c r="L425" s="106">
        <v>46142</v>
      </c>
      <c r="M425" s="107">
        <f t="shared" si="743"/>
        <v>46255</v>
      </c>
      <c r="N425" s="107">
        <f t="shared" si="744"/>
        <v>46255</v>
      </c>
      <c r="O425" s="107">
        <v>46266</v>
      </c>
      <c r="P425" s="107">
        <f t="shared" si="753"/>
        <v>46297</v>
      </c>
      <c r="Q425" s="107">
        <f t="shared" si="745"/>
        <v>46297</v>
      </c>
      <c r="R425" s="107"/>
      <c r="S425" s="106">
        <f t="shared" si="747"/>
        <v>46311</v>
      </c>
      <c r="T425" s="107">
        <f t="shared" si="746"/>
        <v>46311</v>
      </c>
      <c r="U425" s="107"/>
      <c r="W425" s="169" t="str">
        <f t="shared" ca="1" si="748"/>
        <v>Completed</v>
      </c>
      <c r="X425" s="169" t="str">
        <f t="shared" ca="1" si="749"/>
        <v>Completed</v>
      </c>
      <c r="Y425" s="169" t="str">
        <f t="shared" ca="1" si="750"/>
        <v/>
      </c>
      <c r="Z425" s="170" t="str">
        <f t="shared" ca="1" si="751"/>
        <v/>
      </c>
    </row>
    <row r="426" spans="1:26" s="70" customFormat="1" ht="11.5" x14ac:dyDescent="0.25">
      <c r="A426" s="102" t="s">
        <v>64</v>
      </c>
      <c r="B426" s="102" t="s">
        <v>14</v>
      </c>
      <c r="C426" s="102" t="s">
        <v>993</v>
      </c>
      <c r="D426" s="102" t="s">
        <v>451</v>
      </c>
      <c r="E426" s="103">
        <f t="shared" ref="E426:E428" si="762">(COUNTIFS(J426,"&lt;="&amp;$C$1)*50%)+(COUNTIFS(M426,"&lt;="&amp;$C$1)*20%)+(COUNTIFS(P426,"&lt;="&amp;$C$1)*10%)+(COUNTIFS(S426,"&lt;="&amp;$C$1)*20%)</f>
        <v>0.7</v>
      </c>
      <c r="F426" s="103">
        <f t="shared" ref="F426:F428" si="763">(COUNTIFS(K426,"&lt;="&amp;$C$1)*50%)+(COUNTIFS(N426,"&lt;="&amp;$C$1)*20%)+(COUNTIFS(Q426,"&lt;="&amp;$C$1)*10%)+(COUNTIFS(T426,"&lt;="&amp;$C$1)*20%)</f>
        <v>0.7</v>
      </c>
      <c r="G426" s="103">
        <f t="shared" ref="G426:G428" si="764">(COUNTIFS(L426,"&lt;="&amp;$C$1)*50%)+(COUNTIFS(O426,"&lt;="&amp;$C$1)*20%)+(COUNTIFS(R426,"&lt;="&amp;$C$1)*10%)+(COUNTIFS(U426,"&lt;="&amp;$C$1)*20%)</f>
        <v>0.7</v>
      </c>
      <c r="H426" s="103">
        <f t="shared" ref="H426:H428" si="765">G426-E426</f>
        <v>0</v>
      </c>
      <c r="I426" s="109">
        <v>4.7E-2</v>
      </c>
      <c r="J426" s="106">
        <f t="shared" si="761"/>
        <v>46213</v>
      </c>
      <c r="K426" s="107">
        <f t="shared" si="742"/>
        <v>46213</v>
      </c>
      <c r="L426" s="106">
        <v>46142</v>
      </c>
      <c r="M426" s="107">
        <f t="shared" si="743"/>
        <v>46255</v>
      </c>
      <c r="N426" s="107">
        <f t="shared" si="744"/>
        <v>46255</v>
      </c>
      <c r="O426" s="107">
        <v>46266</v>
      </c>
      <c r="P426" s="107">
        <f t="shared" si="753"/>
        <v>46297</v>
      </c>
      <c r="Q426" s="107">
        <f t="shared" si="745"/>
        <v>46297</v>
      </c>
      <c r="R426" s="107"/>
      <c r="S426" s="106">
        <f t="shared" si="747"/>
        <v>46311</v>
      </c>
      <c r="T426" s="107">
        <f t="shared" si="746"/>
        <v>46311</v>
      </c>
      <c r="U426" s="107"/>
      <c r="W426" s="169" t="str">
        <f t="shared" ca="1" si="748"/>
        <v>Completed</v>
      </c>
      <c r="X426" s="169" t="str">
        <f t="shared" ca="1" si="749"/>
        <v>Completed</v>
      </c>
      <c r="Y426" s="169" t="str">
        <f t="shared" ca="1" si="750"/>
        <v/>
      </c>
      <c r="Z426" s="170" t="str">
        <f t="shared" ca="1" si="751"/>
        <v/>
      </c>
    </row>
    <row r="427" spans="1:26" s="70" customFormat="1" ht="11.5" x14ac:dyDescent="0.25">
      <c r="A427" s="102" t="s">
        <v>64</v>
      </c>
      <c r="B427" s="102" t="s">
        <v>14</v>
      </c>
      <c r="C427" s="102" t="s">
        <v>994</v>
      </c>
      <c r="D427" s="148" t="s">
        <v>1102</v>
      </c>
      <c r="E427" s="103">
        <f t="shared" si="762"/>
        <v>0.7</v>
      </c>
      <c r="F427" s="103">
        <f t="shared" si="763"/>
        <v>0.7</v>
      </c>
      <c r="G427" s="103">
        <f t="shared" si="764"/>
        <v>0.7</v>
      </c>
      <c r="H427" s="103">
        <f t="shared" si="765"/>
        <v>0</v>
      </c>
      <c r="I427" s="109">
        <v>4.7E-2</v>
      </c>
      <c r="J427" s="106">
        <f t="shared" si="761"/>
        <v>46213</v>
      </c>
      <c r="K427" s="107">
        <f t="shared" si="742"/>
        <v>46213</v>
      </c>
      <c r="L427" s="106">
        <v>46142</v>
      </c>
      <c r="M427" s="107">
        <f t="shared" si="743"/>
        <v>46255</v>
      </c>
      <c r="N427" s="107">
        <f t="shared" si="744"/>
        <v>46255</v>
      </c>
      <c r="O427" s="107">
        <v>46266</v>
      </c>
      <c r="P427" s="107">
        <f t="shared" si="753"/>
        <v>46297</v>
      </c>
      <c r="Q427" s="107">
        <f t="shared" si="745"/>
        <v>46297</v>
      </c>
      <c r="R427" s="107"/>
      <c r="S427" s="106">
        <f t="shared" si="747"/>
        <v>46311</v>
      </c>
      <c r="T427" s="107">
        <f t="shared" si="746"/>
        <v>46311</v>
      </c>
      <c r="U427" s="107"/>
      <c r="W427" s="169" t="str">
        <f t="shared" ca="1" si="748"/>
        <v>Completed</v>
      </c>
      <c r="X427" s="169" t="str">
        <f t="shared" ca="1" si="749"/>
        <v>Completed</v>
      </c>
      <c r="Y427" s="169" t="str">
        <f t="shared" ca="1" si="750"/>
        <v/>
      </c>
      <c r="Z427" s="170" t="str">
        <f t="shared" ca="1" si="751"/>
        <v/>
      </c>
    </row>
    <row r="428" spans="1:26" s="70" customFormat="1" ht="11.5" x14ac:dyDescent="0.25">
      <c r="A428" s="102" t="s">
        <v>64</v>
      </c>
      <c r="B428" s="102" t="s">
        <v>14</v>
      </c>
      <c r="C428" s="102" t="s">
        <v>995</v>
      </c>
      <c r="D428" s="102" t="s">
        <v>452</v>
      </c>
      <c r="E428" s="103">
        <f t="shared" si="762"/>
        <v>0.7</v>
      </c>
      <c r="F428" s="103">
        <f t="shared" si="763"/>
        <v>0.7</v>
      </c>
      <c r="G428" s="103">
        <f t="shared" si="764"/>
        <v>0.7</v>
      </c>
      <c r="H428" s="103">
        <f t="shared" si="765"/>
        <v>0</v>
      </c>
      <c r="I428" s="109">
        <v>4.7E-2</v>
      </c>
      <c r="J428" s="106">
        <f t="shared" si="761"/>
        <v>46213</v>
      </c>
      <c r="K428" s="107">
        <f t="shared" si="742"/>
        <v>46213</v>
      </c>
      <c r="L428" s="106">
        <v>46142</v>
      </c>
      <c r="M428" s="107">
        <f t="shared" si="743"/>
        <v>46255</v>
      </c>
      <c r="N428" s="107">
        <f t="shared" si="744"/>
        <v>46255</v>
      </c>
      <c r="O428" s="107">
        <v>46266</v>
      </c>
      <c r="P428" s="107">
        <f t="shared" si="753"/>
        <v>46297</v>
      </c>
      <c r="Q428" s="107">
        <f t="shared" si="745"/>
        <v>46297</v>
      </c>
      <c r="R428" s="107"/>
      <c r="S428" s="106">
        <f t="shared" si="747"/>
        <v>46311</v>
      </c>
      <c r="T428" s="107">
        <f t="shared" si="746"/>
        <v>46311</v>
      </c>
      <c r="U428" s="107"/>
      <c r="W428" s="169" t="str">
        <f t="shared" ca="1" si="748"/>
        <v>Completed</v>
      </c>
      <c r="X428" s="169" t="str">
        <f t="shared" ca="1" si="749"/>
        <v>Completed</v>
      </c>
      <c r="Y428" s="169" t="str">
        <f t="shared" ca="1" si="750"/>
        <v/>
      </c>
      <c r="Z428" s="170" t="str">
        <f t="shared" ca="1" si="751"/>
        <v/>
      </c>
    </row>
    <row r="429" spans="1:26" s="70" customFormat="1" ht="11.5" x14ac:dyDescent="0.25">
      <c r="A429" s="186" t="s">
        <v>64</v>
      </c>
      <c r="B429" s="186" t="s">
        <v>14</v>
      </c>
      <c r="C429" s="186" t="s">
        <v>453</v>
      </c>
      <c r="D429" s="186" t="s">
        <v>1146</v>
      </c>
      <c r="E429" s="187"/>
      <c r="F429" s="187"/>
      <c r="G429" s="187"/>
      <c r="H429" s="187"/>
      <c r="I429" s="181">
        <v>4.7E-2</v>
      </c>
      <c r="J429" s="179">
        <f t="shared" si="761"/>
        <v>46220</v>
      </c>
      <c r="K429" s="180">
        <f t="shared" si="742"/>
        <v>46220</v>
      </c>
      <c r="L429" s="180">
        <v>46262</v>
      </c>
      <c r="M429" s="180">
        <f t="shared" si="743"/>
        <v>46262</v>
      </c>
      <c r="N429" s="180">
        <f t="shared" si="744"/>
        <v>46262</v>
      </c>
      <c r="O429" s="180">
        <v>46262</v>
      </c>
      <c r="P429" s="180">
        <f t="shared" si="753"/>
        <v>46304</v>
      </c>
      <c r="Q429" s="180">
        <f t="shared" si="745"/>
        <v>46304</v>
      </c>
      <c r="R429" s="180">
        <v>46262</v>
      </c>
      <c r="S429" s="179">
        <f t="shared" si="747"/>
        <v>46318</v>
      </c>
      <c r="T429" s="180">
        <f t="shared" si="746"/>
        <v>46318</v>
      </c>
      <c r="U429" s="180">
        <v>46262</v>
      </c>
      <c r="W429" s="169" t="str">
        <f t="shared" ca="1" si="748"/>
        <v>Completed</v>
      </c>
      <c r="X429" s="169" t="str">
        <f t="shared" ca="1" si="749"/>
        <v>Completed</v>
      </c>
      <c r="Y429" s="169" t="str">
        <f t="shared" ca="1" si="750"/>
        <v>Completed</v>
      </c>
      <c r="Z429" s="170" t="str">
        <f t="shared" ca="1" si="751"/>
        <v>Completed</v>
      </c>
    </row>
    <row r="430" spans="1:26" s="70" customFormat="1" ht="11.5" x14ac:dyDescent="0.25">
      <c r="A430" s="186" t="s">
        <v>64</v>
      </c>
      <c r="B430" s="186" t="s">
        <v>14</v>
      </c>
      <c r="C430" s="186" t="s">
        <v>454</v>
      </c>
      <c r="D430" s="186" t="s">
        <v>1147</v>
      </c>
      <c r="E430" s="187"/>
      <c r="F430" s="187"/>
      <c r="G430" s="187"/>
      <c r="H430" s="187"/>
      <c r="I430" s="181">
        <v>4.7E-2</v>
      </c>
      <c r="J430" s="179">
        <f t="shared" si="761"/>
        <v>46220</v>
      </c>
      <c r="K430" s="180">
        <f t="shared" si="742"/>
        <v>46220</v>
      </c>
      <c r="L430" s="180">
        <v>46262</v>
      </c>
      <c r="M430" s="180">
        <f t="shared" si="743"/>
        <v>46262</v>
      </c>
      <c r="N430" s="180">
        <f t="shared" si="744"/>
        <v>46262</v>
      </c>
      <c r="O430" s="180">
        <v>46262</v>
      </c>
      <c r="P430" s="180">
        <f t="shared" si="753"/>
        <v>46304</v>
      </c>
      <c r="Q430" s="180">
        <f t="shared" si="745"/>
        <v>46304</v>
      </c>
      <c r="R430" s="180">
        <v>46262</v>
      </c>
      <c r="S430" s="179">
        <f t="shared" si="747"/>
        <v>46318</v>
      </c>
      <c r="T430" s="180">
        <f t="shared" si="746"/>
        <v>46318</v>
      </c>
      <c r="U430" s="180">
        <v>46262</v>
      </c>
      <c r="W430" s="169" t="str">
        <f t="shared" ca="1" si="748"/>
        <v>Completed</v>
      </c>
      <c r="X430" s="169" t="str">
        <f t="shared" ca="1" si="749"/>
        <v>Completed</v>
      </c>
      <c r="Y430" s="169" t="str">
        <f t="shared" ca="1" si="750"/>
        <v>Completed</v>
      </c>
      <c r="Z430" s="170" t="str">
        <f t="shared" ca="1" si="751"/>
        <v>Completed</v>
      </c>
    </row>
    <row r="431" spans="1:26" s="70" customFormat="1" ht="11.5" x14ac:dyDescent="0.25">
      <c r="A431" s="102" t="s">
        <v>64</v>
      </c>
      <c r="B431" s="102" t="s">
        <v>14</v>
      </c>
      <c r="C431" s="102" t="s">
        <v>1145</v>
      </c>
      <c r="D431" s="102" t="s">
        <v>1148</v>
      </c>
      <c r="E431" s="103">
        <f t="shared" ref="E431:E432" si="766">(COUNTIFS(J431,"&lt;="&amp;$C$1)*50%)+(COUNTIFS(M431,"&lt;="&amp;$C$1)*20%)+(COUNTIFS(P431,"&lt;="&amp;$C$1)*10%)+(COUNTIFS(S431,"&lt;="&amp;$C$1)*20%)</f>
        <v>0</v>
      </c>
      <c r="F431" s="103">
        <f t="shared" ref="F431:F432" si="767">(COUNTIFS(K431,"&lt;="&amp;$C$1)*50%)+(COUNTIFS(N431,"&lt;="&amp;$C$1)*20%)+(COUNTIFS(Q431,"&lt;="&amp;$C$1)*10%)+(COUNTIFS(T431,"&lt;="&amp;$C$1)*20%)</f>
        <v>0</v>
      </c>
      <c r="G431" s="103">
        <f t="shared" ref="G431:G432" si="768">(COUNTIFS(L431,"&lt;="&amp;$C$1)*50%)+(COUNTIFS(O431,"&lt;="&amp;$C$1)*20%)+(COUNTIFS(R431,"&lt;="&amp;$C$1)*10%)+(COUNTIFS(U431,"&lt;="&amp;$C$1)*20%)</f>
        <v>0</v>
      </c>
      <c r="H431" s="103">
        <f t="shared" ref="H431:H432" si="769">G431-E431</f>
        <v>0</v>
      </c>
      <c r="I431" s="109"/>
      <c r="J431" s="106">
        <f t="shared" si="761"/>
        <v>46332</v>
      </c>
      <c r="K431" s="107">
        <f t="shared" ref="K431:K432" si="770">J431</f>
        <v>46332</v>
      </c>
      <c r="L431" s="107"/>
      <c r="M431" s="107">
        <f t="shared" ref="M431:M432" si="771">J431+42</f>
        <v>46374</v>
      </c>
      <c r="N431" s="107">
        <f t="shared" ref="N431:N432" si="772">M431</f>
        <v>46374</v>
      </c>
      <c r="O431" s="107"/>
      <c r="P431" s="107">
        <f t="shared" ref="P431:P432" si="773">M431+42</f>
        <v>46416</v>
      </c>
      <c r="Q431" s="107">
        <f t="shared" ref="Q431:Q432" si="774">P431</f>
        <v>46416</v>
      </c>
      <c r="R431" s="107"/>
      <c r="S431" s="106">
        <f t="shared" ref="S431:S432" si="775">P431+14</f>
        <v>46430</v>
      </c>
      <c r="T431" s="107">
        <f t="shared" ref="T431:T432" si="776">S431</f>
        <v>46430</v>
      </c>
      <c r="U431" s="107"/>
      <c r="W431" s="169" t="str">
        <f t="shared" ref="W431:W432" ca="1" si="777">IF(OR(L431&lt;&gt;""),"Completed",
IF(K431="","",IF(K431&lt;TODAY(),"Overdue",
IF(AND(K431&gt;=TODAY()-WEEKDAY(TODAY(),2)+1,K431&lt;=TODAY()-WEEKDAY(TODAY(),2)+7),"Follow-This Week",
IF(AND(K431&gt;=TODAY()-WEEKDAY(TODAY(),2)+8,K431&lt;=TODAY()-WEEKDAY(TODAY(),2)+14),"Follow-Next Week","")))))</f>
        <v/>
      </c>
      <c r="X431" s="169" t="str">
        <f t="shared" ref="X431:X432" ca="1" si="778">IF(OR(O431&lt;&gt;""),"Completed",IF(N431="","",
IF(N431&lt;TODAY(),"Overdue",
IF(AND(N431&gt;=TODAY()-WEEKDAY(TODAY(),2)+1,N431&lt;=TODAY()-WEEKDAY(TODAY(),2)+7),"Follow-This Week",
IF(AND(N431&gt;=TODAY()-WEEKDAY(TODAY(),2)+8,N431&lt;=TODAY()-WEEKDAY(TODAY(),2)+14),"Follow-Next Week","")))))</f>
        <v/>
      </c>
      <c r="Y431" s="169" t="str">
        <f t="shared" ref="Y431:Y432" ca="1" si="779">IF(OR(R431&lt;&gt;""),"Completed",IF(Q431="","",
IF(Q431&lt;TODAY(),"Overdue",
IF(AND(Q431&gt;=TODAY()-WEEKDAY(TODAY(),2)+1,Q431&lt;=TODAY()-WEEKDAY(TODAY(),2)+7),"Follow-This Week",
IF(AND(Q431&gt;=TODAY()-WEEKDAY(TODAY(),2)+8,Q431&lt;=TODAY()-WEEKDAY(TODAY(),2)+14),"Follow-Next Week","")))))</f>
        <v/>
      </c>
      <c r="Z431" s="170" t="str">
        <f t="shared" ref="Z431:Z432" ca="1" si="780">IF(OR(U431&lt;&gt;""),"Completed",IF(T431="","",
IF(T431&lt;TODAY(),"Overdue",
IF(AND(T431&gt;=TODAY()-WEEKDAY(TODAY(),2)+1,T431&lt;=TODAY()-WEEKDAY(TODAY(),2)+7),"Follow-This Week",
IF(AND(T431&gt;=TODAY()-WEEKDAY(TODAY(),2)+8,T431&lt;=TODAY()-WEEKDAY(TODAY(),2)+14),"Follow-Next Week","")))))</f>
        <v/>
      </c>
    </row>
    <row r="432" spans="1:26" s="70" customFormat="1" ht="11.5" x14ac:dyDescent="0.25">
      <c r="A432" s="102" t="s">
        <v>64</v>
      </c>
      <c r="B432" s="102" t="s">
        <v>14</v>
      </c>
      <c r="C432" s="102" t="s">
        <v>1145</v>
      </c>
      <c r="D432" s="102" t="s">
        <v>1149</v>
      </c>
      <c r="E432" s="103">
        <f t="shared" si="766"/>
        <v>0</v>
      </c>
      <c r="F432" s="103">
        <f t="shared" si="767"/>
        <v>0</v>
      </c>
      <c r="G432" s="103">
        <f t="shared" si="768"/>
        <v>0</v>
      </c>
      <c r="H432" s="103">
        <f t="shared" si="769"/>
        <v>0</v>
      </c>
      <c r="I432" s="109"/>
      <c r="J432" s="106">
        <f t="shared" si="761"/>
        <v>46332</v>
      </c>
      <c r="K432" s="107">
        <f t="shared" si="770"/>
        <v>46332</v>
      </c>
      <c r="L432" s="107"/>
      <c r="M432" s="107">
        <f t="shared" si="771"/>
        <v>46374</v>
      </c>
      <c r="N432" s="107">
        <f t="shared" si="772"/>
        <v>46374</v>
      </c>
      <c r="O432" s="107"/>
      <c r="P432" s="107">
        <f t="shared" si="773"/>
        <v>46416</v>
      </c>
      <c r="Q432" s="107">
        <f t="shared" si="774"/>
        <v>46416</v>
      </c>
      <c r="R432" s="107"/>
      <c r="S432" s="106">
        <f t="shared" si="775"/>
        <v>46430</v>
      </c>
      <c r="T432" s="107">
        <f t="shared" si="776"/>
        <v>46430</v>
      </c>
      <c r="U432" s="107"/>
      <c r="W432" s="169" t="str">
        <f t="shared" ca="1" si="777"/>
        <v/>
      </c>
      <c r="X432" s="169" t="str">
        <f t="shared" ca="1" si="778"/>
        <v/>
      </c>
      <c r="Y432" s="169" t="str">
        <f t="shared" ca="1" si="779"/>
        <v/>
      </c>
      <c r="Z432" s="170" t="str">
        <f t="shared" ca="1" si="780"/>
        <v/>
      </c>
    </row>
    <row r="433" spans="1:26" s="70" customFormat="1" ht="11.5" x14ac:dyDescent="0.25">
      <c r="A433" s="102" t="s">
        <v>64</v>
      </c>
      <c r="B433" s="102" t="s">
        <v>14</v>
      </c>
      <c r="C433" s="102" t="s">
        <v>885</v>
      </c>
      <c r="D433" s="102" t="s">
        <v>886</v>
      </c>
      <c r="E433" s="103">
        <f t="shared" ref="E433:E437" si="781">(COUNTIFS(J433,"&lt;="&amp;$C$1)*50%)+(COUNTIFS(M433,"&lt;="&amp;$C$1)*20%)+(COUNTIFS(P433,"&lt;="&amp;$C$1)*10%)+(COUNTIFS(S433,"&lt;="&amp;$C$1)*20%)</f>
        <v>0.7</v>
      </c>
      <c r="F433" s="103">
        <f t="shared" ref="F433:F437" si="782">(COUNTIFS(K433,"&lt;="&amp;$C$1)*50%)+(COUNTIFS(N433,"&lt;="&amp;$C$1)*20%)+(COUNTIFS(Q433,"&lt;="&amp;$C$1)*10%)+(COUNTIFS(T433,"&lt;="&amp;$C$1)*20%)</f>
        <v>0.7</v>
      </c>
      <c r="G433" s="103">
        <f t="shared" ref="G433:G437" si="783">(COUNTIFS(L433,"&lt;="&amp;$C$1)*50%)+(COUNTIFS(O433,"&lt;="&amp;$C$1)*20%)+(COUNTIFS(R433,"&lt;="&amp;$C$1)*10%)+(COUNTIFS(U433,"&lt;="&amp;$C$1)*20%)</f>
        <v>0.7</v>
      </c>
      <c r="H433" s="103">
        <f t="shared" ref="H433:H437" si="784">G433-E433</f>
        <v>0</v>
      </c>
      <c r="I433" s="109"/>
      <c r="J433" s="106">
        <f t="shared" si="761"/>
        <v>46227</v>
      </c>
      <c r="K433" s="107">
        <f t="shared" ref="K433:K437" si="785">J433</f>
        <v>46227</v>
      </c>
      <c r="L433" s="106">
        <v>46190</v>
      </c>
      <c r="M433" s="107">
        <f t="shared" ref="M433:M437" si="786">J433+42</f>
        <v>46269</v>
      </c>
      <c r="N433" s="107">
        <f t="shared" ref="N433:N437" si="787">M433</f>
        <v>46269</v>
      </c>
      <c r="O433" s="107">
        <v>46269</v>
      </c>
      <c r="P433" s="107">
        <f t="shared" ref="P433:P437" si="788">M433+42</f>
        <v>46311</v>
      </c>
      <c r="Q433" s="107">
        <f t="shared" ref="Q433:Q437" si="789">P433</f>
        <v>46311</v>
      </c>
      <c r="R433" s="107"/>
      <c r="S433" s="106">
        <f t="shared" ref="S433:S437" si="790">P433+14</f>
        <v>46325</v>
      </c>
      <c r="T433" s="107">
        <f t="shared" ref="T433:T437" si="791">S433</f>
        <v>46325</v>
      </c>
      <c r="U433" s="107"/>
      <c r="W433" s="169" t="str">
        <f t="shared" ca="1" si="748"/>
        <v>Completed</v>
      </c>
      <c r="X433" s="169" t="str">
        <f t="shared" ca="1" si="749"/>
        <v>Completed</v>
      </c>
      <c r="Y433" s="169" t="str">
        <f t="shared" ca="1" si="750"/>
        <v/>
      </c>
      <c r="Z433" s="170" t="str">
        <f t="shared" ca="1" si="751"/>
        <v/>
      </c>
    </row>
    <row r="434" spans="1:26" s="70" customFormat="1" ht="11.5" x14ac:dyDescent="0.25">
      <c r="A434" s="102" t="s">
        <v>64</v>
      </c>
      <c r="B434" s="102" t="s">
        <v>14</v>
      </c>
      <c r="C434" s="102" t="s">
        <v>887</v>
      </c>
      <c r="D434" s="102" t="s">
        <v>1128</v>
      </c>
      <c r="E434" s="103">
        <f t="shared" si="781"/>
        <v>0</v>
      </c>
      <c r="F434" s="103">
        <f t="shared" si="782"/>
        <v>0</v>
      </c>
      <c r="G434" s="103">
        <f t="shared" si="783"/>
        <v>0.5</v>
      </c>
      <c r="H434" s="103">
        <f t="shared" si="784"/>
        <v>0.5</v>
      </c>
      <c r="I434" s="109"/>
      <c r="J434" s="106">
        <f t="shared" si="761"/>
        <v>46293</v>
      </c>
      <c r="K434" s="107">
        <f t="shared" si="785"/>
        <v>46293</v>
      </c>
      <c r="L434" s="107">
        <v>46269</v>
      </c>
      <c r="M434" s="107">
        <f t="shared" si="786"/>
        <v>46335</v>
      </c>
      <c r="N434" s="107">
        <f t="shared" si="787"/>
        <v>46335</v>
      </c>
      <c r="O434" s="107"/>
      <c r="P434" s="107">
        <f t="shared" si="788"/>
        <v>46377</v>
      </c>
      <c r="Q434" s="107">
        <f t="shared" si="789"/>
        <v>46377</v>
      </c>
      <c r="R434" s="107"/>
      <c r="S434" s="106">
        <f t="shared" si="790"/>
        <v>46391</v>
      </c>
      <c r="T434" s="107">
        <f t="shared" si="791"/>
        <v>46391</v>
      </c>
      <c r="U434" s="107"/>
      <c r="W434" s="169" t="str">
        <f t="shared" ca="1" si="748"/>
        <v>Completed</v>
      </c>
      <c r="X434" s="169" t="str">
        <f t="shared" ca="1" si="749"/>
        <v/>
      </c>
      <c r="Y434" s="169" t="str">
        <f t="shared" ca="1" si="750"/>
        <v/>
      </c>
      <c r="Z434" s="170" t="str">
        <f t="shared" ca="1" si="751"/>
        <v/>
      </c>
    </row>
    <row r="435" spans="1:26" s="70" customFormat="1" ht="11.5" x14ac:dyDescent="0.25">
      <c r="A435" s="102" t="s">
        <v>64</v>
      </c>
      <c r="B435" s="102" t="s">
        <v>14</v>
      </c>
      <c r="C435" s="102" t="s">
        <v>888</v>
      </c>
      <c r="D435" s="102" t="s">
        <v>1129</v>
      </c>
      <c r="E435" s="103">
        <f t="shared" si="781"/>
        <v>0</v>
      </c>
      <c r="F435" s="103">
        <f t="shared" si="782"/>
        <v>0</v>
      </c>
      <c r="G435" s="103">
        <f t="shared" si="783"/>
        <v>0.5</v>
      </c>
      <c r="H435" s="103">
        <f t="shared" si="784"/>
        <v>0.5</v>
      </c>
      <c r="I435" s="109"/>
      <c r="J435" s="106">
        <f t="shared" si="761"/>
        <v>46293</v>
      </c>
      <c r="K435" s="107">
        <f t="shared" si="785"/>
        <v>46293</v>
      </c>
      <c r="L435" s="107">
        <v>46269</v>
      </c>
      <c r="M435" s="107">
        <f t="shared" si="786"/>
        <v>46335</v>
      </c>
      <c r="N435" s="107">
        <f t="shared" si="787"/>
        <v>46335</v>
      </c>
      <c r="O435" s="107"/>
      <c r="P435" s="107">
        <f t="shared" si="788"/>
        <v>46377</v>
      </c>
      <c r="Q435" s="107">
        <f t="shared" si="789"/>
        <v>46377</v>
      </c>
      <c r="R435" s="107"/>
      <c r="S435" s="106">
        <f t="shared" si="790"/>
        <v>46391</v>
      </c>
      <c r="T435" s="107">
        <f t="shared" si="791"/>
        <v>46391</v>
      </c>
      <c r="U435" s="107"/>
      <c r="W435" s="169" t="str">
        <f t="shared" ca="1" si="748"/>
        <v>Completed</v>
      </c>
      <c r="X435" s="169" t="str">
        <f t="shared" ca="1" si="749"/>
        <v/>
      </c>
      <c r="Y435" s="169" t="str">
        <f t="shared" ca="1" si="750"/>
        <v/>
      </c>
      <c r="Z435" s="170" t="str">
        <f t="shared" ca="1" si="751"/>
        <v/>
      </c>
    </row>
    <row r="436" spans="1:26" s="70" customFormat="1" ht="11.5" x14ac:dyDescent="0.25">
      <c r="A436" s="102" t="s">
        <v>64</v>
      </c>
      <c r="B436" s="102" t="s">
        <v>14</v>
      </c>
      <c r="C436" s="102" t="s">
        <v>889</v>
      </c>
      <c r="D436" s="102" t="s">
        <v>1130</v>
      </c>
      <c r="E436" s="103">
        <f t="shared" si="781"/>
        <v>0</v>
      </c>
      <c r="F436" s="103">
        <f t="shared" si="782"/>
        <v>0</v>
      </c>
      <c r="G436" s="103">
        <f t="shared" si="783"/>
        <v>0.5</v>
      </c>
      <c r="H436" s="103">
        <f t="shared" si="784"/>
        <v>0.5</v>
      </c>
      <c r="I436" s="109"/>
      <c r="J436" s="106">
        <f t="shared" si="761"/>
        <v>46293</v>
      </c>
      <c r="K436" s="107">
        <f t="shared" si="785"/>
        <v>46293</v>
      </c>
      <c r="L436" s="107">
        <v>46269</v>
      </c>
      <c r="M436" s="107">
        <f t="shared" si="786"/>
        <v>46335</v>
      </c>
      <c r="N436" s="107">
        <f t="shared" si="787"/>
        <v>46335</v>
      </c>
      <c r="O436" s="107"/>
      <c r="P436" s="107">
        <f t="shared" si="788"/>
        <v>46377</v>
      </c>
      <c r="Q436" s="107">
        <f t="shared" si="789"/>
        <v>46377</v>
      </c>
      <c r="R436" s="107"/>
      <c r="S436" s="106">
        <f t="shared" si="790"/>
        <v>46391</v>
      </c>
      <c r="T436" s="107">
        <f t="shared" si="791"/>
        <v>46391</v>
      </c>
      <c r="U436" s="107"/>
      <c r="W436" s="169" t="str">
        <f t="shared" ca="1" si="748"/>
        <v>Completed</v>
      </c>
      <c r="X436" s="169" t="str">
        <f t="shared" ca="1" si="749"/>
        <v/>
      </c>
      <c r="Y436" s="169" t="str">
        <f t="shared" ca="1" si="750"/>
        <v/>
      </c>
      <c r="Z436" s="170" t="str">
        <f t="shared" ca="1" si="751"/>
        <v/>
      </c>
    </row>
    <row r="437" spans="1:26" s="70" customFormat="1" ht="11.5" x14ac:dyDescent="0.25">
      <c r="A437" s="102" t="s">
        <v>64</v>
      </c>
      <c r="B437" s="102" t="s">
        <v>14</v>
      </c>
      <c r="C437" s="102" t="s">
        <v>890</v>
      </c>
      <c r="D437" s="102" t="s">
        <v>1131</v>
      </c>
      <c r="E437" s="103">
        <f t="shared" si="781"/>
        <v>0</v>
      </c>
      <c r="F437" s="103">
        <f t="shared" si="782"/>
        <v>0</v>
      </c>
      <c r="G437" s="103">
        <f t="shared" si="783"/>
        <v>0.5</v>
      </c>
      <c r="H437" s="103">
        <f t="shared" si="784"/>
        <v>0.5</v>
      </c>
      <c r="I437" s="109"/>
      <c r="J437" s="106">
        <f t="shared" si="761"/>
        <v>46293</v>
      </c>
      <c r="K437" s="107">
        <f t="shared" si="785"/>
        <v>46293</v>
      </c>
      <c r="L437" s="107">
        <v>46269</v>
      </c>
      <c r="M437" s="107">
        <f t="shared" si="786"/>
        <v>46335</v>
      </c>
      <c r="N437" s="107">
        <f t="shared" si="787"/>
        <v>46335</v>
      </c>
      <c r="O437" s="107"/>
      <c r="P437" s="107">
        <f t="shared" si="788"/>
        <v>46377</v>
      </c>
      <c r="Q437" s="107">
        <f t="shared" si="789"/>
        <v>46377</v>
      </c>
      <c r="R437" s="107"/>
      <c r="S437" s="106">
        <f t="shared" si="790"/>
        <v>46391</v>
      </c>
      <c r="T437" s="107">
        <f t="shared" si="791"/>
        <v>46391</v>
      </c>
      <c r="U437" s="107"/>
      <c r="W437" s="169" t="str">
        <f t="shared" ca="1" si="748"/>
        <v>Completed</v>
      </c>
      <c r="X437" s="169" t="str">
        <f t="shared" ca="1" si="749"/>
        <v/>
      </c>
      <c r="Y437" s="169" t="str">
        <f t="shared" ca="1" si="750"/>
        <v/>
      </c>
      <c r="Z437" s="170" t="str">
        <f t="shared" ca="1" si="751"/>
        <v/>
      </c>
    </row>
    <row r="438" spans="1:26" s="70" customFormat="1" ht="11.5" x14ac:dyDescent="0.25">
      <c r="A438" s="102" t="s">
        <v>64</v>
      </c>
      <c r="B438" s="102" t="s">
        <v>14</v>
      </c>
      <c r="C438" s="102" t="s">
        <v>455</v>
      </c>
      <c r="D438" s="102" t="s">
        <v>456</v>
      </c>
      <c r="E438" s="103">
        <f t="shared" si="758"/>
        <v>0.7</v>
      </c>
      <c r="F438" s="103">
        <f t="shared" si="759"/>
        <v>0.7</v>
      </c>
      <c r="G438" s="103">
        <f t="shared" si="759"/>
        <v>0.7</v>
      </c>
      <c r="H438" s="103">
        <f t="shared" si="760"/>
        <v>0</v>
      </c>
      <c r="I438" s="109">
        <v>4.7E-2</v>
      </c>
      <c r="J438" s="106">
        <f t="shared" ref="J438:J452" si="792">J307+28</f>
        <v>46220</v>
      </c>
      <c r="K438" s="106">
        <f t="shared" si="742"/>
        <v>46220</v>
      </c>
      <c r="L438" s="107">
        <v>46184</v>
      </c>
      <c r="M438" s="107">
        <f t="shared" si="743"/>
        <v>46262</v>
      </c>
      <c r="N438" s="106">
        <f t="shared" si="744"/>
        <v>46262</v>
      </c>
      <c r="O438" s="137">
        <v>46269</v>
      </c>
      <c r="P438" s="107">
        <f t="shared" si="753"/>
        <v>46304</v>
      </c>
      <c r="Q438" s="106">
        <f t="shared" si="745"/>
        <v>46304</v>
      </c>
      <c r="R438" s="107"/>
      <c r="S438" s="106">
        <f t="shared" si="747"/>
        <v>46318</v>
      </c>
      <c r="T438" s="106">
        <f t="shared" si="746"/>
        <v>46318</v>
      </c>
      <c r="U438" s="107"/>
      <c r="W438" s="169" t="str">
        <f t="shared" ca="1" si="748"/>
        <v>Completed</v>
      </c>
      <c r="X438" s="169" t="str">
        <f t="shared" ca="1" si="749"/>
        <v>Completed</v>
      </c>
      <c r="Y438" s="169" t="str">
        <f t="shared" ca="1" si="750"/>
        <v/>
      </c>
      <c r="Z438" s="170" t="str">
        <f t="shared" ca="1" si="751"/>
        <v/>
      </c>
    </row>
    <row r="439" spans="1:26" s="70" customFormat="1" ht="11.5" x14ac:dyDescent="0.25">
      <c r="A439" s="102" t="s">
        <v>64</v>
      </c>
      <c r="B439" s="102" t="s">
        <v>14</v>
      </c>
      <c r="C439" s="102" t="s">
        <v>457</v>
      </c>
      <c r="D439" s="102" t="s">
        <v>458</v>
      </c>
      <c r="E439" s="103">
        <f t="shared" si="758"/>
        <v>0.7</v>
      </c>
      <c r="F439" s="103">
        <f t="shared" si="759"/>
        <v>0.7</v>
      </c>
      <c r="G439" s="103">
        <f t="shared" si="759"/>
        <v>0.7</v>
      </c>
      <c r="H439" s="103">
        <f t="shared" si="760"/>
        <v>0</v>
      </c>
      <c r="I439" s="109">
        <v>4.7E-2</v>
      </c>
      <c r="J439" s="106">
        <f t="shared" si="792"/>
        <v>46220</v>
      </c>
      <c r="K439" s="106">
        <f t="shared" ref="K439:K502" si="793">J439</f>
        <v>46220</v>
      </c>
      <c r="L439" s="107">
        <v>46184</v>
      </c>
      <c r="M439" s="107">
        <f t="shared" ref="M439:M502" si="794">J439+42</f>
        <v>46262</v>
      </c>
      <c r="N439" s="106">
        <f t="shared" ref="N439:N502" si="795">M439</f>
        <v>46262</v>
      </c>
      <c r="O439" s="137">
        <v>46269</v>
      </c>
      <c r="P439" s="107">
        <f t="shared" ref="P439:P475" si="796">M439+42</f>
        <v>46304</v>
      </c>
      <c r="Q439" s="106">
        <f t="shared" ref="Q439:Q502" si="797">P439</f>
        <v>46304</v>
      </c>
      <c r="R439" s="107"/>
      <c r="S439" s="106">
        <f t="shared" si="747"/>
        <v>46318</v>
      </c>
      <c r="T439" s="106">
        <f t="shared" ref="T439:T502" si="798">S439</f>
        <v>46318</v>
      </c>
      <c r="U439" s="107"/>
      <c r="W439" s="169" t="str">
        <f t="shared" ca="1" si="748"/>
        <v>Completed</v>
      </c>
      <c r="X439" s="169" t="str">
        <f t="shared" ca="1" si="749"/>
        <v>Completed</v>
      </c>
      <c r="Y439" s="169" t="str">
        <f t="shared" ca="1" si="750"/>
        <v/>
      </c>
      <c r="Z439" s="170" t="str">
        <f t="shared" ca="1" si="751"/>
        <v/>
      </c>
    </row>
    <row r="440" spans="1:26" s="70" customFormat="1" ht="11.5" x14ac:dyDescent="0.25">
      <c r="A440" s="102" t="s">
        <v>64</v>
      </c>
      <c r="B440" s="102" t="s">
        <v>14</v>
      </c>
      <c r="C440" s="102" t="s">
        <v>459</v>
      </c>
      <c r="D440" s="102" t="s">
        <v>460</v>
      </c>
      <c r="E440" s="103">
        <f t="shared" si="758"/>
        <v>0.7</v>
      </c>
      <c r="F440" s="103">
        <f t="shared" si="759"/>
        <v>0.7</v>
      </c>
      <c r="G440" s="103">
        <f t="shared" si="759"/>
        <v>0.7</v>
      </c>
      <c r="H440" s="103">
        <f t="shared" si="760"/>
        <v>0</v>
      </c>
      <c r="I440" s="109">
        <v>4.7E-2</v>
      </c>
      <c r="J440" s="106">
        <f t="shared" si="792"/>
        <v>46220</v>
      </c>
      <c r="K440" s="106">
        <f t="shared" si="793"/>
        <v>46220</v>
      </c>
      <c r="L440" s="107">
        <v>46184</v>
      </c>
      <c r="M440" s="107">
        <f t="shared" si="794"/>
        <v>46262</v>
      </c>
      <c r="N440" s="106">
        <f t="shared" si="795"/>
        <v>46262</v>
      </c>
      <c r="O440" s="106">
        <v>46266</v>
      </c>
      <c r="P440" s="107">
        <f t="shared" si="796"/>
        <v>46304</v>
      </c>
      <c r="Q440" s="106">
        <f t="shared" si="797"/>
        <v>46304</v>
      </c>
      <c r="R440" s="107"/>
      <c r="S440" s="106">
        <f t="shared" ref="S440:S503" si="799">P440+14</f>
        <v>46318</v>
      </c>
      <c r="T440" s="106">
        <f t="shared" si="798"/>
        <v>46318</v>
      </c>
      <c r="U440" s="107"/>
      <c r="W440" s="169" t="str">
        <f t="shared" ca="1" si="748"/>
        <v>Completed</v>
      </c>
      <c r="X440" s="169" t="str">
        <f t="shared" ca="1" si="749"/>
        <v>Completed</v>
      </c>
      <c r="Y440" s="169" t="str">
        <f t="shared" ca="1" si="750"/>
        <v/>
      </c>
      <c r="Z440" s="170" t="str">
        <f t="shared" ca="1" si="751"/>
        <v/>
      </c>
    </row>
    <row r="441" spans="1:26" s="70" customFormat="1" ht="11.5" x14ac:dyDescent="0.25">
      <c r="A441" s="102" t="s">
        <v>64</v>
      </c>
      <c r="B441" s="102" t="s">
        <v>14</v>
      </c>
      <c r="C441" s="102" t="s">
        <v>461</v>
      </c>
      <c r="D441" s="102" t="s">
        <v>462</v>
      </c>
      <c r="E441" s="103">
        <f t="shared" si="758"/>
        <v>0.7</v>
      </c>
      <c r="F441" s="103">
        <f t="shared" si="759"/>
        <v>0.7</v>
      </c>
      <c r="G441" s="103">
        <f t="shared" si="759"/>
        <v>0</v>
      </c>
      <c r="H441" s="103">
        <f t="shared" si="760"/>
        <v>-0.7</v>
      </c>
      <c r="I441" s="109">
        <v>4.7E-2</v>
      </c>
      <c r="J441" s="106">
        <f t="shared" si="792"/>
        <v>46220</v>
      </c>
      <c r="K441" s="106">
        <f t="shared" si="793"/>
        <v>46220</v>
      </c>
      <c r="L441" s="107"/>
      <c r="M441" s="107">
        <f t="shared" si="794"/>
        <v>46262</v>
      </c>
      <c r="N441" s="106">
        <f t="shared" si="795"/>
        <v>46262</v>
      </c>
      <c r="O441" s="107"/>
      <c r="P441" s="107">
        <f t="shared" si="796"/>
        <v>46304</v>
      </c>
      <c r="Q441" s="106">
        <f t="shared" si="797"/>
        <v>46304</v>
      </c>
      <c r="R441" s="107"/>
      <c r="S441" s="106">
        <f t="shared" si="799"/>
        <v>46318</v>
      </c>
      <c r="T441" s="106">
        <f t="shared" si="798"/>
        <v>46318</v>
      </c>
      <c r="U441" s="107"/>
      <c r="W441" s="169" t="str">
        <f t="shared" ca="1" si="748"/>
        <v>Overdue</v>
      </c>
      <c r="X441" s="169" t="str">
        <f t="shared" ca="1" si="749"/>
        <v>Overdue</v>
      </c>
      <c r="Y441" s="169" t="str">
        <f t="shared" ca="1" si="750"/>
        <v/>
      </c>
      <c r="Z441" s="170" t="str">
        <f t="shared" ca="1" si="751"/>
        <v/>
      </c>
    </row>
    <row r="442" spans="1:26" s="70" customFormat="1" ht="11.5" x14ac:dyDescent="0.25">
      <c r="A442" s="102" t="s">
        <v>64</v>
      </c>
      <c r="B442" s="102" t="s">
        <v>14</v>
      </c>
      <c r="C442" s="102" t="s">
        <v>463</v>
      </c>
      <c r="D442" s="102" t="s">
        <v>464</v>
      </c>
      <c r="E442" s="103">
        <f t="shared" ref="E442" si="800">(COUNTIFS(J442,"&lt;="&amp;$C$1)*50%)+(COUNTIFS(M442,"&lt;="&amp;$C$1)*20%)+(COUNTIFS(P442,"&lt;="&amp;$C$1)*10%)+(COUNTIFS(S442,"&lt;="&amp;$C$1)*20%)</f>
        <v>0.7</v>
      </c>
      <c r="F442" s="103">
        <f t="shared" ref="F442" si="801">(COUNTIFS(K442,"&lt;="&amp;$C$1)*50%)+(COUNTIFS(N442,"&lt;="&amp;$C$1)*20%)+(COUNTIFS(Q442,"&lt;="&amp;$C$1)*10%)+(COUNTIFS(T442,"&lt;="&amp;$C$1)*20%)</f>
        <v>0.7</v>
      </c>
      <c r="G442" s="103">
        <f t="shared" ref="G442" si="802">(COUNTIFS(L442,"&lt;="&amp;$C$1)*50%)+(COUNTIFS(O442,"&lt;="&amp;$C$1)*20%)+(COUNTIFS(R442,"&lt;="&amp;$C$1)*10%)+(COUNTIFS(U442,"&lt;="&amp;$C$1)*20%)</f>
        <v>0.7</v>
      </c>
      <c r="H442" s="103">
        <f t="shared" ref="H442" si="803">G442-E442</f>
        <v>0</v>
      </c>
      <c r="I442" s="109">
        <v>4.7E-2</v>
      </c>
      <c r="J442" s="106">
        <f t="shared" si="792"/>
        <v>46227</v>
      </c>
      <c r="K442" s="107">
        <f t="shared" si="793"/>
        <v>46227</v>
      </c>
      <c r="L442" s="106">
        <v>46142</v>
      </c>
      <c r="M442" s="107">
        <f t="shared" si="794"/>
        <v>46269</v>
      </c>
      <c r="N442" s="107">
        <f t="shared" si="795"/>
        <v>46269</v>
      </c>
      <c r="O442" s="106">
        <v>46255</v>
      </c>
      <c r="P442" s="107">
        <f t="shared" si="796"/>
        <v>46311</v>
      </c>
      <c r="Q442" s="107">
        <f t="shared" si="797"/>
        <v>46311</v>
      </c>
      <c r="R442" s="107"/>
      <c r="S442" s="106">
        <f t="shared" si="799"/>
        <v>46325</v>
      </c>
      <c r="T442" s="107">
        <f t="shared" si="798"/>
        <v>46325</v>
      </c>
      <c r="U442" s="107"/>
      <c r="W442" s="169" t="str">
        <f t="shared" ca="1" si="748"/>
        <v>Completed</v>
      </c>
      <c r="X442" s="169" t="str">
        <f t="shared" ca="1" si="749"/>
        <v>Completed</v>
      </c>
      <c r="Y442" s="169" t="str">
        <f t="shared" ca="1" si="750"/>
        <v/>
      </c>
      <c r="Z442" s="170" t="str">
        <f t="shared" ca="1" si="751"/>
        <v/>
      </c>
    </row>
    <row r="443" spans="1:26" s="70" customFormat="1" ht="11.5" x14ac:dyDescent="0.25">
      <c r="A443" s="102" t="s">
        <v>64</v>
      </c>
      <c r="B443" s="102" t="s">
        <v>14</v>
      </c>
      <c r="C443" s="102" t="s">
        <v>465</v>
      </c>
      <c r="D443" s="102" t="s">
        <v>466</v>
      </c>
      <c r="E443" s="103">
        <f t="shared" si="758"/>
        <v>0.7</v>
      </c>
      <c r="F443" s="103">
        <f t="shared" si="759"/>
        <v>0.7</v>
      </c>
      <c r="G443" s="103">
        <f t="shared" si="759"/>
        <v>0.7</v>
      </c>
      <c r="H443" s="103">
        <f t="shared" si="760"/>
        <v>0</v>
      </c>
      <c r="I443" s="109">
        <v>4.7E-2</v>
      </c>
      <c r="J443" s="106">
        <f t="shared" si="792"/>
        <v>46227</v>
      </c>
      <c r="K443" s="107">
        <f t="shared" si="793"/>
        <v>46227</v>
      </c>
      <c r="L443" s="106">
        <v>46142</v>
      </c>
      <c r="M443" s="107">
        <f t="shared" si="794"/>
        <v>46269</v>
      </c>
      <c r="N443" s="107">
        <f t="shared" si="795"/>
        <v>46269</v>
      </c>
      <c r="O443" s="106">
        <v>46255</v>
      </c>
      <c r="P443" s="107">
        <f t="shared" si="796"/>
        <v>46311</v>
      </c>
      <c r="Q443" s="107">
        <f t="shared" si="797"/>
        <v>46311</v>
      </c>
      <c r="R443" s="107"/>
      <c r="S443" s="106">
        <f t="shared" si="799"/>
        <v>46325</v>
      </c>
      <c r="T443" s="107">
        <f t="shared" si="798"/>
        <v>46325</v>
      </c>
      <c r="U443" s="107"/>
      <c r="W443" s="169" t="str">
        <f t="shared" ca="1" si="748"/>
        <v>Completed</v>
      </c>
      <c r="X443" s="169" t="str">
        <f t="shared" ca="1" si="749"/>
        <v>Completed</v>
      </c>
      <c r="Y443" s="169" t="str">
        <f t="shared" ca="1" si="750"/>
        <v/>
      </c>
      <c r="Z443" s="170" t="str">
        <f t="shared" ca="1" si="751"/>
        <v/>
      </c>
    </row>
    <row r="444" spans="1:26" s="70" customFormat="1" ht="11.5" x14ac:dyDescent="0.25">
      <c r="A444" s="102" t="s">
        <v>64</v>
      </c>
      <c r="B444" s="102" t="s">
        <v>14</v>
      </c>
      <c r="C444" s="102" t="s">
        <v>996</v>
      </c>
      <c r="D444" s="102" t="s">
        <v>467</v>
      </c>
      <c r="E444" s="103">
        <f t="shared" si="758"/>
        <v>0.7</v>
      </c>
      <c r="F444" s="103">
        <f t="shared" si="759"/>
        <v>0.7</v>
      </c>
      <c r="G444" s="103">
        <f t="shared" si="759"/>
        <v>0.79999999999999993</v>
      </c>
      <c r="H444" s="103">
        <f t="shared" si="760"/>
        <v>9.9999999999999978E-2</v>
      </c>
      <c r="I444" s="109">
        <v>4.7E-2</v>
      </c>
      <c r="J444" s="106">
        <f t="shared" si="792"/>
        <v>46227</v>
      </c>
      <c r="K444" s="107">
        <f t="shared" si="793"/>
        <v>46227</v>
      </c>
      <c r="L444" s="107">
        <v>46224</v>
      </c>
      <c r="M444" s="107">
        <f t="shared" si="794"/>
        <v>46269</v>
      </c>
      <c r="N444" s="107">
        <f t="shared" si="795"/>
        <v>46269</v>
      </c>
      <c r="O444" s="106">
        <v>46233</v>
      </c>
      <c r="P444" s="107">
        <f t="shared" si="796"/>
        <v>46311</v>
      </c>
      <c r="Q444" s="107">
        <f t="shared" si="797"/>
        <v>46311</v>
      </c>
      <c r="R444" s="106">
        <v>46266</v>
      </c>
      <c r="S444" s="106">
        <f t="shared" si="799"/>
        <v>46325</v>
      </c>
      <c r="T444" s="107">
        <f t="shared" si="798"/>
        <v>46325</v>
      </c>
      <c r="U444" s="107"/>
      <c r="W444" s="169" t="str">
        <f t="shared" ref="W444:W507" ca="1" si="804">IF(OR(L444&lt;&gt;""),"Completed",
IF(K444="","",IF(K444&lt;TODAY(),"Overdue",
IF(AND(K444&gt;=TODAY()-WEEKDAY(TODAY(),2)+1,K444&lt;=TODAY()-WEEKDAY(TODAY(),2)+7),"Follow-This Week",
IF(AND(K444&gt;=TODAY()-WEEKDAY(TODAY(),2)+8,K444&lt;=TODAY()-WEEKDAY(TODAY(),2)+14),"Follow-Next Week","")))))</f>
        <v>Completed</v>
      </c>
      <c r="X444" s="169" t="str">
        <f t="shared" ref="X444:X507" ca="1" si="805">IF(OR(O444&lt;&gt;""),"Completed",IF(N444="","",
IF(N444&lt;TODAY(),"Overdue",
IF(AND(N444&gt;=TODAY()-WEEKDAY(TODAY(),2)+1,N444&lt;=TODAY()-WEEKDAY(TODAY(),2)+7),"Follow-This Week",
IF(AND(N444&gt;=TODAY()-WEEKDAY(TODAY(),2)+8,N444&lt;=TODAY()-WEEKDAY(TODAY(),2)+14),"Follow-Next Week","")))))</f>
        <v>Completed</v>
      </c>
      <c r="Y444" s="169" t="str">
        <f t="shared" ref="Y444:Y507" ca="1" si="806">IF(OR(R444&lt;&gt;""),"Completed",IF(Q444="","",
IF(Q444&lt;TODAY(),"Overdue",
IF(AND(Q444&gt;=TODAY()-WEEKDAY(TODAY(),2)+1,Q444&lt;=TODAY()-WEEKDAY(TODAY(),2)+7),"Follow-This Week",
IF(AND(Q444&gt;=TODAY()-WEEKDAY(TODAY(),2)+8,Q444&lt;=TODAY()-WEEKDAY(TODAY(),2)+14),"Follow-Next Week","")))))</f>
        <v>Completed</v>
      </c>
      <c r="Z444" s="170" t="str">
        <f t="shared" ref="Z444:Z507" ca="1" si="807">IF(OR(U444&lt;&gt;""),"Completed",IF(T444="","",
IF(T444&lt;TODAY(),"Overdue",
IF(AND(T444&gt;=TODAY()-WEEKDAY(TODAY(),2)+1,T444&lt;=TODAY()-WEEKDAY(TODAY(),2)+7),"Follow-This Week",
IF(AND(T444&gt;=TODAY()-WEEKDAY(TODAY(),2)+8,T444&lt;=TODAY()-WEEKDAY(TODAY(),2)+14),"Follow-Next Week","")))))</f>
        <v/>
      </c>
    </row>
    <row r="445" spans="1:26" s="70" customFormat="1" ht="11.5" x14ac:dyDescent="0.25">
      <c r="A445" s="102" t="s">
        <v>64</v>
      </c>
      <c r="B445" s="102" t="s">
        <v>14</v>
      </c>
      <c r="C445" s="102" t="s">
        <v>997</v>
      </c>
      <c r="D445" s="102" t="s">
        <v>468</v>
      </c>
      <c r="E445" s="103">
        <f t="shared" si="758"/>
        <v>0.7</v>
      </c>
      <c r="F445" s="103">
        <f t="shared" si="759"/>
        <v>0.7</v>
      </c>
      <c r="G445" s="103">
        <f t="shared" si="759"/>
        <v>0.79999999999999993</v>
      </c>
      <c r="H445" s="103">
        <f t="shared" si="760"/>
        <v>9.9999999999999978E-2</v>
      </c>
      <c r="I445" s="109">
        <v>4.7E-2</v>
      </c>
      <c r="J445" s="106">
        <f t="shared" si="792"/>
        <v>46227</v>
      </c>
      <c r="K445" s="107">
        <f t="shared" si="793"/>
        <v>46227</v>
      </c>
      <c r="L445" s="107">
        <v>46224</v>
      </c>
      <c r="M445" s="107">
        <f t="shared" si="794"/>
        <v>46269</v>
      </c>
      <c r="N445" s="107">
        <f t="shared" si="795"/>
        <v>46269</v>
      </c>
      <c r="O445" s="106">
        <v>46233</v>
      </c>
      <c r="P445" s="107">
        <f t="shared" si="796"/>
        <v>46311</v>
      </c>
      <c r="Q445" s="107">
        <f t="shared" si="797"/>
        <v>46311</v>
      </c>
      <c r="R445" s="106">
        <v>46266</v>
      </c>
      <c r="S445" s="106">
        <f t="shared" si="799"/>
        <v>46325</v>
      </c>
      <c r="T445" s="107">
        <f t="shared" si="798"/>
        <v>46325</v>
      </c>
      <c r="U445" s="107"/>
      <c r="W445" s="169" t="str">
        <f t="shared" ca="1" si="804"/>
        <v>Completed</v>
      </c>
      <c r="X445" s="169" t="str">
        <f t="shared" ca="1" si="805"/>
        <v>Completed</v>
      </c>
      <c r="Y445" s="169" t="str">
        <f t="shared" ca="1" si="806"/>
        <v>Completed</v>
      </c>
      <c r="Z445" s="170" t="str">
        <f t="shared" ca="1" si="807"/>
        <v/>
      </c>
    </row>
    <row r="446" spans="1:26" s="70" customFormat="1" ht="11.5" x14ac:dyDescent="0.25">
      <c r="A446" s="102" t="s">
        <v>64</v>
      </c>
      <c r="B446" s="102" t="s">
        <v>14</v>
      </c>
      <c r="C446" s="102" t="s">
        <v>998</v>
      </c>
      <c r="D446" s="102" t="s">
        <v>469</v>
      </c>
      <c r="E446" s="103">
        <f t="shared" si="758"/>
        <v>0.7</v>
      </c>
      <c r="F446" s="103">
        <f t="shared" si="759"/>
        <v>0.7</v>
      </c>
      <c r="G446" s="103">
        <f t="shared" si="759"/>
        <v>0.5</v>
      </c>
      <c r="H446" s="103">
        <f t="shared" si="760"/>
        <v>-0.19999999999999996</v>
      </c>
      <c r="I446" s="109">
        <v>4.7E-2</v>
      </c>
      <c r="J446" s="106">
        <f t="shared" si="792"/>
        <v>46227</v>
      </c>
      <c r="K446" s="107">
        <f t="shared" si="793"/>
        <v>46227</v>
      </c>
      <c r="L446" s="107">
        <v>46224</v>
      </c>
      <c r="M446" s="107">
        <f t="shared" si="794"/>
        <v>46269</v>
      </c>
      <c r="N446" s="107">
        <f t="shared" si="795"/>
        <v>46269</v>
      </c>
      <c r="O446" s="107"/>
      <c r="P446" s="107">
        <f t="shared" si="796"/>
        <v>46311</v>
      </c>
      <c r="Q446" s="107">
        <f t="shared" si="797"/>
        <v>46311</v>
      </c>
      <c r="R446" s="107"/>
      <c r="S446" s="106">
        <f t="shared" si="799"/>
        <v>46325</v>
      </c>
      <c r="T446" s="107">
        <f t="shared" si="798"/>
        <v>46325</v>
      </c>
      <c r="U446" s="107"/>
      <c r="W446" s="169" t="str">
        <f t="shared" ca="1" si="804"/>
        <v>Completed</v>
      </c>
      <c r="X446" s="169" t="str">
        <f t="shared" ca="1" si="805"/>
        <v>Overdue</v>
      </c>
      <c r="Y446" s="169" t="str">
        <f t="shared" ca="1" si="806"/>
        <v/>
      </c>
      <c r="Z446" s="170" t="str">
        <f t="shared" ca="1" si="807"/>
        <v/>
      </c>
    </row>
    <row r="447" spans="1:26" s="70" customFormat="1" ht="11.5" x14ac:dyDescent="0.25">
      <c r="A447" s="102" t="s">
        <v>64</v>
      </c>
      <c r="B447" s="102" t="s">
        <v>14</v>
      </c>
      <c r="C447" s="102" t="s">
        <v>999</v>
      </c>
      <c r="D447" s="102" t="s">
        <v>470</v>
      </c>
      <c r="E447" s="103">
        <f t="shared" si="758"/>
        <v>0.7</v>
      </c>
      <c r="F447" s="103">
        <f t="shared" si="759"/>
        <v>0.7</v>
      </c>
      <c r="G447" s="103">
        <f t="shared" si="759"/>
        <v>0.5</v>
      </c>
      <c r="H447" s="103">
        <f t="shared" si="760"/>
        <v>-0.19999999999999996</v>
      </c>
      <c r="I447" s="109">
        <v>4.7E-2</v>
      </c>
      <c r="J447" s="106">
        <f t="shared" si="792"/>
        <v>46227</v>
      </c>
      <c r="K447" s="107">
        <f t="shared" si="793"/>
        <v>46227</v>
      </c>
      <c r="L447" s="107">
        <v>46224</v>
      </c>
      <c r="M447" s="107">
        <f t="shared" si="794"/>
        <v>46269</v>
      </c>
      <c r="N447" s="107">
        <f t="shared" si="795"/>
        <v>46269</v>
      </c>
      <c r="O447" s="107"/>
      <c r="P447" s="107">
        <f t="shared" si="796"/>
        <v>46311</v>
      </c>
      <c r="Q447" s="107">
        <f t="shared" si="797"/>
        <v>46311</v>
      </c>
      <c r="R447" s="107"/>
      <c r="S447" s="106">
        <f t="shared" si="799"/>
        <v>46325</v>
      </c>
      <c r="T447" s="107">
        <f t="shared" si="798"/>
        <v>46325</v>
      </c>
      <c r="U447" s="107"/>
      <c r="W447" s="169" t="str">
        <f t="shared" ca="1" si="804"/>
        <v>Completed</v>
      </c>
      <c r="X447" s="169" t="str">
        <f t="shared" ca="1" si="805"/>
        <v>Overdue</v>
      </c>
      <c r="Y447" s="169" t="str">
        <f t="shared" ca="1" si="806"/>
        <v/>
      </c>
      <c r="Z447" s="170" t="str">
        <f t="shared" ca="1" si="807"/>
        <v/>
      </c>
    </row>
    <row r="448" spans="1:26" s="70" customFormat="1" ht="11.5" x14ac:dyDescent="0.25">
      <c r="A448" s="102" t="s">
        <v>64</v>
      </c>
      <c r="B448" s="102" t="s">
        <v>14</v>
      </c>
      <c r="C448" s="102" t="s">
        <v>1000</v>
      </c>
      <c r="D448" s="102" t="s">
        <v>471</v>
      </c>
      <c r="E448" s="103">
        <f t="shared" si="758"/>
        <v>0.7</v>
      </c>
      <c r="F448" s="103">
        <f t="shared" si="759"/>
        <v>0.7</v>
      </c>
      <c r="G448" s="103">
        <f t="shared" si="759"/>
        <v>0.5</v>
      </c>
      <c r="H448" s="103">
        <f t="shared" si="760"/>
        <v>-0.19999999999999996</v>
      </c>
      <c r="I448" s="109">
        <v>4.7E-2</v>
      </c>
      <c r="J448" s="106">
        <f t="shared" si="792"/>
        <v>46227</v>
      </c>
      <c r="K448" s="107">
        <f t="shared" si="793"/>
        <v>46227</v>
      </c>
      <c r="L448" s="107">
        <v>46224</v>
      </c>
      <c r="M448" s="107">
        <f t="shared" si="794"/>
        <v>46269</v>
      </c>
      <c r="N448" s="107">
        <f t="shared" si="795"/>
        <v>46269</v>
      </c>
      <c r="O448" s="107"/>
      <c r="P448" s="107">
        <f t="shared" si="796"/>
        <v>46311</v>
      </c>
      <c r="Q448" s="107">
        <f t="shared" si="797"/>
        <v>46311</v>
      </c>
      <c r="R448" s="107"/>
      <c r="S448" s="106">
        <f t="shared" si="799"/>
        <v>46325</v>
      </c>
      <c r="T448" s="107">
        <f t="shared" si="798"/>
        <v>46325</v>
      </c>
      <c r="U448" s="107"/>
      <c r="W448" s="169" t="str">
        <f t="shared" ca="1" si="804"/>
        <v>Completed</v>
      </c>
      <c r="X448" s="169" t="str">
        <f t="shared" ca="1" si="805"/>
        <v>Overdue</v>
      </c>
      <c r="Y448" s="169" t="str">
        <f t="shared" ca="1" si="806"/>
        <v/>
      </c>
      <c r="Z448" s="170" t="str">
        <f t="shared" ca="1" si="807"/>
        <v/>
      </c>
    </row>
    <row r="449" spans="1:26" s="70" customFormat="1" ht="11.5" x14ac:dyDescent="0.25">
      <c r="A449" s="101" t="s">
        <v>64</v>
      </c>
      <c r="B449" s="102" t="s">
        <v>14</v>
      </c>
      <c r="C449" s="102" t="s">
        <v>1001</v>
      </c>
      <c r="D449" s="102" t="s">
        <v>472</v>
      </c>
      <c r="E449" s="104">
        <f t="shared" si="758"/>
        <v>0.7</v>
      </c>
      <c r="F449" s="104">
        <f t="shared" si="759"/>
        <v>0.7</v>
      </c>
      <c r="G449" s="104">
        <f t="shared" si="759"/>
        <v>0.5</v>
      </c>
      <c r="H449" s="104">
        <f t="shared" si="760"/>
        <v>-0.19999999999999996</v>
      </c>
      <c r="I449" s="105">
        <v>4.7E-2</v>
      </c>
      <c r="J449" s="106">
        <f t="shared" si="792"/>
        <v>46227</v>
      </c>
      <c r="K449" s="107">
        <f t="shared" si="793"/>
        <v>46227</v>
      </c>
      <c r="L449" s="107">
        <v>46224</v>
      </c>
      <c r="M449" s="107">
        <f t="shared" si="794"/>
        <v>46269</v>
      </c>
      <c r="N449" s="107">
        <f t="shared" si="795"/>
        <v>46269</v>
      </c>
      <c r="O449" s="107"/>
      <c r="P449" s="107">
        <f t="shared" si="796"/>
        <v>46311</v>
      </c>
      <c r="Q449" s="107">
        <f t="shared" si="797"/>
        <v>46311</v>
      </c>
      <c r="R449" s="107"/>
      <c r="S449" s="106">
        <f t="shared" si="799"/>
        <v>46325</v>
      </c>
      <c r="T449" s="107">
        <f t="shared" si="798"/>
        <v>46325</v>
      </c>
      <c r="U449" s="107"/>
      <c r="W449" s="169" t="str">
        <f t="shared" ca="1" si="804"/>
        <v>Completed</v>
      </c>
      <c r="X449" s="169" t="str">
        <f t="shared" ca="1" si="805"/>
        <v>Overdue</v>
      </c>
      <c r="Y449" s="169" t="str">
        <f t="shared" ca="1" si="806"/>
        <v/>
      </c>
      <c r="Z449" s="170" t="str">
        <f t="shared" ca="1" si="807"/>
        <v/>
      </c>
    </row>
    <row r="450" spans="1:26" s="70" customFormat="1" ht="11.5" x14ac:dyDescent="0.25">
      <c r="A450" s="101" t="s">
        <v>64</v>
      </c>
      <c r="B450" s="102" t="s">
        <v>14</v>
      </c>
      <c r="C450" s="102" t="s">
        <v>1002</v>
      </c>
      <c r="D450" s="102" t="s">
        <v>473</v>
      </c>
      <c r="E450" s="104">
        <f t="shared" si="758"/>
        <v>0.7</v>
      </c>
      <c r="F450" s="104">
        <f t="shared" si="759"/>
        <v>0.7</v>
      </c>
      <c r="G450" s="104">
        <f t="shared" si="759"/>
        <v>0.5</v>
      </c>
      <c r="H450" s="104">
        <f t="shared" si="760"/>
        <v>-0.19999999999999996</v>
      </c>
      <c r="I450" s="105">
        <v>4.7E-2</v>
      </c>
      <c r="J450" s="106">
        <f t="shared" si="792"/>
        <v>46227</v>
      </c>
      <c r="K450" s="107">
        <f t="shared" si="793"/>
        <v>46227</v>
      </c>
      <c r="L450" s="107">
        <v>46224</v>
      </c>
      <c r="M450" s="107">
        <f t="shared" si="794"/>
        <v>46269</v>
      </c>
      <c r="N450" s="107">
        <f t="shared" si="795"/>
        <v>46269</v>
      </c>
      <c r="O450" s="107"/>
      <c r="P450" s="107">
        <f t="shared" si="796"/>
        <v>46311</v>
      </c>
      <c r="Q450" s="107">
        <f t="shared" si="797"/>
        <v>46311</v>
      </c>
      <c r="R450" s="107"/>
      <c r="S450" s="106">
        <f t="shared" si="799"/>
        <v>46325</v>
      </c>
      <c r="T450" s="107">
        <f t="shared" si="798"/>
        <v>46325</v>
      </c>
      <c r="U450" s="107"/>
      <c r="W450" s="169" t="str">
        <f t="shared" ca="1" si="804"/>
        <v>Completed</v>
      </c>
      <c r="X450" s="169" t="str">
        <f t="shared" ca="1" si="805"/>
        <v>Overdue</v>
      </c>
      <c r="Y450" s="169" t="str">
        <f t="shared" ca="1" si="806"/>
        <v/>
      </c>
      <c r="Z450" s="170" t="str">
        <f t="shared" ca="1" si="807"/>
        <v/>
      </c>
    </row>
    <row r="451" spans="1:26" s="70" customFormat="1" ht="11.5" x14ac:dyDescent="0.25">
      <c r="A451" s="101" t="s">
        <v>64</v>
      </c>
      <c r="B451" s="102" t="s">
        <v>14</v>
      </c>
      <c r="C451" s="102" t="s">
        <v>1003</v>
      </c>
      <c r="D451" s="102" t="s">
        <v>474</v>
      </c>
      <c r="E451" s="104">
        <f t="shared" si="758"/>
        <v>0.7</v>
      </c>
      <c r="F451" s="104">
        <f t="shared" si="759"/>
        <v>0.7</v>
      </c>
      <c r="G451" s="104">
        <f t="shared" si="759"/>
        <v>0.5</v>
      </c>
      <c r="H451" s="104">
        <f t="shared" si="760"/>
        <v>-0.19999999999999996</v>
      </c>
      <c r="I451" s="105">
        <v>4.7E-2</v>
      </c>
      <c r="J451" s="106">
        <f t="shared" si="792"/>
        <v>46227</v>
      </c>
      <c r="K451" s="107">
        <f t="shared" si="793"/>
        <v>46227</v>
      </c>
      <c r="L451" s="107">
        <v>46224</v>
      </c>
      <c r="M451" s="107">
        <f t="shared" si="794"/>
        <v>46269</v>
      </c>
      <c r="N451" s="107">
        <f t="shared" si="795"/>
        <v>46269</v>
      </c>
      <c r="O451" s="107"/>
      <c r="P451" s="107">
        <f t="shared" si="796"/>
        <v>46311</v>
      </c>
      <c r="Q451" s="107">
        <f t="shared" si="797"/>
        <v>46311</v>
      </c>
      <c r="R451" s="107"/>
      <c r="S451" s="106">
        <f t="shared" si="799"/>
        <v>46325</v>
      </c>
      <c r="T451" s="107">
        <f t="shared" si="798"/>
        <v>46325</v>
      </c>
      <c r="U451" s="107"/>
      <c r="W451" s="169" t="str">
        <f t="shared" ca="1" si="804"/>
        <v>Completed</v>
      </c>
      <c r="X451" s="169" t="str">
        <f t="shared" ca="1" si="805"/>
        <v>Overdue</v>
      </c>
      <c r="Y451" s="169" t="str">
        <f t="shared" ca="1" si="806"/>
        <v/>
      </c>
      <c r="Z451" s="170" t="str">
        <f t="shared" ca="1" si="807"/>
        <v/>
      </c>
    </row>
    <row r="452" spans="1:26" s="70" customFormat="1" ht="11.5" x14ac:dyDescent="0.25">
      <c r="A452" s="101" t="s">
        <v>64</v>
      </c>
      <c r="B452" s="102" t="s">
        <v>14</v>
      </c>
      <c r="C452" s="102" t="s">
        <v>1004</v>
      </c>
      <c r="D452" s="102" t="s">
        <v>475</v>
      </c>
      <c r="E452" s="104">
        <f t="shared" si="758"/>
        <v>0.7</v>
      </c>
      <c r="F452" s="104">
        <f t="shared" si="759"/>
        <v>0.7</v>
      </c>
      <c r="G452" s="104">
        <f t="shared" si="759"/>
        <v>0.5</v>
      </c>
      <c r="H452" s="104">
        <f t="shared" si="760"/>
        <v>-0.19999999999999996</v>
      </c>
      <c r="I452" s="105">
        <v>4.7E-2</v>
      </c>
      <c r="J452" s="106">
        <f t="shared" si="792"/>
        <v>46227</v>
      </c>
      <c r="K452" s="107">
        <f t="shared" si="793"/>
        <v>46227</v>
      </c>
      <c r="L452" s="107">
        <v>46224</v>
      </c>
      <c r="M452" s="107">
        <f t="shared" si="794"/>
        <v>46269</v>
      </c>
      <c r="N452" s="107">
        <f t="shared" si="795"/>
        <v>46269</v>
      </c>
      <c r="O452" s="107"/>
      <c r="P452" s="107">
        <f t="shared" si="796"/>
        <v>46311</v>
      </c>
      <c r="Q452" s="107">
        <f t="shared" si="797"/>
        <v>46311</v>
      </c>
      <c r="R452" s="107"/>
      <c r="S452" s="106">
        <f t="shared" si="799"/>
        <v>46325</v>
      </c>
      <c r="T452" s="107">
        <f t="shared" si="798"/>
        <v>46325</v>
      </c>
      <c r="U452" s="107"/>
      <c r="W452" s="169" t="str">
        <f t="shared" ca="1" si="804"/>
        <v>Completed</v>
      </c>
      <c r="X452" s="169" t="str">
        <f t="shared" ca="1" si="805"/>
        <v>Overdue</v>
      </c>
      <c r="Y452" s="169" t="str">
        <f t="shared" ca="1" si="806"/>
        <v/>
      </c>
      <c r="Z452" s="170" t="str">
        <f t="shared" ca="1" si="807"/>
        <v/>
      </c>
    </row>
    <row r="453" spans="1:26" s="70" customFormat="1" ht="11.5" x14ac:dyDescent="0.25">
      <c r="A453" s="101" t="s">
        <v>64</v>
      </c>
      <c r="B453" s="102" t="s">
        <v>14</v>
      </c>
      <c r="C453" s="102" t="s">
        <v>476</v>
      </c>
      <c r="D453" s="102" t="s">
        <v>477</v>
      </c>
      <c r="E453" s="104">
        <f t="shared" si="758"/>
        <v>0.7</v>
      </c>
      <c r="F453" s="104">
        <f t="shared" si="759"/>
        <v>0.7</v>
      </c>
      <c r="G453" s="104">
        <f t="shared" si="759"/>
        <v>0</v>
      </c>
      <c r="H453" s="104">
        <f t="shared" si="760"/>
        <v>-0.7</v>
      </c>
      <c r="I453" s="105">
        <v>4.7E-2</v>
      </c>
      <c r="J453" s="106">
        <f t="shared" ref="J453:J467" si="808">J336+28</f>
        <v>46234</v>
      </c>
      <c r="K453" s="107">
        <f t="shared" si="793"/>
        <v>46234</v>
      </c>
      <c r="L453" s="107"/>
      <c r="M453" s="107">
        <f t="shared" si="794"/>
        <v>46276</v>
      </c>
      <c r="N453" s="107">
        <f t="shared" si="795"/>
        <v>46276</v>
      </c>
      <c r="O453" s="107"/>
      <c r="P453" s="107">
        <f t="shared" si="796"/>
        <v>46318</v>
      </c>
      <c r="Q453" s="107">
        <f t="shared" si="797"/>
        <v>46318</v>
      </c>
      <c r="R453" s="107"/>
      <c r="S453" s="106">
        <f t="shared" si="799"/>
        <v>46332</v>
      </c>
      <c r="T453" s="107">
        <f t="shared" si="798"/>
        <v>46332</v>
      </c>
      <c r="U453" s="107"/>
      <c r="W453" s="169" t="str">
        <f t="shared" ca="1" si="804"/>
        <v>Overdue</v>
      </c>
      <c r="X453" s="169" t="str">
        <f t="shared" ca="1" si="805"/>
        <v>Overdue</v>
      </c>
      <c r="Y453" s="169" t="str">
        <f t="shared" ca="1" si="806"/>
        <v/>
      </c>
      <c r="Z453" s="170" t="str">
        <f t="shared" ca="1" si="807"/>
        <v/>
      </c>
    </row>
    <row r="454" spans="1:26" s="70" customFormat="1" ht="11.5" x14ac:dyDescent="0.25">
      <c r="A454" s="101" t="s">
        <v>64</v>
      </c>
      <c r="B454" s="102" t="s">
        <v>14</v>
      </c>
      <c r="C454" s="102" t="s">
        <v>478</v>
      </c>
      <c r="D454" s="102" t="s">
        <v>479</v>
      </c>
      <c r="E454" s="104">
        <f t="shared" si="758"/>
        <v>0.7</v>
      </c>
      <c r="F454" s="104">
        <f t="shared" si="759"/>
        <v>0.7</v>
      </c>
      <c r="G454" s="104">
        <f t="shared" si="759"/>
        <v>0</v>
      </c>
      <c r="H454" s="104">
        <f t="shared" si="760"/>
        <v>-0.7</v>
      </c>
      <c r="I454" s="105">
        <v>4.7E-2</v>
      </c>
      <c r="J454" s="106">
        <f t="shared" si="808"/>
        <v>46234</v>
      </c>
      <c r="K454" s="107">
        <f t="shared" si="793"/>
        <v>46234</v>
      </c>
      <c r="L454" s="107"/>
      <c r="M454" s="107">
        <f t="shared" si="794"/>
        <v>46276</v>
      </c>
      <c r="N454" s="107">
        <f t="shared" si="795"/>
        <v>46276</v>
      </c>
      <c r="O454" s="107"/>
      <c r="P454" s="107">
        <f t="shared" si="796"/>
        <v>46318</v>
      </c>
      <c r="Q454" s="107">
        <f t="shared" si="797"/>
        <v>46318</v>
      </c>
      <c r="R454" s="107"/>
      <c r="S454" s="106">
        <f t="shared" si="799"/>
        <v>46332</v>
      </c>
      <c r="T454" s="107">
        <f t="shared" si="798"/>
        <v>46332</v>
      </c>
      <c r="U454" s="107"/>
      <c r="W454" s="169" t="str">
        <f t="shared" ca="1" si="804"/>
        <v>Overdue</v>
      </c>
      <c r="X454" s="169" t="str">
        <f t="shared" ca="1" si="805"/>
        <v>Overdue</v>
      </c>
      <c r="Y454" s="169" t="str">
        <f t="shared" ca="1" si="806"/>
        <v/>
      </c>
      <c r="Z454" s="170" t="str">
        <f t="shared" ca="1" si="807"/>
        <v/>
      </c>
    </row>
    <row r="455" spans="1:26" s="84" customFormat="1" ht="11.5" x14ac:dyDescent="0.25">
      <c r="A455" s="101" t="s">
        <v>64</v>
      </c>
      <c r="B455" s="102" t="s">
        <v>14</v>
      </c>
      <c r="C455" s="102" t="s">
        <v>480</v>
      </c>
      <c r="D455" s="102" t="s">
        <v>481</v>
      </c>
      <c r="E455" s="104">
        <f t="shared" si="758"/>
        <v>0.7</v>
      </c>
      <c r="F455" s="104">
        <f t="shared" si="759"/>
        <v>0.7</v>
      </c>
      <c r="G455" s="104">
        <f t="shared" si="759"/>
        <v>0</v>
      </c>
      <c r="H455" s="104">
        <f t="shared" si="760"/>
        <v>-0.7</v>
      </c>
      <c r="I455" s="105">
        <v>4.7E-2</v>
      </c>
      <c r="J455" s="106">
        <f t="shared" si="808"/>
        <v>46234</v>
      </c>
      <c r="K455" s="107">
        <f t="shared" si="793"/>
        <v>46234</v>
      </c>
      <c r="L455" s="110"/>
      <c r="M455" s="107">
        <f t="shared" si="794"/>
        <v>46276</v>
      </c>
      <c r="N455" s="107">
        <f t="shared" si="795"/>
        <v>46276</v>
      </c>
      <c r="O455" s="110"/>
      <c r="P455" s="107">
        <f t="shared" si="796"/>
        <v>46318</v>
      </c>
      <c r="Q455" s="107">
        <f t="shared" si="797"/>
        <v>46318</v>
      </c>
      <c r="R455" s="110"/>
      <c r="S455" s="106">
        <f t="shared" si="799"/>
        <v>46332</v>
      </c>
      <c r="T455" s="107">
        <f t="shared" si="798"/>
        <v>46332</v>
      </c>
      <c r="U455" s="102"/>
      <c r="W455" s="169" t="str">
        <f t="shared" ca="1" si="804"/>
        <v>Overdue</v>
      </c>
      <c r="X455" s="169" t="str">
        <f t="shared" ca="1" si="805"/>
        <v>Overdue</v>
      </c>
      <c r="Y455" s="169" t="str">
        <f t="shared" ca="1" si="806"/>
        <v/>
      </c>
      <c r="Z455" s="170" t="str">
        <f t="shared" ca="1" si="807"/>
        <v/>
      </c>
    </row>
    <row r="456" spans="1:26" s="70" customFormat="1" ht="11.5" x14ac:dyDescent="0.25">
      <c r="A456" s="101" t="s">
        <v>64</v>
      </c>
      <c r="B456" s="102" t="s">
        <v>14</v>
      </c>
      <c r="C456" s="102" t="s">
        <v>1005</v>
      </c>
      <c r="D456" s="102" t="s">
        <v>482</v>
      </c>
      <c r="E456" s="104">
        <f t="shared" si="758"/>
        <v>0.7</v>
      </c>
      <c r="F456" s="104">
        <f t="shared" si="759"/>
        <v>0.7</v>
      </c>
      <c r="G456" s="104">
        <f t="shared" si="759"/>
        <v>0.7</v>
      </c>
      <c r="H456" s="104">
        <f t="shared" si="760"/>
        <v>0</v>
      </c>
      <c r="I456" s="105">
        <v>4.7E-2</v>
      </c>
      <c r="J456" s="106">
        <f t="shared" si="808"/>
        <v>46234</v>
      </c>
      <c r="K456" s="106">
        <f t="shared" si="793"/>
        <v>46234</v>
      </c>
      <c r="L456" s="106">
        <v>46247</v>
      </c>
      <c r="M456" s="107">
        <f t="shared" si="794"/>
        <v>46276</v>
      </c>
      <c r="N456" s="106">
        <f t="shared" si="795"/>
        <v>46276</v>
      </c>
      <c r="O456" s="106">
        <v>46262</v>
      </c>
      <c r="P456" s="107">
        <f t="shared" si="796"/>
        <v>46318</v>
      </c>
      <c r="Q456" s="106">
        <f t="shared" si="797"/>
        <v>46318</v>
      </c>
      <c r="R456" s="107"/>
      <c r="S456" s="106">
        <f t="shared" si="799"/>
        <v>46332</v>
      </c>
      <c r="T456" s="106">
        <f t="shared" si="798"/>
        <v>46332</v>
      </c>
      <c r="U456" s="107"/>
      <c r="W456" s="169" t="str">
        <f t="shared" ca="1" si="804"/>
        <v>Completed</v>
      </c>
      <c r="X456" s="169" t="str">
        <f t="shared" ca="1" si="805"/>
        <v>Completed</v>
      </c>
      <c r="Y456" s="169" t="str">
        <f t="shared" ca="1" si="806"/>
        <v/>
      </c>
      <c r="Z456" s="170" t="str">
        <f t="shared" ca="1" si="807"/>
        <v/>
      </c>
    </row>
    <row r="457" spans="1:26" s="70" customFormat="1" ht="11.5" x14ac:dyDescent="0.25">
      <c r="A457" s="101" t="s">
        <v>64</v>
      </c>
      <c r="B457" s="102" t="s">
        <v>14</v>
      </c>
      <c r="C457" s="102" t="s">
        <v>1006</v>
      </c>
      <c r="D457" s="102" t="s">
        <v>483</v>
      </c>
      <c r="E457" s="104">
        <f t="shared" si="758"/>
        <v>0.7</v>
      </c>
      <c r="F457" s="104">
        <f t="shared" si="759"/>
        <v>0.7</v>
      </c>
      <c r="G457" s="104">
        <f t="shared" si="759"/>
        <v>0.7</v>
      </c>
      <c r="H457" s="104">
        <f t="shared" si="760"/>
        <v>0</v>
      </c>
      <c r="I457" s="105">
        <v>4.7E-2</v>
      </c>
      <c r="J457" s="106">
        <f t="shared" si="808"/>
        <v>46234</v>
      </c>
      <c r="K457" s="106">
        <f t="shared" si="793"/>
        <v>46234</v>
      </c>
      <c r="L457" s="106">
        <v>46247</v>
      </c>
      <c r="M457" s="107">
        <f t="shared" si="794"/>
        <v>46276</v>
      </c>
      <c r="N457" s="106">
        <f t="shared" si="795"/>
        <v>46276</v>
      </c>
      <c r="O457" s="106">
        <v>46262</v>
      </c>
      <c r="P457" s="107">
        <f t="shared" si="796"/>
        <v>46318</v>
      </c>
      <c r="Q457" s="106">
        <f t="shared" si="797"/>
        <v>46318</v>
      </c>
      <c r="R457" s="107"/>
      <c r="S457" s="106">
        <f t="shared" si="799"/>
        <v>46332</v>
      </c>
      <c r="T457" s="106">
        <f t="shared" si="798"/>
        <v>46332</v>
      </c>
      <c r="U457" s="107"/>
      <c r="W457" s="169" t="str">
        <f t="shared" ca="1" si="804"/>
        <v>Completed</v>
      </c>
      <c r="X457" s="169" t="str">
        <f t="shared" ca="1" si="805"/>
        <v>Completed</v>
      </c>
      <c r="Y457" s="169" t="str">
        <f t="shared" ca="1" si="806"/>
        <v/>
      </c>
      <c r="Z457" s="170" t="str">
        <f t="shared" ca="1" si="807"/>
        <v/>
      </c>
    </row>
    <row r="458" spans="1:26" s="70" customFormat="1" ht="11.5" x14ac:dyDescent="0.25">
      <c r="A458" s="101" t="s">
        <v>64</v>
      </c>
      <c r="B458" s="102" t="s">
        <v>14</v>
      </c>
      <c r="C458" s="102" t="s">
        <v>1007</v>
      </c>
      <c r="D458" s="102" t="s">
        <v>484</v>
      </c>
      <c r="E458" s="104">
        <f t="shared" si="758"/>
        <v>0.7</v>
      </c>
      <c r="F458" s="104">
        <f t="shared" si="759"/>
        <v>0.7</v>
      </c>
      <c r="G458" s="104">
        <f t="shared" si="759"/>
        <v>0.7</v>
      </c>
      <c r="H458" s="104">
        <f t="shared" si="760"/>
        <v>0</v>
      </c>
      <c r="I458" s="105">
        <v>4.7E-2</v>
      </c>
      <c r="J458" s="106">
        <f t="shared" si="808"/>
        <v>46234</v>
      </c>
      <c r="K458" s="106">
        <f t="shared" si="793"/>
        <v>46234</v>
      </c>
      <c r="L458" s="106">
        <v>46247</v>
      </c>
      <c r="M458" s="107">
        <f t="shared" si="794"/>
        <v>46276</v>
      </c>
      <c r="N458" s="106">
        <f t="shared" si="795"/>
        <v>46276</v>
      </c>
      <c r="O458" s="106">
        <v>46262</v>
      </c>
      <c r="P458" s="107">
        <f t="shared" si="796"/>
        <v>46318</v>
      </c>
      <c r="Q458" s="106">
        <f t="shared" si="797"/>
        <v>46318</v>
      </c>
      <c r="R458" s="107"/>
      <c r="S458" s="106">
        <f t="shared" si="799"/>
        <v>46332</v>
      </c>
      <c r="T458" s="106">
        <f t="shared" si="798"/>
        <v>46332</v>
      </c>
      <c r="U458" s="107"/>
      <c r="W458" s="169" t="str">
        <f t="shared" ca="1" si="804"/>
        <v>Completed</v>
      </c>
      <c r="X458" s="169" t="str">
        <f t="shared" ca="1" si="805"/>
        <v>Completed</v>
      </c>
      <c r="Y458" s="169" t="str">
        <f t="shared" ca="1" si="806"/>
        <v/>
      </c>
      <c r="Z458" s="170" t="str">
        <f t="shared" ca="1" si="807"/>
        <v/>
      </c>
    </row>
    <row r="459" spans="1:26" s="70" customFormat="1" ht="11.5" x14ac:dyDescent="0.25">
      <c r="A459" s="101" t="s">
        <v>64</v>
      </c>
      <c r="B459" s="102" t="s">
        <v>14</v>
      </c>
      <c r="C459" s="102" t="s">
        <v>1008</v>
      </c>
      <c r="D459" s="102" t="s">
        <v>485</v>
      </c>
      <c r="E459" s="104">
        <f t="shared" si="758"/>
        <v>0.7</v>
      </c>
      <c r="F459" s="104">
        <f t="shared" si="759"/>
        <v>0.7</v>
      </c>
      <c r="G459" s="104">
        <f t="shared" si="759"/>
        <v>0.7</v>
      </c>
      <c r="H459" s="104">
        <f t="shared" si="760"/>
        <v>0</v>
      </c>
      <c r="I459" s="105">
        <v>4.7E-2</v>
      </c>
      <c r="J459" s="106">
        <f t="shared" si="808"/>
        <v>46234</v>
      </c>
      <c r="K459" s="106">
        <f t="shared" si="793"/>
        <v>46234</v>
      </c>
      <c r="L459" s="106">
        <v>46247</v>
      </c>
      <c r="M459" s="107">
        <f t="shared" si="794"/>
        <v>46276</v>
      </c>
      <c r="N459" s="106">
        <f t="shared" si="795"/>
        <v>46276</v>
      </c>
      <c r="O459" s="106">
        <v>46262</v>
      </c>
      <c r="P459" s="107">
        <f t="shared" si="796"/>
        <v>46318</v>
      </c>
      <c r="Q459" s="106">
        <f t="shared" si="797"/>
        <v>46318</v>
      </c>
      <c r="R459" s="107"/>
      <c r="S459" s="106">
        <f t="shared" si="799"/>
        <v>46332</v>
      </c>
      <c r="T459" s="106">
        <f t="shared" si="798"/>
        <v>46332</v>
      </c>
      <c r="U459" s="107"/>
      <c r="W459" s="169" t="str">
        <f t="shared" ca="1" si="804"/>
        <v>Completed</v>
      </c>
      <c r="X459" s="169" t="str">
        <f t="shared" ca="1" si="805"/>
        <v>Completed</v>
      </c>
      <c r="Y459" s="169" t="str">
        <f t="shared" ca="1" si="806"/>
        <v/>
      </c>
      <c r="Z459" s="170" t="str">
        <f t="shared" ca="1" si="807"/>
        <v/>
      </c>
    </row>
    <row r="460" spans="1:26" s="70" customFormat="1" ht="11.5" x14ac:dyDescent="0.25">
      <c r="A460" s="101" t="s">
        <v>64</v>
      </c>
      <c r="B460" s="102" t="s">
        <v>14</v>
      </c>
      <c r="C460" s="102" t="s">
        <v>1009</v>
      </c>
      <c r="D460" s="102" t="s">
        <v>486</v>
      </c>
      <c r="E460" s="104">
        <f t="shared" ref="E460:E462" si="809">(COUNTIFS(J460,"&lt;="&amp;$C$1)*50%)+(COUNTIFS(M460,"&lt;="&amp;$C$1)*20%)+(COUNTIFS(P460,"&lt;="&amp;$C$1)*10%)+(COUNTIFS(S460,"&lt;="&amp;$C$1)*20%)</f>
        <v>0.7</v>
      </c>
      <c r="F460" s="104">
        <f t="shared" ref="F460:F462" si="810">(COUNTIFS(K460,"&lt;="&amp;$C$1)*50%)+(COUNTIFS(N460,"&lt;="&amp;$C$1)*20%)+(COUNTIFS(Q460,"&lt;="&amp;$C$1)*10%)+(COUNTIFS(T460,"&lt;="&amp;$C$1)*20%)</f>
        <v>0.7</v>
      </c>
      <c r="G460" s="104">
        <f t="shared" ref="G460:G462" si="811">(COUNTIFS(L460,"&lt;="&amp;$C$1)*50%)+(COUNTIFS(O460,"&lt;="&amp;$C$1)*20%)+(COUNTIFS(R460,"&lt;="&amp;$C$1)*10%)+(COUNTIFS(U460,"&lt;="&amp;$C$1)*20%)</f>
        <v>0.7</v>
      </c>
      <c r="H460" s="104">
        <f t="shared" ref="H460:H462" si="812">G460-E460</f>
        <v>0</v>
      </c>
      <c r="I460" s="105">
        <v>4.7E-2</v>
      </c>
      <c r="J460" s="106">
        <f t="shared" si="808"/>
        <v>46234</v>
      </c>
      <c r="K460" s="106">
        <f t="shared" si="793"/>
        <v>46234</v>
      </c>
      <c r="L460" s="106">
        <v>46247</v>
      </c>
      <c r="M460" s="107">
        <f t="shared" si="794"/>
        <v>46276</v>
      </c>
      <c r="N460" s="106">
        <f t="shared" si="795"/>
        <v>46276</v>
      </c>
      <c r="O460" s="106">
        <v>46262</v>
      </c>
      <c r="P460" s="107">
        <f t="shared" si="796"/>
        <v>46318</v>
      </c>
      <c r="Q460" s="106">
        <f t="shared" si="797"/>
        <v>46318</v>
      </c>
      <c r="R460" s="107"/>
      <c r="S460" s="106">
        <f t="shared" si="799"/>
        <v>46332</v>
      </c>
      <c r="T460" s="106">
        <f t="shared" si="798"/>
        <v>46332</v>
      </c>
      <c r="U460" s="107"/>
      <c r="W460" s="169" t="str">
        <f t="shared" ca="1" si="804"/>
        <v>Completed</v>
      </c>
      <c r="X460" s="169" t="str">
        <f t="shared" ca="1" si="805"/>
        <v>Completed</v>
      </c>
      <c r="Y460" s="169" t="str">
        <f t="shared" ca="1" si="806"/>
        <v/>
      </c>
      <c r="Z460" s="170" t="str">
        <f t="shared" ca="1" si="807"/>
        <v/>
      </c>
    </row>
    <row r="461" spans="1:26" s="70" customFormat="1" ht="11.5" x14ac:dyDescent="0.25">
      <c r="A461" s="101" t="s">
        <v>64</v>
      </c>
      <c r="B461" s="101" t="s">
        <v>14</v>
      </c>
      <c r="C461" s="101" t="s">
        <v>1010</v>
      </c>
      <c r="D461" s="101" t="s">
        <v>487</v>
      </c>
      <c r="E461" s="104">
        <f t="shared" si="809"/>
        <v>0.7</v>
      </c>
      <c r="F461" s="104">
        <f t="shared" si="810"/>
        <v>0.7</v>
      </c>
      <c r="G461" s="104">
        <f t="shared" si="811"/>
        <v>0.7</v>
      </c>
      <c r="H461" s="104">
        <f t="shared" si="812"/>
        <v>0</v>
      </c>
      <c r="I461" s="105">
        <v>4.7E-2</v>
      </c>
      <c r="J461" s="106">
        <f t="shared" si="808"/>
        <v>46234</v>
      </c>
      <c r="K461" s="106">
        <f t="shared" si="793"/>
        <v>46234</v>
      </c>
      <c r="L461" s="106">
        <v>46247</v>
      </c>
      <c r="M461" s="107">
        <f t="shared" si="794"/>
        <v>46276</v>
      </c>
      <c r="N461" s="106">
        <f t="shared" si="795"/>
        <v>46276</v>
      </c>
      <c r="O461" s="106">
        <v>46262</v>
      </c>
      <c r="P461" s="107">
        <f t="shared" si="796"/>
        <v>46318</v>
      </c>
      <c r="Q461" s="106">
        <f t="shared" si="797"/>
        <v>46318</v>
      </c>
      <c r="R461" s="107"/>
      <c r="S461" s="106">
        <f t="shared" si="799"/>
        <v>46332</v>
      </c>
      <c r="T461" s="106">
        <f t="shared" si="798"/>
        <v>46332</v>
      </c>
      <c r="U461" s="107"/>
      <c r="W461" s="169" t="str">
        <f t="shared" ca="1" si="804"/>
        <v>Completed</v>
      </c>
      <c r="X461" s="169" t="str">
        <f t="shared" ca="1" si="805"/>
        <v>Completed</v>
      </c>
      <c r="Y461" s="169" t="str">
        <f t="shared" ca="1" si="806"/>
        <v/>
      </c>
      <c r="Z461" s="170" t="str">
        <f t="shared" ca="1" si="807"/>
        <v/>
      </c>
    </row>
    <row r="462" spans="1:26" s="70" customFormat="1" ht="11.5" x14ac:dyDescent="0.25">
      <c r="A462" s="101" t="s">
        <v>64</v>
      </c>
      <c r="B462" s="101" t="s">
        <v>14</v>
      </c>
      <c r="C462" s="101" t="s">
        <v>488</v>
      </c>
      <c r="D462" s="101" t="s">
        <v>489</v>
      </c>
      <c r="E462" s="104">
        <f t="shared" si="809"/>
        <v>0.7</v>
      </c>
      <c r="F462" s="104">
        <f t="shared" si="810"/>
        <v>0.7</v>
      </c>
      <c r="G462" s="104">
        <f t="shared" si="811"/>
        <v>0</v>
      </c>
      <c r="H462" s="104">
        <f t="shared" si="812"/>
        <v>-0.7</v>
      </c>
      <c r="I462" s="105">
        <v>4.7E-2</v>
      </c>
      <c r="J462" s="106">
        <f t="shared" si="808"/>
        <v>46234</v>
      </c>
      <c r="K462" s="106">
        <f t="shared" si="793"/>
        <v>46234</v>
      </c>
      <c r="L462" s="107"/>
      <c r="M462" s="107">
        <f t="shared" si="794"/>
        <v>46276</v>
      </c>
      <c r="N462" s="106">
        <f t="shared" si="795"/>
        <v>46276</v>
      </c>
      <c r="O462" s="107"/>
      <c r="P462" s="107">
        <f t="shared" si="796"/>
        <v>46318</v>
      </c>
      <c r="Q462" s="106">
        <f t="shared" si="797"/>
        <v>46318</v>
      </c>
      <c r="R462" s="107"/>
      <c r="S462" s="106">
        <f t="shared" si="799"/>
        <v>46332</v>
      </c>
      <c r="T462" s="106">
        <f t="shared" si="798"/>
        <v>46332</v>
      </c>
      <c r="U462" s="107"/>
      <c r="W462" s="169" t="str">
        <f t="shared" ca="1" si="804"/>
        <v>Overdue</v>
      </c>
      <c r="X462" s="169" t="str">
        <f t="shared" ca="1" si="805"/>
        <v>Overdue</v>
      </c>
      <c r="Y462" s="169" t="str">
        <f t="shared" ca="1" si="806"/>
        <v/>
      </c>
      <c r="Z462" s="170" t="str">
        <f t="shared" ca="1" si="807"/>
        <v/>
      </c>
    </row>
    <row r="463" spans="1:26" s="70" customFormat="1" ht="11.5" x14ac:dyDescent="0.25">
      <c r="A463" s="101" t="s">
        <v>64</v>
      </c>
      <c r="B463" s="101" t="s">
        <v>14</v>
      </c>
      <c r="C463" s="101" t="s">
        <v>490</v>
      </c>
      <c r="D463" s="101" t="s">
        <v>491</v>
      </c>
      <c r="E463" s="104">
        <f t="shared" si="758"/>
        <v>0.7</v>
      </c>
      <c r="F463" s="104">
        <f t="shared" si="759"/>
        <v>0.7</v>
      </c>
      <c r="G463" s="104">
        <f t="shared" si="759"/>
        <v>0</v>
      </c>
      <c r="H463" s="104">
        <f t="shared" si="760"/>
        <v>-0.7</v>
      </c>
      <c r="I463" s="105">
        <v>4.7E-2</v>
      </c>
      <c r="J463" s="106">
        <f t="shared" si="808"/>
        <v>46234</v>
      </c>
      <c r="K463" s="107">
        <f t="shared" si="793"/>
        <v>46234</v>
      </c>
      <c r="L463" s="107"/>
      <c r="M463" s="107">
        <f t="shared" si="794"/>
        <v>46276</v>
      </c>
      <c r="N463" s="107">
        <f t="shared" si="795"/>
        <v>46276</v>
      </c>
      <c r="O463" s="107"/>
      <c r="P463" s="107">
        <f t="shared" si="796"/>
        <v>46318</v>
      </c>
      <c r="Q463" s="107">
        <f t="shared" si="797"/>
        <v>46318</v>
      </c>
      <c r="R463" s="107"/>
      <c r="S463" s="106">
        <f t="shared" si="799"/>
        <v>46332</v>
      </c>
      <c r="T463" s="107">
        <f t="shared" si="798"/>
        <v>46332</v>
      </c>
      <c r="U463" s="107"/>
      <c r="W463" s="169" t="str">
        <f t="shared" ca="1" si="804"/>
        <v>Overdue</v>
      </c>
      <c r="X463" s="169" t="str">
        <f t="shared" ca="1" si="805"/>
        <v>Overdue</v>
      </c>
      <c r="Y463" s="169" t="str">
        <f t="shared" ca="1" si="806"/>
        <v/>
      </c>
      <c r="Z463" s="170" t="str">
        <f t="shared" ca="1" si="807"/>
        <v/>
      </c>
    </row>
    <row r="464" spans="1:26" s="70" customFormat="1" ht="11.5" x14ac:dyDescent="0.25">
      <c r="A464" s="101" t="s">
        <v>64</v>
      </c>
      <c r="B464" s="101" t="s">
        <v>14</v>
      </c>
      <c r="C464" s="101" t="s">
        <v>492</v>
      </c>
      <c r="D464" s="101" t="s">
        <v>493</v>
      </c>
      <c r="E464" s="104">
        <f t="shared" si="758"/>
        <v>0.7</v>
      </c>
      <c r="F464" s="104">
        <f t="shared" si="759"/>
        <v>0.7</v>
      </c>
      <c r="G464" s="104">
        <f t="shared" si="759"/>
        <v>0.7</v>
      </c>
      <c r="H464" s="104">
        <f t="shared" si="760"/>
        <v>0</v>
      </c>
      <c r="I464" s="105">
        <v>4.7E-2</v>
      </c>
      <c r="J464" s="106">
        <f t="shared" si="808"/>
        <v>46234</v>
      </c>
      <c r="K464" s="107">
        <f t="shared" si="793"/>
        <v>46234</v>
      </c>
      <c r="L464" s="107">
        <v>46220</v>
      </c>
      <c r="M464" s="107">
        <f t="shared" si="794"/>
        <v>46276</v>
      </c>
      <c r="N464" s="107">
        <f t="shared" si="795"/>
        <v>46276</v>
      </c>
      <c r="O464" s="106">
        <v>46233</v>
      </c>
      <c r="P464" s="107">
        <f t="shared" si="796"/>
        <v>46318</v>
      </c>
      <c r="Q464" s="107">
        <f t="shared" si="797"/>
        <v>46318</v>
      </c>
      <c r="R464" s="107"/>
      <c r="S464" s="106">
        <f t="shared" si="799"/>
        <v>46332</v>
      </c>
      <c r="T464" s="107">
        <f t="shared" si="798"/>
        <v>46332</v>
      </c>
      <c r="U464" s="107"/>
      <c r="W464" s="169" t="str">
        <f t="shared" ca="1" si="804"/>
        <v>Completed</v>
      </c>
      <c r="X464" s="169" t="str">
        <f t="shared" ca="1" si="805"/>
        <v>Completed</v>
      </c>
      <c r="Y464" s="169" t="str">
        <f t="shared" ca="1" si="806"/>
        <v/>
      </c>
      <c r="Z464" s="170" t="str">
        <f t="shared" ca="1" si="807"/>
        <v/>
      </c>
    </row>
    <row r="465" spans="1:26" s="70" customFormat="1" ht="11.5" x14ac:dyDescent="0.25">
      <c r="A465" s="101" t="s">
        <v>64</v>
      </c>
      <c r="B465" s="101" t="s">
        <v>14</v>
      </c>
      <c r="C465" s="101" t="s">
        <v>1011</v>
      </c>
      <c r="D465" s="101" t="s">
        <v>494</v>
      </c>
      <c r="E465" s="104">
        <f t="shared" si="758"/>
        <v>0.7</v>
      </c>
      <c r="F465" s="104">
        <f t="shared" si="759"/>
        <v>0.7</v>
      </c>
      <c r="G465" s="104">
        <f t="shared" si="759"/>
        <v>0.5</v>
      </c>
      <c r="H465" s="104">
        <f t="shared" si="760"/>
        <v>-0.19999999999999996</v>
      </c>
      <c r="I465" s="105">
        <v>4.7E-2</v>
      </c>
      <c r="J465" s="106">
        <f t="shared" si="808"/>
        <v>46234</v>
      </c>
      <c r="K465" s="107">
        <f t="shared" si="793"/>
        <v>46234</v>
      </c>
      <c r="L465" s="107">
        <v>46275</v>
      </c>
      <c r="M465" s="107">
        <f t="shared" si="794"/>
        <v>46276</v>
      </c>
      <c r="N465" s="107">
        <f t="shared" si="795"/>
        <v>46276</v>
      </c>
      <c r="O465" s="107"/>
      <c r="P465" s="107">
        <f t="shared" si="796"/>
        <v>46318</v>
      </c>
      <c r="Q465" s="107">
        <f t="shared" si="797"/>
        <v>46318</v>
      </c>
      <c r="R465" s="107"/>
      <c r="S465" s="106">
        <f t="shared" si="799"/>
        <v>46332</v>
      </c>
      <c r="T465" s="107">
        <f t="shared" si="798"/>
        <v>46332</v>
      </c>
      <c r="U465" s="107"/>
      <c r="W465" s="169" t="str">
        <f t="shared" ca="1" si="804"/>
        <v>Completed</v>
      </c>
      <c r="X465" s="169" t="str">
        <f t="shared" ca="1" si="805"/>
        <v>Overdue</v>
      </c>
      <c r="Y465" s="169" t="str">
        <f t="shared" ca="1" si="806"/>
        <v/>
      </c>
      <c r="Z465" s="170" t="str">
        <f t="shared" ca="1" si="807"/>
        <v/>
      </c>
    </row>
    <row r="466" spans="1:26" s="70" customFormat="1" ht="11.5" x14ac:dyDescent="0.25">
      <c r="A466" s="101" t="s">
        <v>64</v>
      </c>
      <c r="B466" s="101" t="s">
        <v>14</v>
      </c>
      <c r="C466" s="101" t="s">
        <v>495</v>
      </c>
      <c r="D466" s="101" t="s">
        <v>496</v>
      </c>
      <c r="E466" s="104">
        <f t="shared" si="758"/>
        <v>0.7</v>
      </c>
      <c r="F466" s="104">
        <f t="shared" si="759"/>
        <v>0.7</v>
      </c>
      <c r="G466" s="104">
        <f t="shared" si="759"/>
        <v>0</v>
      </c>
      <c r="H466" s="104">
        <f t="shared" si="760"/>
        <v>-0.7</v>
      </c>
      <c r="I466" s="105">
        <v>4.7E-2</v>
      </c>
      <c r="J466" s="106">
        <f t="shared" si="808"/>
        <v>46234</v>
      </c>
      <c r="K466" s="107">
        <f t="shared" si="793"/>
        <v>46234</v>
      </c>
      <c r="L466" s="107"/>
      <c r="M466" s="107">
        <f t="shared" si="794"/>
        <v>46276</v>
      </c>
      <c r="N466" s="107">
        <f t="shared" si="795"/>
        <v>46276</v>
      </c>
      <c r="O466" s="107"/>
      <c r="P466" s="107">
        <f t="shared" si="796"/>
        <v>46318</v>
      </c>
      <c r="Q466" s="107">
        <f t="shared" si="797"/>
        <v>46318</v>
      </c>
      <c r="R466" s="107"/>
      <c r="S466" s="106">
        <f t="shared" si="799"/>
        <v>46332</v>
      </c>
      <c r="T466" s="107">
        <f t="shared" si="798"/>
        <v>46332</v>
      </c>
      <c r="U466" s="107"/>
      <c r="W466" s="169" t="str">
        <f t="shared" ca="1" si="804"/>
        <v>Overdue</v>
      </c>
      <c r="X466" s="169" t="str">
        <f t="shared" ca="1" si="805"/>
        <v>Overdue</v>
      </c>
      <c r="Y466" s="169" t="str">
        <f t="shared" ca="1" si="806"/>
        <v/>
      </c>
      <c r="Z466" s="170" t="str">
        <f t="shared" ca="1" si="807"/>
        <v/>
      </c>
    </row>
    <row r="467" spans="1:26" s="70" customFormat="1" ht="11.5" x14ac:dyDescent="0.25">
      <c r="A467" s="101" t="s">
        <v>64</v>
      </c>
      <c r="B467" s="101" t="s">
        <v>14</v>
      </c>
      <c r="C467" s="101" t="s">
        <v>497</v>
      </c>
      <c r="D467" s="101" t="s">
        <v>498</v>
      </c>
      <c r="E467" s="104">
        <f t="shared" si="758"/>
        <v>0.7</v>
      </c>
      <c r="F467" s="104">
        <f t="shared" si="759"/>
        <v>0.7</v>
      </c>
      <c r="G467" s="104">
        <f t="shared" si="759"/>
        <v>0</v>
      </c>
      <c r="H467" s="104">
        <f t="shared" si="760"/>
        <v>-0.7</v>
      </c>
      <c r="I467" s="105">
        <v>4.7E-2</v>
      </c>
      <c r="J467" s="106">
        <f t="shared" si="808"/>
        <v>46234</v>
      </c>
      <c r="K467" s="106">
        <f t="shared" si="793"/>
        <v>46234</v>
      </c>
      <c r="L467" s="107"/>
      <c r="M467" s="107">
        <f t="shared" si="794"/>
        <v>46276</v>
      </c>
      <c r="N467" s="106">
        <f t="shared" si="795"/>
        <v>46276</v>
      </c>
      <c r="O467" s="107"/>
      <c r="P467" s="107">
        <f t="shared" si="796"/>
        <v>46318</v>
      </c>
      <c r="Q467" s="106">
        <f t="shared" si="797"/>
        <v>46318</v>
      </c>
      <c r="R467" s="107"/>
      <c r="S467" s="106">
        <f t="shared" si="799"/>
        <v>46332</v>
      </c>
      <c r="T467" s="106">
        <f t="shared" si="798"/>
        <v>46332</v>
      </c>
      <c r="U467" s="107"/>
      <c r="W467" s="169" t="str">
        <f t="shared" ca="1" si="804"/>
        <v>Overdue</v>
      </c>
      <c r="X467" s="169" t="str">
        <f t="shared" ca="1" si="805"/>
        <v>Overdue</v>
      </c>
      <c r="Y467" s="169" t="str">
        <f t="shared" ca="1" si="806"/>
        <v/>
      </c>
      <c r="Z467" s="170" t="str">
        <f t="shared" ca="1" si="807"/>
        <v/>
      </c>
    </row>
    <row r="468" spans="1:26" s="70" customFormat="1" ht="11.5" x14ac:dyDescent="0.25">
      <c r="A468" s="101" t="s">
        <v>64</v>
      </c>
      <c r="B468" s="101" t="s">
        <v>14</v>
      </c>
      <c r="C468" s="101" t="s">
        <v>42</v>
      </c>
      <c r="D468" s="101" t="s">
        <v>499</v>
      </c>
      <c r="E468" s="104">
        <f t="shared" si="758"/>
        <v>0</v>
      </c>
      <c r="F468" s="104">
        <f t="shared" si="759"/>
        <v>0</v>
      </c>
      <c r="G468" s="104">
        <f t="shared" si="759"/>
        <v>0</v>
      </c>
      <c r="H468" s="104">
        <f t="shared" si="760"/>
        <v>0</v>
      </c>
      <c r="I468" s="109">
        <v>1.5</v>
      </c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W468" s="169" t="str">
        <f t="shared" ca="1" si="804"/>
        <v/>
      </c>
      <c r="X468" s="169" t="str">
        <f t="shared" ca="1" si="805"/>
        <v/>
      </c>
      <c r="Y468" s="169" t="str">
        <f t="shared" ca="1" si="806"/>
        <v/>
      </c>
      <c r="Z468" s="170" t="str">
        <f t="shared" ca="1" si="807"/>
        <v/>
      </c>
    </row>
    <row r="469" spans="1:26" s="70" customFormat="1" ht="11.5" x14ac:dyDescent="0.25">
      <c r="A469" s="73"/>
      <c r="B469" s="73"/>
      <c r="C469" s="73"/>
      <c r="D469" s="73"/>
      <c r="E469" s="74"/>
      <c r="F469" s="74"/>
      <c r="G469" s="74"/>
      <c r="H469" s="74"/>
      <c r="I469" s="75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W469" s="169" t="str">
        <f t="shared" ca="1" si="804"/>
        <v/>
      </c>
      <c r="X469" s="169" t="str">
        <f t="shared" ca="1" si="805"/>
        <v/>
      </c>
      <c r="Y469" s="169" t="str">
        <f t="shared" ca="1" si="806"/>
        <v/>
      </c>
      <c r="Z469" s="170" t="str">
        <f t="shared" ca="1" si="807"/>
        <v/>
      </c>
    </row>
    <row r="470" spans="1:26" s="70" customFormat="1" ht="11.5" x14ac:dyDescent="0.25">
      <c r="A470" s="111" t="s">
        <v>67</v>
      </c>
      <c r="B470" s="111" t="s">
        <v>14</v>
      </c>
      <c r="C470" s="111" t="s">
        <v>838</v>
      </c>
      <c r="D470" s="111" t="s">
        <v>834</v>
      </c>
      <c r="E470" s="112">
        <f t="shared" si="758"/>
        <v>0.7</v>
      </c>
      <c r="F470" s="112">
        <f t="shared" si="759"/>
        <v>0.7</v>
      </c>
      <c r="G470" s="112">
        <f t="shared" si="759"/>
        <v>1</v>
      </c>
      <c r="H470" s="112">
        <f t="shared" si="760"/>
        <v>0.30000000000000004</v>
      </c>
      <c r="I470" s="113">
        <v>8.9999999999999993E-3</v>
      </c>
      <c r="J470" s="114">
        <f t="shared" ref="J470:J501" si="813">J353+28</f>
        <v>46206</v>
      </c>
      <c r="K470" s="114">
        <f t="shared" si="793"/>
        <v>46206</v>
      </c>
      <c r="L470" s="114">
        <v>46175</v>
      </c>
      <c r="M470" s="115">
        <f t="shared" si="794"/>
        <v>46248</v>
      </c>
      <c r="N470" s="114">
        <f t="shared" si="795"/>
        <v>46248</v>
      </c>
      <c r="O470" s="114">
        <v>46191</v>
      </c>
      <c r="P470" s="115">
        <f t="shared" si="796"/>
        <v>46290</v>
      </c>
      <c r="Q470" s="114">
        <f t="shared" si="797"/>
        <v>46290</v>
      </c>
      <c r="R470" s="114">
        <v>46245</v>
      </c>
      <c r="S470" s="114">
        <f t="shared" si="799"/>
        <v>46304</v>
      </c>
      <c r="T470" s="114">
        <f t="shared" si="798"/>
        <v>46304</v>
      </c>
      <c r="U470" s="114">
        <v>46255</v>
      </c>
      <c r="W470" s="169" t="str">
        <f t="shared" ca="1" si="804"/>
        <v>Completed</v>
      </c>
      <c r="X470" s="169" t="str">
        <f t="shared" ca="1" si="805"/>
        <v>Completed</v>
      </c>
      <c r="Y470" s="169" t="str">
        <f t="shared" ca="1" si="806"/>
        <v>Completed</v>
      </c>
      <c r="Z470" s="170" t="str">
        <f t="shared" ca="1" si="807"/>
        <v>Completed</v>
      </c>
    </row>
    <row r="471" spans="1:26" s="70" customFormat="1" ht="11.5" x14ac:dyDescent="0.25">
      <c r="A471" s="111" t="s">
        <v>67</v>
      </c>
      <c r="B471" s="111" t="s">
        <v>14</v>
      </c>
      <c r="C471" s="111" t="s">
        <v>839</v>
      </c>
      <c r="D471" s="111" t="s">
        <v>835</v>
      </c>
      <c r="E471" s="112">
        <f t="shared" si="758"/>
        <v>0.7</v>
      </c>
      <c r="F471" s="112">
        <f t="shared" si="759"/>
        <v>0.7</v>
      </c>
      <c r="G471" s="112">
        <f t="shared" si="759"/>
        <v>1</v>
      </c>
      <c r="H471" s="112">
        <f t="shared" si="760"/>
        <v>0.30000000000000004</v>
      </c>
      <c r="I471" s="113">
        <v>8.9999999999999993E-3</v>
      </c>
      <c r="J471" s="114">
        <f t="shared" si="813"/>
        <v>46206</v>
      </c>
      <c r="K471" s="114">
        <f t="shared" si="793"/>
        <v>46206</v>
      </c>
      <c r="L471" s="114">
        <v>46175</v>
      </c>
      <c r="M471" s="115">
        <f t="shared" si="794"/>
        <v>46248</v>
      </c>
      <c r="N471" s="114">
        <f t="shared" si="795"/>
        <v>46248</v>
      </c>
      <c r="O471" s="114">
        <v>46191</v>
      </c>
      <c r="P471" s="115">
        <f t="shared" si="796"/>
        <v>46290</v>
      </c>
      <c r="Q471" s="114">
        <f t="shared" si="797"/>
        <v>46290</v>
      </c>
      <c r="R471" s="114">
        <v>46245</v>
      </c>
      <c r="S471" s="114">
        <f t="shared" si="799"/>
        <v>46304</v>
      </c>
      <c r="T471" s="114">
        <f t="shared" si="798"/>
        <v>46304</v>
      </c>
      <c r="U471" s="114">
        <v>46255</v>
      </c>
      <c r="W471" s="169" t="str">
        <f t="shared" ca="1" si="804"/>
        <v>Completed</v>
      </c>
      <c r="X471" s="169" t="str">
        <f t="shared" ca="1" si="805"/>
        <v>Completed</v>
      </c>
      <c r="Y471" s="169" t="str">
        <f t="shared" ca="1" si="806"/>
        <v>Completed</v>
      </c>
      <c r="Z471" s="170" t="str">
        <f t="shared" ca="1" si="807"/>
        <v>Completed</v>
      </c>
    </row>
    <row r="472" spans="1:26" s="70" customFormat="1" ht="11.5" x14ac:dyDescent="0.25">
      <c r="A472" s="111" t="s">
        <v>67</v>
      </c>
      <c r="B472" s="111" t="s">
        <v>14</v>
      </c>
      <c r="C472" s="111" t="s">
        <v>840</v>
      </c>
      <c r="D472" s="111" t="s">
        <v>836</v>
      </c>
      <c r="E472" s="112">
        <f t="shared" si="758"/>
        <v>0.7</v>
      </c>
      <c r="F472" s="112">
        <f t="shared" si="759"/>
        <v>0.7</v>
      </c>
      <c r="G472" s="112">
        <f t="shared" si="759"/>
        <v>1</v>
      </c>
      <c r="H472" s="112">
        <f t="shared" si="760"/>
        <v>0.30000000000000004</v>
      </c>
      <c r="I472" s="113">
        <v>4.7E-2</v>
      </c>
      <c r="J472" s="114">
        <f t="shared" si="813"/>
        <v>46206</v>
      </c>
      <c r="K472" s="114">
        <f t="shared" si="793"/>
        <v>46206</v>
      </c>
      <c r="L472" s="114">
        <v>46175</v>
      </c>
      <c r="M472" s="115">
        <f t="shared" si="794"/>
        <v>46248</v>
      </c>
      <c r="N472" s="114">
        <f t="shared" si="795"/>
        <v>46248</v>
      </c>
      <c r="O472" s="114">
        <v>46191</v>
      </c>
      <c r="P472" s="115">
        <f t="shared" si="796"/>
        <v>46290</v>
      </c>
      <c r="Q472" s="114">
        <f t="shared" si="797"/>
        <v>46290</v>
      </c>
      <c r="R472" s="114">
        <v>46245</v>
      </c>
      <c r="S472" s="114">
        <f t="shared" si="799"/>
        <v>46304</v>
      </c>
      <c r="T472" s="114">
        <f t="shared" si="798"/>
        <v>46304</v>
      </c>
      <c r="U472" s="114">
        <v>46255</v>
      </c>
      <c r="W472" s="169" t="str">
        <f t="shared" ca="1" si="804"/>
        <v>Completed</v>
      </c>
      <c r="X472" s="169" t="str">
        <f t="shared" ca="1" si="805"/>
        <v>Completed</v>
      </c>
      <c r="Y472" s="169" t="str">
        <f t="shared" ca="1" si="806"/>
        <v>Completed</v>
      </c>
      <c r="Z472" s="170" t="str">
        <f t="shared" ca="1" si="807"/>
        <v>Completed</v>
      </c>
    </row>
    <row r="473" spans="1:26" s="70" customFormat="1" ht="11.5" x14ac:dyDescent="0.25">
      <c r="A473" s="111" t="s">
        <v>67</v>
      </c>
      <c r="B473" s="111" t="s">
        <v>14</v>
      </c>
      <c r="C473" s="111" t="s">
        <v>841</v>
      </c>
      <c r="D473" s="111" t="s">
        <v>837</v>
      </c>
      <c r="E473" s="112">
        <f t="shared" si="758"/>
        <v>0.7</v>
      </c>
      <c r="F473" s="112">
        <f t="shared" si="759"/>
        <v>0.7</v>
      </c>
      <c r="G473" s="118">
        <f t="shared" si="759"/>
        <v>1</v>
      </c>
      <c r="H473" s="118">
        <f t="shared" si="760"/>
        <v>0.30000000000000004</v>
      </c>
      <c r="I473" s="119">
        <v>4.7E-2</v>
      </c>
      <c r="J473" s="114">
        <f t="shared" si="813"/>
        <v>46206</v>
      </c>
      <c r="K473" s="114">
        <f t="shared" si="793"/>
        <v>46206</v>
      </c>
      <c r="L473" s="114">
        <v>46175</v>
      </c>
      <c r="M473" s="115">
        <f t="shared" si="794"/>
        <v>46248</v>
      </c>
      <c r="N473" s="114">
        <f t="shared" si="795"/>
        <v>46248</v>
      </c>
      <c r="O473" s="114">
        <v>46191</v>
      </c>
      <c r="P473" s="115">
        <f t="shared" si="796"/>
        <v>46290</v>
      </c>
      <c r="Q473" s="114">
        <f t="shared" si="797"/>
        <v>46290</v>
      </c>
      <c r="R473" s="114">
        <v>46245</v>
      </c>
      <c r="S473" s="114">
        <f t="shared" si="799"/>
        <v>46304</v>
      </c>
      <c r="T473" s="114">
        <f t="shared" si="798"/>
        <v>46304</v>
      </c>
      <c r="U473" s="114">
        <v>46255</v>
      </c>
      <c r="W473" s="169" t="str">
        <f t="shared" ca="1" si="804"/>
        <v>Completed</v>
      </c>
      <c r="X473" s="169" t="str">
        <f t="shared" ca="1" si="805"/>
        <v>Completed</v>
      </c>
      <c r="Y473" s="169" t="str">
        <f t="shared" ca="1" si="806"/>
        <v>Completed</v>
      </c>
      <c r="Z473" s="170" t="str">
        <f t="shared" ca="1" si="807"/>
        <v>Completed</v>
      </c>
    </row>
    <row r="474" spans="1:26" s="70" customFormat="1" ht="11.5" x14ac:dyDescent="0.25">
      <c r="A474" s="111" t="s">
        <v>67</v>
      </c>
      <c r="B474" s="111" t="s">
        <v>14</v>
      </c>
      <c r="C474" s="111" t="s">
        <v>500</v>
      </c>
      <c r="D474" s="111" t="s">
        <v>501</v>
      </c>
      <c r="E474" s="112">
        <f t="shared" si="758"/>
        <v>0.7</v>
      </c>
      <c r="F474" s="112">
        <f t="shared" si="759"/>
        <v>0.7</v>
      </c>
      <c r="G474" s="118">
        <f t="shared" si="759"/>
        <v>0</v>
      </c>
      <c r="H474" s="118">
        <f t="shared" si="760"/>
        <v>-0.7</v>
      </c>
      <c r="I474" s="119">
        <v>4.7E-2</v>
      </c>
      <c r="J474" s="114">
        <f t="shared" si="813"/>
        <v>46206</v>
      </c>
      <c r="K474" s="114">
        <f t="shared" si="793"/>
        <v>46206</v>
      </c>
      <c r="L474" s="114"/>
      <c r="M474" s="115">
        <f t="shared" si="794"/>
        <v>46248</v>
      </c>
      <c r="N474" s="114">
        <f t="shared" si="795"/>
        <v>46248</v>
      </c>
      <c r="O474" s="114"/>
      <c r="P474" s="115">
        <f t="shared" si="796"/>
        <v>46290</v>
      </c>
      <c r="Q474" s="114">
        <f t="shared" si="797"/>
        <v>46290</v>
      </c>
      <c r="R474" s="114"/>
      <c r="S474" s="114">
        <f t="shared" si="799"/>
        <v>46304</v>
      </c>
      <c r="T474" s="114">
        <f t="shared" si="798"/>
        <v>46304</v>
      </c>
      <c r="U474" s="114"/>
      <c r="W474" s="169" t="str">
        <f t="shared" ca="1" si="804"/>
        <v>Overdue</v>
      </c>
      <c r="X474" s="169" t="str">
        <f t="shared" ca="1" si="805"/>
        <v>Overdue</v>
      </c>
      <c r="Y474" s="169" t="str">
        <f t="shared" ca="1" si="806"/>
        <v>Follow-Next Week</v>
      </c>
      <c r="Z474" s="170" t="str">
        <f t="shared" ca="1" si="807"/>
        <v/>
      </c>
    </row>
    <row r="475" spans="1:26" s="70" customFormat="1" ht="11.5" x14ac:dyDescent="0.25">
      <c r="A475" s="111" t="s">
        <v>67</v>
      </c>
      <c r="B475" s="111" t="s">
        <v>14</v>
      </c>
      <c r="C475" s="111" t="s">
        <v>502</v>
      </c>
      <c r="D475" s="111" t="s">
        <v>503</v>
      </c>
      <c r="E475" s="112">
        <f t="shared" si="758"/>
        <v>0.7</v>
      </c>
      <c r="F475" s="112">
        <f t="shared" si="759"/>
        <v>0.7</v>
      </c>
      <c r="G475" s="118">
        <f t="shared" si="759"/>
        <v>0</v>
      </c>
      <c r="H475" s="118">
        <f t="shared" si="760"/>
        <v>-0.7</v>
      </c>
      <c r="I475" s="119">
        <v>4.7E-2</v>
      </c>
      <c r="J475" s="114">
        <f t="shared" si="813"/>
        <v>46206</v>
      </c>
      <c r="K475" s="114">
        <f t="shared" si="793"/>
        <v>46206</v>
      </c>
      <c r="L475" s="114"/>
      <c r="M475" s="115">
        <f t="shared" si="794"/>
        <v>46248</v>
      </c>
      <c r="N475" s="114">
        <f t="shared" si="795"/>
        <v>46248</v>
      </c>
      <c r="O475" s="114"/>
      <c r="P475" s="115">
        <f t="shared" si="796"/>
        <v>46290</v>
      </c>
      <c r="Q475" s="114">
        <f t="shared" si="797"/>
        <v>46290</v>
      </c>
      <c r="R475" s="114"/>
      <c r="S475" s="114">
        <f t="shared" si="799"/>
        <v>46304</v>
      </c>
      <c r="T475" s="114">
        <f t="shared" si="798"/>
        <v>46304</v>
      </c>
      <c r="U475" s="114"/>
      <c r="W475" s="169" t="str">
        <f t="shared" ca="1" si="804"/>
        <v>Overdue</v>
      </c>
      <c r="X475" s="169" t="str">
        <f t="shared" ca="1" si="805"/>
        <v>Overdue</v>
      </c>
      <c r="Y475" s="169" t="str">
        <f t="shared" ca="1" si="806"/>
        <v>Follow-Next Week</v>
      </c>
      <c r="Z475" s="170" t="str">
        <f t="shared" ca="1" si="807"/>
        <v/>
      </c>
    </row>
    <row r="476" spans="1:26" s="70" customFormat="1" ht="11.5" x14ac:dyDescent="0.25">
      <c r="A476" s="111" t="s">
        <v>67</v>
      </c>
      <c r="B476" s="111" t="s">
        <v>14</v>
      </c>
      <c r="C476" s="111" t="s">
        <v>504</v>
      </c>
      <c r="D476" s="111" t="s">
        <v>505</v>
      </c>
      <c r="E476" s="112">
        <f t="shared" si="758"/>
        <v>0.7</v>
      </c>
      <c r="F476" s="112">
        <f t="shared" si="759"/>
        <v>0.7</v>
      </c>
      <c r="G476" s="118">
        <f t="shared" si="759"/>
        <v>0.7</v>
      </c>
      <c r="H476" s="118">
        <f t="shared" si="760"/>
        <v>0</v>
      </c>
      <c r="I476" s="119">
        <v>4.7E-2</v>
      </c>
      <c r="J476" s="114">
        <f t="shared" si="813"/>
        <v>46206</v>
      </c>
      <c r="K476" s="114">
        <f t="shared" si="793"/>
        <v>46206</v>
      </c>
      <c r="L476" s="114">
        <v>46130</v>
      </c>
      <c r="M476" s="115">
        <f t="shared" si="794"/>
        <v>46248</v>
      </c>
      <c r="N476" s="114">
        <f t="shared" si="795"/>
        <v>46248</v>
      </c>
      <c r="O476" s="114">
        <v>46225</v>
      </c>
      <c r="P476" s="115">
        <f>M476+38</f>
        <v>46286</v>
      </c>
      <c r="Q476" s="114">
        <f t="shared" si="797"/>
        <v>46286</v>
      </c>
      <c r="R476" s="161"/>
      <c r="S476" s="114">
        <f t="shared" si="799"/>
        <v>46300</v>
      </c>
      <c r="T476" s="114">
        <f t="shared" si="798"/>
        <v>46300</v>
      </c>
      <c r="U476" s="114"/>
      <c r="W476" s="169" t="str">
        <f t="shared" ca="1" si="804"/>
        <v>Completed</v>
      </c>
      <c r="X476" s="169" t="str">
        <f t="shared" ca="1" si="805"/>
        <v>Completed</v>
      </c>
      <c r="Y476" s="169" t="str">
        <f t="shared" ca="1" si="806"/>
        <v>Follow-Next Week</v>
      </c>
      <c r="Z476" s="170" t="str">
        <f t="shared" ca="1" si="807"/>
        <v/>
      </c>
    </row>
    <row r="477" spans="1:26" s="70" customFormat="1" ht="11.5" x14ac:dyDescent="0.25">
      <c r="A477" s="111" t="s">
        <v>67</v>
      </c>
      <c r="B477" s="111" t="s">
        <v>14</v>
      </c>
      <c r="C477" s="111" t="s">
        <v>506</v>
      </c>
      <c r="D477" s="111" t="s">
        <v>507</v>
      </c>
      <c r="E477" s="112">
        <f t="shared" si="758"/>
        <v>0.7</v>
      </c>
      <c r="F477" s="112">
        <f t="shared" si="759"/>
        <v>0.7</v>
      </c>
      <c r="G477" s="118">
        <f t="shared" si="759"/>
        <v>0.7</v>
      </c>
      <c r="H477" s="118">
        <f t="shared" si="760"/>
        <v>0</v>
      </c>
      <c r="I477" s="119">
        <v>4.7E-2</v>
      </c>
      <c r="J477" s="114">
        <f t="shared" si="813"/>
        <v>46206</v>
      </c>
      <c r="K477" s="114">
        <f t="shared" si="793"/>
        <v>46206</v>
      </c>
      <c r="L477" s="114">
        <v>46130</v>
      </c>
      <c r="M477" s="115">
        <f t="shared" si="794"/>
        <v>46248</v>
      </c>
      <c r="N477" s="114">
        <f t="shared" si="795"/>
        <v>46248</v>
      </c>
      <c r="O477" s="114">
        <v>46225</v>
      </c>
      <c r="P477" s="115">
        <f t="shared" ref="P477:P502" si="814">M477+38</f>
        <v>46286</v>
      </c>
      <c r="Q477" s="114">
        <f t="shared" si="797"/>
        <v>46286</v>
      </c>
      <c r="R477" s="161"/>
      <c r="S477" s="114">
        <f t="shared" si="799"/>
        <v>46300</v>
      </c>
      <c r="T477" s="114">
        <f t="shared" si="798"/>
        <v>46300</v>
      </c>
      <c r="U477" s="114"/>
      <c r="W477" s="169" t="str">
        <f t="shared" ca="1" si="804"/>
        <v>Completed</v>
      </c>
      <c r="X477" s="169" t="str">
        <f t="shared" ca="1" si="805"/>
        <v>Completed</v>
      </c>
      <c r="Y477" s="169" t="str">
        <f t="shared" ca="1" si="806"/>
        <v>Follow-Next Week</v>
      </c>
      <c r="Z477" s="170" t="str">
        <f t="shared" ca="1" si="807"/>
        <v/>
      </c>
    </row>
    <row r="478" spans="1:26" s="70" customFormat="1" ht="11.5" x14ac:dyDescent="0.25">
      <c r="A478" s="111" t="s">
        <v>67</v>
      </c>
      <c r="B478" s="111" t="s">
        <v>14</v>
      </c>
      <c r="C478" s="111" t="s">
        <v>508</v>
      </c>
      <c r="D478" s="111" t="s">
        <v>509</v>
      </c>
      <c r="E478" s="112">
        <f t="shared" si="758"/>
        <v>0.7</v>
      </c>
      <c r="F478" s="112">
        <f t="shared" si="759"/>
        <v>0.7</v>
      </c>
      <c r="G478" s="118">
        <f t="shared" si="759"/>
        <v>0.7</v>
      </c>
      <c r="H478" s="118">
        <f t="shared" si="760"/>
        <v>0</v>
      </c>
      <c r="I478" s="119">
        <v>4.7E-2</v>
      </c>
      <c r="J478" s="114">
        <f t="shared" si="813"/>
        <v>46206</v>
      </c>
      <c r="K478" s="114">
        <f t="shared" si="793"/>
        <v>46206</v>
      </c>
      <c r="L478" s="114">
        <v>46130</v>
      </c>
      <c r="M478" s="115">
        <f t="shared" si="794"/>
        <v>46248</v>
      </c>
      <c r="N478" s="114">
        <f t="shared" si="795"/>
        <v>46248</v>
      </c>
      <c r="O478" s="114">
        <v>46225</v>
      </c>
      <c r="P478" s="115">
        <f t="shared" si="814"/>
        <v>46286</v>
      </c>
      <c r="Q478" s="114">
        <f t="shared" si="797"/>
        <v>46286</v>
      </c>
      <c r="R478" s="161"/>
      <c r="S478" s="114">
        <f t="shared" si="799"/>
        <v>46300</v>
      </c>
      <c r="T478" s="114">
        <f t="shared" si="798"/>
        <v>46300</v>
      </c>
      <c r="U478" s="114"/>
      <c r="W478" s="169" t="str">
        <f t="shared" ca="1" si="804"/>
        <v>Completed</v>
      </c>
      <c r="X478" s="169" t="str">
        <f t="shared" ca="1" si="805"/>
        <v>Completed</v>
      </c>
      <c r="Y478" s="169" t="str">
        <f t="shared" ca="1" si="806"/>
        <v>Follow-Next Week</v>
      </c>
      <c r="Z478" s="170" t="str">
        <f t="shared" ca="1" si="807"/>
        <v/>
      </c>
    </row>
    <row r="479" spans="1:26" s="70" customFormat="1" ht="11.5" x14ac:dyDescent="0.25">
      <c r="A479" s="111" t="s">
        <v>67</v>
      </c>
      <c r="B479" s="111" t="s">
        <v>14</v>
      </c>
      <c r="C479" s="111" t="s">
        <v>510</v>
      </c>
      <c r="D479" s="111" t="s">
        <v>511</v>
      </c>
      <c r="E479" s="112">
        <f t="shared" si="758"/>
        <v>0.7</v>
      </c>
      <c r="F479" s="112">
        <f t="shared" si="759"/>
        <v>0.7</v>
      </c>
      <c r="G479" s="118">
        <f t="shared" si="759"/>
        <v>0.7</v>
      </c>
      <c r="H479" s="118">
        <f t="shared" si="760"/>
        <v>0</v>
      </c>
      <c r="I479" s="119">
        <v>4.7E-2</v>
      </c>
      <c r="J479" s="114">
        <f t="shared" si="813"/>
        <v>46206</v>
      </c>
      <c r="K479" s="114">
        <f t="shared" si="793"/>
        <v>46206</v>
      </c>
      <c r="L479" s="114">
        <v>46130</v>
      </c>
      <c r="M479" s="115">
        <f t="shared" si="794"/>
        <v>46248</v>
      </c>
      <c r="N479" s="114">
        <f t="shared" si="795"/>
        <v>46248</v>
      </c>
      <c r="O479" s="114">
        <v>46225</v>
      </c>
      <c r="P479" s="115">
        <f t="shared" si="814"/>
        <v>46286</v>
      </c>
      <c r="Q479" s="114">
        <f t="shared" si="797"/>
        <v>46286</v>
      </c>
      <c r="R479" s="161"/>
      <c r="S479" s="114">
        <f t="shared" si="799"/>
        <v>46300</v>
      </c>
      <c r="T479" s="114">
        <f t="shared" si="798"/>
        <v>46300</v>
      </c>
      <c r="U479" s="114"/>
      <c r="W479" s="169" t="str">
        <f t="shared" ca="1" si="804"/>
        <v>Completed</v>
      </c>
      <c r="X479" s="169" t="str">
        <f t="shared" ca="1" si="805"/>
        <v>Completed</v>
      </c>
      <c r="Y479" s="169" t="str">
        <f t="shared" ca="1" si="806"/>
        <v>Follow-Next Week</v>
      </c>
      <c r="Z479" s="170" t="str">
        <f t="shared" ca="1" si="807"/>
        <v/>
      </c>
    </row>
    <row r="480" spans="1:26" s="70" customFormat="1" ht="11.5" x14ac:dyDescent="0.25">
      <c r="A480" s="111" t="s">
        <v>67</v>
      </c>
      <c r="B480" s="111" t="s">
        <v>14</v>
      </c>
      <c r="C480" s="111" t="s">
        <v>512</v>
      </c>
      <c r="D480" s="111" t="s">
        <v>513</v>
      </c>
      <c r="E480" s="112">
        <f t="shared" si="758"/>
        <v>0.7</v>
      </c>
      <c r="F480" s="112">
        <f t="shared" si="759"/>
        <v>0.7</v>
      </c>
      <c r="G480" s="118">
        <f t="shared" si="759"/>
        <v>0.7</v>
      </c>
      <c r="H480" s="118">
        <f t="shared" si="760"/>
        <v>0</v>
      </c>
      <c r="I480" s="119">
        <v>4.7E-2</v>
      </c>
      <c r="J480" s="114">
        <f t="shared" si="813"/>
        <v>46206</v>
      </c>
      <c r="K480" s="114">
        <f t="shared" si="793"/>
        <v>46206</v>
      </c>
      <c r="L480" s="114">
        <v>46130</v>
      </c>
      <c r="M480" s="115">
        <f t="shared" si="794"/>
        <v>46248</v>
      </c>
      <c r="N480" s="114">
        <f t="shared" si="795"/>
        <v>46248</v>
      </c>
      <c r="O480" s="114">
        <v>46225</v>
      </c>
      <c r="P480" s="115">
        <f t="shared" si="814"/>
        <v>46286</v>
      </c>
      <c r="Q480" s="114">
        <f t="shared" si="797"/>
        <v>46286</v>
      </c>
      <c r="R480" s="161"/>
      <c r="S480" s="114">
        <f t="shared" si="799"/>
        <v>46300</v>
      </c>
      <c r="T480" s="114">
        <f t="shared" si="798"/>
        <v>46300</v>
      </c>
      <c r="U480" s="114"/>
      <c r="W480" s="169" t="str">
        <f t="shared" ca="1" si="804"/>
        <v>Completed</v>
      </c>
      <c r="X480" s="169" t="str">
        <f t="shared" ca="1" si="805"/>
        <v>Completed</v>
      </c>
      <c r="Y480" s="169" t="str">
        <f t="shared" ca="1" si="806"/>
        <v>Follow-Next Week</v>
      </c>
      <c r="Z480" s="170" t="str">
        <f t="shared" ca="1" si="807"/>
        <v/>
      </c>
    </row>
    <row r="481" spans="1:26" s="70" customFormat="1" ht="11.5" x14ac:dyDescent="0.25">
      <c r="A481" s="111" t="s">
        <v>67</v>
      </c>
      <c r="B481" s="111" t="s">
        <v>14</v>
      </c>
      <c r="C481" s="111" t="s">
        <v>514</v>
      </c>
      <c r="D481" s="111" t="s">
        <v>515</v>
      </c>
      <c r="E481" s="112">
        <f t="shared" si="758"/>
        <v>0.7</v>
      </c>
      <c r="F481" s="112">
        <f t="shared" si="759"/>
        <v>0.7</v>
      </c>
      <c r="G481" s="118">
        <f t="shared" si="759"/>
        <v>0.7</v>
      </c>
      <c r="H481" s="118">
        <f t="shared" si="760"/>
        <v>0</v>
      </c>
      <c r="I481" s="119">
        <v>4.7E-2</v>
      </c>
      <c r="J481" s="114">
        <f t="shared" si="813"/>
        <v>46206</v>
      </c>
      <c r="K481" s="114">
        <f t="shared" si="793"/>
        <v>46206</v>
      </c>
      <c r="L481" s="114">
        <v>46130</v>
      </c>
      <c r="M481" s="115">
        <f t="shared" si="794"/>
        <v>46248</v>
      </c>
      <c r="N481" s="114">
        <f t="shared" si="795"/>
        <v>46248</v>
      </c>
      <c r="O481" s="114">
        <v>46225</v>
      </c>
      <c r="P481" s="115">
        <f t="shared" si="814"/>
        <v>46286</v>
      </c>
      <c r="Q481" s="114">
        <f t="shared" si="797"/>
        <v>46286</v>
      </c>
      <c r="R481" s="161"/>
      <c r="S481" s="114">
        <f t="shared" si="799"/>
        <v>46300</v>
      </c>
      <c r="T481" s="114">
        <f t="shared" si="798"/>
        <v>46300</v>
      </c>
      <c r="U481" s="114"/>
      <c r="W481" s="169" t="str">
        <f t="shared" ca="1" si="804"/>
        <v>Completed</v>
      </c>
      <c r="X481" s="169" t="str">
        <f t="shared" ca="1" si="805"/>
        <v>Completed</v>
      </c>
      <c r="Y481" s="169" t="str">
        <f t="shared" ca="1" si="806"/>
        <v>Follow-Next Week</v>
      </c>
      <c r="Z481" s="170" t="str">
        <f t="shared" ca="1" si="807"/>
        <v/>
      </c>
    </row>
    <row r="482" spans="1:26" s="70" customFormat="1" ht="11.5" x14ac:dyDescent="0.25">
      <c r="A482" s="111" t="s">
        <v>67</v>
      </c>
      <c r="B482" s="111" t="s">
        <v>14</v>
      </c>
      <c r="C482" s="111" t="s">
        <v>516</v>
      </c>
      <c r="D482" s="111" t="s">
        <v>517</v>
      </c>
      <c r="E482" s="112">
        <f t="shared" si="758"/>
        <v>0.7</v>
      </c>
      <c r="F482" s="112">
        <f t="shared" si="759"/>
        <v>0.7</v>
      </c>
      <c r="G482" s="118">
        <f t="shared" si="759"/>
        <v>0.7</v>
      </c>
      <c r="H482" s="118">
        <f t="shared" si="760"/>
        <v>0</v>
      </c>
      <c r="I482" s="119">
        <v>4.7E-2</v>
      </c>
      <c r="J482" s="114">
        <f t="shared" si="813"/>
        <v>46206</v>
      </c>
      <c r="K482" s="114">
        <f t="shared" si="793"/>
        <v>46206</v>
      </c>
      <c r="L482" s="114">
        <v>46130</v>
      </c>
      <c r="M482" s="115">
        <f t="shared" si="794"/>
        <v>46248</v>
      </c>
      <c r="N482" s="114">
        <f t="shared" si="795"/>
        <v>46248</v>
      </c>
      <c r="O482" s="114">
        <v>46225</v>
      </c>
      <c r="P482" s="115">
        <f t="shared" si="814"/>
        <v>46286</v>
      </c>
      <c r="Q482" s="114">
        <f t="shared" si="797"/>
        <v>46286</v>
      </c>
      <c r="R482" s="161"/>
      <c r="S482" s="114">
        <f t="shared" si="799"/>
        <v>46300</v>
      </c>
      <c r="T482" s="114">
        <f t="shared" si="798"/>
        <v>46300</v>
      </c>
      <c r="U482" s="114"/>
      <c r="W482" s="169" t="str">
        <f t="shared" ca="1" si="804"/>
        <v>Completed</v>
      </c>
      <c r="X482" s="169" t="str">
        <f t="shared" ca="1" si="805"/>
        <v>Completed</v>
      </c>
      <c r="Y482" s="169" t="str">
        <f t="shared" ca="1" si="806"/>
        <v>Follow-Next Week</v>
      </c>
      <c r="Z482" s="170" t="str">
        <f t="shared" ca="1" si="807"/>
        <v/>
      </c>
    </row>
    <row r="483" spans="1:26" s="70" customFormat="1" ht="11.5" x14ac:dyDescent="0.25">
      <c r="A483" s="111" t="s">
        <v>67</v>
      </c>
      <c r="B483" s="111" t="s">
        <v>14</v>
      </c>
      <c r="C483" s="111" t="s">
        <v>518</v>
      </c>
      <c r="D483" s="111" t="s">
        <v>519</v>
      </c>
      <c r="E483" s="112">
        <f t="shared" ref="E483:E540" si="815">(COUNTIFS(J483,"&lt;="&amp;$C$1)*50%)+(COUNTIFS(M483,"&lt;="&amp;$C$1)*20%)+(COUNTIFS(P483,"&lt;="&amp;$C$1)*10%)+(COUNTIFS(S483,"&lt;="&amp;$C$1)*20%)</f>
        <v>0.7</v>
      </c>
      <c r="F483" s="112">
        <f t="shared" ref="F483:G540" si="816">(COUNTIFS(K483,"&lt;="&amp;$C$1)*50%)+(COUNTIFS(N483,"&lt;="&amp;$C$1)*20%)+(COUNTIFS(Q483,"&lt;="&amp;$C$1)*10%)+(COUNTIFS(T483,"&lt;="&amp;$C$1)*20%)</f>
        <v>0.7</v>
      </c>
      <c r="G483" s="118">
        <f t="shared" si="816"/>
        <v>0.7</v>
      </c>
      <c r="H483" s="118">
        <f t="shared" ref="H483:H540" si="817">G483-E483</f>
        <v>0</v>
      </c>
      <c r="I483" s="119">
        <v>4.7E-2</v>
      </c>
      <c r="J483" s="114">
        <f t="shared" si="813"/>
        <v>46206</v>
      </c>
      <c r="K483" s="114">
        <f t="shared" si="793"/>
        <v>46206</v>
      </c>
      <c r="L483" s="114">
        <v>46130</v>
      </c>
      <c r="M483" s="115">
        <f t="shared" si="794"/>
        <v>46248</v>
      </c>
      <c r="N483" s="114">
        <f t="shared" si="795"/>
        <v>46248</v>
      </c>
      <c r="O483" s="114">
        <v>46225</v>
      </c>
      <c r="P483" s="115">
        <f t="shared" si="814"/>
        <v>46286</v>
      </c>
      <c r="Q483" s="114">
        <f t="shared" si="797"/>
        <v>46286</v>
      </c>
      <c r="R483" s="161"/>
      <c r="S483" s="114">
        <f t="shared" si="799"/>
        <v>46300</v>
      </c>
      <c r="T483" s="114">
        <f t="shared" si="798"/>
        <v>46300</v>
      </c>
      <c r="U483" s="114"/>
      <c r="W483" s="169" t="str">
        <f t="shared" ca="1" si="804"/>
        <v>Completed</v>
      </c>
      <c r="X483" s="169" t="str">
        <f t="shared" ca="1" si="805"/>
        <v>Completed</v>
      </c>
      <c r="Y483" s="169" t="str">
        <f t="shared" ca="1" si="806"/>
        <v>Follow-Next Week</v>
      </c>
      <c r="Z483" s="170" t="str">
        <f t="shared" ca="1" si="807"/>
        <v/>
      </c>
    </row>
    <row r="484" spans="1:26" s="70" customFormat="1" ht="11.5" x14ac:dyDescent="0.25">
      <c r="A484" s="111" t="s">
        <v>67</v>
      </c>
      <c r="B484" s="111" t="s">
        <v>14</v>
      </c>
      <c r="C484" s="111" t="s">
        <v>520</v>
      </c>
      <c r="D484" s="111" t="s">
        <v>521</v>
      </c>
      <c r="E484" s="112">
        <f t="shared" si="815"/>
        <v>0.7</v>
      </c>
      <c r="F484" s="112">
        <f t="shared" si="816"/>
        <v>0.7</v>
      </c>
      <c r="G484" s="118">
        <f t="shared" si="816"/>
        <v>0.7</v>
      </c>
      <c r="H484" s="118">
        <f t="shared" si="817"/>
        <v>0</v>
      </c>
      <c r="I484" s="119">
        <v>4.7E-2</v>
      </c>
      <c r="J484" s="114">
        <f t="shared" si="813"/>
        <v>46206</v>
      </c>
      <c r="K484" s="114">
        <f t="shared" si="793"/>
        <v>46206</v>
      </c>
      <c r="L484" s="114">
        <v>46130</v>
      </c>
      <c r="M484" s="115">
        <f t="shared" si="794"/>
        <v>46248</v>
      </c>
      <c r="N484" s="114">
        <f t="shared" si="795"/>
        <v>46248</v>
      </c>
      <c r="O484" s="114">
        <v>46225</v>
      </c>
      <c r="P484" s="115">
        <f t="shared" si="814"/>
        <v>46286</v>
      </c>
      <c r="Q484" s="114">
        <f t="shared" si="797"/>
        <v>46286</v>
      </c>
      <c r="R484" s="161"/>
      <c r="S484" s="114">
        <f t="shared" si="799"/>
        <v>46300</v>
      </c>
      <c r="T484" s="114">
        <f t="shared" si="798"/>
        <v>46300</v>
      </c>
      <c r="U484" s="114"/>
      <c r="W484" s="169" t="str">
        <f t="shared" ca="1" si="804"/>
        <v>Completed</v>
      </c>
      <c r="X484" s="169" t="str">
        <f t="shared" ca="1" si="805"/>
        <v>Completed</v>
      </c>
      <c r="Y484" s="169" t="str">
        <f t="shared" ca="1" si="806"/>
        <v>Follow-Next Week</v>
      </c>
      <c r="Z484" s="170" t="str">
        <f t="shared" ca="1" si="807"/>
        <v/>
      </c>
    </row>
    <row r="485" spans="1:26" s="70" customFormat="1" ht="11.5" x14ac:dyDescent="0.25">
      <c r="A485" s="111" t="s">
        <v>67</v>
      </c>
      <c r="B485" s="111" t="s">
        <v>14</v>
      </c>
      <c r="C485" s="111" t="s">
        <v>522</v>
      </c>
      <c r="D485" s="111" t="s">
        <v>523</v>
      </c>
      <c r="E485" s="112">
        <f t="shared" si="815"/>
        <v>0.7</v>
      </c>
      <c r="F485" s="112">
        <f t="shared" si="816"/>
        <v>0.7</v>
      </c>
      <c r="G485" s="118">
        <f t="shared" si="816"/>
        <v>0.7</v>
      </c>
      <c r="H485" s="118">
        <f t="shared" si="817"/>
        <v>0</v>
      </c>
      <c r="I485" s="119">
        <v>4.7E-2</v>
      </c>
      <c r="J485" s="114">
        <f t="shared" si="813"/>
        <v>46206</v>
      </c>
      <c r="K485" s="114">
        <f t="shared" si="793"/>
        <v>46206</v>
      </c>
      <c r="L485" s="114">
        <v>46130</v>
      </c>
      <c r="M485" s="115">
        <f t="shared" si="794"/>
        <v>46248</v>
      </c>
      <c r="N485" s="114">
        <f t="shared" si="795"/>
        <v>46248</v>
      </c>
      <c r="O485" s="114">
        <v>46225</v>
      </c>
      <c r="P485" s="115">
        <f t="shared" si="814"/>
        <v>46286</v>
      </c>
      <c r="Q485" s="114">
        <f t="shared" si="797"/>
        <v>46286</v>
      </c>
      <c r="R485" s="161"/>
      <c r="S485" s="114">
        <f t="shared" si="799"/>
        <v>46300</v>
      </c>
      <c r="T485" s="114">
        <f t="shared" si="798"/>
        <v>46300</v>
      </c>
      <c r="U485" s="114"/>
      <c r="W485" s="169" t="str">
        <f t="shared" ca="1" si="804"/>
        <v>Completed</v>
      </c>
      <c r="X485" s="169" t="str">
        <f t="shared" ca="1" si="805"/>
        <v>Completed</v>
      </c>
      <c r="Y485" s="169" t="str">
        <f t="shared" ca="1" si="806"/>
        <v>Follow-Next Week</v>
      </c>
      <c r="Z485" s="170" t="str">
        <f t="shared" ca="1" si="807"/>
        <v/>
      </c>
    </row>
    <row r="486" spans="1:26" s="70" customFormat="1" ht="11.5" x14ac:dyDescent="0.25">
      <c r="A486" s="111" t="s">
        <v>67</v>
      </c>
      <c r="B486" s="111" t="s">
        <v>14</v>
      </c>
      <c r="C486" s="111" t="s">
        <v>524</v>
      </c>
      <c r="D486" s="111" t="s">
        <v>525</v>
      </c>
      <c r="E486" s="112">
        <f t="shared" si="815"/>
        <v>0.7</v>
      </c>
      <c r="F486" s="112">
        <f t="shared" si="816"/>
        <v>0.7</v>
      </c>
      <c r="G486" s="118">
        <f t="shared" si="816"/>
        <v>0.7</v>
      </c>
      <c r="H486" s="118">
        <f t="shared" si="817"/>
        <v>0</v>
      </c>
      <c r="I486" s="119">
        <v>4.7E-2</v>
      </c>
      <c r="J486" s="114">
        <f t="shared" si="813"/>
        <v>46206</v>
      </c>
      <c r="K486" s="114">
        <f t="shared" si="793"/>
        <v>46206</v>
      </c>
      <c r="L486" s="114">
        <v>46130</v>
      </c>
      <c r="M486" s="115">
        <f t="shared" si="794"/>
        <v>46248</v>
      </c>
      <c r="N486" s="114">
        <f t="shared" si="795"/>
        <v>46248</v>
      </c>
      <c r="O486" s="114">
        <v>46225</v>
      </c>
      <c r="P486" s="115">
        <f t="shared" si="814"/>
        <v>46286</v>
      </c>
      <c r="Q486" s="114">
        <f t="shared" si="797"/>
        <v>46286</v>
      </c>
      <c r="R486" s="161"/>
      <c r="S486" s="114">
        <f t="shared" si="799"/>
        <v>46300</v>
      </c>
      <c r="T486" s="114">
        <f t="shared" si="798"/>
        <v>46300</v>
      </c>
      <c r="U486" s="114"/>
      <c r="W486" s="169" t="str">
        <f t="shared" ca="1" si="804"/>
        <v>Completed</v>
      </c>
      <c r="X486" s="169" t="str">
        <f t="shared" ca="1" si="805"/>
        <v>Completed</v>
      </c>
      <c r="Y486" s="169" t="str">
        <f t="shared" ca="1" si="806"/>
        <v>Follow-Next Week</v>
      </c>
      <c r="Z486" s="170" t="str">
        <f t="shared" ca="1" si="807"/>
        <v/>
      </c>
    </row>
    <row r="487" spans="1:26" s="70" customFormat="1" ht="11.5" x14ac:dyDescent="0.25">
      <c r="A487" s="111" t="s">
        <v>67</v>
      </c>
      <c r="B487" s="111" t="s">
        <v>14</v>
      </c>
      <c r="C487" s="111" t="s">
        <v>526</v>
      </c>
      <c r="D487" s="111" t="s">
        <v>527</v>
      </c>
      <c r="E487" s="112">
        <f t="shared" si="815"/>
        <v>0.7</v>
      </c>
      <c r="F487" s="112">
        <f t="shared" si="816"/>
        <v>0.7</v>
      </c>
      <c r="G487" s="118">
        <f t="shared" si="816"/>
        <v>0.7</v>
      </c>
      <c r="H487" s="118">
        <f t="shared" si="817"/>
        <v>0</v>
      </c>
      <c r="I487" s="119">
        <v>4.7E-2</v>
      </c>
      <c r="J487" s="114">
        <f t="shared" si="813"/>
        <v>46206</v>
      </c>
      <c r="K487" s="114">
        <f t="shared" si="793"/>
        <v>46206</v>
      </c>
      <c r="L487" s="114">
        <v>46130</v>
      </c>
      <c r="M487" s="115">
        <f t="shared" si="794"/>
        <v>46248</v>
      </c>
      <c r="N487" s="114">
        <f t="shared" si="795"/>
        <v>46248</v>
      </c>
      <c r="O487" s="114">
        <v>46225</v>
      </c>
      <c r="P487" s="115">
        <f t="shared" si="814"/>
        <v>46286</v>
      </c>
      <c r="Q487" s="114">
        <f t="shared" si="797"/>
        <v>46286</v>
      </c>
      <c r="R487" s="161"/>
      <c r="S487" s="114">
        <f t="shared" si="799"/>
        <v>46300</v>
      </c>
      <c r="T487" s="114">
        <f t="shared" si="798"/>
        <v>46300</v>
      </c>
      <c r="U487" s="114"/>
      <c r="W487" s="169" t="str">
        <f t="shared" ca="1" si="804"/>
        <v>Completed</v>
      </c>
      <c r="X487" s="169" t="str">
        <f t="shared" ca="1" si="805"/>
        <v>Completed</v>
      </c>
      <c r="Y487" s="169" t="str">
        <f t="shared" ca="1" si="806"/>
        <v>Follow-Next Week</v>
      </c>
      <c r="Z487" s="170" t="str">
        <f t="shared" ca="1" si="807"/>
        <v/>
      </c>
    </row>
    <row r="488" spans="1:26" s="70" customFormat="1" ht="11.5" x14ac:dyDescent="0.25">
      <c r="A488" s="111" t="s">
        <v>67</v>
      </c>
      <c r="B488" s="111" t="s">
        <v>14</v>
      </c>
      <c r="C488" s="111" t="s">
        <v>528</v>
      </c>
      <c r="D488" s="111" t="s">
        <v>529</v>
      </c>
      <c r="E488" s="112">
        <f t="shared" si="815"/>
        <v>0.7</v>
      </c>
      <c r="F488" s="112">
        <f t="shared" si="816"/>
        <v>0.7</v>
      </c>
      <c r="G488" s="118">
        <f t="shared" si="816"/>
        <v>0.7</v>
      </c>
      <c r="H488" s="118">
        <f t="shared" si="817"/>
        <v>0</v>
      </c>
      <c r="I488" s="119">
        <v>4.7E-2</v>
      </c>
      <c r="J488" s="114">
        <f t="shared" si="813"/>
        <v>46206</v>
      </c>
      <c r="K488" s="114">
        <f t="shared" si="793"/>
        <v>46206</v>
      </c>
      <c r="L488" s="114">
        <v>46130</v>
      </c>
      <c r="M488" s="115">
        <f t="shared" si="794"/>
        <v>46248</v>
      </c>
      <c r="N488" s="114">
        <f t="shared" si="795"/>
        <v>46248</v>
      </c>
      <c r="O488" s="114">
        <v>46225</v>
      </c>
      <c r="P488" s="115">
        <f t="shared" si="814"/>
        <v>46286</v>
      </c>
      <c r="Q488" s="114">
        <f t="shared" si="797"/>
        <v>46286</v>
      </c>
      <c r="R488" s="161"/>
      <c r="S488" s="114">
        <f t="shared" si="799"/>
        <v>46300</v>
      </c>
      <c r="T488" s="114">
        <f t="shared" si="798"/>
        <v>46300</v>
      </c>
      <c r="U488" s="114"/>
      <c r="W488" s="169" t="str">
        <f t="shared" ca="1" si="804"/>
        <v>Completed</v>
      </c>
      <c r="X488" s="169" t="str">
        <f t="shared" ca="1" si="805"/>
        <v>Completed</v>
      </c>
      <c r="Y488" s="169" t="str">
        <f t="shared" ca="1" si="806"/>
        <v>Follow-Next Week</v>
      </c>
      <c r="Z488" s="170" t="str">
        <f t="shared" ca="1" si="807"/>
        <v/>
      </c>
    </row>
    <row r="489" spans="1:26" s="70" customFormat="1" ht="11.5" x14ac:dyDescent="0.25">
      <c r="A489" s="111" t="s">
        <v>67</v>
      </c>
      <c r="B489" s="111" t="s">
        <v>14</v>
      </c>
      <c r="C489" s="111" t="s">
        <v>530</v>
      </c>
      <c r="D489" s="111" t="s">
        <v>531</v>
      </c>
      <c r="E489" s="112">
        <f t="shared" si="815"/>
        <v>0.7</v>
      </c>
      <c r="F489" s="112">
        <f t="shared" si="816"/>
        <v>0.7</v>
      </c>
      <c r="G489" s="118">
        <f t="shared" si="816"/>
        <v>0.7</v>
      </c>
      <c r="H489" s="118">
        <f t="shared" si="817"/>
        <v>0</v>
      </c>
      <c r="I489" s="119">
        <v>4.7E-2</v>
      </c>
      <c r="J489" s="114">
        <f t="shared" si="813"/>
        <v>46206</v>
      </c>
      <c r="K489" s="114">
        <f t="shared" si="793"/>
        <v>46206</v>
      </c>
      <c r="L489" s="114">
        <v>46130</v>
      </c>
      <c r="M489" s="115">
        <f t="shared" si="794"/>
        <v>46248</v>
      </c>
      <c r="N489" s="114">
        <f t="shared" si="795"/>
        <v>46248</v>
      </c>
      <c r="O489" s="114">
        <v>46225</v>
      </c>
      <c r="P489" s="115">
        <f t="shared" si="814"/>
        <v>46286</v>
      </c>
      <c r="Q489" s="114">
        <f t="shared" si="797"/>
        <v>46286</v>
      </c>
      <c r="R489" s="161"/>
      <c r="S489" s="114">
        <f t="shared" si="799"/>
        <v>46300</v>
      </c>
      <c r="T489" s="114">
        <f t="shared" si="798"/>
        <v>46300</v>
      </c>
      <c r="U489" s="114"/>
      <c r="W489" s="169" t="str">
        <f t="shared" ca="1" si="804"/>
        <v>Completed</v>
      </c>
      <c r="X489" s="169" t="str">
        <f t="shared" ca="1" si="805"/>
        <v>Completed</v>
      </c>
      <c r="Y489" s="169" t="str">
        <f t="shared" ca="1" si="806"/>
        <v>Follow-Next Week</v>
      </c>
      <c r="Z489" s="170" t="str">
        <f t="shared" ca="1" si="807"/>
        <v/>
      </c>
    </row>
    <row r="490" spans="1:26" s="70" customFormat="1" ht="11.5" x14ac:dyDescent="0.25">
      <c r="A490" s="111" t="s">
        <v>67</v>
      </c>
      <c r="B490" s="111" t="s">
        <v>14</v>
      </c>
      <c r="C490" s="111" t="s">
        <v>532</v>
      </c>
      <c r="D490" s="111" t="s">
        <v>533</v>
      </c>
      <c r="E490" s="112">
        <f t="shared" si="815"/>
        <v>0.7</v>
      </c>
      <c r="F490" s="112">
        <f t="shared" si="816"/>
        <v>0.7</v>
      </c>
      <c r="G490" s="118">
        <f t="shared" si="816"/>
        <v>0.7</v>
      </c>
      <c r="H490" s="118">
        <f t="shared" si="817"/>
        <v>0</v>
      </c>
      <c r="I490" s="119">
        <v>4.7E-2</v>
      </c>
      <c r="J490" s="114">
        <f t="shared" si="813"/>
        <v>46206</v>
      </c>
      <c r="K490" s="114">
        <f t="shared" si="793"/>
        <v>46206</v>
      </c>
      <c r="L490" s="114">
        <v>46130</v>
      </c>
      <c r="M490" s="115">
        <f t="shared" si="794"/>
        <v>46248</v>
      </c>
      <c r="N490" s="114">
        <f t="shared" si="795"/>
        <v>46248</v>
      </c>
      <c r="O490" s="114">
        <v>46225</v>
      </c>
      <c r="P490" s="115">
        <f t="shared" si="814"/>
        <v>46286</v>
      </c>
      <c r="Q490" s="114">
        <f t="shared" si="797"/>
        <v>46286</v>
      </c>
      <c r="R490" s="161"/>
      <c r="S490" s="114">
        <f t="shared" si="799"/>
        <v>46300</v>
      </c>
      <c r="T490" s="114">
        <f t="shared" si="798"/>
        <v>46300</v>
      </c>
      <c r="U490" s="114"/>
      <c r="W490" s="169" t="str">
        <f t="shared" ca="1" si="804"/>
        <v>Completed</v>
      </c>
      <c r="X490" s="169" t="str">
        <f t="shared" ca="1" si="805"/>
        <v>Completed</v>
      </c>
      <c r="Y490" s="169" t="str">
        <f t="shared" ca="1" si="806"/>
        <v>Follow-Next Week</v>
      </c>
      <c r="Z490" s="170" t="str">
        <f t="shared" ca="1" si="807"/>
        <v/>
      </c>
    </row>
    <row r="491" spans="1:26" s="70" customFormat="1" ht="11.5" x14ac:dyDescent="0.25">
      <c r="A491" s="111" t="s">
        <v>67</v>
      </c>
      <c r="B491" s="111" t="s">
        <v>14</v>
      </c>
      <c r="C491" s="111" t="s">
        <v>534</v>
      </c>
      <c r="D491" s="111" t="s">
        <v>535</v>
      </c>
      <c r="E491" s="112">
        <f t="shared" si="815"/>
        <v>0.7</v>
      </c>
      <c r="F491" s="112">
        <f t="shared" si="816"/>
        <v>0.7</v>
      </c>
      <c r="G491" s="118">
        <f t="shared" si="816"/>
        <v>0.7</v>
      </c>
      <c r="H491" s="118">
        <f t="shared" si="817"/>
        <v>0</v>
      </c>
      <c r="I491" s="119">
        <v>4.7E-2</v>
      </c>
      <c r="J491" s="114">
        <f t="shared" si="813"/>
        <v>46206</v>
      </c>
      <c r="K491" s="114">
        <f t="shared" si="793"/>
        <v>46206</v>
      </c>
      <c r="L491" s="114">
        <v>46130</v>
      </c>
      <c r="M491" s="115">
        <f t="shared" si="794"/>
        <v>46248</v>
      </c>
      <c r="N491" s="114">
        <f t="shared" si="795"/>
        <v>46248</v>
      </c>
      <c r="O491" s="114">
        <v>46225</v>
      </c>
      <c r="P491" s="115">
        <f t="shared" si="814"/>
        <v>46286</v>
      </c>
      <c r="Q491" s="114">
        <f t="shared" si="797"/>
        <v>46286</v>
      </c>
      <c r="R491" s="161"/>
      <c r="S491" s="114">
        <f t="shared" si="799"/>
        <v>46300</v>
      </c>
      <c r="T491" s="114">
        <f t="shared" si="798"/>
        <v>46300</v>
      </c>
      <c r="U491" s="114"/>
      <c r="W491" s="169" t="str">
        <f t="shared" ca="1" si="804"/>
        <v>Completed</v>
      </c>
      <c r="X491" s="169" t="str">
        <f t="shared" ca="1" si="805"/>
        <v>Completed</v>
      </c>
      <c r="Y491" s="169" t="str">
        <f t="shared" ca="1" si="806"/>
        <v>Follow-Next Week</v>
      </c>
      <c r="Z491" s="170" t="str">
        <f t="shared" ca="1" si="807"/>
        <v/>
      </c>
    </row>
    <row r="492" spans="1:26" s="70" customFormat="1" ht="11.5" x14ac:dyDescent="0.25">
      <c r="A492" s="111" t="s">
        <v>67</v>
      </c>
      <c r="B492" s="111" t="s">
        <v>14</v>
      </c>
      <c r="C492" s="111" t="s">
        <v>536</v>
      </c>
      <c r="D492" s="111" t="s">
        <v>537</v>
      </c>
      <c r="E492" s="112">
        <f t="shared" si="815"/>
        <v>0.7</v>
      </c>
      <c r="F492" s="112">
        <f t="shared" si="816"/>
        <v>0.7</v>
      </c>
      <c r="G492" s="118">
        <f t="shared" si="816"/>
        <v>0.7</v>
      </c>
      <c r="H492" s="118">
        <f t="shared" si="817"/>
        <v>0</v>
      </c>
      <c r="I492" s="119">
        <v>4.7E-2</v>
      </c>
      <c r="J492" s="114">
        <f t="shared" si="813"/>
        <v>46206</v>
      </c>
      <c r="K492" s="114">
        <f t="shared" si="793"/>
        <v>46206</v>
      </c>
      <c r="L492" s="114">
        <v>46130</v>
      </c>
      <c r="M492" s="115">
        <f t="shared" si="794"/>
        <v>46248</v>
      </c>
      <c r="N492" s="114">
        <f t="shared" si="795"/>
        <v>46248</v>
      </c>
      <c r="O492" s="114">
        <v>46225</v>
      </c>
      <c r="P492" s="115">
        <f t="shared" si="814"/>
        <v>46286</v>
      </c>
      <c r="Q492" s="114">
        <f t="shared" si="797"/>
        <v>46286</v>
      </c>
      <c r="R492" s="161"/>
      <c r="S492" s="114">
        <f t="shared" si="799"/>
        <v>46300</v>
      </c>
      <c r="T492" s="114">
        <f t="shared" si="798"/>
        <v>46300</v>
      </c>
      <c r="U492" s="114"/>
      <c r="W492" s="169" t="str">
        <f t="shared" ca="1" si="804"/>
        <v>Completed</v>
      </c>
      <c r="X492" s="169" t="str">
        <f t="shared" ca="1" si="805"/>
        <v>Completed</v>
      </c>
      <c r="Y492" s="169" t="str">
        <f t="shared" ca="1" si="806"/>
        <v>Follow-Next Week</v>
      </c>
      <c r="Z492" s="170" t="str">
        <f t="shared" ca="1" si="807"/>
        <v/>
      </c>
    </row>
    <row r="493" spans="1:26" s="70" customFormat="1" ht="11.5" x14ac:dyDescent="0.25">
      <c r="A493" s="111" t="s">
        <v>67</v>
      </c>
      <c r="B493" s="111" t="s">
        <v>14</v>
      </c>
      <c r="C493" s="111" t="s">
        <v>538</v>
      </c>
      <c r="D493" s="111" t="s">
        <v>539</v>
      </c>
      <c r="E493" s="112">
        <f t="shared" si="815"/>
        <v>0.7</v>
      </c>
      <c r="F493" s="112">
        <f t="shared" si="816"/>
        <v>0.7</v>
      </c>
      <c r="G493" s="118">
        <f t="shared" si="816"/>
        <v>0.7</v>
      </c>
      <c r="H493" s="118">
        <f t="shared" si="817"/>
        <v>0</v>
      </c>
      <c r="I493" s="119">
        <v>4.7E-2</v>
      </c>
      <c r="J493" s="114">
        <f t="shared" si="813"/>
        <v>46206</v>
      </c>
      <c r="K493" s="114">
        <f t="shared" si="793"/>
        <v>46206</v>
      </c>
      <c r="L493" s="114">
        <v>46130</v>
      </c>
      <c r="M493" s="115">
        <f t="shared" si="794"/>
        <v>46248</v>
      </c>
      <c r="N493" s="114">
        <f t="shared" si="795"/>
        <v>46248</v>
      </c>
      <c r="O493" s="114">
        <v>46225</v>
      </c>
      <c r="P493" s="115">
        <f t="shared" si="814"/>
        <v>46286</v>
      </c>
      <c r="Q493" s="114">
        <f t="shared" si="797"/>
        <v>46286</v>
      </c>
      <c r="R493" s="161"/>
      <c r="S493" s="114">
        <f t="shared" si="799"/>
        <v>46300</v>
      </c>
      <c r="T493" s="114">
        <f t="shared" si="798"/>
        <v>46300</v>
      </c>
      <c r="U493" s="114"/>
      <c r="W493" s="169" t="str">
        <f t="shared" ca="1" si="804"/>
        <v>Completed</v>
      </c>
      <c r="X493" s="169" t="str">
        <f t="shared" ca="1" si="805"/>
        <v>Completed</v>
      </c>
      <c r="Y493" s="169" t="str">
        <f t="shared" ca="1" si="806"/>
        <v>Follow-Next Week</v>
      </c>
      <c r="Z493" s="170" t="str">
        <f t="shared" ca="1" si="807"/>
        <v/>
      </c>
    </row>
    <row r="494" spans="1:26" s="70" customFormat="1" ht="11.5" x14ac:dyDescent="0.25">
      <c r="A494" s="111" t="s">
        <v>67</v>
      </c>
      <c r="B494" s="111" t="s">
        <v>14</v>
      </c>
      <c r="C494" s="111" t="s">
        <v>540</v>
      </c>
      <c r="D494" s="149" t="s">
        <v>917</v>
      </c>
      <c r="E494" s="112">
        <f t="shared" si="815"/>
        <v>0.7</v>
      </c>
      <c r="F494" s="112">
        <f t="shared" si="816"/>
        <v>0.7</v>
      </c>
      <c r="G494" s="118">
        <f t="shared" si="816"/>
        <v>0.7</v>
      </c>
      <c r="H494" s="118">
        <f t="shared" si="817"/>
        <v>0</v>
      </c>
      <c r="I494" s="119">
        <v>4.7E-2</v>
      </c>
      <c r="J494" s="114">
        <f t="shared" si="813"/>
        <v>46206</v>
      </c>
      <c r="K494" s="114">
        <f t="shared" si="793"/>
        <v>46206</v>
      </c>
      <c r="L494" s="114">
        <v>46130</v>
      </c>
      <c r="M494" s="115">
        <f t="shared" si="794"/>
        <v>46248</v>
      </c>
      <c r="N494" s="114">
        <f t="shared" si="795"/>
        <v>46248</v>
      </c>
      <c r="O494" s="114">
        <v>46225</v>
      </c>
      <c r="P494" s="115">
        <f t="shared" si="814"/>
        <v>46286</v>
      </c>
      <c r="Q494" s="114">
        <f t="shared" si="797"/>
        <v>46286</v>
      </c>
      <c r="R494" s="161"/>
      <c r="S494" s="114">
        <f t="shared" si="799"/>
        <v>46300</v>
      </c>
      <c r="T494" s="114">
        <f t="shared" si="798"/>
        <v>46300</v>
      </c>
      <c r="U494" s="114"/>
      <c r="W494" s="169" t="str">
        <f t="shared" ca="1" si="804"/>
        <v>Completed</v>
      </c>
      <c r="X494" s="169" t="str">
        <f t="shared" ca="1" si="805"/>
        <v>Completed</v>
      </c>
      <c r="Y494" s="169" t="str">
        <f t="shared" ca="1" si="806"/>
        <v>Follow-Next Week</v>
      </c>
      <c r="Z494" s="170" t="str">
        <f t="shared" ca="1" si="807"/>
        <v/>
      </c>
    </row>
    <row r="495" spans="1:26" s="70" customFormat="1" ht="11.5" x14ac:dyDescent="0.25">
      <c r="A495" s="111" t="s">
        <v>67</v>
      </c>
      <c r="B495" s="111" t="s">
        <v>14</v>
      </c>
      <c r="C495" s="111" t="s">
        <v>541</v>
      </c>
      <c r="D495" s="111" t="s">
        <v>542</v>
      </c>
      <c r="E495" s="112">
        <f t="shared" si="815"/>
        <v>0.7</v>
      </c>
      <c r="F495" s="112">
        <f t="shared" si="816"/>
        <v>0.7</v>
      </c>
      <c r="G495" s="118">
        <f t="shared" si="816"/>
        <v>0.7</v>
      </c>
      <c r="H495" s="118">
        <f t="shared" si="817"/>
        <v>0</v>
      </c>
      <c r="I495" s="119">
        <v>4.7E-2</v>
      </c>
      <c r="J495" s="114">
        <f t="shared" si="813"/>
        <v>46206</v>
      </c>
      <c r="K495" s="114">
        <f t="shared" si="793"/>
        <v>46206</v>
      </c>
      <c r="L495" s="114">
        <v>46130</v>
      </c>
      <c r="M495" s="115">
        <f t="shared" si="794"/>
        <v>46248</v>
      </c>
      <c r="N495" s="114">
        <f t="shared" si="795"/>
        <v>46248</v>
      </c>
      <c r="O495" s="114">
        <v>46225</v>
      </c>
      <c r="P495" s="115">
        <f t="shared" si="814"/>
        <v>46286</v>
      </c>
      <c r="Q495" s="114">
        <f t="shared" si="797"/>
        <v>46286</v>
      </c>
      <c r="R495" s="161"/>
      <c r="S495" s="114">
        <f t="shared" si="799"/>
        <v>46300</v>
      </c>
      <c r="T495" s="114">
        <f t="shared" si="798"/>
        <v>46300</v>
      </c>
      <c r="U495" s="115"/>
      <c r="W495" s="169" t="str">
        <f t="shared" ca="1" si="804"/>
        <v>Completed</v>
      </c>
      <c r="X495" s="169" t="str">
        <f t="shared" ca="1" si="805"/>
        <v>Completed</v>
      </c>
      <c r="Y495" s="169" t="str">
        <f t="shared" ca="1" si="806"/>
        <v>Follow-Next Week</v>
      </c>
      <c r="Z495" s="170" t="str">
        <f t="shared" ca="1" si="807"/>
        <v/>
      </c>
    </row>
    <row r="496" spans="1:26" s="70" customFormat="1" ht="11.5" x14ac:dyDescent="0.25">
      <c r="A496" s="111" t="s">
        <v>67</v>
      </c>
      <c r="B496" s="111" t="s">
        <v>14</v>
      </c>
      <c r="C496" s="111" t="s">
        <v>543</v>
      </c>
      <c r="D496" s="111" t="s">
        <v>544</v>
      </c>
      <c r="E496" s="112">
        <f t="shared" si="815"/>
        <v>0.7</v>
      </c>
      <c r="F496" s="112">
        <f t="shared" si="816"/>
        <v>0.7</v>
      </c>
      <c r="G496" s="118">
        <f t="shared" si="816"/>
        <v>0.7</v>
      </c>
      <c r="H496" s="118">
        <f t="shared" si="817"/>
        <v>0</v>
      </c>
      <c r="I496" s="119">
        <v>4.7E-2</v>
      </c>
      <c r="J496" s="114">
        <f t="shared" si="813"/>
        <v>46206</v>
      </c>
      <c r="K496" s="114">
        <f t="shared" si="793"/>
        <v>46206</v>
      </c>
      <c r="L496" s="114">
        <v>46150</v>
      </c>
      <c r="M496" s="115">
        <f t="shared" si="794"/>
        <v>46248</v>
      </c>
      <c r="N496" s="114">
        <f t="shared" si="795"/>
        <v>46248</v>
      </c>
      <c r="O496" s="114">
        <v>46205</v>
      </c>
      <c r="P496" s="115">
        <f t="shared" si="814"/>
        <v>46286</v>
      </c>
      <c r="Q496" s="114">
        <f t="shared" si="797"/>
        <v>46286</v>
      </c>
      <c r="R496" s="206"/>
      <c r="S496" s="114">
        <f t="shared" si="799"/>
        <v>46300</v>
      </c>
      <c r="T496" s="114">
        <f t="shared" si="798"/>
        <v>46300</v>
      </c>
      <c r="U496" s="115"/>
      <c r="W496" s="169" t="str">
        <f t="shared" ca="1" si="804"/>
        <v>Completed</v>
      </c>
      <c r="X496" s="169" t="str">
        <f t="shared" ca="1" si="805"/>
        <v>Completed</v>
      </c>
      <c r="Y496" s="169" t="str">
        <f t="shared" ca="1" si="806"/>
        <v>Follow-Next Week</v>
      </c>
      <c r="Z496" s="170" t="str">
        <f t="shared" ca="1" si="807"/>
        <v/>
      </c>
    </row>
    <row r="497" spans="1:26" s="70" customFormat="1" ht="11.5" x14ac:dyDescent="0.25">
      <c r="A497" s="111" t="s">
        <v>67</v>
      </c>
      <c r="B497" s="111" t="s">
        <v>14</v>
      </c>
      <c r="C497" s="111" t="s">
        <v>545</v>
      </c>
      <c r="D497" s="111" t="s">
        <v>546</v>
      </c>
      <c r="E497" s="112">
        <f t="shared" si="815"/>
        <v>0.7</v>
      </c>
      <c r="F497" s="112">
        <f t="shared" si="816"/>
        <v>0.7</v>
      </c>
      <c r="G497" s="118">
        <f t="shared" si="816"/>
        <v>0.7</v>
      </c>
      <c r="H497" s="118">
        <f t="shared" si="817"/>
        <v>0</v>
      </c>
      <c r="I497" s="119">
        <v>4.7E-2</v>
      </c>
      <c r="J497" s="114">
        <f t="shared" si="813"/>
        <v>46206</v>
      </c>
      <c r="K497" s="114">
        <f t="shared" si="793"/>
        <v>46206</v>
      </c>
      <c r="L497" s="114">
        <v>46150</v>
      </c>
      <c r="M497" s="115">
        <f t="shared" si="794"/>
        <v>46248</v>
      </c>
      <c r="N497" s="114">
        <f t="shared" si="795"/>
        <v>46248</v>
      </c>
      <c r="O497" s="114">
        <v>46205</v>
      </c>
      <c r="P497" s="115">
        <f t="shared" si="814"/>
        <v>46286</v>
      </c>
      <c r="Q497" s="114">
        <f t="shared" si="797"/>
        <v>46286</v>
      </c>
      <c r="R497" s="206"/>
      <c r="S497" s="114">
        <f t="shared" si="799"/>
        <v>46300</v>
      </c>
      <c r="T497" s="114">
        <f t="shared" si="798"/>
        <v>46300</v>
      </c>
      <c r="U497" s="115"/>
      <c r="W497" s="169" t="str">
        <f t="shared" ca="1" si="804"/>
        <v>Completed</v>
      </c>
      <c r="X497" s="169" t="str">
        <f t="shared" ca="1" si="805"/>
        <v>Completed</v>
      </c>
      <c r="Y497" s="169" t="str">
        <f t="shared" ca="1" si="806"/>
        <v>Follow-Next Week</v>
      </c>
      <c r="Z497" s="170" t="str">
        <f t="shared" ca="1" si="807"/>
        <v/>
      </c>
    </row>
    <row r="498" spans="1:26" s="70" customFormat="1" ht="11.5" x14ac:dyDescent="0.25">
      <c r="A498" s="111" t="s">
        <v>67</v>
      </c>
      <c r="B498" s="111" t="s">
        <v>14</v>
      </c>
      <c r="C498" s="111" t="s">
        <v>547</v>
      </c>
      <c r="D498" s="111" t="s">
        <v>548</v>
      </c>
      <c r="E498" s="112">
        <f t="shared" si="815"/>
        <v>0.7</v>
      </c>
      <c r="F498" s="112">
        <f t="shared" si="816"/>
        <v>0.7</v>
      </c>
      <c r="G498" s="118">
        <f t="shared" si="816"/>
        <v>1</v>
      </c>
      <c r="H498" s="118">
        <f t="shared" si="817"/>
        <v>0.30000000000000004</v>
      </c>
      <c r="I498" s="119">
        <v>4.7E-2</v>
      </c>
      <c r="J498" s="114">
        <f t="shared" si="813"/>
        <v>46206</v>
      </c>
      <c r="K498" s="114">
        <f t="shared" si="793"/>
        <v>46206</v>
      </c>
      <c r="L498" s="114">
        <v>46150</v>
      </c>
      <c r="M498" s="115">
        <f t="shared" si="794"/>
        <v>46248</v>
      </c>
      <c r="N498" s="114">
        <f t="shared" si="795"/>
        <v>46248</v>
      </c>
      <c r="O498" s="114">
        <v>46205</v>
      </c>
      <c r="P498" s="115">
        <f t="shared" si="814"/>
        <v>46286</v>
      </c>
      <c r="Q498" s="114">
        <f t="shared" si="797"/>
        <v>46286</v>
      </c>
      <c r="R498" s="115">
        <v>46248</v>
      </c>
      <c r="S498" s="114">
        <f t="shared" si="799"/>
        <v>46300</v>
      </c>
      <c r="T498" s="114">
        <f t="shared" si="798"/>
        <v>46300</v>
      </c>
      <c r="U498" s="114">
        <v>46262</v>
      </c>
      <c r="W498" s="169" t="str">
        <f t="shared" ca="1" si="804"/>
        <v>Completed</v>
      </c>
      <c r="X498" s="169" t="str">
        <f t="shared" ca="1" si="805"/>
        <v>Completed</v>
      </c>
      <c r="Y498" s="169" t="str">
        <f t="shared" ca="1" si="806"/>
        <v>Completed</v>
      </c>
      <c r="Z498" s="170" t="str">
        <f t="shared" ca="1" si="807"/>
        <v>Completed</v>
      </c>
    </row>
    <row r="499" spans="1:26" s="70" customFormat="1" ht="11.5" x14ac:dyDescent="0.25">
      <c r="A499" s="111" t="s">
        <v>67</v>
      </c>
      <c r="B499" s="111" t="s">
        <v>14</v>
      </c>
      <c r="C499" s="111" t="s">
        <v>549</v>
      </c>
      <c r="D499" s="111" t="s">
        <v>550</v>
      </c>
      <c r="E499" s="112">
        <f t="shared" si="815"/>
        <v>0.7</v>
      </c>
      <c r="F499" s="112">
        <f t="shared" si="816"/>
        <v>0.7</v>
      </c>
      <c r="G499" s="118">
        <f t="shared" si="816"/>
        <v>0.7</v>
      </c>
      <c r="H499" s="118">
        <f t="shared" si="817"/>
        <v>0</v>
      </c>
      <c r="I499" s="119">
        <v>4.7E-2</v>
      </c>
      <c r="J499" s="114">
        <f t="shared" si="813"/>
        <v>46206</v>
      </c>
      <c r="K499" s="114">
        <f t="shared" si="793"/>
        <v>46206</v>
      </c>
      <c r="L499" s="143">
        <v>46157</v>
      </c>
      <c r="M499" s="115">
        <f t="shared" si="794"/>
        <v>46248</v>
      </c>
      <c r="N499" s="114">
        <f t="shared" si="795"/>
        <v>46248</v>
      </c>
      <c r="O499" s="115">
        <v>46266</v>
      </c>
      <c r="P499" s="115">
        <f t="shared" si="814"/>
        <v>46286</v>
      </c>
      <c r="Q499" s="114">
        <f t="shared" si="797"/>
        <v>46286</v>
      </c>
      <c r="R499" s="114"/>
      <c r="S499" s="114">
        <f t="shared" si="799"/>
        <v>46300</v>
      </c>
      <c r="T499" s="114">
        <f t="shared" si="798"/>
        <v>46300</v>
      </c>
      <c r="U499" s="114"/>
      <c r="W499" s="169" t="str">
        <f t="shared" ca="1" si="804"/>
        <v>Completed</v>
      </c>
      <c r="X499" s="169" t="str">
        <f t="shared" ca="1" si="805"/>
        <v>Completed</v>
      </c>
      <c r="Y499" s="169" t="str">
        <f t="shared" ca="1" si="806"/>
        <v>Follow-Next Week</v>
      </c>
      <c r="Z499" s="170" t="str">
        <f t="shared" ca="1" si="807"/>
        <v/>
      </c>
    </row>
    <row r="500" spans="1:26" s="70" customFormat="1" ht="11.5" x14ac:dyDescent="0.25">
      <c r="A500" s="111" t="s">
        <v>67</v>
      </c>
      <c r="B500" s="111" t="s">
        <v>14</v>
      </c>
      <c r="C500" s="111" t="s">
        <v>551</v>
      </c>
      <c r="D500" s="111" t="s">
        <v>552</v>
      </c>
      <c r="E500" s="112">
        <f t="shared" si="815"/>
        <v>0.7</v>
      </c>
      <c r="F500" s="112">
        <f t="shared" si="816"/>
        <v>0.7</v>
      </c>
      <c r="G500" s="118">
        <f t="shared" si="816"/>
        <v>0.7</v>
      </c>
      <c r="H500" s="118">
        <f t="shared" si="817"/>
        <v>0</v>
      </c>
      <c r="I500" s="119">
        <v>4.7E-2</v>
      </c>
      <c r="J500" s="114">
        <f t="shared" si="813"/>
        <v>46206</v>
      </c>
      <c r="K500" s="114">
        <f t="shared" si="793"/>
        <v>46206</v>
      </c>
      <c r="L500" s="143">
        <v>46157</v>
      </c>
      <c r="M500" s="115">
        <f t="shared" si="794"/>
        <v>46248</v>
      </c>
      <c r="N500" s="114">
        <f t="shared" si="795"/>
        <v>46248</v>
      </c>
      <c r="O500" s="115">
        <v>46266</v>
      </c>
      <c r="P500" s="115">
        <f t="shared" si="814"/>
        <v>46286</v>
      </c>
      <c r="Q500" s="114">
        <f t="shared" si="797"/>
        <v>46286</v>
      </c>
      <c r="R500" s="114"/>
      <c r="S500" s="114">
        <f t="shared" si="799"/>
        <v>46300</v>
      </c>
      <c r="T500" s="114">
        <f t="shared" si="798"/>
        <v>46300</v>
      </c>
      <c r="U500" s="114"/>
      <c r="W500" s="169" t="str">
        <f t="shared" ca="1" si="804"/>
        <v>Completed</v>
      </c>
      <c r="X500" s="169" t="str">
        <f t="shared" ca="1" si="805"/>
        <v>Completed</v>
      </c>
      <c r="Y500" s="169" t="str">
        <f t="shared" ca="1" si="806"/>
        <v>Follow-Next Week</v>
      </c>
      <c r="Z500" s="170" t="str">
        <f t="shared" ca="1" si="807"/>
        <v/>
      </c>
    </row>
    <row r="501" spans="1:26" s="70" customFormat="1" ht="11.5" x14ac:dyDescent="0.25">
      <c r="A501" s="111" t="s">
        <v>67</v>
      </c>
      <c r="B501" s="111" t="s">
        <v>14</v>
      </c>
      <c r="C501" s="111" t="s">
        <v>553</v>
      </c>
      <c r="D501" s="111" t="s">
        <v>554</v>
      </c>
      <c r="E501" s="112">
        <f t="shared" si="815"/>
        <v>0.7</v>
      </c>
      <c r="F501" s="112">
        <f t="shared" si="816"/>
        <v>0.7</v>
      </c>
      <c r="G501" s="118">
        <f t="shared" si="816"/>
        <v>0.7</v>
      </c>
      <c r="H501" s="118">
        <f t="shared" si="817"/>
        <v>0</v>
      </c>
      <c r="I501" s="119">
        <v>4.7E-2</v>
      </c>
      <c r="J501" s="114">
        <f t="shared" si="813"/>
        <v>46206</v>
      </c>
      <c r="K501" s="114">
        <f t="shared" si="793"/>
        <v>46206</v>
      </c>
      <c r="L501" s="143">
        <v>46157</v>
      </c>
      <c r="M501" s="115">
        <f t="shared" si="794"/>
        <v>46248</v>
      </c>
      <c r="N501" s="114">
        <f t="shared" si="795"/>
        <v>46248</v>
      </c>
      <c r="O501" s="115">
        <v>46266</v>
      </c>
      <c r="P501" s="115">
        <f t="shared" si="814"/>
        <v>46286</v>
      </c>
      <c r="Q501" s="114">
        <f t="shared" si="797"/>
        <v>46286</v>
      </c>
      <c r="R501" s="114"/>
      <c r="S501" s="114">
        <f t="shared" si="799"/>
        <v>46300</v>
      </c>
      <c r="T501" s="114">
        <f t="shared" si="798"/>
        <v>46300</v>
      </c>
      <c r="U501" s="114"/>
      <c r="W501" s="169" t="str">
        <f t="shared" ca="1" si="804"/>
        <v>Completed</v>
      </c>
      <c r="X501" s="169" t="str">
        <f t="shared" ca="1" si="805"/>
        <v>Completed</v>
      </c>
      <c r="Y501" s="169" t="str">
        <f t="shared" ca="1" si="806"/>
        <v>Follow-Next Week</v>
      </c>
      <c r="Z501" s="170" t="str">
        <f t="shared" ca="1" si="807"/>
        <v/>
      </c>
    </row>
    <row r="502" spans="1:26" s="70" customFormat="1" ht="11.5" x14ac:dyDescent="0.25">
      <c r="A502" s="111" t="s">
        <v>67</v>
      </c>
      <c r="B502" s="111" t="s">
        <v>14</v>
      </c>
      <c r="C502" s="111" t="s">
        <v>555</v>
      </c>
      <c r="D502" s="111" t="s">
        <v>556</v>
      </c>
      <c r="E502" s="112">
        <f t="shared" si="815"/>
        <v>0.7</v>
      </c>
      <c r="F502" s="112">
        <f t="shared" si="816"/>
        <v>0.7</v>
      </c>
      <c r="G502" s="118">
        <f t="shared" si="816"/>
        <v>0.7</v>
      </c>
      <c r="H502" s="118">
        <f t="shared" si="817"/>
        <v>0</v>
      </c>
      <c r="I502" s="119">
        <v>4.7E-2</v>
      </c>
      <c r="J502" s="114">
        <f t="shared" ref="J502:J533" si="818">J385+28</f>
        <v>46206</v>
      </c>
      <c r="K502" s="114">
        <f t="shared" si="793"/>
        <v>46206</v>
      </c>
      <c r="L502" s="143">
        <v>46157</v>
      </c>
      <c r="M502" s="115">
        <f t="shared" si="794"/>
        <v>46248</v>
      </c>
      <c r="N502" s="114">
        <f t="shared" si="795"/>
        <v>46248</v>
      </c>
      <c r="O502" s="114">
        <v>46205</v>
      </c>
      <c r="P502" s="115">
        <f t="shared" si="814"/>
        <v>46286</v>
      </c>
      <c r="Q502" s="114">
        <f t="shared" si="797"/>
        <v>46286</v>
      </c>
      <c r="R502" s="114"/>
      <c r="S502" s="114">
        <f t="shared" si="799"/>
        <v>46300</v>
      </c>
      <c r="T502" s="114">
        <f t="shared" si="798"/>
        <v>46300</v>
      </c>
      <c r="U502" s="114"/>
      <c r="W502" s="169" t="str">
        <f t="shared" ca="1" si="804"/>
        <v>Completed</v>
      </c>
      <c r="X502" s="169" t="str">
        <f t="shared" ca="1" si="805"/>
        <v>Completed</v>
      </c>
      <c r="Y502" s="169" t="str">
        <f t="shared" ca="1" si="806"/>
        <v>Follow-Next Week</v>
      </c>
      <c r="Z502" s="170" t="str">
        <f t="shared" ca="1" si="807"/>
        <v/>
      </c>
    </row>
    <row r="503" spans="1:26" s="70" customFormat="1" ht="11.5" x14ac:dyDescent="0.25">
      <c r="A503" s="111" t="s">
        <v>67</v>
      </c>
      <c r="B503" s="111" t="s">
        <v>14</v>
      </c>
      <c r="C503" s="111" t="s">
        <v>557</v>
      </c>
      <c r="D503" s="111" t="s">
        <v>558</v>
      </c>
      <c r="E503" s="112">
        <f t="shared" si="815"/>
        <v>0.7</v>
      </c>
      <c r="F503" s="112">
        <f t="shared" si="816"/>
        <v>0.7</v>
      </c>
      <c r="G503" s="118">
        <f t="shared" si="816"/>
        <v>0.5</v>
      </c>
      <c r="H503" s="118">
        <f t="shared" si="817"/>
        <v>-0.19999999999999996</v>
      </c>
      <c r="I503" s="119">
        <v>4.7E-2</v>
      </c>
      <c r="J503" s="114">
        <f t="shared" si="818"/>
        <v>46227</v>
      </c>
      <c r="K503" s="114">
        <f t="shared" ref="K503:K577" si="819">J503</f>
        <v>46227</v>
      </c>
      <c r="L503" s="114">
        <v>46156</v>
      </c>
      <c r="M503" s="115">
        <f t="shared" ref="M503:M577" si="820">J503+42</f>
        <v>46269</v>
      </c>
      <c r="N503" s="114">
        <f t="shared" ref="N503:N577" si="821">M503</f>
        <v>46269</v>
      </c>
      <c r="O503" s="206"/>
      <c r="P503" s="114">
        <f t="shared" ref="P503:P577" si="822">M503+42</f>
        <v>46311</v>
      </c>
      <c r="Q503" s="114">
        <f t="shared" ref="Q503:Q577" si="823">P503</f>
        <v>46311</v>
      </c>
      <c r="R503" s="114"/>
      <c r="S503" s="114">
        <f t="shared" si="799"/>
        <v>46325</v>
      </c>
      <c r="T503" s="114">
        <f t="shared" ref="T503:T577" si="824">S503</f>
        <v>46325</v>
      </c>
      <c r="U503" s="114"/>
      <c r="W503" s="169" t="str">
        <f t="shared" ca="1" si="804"/>
        <v>Completed</v>
      </c>
      <c r="X503" s="169" t="str">
        <f t="shared" ca="1" si="805"/>
        <v>Overdue</v>
      </c>
      <c r="Y503" s="169" t="str">
        <f t="shared" ca="1" si="806"/>
        <v/>
      </c>
      <c r="Z503" s="170" t="str">
        <f t="shared" ca="1" si="807"/>
        <v/>
      </c>
    </row>
    <row r="504" spans="1:26" s="70" customFormat="1" ht="11.5" x14ac:dyDescent="0.25">
      <c r="A504" s="111" t="s">
        <v>67</v>
      </c>
      <c r="B504" s="111" t="s">
        <v>14</v>
      </c>
      <c r="C504" s="111" t="s">
        <v>559</v>
      </c>
      <c r="D504" s="111" t="s">
        <v>560</v>
      </c>
      <c r="E504" s="112">
        <f t="shared" si="815"/>
        <v>0.7</v>
      </c>
      <c r="F504" s="112">
        <f t="shared" si="816"/>
        <v>0.7</v>
      </c>
      <c r="G504" s="118">
        <f t="shared" si="816"/>
        <v>0.5</v>
      </c>
      <c r="H504" s="118">
        <f t="shared" si="817"/>
        <v>-0.19999999999999996</v>
      </c>
      <c r="I504" s="119">
        <v>4.7E-2</v>
      </c>
      <c r="J504" s="114">
        <f t="shared" si="818"/>
        <v>46227</v>
      </c>
      <c r="K504" s="114">
        <f t="shared" si="819"/>
        <v>46227</v>
      </c>
      <c r="L504" s="114">
        <v>46156</v>
      </c>
      <c r="M504" s="115">
        <f t="shared" si="820"/>
        <v>46269</v>
      </c>
      <c r="N504" s="114">
        <f t="shared" si="821"/>
        <v>46269</v>
      </c>
      <c r="O504" s="206"/>
      <c r="P504" s="114">
        <f t="shared" si="822"/>
        <v>46311</v>
      </c>
      <c r="Q504" s="114">
        <f t="shared" si="823"/>
        <v>46311</v>
      </c>
      <c r="R504" s="114"/>
      <c r="S504" s="114">
        <f t="shared" ref="S504:S578" si="825">P504+14</f>
        <v>46325</v>
      </c>
      <c r="T504" s="114">
        <f t="shared" si="824"/>
        <v>46325</v>
      </c>
      <c r="U504" s="114"/>
      <c r="W504" s="169" t="str">
        <f t="shared" ca="1" si="804"/>
        <v>Completed</v>
      </c>
      <c r="X504" s="169" t="str">
        <f t="shared" ca="1" si="805"/>
        <v>Overdue</v>
      </c>
      <c r="Y504" s="169" t="str">
        <f t="shared" ca="1" si="806"/>
        <v/>
      </c>
      <c r="Z504" s="170" t="str">
        <f t="shared" ca="1" si="807"/>
        <v/>
      </c>
    </row>
    <row r="505" spans="1:26" s="70" customFormat="1" ht="11.5" x14ac:dyDescent="0.25">
      <c r="A505" s="111" t="s">
        <v>67</v>
      </c>
      <c r="B505" s="111" t="s">
        <v>14</v>
      </c>
      <c r="C505" s="111" t="s">
        <v>561</v>
      </c>
      <c r="D505" s="111" t="s">
        <v>562</v>
      </c>
      <c r="E505" s="112">
        <f t="shared" si="815"/>
        <v>0.7</v>
      </c>
      <c r="F505" s="112">
        <f t="shared" si="816"/>
        <v>0.7</v>
      </c>
      <c r="G505" s="118">
        <f t="shared" si="816"/>
        <v>0.7</v>
      </c>
      <c r="H505" s="118">
        <f t="shared" si="817"/>
        <v>0</v>
      </c>
      <c r="I505" s="119">
        <v>4.7E-2</v>
      </c>
      <c r="J505" s="114">
        <f t="shared" si="818"/>
        <v>46227</v>
      </c>
      <c r="K505" s="114">
        <f t="shared" si="819"/>
        <v>46227</v>
      </c>
      <c r="L505" s="114">
        <v>46156</v>
      </c>
      <c r="M505" s="115">
        <f t="shared" si="820"/>
        <v>46269</v>
      </c>
      <c r="N505" s="114">
        <f t="shared" si="821"/>
        <v>46269</v>
      </c>
      <c r="O505" s="114">
        <v>46191</v>
      </c>
      <c r="P505" s="114">
        <f t="shared" si="822"/>
        <v>46311</v>
      </c>
      <c r="Q505" s="114">
        <f t="shared" si="823"/>
        <v>46311</v>
      </c>
      <c r="R505" s="114"/>
      <c r="S505" s="114">
        <f t="shared" si="825"/>
        <v>46325</v>
      </c>
      <c r="T505" s="114">
        <f t="shared" si="824"/>
        <v>46325</v>
      </c>
      <c r="U505" s="114"/>
      <c r="W505" s="169" t="str">
        <f t="shared" ca="1" si="804"/>
        <v>Completed</v>
      </c>
      <c r="X505" s="169" t="str">
        <f t="shared" ca="1" si="805"/>
        <v>Completed</v>
      </c>
      <c r="Y505" s="169" t="str">
        <f t="shared" ca="1" si="806"/>
        <v/>
      </c>
      <c r="Z505" s="170" t="str">
        <f t="shared" ca="1" si="807"/>
        <v/>
      </c>
    </row>
    <row r="506" spans="1:26" s="70" customFormat="1" ht="11.5" x14ac:dyDescent="0.25">
      <c r="A506" s="111" t="s">
        <v>67</v>
      </c>
      <c r="B506" s="111" t="s">
        <v>14</v>
      </c>
      <c r="C506" s="111" t="s">
        <v>563</v>
      </c>
      <c r="D506" s="111" t="s">
        <v>564</v>
      </c>
      <c r="E506" s="112">
        <f t="shared" si="815"/>
        <v>0.7</v>
      </c>
      <c r="F506" s="112">
        <f t="shared" si="816"/>
        <v>0.7</v>
      </c>
      <c r="G506" s="118">
        <f t="shared" si="816"/>
        <v>0.7</v>
      </c>
      <c r="H506" s="118">
        <f t="shared" si="817"/>
        <v>0</v>
      </c>
      <c r="I506" s="119">
        <v>4.7E-2</v>
      </c>
      <c r="J506" s="114">
        <f t="shared" si="818"/>
        <v>46220</v>
      </c>
      <c r="K506" s="114">
        <f t="shared" si="819"/>
        <v>46220</v>
      </c>
      <c r="L506" s="114">
        <v>46178</v>
      </c>
      <c r="M506" s="115">
        <f t="shared" si="820"/>
        <v>46262</v>
      </c>
      <c r="N506" s="114">
        <f t="shared" si="821"/>
        <v>46262</v>
      </c>
      <c r="O506" s="115">
        <v>46266</v>
      </c>
      <c r="P506" s="114">
        <f t="shared" si="822"/>
        <v>46304</v>
      </c>
      <c r="Q506" s="114">
        <f t="shared" si="823"/>
        <v>46304</v>
      </c>
      <c r="R506" s="114"/>
      <c r="S506" s="114">
        <f t="shared" si="825"/>
        <v>46318</v>
      </c>
      <c r="T506" s="114">
        <f t="shared" si="824"/>
        <v>46318</v>
      </c>
      <c r="U506" s="114"/>
      <c r="W506" s="169" t="str">
        <f t="shared" ca="1" si="804"/>
        <v>Completed</v>
      </c>
      <c r="X506" s="169" t="str">
        <f t="shared" ca="1" si="805"/>
        <v>Completed</v>
      </c>
      <c r="Y506" s="169" t="str">
        <f t="shared" ca="1" si="806"/>
        <v/>
      </c>
      <c r="Z506" s="170" t="str">
        <f t="shared" ca="1" si="807"/>
        <v/>
      </c>
    </row>
    <row r="507" spans="1:26" s="70" customFormat="1" ht="11.5" x14ac:dyDescent="0.25">
      <c r="A507" s="111" t="s">
        <v>67</v>
      </c>
      <c r="B507" s="111" t="s">
        <v>14</v>
      </c>
      <c r="C507" s="111" t="s">
        <v>565</v>
      </c>
      <c r="D507" s="111" t="s">
        <v>566</v>
      </c>
      <c r="E507" s="112">
        <f t="shared" si="815"/>
        <v>0.7</v>
      </c>
      <c r="F507" s="112">
        <f t="shared" si="816"/>
        <v>0.7</v>
      </c>
      <c r="G507" s="112">
        <f t="shared" si="816"/>
        <v>0</v>
      </c>
      <c r="H507" s="112">
        <f t="shared" si="817"/>
        <v>-0.7</v>
      </c>
      <c r="I507" s="113">
        <v>4.7E-2</v>
      </c>
      <c r="J507" s="116">
        <f t="shared" si="818"/>
        <v>46227</v>
      </c>
      <c r="K507" s="116">
        <f t="shared" si="819"/>
        <v>46227</v>
      </c>
      <c r="L507" s="114"/>
      <c r="M507" s="115">
        <f t="shared" si="820"/>
        <v>46269</v>
      </c>
      <c r="N507" s="116">
        <f t="shared" si="821"/>
        <v>46269</v>
      </c>
      <c r="O507" s="114"/>
      <c r="P507" s="114">
        <f t="shared" si="822"/>
        <v>46311</v>
      </c>
      <c r="Q507" s="116">
        <f t="shared" si="823"/>
        <v>46311</v>
      </c>
      <c r="R507" s="114"/>
      <c r="S507" s="114">
        <f t="shared" si="825"/>
        <v>46325</v>
      </c>
      <c r="T507" s="116">
        <f t="shared" si="824"/>
        <v>46325</v>
      </c>
      <c r="U507" s="114"/>
      <c r="W507" s="169" t="str">
        <f t="shared" ca="1" si="804"/>
        <v>Overdue</v>
      </c>
      <c r="X507" s="169" t="str">
        <f t="shared" ca="1" si="805"/>
        <v>Overdue</v>
      </c>
      <c r="Y507" s="169" t="str">
        <f t="shared" ca="1" si="806"/>
        <v/>
      </c>
      <c r="Z507" s="170" t="str">
        <f t="shared" ca="1" si="807"/>
        <v/>
      </c>
    </row>
    <row r="508" spans="1:26" s="70" customFormat="1" ht="11.5" x14ac:dyDescent="0.25">
      <c r="A508" s="111" t="s">
        <v>67</v>
      </c>
      <c r="B508" s="111" t="s">
        <v>14</v>
      </c>
      <c r="C508" s="111" t="s">
        <v>567</v>
      </c>
      <c r="D508" s="111" t="s">
        <v>568</v>
      </c>
      <c r="E508" s="112">
        <f t="shared" si="815"/>
        <v>0.7</v>
      </c>
      <c r="F508" s="112">
        <f t="shared" si="816"/>
        <v>0.7</v>
      </c>
      <c r="G508" s="112">
        <f t="shared" si="816"/>
        <v>0.7</v>
      </c>
      <c r="H508" s="112">
        <f t="shared" si="817"/>
        <v>0</v>
      </c>
      <c r="I508" s="113">
        <v>4.7E-2</v>
      </c>
      <c r="J508" s="116">
        <f t="shared" si="818"/>
        <v>46220</v>
      </c>
      <c r="K508" s="116">
        <f t="shared" si="819"/>
        <v>46220</v>
      </c>
      <c r="L508" s="114">
        <v>46205</v>
      </c>
      <c r="M508" s="115">
        <f t="shared" si="820"/>
        <v>46262</v>
      </c>
      <c r="N508" s="116">
        <f t="shared" si="821"/>
        <v>46262</v>
      </c>
      <c r="O508" s="206">
        <v>46283</v>
      </c>
      <c r="P508" s="114">
        <f t="shared" si="822"/>
        <v>46304</v>
      </c>
      <c r="Q508" s="116">
        <f t="shared" si="823"/>
        <v>46304</v>
      </c>
      <c r="R508" s="114"/>
      <c r="S508" s="114">
        <f t="shared" si="825"/>
        <v>46318</v>
      </c>
      <c r="T508" s="116">
        <f t="shared" si="824"/>
        <v>46318</v>
      </c>
      <c r="U508" s="114"/>
      <c r="W508" s="169" t="str">
        <f t="shared" ref="W508:W571" ca="1" si="826">IF(OR(L508&lt;&gt;""),"Completed",
IF(K508="","",IF(K508&lt;TODAY(),"Overdue",
IF(AND(K508&gt;=TODAY()-WEEKDAY(TODAY(),2)+1,K508&lt;=TODAY()-WEEKDAY(TODAY(),2)+7),"Follow-This Week",
IF(AND(K508&gt;=TODAY()-WEEKDAY(TODAY(),2)+8,K508&lt;=TODAY()-WEEKDAY(TODAY(),2)+14),"Follow-Next Week","")))))</f>
        <v>Completed</v>
      </c>
      <c r="X508" s="169" t="str">
        <f t="shared" ref="X508:X571" ca="1" si="827">IF(OR(O508&lt;&gt;""),"Completed",IF(N508="","",
IF(N508&lt;TODAY(),"Overdue",
IF(AND(N508&gt;=TODAY()-WEEKDAY(TODAY(),2)+1,N508&lt;=TODAY()-WEEKDAY(TODAY(),2)+7),"Follow-This Week",
IF(AND(N508&gt;=TODAY()-WEEKDAY(TODAY(),2)+8,N508&lt;=TODAY()-WEEKDAY(TODAY(),2)+14),"Follow-Next Week","")))))</f>
        <v>Completed</v>
      </c>
      <c r="Y508" s="169" t="str">
        <f t="shared" ref="Y508:Y571" ca="1" si="828">IF(OR(R508&lt;&gt;""),"Completed",IF(Q508="","",
IF(Q508&lt;TODAY(),"Overdue",
IF(AND(Q508&gt;=TODAY()-WEEKDAY(TODAY(),2)+1,Q508&lt;=TODAY()-WEEKDAY(TODAY(),2)+7),"Follow-This Week",
IF(AND(Q508&gt;=TODAY()-WEEKDAY(TODAY(),2)+8,Q508&lt;=TODAY()-WEEKDAY(TODAY(),2)+14),"Follow-Next Week","")))))</f>
        <v/>
      </c>
      <c r="Z508" s="170" t="str">
        <f t="shared" ref="Z508:Z571" ca="1" si="829">IF(OR(U508&lt;&gt;""),"Completed",IF(T508="","",
IF(T508&lt;TODAY(),"Overdue",
IF(AND(T508&gt;=TODAY()-WEEKDAY(TODAY(),2)+1,T508&lt;=TODAY()-WEEKDAY(TODAY(),2)+7),"Follow-This Week",
IF(AND(T508&gt;=TODAY()-WEEKDAY(TODAY(),2)+8,T508&lt;=TODAY()-WEEKDAY(TODAY(),2)+14),"Follow-Next Week","")))))</f>
        <v/>
      </c>
    </row>
    <row r="509" spans="1:26" s="70" customFormat="1" ht="11.5" x14ac:dyDescent="0.25">
      <c r="A509" s="111" t="s">
        <v>67</v>
      </c>
      <c r="B509" s="111" t="s">
        <v>14</v>
      </c>
      <c r="C509" s="111" t="s">
        <v>569</v>
      </c>
      <c r="D509" s="111" t="s">
        <v>570</v>
      </c>
      <c r="E509" s="112">
        <f t="shared" si="815"/>
        <v>0.7</v>
      </c>
      <c r="F509" s="112">
        <f t="shared" si="816"/>
        <v>0.7</v>
      </c>
      <c r="G509" s="112">
        <f t="shared" si="816"/>
        <v>0.7</v>
      </c>
      <c r="H509" s="112">
        <f t="shared" si="817"/>
        <v>0</v>
      </c>
      <c r="I509" s="113">
        <v>4.7E-2</v>
      </c>
      <c r="J509" s="114">
        <f t="shared" si="818"/>
        <v>46220</v>
      </c>
      <c r="K509" s="114">
        <f t="shared" si="819"/>
        <v>46220</v>
      </c>
      <c r="L509" s="114">
        <v>46205</v>
      </c>
      <c r="M509" s="115">
        <f t="shared" si="820"/>
        <v>46262</v>
      </c>
      <c r="N509" s="114">
        <f t="shared" si="821"/>
        <v>46262</v>
      </c>
      <c r="O509" s="206">
        <v>46283</v>
      </c>
      <c r="P509" s="114">
        <f t="shared" si="822"/>
        <v>46304</v>
      </c>
      <c r="Q509" s="114">
        <f t="shared" si="823"/>
        <v>46304</v>
      </c>
      <c r="R509" s="114"/>
      <c r="S509" s="114">
        <f t="shared" si="825"/>
        <v>46318</v>
      </c>
      <c r="T509" s="114">
        <f t="shared" si="824"/>
        <v>46318</v>
      </c>
      <c r="U509" s="114"/>
      <c r="W509" s="169" t="str">
        <f t="shared" ca="1" si="826"/>
        <v>Completed</v>
      </c>
      <c r="X509" s="169" t="str">
        <f t="shared" ca="1" si="827"/>
        <v>Completed</v>
      </c>
      <c r="Y509" s="169" t="str">
        <f t="shared" ca="1" si="828"/>
        <v/>
      </c>
      <c r="Z509" s="170" t="str">
        <f t="shared" ca="1" si="829"/>
        <v/>
      </c>
    </row>
    <row r="510" spans="1:26" s="70" customFormat="1" ht="11.5" x14ac:dyDescent="0.25">
      <c r="A510" s="111" t="s">
        <v>67</v>
      </c>
      <c r="B510" s="111" t="s">
        <v>14</v>
      </c>
      <c r="C510" s="111" t="s">
        <v>842</v>
      </c>
      <c r="D510" s="111" t="s">
        <v>821</v>
      </c>
      <c r="E510" s="112">
        <f t="shared" si="815"/>
        <v>0.7</v>
      </c>
      <c r="F510" s="112">
        <f t="shared" si="816"/>
        <v>0.7</v>
      </c>
      <c r="G510" s="112">
        <f t="shared" si="816"/>
        <v>1</v>
      </c>
      <c r="H510" s="112">
        <f t="shared" si="817"/>
        <v>0.30000000000000004</v>
      </c>
      <c r="I510" s="113">
        <v>4.7E-2</v>
      </c>
      <c r="J510" s="114">
        <f t="shared" si="818"/>
        <v>46234</v>
      </c>
      <c r="K510" s="114">
        <f t="shared" si="819"/>
        <v>46234</v>
      </c>
      <c r="L510" s="114">
        <v>46182</v>
      </c>
      <c r="M510" s="115">
        <f t="shared" si="820"/>
        <v>46276</v>
      </c>
      <c r="N510" s="114">
        <f t="shared" si="821"/>
        <v>46276</v>
      </c>
      <c r="O510" s="114">
        <v>46191</v>
      </c>
      <c r="P510" s="114">
        <f t="shared" si="822"/>
        <v>46318</v>
      </c>
      <c r="Q510" s="114">
        <f t="shared" si="823"/>
        <v>46318</v>
      </c>
      <c r="R510" s="115">
        <v>46252</v>
      </c>
      <c r="S510" s="114">
        <f t="shared" si="825"/>
        <v>46332</v>
      </c>
      <c r="T510" s="114">
        <f t="shared" si="824"/>
        <v>46332</v>
      </c>
      <c r="U510" s="114">
        <v>46262</v>
      </c>
      <c r="W510" s="169" t="str">
        <f t="shared" ca="1" si="826"/>
        <v>Completed</v>
      </c>
      <c r="X510" s="169" t="str">
        <f t="shared" ca="1" si="827"/>
        <v>Completed</v>
      </c>
      <c r="Y510" s="169" t="str">
        <f t="shared" ca="1" si="828"/>
        <v>Completed</v>
      </c>
      <c r="Z510" s="170" t="str">
        <f t="shared" ca="1" si="829"/>
        <v>Completed</v>
      </c>
    </row>
    <row r="511" spans="1:26" s="70" customFormat="1" ht="11.5" x14ac:dyDescent="0.25">
      <c r="A511" s="111" t="s">
        <v>67</v>
      </c>
      <c r="B511" s="111" t="s">
        <v>14</v>
      </c>
      <c r="C511" s="111" t="s">
        <v>843</v>
      </c>
      <c r="D511" s="111" t="s">
        <v>822</v>
      </c>
      <c r="E511" s="112">
        <f t="shared" si="815"/>
        <v>0.7</v>
      </c>
      <c r="F511" s="112">
        <f t="shared" si="816"/>
        <v>0.7</v>
      </c>
      <c r="G511" s="112">
        <f t="shared" si="816"/>
        <v>1</v>
      </c>
      <c r="H511" s="112">
        <f t="shared" si="817"/>
        <v>0.30000000000000004</v>
      </c>
      <c r="I511" s="113">
        <v>4.7E-2</v>
      </c>
      <c r="J511" s="114">
        <f t="shared" si="818"/>
        <v>46234</v>
      </c>
      <c r="K511" s="114">
        <f t="shared" si="819"/>
        <v>46234</v>
      </c>
      <c r="L511" s="114">
        <v>46182</v>
      </c>
      <c r="M511" s="115">
        <f t="shared" si="820"/>
        <v>46276</v>
      </c>
      <c r="N511" s="114">
        <f t="shared" si="821"/>
        <v>46276</v>
      </c>
      <c r="O511" s="114">
        <v>46191</v>
      </c>
      <c r="P511" s="114">
        <f t="shared" si="822"/>
        <v>46318</v>
      </c>
      <c r="Q511" s="114">
        <f t="shared" si="823"/>
        <v>46318</v>
      </c>
      <c r="R511" s="115">
        <v>46252</v>
      </c>
      <c r="S511" s="114">
        <f t="shared" si="825"/>
        <v>46332</v>
      </c>
      <c r="T511" s="114">
        <f t="shared" si="824"/>
        <v>46332</v>
      </c>
      <c r="U511" s="114">
        <v>46262</v>
      </c>
      <c r="W511" s="169" t="str">
        <f t="shared" ca="1" si="826"/>
        <v>Completed</v>
      </c>
      <c r="X511" s="169" t="str">
        <f t="shared" ca="1" si="827"/>
        <v>Completed</v>
      </c>
      <c r="Y511" s="169" t="str">
        <f t="shared" ca="1" si="828"/>
        <v>Completed</v>
      </c>
      <c r="Z511" s="170" t="str">
        <f t="shared" ca="1" si="829"/>
        <v>Completed</v>
      </c>
    </row>
    <row r="512" spans="1:26" s="70" customFormat="1" ht="11.5" x14ac:dyDescent="0.25">
      <c r="A512" s="111" t="s">
        <v>67</v>
      </c>
      <c r="B512" s="111" t="s">
        <v>14</v>
      </c>
      <c r="C512" s="111" t="s">
        <v>844</v>
      </c>
      <c r="D512" s="111" t="s">
        <v>823</v>
      </c>
      <c r="E512" s="112">
        <f t="shared" si="815"/>
        <v>0.7</v>
      </c>
      <c r="F512" s="112">
        <f t="shared" si="816"/>
        <v>0.7</v>
      </c>
      <c r="G512" s="112">
        <f t="shared" si="816"/>
        <v>1</v>
      </c>
      <c r="H512" s="112">
        <f t="shared" si="817"/>
        <v>0.30000000000000004</v>
      </c>
      <c r="I512" s="113">
        <v>4.7E-2</v>
      </c>
      <c r="J512" s="114">
        <f t="shared" si="818"/>
        <v>46234</v>
      </c>
      <c r="K512" s="114">
        <f t="shared" si="819"/>
        <v>46234</v>
      </c>
      <c r="L512" s="114">
        <v>46182</v>
      </c>
      <c r="M512" s="115">
        <f t="shared" si="820"/>
        <v>46276</v>
      </c>
      <c r="N512" s="114">
        <f t="shared" si="821"/>
        <v>46276</v>
      </c>
      <c r="O512" s="114">
        <v>46191</v>
      </c>
      <c r="P512" s="114">
        <f t="shared" si="822"/>
        <v>46318</v>
      </c>
      <c r="Q512" s="114">
        <f t="shared" si="823"/>
        <v>46318</v>
      </c>
      <c r="R512" s="115">
        <v>46252</v>
      </c>
      <c r="S512" s="114">
        <f t="shared" si="825"/>
        <v>46332</v>
      </c>
      <c r="T512" s="114">
        <f t="shared" si="824"/>
        <v>46332</v>
      </c>
      <c r="U512" s="114">
        <v>46262</v>
      </c>
      <c r="W512" s="169" t="str">
        <f t="shared" ca="1" si="826"/>
        <v>Completed</v>
      </c>
      <c r="X512" s="169" t="str">
        <f t="shared" ca="1" si="827"/>
        <v>Completed</v>
      </c>
      <c r="Y512" s="169" t="str">
        <f t="shared" ca="1" si="828"/>
        <v>Completed</v>
      </c>
      <c r="Z512" s="170" t="str">
        <f t="shared" ca="1" si="829"/>
        <v>Completed</v>
      </c>
    </row>
    <row r="513" spans="1:26" s="70" customFormat="1" ht="11.5" x14ac:dyDescent="0.25">
      <c r="A513" s="111" t="s">
        <v>67</v>
      </c>
      <c r="B513" s="111" t="s">
        <v>14</v>
      </c>
      <c r="C513" s="111" t="s">
        <v>845</v>
      </c>
      <c r="D513" s="111" t="s">
        <v>824</v>
      </c>
      <c r="E513" s="112">
        <f t="shared" si="815"/>
        <v>0.7</v>
      </c>
      <c r="F513" s="112">
        <f t="shared" si="816"/>
        <v>0.7</v>
      </c>
      <c r="G513" s="112">
        <f t="shared" si="816"/>
        <v>1</v>
      </c>
      <c r="H513" s="112">
        <f t="shared" si="817"/>
        <v>0.30000000000000004</v>
      </c>
      <c r="I513" s="113">
        <v>4.7E-2</v>
      </c>
      <c r="J513" s="114">
        <f t="shared" si="818"/>
        <v>46234</v>
      </c>
      <c r="K513" s="114">
        <f t="shared" si="819"/>
        <v>46234</v>
      </c>
      <c r="L513" s="114">
        <v>46182</v>
      </c>
      <c r="M513" s="115">
        <f t="shared" si="820"/>
        <v>46276</v>
      </c>
      <c r="N513" s="114">
        <f t="shared" si="821"/>
        <v>46276</v>
      </c>
      <c r="O513" s="114">
        <v>46191</v>
      </c>
      <c r="P513" s="114">
        <f t="shared" si="822"/>
        <v>46318</v>
      </c>
      <c r="Q513" s="114">
        <f t="shared" si="823"/>
        <v>46318</v>
      </c>
      <c r="R513" s="115">
        <v>46252</v>
      </c>
      <c r="S513" s="114">
        <f t="shared" si="825"/>
        <v>46332</v>
      </c>
      <c r="T513" s="114">
        <f t="shared" si="824"/>
        <v>46332</v>
      </c>
      <c r="U513" s="114">
        <v>46262</v>
      </c>
      <c r="W513" s="169" t="str">
        <f t="shared" ca="1" si="826"/>
        <v>Completed</v>
      </c>
      <c r="X513" s="169" t="str">
        <f t="shared" ca="1" si="827"/>
        <v>Completed</v>
      </c>
      <c r="Y513" s="169" t="str">
        <f t="shared" ca="1" si="828"/>
        <v>Completed</v>
      </c>
      <c r="Z513" s="170" t="str">
        <f t="shared" ca="1" si="829"/>
        <v>Completed</v>
      </c>
    </row>
    <row r="514" spans="1:26" s="70" customFormat="1" ht="11.5" x14ac:dyDescent="0.25">
      <c r="A514" s="111" t="s">
        <v>67</v>
      </c>
      <c r="B514" s="111" t="s">
        <v>14</v>
      </c>
      <c r="C514" s="111" t="s">
        <v>846</v>
      </c>
      <c r="D514" s="111" t="s">
        <v>825</v>
      </c>
      <c r="E514" s="112">
        <f t="shared" si="815"/>
        <v>0.7</v>
      </c>
      <c r="F514" s="112">
        <f t="shared" si="816"/>
        <v>0.7</v>
      </c>
      <c r="G514" s="112">
        <f t="shared" si="816"/>
        <v>1</v>
      </c>
      <c r="H514" s="112">
        <f t="shared" si="817"/>
        <v>0.30000000000000004</v>
      </c>
      <c r="I514" s="113">
        <v>4.7E-2</v>
      </c>
      <c r="J514" s="114">
        <f t="shared" si="818"/>
        <v>46234</v>
      </c>
      <c r="K514" s="114">
        <f t="shared" si="819"/>
        <v>46234</v>
      </c>
      <c r="L514" s="114">
        <v>46182</v>
      </c>
      <c r="M514" s="115">
        <f t="shared" si="820"/>
        <v>46276</v>
      </c>
      <c r="N514" s="114">
        <f t="shared" si="821"/>
        <v>46276</v>
      </c>
      <c r="O514" s="114">
        <v>46191</v>
      </c>
      <c r="P514" s="114">
        <f t="shared" si="822"/>
        <v>46318</v>
      </c>
      <c r="Q514" s="114">
        <f t="shared" si="823"/>
        <v>46318</v>
      </c>
      <c r="R514" s="115">
        <v>46252</v>
      </c>
      <c r="S514" s="114">
        <f t="shared" si="825"/>
        <v>46332</v>
      </c>
      <c r="T514" s="114">
        <f t="shared" si="824"/>
        <v>46332</v>
      </c>
      <c r="U514" s="114">
        <v>46262</v>
      </c>
      <c r="W514" s="169" t="str">
        <f t="shared" ca="1" si="826"/>
        <v>Completed</v>
      </c>
      <c r="X514" s="169" t="str">
        <f t="shared" ca="1" si="827"/>
        <v>Completed</v>
      </c>
      <c r="Y514" s="169" t="str">
        <f t="shared" ca="1" si="828"/>
        <v>Completed</v>
      </c>
      <c r="Z514" s="170" t="str">
        <f t="shared" ca="1" si="829"/>
        <v>Completed</v>
      </c>
    </row>
    <row r="515" spans="1:26" s="70" customFormat="1" ht="11.5" x14ac:dyDescent="0.25">
      <c r="A515" s="111" t="s">
        <v>67</v>
      </c>
      <c r="B515" s="111" t="s">
        <v>14</v>
      </c>
      <c r="C515" s="111" t="s">
        <v>847</v>
      </c>
      <c r="D515" s="111" t="s">
        <v>826</v>
      </c>
      <c r="E515" s="112">
        <f t="shared" si="815"/>
        <v>0.7</v>
      </c>
      <c r="F515" s="112">
        <f t="shared" si="816"/>
        <v>0.7</v>
      </c>
      <c r="G515" s="112">
        <f t="shared" si="816"/>
        <v>1</v>
      </c>
      <c r="H515" s="112">
        <f t="shared" si="817"/>
        <v>0.30000000000000004</v>
      </c>
      <c r="I515" s="113">
        <v>4.7E-2</v>
      </c>
      <c r="J515" s="114">
        <f t="shared" si="818"/>
        <v>46234</v>
      </c>
      <c r="K515" s="114">
        <f t="shared" si="819"/>
        <v>46234</v>
      </c>
      <c r="L515" s="143">
        <v>46162</v>
      </c>
      <c r="M515" s="115">
        <f t="shared" si="820"/>
        <v>46276</v>
      </c>
      <c r="N515" s="114">
        <f t="shared" si="821"/>
        <v>46276</v>
      </c>
      <c r="O515" s="114">
        <v>46191</v>
      </c>
      <c r="P515" s="114">
        <f t="shared" si="822"/>
        <v>46318</v>
      </c>
      <c r="Q515" s="114">
        <f t="shared" si="823"/>
        <v>46318</v>
      </c>
      <c r="R515" s="115">
        <v>46252</v>
      </c>
      <c r="S515" s="114">
        <f t="shared" si="825"/>
        <v>46332</v>
      </c>
      <c r="T515" s="114">
        <f t="shared" si="824"/>
        <v>46332</v>
      </c>
      <c r="U515" s="114">
        <v>46262</v>
      </c>
      <c r="W515" s="169" t="str">
        <f t="shared" ca="1" si="826"/>
        <v>Completed</v>
      </c>
      <c r="X515" s="169" t="str">
        <f t="shared" ca="1" si="827"/>
        <v>Completed</v>
      </c>
      <c r="Y515" s="169" t="str">
        <f t="shared" ca="1" si="828"/>
        <v>Completed</v>
      </c>
      <c r="Z515" s="170" t="str">
        <f t="shared" ca="1" si="829"/>
        <v>Completed</v>
      </c>
    </row>
    <row r="516" spans="1:26" s="70" customFormat="1" ht="11.5" x14ac:dyDescent="0.25">
      <c r="A516" s="111" t="s">
        <v>67</v>
      </c>
      <c r="B516" s="111" t="s">
        <v>14</v>
      </c>
      <c r="C516" s="111" t="s">
        <v>848</v>
      </c>
      <c r="D516" s="111" t="s">
        <v>827</v>
      </c>
      <c r="E516" s="112">
        <f t="shared" si="815"/>
        <v>0.7</v>
      </c>
      <c r="F516" s="112">
        <f t="shared" si="816"/>
        <v>0.7</v>
      </c>
      <c r="G516" s="112">
        <f t="shared" si="816"/>
        <v>1</v>
      </c>
      <c r="H516" s="112">
        <f t="shared" si="817"/>
        <v>0.30000000000000004</v>
      </c>
      <c r="I516" s="113">
        <v>4.7E-2</v>
      </c>
      <c r="J516" s="114">
        <f t="shared" si="818"/>
        <v>46234</v>
      </c>
      <c r="K516" s="114">
        <f t="shared" si="819"/>
        <v>46234</v>
      </c>
      <c r="L516" s="143">
        <v>46162</v>
      </c>
      <c r="M516" s="115">
        <f t="shared" si="820"/>
        <v>46276</v>
      </c>
      <c r="N516" s="114">
        <f t="shared" si="821"/>
        <v>46276</v>
      </c>
      <c r="O516" s="114">
        <v>46191</v>
      </c>
      <c r="P516" s="114">
        <f t="shared" si="822"/>
        <v>46318</v>
      </c>
      <c r="Q516" s="114">
        <f t="shared" si="823"/>
        <v>46318</v>
      </c>
      <c r="R516" s="115">
        <v>46252</v>
      </c>
      <c r="S516" s="114">
        <f t="shared" si="825"/>
        <v>46332</v>
      </c>
      <c r="T516" s="114">
        <f t="shared" si="824"/>
        <v>46332</v>
      </c>
      <c r="U516" s="114">
        <v>46262</v>
      </c>
      <c r="W516" s="169" t="str">
        <f t="shared" ca="1" si="826"/>
        <v>Completed</v>
      </c>
      <c r="X516" s="169" t="str">
        <f t="shared" ca="1" si="827"/>
        <v>Completed</v>
      </c>
      <c r="Y516" s="169" t="str">
        <f t="shared" ca="1" si="828"/>
        <v>Completed</v>
      </c>
      <c r="Z516" s="170" t="str">
        <f t="shared" ca="1" si="829"/>
        <v>Completed</v>
      </c>
    </row>
    <row r="517" spans="1:26" s="70" customFormat="1" ht="11.5" x14ac:dyDescent="0.25">
      <c r="A517" s="111" t="s">
        <v>67</v>
      </c>
      <c r="B517" s="111" t="s">
        <v>14</v>
      </c>
      <c r="C517" s="111" t="s">
        <v>849</v>
      </c>
      <c r="D517" s="111" t="s">
        <v>828</v>
      </c>
      <c r="E517" s="112">
        <f t="shared" si="815"/>
        <v>0.7</v>
      </c>
      <c r="F517" s="112">
        <f t="shared" si="816"/>
        <v>0.7</v>
      </c>
      <c r="G517" s="112">
        <f t="shared" si="816"/>
        <v>1</v>
      </c>
      <c r="H517" s="112">
        <f t="shared" si="817"/>
        <v>0.30000000000000004</v>
      </c>
      <c r="I517" s="113">
        <v>4.7E-2</v>
      </c>
      <c r="J517" s="114">
        <f t="shared" si="818"/>
        <v>46234</v>
      </c>
      <c r="K517" s="114">
        <f t="shared" si="819"/>
        <v>46234</v>
      </c>
      <c r="L517" s="143">
        <v>46162</v>
      </c>
      <c r="M517" s="115">
        <f t="shared" si="820"/>
        <v>46276</v>
      </c>
      <c r="N517" s="114">
        <f t="shared" si="821"/>
        <v>46276</v>
      </c>
      <c r="O517" s="114">
        <v>46191</v>
      </c>
      <c r="P517" s="114">
        <f t="shared" si="822"/>
        <v>46318</v>
      </c>
      <c r="Q517" s="114">
        <f t="shared" si="823"/>
        <v>46318</v>
      </c>
      <c r="R517" s="115">
        <v>46252</v>
      </c>
      <c r="S517" s="114">
        <f t="shared" si="825"/>
        <v>46332</v>
      </c>
      <c r="T517" s="114">
        <f t="shared" si="824"/>
        <v>46332</v>
      </c>
      <c r="U517" s="114">
        <v>46262</v>
      </c>
      <c r="W517" s="169" t="str">
        <f t="shared" ca="1" si="826"/>
        <v>Completed</v>
      </c>
      <c r="X517" s="169" t="str">
        <f t="shared" ca="1" si="827"/>
        <v>Completed</v>
      </c>
      <c r="Y517" s="169" t="str">
        <f t="shared" ca="1" si="828"/>
        <v>Completed</v>
      </c>
      <c r="Z517" s="170" t="str">
        <f t="shared" ca="1" si="829"/>
        <v>Completed</v>
      </c>
    </row>
    <row r="518" spans="1:26" s="70" customFormat="1" ht="11.5" x14ac:dyDescent="0.25">
      <c r="A518" s="111" t="s">
        <v>67</v>
      </c>
      <c r="B518" s="111" t="s">
        <v>14</v>
      </c>
      <c r="C518" s="111" t="s">
        <v>850</v>
      </c>
      <c r="D518" s="111" t="s">
        <v>829</v>
      </c>
      <c r="E518" s="112">
        <f t="shared" si="815"/>
        <v>0.7</v>
      </c>
      <c r="F518" s="112">
        <f t="shared" si="816"/>
        <v>0.7</v>
      </c>
      <c r="G518" s="112">
        <f t="shared" si="816"/>
        <v>1</v>
      </c>
      <c r="H518" s="112">
        <f t="shared" si="817"/>
        <v>0.30000000000000004</v>
      </c>
      <c r="I518" s="113">
        <v>4.7E-2</v>
      </c>
      <c r="J518" s="114">
        <f t="shared" si="818"/>
        <v>46234</v>
      </c>
      <c r="K518" s="114">
        <f t="shared" si="819"/>
        <v>46234</v>
      </c>
      <c r="L518" s="143">
        <v>46162</v>
      </c>
      <c r="M518" s="115">
        <f t="shared" si="820"/>
        <v>46276</v>
      </c>
      <c r="N518" s="114">
        <f t="shared" si="821"/>
        <v>46276</v>
      </c>
      <c r="O518" s="114">
        <v>46191</v>
      </c>
      <c r="P518" s="114">
        <f t="shared" si="822"/>
        <v>46318</v>
      </c>
      <c r="Q518" s="114">
        <f t="shared" si="823"/>
        <v>46318</v>
      </c>
      <c r="R518" s="115">
        <v>46252</v>
      </c>
      <c r="S518" s="114">
        <f t="shared" si="825"/>
        <v>46332</v>
      </c>
      <c r="T518" s="114">
        <f t="shared" si="824"/>
        <v>46332</v>
      </c>
      <c r="U518" s="114">
        <v>46262</v>
      </c>
      <c r="W518" s="169" t="str">
        <f t="shared" ca="1" si="826"/>
        <v>Completed</v>
      </c>
      <c r="X518" s="169" t="str">
        <f t="shared" ca="1" si="827"/>
        <v>Completed</v>
      </c>
      <c r="Y518" s="169" t="str">
        <f t="shared" ca="1" si="828"/>
        <v>Completed</v>
      </c>
      <c r="Z518" s="170" t="str">
        <f t="shared" ca="1" si="829"/>
        <v>Completed</v>
      </c>
    </row>
    <row r="519" spans="1:26" s="70" customFormat="1" ht="11.5" x14ac:dyDescent="0.25">
      <c r="A519" s="111" t="s">
        <v>67</v>
      </c>
      <c r="B519" s="111" t="s">
        <v>14</v>
      </c>
      <c r="C519" s="111" t="s">
        <v>851</v>
      </c>
      <c r="D519" s="111" t="s">
        <v>830</v>
      </c>
      <c r="E519" s="112">
        <f t="shared" si="815"/>
        <v>0.7</v>
      </c>
      <c r="F519" s="112">
        <f t="shared" si="816"/>
        <v>0.7</v>
      </c>
      <c r="G519" s="112">
        <f t="shared" si="816"/>
        <v>1</v>
      </c>
      <c r="H519" s="112">
        <f t="shared" si="817"/>
        <v>0.30000000000000004</v>
      </c>
      <c r="I519" s="113">
        <v>4.7E-2</v>
      </c>
      <c r="J519" s="114">
        <f t="shared" si="818"/>
        <v>46234</v>
      </c>
      <c r="K519" s="114">
        <f t="shared" si="819"/>
        <v>46234</v>
      </c>
      <c r="L519" s="143">
        <v>46162</v>
      </c>
      <c r="M519" s="115">
        <f t="shared" si="820"/>
        <v>46276</v>
      </c>
      <c r="N519" s="114">
        <f t="shared" si="821"/>
        <v>46276</v>
      </c>
      <c r="O519" s="114">
        <v>46191</v>
      </c>
      <c r="P519" s="114">
        <f t="shared" si="822"/>
        <v>46318</v>
      </c>
      <c r="Q519" s="114">
        <f t="shared" si="823"/>
        <v>46318</v>
      </c>
      <c r="R519" s="115">
        <v>46252</v>
      </c>
      <c r="S519" s="114">
        <f t="shared" si="825"/>
        <v>46332</v>
      </c>
      <c r="T519" s="114">
        <f t="shared" si="824"/>
        <v>46332</v>
      </c>
      <c r="U519" s="114">
        <v>46262</v>
      </c>
      <c r="W519" s="169" t="str">
        <f t="shared" ca="1" si="826"/>
        <v>Completed</v>
      </c>
      <c r="X519" s="169" t="str">
        <f t="shared" ca="1" si="827"/>
        <v>Completed</v>
      </c>
      <c r="Y519" s="169" t="str">
        <f t="shared" ca="1" si="828"/>
        <v>Completed</v>
      </c>
      <c r="Z519" s="170" t="str">
        <f t="shared" ca="1" si="829"/>
        <v>Completed</v>
      </c>
    </row>
    <row r="520" spans="1:26" s="70" customFormat="1" ht="11.5" x14ac:dyDescent="0.25">
      <c r="A520" s="111" t="s">
        <v>67</v>
      </c>
      <c r="B520" s="111" t="s">
        <v>14</v>
      </c>
      <c r="C520" s="111" t="s">
        <v>852</v>
      </c>
      <c r="D520" s="111" t="s">
        <v>831</v>
      </c>
      <c r="E520" s="112">
        <f t="shared" si="815"/>
        <v>0.7</v>
      </c>
      <c r="F520" s="112">
        <f t="shared" si="816"/>
        <v>0.7</v>
      </c>
      <c r="G520" s="112">
        <f t="shared" si="816"/>
        <v>1</v>
      </c>
      <c r="H520" s="112">
        <f t="shared" si="817"/>
        <v>0.30000000000000004</v>
      </c>
      <c r="I520" s="113">
        <v>4.7E-2</v>
      </c>
      <c r="J520" s="114">
        <f t="shared" si="818"/>
        <v>46234</v>
      </c>
      <c r="K520" s="114">
        <f t="shared" si="819"/>
        <v>46234</v>
      </c>
      <c r="L520" s="143">
        <v>46162</v>
      </c>
      <c r="M520" s="115">
        <f t="shared" si="820"/>
        <v>46276</v>
      </c>
      <c r="N520" s="114">
        <f t="shared" si="821"/>
        <v>46276</v>
      </c>
      <c r="O520" s="114">
        <v>46191</v>
      </c>
      <c r="P520" s="114">
        <f t="shared" si="822"/>
        <v>46318</v>
      </c>
      <c r="Q520" s="114">
        <f t="shared" si="823"/>
        <v>46318</v>
      </c>
      <c r="R520" s="115">
        <v>46252</v>
      </c>
      <c r="S520" s="114">
        <f t="shared" si="825"/>
        <v>46332</v>
      </c>
      <c r="T520" s="114">
        <f t="shared" si="824"/>
        <v>46332</v>
      </c>
      <c r="U520" s="114">
        <v>46262</v>
      </c>
      <c r="W520" s="169" t="str">
        <f t="shared" ca="1" si="826"/>
        <v>Completed</v>
      </c>
      <c r="X520" s="169" t="str">
        <f t="shared" ca="1" si="827"/>
        <v>Completed</v>
      </c>
      <c r="Y520" s="169" t="str">
        <f t="shared" ca="1" si="828"/>
        <v>Completed</v>
      </c>
      <c r="Z520" s="170" t="str">
        <f t="shared" ca="1" si="829"/>
        <v>Completed</v>
      </c>
    </row>
    <row r="521" spans="1:26" s="70" customFormat="1" ht="11.5" x14ac:dyDescent="0.25">
      <c r="A521" s="111" t="s">
        <v>67</v>
      </c>
      <c r="B521" s="111" t="s">
        <v>14</v>
      </c>
      <c r="C521" s="111" t="s">
        <v>853</v>
      </c>
      <c r="D521" s="111" t="s">
        <v>832</v>
      </c>
      <c r="E521" s="112">
        <f t="shared" si="815"/>
        <v>0.7</v>
      </c>
      <c r="F521" s="112">
        <f t="shared" si="816"/>
        <v>0.7</v>
      </c>
      <c r="G521" s="112">
        <f t="shared" si="816"/>
        <v>1</v>
      </c>
      <c r="H521" s="112">
        <f t="shared" si="817"/>
        <v>0.30000000000000004</v>
      </c>
      <c r="I521" s="113">
        <v>4.7E-2</v>
      </c>
      <c r="J521" s="114">
        <f t="shared" si="818"/>
        <v>46234</v>
      </c>
      <c r="K521" s="114">
        <f t="shared" si="819"/>
        <v>46234</v>
      </c>
      <c r="L521" s="143">
        <v>46162</v>
      </c>
      <c r="M521" s="115">
        <f t="shared" si="820"/>
        <v>46276</v>
      </c>
      <c r="N521" s="114">
        <f t="shared" si="821"/>
        <v>46276</v>
      </c>
      <c r="O521" s="114">
        <v>46191</v>
      </c>
      <c r="P521" s="114">
        <f t="shared" si="822"/>
        <v>46318</v>
      </c>
      <c r="Q521" s="114">
        <f t="shared" si="823"/>
        <v>46318</v>
      </c>
      <c r="R521" s="115">
        <v>46252</v>
      </c>
      <c r="S521" s="114">
        <f t="shared" si="825"/>
        <v>46332</v>
      </c>
      <c r="T521" s="114">
        <f t="shared" si="824"/>
        <v>46332</v>
      </c>
      <c r="U521" s="114">
        <v>46262</v>
      </c>
      <c r="W521" s="169" t="str">
        <f t="shared" ca="1" si="826"/>
        <v>Completed</v>
      </c>
      <c r="X521" s="169" t="str">
        <f t="shared" ca="1" si="827"/>
        <v>Completed</v>
      </c>
      <c r="Y521" s="169" t="str">
        <f t="shared" ca="1" si="828"/>
        <v>Completed</v>
      </c>
      <c r="Z521" s="170" t="str">
        <f t="shared" ca="1" si="829"/>
        <v>Completed</v>
      </c>
    </row>
    <row r="522" spans="1:26" s="70" customFormat="1" ht="11.5" x14ac:dyDescent="0.25">
      <c r="A522" s="111" t="s">
        <v>67</v>
      </c>
      <c r="B522" s="111" t="s">
        <v>14</v>
      </c>
      <c r="C522" s="111" t="s">
        <v>854</v>
      </c>
      <c r="D522" s="111" t="s">
        <v>833</v>
      </c>
      <c r="E522" s="112">
        <f t="shared" si="815"/>
        <v>0.7</v>
      </c>
      <c r="F522" s="112">
        <f t="shared" si="816"/>
        <v>0.7</v>
      </c>
      <c r="G522" s="112">
        <f t="shared" si="816"/>
        <v>1</v>
      </c>
      <c r="H522" s="112">
        <f t="shared" si="817"/>
        <v>0.30000000000000004</v>
      </c>
      <c r="I522" s="113">
        <v>4.7E-2</v>
      </c>
      <c r="J522" s="114">
        <f t="shared" si="818"/>
        <v>46234</v>
      </c>
      <c r="K522" s="114">
        <f t="shared" si="819"/>
        <v>46234</v>
      </c>
      <c r="L522" s="143">
        <v>46162</v>
      </c>
      <c r="M522" s="115">
        <f t="shared" si="820"/>
        <v>46276</v>
      </c>
      <c r="N522" s="114">
        <f t="shared" si="821"/>
        <v>46276</v>
      </c>
      <c r="O522" s="114">
        <v>46191</v>
      </c>
      <c r="P522" s="114">
        <f t="shared" si="822"/>
        <v>46318</v>
      </c>
      <c r="Q522" s="114">
        <f t="shared" si="823"/>
        <v>46318</v>
      </c>
      <c r="R522" s="115">
        <v>46252</v>
      </c>
      <c r="S522" s="114">
        <f t="shared" si="825"/>
        <v>46332</v>
      </c>
      <c r="T522" s="114">
        <f t="shared" si="824"/>
        <v>46332</v>
      </c>
      <c r="U522" s="114">
        <v>46262</v>
      </c>
      <c r="W522" s="169" t="str">
        <f t="shared" ca="1" si="826"/>
        <v>Completed</v>
      </c>
      <c r="X522" s="169" t="str">
        <f t="shared" ca="1" si="827"/>
        <v>Completed</v>
      </c>
      <c r="Y522" s="169" t="str">
        <f t="shared" ca="1" si="828"/>
        <v>Completed</v>
      </c>
      <c r="Z522" s="170" t="str">
        <f t="shared" ca="1" si="829"/>
        <v>Completed</v>
      </c>
    </row>
    <row r="523" spans="1:26" s="70" customFormat="1" ht="11.5" x14ac:dyDescent="0.25">
      <c r="A523" s="111" t="s">
        <v>67</v>
      </c>
      <c r="B523" s="111" t="s">
        <v>14</v>
      </c>
      <c r="C523" s="111" t="s">
        <v>571</v>
      </c>
      <c r="D523" s="111" t="s">
        <v>572</v>
      </c>
      <c r="E523" s="112">
        <f t="shared" si="815"/>
        <v>0.7</v>
      </c>
      <c r="F523" s="112">
        <f t="shared" si="816"/>
        <v>0.7</v>
      </c>
      <c r="G523" s="112">
        <f t="shared" si="816"/>
        <v>0.7</v>
      </c>
      <c r="H523" s="112">
        <f t="shared" si="817"/>
        <v>0</v>
      </c>
      <c r="I523" s="113">
        <v>4.7E-2</v>
      </c>
      <c r="J523" s="114">
        <f t="shared" si="818"/>
        <v>46220</v>
      </c>
      <c r="K523" s="114">
        <f t="shared" si="819"/>
        <v>46220</v>
      </c>
      <c r="L523" s="115">
        <v>46184</v>
      </c>
      <c r="M523" s="115">
        <f t="shared" si="820"/>
        <v>46262</v>
      </c>
      <c r="N523" s="114">
        <f t="shared" si="821"/>
        <v>46262</v>
      </c>
      <c r="O523" s="114">
        <v>46213</v>
      </c>
      <c r="P523" s="114">
        <f t="shared" si="822"/>
        <v>46304</v>
      </c>
      <c r="Q523" s="114">
        <f t="shared" si="823"/>
        <v>46304</v>
      </c>
      <c r="R523" s="114"/>
      <c r="S523" s="114">
        <f t="shared" si="825"/>
        <v>46318</v>
      </c>
      <c r="T523" s="114">
        <f t="shared" si="824"/>
        <v>46318</v>
      </c>
      <c r="U523" s="114"/>
      <c r="W523" s="169" t="str">
        <f t="shared" ca="1" si="826"/>
        <v>Completed</v>
      </c>
      <c r="X523" s="169" t="str">
        <f t="shared" ca="1" si="827"/>
        <v>Completed</v>
      </c>
      <c r="Y523" s="169" t="str">
        <f t="shared" ca="1" si="828"/>
        <v/>
      </c>
      <c r="Z523" s="170" t="str">
        <f t="shared" ca="1" si="829"/>
        <v/>
      </c>
    </row>
    <row r="524" spans="1:26" s="70" customFormat="1" ht="11.5" x14ac:dyDescent="0.25">
      <c r="A524" s="188" t="s">
        <v>67</v>
      </c>
      <c r="B524" s="188" t="s">
        <v>14</v>
      </c>
      <c r="C524" s="188" t="s">
        <v>573</v>
      </c>
      <c r="D524" s="188" t="s">
        <v>1150</v>
      </c>
      <c r="E524" s="189"/>
      <c r="F524" s="189"/>
      <c r="G524" s="189">
        <f t="shared" si="816"/>
        <v>1</v>
      </c>
      <c r="H524" s="189"/>
      <c r="I524" s="190">
        <v>4.7E-2</v>
      </c>
      <c r="J524" s="191">
        <f t="shared" si="818"/>
        <v>46220</v>
      </c>
      <c r="K524" s="191">
        <f t="shared" si="819"/>
        <v>46220</v>
      </c>
      <c r="L524" s="191">
        <v>46184</v>
      </c>
      <c r="M524" s="197">
        <f t="shared" si="820"/>
        <v>46262</v>
      </c>
      <c r="N524" s="191">
        <f t="shared" si="821"/>
        <v>46262</v>
      </c>
      <c r="O524" s="191">
        <v>46213</v>
      </c>
      <c r="P524" s="191">
        <f t="shared" si="822"/>
        <v>46304</v>
      </c>
      <c r="Q524" s="191">
        <f t="shared" si="823"/>
        <v>46304</v>
      </c>
      <c r="R524" s="191">
        <v>46262</v>
      </c>
      <c r="S524" s="191">
        <f t="shared" si="825"/>
        <v>46318</v>
      </c>
      <c r="T524" s="191">
        <f t="shared" si="824"/>
        <v>46318</v>
      </c>
      <c r="U524" s="191">
        <v>46262</v>
      </c>
      <c r="W524" s="169" t="str">
        <f t="shared" ca="1" si="826"/>
        <v>Completed</v>
      </c>
      <c r="X524" s="169" t="str">
        <f t="shared" ca="1" si="827"/>
        <v>Completed</v>
      </c>
      <c r="Y524" s="169" t="str">
        <f t="shared" ca="1" si="828"/>
        <v>Completed</v>
      </c>
      <c r="Z524" s="170" t="str">
        <f t="shared" ca="1" si="829"/>
        <v>Completed</v>
      </c>
    </row>
    <row r="525" spans="1:26" s="70" customFormat="1" ht="11.5" x14ac:dyDescent="0.25">
      <c r="A525" s="117" t="s">
        <v>67</v>
      </c>
      <c r="B525" s="117" t="s">
        <v>14</v>
      </c>
      <c r="C525" s="117" t="s">
        <v>574</v>
      </c>
      <c r="D525" s="117" t="s">
        <v>575</v>
      </c>
      <c r="E525" s="118">
        <f t="shared" si="815"/>
        <v>0.7</v>
      </c>
      <c r="F525" s="118">
        <f t="shared" si="816"/>
        <v>0.7</v>
      </c>
      <c r="G525" s="118">
        <f t="shared" si="816"/>
        <v>0.7</v>
      </c>
      <c r="H525" s="118">
        <f t="shared" si="817"/>
        <v>0</v>
      </c>
      <c r="I525" s="119">
        <v>4.7E-2</v>
      </c>
      <c r="J525" s="114">
        <f t="shared" si="818"/>
        <v>46220</v>
      </c>
      <c r="K525" s="114">
        <f t="shared" si="819"/>
        <v>46220</v>
      </c>
      <c r="L525" s="115">
        <v>46268</v>
      </c>
      <c r="M525" s="115">
        <f t="shared" si="820"/>
        <v>46262</v>
      </c>
      <c r="N525" s="114">
        <f t="shared" si="821"/>
        <v>46262</v>
      </c>
      <c r="O525" s="161">
        <v>46281</v>
      </c>
      <c r="P525" s="114">
        <f t="shared" si="822"/>
        <v>46304</v>
      </c>
      <c r="Q525" s="114">
        <f t="shared" si="823"/>
        <v>46304</v>
      </c>
      <c r="R525" s="115"/>
      <c r="S525" s="114">
        <f t="shared" si="825"/>
        <v>46318</v>
      </c>
      <c r="T525" s="114">
        <f t="shared" si="824"/>
        <v>46318</v>
      </c>
      <c r="U525" s="115"/>
      <c r="W525" s="169" t="str">
        <f t="shared" ca="1" si="826"/>
        <v>Completed</v>
      </c>
      <c r="X525" s="169" t="str">
        <f t="shared" ca="1" si="827"/>
        <v>Completed</v>
      </c>
      <c r="Y525" s="169" t="str">
        <f t="shared" ca="1" si="828"/>
        <v/>
      </c>
      <c r="Z525" s="170" t="str">
        <f t="shared" ca="1" si="829"/>
        <v/>
      </c>
    </row>
    <row r="526" spans="1:26" s="70" customFormat="1" ht="11.5" x14ac:dyDescent="0.25">
      <c r="A526" s="117" t="s">
        <v>67</v>
      </c>
      <c r="B526" s="117" t="s">
        <v>14</v>
      </c>
      <c r="C526" s="117" t="s">
        <v>576</v>
      </c>
      <c r="D526" s="117" t="s">
        <v>577</v>
      </c>
      <c r="E526" s="118">
        <f t="shared" si="815"/>
        <v>0.7</v>
      </c>
      <c r="F526" s="118">
        <f t="shared" si="816"/>
        <v>0.7</v>
      </c>
      <c r="G526" s="118">
        <f t="shared" si="816"/>
        <v>0.7</v>
      </c>
      <c r="H526" s="118">
        <f t="shared" si="817"/>
        <v>0</v>
      </c>
      <c r="I526" s="119">
        <v>4.7E-2</v>
      </c>
      <c r="J526" s="114">
        <f t="shared" si="818"/>
        <v>46220</v>
      </c>
      <c r="K526" s="114">
        <f t="shared" si="819"/>
        <v>46220</v>
      </c>
      <c r="L526" s="115">
        <v>46268</v>
      </c>
      <c r="M526" s="115">
        <f t="shared" si="820"/>
        <v>46262</v>
      </c>
      <c r="N526" s="114">
        <f t="shared" si="821"/>
        <v>46262</v>
      </c>
      <c r="O526" s="161">
        <v>46281</v>
      </c>
      <c r="P526" s="114">
        <f t="shared" si="822"/>
        <v>46304</v>
      </c>
      <c r="Q526" s="114">
        <f t="shared" si="823"/>
        <v>46304</v>
      </c>
      <c r="R526" s="115"/>
      <c r="S526" s="114">
        <f t="shared" si="825"/>
        <v>46318</v>
      </c>
      <c r="T526" s="114">
        <f t="shared" si="824"/>
        <v>46318</v>
      </c>
      <c r="U526" s="115"/>
      <c r="W526" s="169" t="str">
        <f t="shared" ca="1" si="826"/>
        <v>Completed</v>
      </c>
      <c r="X526" s="169" t="str">
        <f t="shared" ca="1" si="827"/>
        <v>Completed</v>
      </c>
      <c r="Y526" s="169" t="str">
        <f t="shared" ca="1" si="828"/>
        <v/>
      </c>
      <c r="Z526" s="170" t="str">
        <f t="shared" ca="1" si="829"/>
        <v/>
      </c>
    </row>
    <row r="527" spans="1:26" s="70" customFormat="1" ht="11.5" x14ac:dyDescent="0.25">
      <c r="A527" s="117" t="s">
        <v>67</v>
      </c>
      <c r="B527" s="117" t="s">
        <v>14</v>
      </c>
      <c r="C527" s="117" t="s">
        <v>578</v>
      </c>
      <c r="D527" s="117" t="s">
        <v>579</v>
      </c>
      <c r="E527" s="118">
        <f t="shared" si="815"/>
        <v>0.7</v>
      </c>
      <c r="F527" s="118">
        <f t="shared" si="816"/>
        <v>0.7</v>
      </c>
      <c r="G527" s="118">
        <f t="shared" si="816"/>
        <v>0.7</v>
      </c>
      <c r="H527" s="118">
        <f t="shared" si="817"/>
        <v>0</v>
      </c>
      <c r="I527" s="119">
        <v>4.7E-2</v>
      </c>
      <c r="J527" s="114">
        <f t="shared" si="818"/>
        <v>46241</v>
      </c>
      <c r="K527" s="114">
        <f t="shared" si="819"/>
        <v>46241</v>
      </c>
      <c r="L527" s="114">
        <v>46142</v>
      </c>
      <c r="M527" s="115">
        <f t="shared" si="820"/>
        <v>46283</v>
      </c>
      <c r="N527" s="114">
        <f t="shared" si="821"/>
        <v>46283</v>
      </c>
      <c r="O527" s="115">
        <v>46268</v>
      </c>
      <c r="P527" s="114">
        <f t="shared" si="822"/>
        <v>46325</v>
      </c>
      <c r="Q527" s="114">
        <f t="shared" si="823"/>
        <v>46325</v>
      </c>
      <c r="R527" s="115"/>
      <c r="S527" s="114">
        <f t="shared" si="825"/>
        <v>46339</v>
      </c>
      <c r="T527" s="114">
        <f t="shared" si="824"/>
        <v>46339</v>
      </c>
      <c r="U527" s="115"/>
      <c r="W527" s="169" t="str">
        <f t="shared" ca="1" si="826"/>
        <v>Completed</v>
      </c>
      <c r="X527" s="169" t="str">
        <f t="shared" ca="1" si="827"/>
        <v>Completed</v>
      </c>
      <c r="Y527" s="169" t="str">
        <f t="shared" ca="1" si="828"/>
        <v/>
      </c>
      <c r="Z527" s="170" t="str">
        <f t="shared" ca="1" si="829"/>
        <v/>
      </c>
    </row>
    <row r="528" spans="1:26" s="70" customFormat="1" ht="11.5" x14ac:dyDescent="0.25">
      <c r="A528" s="117" t="s">
        <v>67</v>
      </c>
      <c r="B528" s="117" t="s">
        <v>14</v>
      </c>
      <c r="C528" s="117" t="s">
        <v>1012</v>
      </c>
      <c r="D528" s="117" t="s">
        <v>580</v>
      </c>
      <c r="E528" s="118">
        <f t="shared" si="815"/>
        <v>0.7</v>
      </c>
      <c r="F528" s="118">
        <f t="shared" si="816"/>
        <v>0.7</v>
      </c>
      <c r="G528" s="118">
        <f t="shared" si="816"/>
        <v>0.7</v>
      </c>
      <c r="H528" s="118">
        <f t="shared" si="817"/>
        <v>0</v>
      </c>
      <c r="I528" s="119">
        <v>4.7E-2</v>
      </c>
      <c r="J528" s="114">
        <f t="shared" si="818"/>
        <v>46241</v>
      </c>
      <c r="K528" s="114">
        <f t="shared" si="819"/>
        <v>46241</v>
      </c>
      <c r="L528" s="114">
        <v>46142</v>
      </c>
      <c r="M528" s="115">
        <f t="shared" si="820"/>
        <v>46283</v>
      </c>
      <c r="N528" s="114">
        <f t="shared" si="821"/>
        <v>46283</v>
      </c>
      <c r="O528" s="115">
        <v>46268</v>
      </c>
      <c r="P528" s="114">
        <f t="shared" si="822"/>
        <v>46325</v>
      </c>
      <c r="Q528" s="114">
        <f t="shared" si="823"/>
        <v>46325</v>
      </c>
      <c r="R528" s="115"/>
      <c r="S528" s="114">
        <f t="shared" si="825"/>
        <v>46339</v>
      </c>
      <c r="T528" s="114">
        <f t="shared" si="824"/>
        <v>46339</v>
      </c>
      <c r="U528" s="115"/>
      <c r="W528" s="169" t="str">
        <f t="shared" ca="1" si="826"/>
        <v>Completed</v>
      </c>
      <c r="X528" s="169" t="str">
        <f t="shared" ca="1" si="827"/>
        <v>Completed</v>
      </c>
      <c r="Y528" s="169" t="str">
        <f t="shared" ca="1" si="828"/>
        <v/>
      </c>
      <c r="Z528" s="170" t="str">
        <f t="shared" ca="1" si="829"/>
        <v/>
      </c>
    </row>
    <row r="529" spans="1:26" s="70" customFormat="1" ht="11.5" x14ac:dyDescent="0.25">
      <c r="A529" s="117" t="s">
        <v>67</v>
      </c>
      <c r="B529" s="117" t="s">
        <v>14</v>
      </c>
      <c r="C529" s="117" t="s">
        <v>1013</v>
      </c>
      <c r="D529" s="117" t="s">
        <v>581</v>
      </c>
      <c r="E529" s="118">
        <f t="shared" si="815"/>
        <v>0.7</v>
      </c>
      <c r="F529" s="118">
        <f t="shared" si="816"/>
        <v>0.7</v>
      </c>
      <c r="G529" s="118">
        <f t="shared" si="816"/>
        <v>0.7</v>
      </c>
      <c r="H529" s="118">
        <f t="shared" si="817"/>
        <v>0</v>
      </c>
      <c r="I529" s="119">
        <v>4.7E-2</v>
      </c>
      <c r="J529" s="114">
        <f t="shared" si="818"/>
        <v>46241</v>
      </c>
      <c r="K529" s="114">
        <f t="shared" si="819"/>
        <v>46241</v>
      </c>
      <c r="L529" s="114">
        <v>46142</v>
      </c>
      <c r="M529" s="115">
        <f t="shared" si="820"/>
        <v>46283</v>
      </c>
      <c r="N529" s="114">
        <f t="shared" si="821"/>
        <v>46283</v>
      </c>
      <c r="O529" s="115">
        <v>46268</v>
      </c>
      <c r="P529" s="114">
        <f t="shared" si="822"/>
        <v>46325</v>
      </c>
      <c r="Q529" s="114">
        <f t="shared" si="823"/>
        <v>46325</v>
      </c>
      <c r="R529" s="115"/>
      <c r="S529" s="114">
        <f t="shared" si="825"/>
        <v>46339</v>
      </c>
      <c r="T529" s="114">
        <f t="shared" si="824"/>
        <v>46339</v>
      </c>
      <c r="U529" s="115"/>
      <c r="W529" s="169" t="str">
        <f t="shared" ca="1" si="826"/>
        <v>Completed</v>
      </c>
      <c r="X529" s="169" t="str">
        <f t="shared" ca="1" si="827"/>
        <v>Completed</v>
      </c>
      <c r="Y529" s="169" t="str">
        <f t="shared" ca="1" si="828"/>
        <v/>
      </c>
      <c r="Z529" s="170" t="str">
        <f t="shared" ca="1" si="829"/>
        <v/>
      </c>
    </row>
    <row r="530" spans="1:26" s="70" customFormat="1" ht="9" customHeight="1" x14ac:dyDescent="0.25">
      <c r="A530" s="117" t="s">
        <v>67</v>
      </c>
      <c r="B530" s="117" t="s">
        <v>14</v>
      </c>
      <c r="C530" s="117" t="s">
        <v>1014</v>
      </c>
      <c r="D530" s="117" t="s">
        <v>582</v>
      </c>
      <c r="E530" s="118">
        <f t="shared" si="815"/>
        <v>0.7</v>
      </c>
      <c r="F530" s="118">
        <f t="shared" si="816"/>
        <v>0.7</v>
      </c>
      <c r="G530" s="118">
        <f t="shared" si="816"/>
        <v>0.7</v>
      </c>
      <c r="H530" s="118">
        <f t="shared" si="817"/>
        <v>0</v>
      </c>
      <c r="I530" s="119">
        <v>4.7E-2</v>
      </c>
      <c r="J530" s="114">
        <f t="shared" si="818"/>
        <v>46241</v>
      </c>
      <c r="K530" s="114">
        <f t="shared" si="819"/>
        <v>46241</v>
      </c>
      <c r="L530" s="114">
        <v>46142</v>
      </c>
      <c r="M530" s="115">
        <f t="shared" si="820"/>
        <v>46283</v>
      </c>
      <c r="N530" s="114">
        <f t="shared" si="821"/>
        <v>46283</v>
      </c>
      <c r="O530" s="115">
        <v>46268</v>
      </c>
      <c r="P530" s="114">
        <f t="shared" si="822"/>
        <v>46325</v>
      </c>
      <c r="Q530" s="114">
        <f t="shared" si="823"/>
        <v>46325</v>
      </c>
      <c r="R530" s="115"/>
      <c r="S530" s="114">
        <f t="shared" si="825"/>
        <v>46339</v>
      </c>
      <c r="T530" s="114">
        <f t="shared" si="824"/>
        <v>46339</v>
      </c>
      <c r="U530" s="115"/>
      <c r="W530" s="169" t="str">
        <f t="shared" ca="1" si="826"/>
        <v>Completed</v>
      </c>
      <c r="X530" s="169" t="str">
        <f t="shared" ca="1" si="827"/>
        <v>Completed</v>
      </c>
      <c r="Y530" s="169" t="str">
        <f t="shared" ca="1" si="828"/>
        <v/>
      </c>
      <c r="Z530" s="170" t="str">
        <f t="shared" ca="1" si="829"/>
        <v/>
      </c>
    </row>
    <row r="531" spans="1:26" s="70" customFormat="1" ht="9" customHeight="1" x14ac:dyDescent="0.25">
      <c r="A531" s="117" t="s">
        <v>67</v>
      </c>
      <c r="B531" s="117" t="s">
        <v>14</v>
      </c>
      <c r="C531" s="117" t="s">
        <v>1015</v>
      </c>
      <c r="D531" s="117" t="s">
        <v>583</v>
      </c>
      <c r="E531" s="118">
        <f t="shared" ref="E531" si="830">(COUNTIFS(J531,"&lt;="&amp;$C$1)*50%)+(COUNTIFS(M531,"&lt;="&amp;$C$1)*20%)+(COUNTIFS(P531,"&lt;="&amp;$C$1)*10%)+(COUNTIFS(S531,"&lt;="&amp;$C$1)*20%)</f>
        <v>0.7</v>
      </c>
      <c r="F531" s="118">
        <f t="shared" ref="F531" si="831">(COUNTIFS(K531,"&lt;="&amp;$C$1)*50%)+(COUNTIFS(N531,"&lt;="&amp;$C$1)*20%)+(COUNTIFS(Q531,"&lt;="&amp;$C$1)*10%)+(COUNTIFS(T531,"&lt;="&amp;$C$1)*20%)</f>
        <v>0.7</v>
      </c>
      <c r="G531" s="118">
        <f t="shared" ref="G531" si="832">(COUNTIFS(L531,"&lt;="&amp;$C$1)*50%)+(COUNTIFS(O531,"&lt;="&amp;$C$1)*20%)+(COUNTIFS(R531,"&lt;="&amp;$C$1)*10%)+(COUNTIFS(U531,"&lt;="&amp;$C$1)*20%)</f>
        <v>0.7</v>
      </c>
      <c r="H531" s="118">
        <f t="shared" ref="H531" si="833">G531-E531</f>
        <v>0</v>
      </c>
      <c r="I531" s="119">
        <v>4.7E-2</v>
      </c>
      <c r="J531" s="114">
        <f t="shared" si="818"/>
        <v>46241</v>
      </c>
      <c r="K531" s="114">
        <f t="shared" si="819"/>
        <v>46241</v>
      </c>
      <c r="L531" s="114">
        <v>46142</v>
      </c>
      <c r="M531" s="115">
        <f t="shared" si="820"/>
        <v>46283</v>
      </c>
      <c r="N531" s="114">
        <f t="shared" si="821"/>
        <v>46283</v>
      </c>
      <c r="O531" s="115">
        <v>46268</v>
      </c>
      <c r="P531" s="114">
        <f t="shared" si="822"/>
        <v>46325</v>
      </c>
      <c r="Q531" s="114">
        <f t="shared" si="823"/>
        <v>46325</v>
      </c>
      <c r="R531" s="115"/>
      <c r="S531" s="114">
        <f t="shared" si="825"/>
        <v>46339</v>
      </c>
      <c r="T531" s="114">
        <f t="shared" si="824"/>
        <v>46339</v>
      </c>
      <c r="U531" s="115"/>
      <c r="W531" s="169" t="str">
        <f t="shared" ca="1" si="826"/>
        <v>Completed</v>
      </c>
      <c r="X531" s="169" t="str">
        <f t="shared" ca="1" si="827"/>
        <v>Completed</v>
      </c>
      <c r="Y531" s="169" t="str">
        <f t="shared" ca="1" si="828"/>
        <v/>
      </c>
      <c r="Z531" s="170" t="str">
        <f t="shared" ca="1" si="829"/>
        <v/>
      </c>
    </row>
    <row r="532" spans="1:26" s="70" customFormat="1" ht="11.5" x14ac:dyDescent="0.25">
      <c r="A532" s="117" t="s">
        <v>67</v>
      </c>
      <c r="B532" s="117" t="s">
        <v>14</v>
      </c>
      <c r="C532" s="117" t="s">
        <v>1016</v>
      </c>
      <c r="D532" s="117" t="s">
        <v>584</v>
      </c>
      <c r="E532" s="118">
        <f t="shared" si="815"/>
        <v>0.7</v>
      </c>
      <c r="F532" s="118">
        <f t="shared" si="816"/>
        <v>0.7</v>
      </c>
      <c r="G532" s="118">
        <f t="shared" si="816"/>
        <v>0.7</v>
      </c>
      <c r="H532" s="118">
        <f t="shared" si="817"/>
        <v>0</v>
      </c>
      <c r="I532" s="119">
        <v>4.7E-2</v>
      </c>
      <c r="J532" s="114">
        <f t="shared" si="818"/>
        <v>46241</v>
      </c>
      <c r="K532" s="114">
        <f t="shared" si="819"/>
        <v>46241</v>
      </c>
      <c r="L532" s="114">
        <v>46142</v>
      </c>
      <c r="M532" s="115">
        <f t="shared" si="820"/>
        <v>46283</v>
      </c>
      <c r="N532" s="114">
        <f t="shared" si="821"/>
        <v>46283</v>
      </c>
      <c r="O532" s="115">
        <v>46268</v>
      </c>
      <c r="P532" s="114">
        <f t="shared" si="822"/>
        <v>46325</v>
      </c>
      <c r="Q532" s="114">
        <f t="shared" si="823"/>
        <v>46325</v>
      </c>
      <c r="R532" s="115"/>
      <c r="S532" s="114">
        <f t="shared" si="825"/>
        <v>46339</v>
      </c>
      <c r="T532" s="114">
        <f t="shared" si="824"/>
        <v>46339</v>
      </c>
      <c r="U532" s="115"/>
      <c r="W532" s="169" t="str">
        <f t="shared" ca="1" si="826"/>
        <v>Completed</v>
      </c>
      <c r="X532" s="169" t="str">
        <f t="shared" ca="1" si="827"/>
        <v>Completed</v>
      </c>
      <c r="Y532" s="169" t="str">
        <f t="shared" ca="1" si="828"/>
        <v/>
      </c>
      <c r="Z532" s="170" t="str">
        <f t="shared" ca="1" si="829"/>
        <v/>
      </c>
    </row>
    <row r="533" spans="1:26" s="70" customFormat="1" ht="11.5" x14ac:dyDescent="0.25">
      <c r="A533" s="117" t="s">
        <v>67</v>
      </c>
      <c r="B533" s="117" t="s">
        <v>14</v>
      </c>
      <c r="C533" s="117" t="s">
        <v>1017</v>
      </c>
      <c r="D533" s="117" t="s">
        <v>585</v>
      </c>
      <c r="E533" s="118">
        <f t="shared" si="815"/>
        <v>0.7</v>
      </c>
      <c r="F533" s="118">
        <f t="shared" si="816"/>
        <v>0.7</v>
      </c>
      <c r="G533" s="118">
        <f t="shared" si="816"/>
        <v>0.7</v>
      </c>
      <c r="H533" s="118">
        <f t="shared" si="817"/>
        <v>0</v>
      </c>
      <c r="I533" s="119">
        <v>4.7E-2</v>
      </c>
      <c r="J533" s="114">
        <f t="shared" si="818"/>
        <v>46241</v>
      </c>
      <c r="K533" s="114">
        <f t="shared" si="819"/>
        <v>46241</v>
      </c>
      <c r="L533" s="114">
        <v>46142</v>
      </c>
      <c r="M533" s="115">
        <f t="shared" si="820"/>
        <v>46283</v>
      </c>
      <c r="N533" s="114">
        <f t="shared" si="821"/>
        <v>46283</v>
      </c>
      <c r="O533" s="115">
        <v>46268</v>
      </c>
      <c r="P533" s="114">
        <f t="shared" si="822"/>
        <v>46325</v>
      </c>
      <c r="Q533" s="114">
        <f t="shared" si="823"/>
        <v>46325</v>
      </c>
      <c r="R533" s="115"/>
      <c r="S533" s="114">
        <f t="shared" si="825"/>
        <v>46339</v>
      </c>
      <c r="T533" s="114">
        <f t="shared" si="824"/>
        <v>46339</v>
      </c>
      <c r="U533" s="115"/>
      <c r="W533" s="169" t="str">
        <f t="shared" ca="1" si="826"/>
        <v>Completed</v>
      </c>
      <c r="X533" s="169" t="str">
        <f t="shared" ca="1" si="827"/>
        <v>Completed</v>
      </c>
      <c r="Y533" s="169" t="str">
        <f t="shared" ca="1" si="828"/>
        <v/>
      </c>
      <c r="Z533" s="170" t="str">
        <f t="shared" ca="1" si="829"/>
        <v/>
      </c>
    </row>
    <row r="534" spans="1:26" s="70" customFormat="1" ht="11.5" x14ac:dyDescent="0.25">
      <c r="A534" s="117" t="s">
        <v>67</v>
      </c>
      <c r="B534" s="117" t="s">
        <v>14</v>
      </c>
      <c r="C534" s="117" t="s">
        <v>1018</v>
      </c>
      <c r="D534" s="117" t="s">
        <v>586</v>
      </c>
      <c r="E534" s="118">
        <f t="shared" si="815"/>
        <v>0.7</v>
      </c>
      <c r="F534" s="118">
        <f t="shared" si="816"/>
        <v>0.7</v>
      </c>
      <c r="G534" s="118">
        <f t="shared" si="816"/>
        <v>0.7</v>
      </c>
      <c r="H534" s="118">
        <f t="shared" si="817"/>
        <v>0</v>
      </c>
      <c r="I534" s="119">
        <v>4.7E-2</v>
      </c>
      <c r="J534" s="114">
        <f t="shared" ref="J534:J554" si="834">J417+28</f>
        <v>46241</v>
      </c>
      <c r="K534" s="114">
        <f t="shared" si="819"/>
        <v>46241</v>
      </c>
      <c r="L534" s="114">
        <v>46142</v>
      </c>
      <c r="M534" s="115">
        <f t="shared" si="820"/>
        <v>46283</v>
      </c>
      <c r="N534" s="114">
        <f t="shared" si="821"/>
        <v>46283</v>
      </c>
      <c r="O534" s="115">
        <v>46268</v>
      </c>
      <c r="P534" s="114">
        <f t="shared" si="822"/>
        <v>46325</v>
      </c>
      <c r="Q534" s="114">
        <f t="shared" si="823"/>
        <v>46325</v>
      </c>
      <c r="R534" s="115"/>
      <c r="S534" s="114">
        <f t="shared" si="825"/>
        <v>46339</v>
      </c>
      <c r="T534" s="114">
        <f t="shared" si="824"/>
        <v>46339</v>
      </c>
      <c r="U534" s="115"/>
      <c r="W534" s="169" t="str">
        <f t="shared" ca="1" si="826"/>
        <v>Completed</v>
      </c>
      <c r="X534" s="169" t="str">
        <f t="shared" ca="1" si="827"/>
        <v>Completed</v>
      </c>
      <c r="Y534" s="169" t="str">
        <f t="shared" ca="1" si="828"/>
        <v/>
      </c>
      <c r="Z534" s="170" t="str">
        <f t="shared" ca="1" si="829"/>
        <v/>
      </c>
    </row>
    <row r="535" spans="1:26" s="70" customFormat="1" ht="11.5" x14ac:dyDescent="0.25">
      <c r="A535" s="117" t="s">
        <v>67</v>
      </c>
      <c r="B535" s="117" t="s">
        <v>14</v>
      </c>
      <c r="C535" s="117" t="s">
        <v>1019</v>
      </c>
      <c r="D535" s="117" t="s">
        <v>587</v>
      </c>
      <c r="E535" s="118">
        <f t="shared" si="815"/>
        <v>0.7</v>
      </c>
      <c r="F535" s="118">
        <f t="shared" si="816"/>
        <v>0.7</v>
      </c>
      <c r="G535" s="118">
        <f t="shared" si="816"/>
        <v>0.7</v>
      </c>
      <c r="H535" s="118">
        <f t="shared" si="817"/>
        <v>0</v>
      </c>
      <c r="I535" s="119">
        <v>4.7E-2</v>
      </c>
      <c r="J535" s="114">
        <f t="shared" si="834"/>
        <v>46241</v>
      </c>
      <c r="K535" s="114">
        <f t="shared" si="819"/>
        <v>46241</v>
      </c>
      <c r="L535" s="114">
        <v>46142</v>
      </c>
      <c r="M535" s="115">
        <f t="shared" si="820"/>
        <v>46283</v>
      </c>
      <c r="N535" s="114">
        <f t="shared" si="821"/>
        <v>46283</v>
      </c>
      <c r="O535" s="115">
        <v>46268</v>
      </c>
      <c r="P535" s="114">
        <f t="shared" si="822"/>
        <v>46325</v>
      </c>
      <c r="Q535" s="114">
        <f t="shared" si="823"/>
        <v>46325</v>
      </c>
      <c r="R535" s="115"/>
      <c r="S535" s="114">
        <f t="shared" si="825"/>
        <v>46339</v>
      </c>
      <c r="T535" s="114">
        <f t="shared" si="824"/>
        <v>46339</v>
      </c>
      <c r="U535" s="115"/>
      <c r="W535" s="169" t="str">
        <f t="shared" ca="1" si="826"/>
        <v>Completed</v>
      </c>
      <c r="X535" s="169" t="str">
        <f t="shared" ca="1" si="827"/>
        <v>Completed</v>
      </c>
      <c r="Y535" s="169" t="str">
        <f t="shared" ca="1" si="828"/>
        <v/>
      </c>
      <c r="Z535" s="170" t="str">
        <f t="shared" ca="1" si="829"/>
        <v/>
      </c>
    </row>
    <row r="536" spans="1:26" s="70" customFormat="1" ht="11.5" x14ac:dyDescent="0.25">
      <c r="A536" s="117" t="s">
        <v>67</v>
      </c>
      <c r="B536" s="117" t="s">
        <v>14</v>
      </c>
      <c r="C536" s="117" t="s">
        <v>1020</v>
      </c>
      <c r="D536" s="117" t="s">
        <v>588</v>
      </c>
      <c r="E536" s="118">
        <f t="shared" si="815"/>
        <v>0.7</v>
      </c>
      <c r="F536" s="118">
        <f t="shared" si="816"/>
        <v>0.7</v>
      </c>
      <c r="G536" s="118">
        <f t="shared" si="816"/>
        <v>0.7</v>
      </c>
      <c r="H536" s="118">
        <f t="shared" si="817"/>
        <v>0</v>
      </c>
      <c r="I536" s="119">
        <v>4.7E-2</v>
      </c>
      <c r="J536" s="114">
        <f t="shared" si="834"/>
        <v>46241</v>
      </c>
      <c r="K536" s="114">
        <f t="shared" si="819"/>
        <v>46241</v>
      </c>
      <c r="L536" s="114">
        <v>46142</v>
      </c>
      <c r="M536" s="115">
        <f t="shared" si="820"/>
        <v>46283</v>
      </c>
      <c r="N536" s="114">
        <f t="shared" si="821"/>
        <v>46283</v>
      </c>
      <c r="O536" s="115">
        <v>46268</v>
      </c>
      <c r="P536" s="114">
        <f t="shared" si="822"/>
        <v>46325</v>
      </c>
      <c r="Q536" s="114">
        <f t="shared" si="823"/>
        <v>46325</v>
      </c>
      <c r="R536" s="115"/>
      <c r="S536" s="114">
        <f t="shared" si="825"/>
        <v>46339</v>
      </c>
      <c r="T536" s="114">
        <f t="shared" si="824"/>
        <v>46339</v>
      </c>
      <c r="U536" s="115"/>
      <c r="W536" s="169" t="str">
        <f t="shared" ca="1" si="826"/>
        <v>Completed</v>
      </c>
      <c r="X536" s="169" t="str">
        <f t="shared" ca="1" si="827"/>
        <v>Completed</v>
      </c>
      <c r="Y536" s="169" t="str">
        <f t="shared" ca="1" si="828"/>
        <v/>
      </c>
      <c r="Z536" s="170" t="str">
        <f t="shared" ca="1" si="829"/>
        <v/>
      </c>
    </row>
    <row r="537" spans="1:26" s="70" customFormat="1" ht="11.5" x14ac:dyDescent="0.25">
      <c r="A537" s="117" t="s">
        <v>67</v>
      </c>
      <c r="B537" s="117" t="s">
        <v>14</v>
      </c>
      <c r="C537" s="117" t="s">
        <v>1021</v>
      </c>
      <c r="D537" s="117" t="s">
        <v>589</v>
      </c>
      <c r="E537" s="118">
        <f t="shared" si="815"/>
        <v>0.7</v>
      </c>
      <c r="F537" s="118">
        <f t="shared" si="816"/>
        <v>0.7</v>
      </c>
      <c r="G537" s="118">
        <f t="shared" si="816"/>
        <v>0.7</v>
      </c>
      <c r="H537" s="118">
        <f t="shared" si="817"/>
        <v>0</v>
      </c>
      <c r="I537" s="119">
        <v>4.7E-2</v>
      </c>
      <c r="J537" s="114">
        <f t="shared" si="834"/>
        <v>46241</v>
      </c>
      <c r="K537" s="114">
        <f t="shared" si="819"/>
        <v>46241</v>
      </c>
      <c r="L537" s="114">
        <v>46142</v>
      </c>
      <c r="M537" s="115">
        <f t="shared" si="820"/>
        <v>46283</v>
      </c>
      <c r="N537" s="114">
        <f t="shared" si="821"/>
        <v>46283</v>
      </c>
      <c r="O537" s="115">
        <v>46268</v>
      </c>
      <c r="P537" s="114">
        <f t="shared" si="822"/>
        <v>46325</v>
      </c>
      <c r="Q537" s="114">
        <f t="shared" si="823"/>
        <v>46325</v>
      </c>
      <c r="R537" s="115"/>
      <c r="S537" s="114">
        <f t="shared" si="825"/>
        <v>46339</v>
      </c>
      <c r="T537" s="114">
        <f t="shared" si="824"/>
        <v>46339</v>
      </c>
      <c r="U537" s="115"/>
      <c r="W537" s="169" t="str">
        <f t="shared" ca="1" si="826"/>
        <v>Completed</v>
      </c>
      <c r="X537" s="169" t="str">
        <f t="shared" ca="1" si="827"/>
        <v>Completed</v>
      </c>
      <c r="Y537" s="169" t="str">
        <f t="shared" ca="1" si="828"/>
        <v/>
      </c>
      <c r="Z537" s="170" t="str">
        <f t="shared" ca="1" si="829"/>
        <v/>
      </c>
    </row>
    <row r="538" spans="1:26" s="70" customFormat="1" ht="11.5" x14ac:dyDescent="0.25">
      <c r="A538" s="117" t="s">
        <v>67</v>
      </c>
      <c r="B538" s="117" t="s">
        <v>14</v>
      </c>
      <c r="C538" s="117" t="s">
        <v>1022</v>
      </c>
      <c r="D538" s="117" t="s">
        <v>590</v>
      </c>
      <c r="E538" s="118">
        <f t="shared" si="815"/>
        <v>0.7</v>
      </c>
      <c r="F538" s="118">
        <f t="shared" si="816"/>
        <v>0.7</v>
      </c>
      <c r="G538" s="118">
        <f t="shared" si="816"/>
        <v>0.7</v>
      </c>
      <c r="H538" s="118">
        <f t="shared" si="817"/>
        <v>0</v>
      </c>
      <c r="I538" s="119">
        <v>4.7E-2</v>
      </c>
      <c r="J538" s="114">
        <f t="shared" si="834"/>
        <v>46241</v>
      </c>
      <c r="K538" s="114">
        <f t="shared" si="819"/>
        <v>46241</v>
      </c>
      <c r="L538" s="114">
        <v>46142</v>
      </c>
      <c r="M538" s="115">
        <f t="shared" si="820"/>
        <v>46283</v>
      </c>
      <c r="N538" s="114">
        <f t="shared" si="821"/>
        <v>46283</v>
      </c>
      <c r="O538" s="115">
        <v>46268</v>
      </c>
      <c r="P538" s="114">
        <f t="shared" si="822"/>
        <v>46325</v>
      </c>
      <c r="Q538" s="114">
        <f t="shared" si="823"/>
        <v>46325</v>
      </c>
      <c r="R538" s="115"/>
      <c r="S538" s="114">
        <f t="shared" si="825"/>
        <v>46339</v>
      </c>
      <c r="T538" s="114">
        <f t="shared" si="824"/>
        <v>46339</v>
      </c>
      <c r="U538" s="115"/>
      <c r="W538" s="169" t="str">
        <f t="shared" ca="1" si="826"/>
        <v>Completed</v>
      </c>
      <c r="X538" s="169" t="str">
        <f t="shared" ca="1" si="827"/>
        <v>Completed</v>
      </c>
      <c r="Y538" s="169" t="str">
        <f t="shared" ca="1" si="828"/>
        <v/>
      </c>
      <c r="Z538" s="170" t="str">
        <f t="shared" ca="1" si="829"/>
        <v/>
      </c>
    </row>
    <row r="539" spans="1:26" s="70" customFormat="1" ht="11.5" x14ac:dyDescent="0.25">
      <c r="A539" s="117" t="s">
        <v>67</v>
      </c>
      <c r="B539" s="117" t="s">
        <v>14</v>
      </c>
      <c r="C539" s="117" t="s">
        <v>1023</v>
      </c>
      <c r="D539" s="117" t="s">
        <v>591</v>
      </c>
      <c r="E539" s="118">
        <f t="shared" si="815"/>
        <v>0.7</v>
      </c>
      <c r="F539" s="118">
        <f t="shared" si="816"/>
        <v>0.7</v>
      </c>
      <c r="G539" s="118">
        <f t="shared" si="816"/>
        <v>0.7</v>
      </c>
      <c r="H539" s="118">
        <f t="shared" si="817"/>
        <v>0</v>
      </c>
      <c r="I539" s="119">
        <v>4.7E-2</v>
      </c>
      <c r="J539" s="114">
        <f t="shared" si="834"/>
        <v>46241</v>
      </c>
      <c r="K539" s="114">
        <f t="shared" si="819"/>
        <v>46241</v>
      </c>
      <c r="L539" s="114">
        <v>46142</v>
      </c>
      <c r="M539" s="115">
        <f t="shared" si="820"/>
        <v>46283</v>
      </c>
      <c r="N539" s="114">
        <f t="shared" si="821"/>
        <v>46283</v>
      </c>
      <c r="O539" s="115">
        <v>46268</v>
      </c>
      <c r="P539" s="114">
        <f t="shared" si="822"/>
        <v>46325</v>
      </c>
      <c r="Q539" s="114">
        <f t="shared" si="823"/>
        <v>46325</v>
      </c>
      <c r="R539" s="115"/>
      <c r="S539" s="114">
        <f t="shared" si="825"/>
        <v>46339</v>
      </c>
      <c r="T539" s="114">
        <f t="shared" si="824"/>
        <v>46339</v>
      </c>
      <c r="U539" s="115"/>
      <c r="W539" s="169" t="str">
        <f t="shared" ca="1" si="826"/>
        <v>Completed</v>
      </c>
      <c r="X539" s="169" t="str">
        <f t="shared" ca="1" si="827"/>
        <v>Completed</v>
      </c>
      <c r="Y539" s="169" t="str">
        <f t="shared" ca="1" si="828"/>
        <v/>
      </c>
      <c r="Z539" s="170" t="str">
        <f t="shared" ca="1" si="829"/>
        <v/>
      </c>
    </row>
    <row r="540" spans="1:26" s="70" customFormat="1" ht="11.5" x14ac:dyDescent="0.25">
      <c r="A540" s="117" t="s">
        <v>67</v>
      </c>
      <c r="B540" s="117" t="s">
        <v>14</v>
      </c>
      <c r="C540" s="117" t="s">
        <v>1024</v>
      </c>
      <c r="D540" s="117" t="s">
        <v>592</v>
      </c>
      <c r="E540" s="118">
        <f t="shared" si="815"/>
        <v>0.7</v>
      </c>
      <c r="F540" s="118">
        <f t="shared" si="816"/>
        <v>0.7</v>
      </c>
      <c r="G540" s="118">
        <f t="shared" si="816"/>
        <v>0.7</v>
      </c>
      <c r="H540" s="118">
        <f t="shared" si="817"/>
        <v>0</v>
      </c>
      <c r="I540" s="119">
        <v>4.7E-2</v>
      </c>
      <c r="J540" s="114">
        <f t="shared" si="834"/>
        <v>46241</v>
      </c>
      <c r="K540" s="114">
        <f t="shared" si="819"/>
        <v>46241</v>
      </c>
      <c r="L540" s="114">
        <v>46142</v>
      </c>
      <c r="M540" s="115">
        <f t="shared" si="820"/>
        <v>46283</v>
      </c>
      <c r="N540" s="114">
        <f t="shared" si="821"/>
        <v>46283</v>
      </c>
      <c r="O540" s="115">
        <v>46268</v>
      </c>
      <c r="P540" s="114">
        <f t="shared" si="822"/>
        <v>46325</v>
      </c>
      <c r="Q540" s="114">
        <f t="shared" si="823"/>
        <v>46325</v>
      </c>
      <c r="R540" s="115"/>
      <c r="S540" s="114">
        <f t="shared" si="825"/>
        <v>46339</v>
      </c>
      <c r="T540" s="114">
        <f t="shared" si="824"/>
        <v>46339</v>
      </c>
      <c r="U540" s="115"/>
      <c r="W540" s="169" t="str">
        <f t="shared" ca="1" si="826"/>
        <v>Completed</v>
      </c>
      <c r="X540" s="169" t="str">
        <f t="shared" ca="1" si="827"/>
        <v>Completed</v>
      </c>
      <c r="Y540" s="169" t="str">
        <f t="shared" ca="1" si="828"/>
        <v/>
      </c>
      <c r="Z540" s="170" t="str">
        <f t="shared" ca="1" si="829"/>
        <v/>
      </c>
    </row>
    <row r="541" spans="1:26" s="70" customFormat="1" ht="11.5" x14ac:dyDescent="0.25">
      <c r="A541" s="117" t="s">
        <v>67</v>
      </c>
      <c r="B541" s="117" t="s">
        <v>14</v>
      </c>
      <c r="C541" s="117" t="s">
        <v>1025</v>
      </c>
      <c r="D541" s="117" t="s">
        <v>593</v>
      </c>
      <c r="E541" s="118">
        <f t="shared" ref="E541:E611" si="835">(COUNTIFS(J541,"&lt;="&amp;$C$1)*50%)+(COUNTIFS(M541,"&lt;="&amp;$C$1)*20%)+(COUNTIFS(P541,"&lt;="&amp;$C$1)*10%)+(COUNTIFS(S541,"&lt;="&amp;$C$1)*20%)</f>
        <v>0.7</v>
      </c>
      <c r="F541" s="118">
        <f t="shared" ref="F541:G611" si="836">(COUNTIFS(K541,"&lt;="&amp;$C$1)*50%)+(COUNTIFS(N541,"&lt;="&amp;$C$1)*20%)+(COUNTIFS(Q541,"&lt;="&amp;$C$1)*10%)+(COUNTIFS(T541,"&lt;="&amp;$C$1)*20%)</f>
        <v>0.7</v>
      </c>
      <c r="G541" s="118">
        <f t="shared" si="836"/>
        <v>0.7</v>
      </c>
      <c r="H541" s="118">
        <f t="shared" ref="H541:H611" si="837">G541-E541</f>
        <v>0</v>
      </c>
      <c r="I541" s="119">
        <v>4.7E-2</v>
      </c>
      <c r="J541" s="114">
        <f t="shared" si="834"/>
        <v>46241</v>
      </c>
      <c r="K541" s="114">
        <f t="shared" si="819"/>
        <v>46241</v>
      </c>
      <c r="L541" s="114">
        <v>46142</v>
      </c>
      <c r="M541" s="115">
        <f t="shared" si="820"/>
        <v>46283</v>
      </c>
      <c r="N541" s="114">
        <f t="shared" si="821"/>
        <v>46283</v>
      </c>
      <c r="O541" s="115">
        <v>46268</v>
      </c>
      <c r="P541" s="114">
        <f t="shared" si="822"/>
        <v>46325</v>
      </c>
      <c r="Q541" s="114">
        <f t="shared" si="823"/>
        <v>46325</v>
      </c>
      <c r="R541" s="115"/>
      <c r="S541" s="114">
        <f t="shared" si="825"/>
        <v>46339</v>
      </c>
      <c r="T541" s="114">
        <f t="shared" si="824"/>
        <v>46339</v>
      </c>
      <c r="U541" s="115"/>
      <c r="W541" s="169" t="str">
        <f t="shared" ca="1" si="826"/>
        <v>Completed</v>
      </c>
      <c r="X541" s="169" t="str">
        <f t="shared" ca="1" si="827"/>
        <v>Completed</v>
      </c>
      <c r="Y541" s="169" t="str">
        <f t="shared" ca="1" si="828"/>
        <v/>
      </c>
      <c r="Z541" s="170" t="str">
        <f t="shared" ca="1" si="829"/>
        <v/>
      </c>
    </row>
    <row r="542" spans="1:26" s="70" customFormat="1" ht="11.5" x14ac:dyDescent="0.25">
      <c r="A542" s="117" t="s">
        <v>67</v>
      </c>
      <c r="B542" s="117" t="s">
        <v>14</v>
      </c>
      <c r="C542" s="117" t="s">
        <v>1026</v>
      </c>
      <c r="D542" s="117" t="s">
        <v>594</v>
      </c>
      <c r="E542" s="118">
        <f t="shared" si="835"/>
        <v>0.7</v>
      </c>
      <c r="F542" s="118">
        <f t="shared" si="836"/>
        <v>0.7</v>
      </c>
      <c r="G542" s="118">
        <f t="shared" si="836"/>
        <v>0.7</v>
      </c>
      <c r="H542" s="118">
        <f t="shared" si="837"/>
        <v>0</v>
      </c>
      <c r="I542" s="119">
        <v>4.7E-2</v>
      </c>
      <c r="J542" s="114">
        <f t="shared" si="834"/>
        <v>46241</v>
      </c>
      <c r="K542" s="114">
        <f t="shared" si="819"/>
        <v>46241</v>
      </c>
      <c r="L542" s="114">
        <v>46142</v>
      </c>
      <c r="M542" s="115">
        <f t="shared" si="820"/>
        <v>46283</v>
      </c>
      <c r="N542" s="114">
        <f t="shared" si="821"/>
        <v>46283</v>
      </c>
      <c r="O542" s="115">
        <v>46268</v>
      </c>
      <c r="P542" s="114">
        <f t="shared" si="822"/>
        <v>46325</v>
      </c>
      <c r="Q542" s="114">
        <f t="shared" si="823"/>
        <v>46325</v>
      </c>
      <c r="R542" s="115"/>
      <c r="S542" s="114">
        <f t="shared" si="825"/>
        <v>46339</v>
      </c>
      <c r="T542" s="114">
        <f t="shared" si="824"/>
        <v>46339</v>
      </c>
      <c r="U542" s="115"/>
      <c r="W542" s="169" t="str">
        <f t="shared" ca="1" si="826"/>
        <v>Completed</v>
      </c>
      <c r="X542" s="169" t="str">
        <f t="shared" ca="1" si="827"/>
        <v>Completed</v>
      </c>
      <c r="Y542" s="169" t="str">
        <f t="shared" ca="1" si="828"/>
        <v/>
      </c>
      <c r="Z542" s="170" t="str">
        <f t="shared" ca="1" si="829"/>
        <v/>
      </c>
    </row>
    <row r="543" spans="1:26" s="70" customFormat="1" ht="11.5" x14ac:dyDescent="0.25">
      <c r="A543" s="117" t="s">
        <v>67</v>
      </c>
      <c r="B543" s="117" t="s">
        <v>14</v>
      </c>
      <c r="C543" s="117" t="s">
        <v>1027</v>
      </c>
      <c r="D543" s="117" t="s">
        <v>595</v>
      </c>
      <c r="E543" s="118">
        <f t="shared" si="835"/>
        <v>0.7</v>
      </c>
      <c r="F543" s="118">
        <f t="shared" si="836"/>
        <v>0.7</v>
      </c>
      <c r="G543" s="118">
        <f t="shared" si="836"/>
        <v>0.7</v>
      </c>
      <c r="H543" s="118">
        <f t="shared" si="837"/>
        <v>0</v>
      </c>
      <c r="I543" s="119">
        <v>4.7E-2</v>
      </c>
      <c r="J543" s="114">
        <f t="shared" si="834"/>
        <v>46241</v>
      </c>
      <c r="K543" s="114">
        <f t="shared" si="819"/>
        <v>46241</v>
      </c>
      <c r="L543" s="114">
        <v>46142</v>
      </c>
      <c r="M543" s="115">
        <f t="shared" si="820"/>
        <v>46283</v>
      </c>
      <c r="N543" s="114">
        <f t="shared" si="821"/>
        <v>46283</v>
      </c>
      <c r="O543" s="115">
        <v>46268</v>
      </c>
      <c r="P543" s="114">
        <f t="shared" si="822"/>
        <v>46325</v>
      </c>
      <c r="Q543" s="114">
        <f t="shared" si="823"/>
        <v>46325</v>
      </c>
      <c r="R543" s="114"/>
      <c r="S543" s="114">
        <f t="shared" si="825"/>
        <v>46339</v>
      </c>
      <c r="T543" s="114">
        <f t="shared" si="824"/>
        <v>46339</v>
      </c>
      <c r="U543" s="114"/>
      <c r="W543" s="169" t="str">
        <f t="shared" ca="1" si="826"/>
        <v>Completed</v>
      </c>
      <c r="X543" s="169" t="str">
        <f t="shared" ca="1" si="827"/>
        <v>Completed</v>
      </c>
      <c r="Y543" s="169" t="str">
        <f t="shared" ca="1" si="828"/>
        <v/>
      </c>
      <c r="Z543" s="170" t="str">
        <f t="shared" ca="1" si="829"/>
        <v/>
      </c>
    </row>
    <row r="544" spans="1:26" s="70" customFormat="1" ht="11.5" x14ac:dyDescent="0.25">
      <c r="A544" s="117" t="s">
        <v>67</v>
      </c>
      <c r="B544" s="117" t="s">
        <v>14</v>
      </c>
      <c r="C544" s="117" t="s">
        <v>1028</v>
      </c>
      <c r="D544" s="149" t="s">
        <v>1103</v>
      </c>
      <c r="E544" s="118">
        <f t="shared" si="835"/>
        <v>0.7</v>
      </c>
      <c r="F544" s="118">
        <f t="shared" si="836"/>
        <v>0.7</v>
      </c>
      <c r="G544" s="118">
        <f t="shared" si="836"/>
        <v>0.7</v>
      </c>
      <c r="H544" s="118">
        <f t="shared" si="837"/>
        <v>0</v>
      </c>
      <c r="I544" s="119">
        <v>4.7E-2</v>
      </c>
      <c r="J544" s="114">
        <f t="shared" si="834"/>
        <v>46241</v>
      </c>
      <c r="K544" s="114">
        <f t="shared" si="819"/>
        <v>46241</v>
      </c>
      <c r="L544" s="114">
        <v>46142</v>
      </c>
      <c r="M544" s="115">
        <f t="shared" si="820"/>
        <v>46283</v>
      </c>
      <c r="N544" s="114">
        <f t="shared" si="821"/>
        <v>46283</v>
      </c>
      <c r="O544" s="115">
        <v>46268</v>
      </c>
      <c r="P544" s="114">
        <f t="shared" si="822"/>
        <v>46325</v>
      </c>
      <c r="Q544" s="114">
        <f t="shared" si="823"/>
        <v>46325</v>
      </c>
      <c r="R544" s="114"/>
      <c r="S544" s="114">
        <f t="shared" si="825"/>
        <v>46339</v>
      </c>
      <c r="T544" s="114">
        <f t="shared" si="824"/>
        <v>46339</v>
      </c>
      <c r="U544" s="114"/>
      <c r="W544" s="169" t="str">
        <f t="shared" ca="1" si="826"/>
        <v>Completed</v>
      </c>
      <c r="X544" s="169" t="str">
        <f t="shared" ca="1" si="827"/>
        <v>Completed</v>
      </c>
      <c r="Y544" s="169" t="str">
        <f t="shared" ca="1" si="828"/>
        <v/>
      </c>
      <c r="Z544" s="170" t="str">
        <f t="shared" ca="1" si="829"/>
        <v/>
      </c>
    </row>
    <row r="545" spans="1:26" s="70" customFormat="1" ht="11.5" x14ac:dyDescent="0.25">
      <c r="A545" s="117" t="s">
        <v>67</v>
      </c>
      <c r="B545" s="117" t="s">
        <v>14</v>
      </c>
      <c r="C545" s="117" t="s">
        <v>1029</v>
      </c>
      <c r="D545" s="117" t="s">
        <v>596</v>
      </c>
      <c r="E545" s="118">
        <f t="shared" si="835"/>
        <v>0.7</v>
      </c>
      <c r="F545" s="118">
        <f t="shared" si="836"/>
        <v>0.7</v>
      </c>
      <c r="G545" s="118">
        <f t="shared" si="836"/>
        <v>0.7</v>
      </c>
      <c r="H545" s="118">
        <f t="shared" si="837"/>
        <v>0</v>
      </c>
      <c r="I545" s="119">
        <v>4.7E-2</v>
      </c>
      <c r="J545" s="115">
        <f t="shared" si="834"/>
        <v>46241</v>
      </c>
      <c r="K545" s="115">
        <f t="shared" si="819"/>
        <v>46241</v>
      </c>
      <c r="L545" s="114">
        <v>46142</v>
      </c>
      <c r="M545" s="115">
        <f t="shared" si="820"/>
        <v>46283</v>
      </c>
      <c r="N545" s="115">
        <f t="shared" si="821"/>
        <v>46283</v>
      </c>
      <c r="O545" s="115">
        <v>46268</v>
      </c>
      <c r="P545" s="115">
        <f t="shared" si="822"/>
        <v>46325</v>
      </c>
      <c r="Q545" s="115">
        <f t="shared" si="823"/>
        <v>46325</v>
      </c>
      <c r="R545" s="115"/>
      <c r="S545" s="114">
        <f t="shared" si="825"/>
        <v>46339</v>
      </c>
      <c r="T545" s="115">
        <f t="shared" si="824"/>
        <v>46339</v>
      </c>
      <c r="U545" s="115"/>
      <c r="W545" s="169" t="str">
        <f t="shared" ca="1" si="826"/>
        <v>Completed</v>
      </c>
      <c r="X545" s="169" t="str">
        <f t="shared" ca="1" si="827"/>
        <v>Completed</v>
      </c>
      <c r="Y545" s="169" t="str">
        <f t="shared" ca="1" si="828"/>
        <v/>
      </c>
      <c r="Z545" s="170" t="str">
        <f t="shared" ca="1" si="829"/>
        <v/>
      </c>
    </row>
    <row r="546" spans="1:26" s="70" customFormat="1" ht="11.5" x14ac:dyDescent="0.25">
      <c r="A546" s="198" t="s">
        <v>67</v>
      </c>
      <c r="B546" s="198" t="s">
        <v>14</v>
      </c>
      <c r="C546" s="198" t="s">
        <v>597</v>
      </c>
      <c r="D546" s="198" t="s">
        <v>1152</v>
      </c>
      <c r="E546" s="199">
        <f t="shared" si="835"/>
        <v>0.5</v>
      </c>
      <c r="F546" s="199">
        <f t="shared" si="836"/>
        <v>0.5</v>
      </c>
      <c r="G546" s="199">
        <f t="shared" si="836"/>
        <v>1</v>
      </c>
      <c r="H546" s="199">
        <f t="shared" si="837"/>
        <v>0.5</v>
      </c>
      <c r="I546" s="200">
        <v>4.7E-2</v>
      </c>
      <c r="J546" s="197">
        <f t="shared" si="834"/>
        <v>46248</v>
      </c>
      <c r="K546" s="197">
        <f t="shared" si="819"/>
        <v>46248</v>
      </c>
      <c r="L546" s="197">
        <v>46262</v>
      </c>
      <c r="M546" s="197">
        <f t="shared" si="820"/>
        <v>46290</v>
      </c>
      <c r="N546" s="197">
        <f t="shared" si="821"/>
        <v>46290</v>
      </c>
      <c r="O546" s="197">
        <v>46262</v>
      </c>
      <c r="P546" s="197">
        <f t="shared" si="822"/>
        <v>46332</v>
      </c>
      <c r="Q546" s="197">
        <f t="shared" si="823"/>
        <v>46332</v>
      </c>
      <c r="R546" s="197">
        <v>46262</v>
      </c>
      <c r="S546" s="191">
        <f t="shared" si="825"/>
        <v>46346</v>
      </c>
      <c r="T546" s="197">
        <f t="shared" si="824"/>
        <v>46346</v>
      </c>
      <c r="U546" s="197">
        <v>46262</v>
      </c>
      <c r="W546" s="169" t="str">
        <f t="shared" ca="1" si="826"/>
        <v>Completed</v>
      </c>
      <c r="X546" s="169" t="str">
        <f t="shared" ca="1" si="827"/>
        <v>Completed</v>
      </c>
      <c r="Y546" s="169" t="str">
        <f t="shared" ca="1" si="828"/>
        <v>Completed</v>
      </c>
      <c r="Z546" s="170" t="str">
        <f t="shared" ca="1" si="829"/>
        <v>Completed</v>
      </c>
    </row>
    <row r="547" spans="1:26" s="70" customFormat="1" ht="11.5" x14ac:dyDescent="0.25">
      <c r="A547" s="198" t="s">
        <v>67</v>
      </c>
      <c r="B547" s="198" t="s">
        <v>14</v>
      </c>
      <c r="C547" s="198" t="s">
        <v>598</v>
      </c>
      <c r="D547" s="198" t="s">
        <v>1153</v>
      </c>
      <c r="E547" s="199">
        <f t="shared" si="835"/>
        <v>0.5</v>
      </c>
      <c r="F547" s="199">
        <f t="shared" si="836"/>
        <v>0.5</v>
      </c>
      <c r="G547" s="199">
        <f t="shared" si="836"/>
        <v>1</v>
      </c>
      <c r="H547" s="199">
        <f t="shared" si="837"/>
        <v>0.5</v>
      </c>
      <c r="I547" s="200">
        <v>4.7E-2</v>
      </c>
      <c r="J547" s="197">
        <f t="shared" si="834"/>
        <v>46248</v>
      </c>
      <c r="K547" s="197">
        <f t="shared" si="819"/>
        <v>46248</v>
      </c>
      <c r="L547" s="197">
        <v>46262</v>
      </c>
      <c r="M547" s="197">
        <f t="shared" si="820"/>
        <v>46290</v>
      </c>
      <c r="N547" s="197">
        <f t="shared" si="821"/>
        <v>46290</v>
      </c>
      <c r="O547" s="197">
        <v>46262</v>
      </c>
      <c r="P547" s="197">
        <f t="shared" si="822"/>
        <v>46332</v>
      </c>
      <c r="Q547" s="197">
        <f t="shared" si="823"/>
        <v>46332</v>
      </c>
      <c r="R547" s="197">
        <v>46262</v>
      </c>
      <c r="S547" s="191">
        <f t="shared" si="825"/>
        <v>46346</v>
      </c>
      <c r="T547" s="197">
        <f t="shared" si="824"/>
        <v>46346</v>
      </c>
      <c r="U547" s="197">
        <v>46262</v>
      </c>
      <c r="W547" s="169" t="str">
        <f t="shared" ca="1" si="826"/>
        <v>Completed</v>
      </c>
      <c r="X547" s="169" t="str">
        <f t="shared" ca="1" si="827"/>
        <v>Completed</v>
      </c>
      <c r="Y547" s="169" t="str">
        <f t="shared" ca="1" si="828"/>
        <v>Completed</v>
      </c>
      <c r="Z547" s="170" t="str">
        <f t="shared" ca="1" si="829"/>
        <v>Completed</v>
      </c>
    </row>
    <row r="548" spans="1:26" s="70" customFormat="1" ht="11.5" x14ac:dyDescent="0.25">
      <c r="A548" s="117" t="s">
        <v>67</v>
      </c>
      <c r="B548" s="117" t="s">
        <v>14</v>
      </c>
      <c r="C548" s="117" t="s">
        <v>1151</v>
      </c>
      <c r="D548" s="117" t="s">
        <v>1154</v>
      </c>
      <c r="E548" s="118">
        <f t="shared" ref="E548:E549" si="838">(COUNTIFS(J548,"&lt;="&amp;$C$1)*50%)+(COUNTIFS(M548,"&lt;="&amp;$C$1)*20%)+(COUNTIFS(P548,"&lt;="&amp;$C$1)*10%)+(COUNTIFS(S548,"&lt;="&amp;$C$1)*20%)</f>
        <v>0</v>
      </c>
      <c r="F548" s="118">
        <f t="shared" ref="F548:F549" si="839">(COUNTIFS(K548,"&lt;="&amp;$C$1)*50%)+(COUNTIFS(N548,"&lt;="&amp;$C$1)*20%)+(COUNTIFS(Q548,"&lt;="&amp;$C$1)*10%)+(COUNTIFS(T548,"&lt;="&amp;$C$1)*20%)</f>
        <v>0</v>
      </c>
      <c r="G548" s="118">
        <f t="shared" ref="G548:G549" si="840">(COUNTIFS(L548,"&lt;="&amp;$C$1)*50%)+(COUNTIFS(O548,"&lt;="&amp;$C$1)*20%)+(COUNTIFS(R548,"&lt;="&amp;$C$1)*10%)+(COUNTIFS(U548,"&lt;="&amp;$C$1)*20%)</f>
        <v>0</v>
      </c>
      <c r="H548" s="118">
        <f t="shared" ref="H548:H549" si="841">G548-E548</f>
        <v>0</v>
      </c>
      <c r="I548" s="119"/>
      <c r="J548" s="115">
        <f t="shared" si="834"/>
        <v>46360</v>
      </c>
      <c r="K548" s="115">
        <f t="shared" ref="K548:K549" si="842">J548</f>
        <v>46360</v>
      </c>
      <c r="L548" s="115"/>
      <c r="M548" s="115">
        <f t="shared" ref="M548:M549" si="843">J548+42</f>
        <v>46402</v>
      </c>
      <c r="N548" s="115">
        <f t="shared" ref="N548:N549" si="844">M548</f>
        <v>46402</v>
      </c>
      <c r="O548" s="115"/>
      <c r="P548" s="115">
        <f t="shared" ref="P548:P549" si="845">M548+42</f>
        <v>46444</v>
      </c>
      <c r="Q548" s="115">
        <f t="shared" ref="Q548:Q549" si="846">P548</f>
        <v>46444</v>
      </c>
      <c r="R548" s="115"/>
      <c r="S548" s="114">
        <f t="shared" ref="S548:S549" si="847">P548+14</f>
        <v>46458</v>
      </c>
      <c r="T548" s="115">
        <f t="shared" ref="T548:T549" si="848">S548</f>
        <v>46458</v>
      </c>
      <c r="U548" s="115"/>
      <c r="W548" s="169" t="str">
        <f t="shared" ref="W548:W549" ca="1" si="849">IF(OR(L548&lt;&gt;""),"Completed",
IF(K548="","",IF(K548&lt;TODAY(),"Overdue",
IF(AND(K548&gt;=TODAY()-WEEKDAY(TODAY(),2)+1,K548&lt;=TODAY()-WEEKDAY(TODAY(),2)+7),"Follow-This Week",
IF(AND(K548&gt;=TODAY()-WEEKDAY(TODAY(),2)+8,K548&lt;=TODAY()-WEEKDAY(TODAY(),2)+14),"Follow-Next Week","")))))</f>
        <v/>
      </c>
      <c r="X548" s="169" t="str">
        <f t="shared" ref="X548:X549" ca="1" si="850">IF(OR(O548&lt;&gt;""),"Completed",IF(N548="","",
IF(N548&lt;TODAY(),"Overdue",
IF(AND(N548&gt;=TODAY()-WEEKDAY(TODAY(),2)+1,N548&lt;=TODAY()-WEEKDAY(TODAY(),2)+7),"Follow-This Week",
IF(AND(N548&gt;=TODAY()-WEEKDAY(TODAY(),2)+8,N548&lt;=TODAY()-WEEKDAY(TODAY(),2)+14),"Follow-Next Week","")))))</f>
        <v/>
      </c>
      <c r="Y548" s="169" t="str">
        <f t="shared" ref="Y548:Y549" ca="1" si="851">IF(OR(R548&lt;&gt;""),"Completed",IF(Q548="","",
IF(Q548&lt;TODAY(),"Overdue",
IF(AND(Q548&gt;=TODAY()-WEEKDAY(TODAY(),2)+1,Q548&lt;=TODAY()-WEEKDAY(TODAY(),2)+7),"Follow-This Week",
IF(AND(Q548&gt;=TODAY()-WEEKDAY(TODAY(),2)+8,Q548&lt;=TODAY()-WEEKDAY(TODAY(),2)+14),"Follow-Next Week","")))))</f>
        <v/>
      </c>
      <c r="Z548" s="170" t="str">
        <f t="shared" ref="Z548:Z549" ca="1" si="852">IF(OR(U548&lt;&gt;""),"Completed",IF(T548="","",
IF(T548&lt;TODAY(),"Overdue",
IF(AND(T548&gt;=TODAY()-WEEKDAY(TODAY(),2)+1,T548&lt;=TODAY()-WEEKDAY(TODAY(),2)+7),"Follow-This Week",
IF(AND(T548&gt;=TODAY()-WEEKDAY(TODAY(),2)+8,T548&lt;=TODAY()-WEEKDAY(TODAY(),2)+14),"Follow-Next Week","")))))</f>
        <v/>
      </c>
    </row>
    <row r="549" spans="1:26" s="70" customFormat="1" ht="11.5" x14ac:dyDescent="0.25">
      <c r="A549" s="117" t="s">
        <v>67</v>
      </c>
      <c r="B549" s="117" t="s">
        <v>14</v>
      </c>
      <c r="C549" s="117" t="s">
        <v>1151</v>
      </c>
      <c r="D549" s="117" t="s">
        <v>1155</v>
      </c>
      <c r="E549" s="118">
        <f t="shared" si="838"/>
        <v>0</v>
      </c>
      <c r="F549" s="118">
        <f t="shared" si="839"/>
        <v>0</v>
      </c>
      <c r="G549" s="118">
        <f t="shared" si="840"/>
        <v>0</v>
      </c>
      <c r="H549" s="118">
        <f t="shared" si="841"/>
        <v>0</v>
      </c>
      <c r="I549" s="119"/>
      <c r="J549" s="115">
        <f t="shared" si="834"/>
        <v>46360</v>
      </c>
      <c r="K549" s="115">
        <f t="shared" si="842"/>
        <v>46360</v>
      </c>
      <c r="L549" s="115"/>
      <c r="M549" s="115">
        <f t="shared" si="843"/>
        <v>46402</v>
      </c>
      <c r="N549" s="115">
        <f t="shared" si="844"/>
        <v>46402</v>
      </c>
      <c r="O549" s="115"/>
      <c r="P549" s="115">
        <f t="shared" si="845"/>
        <v>46444</v>
      </c>
      <c r="Q549" s="115">
        <f t="shared" si="846"/>
        <v>46444</v>
      </c>
      <c r="R549" s="115"/>
      <c r="S549" s="114">
        <f t="shared" si="847"/>
        <v>46458</v>
      </c>
      <c r="T549" s="115">
        <f t="shared" si="848"/>
        <v>46458</v>
      </c>
      <c r="U549" s="115"/>
      <c r="W549" s="169" t="str">
        <f t="shared" ca="1" si="849"/>
        <v/>
      </c>
      <c r="X549" s="169" t="str">
        <f t="shared" ca="1" si="850"/>
        <v/>
      </c>
      <c r="Y549" s="169" t="str">
        <f t="shared" ca="1" si="851"/>
        <v/>
      </c>
      <c r="Z549" s="170" t="str">
        <f t="shared" ca="1" si="852"/>
        <v/>
      </c>
    </row>
    <row r="550" spans="1:26" s="70" customFormat="1" ht="11.5" x14ac:dyDescent="0.25">
      <c r="A550" s="117" t="s">
        <v>67</v>
      </c>
      <c r="B550" s="117" t="s">
        <v>14</v>
      </c>
      <c r="C550" s="117" t="s">
        <v>891</v>
      </c>
      <c r="D550" s="117" t="s">
        <v>892</v>
      </c>
      <c r="E550" s="118">
        <f t="shared" ref="E550:E558" si="853">(COUNTIFS(J550,"&lt;="&amp;$C$1)*50%)+(COUNTIFS(M550,"&lt;="&amp;$C$1)*20%)+(COUNTIFS(P550,"&lt;="&amp;$C$1)*10%)+(COUNTIFS(S550,"&lt;="&amp;$C$1)*20%)</f>
        <v>0.5</v>
      </c>
      <c r="F550" s="118">
        <f t="shared" ref="F550:F558" si="854">(COUNTIFS(K550,"&lt;="&amp;$C$1)*50%)+(COUNTIFS(N550,"&lt;="&amp;$C$1)*20%)+(COUNTIFS(Q550,"&lt;="&amp;$C$1)*10%)+(COUNTIFS(T550,"&lt;="&amp;$C$1)*20%)</f>
        <v>0.5</v>
      </c>
      <c r="G550" s="118">
        <f t="shared" ref="G550:G558" si="855">(COUNTIFS(L550,"&lt;="&amp;$C$1)*50%)+(COUNTIFS(O550,"&lt;="&amp;$C$1)*20%)+(COUNTIFS(R550,"&lt;="&amp;$C$1)*10%)+(COUNTIFS(U550,"&lt;="&amp;$C$1)*20%)</f>
        <v>0.7</v>
      </c>
      <c r="H550" s="118">
        <f t="shared" ref="H550:H558" si="856">G550-E550</f>
        <v>0.19999999999999996</v>
      </c>
      <c r="I550" s="119"/>
      <c r="J550" s="115">
        <f t="shared" si="834"/>
        <v>46255</v>
      </c>
      <c r="K550" s="115">
        <f t="shared" ref="K550:K556" si="857">J550</f>
        <v>46255</v>
      </c>
      <c r="L550" s="114">
        <v>46190</v>
      </c>
      <c r="M550" s="115">
        <f t="shared" ref="M550:M556" si="858">J550+42</f>
        <v>46297</v>
      </c>
      <c r="N550" s="115">
        <f t="shared" ref="N550:N556" si="859">M550</f>
        <v>46297</v>
      </c>
      <c r="O550" s="115">
        <v>46276</v>
      </c>
      <c r="P550" s="115">
        <f t="shared" ref="P550:P556" si="860">M550+42</f>
        <v>46339</v>
      </c>
      <c r="Q550" s="115">
        <f t="shared" ref="Q550:Q556" si="861">P550</f>
        <v>46339</v>
      </c>
      <c r="R550" s="115"/>
      <c r="S550" s="114">
        <f t="shared" ref="S550:S556" si="862">P550+14</f>
        <v>46353</v>
      </c>
      <c r="T550" s="115">
        <f t="shared" ref="T550:T556" si="863">S550</f>
        <v>46353</v>
      </c>
      <c r="U550" s="115"/>
      <c r="W550" s="169" t="str">
        <f t="shared" ca="1" si="826"/>
        <v>Completed</v>
      </c>
      <c r="X550" s="169" t="str">
        <f t="shared" ca="1" si="827"/>
        <v>Completed</v>
      </c>
      <c r="Y550" s="169" t="str">
        <f t="shared" ca="1" si="828"/>
        <v/>
      </c>
      <c r="Z550" s="170" t="str">
        <f t="shared" ca="1" si="829"/>
        <v/>
      </c>
    </row>
    <row r="551" spans="1:26" s="70" customFormat="1" ht="11.5" x14ac:dyDescent="0.25">
      <c r="A551" s="117" t="s">
        <v>67</v>
      </c>
      <c r="B551" s="117" t="s">
        <v>14</v>
      </c>
      <c r="C551" s="117" t="s">
        <v>893</v>
      </c>
      <c r="D551" s="117" t="s">
        <v>1132</v>
      </c>
      <c r="E551" s="118">
        <f t="shared" si="853"/>
        <v>0</v>
      </c>
      <c r="F551" s="118">
        <f t="shared" si="854"/>
        <v>0</v>
      </c>
      <c r="G551" s="118">
        <f t="shared" si="855"/>
        <v>0.5</v>
      </c>
      <c r="H551" s="118">
        <f t="shared" si="856"/>
        <v>0.5</v>
      </c>
      <c r="I551" s="119"/>
      <c r="J551" s="115">
        <f t="shared" si="834"/>
        <v>46321</v>
      </c>
      <c r="K551" s="115">
        <f t="shared" si="857"/>
        <v>46321</v>
      </c>
      <c r="L551" s="115">
        <v>46276</v>
      </c>
      <c r="M551" s="115">
        <f t="shared" si="858"/>
        <v>46363</v>
      </c>
      <c r="N551" s="115">
        <f t="shared" si="859"/>
        <v>46363</v>
      </c>
      <c r="O551" s="115"/>
      <c r="P551" s="115">
        <f t="shared" si="860"/>
        <v>46405</v>
      </c>
      <c r="Q551" s="115">
        <f t="shared" si="861"/>
        <v>46405</v>
      </c>
      <c r="R551" s="115"/>
      <c r="S551" s="114">
        <f t="shared" si="862"/>
        <v>46419</v>
      </c>
      <c r="T551" s="115">
        <f t="shared" si="863"/>
        <v>46419</v>
      </c>
      <c r="U551" s="115"/>
      <c r="W551" s="169" t="str">
        <f t="shared" ca="1" si="826"/>
        <v>Completed</v>
      </c>
      <c r="X551" s="169" t="str">
        <f t="shared" ca="1" si="827"/>
        <v/>
      </c>
      <c r="Y551" s="169" t="str">
        <f t="shared" ca="1" si="828"/>
        <v/>
      </c>
      <c r="Z551" s="170" t="str">
        <f t="shared" ca="1" si="829"/>
        <v/>
      </c>
    </row>
    <row r="552" spans="1:26" s="70" customFormat="1" ht="11.5" x14ac:dyDescent="0.25">
      <c r="A552" s="117" t="s">
        <v>67</v>
      </c>
      <c r="B552" s="117" t="s">
        <v>14</v>
      </c>
      <c r="C552" s="117" t="s">
        <v>894</v>
      </c>
      <c r="D552" s="117" t="s">
        <v>1133</v>
      </c>
      <c r="E552" s="118">
        <f t="shared" si="853"/>
        <v>0</v>
      </c>
      <c r="F552" s="118">
        <f t="shared" si="854"/>
        <v>0</v>
      </c>
      <c r="G552" s="118">
        <f t="shared" si="855"/>
        <v>0.5</v>
      </c>
      <c r="H552" s="118">
        <f t="shared" si="856"/>
        <v>0.5</v>
      </c>
      <c r="I552" s="119"/>
      <c r="J552" s="115">
        <f t="shared" si="834"/>
        <v>46321</v>
      </c>
      <c r="K552" s="115">
        <f t="shared" si="857"/>
        <v>46321</v>
      </c>
      <c r="L552" s="115">
        <v>46276</v>
      </c>
      <c r="M552" s="115">
        <f t="shared" si="858"/>
        <v>46363</v>
      </c>
      <c r="N552" s="115">
        <f t="shared" si="859"/>
        <v>46363</v>
      </c>
      <c r="O552" s="115"/>
      <c r="P552" s="115">
        <f t="shared" si="860"/>
        <v>46405</v>
      </c>
      <c r="Q552" s="115">
        <f t="shared" si="861"/>
        <v>46405</v>
      </c>
      <c r="R552" s="115"/>
      <c r="S552" s="114">
        <f t="shared" si="862"/>
        <v>46419</v>
      </c>
      <c r="T552" s="115">
        <f t="shared" si="863"/>
        <v>46419</v>
      </c>
      <c r="U552" s="115"/>
      <c r="W552" s="169" t="str">
        <f t="shared" ca="1" si="826"/>
        <v>Completed</v>
      </c>
      <c r="X552" s="169" t="str">
        <f t="shared" ca="1" si="827"/>
        <v/>
      </c>
      <c r="Y552" s="169" t="str">
        <f t="shared" ca="1" si="828"/>
        <v/>
      </c>
      <c r="Z552" s="170" t="str">
        <f t="shared" ca="1" si="829"/>
        <v/>
      </c>
    </row>
    <row r="553" spans="1:26" s="70" customFormat="1" ht="11.5" x14ac:dyDescent="0.25">
      <c r="A553" s="117" t="s">
        <v>67</v>
      </c>
      <c r="B553" s="117" t="s">
        <v>14</v>
      </c>
      <c r="C553" s="117" t="s">
        <v>895</v>
      </c>
      <c r="D553" s="117" t="s">
        <v>1134</v>
      </c>
      <c r="E553" s="118">
        <f t="shared" si="853"/>
        <v>0</v>
      </c>
      <c r="F553" s="118">
        <f t="shared" si="854"/>
        <v>0</v>
      </c>
      <c r="G553" s="118">
        <f t="shared" si="855"/>
        <v>0.5</v>
      </c>
      <c r="H553" s="118">
        <f t="shared" si="856"/>
        <v>0.5</v>
      </c>
      <c r="I553" s="119"/>
      <c r="J553" s="115">
        <f t="shared" si="834"/>
        <v>46321</v>
      </c>
      <c r="K553" s="115">
        <f t="shared" si="857"/>
        <v>46321</v>
      </c>
      <c r="L553" s="115">
        <v>46276</v>
      </c>
      <c r="M553" s="115">
        <f t="shared" si="858"/>
        <v>46363</v>
      </c>
      <c r="N553" s="115">
        <f t="shared" si="859"/>
        <v>46363</v>
      </c>
      <c r="O553" s="115"/>
      <c r="P553" s="115">
        <f t="shared" si="860"/>
        <v>46405</v>
      </c>
      <c r="Q553" s="115">
        <f t="shared" si="861"/>
        <v>46405</v>
      </c>
      <c r="R553" s="115"/>
      <c r="S553" s="114">
        <f t="shared" si="862"/>
        <v>46419</v>
      </c>
      <c r="T553" s="115">
        <f t="shared" si="863"/>
        <v>46419</v>
      </c>
      <c r="U553" s="115"/>
      <c r="W553" s="169" t="str">
        <f t="shared" ca="1" si="826"/>
        <v>Completed</v>
      </c>
      <c r="X553" s="169" t="str">
        <f t="shared" ca="1" si="827"/>
        <v/>
      </c>
      <c r="Y553" s="169" t="str">
        <f t="shared" ca="1" si="828"/>
        <v/>
      </c>
      <c r="Z553" s="170" t="str">
        <f t="shared" ca="1" si="829"/>
        <v/>
      </c>
    </row>
    <row r="554" spans="1:26" s="70" customFormat="1" ht="11.5" x14ac:dyDescent="0.25">
      <c r="A554" s="117" t="s">
        <v>67</v>
      </c>
      <c r="B554" s="117" t="s">
        <v>14</v>
      </c>
      <c r="C554" s="117" t="s">
        <v>896</v>
      </c>
      <c r="D554" s="117" t="s">
        <v>1135</v>
      </c>
      <c r="E554" s="118">
        <f t="shared" si="853"/>
        <v>0</v>
      </c>
      <c r="F554" s="118">
        <f t="shared" si="854"/>
        <v>0</v>
      </c>
      <c r="G554" s="118">
        <f t="shared" si="855"/>
        <v>0.5</v>
      </c>
      <c r="H554" s="118">
        <f t="shared" si="856"/>
        <v>0.5</v>
      </c>
      <c r="I554" s="119"/>
      <c r="J554" s="115">
        <f t="shared" si="834"/>
        <v>46321</v>
      </c>
      <c r="K554" s="115">
        <f t="shared" si="857"/>
        <v>46321</v>
      </c>
      <c r="L554" s="115">
        <v>46276</v>
      </c>
      <c r="M554" s="115">
        <f t="shared" si="858"/>
        <v>46363</v>
      </c>
      <c r="N554" s="115">
        <f t="shared" si="859"/>
        <v>46363</v>
      </c>
      <c r="O554" s="115"/>
      <c r="P554" s="115">
        <f t="shared" si="860"/>
        <v>46405</v>
      </c>
      <c r="Q554" s="115">
        <f t="shared" si="861"/>
        <v>46405</v>
      </c>
      <c r="R554" s="115"/>
      <c r="S554" s="114">
        <f t="shared" si="862"/>
        <v>46419</v>
      </c>
      <c r="T554" s="115">
        <f t="shared" si="863"/>
        <v>46419</v>
      </c>
      <c r="U554" s="115"/>
      <c r="W554" s="169" t="str">
        <f t="shared" ca="1" si="826"/>
        <v>Completed</v>
      </c>
      <c r="X554" s="169" t="str">
        <f t="shared" ca="1" si="827"/>
        <v/>
      </c>
      <c r="Y554" s="169" t="str">
        <f t="shared" ca="1" si="828"/>
        <v/>
      </c>
      <c r="Z554" s="170" t="str">
        <f t="shared" ca="1" si="829"/>
        <v/>
      </c>
    </row>
    <row r="555" spans="1:26" s="70" customFormat="1" ht="11.5" x14ac:dyDescent="0.25">
      <c r="A555" s="117" t="s">
        <v>67</v>
      </c>
      <c r="B555" s="117" t="s">
        <v>14</v>
      </c>
      <c r="C555" s="117" t="s">
        <v>897</v>
      </c>
      <c r="D555" s="117" t="s">
        <v>1136</v>
      </c>
      <c r="E555" s="118">
        <f t="shared" si="853"/>
        <v>0</v>
      </c>
      <c r="F555" s="118">
        <f t="shared" si="854"/>
        <v>0</v>
      </c>
      <c r="G555" s="118">
        <f t="shared" si="855"/>
        <v>0.5</v>
      </c>
      <c r="H555" s="118">
        <f t="shared" si="856"/>
        <v>0.5</v>
      </c>
      <c r="I555" s="119"/>
      <c r="J555" s="115">
        <f t="shared" ref="J555:J558" si="864">J554</f>
        <v>46321</v>
      </c>
      <c r="K555" s="115">
        <f t="shared" si="857"/>
        <v>46321</v>
      </c>
      <c r="L555" s="115">
        <v>46276</v>
      </c>
      <c r="M555" s="115">
        <f t="shared" si="858"/>
        <v>46363</v>
      </c>
      <c r="N555" s="115">
        <f t="shared" si="859"/>
        <v>46363</v>
      </c>
      <c r="O555" s="115"/>
      <c r="P555" s="115">
        <f t="shared" si="860"/>
        <v>46405</v>
      </c>
      <c r="Q555" s="115">
        <f t="shared" si="861"/>
        <v>46405</v>
      </c>
      <c r="R555" s="115"/>
      <c r="S555" s="114">
        <f t="shared" si="862"/>
        <v>46419</v>
      </c>
      <c r="T555" s="115">
        <f t="shared" si="863"/>
        <v>46419</v>
      </c>
      <c r="U555" s="115"/>
      <c r="W555" s="169" t="str">
        <f t="shared" ca="1" si="826"/>
        <v>Completed</v>
      </c>
      <c r="X555" s="169" t="str">
        <f t="shared" ca="1" si="827"/>
        <v/>
      </c>
      <c r="Y555" s="169" t="str">
        <f t="shared" ca="1" si="828"/>
        <v/>
      </c>
      <c r="Z555" s="170" t="str">
        <f t="shared" ca="1" si="829"/>
        <v/>
      </c>
    </row>
    <row r="556" spans="1:26" s="70" customFormat="1" ht="11.5" x14ac:dyDescent="0.25">
      <c r="A556" s="117" t="s">
        <v>67</v>
      </c>
      <c r="B556" s="117" t="s">
        <v>14</v>
      </c>
      <c r="C556" s="117" t="s">
        <v>898</v>
      </c>
      <c r="D556" s="117" t="s">
        <v>1137</v>
      </c>
      <c r="E556" s="118">
        <f t="shared" si="853"/>
        <v>0</v>
      </c>
      <c r="F556" s="118">
        <f t="shared" si="854"/>
        <v>0</v>
      </c>
      <c r="G556" s="118">
        <f t="shared" si="855"/>
        <v>0.5</v>
      </c>
      <c r="H556" s="118">
        <f t="shared" si="856"/>
        <v>0.5</v>
      </c>
      <c r="I556" s="119"/>
      <c r="J556" s="115">
        <f t="shared" si="864"/>
        <v>46321</v>
      </c>
      <c r="K556" s="115">
        <f t="shared" si="857"/>
        <v>46321</v>
      </c>
      <c r="L556" s="115">
        <v>46276</v>
      </c>
      <c r="M556" s="115">
        <f t="shared" si="858"/>
        <v>46363</v>
      </c>
      <c r="N556" s="115">
        <f t="shared" si="859"/>
        <v>46363</v>
      </c>
      <c r="O556" s="115"/>
      <c r="P556" s="115">
        <f t="shared" si="860"/>
        <v>46405</v>
      </c>
      <c r="Q556" s="115">
        <f t="shared" si="861"/>
        <v>46405</v>
      </c>
      <c r="R556" s="115"/>
      <c r="S556" s="114">
        <f t="shared" si="862"/>
        <v>46419</v>
      </c>
      <c r="T556" s="115">
        <f t="shared" si="863"/>
        <v>46419</v>
      </c>
      <c r="U556" s="115"/>
      <c r="W556" s="169" t="str">
        <f t="shared" ca="1" si="826"/>
        <v>Completed</v>
      </c>
      <c r="X556" s="169" t="str">
        <f t="shared" ca="1" si="827"/>
        <v/>
      </c>
      <c r="Y556" s="169" t="str">
        <f t="shared" ca="1" si="828"/>
        <v/>
      </c>
      <c r="Z556" s="170" t="str">
        <f t="shared" ca="1" si="829"/>
        <v/>
      </c>
    </row>
    <row r="557" spans="1:26" s="70" customFormat="1" ht="11.5" x14ac:dyDescent="0.25">
      <c r="A557" s="117" t="s">
        <v>67</v>
      </c>
      <c r="B557" s="117" t="s">
        <v>14</v>
      </c>
      <c r="C557" s="117" t="s">
        <v>899</v>
      </c>
      <c r="D557" s="117" t="s">
        <v>1138</v>
      </c>
      <c r="E557" s="118">
        <f t="shared" si="853"/>
        <v>0</v>
      </c>
      <c r="F557" s="118">
        <f t="shared" si="854"/>
        <v>0</v>
      </c>
      <c r="G557" s="118">
        <f t="shared" si="855"/>
        <v>0.5</v>
      </c>
      <c r="H557" s="118">
        <f t="shared" si="856"/>
        <v>0.5</v>
      </c>
      <c r="I557" s="119"/>
      <c r="J557" s="115">
        <f t="shared" si="864"/>
        <v>46321</v>
      </c>
      <c r="K557" s="115">
        <f t="shared" ref="K557:K558" si="865">J557</f>
        <v>46321</v>
      </c>
      <c r="L557" s="115">
        <v>46276</v>
      </c>
      <c r="M557" s="115">
        <f t="shared" ref="M557:M558" si="866">J557+42</f>
        <v>46363</v>
      </c>
      <c r="N557" s="115">
        <f t="shared" ref="N557:N558" si="867">M557</f>
        <v>46363</v>
      </c>
      <c r="O557" s="115"/>
      <c r="P557" s="115">
        <f t="shared" ref="P557:P558" si="868">M557+42</f>
        <v>46405</v>
      </c>
      <c r="Q557" s="115">
        <f t="shared" ref="Q557:Q558" si="869">P557</f>
        <v>46405</v>
      </c>
      <c r="R557" s="115"/>
      <c r="S557" s="114">
        <f t="shared" ref="S557:S558" si="870">P557+14</f>
        <v>46419</v>
      </c>
      <c r="T557" s="115">
        <f t="shared" ref="T557:T558" si="871">S557</f>
        <v>46419</v>
      </c>
      <c r="U557" s="115"/>
      <c r="W557" s="169" t="str">
        <f t="shared" ca="1" si="826"/>
        <v>Completed</v>
      </c>
      <c r="X557" s="169" t="str">
        <f t="shared" ca="1" si="827"/>
        <v/>
      </c>
      <c r="Y557" s="169" t="str">
        <f t="shared" ca="1" si="828"/>
        <v/>
      </c>
      <c r="Z557" s="170" t="str">
        <f t="shared" ca="1" si="829"/>
        <v/>
      </c>
    </row>
    <row r="558" spans="1:26" s="70" customFormat="1" ht="11.5" x14ac:dyDescent="0.25">
      <c r="A558" s="117" t="s">
        <v>67</v>
      </c>
      <c r="B558" s="117" t="s">
        <v>14</v>
      </c>
      <c r="C558" s="117" t="s">
        <v>900</v>
      </c>
      <c r="D558" s="117" t="s">
        <v>1139</v>
      </c>
      <c r="E558" s="118">
        <f t="shared" si="853"/>
        <v>0</v>
      </c>
      <c r="F558" s="118">
        <f t="shared" si="854"/>
        <v>0</v>
      </c>
      <c r="G558" s="118">
        <f t="shared" si="855"/>
        <v>0.5</v>
      </c>
      <c r="H558" s="118">
        <f t="shared" si="856"/>
        <v>0.5</v>
      </c>
      <c r="I558" s="119"/>
      <c r="J558" s="115">
        <f t="shared" si="864"/>
        <v>46321</v>
      </c>
      <c r="K558" s="115">
        <f t="shared" si="865"/>
        <v>46321</v>
      </c>
      <c r="L558" s="115">
        <v>46276</v>
      </c>
      <c r="M558" s="115">
        <f t="shared" si="866"/>
        <v>46363</v>
      </c>
      <c r="N558" s="115">
        <f t="shared" si="867"/>
        <v>46363</v>
      </c>
      <c r="O558" s="115"/>
      <c r="P558" s="115">
        <f t="shared" si="868"/>
        <v>46405</v>
      </c>
      <c r="Q558" s="115">
        <f t="shared" si="869"/>
        <v>46405</v>
      </c>
      <c r="R558" s="115"/>
      <c r="S558" s="114">
        <f t="shared" si="870"/>
        <v>46419</v>
      </c>
      <c r="T558" s="115">
        <f t="shared" si="871"/>
        <v>46419</v>
      </c>
      <c r="U558" s="115"/>
      <c r="W558" s="169" t="str">
        <f t="shared" ca="1" si="826"/>
        <v>Completed</v>
      </c>
      <c r="X558" s="169" t="str">
        <f t="shared" ca="1" si="827"/>
        <v/>
      </c>
      <c r="Y558" s="169" t="str">
        <f t="shared" ca="1" si="828"/>
        <v/>
      </c>
      <c r="Z558" s="170" t="str">
        <f t="shared" ca="1" si="829"/>
        <v/>
      </c>
    </row>
    <row r="559" spans="1:26" s="70" customFormat="1" ht="11.5" x14ac:dyDescent="0.25">
      <c r="A559" s="117" t="s">
        <v>67</v>
      </c>
      <c r="B559" s="117" t="s">
        <v>14</v>
      </c>
      <c r="C559" s="117" t="s">
        <v>599</v>
      </c>
      <c r="D559" s="117" t="s">
        <v>600</v>
      </c>
      <c r="E559" s="118">
        <f t="shared" si="835"/>
        <v>0.5</v>
      </c>
      <c r="F559" s="118">
        <f t="shared" si="836"/>
        <v>0.5</v>
      </c>
      <c r="G559" s="118">
        <f t="shared" si="836"/>
        <v>0.7</v>
      </c>
      <c r="H559" s="118">
        <f t="shared" si="837"/>
        <v>0.19999999999999996</v>
      </c>
      <c r="I559" s="119">
        <v>4.7E-2</v>
      </c>
      <c r="J559" s="115">
        <f t="shared" ref="J559:J588" si="872">J438+28</f>
        <v>46248</v>
      </c>
      <c r="K559" s="115">
        <f t="shared" si="819"/>
        <v>46248</v>
      </c>
      <c r="L559" s="115">
        <v>46184</v>
      </c>
      <c r="M559" s="115">
        <f t="shared" si="820"/>
        <v>46290</v>
      </c>
      <c r="N559" s="115">
        <f t="shared" si="821"/>
        <v>46290</v>
      </c>
      <c r="O559" s="141">
        <v>46269</v>
      </c>
      <c r="P559" s="115">
        <f t="shared" si="822"/>
        <v>46332</v>
      </c>
      <c r="Q559" s="115">
        <f t="shared" si="823"/>
        <v>46332</v>
      </c>
      <c r="R559" s="115"/>
      <c r="S559" s="114">
        <f t="shared" si="825"/>
        <v>46346</v>
      </c>
      <c r="T559" s="115">
        <f t="shared" si="824"/>
        <v>46346</v>
      </c>
      <c r="U559" s="115"/>
      <c r="W559" s="169" t="str">
        <f t="shared" ca="1" si="826"/>
        <v>Completed</v>
      </c>
      <c r="X559" s="169" t="str">
        <f t="shared" ca="1" si="827"/>
        <v>Completed</v>
      </c>
      <c r="Y559" s="169" t="str">
        <f t="shared" ca="1" si="828"/>
        <v/>
      </c>
      <c r="Z559" s="170" t="str">
        <f t="shared" ca="1" si="829"/>
        <v/>
      </c>
    </row>
    <row r="560" spans="1:26" s="70" customFormat="1" ht="11.5" x14ac:dyDescent="0.25">
      <c r="A560" s="117" t="s">
        <v>67</v>
      </c>
      <c r="B560" s="117" t="s">
        <v>14</v>
      </c>
      <c r="C560" s="117" t="s">
        <v>601</v>
      </c>
      <c r="D560" s="117" t="s">
        <v>602</v>
      </c>
      <c r="E560" s="118">
        <f t="shared" si="835"/>
        <v>0.5</v>
      </c>
      <c r="F560" s="118">
        <f t="shared" si="836"/>
        <v>0.5</v>
      </c>
      <c r="G560" s="118">
        <f t="shared" si="836"/>
        <v>0.7</v>
      </c>
      <c r="H560" s="118">
        <f t="shared" si="837"/>
        <v>0.19999999999999996</v>
      </c>
      <c r="I560" s="119">
        <v>4.7E-2</v>
      </c>
      <c r="J560" s="115">
        <f t="shared" si="872"/>
        <v>46248</v>
      </c>
      <c r="K560" s="115">
        <f t="shared" si="819"/>
        <v>46248</v>
      </c>
      <c r="L560" s="115">
        <v>46184</v>
      </c>
      <c r="M560" s="115">
        <f t="shared" si="820"/>
        <v>46290</v>
      </c>
      <c r="N560" s="115">
        <f t="shared" si="821"/>
        <v>46290</v>
      </c>
      <c r="O560" s="141">
        <v>46269</v>
      </c>
      <c r="P560" s="115">
        <f t="shared" si="822"/>
        <v>46332</v>
      </c>
      <c r="Q560" s="115">
        <f t="shared" si="823"/>
        <v>46332</v>
      </c>
      <c r="R560" s="115"/>
      <c r="S560" s="114">
        <f t="shared" si="825"/>
        <v>46346</v>
      </c>
      <c r="T560" s="115">
        <f t="shared" si="824"/>
        <v>46346</v>
      </c>
      <c r="U560" s="115"/>
      <c r="W560" s="169" t="str">
        <f t="shared" ca="1" si="826"/>
        <v>Completed</v>
      </c>
      <c r="X560" s="169" t="str">
        <f t="shared" ca="1" si="827"/>
        <v>Completed</v>
      </c>
      <c r="Y560" s="169" t="str">
        <f t="shared" ca="1" si="828"/>
        <v/>
      </c>
      <c r="Z560" s="170" t="str">
        <f t="shared" ca="1" si="829"/>
        <v/>
      </c>
    </row>
    <row r="561" spans="1:26" s="70" customFormat="1" ht="11.5" x14ac:dyDescent="0.25">
      <c r="A561" s="111" t="s">
        <v>67</v>
      </c>
      <c r="B561" s="111" t="s">
        <v>14</v>
      </c>
      <c r="C561" s="111" t="s">
        <v>603</v>
      </c>
      <c r="D561" s="111" t="s">
        <v>604</v>
      </c>
      <c r="E561" s="112">
        <f t="shared" si="835"/>
        <v>0.5</v>
      </c>
      <c r="F561" s="112">
        <f t="shared" si="836"/>
        <v>0.5</v>
      </c>
      <c r="G561" s="112">
        <f t="shared" si="836"/>
        <v>0.7</v>
      </c>
      <c r="H561" s="112">
        <f t="shared" si="837"/>
        <v>0.19999999999999996</v>
      </c>
      <c r="I561" s="113">
        <v>4.7E-2</v>
      </c>
      <c r="J561" s="114">
        <f t="shared" si="872"/>
        <v>46248</v>
      </c>
      <c r="K561" s="114">
        <f t="shared" si="819"/>
        <v>46248</v>
      </c>
      <c r="L561" s="115">
        <v>46184</v>
      </c>
      <c r="M561" s="115">
        <f t="shared" si="820"/>
        <v>46290</v>
      </c>
      <c r="N561" s="114">
        <f t="shared" si="821"/>
        <v>46290</v>
      </c>
      <c r="O561" s="114">
        <v>46266</v>
      </c>
      <c r="P561" s="114">
        <f t="shared" si="822"/>
        <v>46332</v>
      </c>
      <c r="Q561" s="114">
        <f t="shared" si="823"/>
        <v>46332</v>
      </c>
      <c r="R561" s="114"/>
      <c r="S561" s="114">
        <f t="shared" si="825"/>
        <v>46346</v>
      </c>
      <c r="T561" s="114">
        <f t="shared" si="824"/>
        <v>46346</v>
      </c>
      <c r="U561" s="114"/>
      <c r="W561" s="169" t="str">
        <f t="shared" ca="1" si="826"/>
        <v>Completed</v>
      </c>
      <c r="X561" s="169" t="str">
        <f t="shared" ca="1" si="827"/>
        <v>Completed</v>
      </c>
      <c r="Y561" s="169" t="str">
        <f t="shared" ca="1" si="828"/>
        <v/>
      </c>
      <c r="Z561" s="170" t="str">
        <f t="shared" ca="1" si="829"/>
        <v/>
      </c>
    </row>
    <row r="562" spans="1:26" s="70" customFormat="1" ht="11.5" x14ac:dyDescent="0.25">
      <c r="A562" s="111" t="s">
        <v>67</v>
      </c>
      <c r="B562" s="111" t="s">
        <v>14</v>
      </c>
      <c r="C562" s="111" t="s">
        <v>605</v>
      </c>
      <c r="D562" s="111" t="s">
        <v>606</v>
      </c>
      <c r="E562" s="112">
        <f t="shared" si="835"/>
        <v>0.5</v>
      </c>
      <c r="F562" s="112">
        <f t="shared" si="836"/>
        <v>0.5</v>
      </c>
      <c r="G562" s="112">
        <f t="shared" si="836"/>
        <v>0</v>
      </c>
      <c r="H562" s="112">
        <f t="shared" si="837"/>
        <v>-0.5</v>
      </c>
      <c r="I562" s="113">
        <v>4.7E-2</v>
      </c>
      <c r="J562" s="114">
        <f t="shared" si="872"/>
        <v>46248</v>
      </c>
      <c r="K562" s="114">
        <f t="shared" si="819"/>
        <v>46248</v>
      </c>
      <c r="L562" s="114"/>
      <c r="M562" s="115">
        <f t="shared" si="820"/>
        <v>46290</v>
      </c>
      <c r="N562" s="114">
        <f t="shared" si="821"/>
        <v>46290</v>
      </c>
      <c r="O562" s="114"/>
      <c r="P562" s="114">
        <f t="shared" si="822"/>
        <v>46332</v>
      </c>
      <c r="Q562" s="114">
        <f t="shared" si="823"/>
        <v>46332</v>
      </c>
      <c r="R562" s="114"/>
      <c r="S562" s="114">
        <f t="shared" si="825"/>
        <v>46346</v>
      </c>
      <c r="T562" s="114">
        <f t="shared" si="824"/>
        <v>46346</v>
      </c>
      <c r="U562" s="114"/>
      <c r="W562" s="169" t="str">
        <f t="shared" ca="1" si="826"/>
        <v>Overdue</v>
      </c>
      <c r="X562" s="169" t="str">
        <f t="shared" ca="1" si="827"/>
        <v>Follow-Next Week</v>
      </c>
      <c r="Y562" s="169" t="str">
        <f t="shared" ca="1" si="828"/>
        <v/>
      </c>
      <c r="Z562" s="170" t="str">
        <f t="shared" ca="1" si="829"/>
        <v/>
      </c>
    </row>
    <row r="563" spans="1:26" s="70" customFormat="1" ht="11.5" x14ac:dyDescent="0.25">
      <c r="A563" s="111" t="s">
        <v>67</v>
      </c>
      <c r="B563" s="111" t="s">
        <v>14</v>
      </c>
      <c r="C563" s="117" t="s">
        <v>607</v>
      </c>
      <c r="D563" s="117" t="s">
        <v>608</v>
      </c>
      <c r="E563" s="112">
        <f t="shared" si="835"/>
        <v>0.5</v>
      </c>
      <c r="F563" s="112">
        <f t="shared" si="836"/>
        <v>0.5</v>
      </c>
      <c r="G563" s="112">
        <f t="shared" si="836"/>
        <v>0.7</v>
      </c>
      <c r="H563" s="112">
        <f t="shared" si="837"/>
        <v>0.19999999999999996</v>
      </c>
      <c r="I563" s="113">
        <v>4.7E-2</v>
      </c>
      <c r="J563" s="114">
        <f t="shared" si="872"/>
        <v>46255</v>
      </c>
      <c r="K563" s="114">
        <f t="shared" si="819"/>
        <v>46255</v>
      </c>
      <c r="L563" s="114">
        <v>46142</v>
      </c>
      <c r="M563" s="115">
        <f t="shared" si="820"/>
        <v>46297</v>
      </c>
      <c r="N563" s="114">
        <f t="shared" si="821"/>
        <v>46297</v>
      </c>
      <c r="O563" s="114">
        <v>46255</v>
      </c>
      <c r="P563" s="114">
        <f t="shared" si="822"/>
        <v>46339</v>
      </c>
      <c r="Q563" s="114">
        <f t="shared" si="823"/>
        <v>46339</v>
      </c>
      <c r="R563" s="114"/>
      <c r="S563" s="114">
        <f t="shared" si="825"/>
        <v>46353</v>
      </c>
      <c r="T563" s="114">
        <f t="shared" si="824"/>
        <v>46353</v>
      </c>
      <c r="U563" s="114"/>
      <c r="W563" s="169" t="str">
        <f t="shared" ca="1" si="826"/>
        <v>Completed</v>
      </c>
      <c r="X563" s="169" t="str">
        <f t="shared" ca="1" si="827"/>
        <v>Completed</v>
      </c>
      <c r="Y563" s="169" t="str">
        <f t="shared" ca="1" si="828"/>
        <v/>
      </c>
      <c r="Z563" s="170" t="str">
        <f t="shared" ca="1" si="829"/>
        <v/>
      </c>
    </row>
    <row r="564" spans="1:26" s="70" customFormat="1" ht="11.5" x14ac:dyDescent="0.25">
      <c r="A564" s="111" t="s">
        <v>67</v>
      </c>
      <c r="B564" s="111" t="s">
        <v>14</v>
      </c>
      <c r="C564" s="117" t="s">
        <v>609</v>
      </c>
      <c r="D564" s="117" t="s">
        <v>610</v>
      </c>
      <c r="E564" s="112">
        <f t="shared" si="835"/>
        <v>0.5</v>
      </c>
      <c r="F564" s="112">
        <f t="shared" si="836"/>
        <v>0.5</v>
      </c>
      <c r="G564" s="112">
        <f t="shared" si="836"/>
        <v>0.7</v>
      </c>
      <c r="H564" s="112">
        <f t="shared" si="837"/>
        <v>0.19999999999999996</v>
      </c>
      <c r="I564" s="113">
        <v>4.7E-2</v>
      </c>
      <c r="J564" s="114">
        <f t="shared" si="872"/>
        <v>46255</v>
      </c>
      <c r="K564" s="114">
        <f t="shared" si="819"/>
        <v>46255</v>
      </c>
      <c r="L564" s="114">
        <v>46142</v>
      </c>
      <c r="M564" s="115">
        <f t="shared" si="820"/>
        <v>46297</v>
      </c>
      <c r="N564" s="114">
        <f t="shared" si="821"/>
        <v>46297</v>
      </c>
      <c r="O564" s="114">
        <v>46255</v>
      </c>
      <c r="P564" s="114">
        <f t="shared" si="822"/>
        <v>46339</v>
      </c>
      <c r="Q564" s="114">
        <f t="shared" si="823"/>
        <v>46339</v>
      </c>
      <c r="R564" s="114"/>
      <c r="S564" s="114">
        <f t="shared" si="825"/>
        <v>46353</v>
      </c>
      <c r="T564" s="114">
        <f t="shared" si="824"/>
        <v>46353</v>
      </c>
      <c r="U564" s="114"/>
      <c r="W564" s="169" t="str">
        <f t="shared" ca="1" si="826"/>
        <v>Completed</v>
      </c>
      <c r="X564" s="169" t="str">
        <f t="shared" ca="1" si="827"/>
        <v>Completed</v>
      </c>
      <c r="Y564" s="169" t="str">
        <f t="shared" ca="1" si="828"/>
        <v/>
      </c>
      <c r="Z564" s="170" t="str">
        <f t="shared" ca="1" si="829"/>
        <v/>
      </c>
    </row>
    <row r="565" spans="1:26" s="70" customFormat="1" ht="11.5" x14ac:dyDescent="0.25">
      <c r="A565" s="117" t="s">
        <v>67</v>
      </c>
      <c r="B565" s="117" t="s">
        <v>14</v>
      </c>
      <c r="C565" s="117" t="s">
        <v>1030</v>
      </c>
      <c r="D565" s="117" t="s">
        <v>611</v>
      </c>
      <c r="E565" s="112">
        <f t="shared" ref="E565" si="873">(COUNTIFS(J565,"&lt;="&amp;$C$1)*50%)+(COUNTIFS(M565,"&lt;="&amp;$C$1)*20%)+(COUNTIFS(P565,"&lt;="&amp;$C$1)*10%)+(COUNTIFS(S565,"&lt;="&amp;$C$1)*20%)</f>
        <v>0.5</v>
      </c>
      <c r="F565" s="112">
        <f t="shared" ref="F565" si="874">(COUNTIFS(K565,"&lt;="&amp;$C$1)*50%)+(COUNTIFS(N565,"&lt;="&amp;$C$1)*20%)+(COUNTIFS(Q565,"&lt;="&amp;$C$1)*10%)+(COUNTIFS(T565,"&lt;="&amp;$C$1)*20%)</f>
        <v>0.5</v>
      </c>
      <c r="G565" s="112">
        <f t="shared" ref="G565" si="875">(COUNTIFS(L565,"&lt;="&amp;$C$1)*50%)+(COUNTIFS(O565,"&lt;="&amp;$C$1)*20%)+(COUNTIFS(R565,"&lt;="&amp;$C$1)*10%)+(COUNTIFS(U565,"&lt;="&amp;$C$1)*20%)</f>
        <v>0.7</v>
      </c>
      <c r="H565" s="112">
        <f t="shared" ref="H565" si="876">G565-E565</f>
        <v>0.19999999999999996</v>
      </c>
      <c r="I565" s="113">
        <v>4.7E-2</v>
      </c>
      <c r="J565" s="114">
        <f t="shared" si="872"/>
        <v>46255</v>
      </c>
      <c r="K565" s="114">
        <f t="shared" si="819"/>
        <v>46255</v>
      </c>
      <c r="L565" s="114">
        <v>46266</v>
      </c>
      <c r="M565" s="115">
        <f t="shared" si="820"/>
        <v>46297</v>
      </c>
      <c r="N565" s="114">
        <f t="shared" si="821"/>
        <v>46297</v>
      </c>
      <c r="O565" s="141">
        <v>46269</v>
      </c>
      <c r="P565" s="114">
        <f t="shared" si="822"/>
        <v>46339</v>
      </c>
      <c r="Q565" s="114">
        <f t="shared" si="823"/>
        <v>46339</v>
      </c>
      <c r="R565" s="114"/>
      <c r="S565" s="114">
        <f t="shared" si="825"/>
        <v>46353</v>
      </c>
      <c r="T565" s="114">
        <f t="shared" si="824"/>
        <v>46353</v>
      </c>
      <c r="U565" s="114"/>
      <c r="W565" s="169" t="str">
        <f t="shared" ca="1" si="826"/>
        <v>Completed</v>
      </c>
      <c r="X565" s="169" t="str">
        <f t="shared" ca="1" si="827"/>
        <v>Completed</v>
      </c>
      <c r="Y565" s="169" t="str">
        <f t="shared" ca="1" si="828"/>
        <v/>
      </c>
      <c r="Z565" s="170" t="str">
        <f t="shared" ca="1" si="829"/>
        <v/>
      </c>
    </row>
    <row r="566" spans="1:26" s="70" customFormat="1" ht="11.5" x14ac:dyDescent="0.25">
      <c r="A566" s="111" t="s">
        <v>67</v>
      </c>
      <c r="B566" s="111" t="s">
        <v>14</v>
      </c>
      <c r="C566" s="117" t="s">
        <v>1031</v>
      </c>
      <c r="D566" s="117" t="s">
        <v>612</v>
      </c>
      <c r="E566" s="112">
        <f t="shared" si="835"/>
        <v>0.5</v>
      </c>
      <c r="F566" s="112">
        <f t="shared" si="836"/>
        <v>0.5</v>
      </c>
      <c r="G566" s="112">
        <f t="shared" si="836"/>
        <v>0.7</v>
      </c>
      <c r="H566" s="112">
        <f t="shared" si="837"/>
        <v>0.19999999999999996</v>
      </c>
      <c r="I566" s="113">
        <v>4.7E-2</v>
      </c>
      <c r="J566" s="114">
        <f t="shared" si="872"/>
        <v>46255</v>
      </c>
      <c r="K566" s="114">
        <f t="shared" si="819"/>
        <v>46255</v>
      </c>
      <c r="L566" s="114">
        <v>46266</v>
      </c>
      <c r="M566" s="115">
        <f t="shared" si="820"/>
        <v>46297</v>
      </c>
      <c r="N566" s="114">
        <f t="shared" si="821"/>
        <v>46297</v>
      </c>
      <c r="O566" s="141">
        <v>46269</v>
      </c>
      <c r="P566" s="114">
        <f t="shared" si="822"/>
        <v>46339</v>
      </c>
      <c r="Q566" s="114">
        <f t="shared" si="823"/>
        <v>46339</v>
      </c>
      <c r="R566" s="114"/>
      <c r="S566" s="114">
        <f t="shared" si="825"/>
        <v>46353</v>
      </c>
      <c r="T566" s="114">
        <f t="shared" si="824"/>
        <v>46353</v>
      </c>
      <c r="U566" s="114"/>
      <c r="W566" s="169" t="str">
        <f t="shared" ca="1" si="826"/>
        <v>Completed</v>
      </c>
      <c r="X566" s="169" t="str">
        <f t="shared" ca="1" si="827"/>
        <v>Completed</v>
      </c>
      <c r="Y566" s="169" t="str">
        <f t="shared" ca="1" si="828"/>
        <v/>
      </c>
      <c r="Z566" s="170" t="str">
        <f t="shared" ca="1" si="829"/>
        <v/>
      </c>
    </row>
    <row r="567" spans="1:26" s="70" customFormat="1" ht="11.5" x14ac:dyDescent="0.25">
      <c r="A567" s="111" t="s">
        <v>67</v>
      </c>
      <c r="B567" s="111" t="s">
        <v>14</v>
      </c>
      <c r="C567" s="117" t="s">
        <v>1032</v>
      </c>
      <c r="D567" s="117" t="s">
        <v>613</v>
      </c>
      <c r="E567" s="112">
        <f t="shared" si="835"/>
        <v>0.5</v>
      </c>
      <c r="F567" s="112">
        <f t="shared" si="836"/>
        <v>0.5</v>
      </c>
      <c r="G567" s="112">
        <f t="shared" si="836"/>
        <v>0.5</v>
      </c>
      <c r="H567" s="112">
        <f t="shared" si="837"/>
        <v>0</v>
      </c>
      <c r="I567" s="113">
        <v>4.7E-2</v>
      </c>
      <c r="J567" s="114">
        <f t="shared" si="872"/>
        <v>46255</v>
      </c>
      <c r="K567" s="114">
        <f t="shared" si="819"/>
        <v>46255</v>
      </c>
      <c r="L567" s="115">
        <v>46276</v>
      </c>
      <c r="M567" s="115">
        <f t="shared" si="820"/>
        <v>46297</v>
      </c>
      <c r="N567" s="114">
        <f t="shared" si="821"/>
        <v>46297</v>
      </c>
      <c r="O567" s="114"/>
      <c r="P567" s="114">
        <f t="shared" si="822"/>
        <v>46339</v>
      </c>
      <c r="Q567" s="114">
        <f t="shared" si="823"/>
        <v>46339</v>
      </c>
      <c r="R567" s="114"/>
      <c r="S567" s="114">
        <f t="shared" si="825"/>
        <v>46353</v>
      </c>
      <c r="T567" s="114">
        <f t="shared" si="824"/>
        <v>46353</v>
      </c>
      <c r="U567" s="114"/>
      <c r="W567" s="169" t="str">
        <f t="shared" ca="1" si="826"/>
        <v>Completed</v>
      </c>
      <c r="X567" s="169" t="str">
        <f t="shared" ca="1" si="827"/>
        <v/>
      </c>
      <c r="Y567" s="169" t="str">
        <f t="shared" ca="1" si="828"/>
        <v/>
      </c>
      <c r="Z567" s="170" t="str">
        <f t="shared" ca="1" si="829"/>
        <v/>
      </c>
    </row>
    <row r="568" spans="1:26" s="70" customFormat="1" ht="11.5" x14ac:dyDescent="0.25">
      <c r="A568" s="111" t="s">
        <v>67</v>
      </c>
      <c r="B568" s="111" t="s">
        <v>14</v>
      </c>
      <c r="C568" s="117" t="s">
        <v>1033</v>
      </c>
      <c r="D568" s="117" t="s">
        <v>614</v>
      </c>
      <c r="E568" s="112">
        <f t="shared" si="835"/>
        <v>0.5</v>
      </c>
      <c r="F568" s="112">
        <f t="shared" si="836"/>
        <v>0.5</v>
      </c>
      <c r="G568" s="112">
        <f t="shared" si="836"/>
        <v>0.5</v>
      </c>
      <c r="H568" s="112">
        <f t="shared" si="837"/>
        <v>0</v>
      </c>
      <c r="I568" s="113">
        <v>4.7E-2</v>
      </c>
      <c r="J568" s="114">
        <f t="shared" si="872"/>
        <v>46255</v>
      </c>
      <c r="K568" s="114">
        <f t="shared" si="819"/>
        <v>46255</v>
      </c>
      <c r="L568" s="115">
        <v>46276</v>
      </c>
      <c r="M568" s="115">
        <f t="shared" si="820"/>
        <v>46297</v>
      </c>
      <c r="N568" s="114">
        <f t="shared" si="821"/>
        <v>46297</v>
      </c>
      <c r="O568" s="114"/>
      <c r="P568" s="114">
        <f t="shared" si="822"/>
        <v>46339</v>
      </c>
      <c r="Q568" s="114">
        <f t="shared" si="823"/>
        <v>46339</v>
      </c>
      <c r="R568" s="114"/>
      <c r="S568" s="114">
        <f t="shared" si="825"/>
        <v>46353</v>
      </c>
      <c r="T568" s="114">
        <f t="shared" si="824"/>
        <v>46353</v>
      </c>
      <c r="U568" s="114"/>
      <c r="W568" s="169" t="str">
        <f t="shared" ca="1" si="826"/>
        <v>Completed</v>
      </c>
      <c r="X568" s="169" t="str">
        <f t="shared" ca="1" si="827"/>
        <v/>
      </c>
      <c r="Y568" s="169" t="str">
        <f t="shared" ca="1" si="828"/>
        <v/>
      </c>
      <c r="Z568" s="170" t="str">
        <f t="shared" ca="1" si="829"/>
        <v/>
      </c>
    </row>
    <row r="569" spans="1:26" s="70" customFormat="1" ht="11.5" x14ac:dyDescent="0.25">
      <c r="A569" s="111" t="s">
        <v>67</v>
      </c>
      <c r="B569" s="111" t="s">
        <v>14</v>
      </c>
      <c r="C569" s="117" t="s">
        <v>1034</v>
      </c>
      <c r="D569" s="117" t="s">
        <v>615</v>
      </c>
      <c r="E569" s="112">
        <f t="shared" si="835"/>
        <v>0.5</v>
      </c>
      <c r="F569" s="112">
        <f t="shared" si="836"/>
        <v>0.5</v>
      </c>
      <c r="G569" s="112">
        <f t="shared" si="836"/>
        <v>0.5</v>
      </c>
      <c r="H569" s="112">
        <f t="shared" si="837"/>
        <v>0</v>
      </c>
      <c r="I569" s="113">
        <v>4.7E-2</v>
      </c>
      <c r="J569" s="114">
        <f t="shared" si="872"/>
        <v>46255</v>
      </c>
      <c r="K569" s="114">
        <f t="shared" si="819"/>
        <v>46255</v>
      </c>
      <c r="L569" s="115">
        <v>46276</v>
      </c>
      <c r="M569" s="115">
        <f t="shared" si="820"/>
        <v>46297</v>
      </c>
      <c r="N569" s="114">
        <f t="shared" si="821"/>
        <v>46297</v>
      </c>
      <c r="O569" s="114"/>
      <c r="P569" s="114">
        <f t="shared" si="822"/>
        <v>46339</v>
      </c>
      <c r="Q569" s="114">
        <f t="shared" si="823"/>
        <v>46339</v>
      </c>
      <c r="R569" s="114"/>
      <c r="S569" s="114">
        <f t="shared" si="825"/>
        <v>46353</v>
      </c>
      <c r="T569" s="114">
        <f t="shared" si="824"/>
        <v>46353</v>
      </c>
      <c r="U569" s="114"/>
      <c r="W569" s="169" t="str">
        <f t="shared" ca="1" si="826"/>
        <v>Completed</v>
      </c>
      <c r="X569" s="169" t="str">
        <f t="shared" ca="1" si="827"/>
        <v/>
      </c>
      <c r="Y569" s="169" t="str">
        <f t="shared" ca="1" si="828"/>
        <v/>
      </c>
      <c r="Z569" s="170" t="str">
        <f t="shared" ca="1" si="829"/>
        <v/>
      </c>
    </row>
    <row r="570" spans="1:26" s="70" customFormat="1" ht="11.5" x14ac:dyDescent="0.25">
      <c r="A570" s="111" t="s">
        <v>67</v>
      </c>
      <c r="B570" s="111" t="s">
        <v>14</v>
      </c>
      <c r="C570" s="117" t="s">
        <v>1035</v>
      </c>
      <c r="D570" s="117" t="s">
        <v>616</v>
      </c>
      <c r="E570" s="112">
        <f t="shared" si="835"/>
        <v>0.5</v>
      </c>
      <c r="F570" s="112">
        <f t="shared" si="836"/>
        <v>0.5</v>
      </c>
      <c r="G570" s="112">
        <f t="shared" si="836"/>
        <v>0.5</v>
      </c>
      <c r="H570" s="112">
        <f t="shared" si="837"/>
        <v>0</v>
      </c>
      <c r="I570" s="113">
        <v>4.7E-2</v>
      </c>
      <c r="J570" s="114">
        <f t="shared" si="872"/>
        <v>46255</v>
      </c>
      <c r="K570" s="114">
        <f t="shared" si="819"/>
        <v>46255</v>
      </c>
      <c r="L570" s="115">
        <v>46276</v>
      </c>
      <c r="M570" s="115">
        <f t="shared" si="820"/>
        <v>46297</v>
      </c>
      <c r="N570" s="114">
        <f t="shared" si="821"/>
        <v>46297</v>
      </c>
      <c r="O570" s="114"/>
      <c r="P570" s="114">
        <f t="shared" si="822"/>
        <v>46339</v>
      </c>
      <c r="Q570" s="114">
        <f t="shared" si="823"/>
        <v>46339</v>
      </c>
      <c r="R570" s="114"/>
      <c r="S570" s="114">
        <f t="shared" si="825"/>
        <v>46353</v>
      </c>
      <c r="T570" s="114">
        <f t="shared" si="824"/>
        <v>46353</v>
      </c>
      <c r="U570" s="114"/>
      <c r="W570" s="169" t="str">
        <f t="shared" ca="1" si="826"/>
        <v>Completed</v>
      </c>
      <c r="X570" s="169" t="str">
        <f t="shared" ca="1" si="827"/>
        <v/>
      </c>
      <c r="Y570" s="169" t="str">
        <f t="shared" ca="1" si="828"/>
        <v/>
      </c>
      <c r="Z570" s="170" t="str">
        <f t="shared" ca="1" si="829"/>
        <v/>
      </c>
    </row>
    <row r="571" spans="1:26" s="70" customFormat="1" ht="11.5" x14ac:dyDescent="0.25">
      <c r="A571" s="111" t="s">
        <v>67</v>
      </c>
      <c r="B571" s="111" t="s">
        <v>14</v>
      </c>
      <c r="C571" s="117" t="s">
        <v>1036</v>
      </c>
      <c r="D571" s="117" t="s">
        <v>617</v>
      </c>
      <c r="E571" s="112">
        <f t="shared" si="835"/>
        <v>0.5</v>
      </c>
      <c r="F571" s="112">
        <f t="shared" si="836"/>
        <v>0.5</v>
      </c>
      <c r="G571" s="112">
        <f t="shared" si="836"/>
        <v>0.5</v>
      </c>
      <c r="H571" s="112">
        <f t="shared" si="837"/>
        <v>0</v>
      </c>
      <c r="I571" s="113">
        <v>4.7E-2</v>
      </c>
      <c r="J571" s="114">
        <f t="shared" si="872"/>
        <v>46255</v>
      </c>
      <c r="K571" s="114">
        <f t="shared" si="819"/>
        <v>46255</v>
      </c>
      <c r="L571" s="115">
        <v>46276</v>
      </c>
      <c r="M571" s="115">
        <f t="shared" si="820"/>
        <v>46297</v>
      </c>
      <c r="N571" s="114">
        <f t="shared" si="821"/>
        <v>46297</v>
      </c>
      <c r="O571" s="114"/>
      <c r="P571" s="114">
        <f t="shared" si="822"/>
        <v>46339</v>
      </c>
      <c r="Q571" s="114">
        <f t="shared" si="823"/>
        <v>46339</v>
      </c>
      <c r="R571" s="114"/>
      <c r="S571" s="114">
        <f t="shared" si="825"/>
        <v>46353</v>
      </c>
      <c r="T571" s="114">
        <f t="shared" si="824"/>
        <v>46353</v>
      </c>
      <c r="U571" s="114"/>
      <c r="W571" s="169" t="str">
        <f t="shared" ca="1" si="826"/>
        <v>Completed</v>
      </c>
      <c r="X571" s="169" t="str">
        <f t="shared" ca="1" si="827"/>
        <v/>
      </c>
      <c r="Y571" s="169" t="str">
        <f t="shared" ca="1" si="828"/>
        <v/>
      </c>
      <c r="Z571" s="170" t="str">
        <f t="shared" ca="1" si="829"/>
        <v/>
      </c>
    </row>
    <row r="572" spans="1:26" s="70" customFormat="1" ht="11.5" x14ac:dyDescent="0.25">
      <c r="A572" s="111" t="s">
        <v>67</v>
      </c>
      <c r="B572" s="111" t="s">
        <v>14</v>
      </c>
      <c r="C572" s="117" t="s">
        <v>1037</v>
      </c>
      <c r="D572" s="117" t="s">
        <v>618</v>
      </c>
      <c r="E572" s="112">
        <f t="shared" si="835"/>
        <v>0.5</v>
      </c>
      <c r="F572" s="112">
        <f t="shared" si="836"/>
        <v>0.5</v>
      </c>
      <c r="G572" s="112">
        <f t="shared" si="836"/>
        <v>0.5</v>
      </c>
      <c r="H572" s="112">
        <f t="shared" si="837"/>
        <v>0</v>
      </c>
      <c r="I572" s="113">
        <v>4.7E-2</v>
      </c>
      <c r="J572" s="114">
        <f t="shared" si="872"/>
        <v>46255</v>
      </c>
      <c r="K572" s="114">
        <f t="shared" si="819"/>
        <v>46255</v>
      </c>
      <c r="L572" s="115">
        <v>46276</v>
      </c>
      <c r="M572" s="115">
        <f t="shared" si="820"/>
        <v>46297</v>
      </c>
      <c r="N572" s="114">
        <f t="shared" si="821"/>
        <v>46297</v>
      </c>
      <c r="O572" s="114"/>
      <c r="P572" s="114">
        <f t="shared" si="822"/>
        <v>46339</v>
      </c>
      <c r="Q572" s="114">
        <f t="shared" si="823"/>
        <v>46339</v>
      </c>
      <c r="R572" s="114"/>
      <c r="S572" s="114">
        <f t="shared" si="825"/>
        <v>46353</v>
      </c>
      <c r="T572" s="114">
        <f t="shared" si="824"/>
        <v>46353</v>
      </c>
      <c r="U572" s="114"/>
      <c r="W572" s="169" t="str">
        <f t="shared" ref="W572:W635" ca="1" si="877">IF(OR(L572&lt;&gt;""),"Completed",
IF(K572="","",IF(K572&lt;TODAY(),"Overdue",
IF(AND(K572&gt;=TODAY()-WEEKDAY(TODAY(),2)+1,K572&lt;=TODAY()-WEEKDAY(TODAY(),2)+7),"Follow-This Week",
IF(AND(K572&gt;=TODAY()-WEEKDAY(TODAY(),2)+8,K572&lt;=TODAY()-WEEKDAY(TODAY(),2)+14),"Follow-Next Week","")))))</f>
        <v>Completed</v>
      </c>
      <c r="X572" s="169" t="str">
        <f t="shared" ref="X572:X635" ca="1" si="878">IF(OR(O572&lt;&gt;""),"Completed",IF(N572="","",
IF(N572&lt;TODAY(),"Overdue",
IF(AND(N572&gt;=TODAY()-WEEKDAY(TODAY(),2)+1,N572&lt;=TODAY()-WEEKDAY(TODAY(),2)+7),"Follow-This Week",
IF(AND(N572&gt;=TODAY()-WEEKDAY(TODAY(),2)+8,N572&lt;=TODAY()-WEEKDAY(TODAY(),2)+14),"Follow-Next Week","")))))</f>
        <v/>
      </c>
      <c r="Y572" s="169" t="str">
        <f t="shared" ref="Y572:Y635" ca="1" si="879">IF(OR(R572&lt;&gt;""),"Completed",IF(Q572="","",
IF(Q572&lt;TODAY(),"Overdue",
IF(AND(Q572&gt;=TODAY()-WEEKDAY(TODAY(),2)+1,Q572&lt;=TODAY()-WEEKDAY(TODAY(),2)+7),"Follow-This Week",
IF(AND(Q572&gt;=TODAY()-WEEKDAY(TODAY(),2)+8,Q572&lt;=TODAY()-WEEKDAY(TODAY(),2)+14),"Follow-Next Week","")))))</f>
        <v/>
      </c>
      <c r="Z572" s="170" t="str">
        <f t="shared" ref="Z572:Z635" ca="1" si="880">IF(OR(U572&lt;&gt;""),"Completed",IF(T572="","",
IF(T572&lt;TODAY(),"Overdue",
IF(AND(T572&gt;=TODAY()-WEEKDAY(TODAY(),2)+1,T572&lt;=TODAY()-WEEKDAY(TODAY(),2)+7),"Follow-This Week",
IF(AND(T572&gt;=TODAY()-WEEKDAY(TODAY(),2)+8,T572&lt;=TODAY()-WEEKDAY(TODAY(),2)+14),"Follow-Next Week","")))))</f>
        <v/>
      </c>
    </row>
    <row r="573" spans="1:26" s="70" customFormat="1" ht="11.5" x14ac:dyDescent="0.25">
      <c r="A573" s="111" t="s">
        <v>67</v>
      </c>
      <c r="B573" s="111" t="s">
        <v>14</v>
      </c>
      <c r="C573" s="117" t="s">
        <v>1038</v>
      </c>
      <c r="D573" s="117" t="s">
        <v>619</v>
      </c>
      <c r="E573" s="112">
        <f t="shared" si="835"/>
        <v>0.5</v>
      </c>
      <c r="F573" s="112">
        <f t="shared" si="836"/>
        <v>0.5</v>
      </c>
      <c r="G573" s="112">
        <f t="shared" si="836"/>
        <v>0.5</v>
      </c>
      <c r="H573" s="112">
        <f t="shared" si="837"/>
        <v>0</v>
      </c>
      <c r="I573" s="113">
        <v>4.7E-2</v>
      </c>
      <c r="J573" s="114">
        <f t="shared" si="872"/>
        <v>46255</v>
      </c>
      <c r="K573" s="114">
        <f t="shared" si="819"/>
        <v>46255</v>
      </c>
      <c r="L573" s="115">
        <v>46276</v>
      </c>
      <c r="M573" s="115">
        <f t="shared" si="820"/>
        <v>46297</v>
      </c>
      <c r="N573" s="114">
        <f t="shared" si="821"/>
        <v>46297</v>
      </c>
      <c r="O573" s="114"/>
      <c r="P573" s="114">
        <f t="shared" si="822"/>
        <v>46339</v>
      </c>
      <c r="Q573" s="114">
        <f t="shared" si="823"/>
        <v>46339</v>
      </c>
      <c r="R573" s="114"/>
      <c r="S573" s="114">
        <f t="shared" si="825"/>
        <v>46353</v>
      </c>
      <c r="T573" s="114">
        <f t="shared" si="824"/>
        <v>46353</v>
      </c>
      <c r="U573" s="114"/>
      <c r="W573" s="169" t="str">
        <f t="shared" ca="1" si="877"/>
        <v>Completed</v>
      </c>
      <c r="X573" s="169" t="str">
        <f t="shared" ca="1" si="878"/>
        <v/>
      </c>
      <c r="Y573" s="169" t="str">
        <f t="shared" ca="1" si="879"/>
        <v/>
      </c>
      <c r="Z573" s="170" t="str">
        <f t="shared" ca="1" si="880"/>
        <v/>
      </c>
    </row>
    <row r="574" spans="1:26" s="70" customFormat="1" ht="11.5" x14ac:dyDescent="0.25">
      <c r="A574" s="111" t="s">
        <v>67</v>
      </c>
      <c r="B574" s="111" t="s">
        <v>14</v>
      </c>
      <c r="C574" s="117" t="s">
        <v>620</v>
      </c>
      <c r="D574" s="117" t="s">
        <v>621</v>
      </c>
      <c r="E574" s="112">
        <f t="shared" si="835"/>
        <v>0.5</v>
      </c>
      <c r="F574" s="112">
        <f t="shared" si="836"/>
        <v>0.5</v>
      </c>
      <c r="G574" s="112">
        <f t="shared" si="836"/>
        <v>0</v>
      </c>
      <c r="H574" s="112">
        <f t="shared" si="837"/>
        <v>-0.5</v>
      </c>
      <c r="I574" s="113">
        <v>4.7E-2</v>
      </c>
      <c r="J574" s="114">
        <f t="shared" si="872"/>
        <v>46262</v>
      </c>
      <c r="K574" s="114">
        <f t="shared" si="819"/>
        <v>46262</v>
      </c>
      <c r="L574" s="114"/>
      <c r="M574" s="115">
        <f t="shared" si="820"/>
        <v>46304</v>
      </c>
      <c r="N574" s="114">
        <f t="shared" si="821"/>
        <v>46304</v>
      </c>
      <c r="O574" s="114"/>
      <c r="P574" s="114">
        <f t="shared" si="822"/>
        <v>46346</v>
      </c>
      <c r="Q574" s="114">
        <f t="shared" si="823"/>
        <v>46346</v>
      </c>
      <c r="R574" s="114"/>
      <c r="S574" s="114">
        <f t="shared" si="825"/>
        <v>46360</v>
      </c>
      <c r="T574" s="114">
        <f t="shared" si="824"/>
        <v>46360</v>
      </c>
      <c r="U574" s="114"/>
      <c r="W574" s="169" t="str">
        <f t="shared" ca="1" si="877"/>
        <v>Overdue</v>
      </c>
      <c r="X574" s="169" t="str">
        <f t="shared" ca="1" si="878"/>
        <v/>
      </c>
      <c r="Y574" s="169" t="str">
        <f t="shared" ca="1" si="879"/>
        <v/>
      </c>
      <c r="Z574" s="170" t="str">
        <f t="shared" ca="1" si="880"/>
        <v/>
      </c>
    </row>
    <row r="575" spans="1:26" s="70" customFormat="1" ht="11.5" x14ac:dyDescent="0.25">
      <c r="A575" s="111" t="s">
        <v>67</v>
      </c>
      <c r="B575" s="111" t="s">
        <v>14</v>
      </c>
      <c r="C575" s="117" t="s">
        <v>622</v>
      </c>
      <c r="D575" s="117" t="s">
        <v>623</v>
      </c>
      <c r="E575" s="112">
        <f t="shared" si="835"/>
        <v>0.5</v>
      </c>
      <c r="F575" s="112">
        <f t="shared" si="836"/>
        <v>0.5</v>
      </c>
      <c r="G575" s="112">
        <f t="shared" si="836"/>
        <v>0</v>
      </c>
      <c r="H575" s="112">
        <f t="shared" si="837"/>
        <v>-0.5</v>
      </c>
      <c r="I575" s="113">
        <v>4.7E-2</v>
      </c>
      <c r="J575" s="114">
        <f t="shared" si="872"/>
        <v>46262</v>
      </c>
      <c r="K575" s="114">
        <f t="shared" si="819"/>
        <v>46262</v>
      </c>
      <c r="L575" s="114"/>
      <c r="M575" s="115">
        <f t="shared" si="820"/>
        <v>46304</v>
      </c>
      <c r="N575" s="114">
        <f t="shared" si="821"/>
        <v>46304</v>
      </c>
      <c r="O575" s="114"/>
      <c r="P575" s="114">
        <f t="shared" si="822"/>
        <v>46346</v>
      </c>
      <c r="Q575" s="114">
        <f t="shared" si="823"/>
        <v>46346</v>
      </c>
      <c r="R575" s="114"/>
      <c r="S575" s="114">
        <f t="shared" si="825"/>
        <v>46360</v>
      </c>
      <c r="T575" s="114">
        <f t="shared" si="824"/>
        <v>46360</v>
      </c>
      <c r="U575" s="114"/>
      <c r="W575" s="169" t="str">
        <f t="shared" ca="1" si="877"/>
        <v>Overdue</v>
      </c>
      <c r="X575" s="169" t="str">
        <f t="shared" ca="1" si="878"/>
        <v/>
      </c>
      <c r="Y575" s="169" t="str">
        <f t="shared" ca="1" si="879"/>
        <v/>
      </c>
      <c r="Z575" s="170" t="str">
        <f t="shared" ca="1" si="880"/>
        <v/>
      </c>
    </row>
    <row r="576" spans="1:26" s="70" customFormat="1" ht="11.5" x14ac:dyDescent="0.25">
      <c r="A576" s="111" t="s">
        <v>67</v>
      </c>
      <c r="B576" s="111" t="s">
        <v>14</v>
      </c>
      <c r="C576" s="117" t="s">
        <v>624</v>
      </c>
      <c r="D576" s="117" t="s">
        <v>625</v>
      </c>
      <c r="E576" s="112">
        <f t="shared" si="835"/>
        <v>0.5</v>
      </c>
      <c r="F576" s="112">
        <f t="shared" si="836"/>
        <v>0.5</v>
      </c>
      <c r="G576" s="112">
        <f t="shared" si="836"/>
        <v>0</v>
      </c>
      <c r="H576" s="112">
        <f t="shared" si="837"/>
        <v>-0.5</v>
      </c>
      <c r="I576" s="113">
        <v>4.7E-2</v>
      </c>
      <c r="J576" s="114">
        <f t="shared" si="872"/>
        <v>46262</v>
      </c>
      <c r="K576" s="114">
        <f t="shared" si="819"/>
        <v>46262</v>
      </c>
      <c r="L576" s="114"/>
      <c r="M576" s="115">
        <f t="shared" si="820"/>
        <v>46304</v>
      </c>
      <c r="N576" s="114">
        <f t="shared" si="821"/>
        <v>46304</v>
      </c>
      <c r="O576" s="114"/>
      <c r="P576" s="114">
        <f t="shared" si="822"/>
        <v>46346</v>
      </c>
      <c r="Q576" s="114">
        <f t="shared" si="823"/>
        <v>46346</v>
      </c>
      <c r="R576" s="114"/>
      <c r="S576" s="114">
        <f t="shared" si="825"/>
        <v>46360</v>
      </c>
      <c r="T576" s="114">
        <f t="shared" si="824"/>
        <v>46360</v>
      </c>
      <c r="U576" s="114"/>
      <c r="W576" s="169" t="str">
        <f t="shared" ca="1" si="877"/>
        <v>Overdue</v>
      </c>
      <c r="X576" s="169" t="str">
        <f t="shared" ca="1" si="878"/>
        <v/>
      </c>
      <c r="Y576" s="169" t="str">
        <f t="shared" ca="1" si="879"/>
        <v/>
      </c>
      <c r="Z576" s="170" t="str">
        <f t="shared" ca="1" si="880"/>
        <v/>
      </c>
    </row>
    <row r="577" spans="1:26" s="70" customFormat="1" ht="11.5" x14ac:dyDescent="0.25">
      <c r="A577" s="111" t="s">
        <v>67</v>
      </c>
      <c r="B577" s="111" t="s">
        <v>14</v>
      </c>
      <c r="C577" s="117" t="s">
        <v>1039</v>
      </c>
      <c r="D577" s="117" t="s">
        <v>626</v>
      </c>
      <c r="E577" s="112">
        <f t="shared" si="835"/>
        <v>0.5</v>
      </c>
      <c r="F577" s="112">
        <f t="shared" si="836"/>
        <v>0.5</v>
      </c>
      <c r="G577" s="112">
        <f t="shared" si="836"/>
        <v>0.7</v>
      </c>
      <c r="H577" s="112">
        <f t="shared" si="837"/>
        <v>0.19999999999999996</v>
      </c>
      <c r="I577" s="113">
        <v>4.7E-2</v>
      </c>
      <c r="J577" s="114">
        <f t="shared" si="872"/>
        <v>46262</v>
      </c>
      <c r="K577" s="114">
        <f t="shared" si="819"/>
        <v>46262</v>
      </c>
      <c r="L577" s="115">
        <v>46266</v>
      </c>
      <c r="M577" s="115">
        <f t="shared" si="820"/>
        <v>46304</v>
      </c>
      <c r="N577" s="114">
        <f t="shared" si="821"/>
        <v>46304</v>
      </c>
      <c r="O577" s="161">
        <v>46281</v>
      </c>
      <c r="P577" s="114">
        <f t="shared" si="822"/>
        <v>46346</v>
      </c>
      <c r="Q577" s="114">
        <f t="shared" si="823"/>
        <v>46346</v>
      </c>
      <c r="R577" s="114"/>
      <c r="S577" s="114">
        <f t="shared" si="825"/>
        <v>46360</v>
      </c>
      <c r="T577" s="114">
        <f t="shared" si="824"/>
        <v>46360</v>
      </c>
      <c r="U577" s="114"/>
      <c r="W577" s="169" t="str">
        <f t="shared" ca="1" si="877"/>
        <v>Completed</v>
      </c>
      <c r="X577" s="169" t="str">
        <f t="shared" ca="1" si="878"/>
        <v>Completed</v>
      </c>
      <c r="Y577" s="169" t="str">
        <f t="shared" ca="1" si="879"/>
        <v/>
      </c>
      <c r="Z577" s="170" t="str">
        <f t="shared" ca="1" si="880"/>
        <v/>
      </c>
    </row>
    <row r="578" spans="1:26" s="70" customFormat="1" ht="11.5" x14ac:dyDescent="0.25">
      <c r="A578" s="111" t="s">
        <v>67</v>
      </c>
      <c r="B578" s="111" t="s">
        <v>14</v>
      </c>
      <c r="C578" s="117" t="s">
        <v>1040</v>
      </c>
      <c r="D578" s="117" t="s">
        <v>627</v>
      </c>
      <c r="E578" s="112">
        <f t="shared" si="835"/>
        <v>0.5</v>
      </c>
      <c r="F578" s="112">
        <f t="shared" si="836"/>
        <v>0.5</v>
      </c>
      <c r="G578" s="112">
        <f t="shared" si="836"/>
        <v>0.7</v>
      </c>
      <c r="H578" s="112">
        <f t="shared" si="837"/>
        <v>0.19999999999999996</v>
      </c>
      <c r="I578" s="113">
        <v>4.7E-2</v>
      </c>
      <c r="J578" s="114">
        <f t="shared" si="872"/>
        <v>46262</v>
      </c>
      <c r="K578" s="114">
        <f t="shared" ref="K578:K641" si="881">J578</f>
        <v>46262</v>
      </c>
      <c r="L578" s="115">
        <v>46266</v>
      </c>
      <c r="M578" s="115">
        <f t="shared" ref="M578:M641" si="882">J578+42</f>
        <v>46304</v>
      </c>
      <c r="N578" s="114">
        <f t="shared" ref="N578:N641" si="883">M578</f>
        <v>46304</v>
      </c>
      <c r="O578" s="161">
        <v>46281</v>
      </c>
      <c r="P578" s="114">
        <f t="shared" ref="P578:P641" si="884">M578+42</f>
        <v>46346</v>
      </c>
      <c r="Q578" s="114">
        <f t="shared" ref="Q578:Q641" si="885">P578</f>
        <v>46346</v>
      </c>
      <c r="R578" s="114"/>
      <c r="S578" s="114">
        <f t="shared" si="825"/>
        <v>46360</v>
      </c>
      <c r="T578" s="114">
        <f t="shared" ref="T578:T641" si="886">S578</f>
        <v>46360</v>
      </c>
      <c r="U578" s="114"/>
      <c r="W578" s="169" t="str">
        <f t="shared" ca="1" si="877"/>
        <v>Completed</v>
      </c>
      <c r="X578" s="169" t="str">
        <f t="shared" ca="1" si="878"/>
        <v>Completed</v>
      </c>
      <c r="Y578" s="169" t="str">
        <f t="shared" ca="1" si="879"/>
        <v/>
      </c>
      <c r="Z578" s="170" t="str">
        <f t="shared" ca="1" si="880"/>
        <v/>
      </c>
    </row>
    <row r="579" spans="1:26" s="70" customFormat="1" ht="11.5" x14ac:dyDescent="0.25">
      <c r="A579" s="111" t="s">
        <v>67</v>
      </c>
      <c r="B579" s="111" t="s">
        <v>14</v>
      </c>
      <c r="C579" s="117" t="s">
        <v>1041</v>
      </c>
      <c r="D579" s="117" t="s">
        <v>628</v>
      </c>
      <c r="E579" s="112">
        <f t="shared" si="835"/>
        <v>0.5</v>
      </c>
      <c r="F579" s="112">
        <f t="shared" si="836"/>
        <v>0.5</v>
      </c>
      <c r="G579" s="112">
        <f t="shared" si="836"/>
        <v>0.7</v>
      </c>
      <c r="H579" s="112">
        <f t="shared" si="837"/>
        <v>0.19999999999999996</v>
      </c>
      <c r="I579" s="113">
        <v>4.7E-2</v>
      </c>
      <c r="J579" s="114">
        <f t="shared" si="872"/>
        <v>46262</v>
      </c>
      <c r="K579" s="114">
        <f t="shared" si="881"/>
        <v>46262</v>
      </c>
      <c r="L579" s="115">
        <v>46266</v>
      </c>
      <c r="M579" s="114">
        <f t="shared" si="882"/>
        <v>46304</v>
      </c>
      <c r="N579" s="114">
        <f t="shared" si="883"/>
        <v>46304</v>
      </c>
      <c r="O579" s="161">
        <v>46281</v>
      </c>
      <c r="P579" s="114">
        <f t="shared" si="884"/>
        <v>46346</v>
      </c>
      <c r="Q579" s="114">
        <f t="shared" si="885"/>
        <v>46346</v>
      </c>
      <c r="R579" s="114"/>
      <c r="S579" s="114">
        <f t="shared" ref="S579:S642" si="887">P579+14</f>
        <v>46360</v>
      </c>
      <c r="T579" s="114">
        <f t="shared" si="886"/>
        <v>46360</v>
      </c>
      <c r="U579" s="114"/>
      <c r="W579" s="169" t="str">
        <f t="shared" ca="1" si="877"/>
        <v>Completed</v>
      </c>
      <c r="X579" s="169" t="str">
        <f t="shared" ca="1" si="878"/>
        <v>Completed</v>
      </c>
      <c r="Y579" s="169" t="str">
        <f t="shared" ca="1" si="879"/>
        <v/>
      </c>
      <c r="Z579" s="170" t="str">
        <f t="shared" ca="1" si="880"/>
        <v/>
      </c>
    </row>
    <row r="580" spans="1:26" s="70" customFormat="1" ht="11.5" x14ac:dyDescent="0.25">
      <c r="A580" s="111" t="s">
        <v>67</v>
      </c>
      <c r="B580" s="111" t="s">
        <v>14</v>
      </c>
      <c r="C580" s="117" t="s">
        <v>1042</v>
      </c>
      <c r="D580" s="117" t="s">
        <v>629</v>
      </c>
      <c r="E580" s="112">
        <f t="shared" si="835"/>
        <v>0.5</v>
      </c>
      <c r="F580" s="112">
        <f t="shared" si="836"/>
        <v>0.5</v>
      </c>
      <c r="G580" s="112">
        <f t="shared" si="836"/>
        <v>0.7</v>
      </c>
      <c r="H580" s="112">
        <f t="shared" si="837"/>
        <v>0.19999999999999996</v>
      </c>
      <c r="I580" s="113">
        <v>4.7E-2</v>
      </c>
      <c r="J580" s="114">
        <f t="shared" si="872"/>
        <v>46262</v>
      </c>
      <c r="K580" s="114">
        <f t="shared" si="881"/>
        <v>46262</v>
      </c>
      <c r="L580" s="115">
        <v>46266</v>
      </c>
      <c r="M580" s="114">
        <f t="shared" si="882"/>
        <v>46304</v>
      </c>
      <c r="N580" s="114">
        <f t="shared" si="883"/>
        <v>46304</v>
      </c>
      <c r="O580" s="161">
        <v>46281</v>
      </c>
      <c r="P580" s="114">
        <f t="shared" si="884"/>
        <v>46346</v>
      </c>
      <c r="Q580" s="114">
        <f t="shared" si="885"/>
        <v>46346</v>
      </c>
      <c r="R580" s="114"/>
      <c r="S580" s="114">
        <f t="shared" si="887"/>
        <v>46360</v>
      </c>
      <c r="T580" s="114">
        <f t="shared" si="886"/>
        <v>46360</v>
      </c>
      <c r="U580" s="114"/>
      <c r="W580" s="169" t="str">
        <f t="shared" ca="1" si="877"/>
        <v>Completed</v>
      </c>
      <c r="X580" s="169" t="str">
        <f t="shared" ca="1" si="878"/>
        <v>Completed</v>
      </c>
      <c r="Y580" s="169" t="str">
        <f t="shared" ca="1" si="879"/>
        <v/>
      </c>
      <c r="Z580" s="170" t="str">
        <f t="shared" ca="1" si="880"/>
        <v/>
      </c>
    </row>
    <row r="581" spans="1:26" s="70" customFormat="1" ht="11.5" x14ac:dyDescent="0.25">
      <c r="A581" s="111" t="s">
        <v>67</v>
      </c>
      <c r="B581" s="111" t="s">
        <v>14</v>
      </c>
      <c r="C581" s="111" t="s">
        <v>1043</v>
      </c>
      <c r="D581" s="111" t="s">
        <v>630</v>
      </c>
      <c r="E581" s="112">
        <f t="shared" si="835"/>
        <v>0.5</v>
      </c>
      <c r="F581" s="112">
        <f t="shared" si="836"/>
        <v>0.5</v>
      </c>
      <c r="G581" s="112">
        <f t="shared" si="836"/>
        <v>0.7</v>
      </c>
      <c r="H581" s="112">
        <f t="shared" si="837"/>
        <v>0.19999999999999996</v>
      </c>
      <c r="I581" s="113">
        <v>4.7E-2</v>
      </c>
      <c r="J581" s="114">
        <f t="shared" si="872"/>
        <v>46262</v>
      </c>
      <c r="K581" s="114">
        <f t="shared" si="881"/>
        <v>46262</v>
      </c>
      <c r="L581" s="115">
        <v>46266</v>
      </c>
      <c r="M581" s="114">
        <f t="shared" si="882"/>
        <v>46304</v>
      </c>
      <c r="N581" s="114">
        <f t="shared" si="883"/>
        <v>46304</v>
      </c>
      <c r="O581" s="161">
        <v>46281</v>
      </c>
      <c r="P581" s="114">
        <f t="shared" si="884"/>
        <v>46346</v>
      </c>
      <c r="Q581" s="114">
        <f t="shared" si="885"/>
        <v>46346</v>
      </c>
      <c r="R581" s="114"/>
      <c r="S581" s="114">
        <f t="shared" si="887"/>
        <v>46360</v>
      </c>
      <c r="T581" s="114">
        <f t="shared" si="886"/>
        <v>46360</v>
      </c>
      <c r="U581" s="114"/>
      <c r="W581" s="169" t="str">
        <f t="shared" ca="1" si="877"/>
        <v>Completed</v>
      </c>
      <c r="X581" s="169" t="str">
        <f t="shared" ca="1" si="878"/>
        <v>Completed</v>
      </c>
      <c r="Y581" s="169" t="str">
        <f t="shared" ca="1" si="879"/>
        <v/>
      </c>
      <c r="Z581" s="170" t="str">
        <f t="shared" ca="1" si="880"/>
        <v/>
      </c>
    </row>
    <row r="582" spans="1:26" s="70" customFormat="1" ht="11.5" x14ac:dyDescent="0.25">
      <c r="A582" s="111" t="s">
        <v>67</v>
      </c>
      <c r="B582" s="111" t="s">
        <v>14</v>
      </c>
      <c r="C582" s="111" t="s">
        <v>1044</v>
      </c>
      <c r="D582" s="111" t="s">
        <v>631</v>
      </c>
      <c r="E582" s="112">
        <f t="shared" si="835"/>
        <v>0.5</v>
      </c>
      <c r="F582" s="112">
        <f t="shared" si="836"/>
        <v>0.5</v>
      </c>
      <c r="G582" s="112">
        <f t="shared" si="836"/>
        <v>0.7</v>
      </c>
      <c r="H582" s="112">
        <f t="shared" si="837"/>
        <v>0.19999999999999996</v>
      </c>
      <c r="I582" s="113">
        <v>4.7E-2</v>
      </c>
      <c r="J582" s="114">
        <f t="shared" si="872"/>
        <v>46262</v>
      </c>
      <c r="K582" s="114">
        <f t="shared" si="881"/>
        <v>46262</v>
      </c>
      <c r="L582" s="115">
        <v>46266</v>
      </c>
      <c r="M582" s="114">
        <f t="shared" si="882"/>
        <v>46304</v>
      </c>
      <c r="N582" s="114">
        <f t="shared" si="883"/>
        <v>46304</v>
      </c>
      <c r="O582" s="161">
        <v>46281</v>
      </c>
      <c r="P582" s="114">
        <f t="shared" si="884"/>
        <v>46346</v>
      </c>
      <c r="Q582" s="114">
        <f t="shared" si="885"/>
        <v>46346</v>
      </c>
      <c r="R582" s="114"/>
      <c r="S582" s="114">
        <f t="shared" si="887"/>
        <v>46360</v>
      </c>
      <c r="T582" s="114">
        <f t="shared" si="886"/>
        <v>46360</v>
      </c>
      <c r="U582" s="114"/>
      <c r="W582" s="169" t="str">
        <f t="shared" ca="1" si="877"/>
        <v>Completed</v>
      </c>
      <c r="X582" s="169" t="str">
        <f t="shared" ca="1" si="878"/>
        <v>Completed</v>
      </c>
      <c r="Y582" s="169" t="str">
        <f t="shared" ca="1" si="879"/>
        <v/>
      </c>
      <c r="Z582" s="170" t="str">
        <f t="shared" ca="1" si="880"/>
        <v/>
      </c>
    </row>
    <row r="583" spans="1:26" s="70" customFormat="1" ht="11.5" x14ac:dyDescent="0.25">
      <c r="A583" s="111" t="s">
        <v>67</v>
      </c>
      <c r="B583" s="111" t="s">
        <v>14</v>
      </c>
      <c r="C583" s="111" t="s">
        <v>632</v>
      </c>
      <c r="D583" s="111" t="s">
        <v>633</v>
      </c>
      <c r="E583" s="112">
        <f t="shared" ref="E583" si="888">(COUNTIFS(J583,"&lt;="&amp;$C$1)*50%)+(COUNTIFS(M583,"&lt;="&amp;$C$1)*20%)+(COUNTIFS(P583,"&lt;="&amp;$C$1)*10%)+(COUNTIFS(S583,"&lt;="&amp;$C$1)*20%)</f>
        <v>0.5</v>
      </c>
      <c r="F583" s="112">
        <f t="shared" ref="F583" si="889">(COUNTIFS(K583,"&lt;="&amp;$C$1)*50%)+(COUNTIFS(N583,"&lt;="&amp;$C$1)*20%)+(COUNTIFS(Q583,"&lt;="&amp;$C$1)*10%)+(COUNTIFS(T583,"&lt;="&amp;$C$1)*20%)</f>
        <v>0.5</v>
      </c>
      <c r="G583" s="112">
        <f t="shared" ref="G583" si="890">(COUNTIFS(L583,"&lt;="&amp;$C$1)*50%)+(COUNTIFS(O583,"&lt;="&amp;$C$1)*20%)+(COUNTIFS(R583,"&lt;="&amp;$C$1)*10%)+(COUNTIFS(U583,"&lt;="&amp;$C$1)*20%)</f>
        <v>0</v>
      </c>
      <c r="H583" s="112">
        <f t="shared" ref="H583" si="891">G583-E583</f>
        <v>-0.5</v>
      </c>
      <c r="I583" s="113">
        <v>4.7E-2</v>
      </c>
      <c r="J583" s="114">
        <f t="shared" si="872"/>
        <v>46262</v>
      </c>
      <c r="K583" s="114">
        <f t="shared" si="881"/>
        <v>46262</v>
      </c>
      <c r="L583" s="114"/>
      <c r="M583" s="114">
        <f t="shared" si="882"/>
        <v>46304</v>
      </c>
      <c r="N583" s="114">
        <f t="shared" si="883"/>
        <v>46304</v>
      </c>
      <c r="O583" s="114"/>
      <c r="P583" s="114">
        <f t="shared" si="884"/>
        <v>46346</v>
      </c>
      <c r="Q583" s="114">
        <f t="shared" si="885"/>
        <v>46346</v>
      </c>
      <c r="R583" s="114"/>
      <c r="S583" s="114">
        <f t="shared" si="887"/>
        <v>46360</v>
      </c>
      <c r="T583" s="114">
        <f t="shared" si="886"/>
        <v>46360</v>
      </c>
      <c r="U583" s="114"/>
      <c r="W583" s="169" t="str">
        <f t="shared" ca="1" si="877"/>
        <v>Overdue</v>
      </c>
      <c r="X583" s="169" t="str">
        <f t="shared" ca="1" si="878"/>
        <v/>
      </c>
      <c r="Y583" s="169" t="str">
        <f t="shared" ca="1" si="879"/>
        <v/>
      </c>
      <c r="Z583" s="170" t="str">
        <f t="shared" ca="1" si="880"/>
        <v/>
      </c>
    </row>
    <row r="584" spans="1:26" s="70" customFormat="1" ht="11.5" x14ac:dyDescent="0.25">
      <c r="A584" s="111" t="s">
        <v>67</v>
      </c>
      <c r="B584" s="111" t="s">
        <v>14</v>
      </c>
      <c r="C584" s="111" t="s">
        <v>634</v>
      </c>
      <c r="D584" s="111" t="s">
        <v>635</v>
      </c>
      <c r="E584" s="112">
        <f t="shared" si="835"/>
        <v>0.5</v>
      </c>
      <c r="F584" s="112">
        <f t="shared" si="836"/>
        <v>0.5</v>
      </c>
      <c r="G584" s="112">
        <f t="shared" si="836"/>
        <v>0</v>
      </c>
      <c r="H584" s="112">
        <f t="shared" si="837"/>
        <v>-0.5</v>
      </c>
      <c r="I584" s="113">
        <v>4.7E-2</v>
      </c>
      <c r="J584" s="114">
        <f t="shared" si="872"/>
        <v>46262</v>
      </c>
      <c r="K584" s="114">
        <f t="shared" si="881"/>
        <v>46262</v>
      </c>
      <c r="L584" s="114"/>
      <c r="M584" s="115">
        <f t="shared" si="882"/>
        <v>46304</v>
      </c>
      <c r="N584" s="114">
        <f t="shared" si="883"/>
        <v>46304</v>
      </c>
      <c r="O584" s="114"/>
      <c r="P584" s="114">
        <f t="shared" si="884"/>
        <v>46346</v>
      </c>
      <c r="Q584" s="114">
        <f t="shared" si="885"/>
        <v>46346</v>
      </c>
      <c r="R584" s="114"/>
      <c r="S584" s="114">
        <f t="shared" si="887"/>
        <v>46360</v>
      </c>
      <c r="T584" s="114">
        <f t="shared" si="886"/>
        <v>46360</v>
      </c>
      <c r="U584" s="114"/>
      <c r="W584" s="169" t="str">
        <f t="shared" ca="1" si="877"/>
        <v>Overdue</v>
      </c>
      <c r="X584" s="169" t="str">
        <f t="shared" ca="1" si="878"/>
        <v/>
      </c>
      <c r="Y584" s="169" t="str">
        <f t="shared" ca="1" si="879"/>
        <v/>
      </c>
      <c r="Z584" s="170" t="str">
        <f t="shared" ca="1" si="880"/>
        <v/>
      </c>
    </row>
    <row r="585" spans="1:26" s="70" customFormat="1" ht="11.5" x14ac:dyDescent="0.25">
      <c r="A585" s="111" t="s">
        <v>67</v>
      </c>
      <c r="B585" s="111" t="s">
        <v>14</v>
      </c>
      <c r="C585" s="111" t="s">
        <v>636</v>
      </c>
      <c r="D585" s="111" t="s">
        <v>637</v>
      </c>
      <c r="E585" s="112">
        <f t="shared" si="835"/>
        <v>0.5</v>
      </c>
      <c r="F585" s="112">
        <f t="shared" si="836"/>
        <v>0.5</v>
      </c>
      <c r="G585" s="112">
        <f t="shared" si="836"/>
        <v>0</v>
      </c>
      <c r="H585" s="112">
        <f t="shared" si="837"/>
        <v>-0.5</v>
      </c>
      <c r="I585" s="113">
        <v>4.7E-2</v>
      </c>
      <c r="J585" s="114">
        <f t="shared" si="872"/>
        <v>46262</v>
      </c>
      <c r="K585" s="114">
        <f t="shared" si="881"/>
        <v>46262</v>
      </c>
      <c r="L585" s="114"/>
      <c r="M585" s="115">
        <f t="shared" si="882"/>
        <v>46304</v>
      </c>
      <c r="N585" s="114">
        <f t="shared" si="883"/>
        <v>46304</v>
      </c>
      <c r="O585" s="114"/>
      <c r="P585" s="114">
        <f t="shared" si="884"/>
        <v>46346</v>
      </c>
      <c r="Q585" s="114">
        <f t="shared" si="885"/>
        <v>46346</v>
      </c>
      <c r="R585" s="114"/>
      <c r="S585" s="114">
        <f t="shared" si="887"/>
        <v>46360</v>
      </c>
      <c r="T585" s="114">
        <f t="shared" si="886"/>
        <v>46360</v>
      </c>
      <c r="U585" s="114"/>
      <c r="W585" s="169" t="str">
        <f t="shared" ca="1" si="877"/>
        <v>Overdue</v>
      </c>
      <c r="X585" s="169" t="str">
        <f t="shared" ca="1" si="878"/>
        <v/>
      </c>
      <c r="Y585" s="169" t="str">
        <f t="shared" ca="1" si="879"/>
        <v/>
      </c>
      <c r="Z585" s="170" t="str">
        <f t="shared" ca="1" si="880"/>
        <v/>
      </c>
    </row>
    <row r="586" spans="1:26" s="70" customFormat="1" ht="11.5" x14ac:dyDescent="0.25">
      <c r="A586" s="111" t="s">
        <v>67</v>
      </c>
      <c r="B586" s="111" t="s">
        <v>14</v>
      </c>
      <c r="C586" s="111" t="s">
        <v>1045</v>
      </c>
      <c r="D586" s="111" t="s">
        <v>638</v>
      </c>
      <c r="E586" s="112">
        <f t="shared" si="835"/>
        <v>0.5</v>
      </c>
      <c r="F586" s="112">
        <f t="shared" si="836"/>
        <v>0.5</v>
      </c>
      <c r="G586" s="112">
        <f t="shared" si="836"/>
        <v>0.5</v>
      </c>
      <c r="H586" s="112">
        <f t="shared" si="837"/>
        <v>0</v>
      </c>
      <c r="I586" s="113">
        <v>4.7E-2</v>
      </c>
      <c r="J586" s="114">
        <f t="shared" si="872"/>
        <v>46262</v>
      </c>
      <c r="K586" s="114">
        <f t="shared" si="881"/>
        <v>46262</v>
      </c>
      <c r="L586" s="114">
        <v>46275</v>
      </c>
      <c r="M586" s="115">
        <f t="shared" si="882"/>
        <v>46304</v>
      </c>
      <c r="N586" s="114">
        <f t="shared" si="883"/>
        <v>46304</v>
      </c>
      <c r="O586" s="114"/>
      <c r="P586" s="114">
        <f t="shared" si="884"/>
        <v>46346</v>
      </c>
      <c r="Q586" s="114">
        <f t="shared" si="885"/>
        <v>46346</v>
      </c>
      <c r="R586" s="114"/>
      <c r="S586" s="114">
        <f t="shared" si="887"/>
        <v>46360</v>
      </c>
      <c r="T586" s="114">
        <f t="shared" si="886"/>
        <v>46360</v>
      </c>
      <c r="U586" s="114"/>
      <c r="W586" s="169" t="str">
        <f t="shared" ca="1" si="877"/>
        <v>Completed</v>
      </c>
      <c r="X586" s="169" t="str">
        <f t="shared" ca="1" si="878"/>
        <v/>
      </c>
      <c r="Y586" s="169" t="str">
        <f t="shared" ca="1" si="879"/>
        <v/>
      </c>
      <c r="Z586" s="170" t="str">
        <f t="shared" ca="1" si="880"/>
        <v/>
      </c>
    </row>
    <row r="587" spans="1:26" s="70" customFormat="1" ht="11.5" x14ac:dyDescent="0.25">
      <c r="A587" s="111" t="s">
        <v>67</v>
      </c>
      <c r="B587" s="111" t="s">
        <v>14</v>
      </c>
      <c r="C587" s="111" t="s">
        <v>639</v>
      </c>
      <c r="D587" s="111" t="s">
        <v>640</v>
      </c>
      <c r="E587" s="112">
        <f t="shared" si="835"/>
        <v>0.5</v>
      </c>
      <c r="F587" s="112">
        <f t="shared" si="836"/>
        <v>0.5</v>
      </c>
      <c r="G587" s="112">
        <f t="shared" si="836"/>
        <v>0</v>
      </c>
      <c r="H587" s="112">
        <f t="shared" si="837"/>
        <v>-0.5</v>
      </c>
      <c r="I587" s="113">
        <v>4.7E-2</v>
      </c>
      <c r="J587" s="114">
        <f t="shared" si="872"/>
        <v>46262</v>
      </c>
      <c r="K587" s="114">
        <f t="shared" si="881"/>
        <v>46262</v>
      </c>
      <c r="L587" s="115"/>
      <c r="M587" s="115">
        <f t="shared" si="882"/>
        <v>46304</v>
      </c>
      <c r="N587" s="114">
        <f t="shared" si="883"/>
        <v>46304</v>
      </c>
      <c r="O587" s="115"/>
      <c r="P587" s="114">
        <f t="shared" si="884"/>
        <v>46346</v>
      </c>
      <c r="Q587" s="114">
        <f t="shared" si="885"/>
        <v>46346</v>
      </c>
      <c r="R587" s="115"/>
      <c r="S587" s="114">
        <f t="shared" si="887"/>
        <v>46360</v>
      </c>
      <c r="T587" s="114">
        <f t="shared" si="886"/>
        <v>46360</v>
      </c>
      <c r="U587" s="115"/>
      <c r="W587" s="169" t="str">
        <f t="shared" ca="1" si="877"/>
        <v>Overdue</v>
      </c>
      <c r="X587" s="169" t="str">
        <f t="shared" ca="1" si="878"/>
        <v/>
      </c>
      <c r="Y587" s="169" t="str">
        <f t="shared" ca="1" si="879"/>
        <v/>
      </c>
      <c r="Z587" s="170" t="str">
        <f t="shared" ca="1" si="880"/>
        <v/>
      </c>
    </row>
    <row r="588" spans="1:26" s="70" customFormat="1" ht="11.5" x14ac:dyDescent="0.25">
      <c r="A588" s="111" t="s">
        <v>67</v>
      </c>
      <c r="B588" s="111" t="s">
        <v>14</v>
      </c>
      <c r="C588" s="111" t="s">
        <v>641</v>
      </c>
      <c r="D588" s="111" t="s">
        <v>642</v>
      </c>
      <c r="E588" s="112">
        <f t="shared" si="835"/>
        <v>0.5</v>
      </c>
      <c r="F588" s="112">
        <f t="shared" si="836"/>
        <v>0.5</v>
      </c>
      <c r="G588" s="112">
        <f t="shared" si="836"/>
        <v>0</v>
      </c>
      <c r="H588" s="112">
        <f t="shared" si="837"/>
        <v>-0.5</v>
      </c>
      <c r="I588" s="113">
        <v>4.7E-2</v>
      </c>
      <c r="J588" s="114">
        <f t="shared" si="872"/>
        <v>46262</v>
      </c>
      <c r="K588" s="114">
        <f t="shared" si="881"/>
        <v>46262</v>
      </c>
      <c r="L588" s="115"/>
      <c r="M588" s="115">
        <f t="shared" si="882"/>
        <v>46304</v>
      </c>
      <c r="N588" s="114">
        <f t="shared" si="883"/>
        <v>46304</v>
      </c>
      <c r="O588" s="115"/>
      <c r="P588" s="114">
        <f t="shared" si="884"/>
        <v>46346</v>
      </c>
      <c r="Q588" s="114">
        <f t="shared" si="885"/>
        <v>46346</v>
      </c>
      <c r="R588" s="115"/>
      <c r="S588" s="114">
        <f t="shared" si="887"/>
        <v>46360</v>
      </c>
      <c r="T588" s="114">
        <f t="shared" si="886"/>
        <v>46360</v>
      </c>
      <c r="U588" s="115"/>
      <c r="W588" s="169" t="str">
        <f t="shared" ca="1" si="877"/>
        <v>Overdue</v>
      </c>
      <c r="X588" s="169" t="str">
        <f t="shared" ca="1" si="878"/>
        <v/>
      </c>
      <c r="Y588" s="169" t="str">
        <f t="shared" ca="1" si="879"/>
        <v/>
      </c>
      <c r="Z588" s="170" t="str">
        <f t="shared" ca="1" si="880"/>
        <v/>
      </c>
    </row>
    <row r="589" spans="1:26" s="70" customFormat="1" ht="11.5" x14ac:dyDescent="0.25">
      <c r="A589" s="111" t="s">
        <v>67</v>
      </c>
      <c r="B589" s="111" t="s">
        <v>14</v>
      </c>
      <c r="C589" s="111" t="s">
        <v>42</v>
      </c>
      <c r="D589" s="111" t="s">
        <v>643</v>
      </c>
      <c r="E589" s="112">
        <f t="shared" si="835"/>
        <v>0</v>
      </c>
      <c r="F589" s="112">
        <f t="shared" si="836"/>
        <v>0</v>
      </c>
      <c r="G589" s="112">
        <f t="shared" si="836"/>
        <v>0</v>
      </c>
      <c r="H589" s="112">
        <f t="shared" si="837"/>
        <v>0</v>
      </c>
      <c r="I589" s="119">
        <v>1.5</v>
      </c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W589" s="169" t="str">
        <f t="shared" ca="1" si="877"/>
        <v/>
      </c>
      <c r="X589" s="169" t="str">
        <f t="shared" ca="1" si="878"/>
        <v/>
      </c>
      <c r="Y589" s="169" t="str">
        <f t="shared" ca="1" si="879"/>
        <v/>
      </c>
      <c r="Z589" s="170" t="str">
        <f t="shared" ca="1" si="880"/>
        <v/>
      </c>
    </row>
    <row r="590" spans="1:26" s="70" customFormat="1" ht="11.5" x14ac:dyDescent="0.25">
      <c r="A590" s="73"/>
      <c r="B590" s="73"/>
      <c r="C590" s="73"/>
      <c r="D590" s="73"/>
      <c r="E590" s="74"/>
      <c r="F590" s="74"/>
      <c r="G590" s="74"/>
      <c r="H590" s="74"/>
      <c r="I590" s="75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W590" s="169" t="str">
        <f t="shared" ca="1" si="877"/>
        <v/>
      </c>
      <c r="X590" s="169" t="str">
        <f t="shared" ca="1" si="878"/>
        <v/>
      </c>
      <c r="Y590" s="169" t="str">
        <f t="shared" ca="1" si="879"/>
        <v/>
      </c>
      <c r="Z590" s="170" t="str">
        <f t="shared" ca="1" si="880"/>
        <v/>
      </c>
    </row>
    <row r="591" spans="1:26" s="70" customFormat="1" ht="11.5" x14ac:dyDescent="0.25">
      <c r="A591" s="120" t="s">
        <v>65</v>
      </c>
      <c r="B591" s="120" t="s">
        <v>14</v>
      </c>
      <c r="C591" s="120" t="s">
        <v>838</v>
      </c>
      <c r="D591" s="120" t="s">
        <v>834</v>
      </c>
      <c r="E591" s="122">
        <f t="shared" si="835"/>
        <v>0.7</v>
      </c>
      <c r="F591" s="122">
        <f t="shared" si="836"/>
        <v>0.7</v>
      </c>
      <c r="G591" s="122">
        <f t="shared" si="836"/>
        <v>1</v>
      </c>
      <c r="H591" s="122">
        <f t="shared" si="837"/>
        <v>0.30000000000000004</v>
      </c>
      <c r="I591" s="123">
        <v>8.9999999999999993E-3</v>
      </c>
      <c r="J591" s="124">
        <f t="shared" ref="J591:J622" si="892">J470+28</f>
        <v>46234</v>
      </c>
      <c r="K591" s="124">
        <f t="shared" si="881"/>
        <v>46234</v>
      </c>
      <c r="L591" s="124">
        <v>46175</v>
      </c>
      <c r="M591" s="124">
        <f t="shared" si="882"/>
        <v>46276</v>
      </c>
      <c r="N591" s="124">
        <f t="shared" si="883"/>
        <v>46276</v>
      </c>
      <c r="O591" s="124">
        <v>46191</v>
      </c>
      <c r="P591" s="124">
        <f t="shared" si="884"/>
        <v>46318</v>
      </c>
      <c r="Q591" s="124">
        <f t="shared" si="885"/>
        <v>46318</v>
      </c>
      <c r="R591" s="124">
        <v>46245</v>
      </c>
      <c r="S591" s="124">
        <f t="shared" si="887"/>
        <v>46332</v>
      </c>
      <c r="T591" s="124">
        <f t="shared" si="886"/>
        <v>46332</v>
      </c>
      <c r="U591" s="124">
        <v>46255</v>
      </c>
      <c r="W591" s="169" t="str">
        <f t="shared" ca="1" si="877"/>
        <v>Completed</v>
      </c>
      <c r="X591" s="169" t="str">
        <f t="shared" ca="1" si="878"/>
        <v>Completed</v>
      </c>
      <c r="Y591" s="169" t="str">
        <f t="shared" ca="1" si="879"/>
        <v>Completed</v>
      </c>
      <c r="Z591" s="170" t="str">
        <f t="shared" ca="1" si="880"/>
        <v>Completed</v>
      </c>
    </row>
    <row r="592" spans="1:26" s="70" customFormat="1" ht="11.5" x14ac:dyDescent="0.25">
      <c r="A592" s="120" t="s">
        <v>65</v>
      </c>
      <c r="B592" s="120" t="s">
        <v>14</v>
      </c>
      <c r="C592" s="120" t="s">
        <v>839</v>
      </c>
      <c r="D592" s="120" t="s">
        <v>835</v>
      </c>
      <c r="E592" s="122">
        <f t="shared" si="835"/>
        <v>0.7</v>
      </c>
      <c r="F592" s="122">
        <f t="shared" si="836"/>
        <v>0.7</v>
      </c>
      <c r="G592" s="122">
        <f t="shared" si="836"/>
        <v>1</v>
      </c>
      <c r="H592" s="122">
        <f t="shared" si="837"/>
        <v>0.30000000000000004</v>
      </c>
      <c r="I592" s="123">
        <v>8.9999999999999993E-3</v>
      </c>
      <c r="J592" s="124">
        <f t="shared" si="892"/>
        <v>46234</v>
      </c>
      <c r="K592" s="124">
        <f t="shared" si="881"/>
        <v>46234</v>
      </c>
      <c r="L592" s="124">
        <v>46175</v>
      </c>
      <c r="M592" s="124">
        <f t="shared" si="882"/>
        <v>46276</v>
      </c>
      <c r="N592" s="124">
        <f t="shared" si="883"/>
        <v>46276</v>
      </c>
      <c r="O592" s="124">
        <v>46191</v>
      </c>
      <c r="P592" s="124">
        <f t="shared" si="884"/>
        <v>46318</v>
      </c>
      <c r="Q592" s="124">
        <f t="shared" si="885"/>
        <v>46318</v>
      </c>
      <c r="R592" s="124">
        <v>46245</v>
      </c>
      <c r="S592" s="124">
        <f t="shared" si="887"/>
        <v>46332</v>
      </c>
      <c r="T592" s="124">
        <f t="shared" si="886"/>
        <v>46332</v>
      </c>
      <c r="U592" s="124">
        <v>46255</v>
      </c>
      <c r="W592" s="169" t="str">
        <f t="shared" ca="1" si="877"/>
        <v>Completed</v>
      </c>
      <c r="X592" s="169" t="str">
        <f t="shared" ca="1" si="878"/>
        <v>Completed</v>
      </c>
      <c r="Y592" s="169" t="str">
        <f t="shared" ca="1" si="879"/>
        <v>Completed</v>
      </c>
      <c r="Z592" s="170" t="str">
        <f t="shared" ca="1" si="880"/>
        <v>Completed</v>
      </c>
    </row>
    <row r="593" spans="1:26" s="70" customFormat="1" ht="11.5" x14ac:dyDescent="0.25">
      <c r="A593" s="120" t="s">
        <v>65</v>
      </c>
      <c r="B593" s="120" t="s">
        <v>14</v>
      </c>
      <c r="C593" s="120" t="s">
        <v>840</v>
      </c>
      <c r="D593" s="120" t="s">
        <v>836</v>
      </c>
      <c r="E593" s="122">
        <f t="shared" si="835"/>
        <v>0.7</v>
      </c>
      <c r="F593" s="122">
        <f t="shared" si="836"/>
        <v>0.7</v>
      </c>
      <c r="G593" s="122">
        <f t="shared" si="836"/>
        <v>1</v>
      </c>
      <c r="H593" s="122">
        <f t="shared" si="837"/>
        <v>0.30000000000000004</v>
      </c>
      <c r="I593" s="123">
        <v>4.7E-2</v>
      </c>
      <c r="J593" s="124">
        <f t="shared" si="892"/>
        <v>46234</v>
      </c>
      <c r="K593" s="124">
        <f t="shared" si="881"/>
        <v>46234</v>
      </c>
      <c r="L593" s="124">
        <v>46175</v>
      </c>
      <c r="M593" s="124">
        <f t="shared" si="882"/>
        <v>46276</v>
      </c>
      <c r="N593" s="124">
        <f t="shared" si="883"/>
        <v>46276</v>
      </c>
      <c r="O593" s="124">
        <v>46191</v>
      </c>
      <c r="P593" s="124">
        <f t="shared" si="884"/>
        <v>46318</v>
      </c>
      <c r="Q593" s="124">
        <f t="shared" si="885"/>
        <v>46318</v>
      </c>
      <c r="R593" s="124">
        <v>46245</v>
      </c>
      <c r="S593" s="124">
        <f t="shared" si="887"/>
        <v>46332</v>
      </c>
      <c r="T593" s="124">
        <f t="shared" si="886"/>
        <v>46332</v>
      </c>
      <c r="U593" s="124">
        <v>46255</v>
      </c>
      <c r="W593" s="169" t="str">
        <f t="shared" ca="1" si="877"/>
        <v>Completed</v>
      </c>
      <c r="X593" s="169" t="str">
        <f t="shared" ca="1" si="878"/>
        <v>Completed</v>
      </c>
      <c r="Y593" s="169" t="str">
        <f t="shared" ca="1" si="879"/>
        <v>Completed</v>
      </c>
      <c r="Z593" s="170" t="str">
        <f t="shared" ca="1" si="880"/>
        <v>Completed</v>
      </c>
    </row>
    <row r="594" spans="1:26" s="70" customFormat="1" ht="11.5" x14ac:dyDescent="0.25">
      <c r="A594" s="120" t="s">
        <v>65</v>
      </c>
      <c r="B594" s="120" t="s">
        <v>14</v>
      </c>
      <c r="C594" s="120" t="s">
        <v>841</v>
      </c>
      <c r="D594" s="120" t="s">
        <v>837</v>
      </c>
      <c r="E594" s="122">
        <f t="shared" si="835"/>
        <v>0.7</v>
      </c>
      <c r="F594" s="122">
        <f t="shared" si="836"/>
        <v>0.7</v>
      </c>
      <c r="G594" s="122">
        <f t="shared" si="836"/>
        <v>1</v>
      </c>
      <c r="H594" s="122">
        <f t="shared" si="837"/>
        <v>0.30000000000000004</v>
      </c>
      <c r="I594" s="123">
        <v>4.7E-2</v>
      </c>
      <c r="J594" s="124">
        <f t="shared" si="892"/>
        <v>46234</v>
      </c>
      <c r="K594" s="124">
        <f t="shared" si="881"/>
        <v>46234</v>
      </c>
      <c r="L594" s="124">
        <v>46175</v>
      </c>
      <c r="M594" s="124">
        <f t="shared" si="882"/>
        <v>46276</v>
      </c>
      <c r="N594" s="124">
        <f t="shared" si="883"/>
        <v>46276</v>
      </c>
      <c r="O594" s="124">
        <v>46191</v>
      </c>
      <c r="P594" s="124">
        <f t="shared" si="884"/>
        <v>46318</v>
      </c>
      <c r="Q594" s="124">
        <f t="shared" si="885"/>
        <v>46318</v>
      </c>
      <c r="R594" s="124">
        <v>46245</v>
      </c>
      <c r="S594" s="124">
        <f t="shared" si="887"/>
        <v>46332</v>
      </c>
      <c r="T594" s="124">
        <f t="shared" si="886"/>
        <v>46332</v>
      </c>
      <c r="U594" s="124">
        <v>46255</v>
      </c>
      <c r="W594" s="169" t="str">
        <f t="shared" ca="1" si="877"/>
        <v>Completed</v>
      </c>
      <c r="X594" s="169" t="str">
        <f t="shared" ca="1" si="878"/>
        <v>Completed</v>
      </c>
      <c r="Y594" s="169" t="str">
        <f t="shared" ca="1" si="879"/>
        <v>Completed</v>
      </c>
      <c r="Z594" s="170" t="str">
        <f t="shared" ca="1" si="880"/>
        <v>Completed</v>
      </c>
    </row>
    <row r="595" spans="1:26" s="70" customFormat="1" ht="11.5" x14ac:dyDescent="0.25">
      <c r="A595" s="120" t="s">
        <v>65</v>
      </c>
      <c r="B595" s="120" t="s">
        <v>14</v>
      </c>
      <c r="C595" s="120" t="s">
        <v>644</v>
      </c>
      <c r="D595" s="120" t="s">
        <v>645</v>
      </c>
      <c r="E595" s="122">
        <f t="shared" si="835"/>
        <v>0.7</v>
      </c>
      <c r="F595" s="122">
        <f t="shared" si="836"/>
        <v>0.7</v>
      </c>
      <c r="G595" s="122">
        <f t="shared" si="836"/>
        <v>0</v>
      </c>
      <c r="H595" s="127">
        <f t="shared" si="837"/>
        <v>-0.7</v>
      </c>
      <c r="I595" s="125">
        <v>4.7E-2</v>
      </c>
      <c r="J595" s="124">
        <f t="shared" si="892"/>
        <v>46234</v>
      </c>
      <c r="K595" s="124">
        <f t="shared" si="881"/>
        <v>46234</v>
      </c>
      <c r="L595" s="124"/>
      <c r="M595" s="124">
        <f t="shared" si="882"/>
        <v>46276</v>
      </c>
      <c r="N595" s="124">
        <f t="shared" si="883"/>
        <v>46276</v>
      </c>
      <c r="O595" s="124"/>
      <c r="P595" s="124">
        <f t="shared" si="884"/>
        <v>46318</v>
      </c>
      <c r="Q595" s="124">
        <f t="shared" si="885"/>
        <v>46318</v>
      </c>
      <c r="R595" s="124"/>
      <c r="S595" s="124">
        <f t="shared" si="887"/>
        <v>46332</v>
      </c>
      <c r="T595" s="124">
        <f t="shared" si="886"/>
        <v>46332</v>
      </c>
      <c r="U595" s="124"/>
      <c r="W595" s="169" t="str">
        <f t="shared" ca="1" si="877"/>
        <v>Overdue</v>
      </c>
      <c r="X595" s="169" t="str">
        <f t="shared" ca="1" si="878"/>
        <v>Overdue</v>
      </c>
      <c r="Y595" s="169" t="str">
        <f t="shared" ca="1" si="879"/>
        <v/>
      </c>
      <c r="Z595" s="170" t="str">
        <f t="shared" ca="1" si="880"/>
        <v/>
      </c>
    </row>
    <row r="596" spans="1:26" s="70" customFormat="1" ht="11.5" x14ac:dyDescent="0.25">
      <c r="A596" s="120" t="s">
        <v>65</v>
      </c>
      <c r="B596" s="120" t="s">
        <v>14</v>
      </c>
      <c r="C596" s="120" t="s">
        <v>646</v>
      </c>
      <c r="D596" s="120" t="s">
        <v>647</v>
      </c>
      <c r="E596" s="122">
        <f t="shared" si="835"/>
        <v>0.7</v>
      </c>
      <c r="F596" s="122">
        <f t="shared" si="836"/>
        <v>0.7</v>
      </c>
      <c r="G596" s="122">
        <f t="shared" si="836"/>
        <v>0</v>
      </c>
      <c r="H596" s="127">
        <f t="shared" si="837"/>
        <v>-0.7</v>
      </c>
      <c r="I596" s="125">
        <v>4.7E-2</v>
      </c>
      <c r="J596" s="124">
        <f t="shared" si="892"/>
        <v>46234</v>
      </c>
      <c r="K596" s="124">
        <f t="shared" si="881"/>
        <v>46234</v>
      </c>
      <c r="L596" s="124"/>
      <c r="M596" s="124">
        <f t="shared" si="882"/>
        <v>46276</v>
      </c>
      <c r="N596" s="124">
        <f t="shared" si="883"/>
        <v>46276</v>
      </c>
      <c r="O596" s="124"/>
      <c r="P596" s="124">
        <f t="shared" si="884"/>
        <v>46318</v>
      </c>
      <c r="Q596" s="124">
        <f t="shared" si="885"/>
        <v>46318</v>
      </c>
      <c r="R596" s="124"/>
      <c r="S596" s="124">
        <f t="shared" si="887"/>
        <v>46332</v>
      </c>
      <c r="T596" s="124">
        <f t="shared" si="886"/>
        <v>46332</v>
      </c>
      <c r="U596" s="124"/>
      <c r="W596" s="169" t="str">
        <f t="shared" ca="1" si="877"/>
        <v>Overdue</v>
      </c>
      <c r="X596" s="169" t="str">
        <f t="shared" ca="1" si="878"/>
        <v>Overdue</v>
      </c>
      <c r="Y596" s="169" t="str">
        <f t="shared" ca="1" si="879"/>
        <v/>
      </c>
      <c r="Z596" s="170" t="str">
        <f t="shared" ca="1" si="880"/>
        <v/>
      </c>
    </row>
    <row r="597" spans="1:26" s="70" customFormat="1" ht="11.5" x14ac:dyDescent="0.25">
      <c r="A597" s="120" t="s">
        <v>65</v>
      </c>
      <c r="B597" s="120" t="s">
        <v>14</v>
      </c>
      <c r="C597" s="120" t="s">
        <v>648</v>
      </c>
      <c r="D597" s="120" t="s">
        <v>649</v>
      </c>
      <c r="E597" s="122">
        <f t="shared" si="835"/>
        <v>0.7</v>
      </c>
      <c r="F597" s="122">
        <f t="shared" si="836"/>
        <v>0.7</v>
      </c>
      <c r="G597" s="122">
        <f t="shared" si="836"/>
        <v>0.7</v>
      </c>
      <c r="H597" s="127">
        <f t="shared" si="837"/>
        <v>0</v>
      </c>
      <c r="I597" s="125">
        <v>4.7E-2</v>
      </c>
      <c r="J597" s="124">
        <f t="shared" si="892"/>
        <v>46234</v>
      </c>
      <c r="K597" s="124">
        <f t="shared" si="881"/>
        <v>46234</v>
      </c>
      <c r="L597" s="124">
        <v>46130</v>
      </c>
      <c r="M597" s="124">
        <f>J597+35</f>
        <v>46269</v>
      </c>
      <c r="N597" s="124">
        <f t="shared" si="883"/>
        <v>46269</v>
      </c>
      <c r="O597" s="124">
        <v>46259</v>
      </c>
      <c r="P597" s="124">
        <f>M597+38</f>
        <v>46307</v>
      </c>
      <c r="Q597" s="124">
        <f t="shared" si="885"/>
        <v>46307</v>
      </c>
      <c r="R597" s="124"/>
      <c r="S597" s="124">
        <f t="shared" si="887"/>
        <v>46321</v>
      </c>
      <c r="T597" s="124">
        <f t="shared" si="886"/>
        <v>46321</v>
      </c>
      <c r="U597" s="124"/>
      <c r="W597" s="169" t="str">
        <f t="shared" ca="1" si="877"/>
        <v>Completed</v>
      </c>
      <c r="X597" s="169" t="str">
        <f t="shared" ca="1" si="878"/>
        <v>Completed</v>
      </c>
      <c r="Y597" s="169" t="str">
        <f t="shared" ca="1" si="879"/>
        <v/>
      </c>
      <c r="Z597" s="170" t="str">
        <f t="shared" ca="1" si="880"/>
        <v/>
      </c>
    </row>
    <row r="598" spans="1:26" s="70" customFormat="1" ht="11.5" x14ac:dyDescent="0.25">
      <c r="A598" s="120" t="s">
        <v>65</v>
      </c>
      <c r="B598" s="120" t="s">
        <v>14</v>
      </c>
      <c r="C598" s="120" t="s">
        <v>650</v>
      </c>
      <c r="D598" s="120" t="s">
        <v>651</v>
      </c>
      <c r="E598" s="122">
        <f t="shared" si="835"/>
        <v>0.7</v>
      </c>
      <c r="F598" s="122">
        <f t="shared" si="836"/>
        <v>0.7</v>
      </c>
      <c r="G598" s="122">
        <f t="shared" si="836"/>
        <v>0.7</v>
      </c>
      <c r="H598" s="127">
        <f t="shared" si="837"/>
        <v>0</v>
      </c>
      <c r="I598" s="125">
        <v>4.7E-2</v>
      </c>
      <c r="J598" s="124">
        <f t="shared" si="892"/>
        <v>46234</v>
      </c>
      <c r="K598" s="124">
        <f t="shared" si="881"/>
        <v>46234</v>
      </c>
      <c r="L598" s="124">
        <v>46130</v>
      </c>
      <c r="M598" s="124">
        <f t="shared" ref="M598:M623" si="893">J598+35</f>
        <v>46269</v>
      </c>
      <c r="N598" s="124">
        <f t="shared" si="883"/>
        <v>46269</v>
      </c>
      <c r="O598" s="124">
        <v>46259</v>
      </c>
      <c r="P598" s="124">
        <f t="shared" ref="P598:P623" si="894">M598+38</f>
        <v>46307</v>
      </c>
      <c r="Q598" s="124">
        <f t="shared" si="885"/>
        <v>46307</v>
      </c>
      <c r="R598" s="124"/>
      <c r="S598" s="124">
        <f t="shared" si="887"/>
        <v>46321</v>
      </c>
      <c r="T598" s="124">
        <f t="shared" si="886"/>
        <v>46321</v>
      </c>
      <c r="U598" s="124"/>
      <c r="W598" s="169" t="str">
        <f t="shared" ca="1" si="877"/>
        <v>Completed</v>
      </c>
      <c r="X598" s="169" t="str">
        <f t="shared" ca="1" si="878"/>
        <v>Completed</v>
      </c>
      <c r="Y598" s="169" t="str">
        <f t="shared" ca="1" si="879"/>
        <v/>
      </c>
      <c r="Z598" s="170" t="str">
        <f t="shared" ca="1" si="880"/>
        <v/>
      </c>
    </row>
    <row r="599" spans="1:26" s="70" customFormat="1" ht="11.5" x14ac:dyDescent="0.25">
      <c r="A599" s="120" t="s">
        <v>65</v>
      </c>
      <c r="B599" s="120" t="s">
        <v>14</v>
      </c>
      <c r="C599" s="120" t="s">
        <v>652</v>
      </c>
      <c r="D599" s="120" t="s">
        <v>653</v>
      </c>
      <c r="E599" s="122">
        <f t="shared" si="835"/>
        <v>0.7</v>
      </c>
      <c r="F599" s="122">
        <f t="shared" si="836"/>
        <v>0.7</v>
      </c>
      <c r="G599" s="122">
        <f t="shared" si="836"/>
        <v>0.7</v>
      </c>
      <c r="H599" s="127">
        <f t="shared" si="837"/>
        <v>0</v>
      </c>
      <c r="I599" s="125">
        <v>4.7E-2</v>
      </c>
      <c r="J599" s="124">
        <f t="shared" si="892"/>
        <v>46234</v>
      </c>
      <c r="K599" s="124">
        <f t="shared" si="881"/>
        <v>46234</v>
      </c>
      <c r="L599" s="124">
        <v>46130</v>
      </c>
      <c r="M599" s="124">
        <f t="shared" si="893"/>
        <v>46269</v>
      </c>
      <c r="N599" s="124">
        <f t="shared" si="883"/>
        <v>46269</v>
      </c>
      <c r="O599" s="124">
        <v>46259</v>
      </c>
      <c r="P599" s="124">
        <f t="shared" si="894"/>
        <v>46307</v>
      </c>
      <c r="Q599" s="124">
        <f t="shared" si="885"/>
        <v>46307</v>
      </c>
      <c r="R599" s="124"/>
      <c r="S599" s="124">
        <f t="shared" si="887"/>
        <v>46321</v>
      </c>
      <c r="T599" s="124">
        <f t="shared" si="886"/>
        <v>46321</v>
      </c>
      <c r="U599" s="124"/>
      <c r="W599" s="169" t="str">
        <f t="shared" ca="1" si="877"/>
        <v>Completed</v>
      </c>
      <c r="X599" s="169" t="str">
        <f t="shared" ca="1" si="878"/>
        <v>Completed</v>
      </c>
      <c r="Y599" s="169" t="str">
        <f t="shared" ca="1" si="879"/>
        <v/>
      </c>
      <c r="Z599" s="170" t="str">
        <f t="shared" ca="1" si="880"/>
        <v/>
      </c>
    </row>
    <row r="600" spans="1:26" s="70" customFormat="1" ht="11.5" x14ac:dyDescent="0.25">
      <c r="A600" s="120" t="s">
        <v>65</v>
      </c>
      <c r="B600" s="120" t="s">
        <v>14</v>
      </c>
      <c r="C600" s="120" t="s">
        <v>654</v>
      </c>
      <c r="D600" s="120" t="s">
        <v>655</v>
      </c>
      <c r="E600" s="122">
        <f t="shared" si="835"/>
        <v>0.7</v>
      </c>
      <c r="F600" s="122">
        <f t="shared" si="836"/>
        <v>0.7</v>
      </c>
      <c r="G600" s="122">
        <f t="shared" si="836"/>
        <v>0.7</v>
      </c>
      <c r="H600" s="127">
        <f t="shared" si="837"/>
        <v>0</v>
      </c>
      <c r="I600" s="125">
        <v>4.7E-2</v>
      </c>
      <c r="J600" s="124">
        <f t="shared" si="892"/>
        <v>46234</v>
      </c>
      <c r="K600" s="124">
        <f t="shared" si="881"/>
        <v>46234</v>
      </c>
      <c r="L600" s="124">
        <v>46130</v>
      </c>
      <c r="M600" s="124">
        <f t="shared" si="893"/>
        <v>46269</v>
      </c>
      <c r="N600" s="124">
        <f t="shared" si="883"/>
        <v>46269</v>
      </c>
      <c r="O600" s="124">
        <v>46259</v>
      </c>
      <c r="P600" s="124">
        <f t="shared" si="894"/>
        <v>46307</v>
      </c>
      <c r="Q600" s="124">
        <f t="shared" si="885"/>
        <v>46307</v>
      </c>
      <c r="R600" s="124"/>
      <c r="S600" s="124">
        <f t="shared" si="887"/>
        <v>46321</v>
      </c>
      <c r="T600" s="124">
        <f t="shared" si="886"/>
        <v>46321</v>
      </c>
      <c r="U600" s="124"/>
      <c r="W600" s="169" t="str">
        <f t="shared" ca="1" si="877"/>
        <v>Completed</v>
      </c>
      <c r="X600" s="169" t="str">
        <f t="shared" ca="1" si="878"/>
        <v>Completed</v>
      </c>
      <c r="Y600" s="169" t="str">
        <f t="shared" ca="1" si="879"/>
        <v/>
      </c>
      <c r="Z600" s="170" t="str">
        <f t="shared" ca="1" si="880"/>
        <v/>
      </c>
    </row>
    <row r="601" spans="1:26" s="70" customFormat="1" ht="11.5" x14ac:dyDescent="0.25">
      <c r="A601" s="120" t="s">
        <v>65</v>
      </c>
      <c r="B601" s="120" t="s">
        <v>14</v>
      </c>
      <c r="C601" s="120" t="s">
        <v>656</v>
      </c>
      <c r="D601" s="120" t="s">
        <v>657</v>
      </c>
      <c r="E601" s="122">
        <f t="shared" si="835"/>
        <v>0.7</v>
      </c>
      <c r="F601" s="122">
        <f t="shared" si="836"/>
        <v>0.7</v>
      </c>
      <c r="G601" s="122">
        <f t="shared" si="836"/>
        <v>0.7</v>
      </c>
      <c r="H601" s="127">
        <f t="shared" si="837"/>
        <v>0</v>
      </c>
      <c r="I601" s="125">
        <v>4.7E-2</v>
      </c>
      <c r="J601" s="124">
        <f t="shared" si="892"/>
        <v>46234</v>
      </c>
      <c r="K601" s="124">
        <f t="shared" si="881"/>
        <v>46234</v>
      </c>
      <c r="L601" s="124">
        <v>46130</v>
      </c>
      <c r="M601" s="124">
        <f t="shared" si="893"/>
        <v>46269</v>
      </c>
      <c r="N601" s="124">
        <f t="shared" si="883"/>
        <v>46269</v>
      </c>
      <c r="O601" s="124">
        <v>46259</v>
      </c>
      <c r="P601" s="124">
        <f t="shared" si="894"/>
        <v>46307</v>
      </c>
      <c r="Q601" s="124">
        <f t="shared" si="885"/>
        <v>46307</v>
      </c>
      <c r="R601" s="124"/>
      <c r="S601" s="124">
        <f t="shared" si="887"/>
        <v>46321</v>
      </c>
      <c r="T601" s="124">
        <f t="shared" si="886"/>
        <v>46321</v>
      </c>
      <c r="U601" s="124"/>
      <c r="W601" s="169" t="str">
        <f t="shared" ca="1" si="877"/>
        <v>Completed</v>
      </c>
      <c r="X601" s="169" t="str">
        <f t="shared" ca="1" si="878"/>
        <v>Completed</v>
      </c>
      <c r="Y601" s="169" t="str">
        <f t="shared" ca="1" si="879"/>
        <v/>
      </c>
      <c r="Z601" s="170" t="str">
        <f t="shared" ca="1" si="880"/>
        <v/>
      </c>
    </row>
    <row r="602" spans="1:26" s="70" customFormat="1" ht="11.5" x14ac:dyDescent="0.25">
      <c r="A602" s="120" t="s">
        <v>65</v>
      </c>
      <c r="B602" s="120" t="s">
        <v>14</v>
      </c>
      <c r="C602" s="120" t="s">
        <v>658</v>
      </c>
      <c r="D602" s="120" t="s">
        <v>659</v>
      </c>
      <c r="E602" s="122">
        <f t="shared" si="835"/>
        <v>0.7</v>
      </c>
      <c r="F602" s="122">
        <f t="shared" si="836"/>
        <v>0.7</v>
      </c>
      <c r="G602" s="122">
        <f t="shared" si="836"/>
        <v>0.7</v>
      </c>
      <c r="H602" s="127">
        <f t="shared" si="837"/>
        <v>0</v>
      </c>
      <c r="I602" s="125">
        <v>4.7E-2</v>
      </c>
      <c r="J602" s="124">
        <f t="shared" si="892"/>
        <v>46234</v>
      </c>
      <c r="K602" s="124">
        <f t="shared" si="881"/>
        <v>46234</v>
      </c>
      <c r="L602" s="124">
        <v>46130</v>
      </c>
      <c r="M602" s="124">
        <f t="shared" si="893"/>
        <v>46269</v>
      </c>
      <c r="N602" s="124">
        <f t="shared" si="883"/>
        <v>46269</v>
      </c>
      <c r="O602" s="124">
        <v>46259</v>
      </c>
      <c r="P602" s="124">
        <f t="shared" si="894"/>
        <v>46307</v>
      </c>
      <c r="Q602" s="124">
        <f t="shared" si="885"/>
        <v>46307</v>
      </c>
      <c r="R602" s="124"/>
      <c r="S602" s="124">
        <f t="shared" si="887"/>
        <v>46321</v>
      </c>
      <c r="T602" s="124">
        <f t="shared" si="886"/>
        <v>46321</v>
      </c>
      <c r="U602" s="124"/>
      <c r="W602" s="169" t="str">
        <f t="shared" ca="1" si="877"/>
        <v>Completed</v>
      </c>
      <c r="X602" s="169" t="str">
        <f t="shared" ca="1" si="878"/>
        <v>Completed</v>
      </c>
      <c r="Y602" s="169" t="str">
        <f t="shared" ca="1" si="879"/>
        <v/>
      </c>
      <c r="Z602" s="170" t="str">
        <f t="shared" ca="1" si="880"/>
        <v/>
      </c>
    </row>
    <row r="603" spans="1:26" s="70" customFormat="1" ht="11.5" x14ac:dyDescent="0.25">
      <c r="A603" s="120" t="s">
        <v>65</v>
      </c>
      <c r="B603" s="120" t="s">
        <v>14</v>
      </c>
      <c r="C603" s="120" t="s">
        <v>660</v>
      </c>
      <c r="D603" s="120" t="s">
        <v>661</v>
      </c>
      <c r="E603" s="122">
        <f t="shared" si="835"/>
        <v>0.7</v>
      </c>
      <c r="F603" s="122">
        <f t="shared" si="836"/>
        <v>0.7</v>
      </c>
      <c r="G603" s="122">
        <f t="shared" si="836"/>
        <v>0.7</v>
      </c>
      <c r="H603" s="127">
        <f t="shared" si="837"/>
        <v>0</v>
      </c>
      <c r="I603" s="125">
        <v>4.7E-2</v>
      </c>
      <c r="J603" s="124">
        <f t="shared" si="892"/>
        <v>46234</v>
      </c>
      <c r="K603" s="124">
        <f t="shared" si="881"/>
        <v>46234</v>
      </c>
      <c r="L603" s="124">
        <v>46130</v>
      </c>
      <c r="M603" s="124">
        <f t="shared" si="893"/>
        <v>46269</v>
      </c>
      <c r="N603" s="124">
        <f t="shared" si="883"/>
        <v>46269</v>
      </c>
      <c r="O603" s="124">
        <v>46259</v>
      </c>
      <c r="P603" s="124">
        <f t="shared" si="894"/>
        <v>46307</v>
      </c>
      <c r="Q603" s="124">
        <f t="shared" si="885"/>
        <v>46307</v>
      </c>
      <c r="R603" s="124"/>
      <c r="S603" s="124">
        <f t="shared" si="887"/>
        <v>46321</v>
      </c>
      <c r="T603" s="124">
        <f t="shared" si="886"/>
        <v>46321</v>
      </c>
      <c r="U603" s="124"/>
      <c r="W603" s="169" t="str">
        <f t="shared" ca="1" si="877"/>
        <v>Completed</v>
      </c>
      <c r="X603" s="169" t="str">
        <f t="shared" ca="1" si="878"/>
        <v>Completed</v>
      </c>
      <c r="Y603" s="169" t="str">
        <f t="shared" ca="1" si="879"/>
        <v/>
      </c>
      <c r="Z603" s="170" t="str">
        <f t="shared" ca="1" si="880"/>
        <v/>
      </c>
    </row>
    <row r="604" spans="1:26" s="70" customFormat="1" ht="11.5" x14ac:dyDescent="0.25">
      <c r="A604" s="120" t="s">
        <v>65</v>
      </c>
      <c r="B604" s="120" t="s">
        <v>14</v>
      </c>
      <c r="C604" s="120" t="s">
        <v>662</v>
      </c>
      <c r="D604" s="120" t="s">
        <v>663</v>
      </c>
      <c r="E604" s="122">
        <f t="shared" si="835"/>
        <v>0.7</v>
      </c>
      <c r="F604" s="122">
        <f t="shared" si="836"/>
        <v>0.7</v>
      </c>
      <c r="G604" s="122">
        <f t="shared" si="836"/>
        <v>0.7</v>
      </c>
      <c r="H604" s="127">
        <f t="shared" si="837"/>
        <v>0</v>
      </c>
      <c r="I604" s="125">
        <v>4.7E-2</v>
      </c>
      <c r="J604" s="124">
        <f t="shared" si="892"/>
        <v>46234</v>
      </c>
      <c r="K604" s="124">
        <f t="shared" si="881"/>
        <v>46234</v>
      </c>
      <c r="L604" s="124">
        <v>46130</v>
      </c>
      <c r="M604" s="124">
        <f t="shared" si="893"/>
        <v>46269</v>
      </c>
      <c r="N604" s="124">
        <f t="shared" si="883"/>
        <v>46269</v>
      </c>
      <c r="O604" s="124">
        <v>46259</v>
      </c>
      <c r="P604" s="124">
        <f t="shared" si="894"/>
        <v>46307</v>
      </c>
      <c r="Q604" s="124">
        <f t="shared" si="885"/>
        <v>46307</v>
      </c>
      <c r="R604" s="124"/>
      <c r="S604" s="124">
        <f t="shared" si="887"/>
        <v>46321</v>
      </c>
      <c r="T604" s="124">
        <f t="shared" si="886"/>
        <v>46321</v>
      </c>
      <c r="U604" s="124"/>
      <c r="W604" s="169" t="str">
        <f t="shared" ca="1" si="877"/>
        <v>Completed</v>
      </c>
      <c r="X604" s="169" t="str">
        <f t="shared" ca="1" si="878"/>
        <v>Completed</v>
      </c>
      <c r="Y604" s="169" t="str">
        <f t="shared" ca="1" si="879"/>
        <v/>
      </c>
      <c r="Z604" s="170" t="str">
        <f t="shared" ca="1" si="880"/>
        <v/>
      </c>
    </row>
    <row r="605" spans="1:26" s="70" customFormat="1" ht="11.5" x14ac:dyDescent="0.25">
      <c r="A605" s="120" t="s">
        <v>65</v>
      </c>
      <c r="B605" s="120" t="s">
        <v>14</v>
      </c>
      <c r="C605" s="120" t="s">
        <v>664</v>
      </c>
      <c r="D605" s="120" t="s">
        <v>665</v>
      </c>
      <c r="E605" s="122">
        <f t="shared" si="835"/>
        <v>0.7</v>
      </c>
      <c r="F605" s="122">
        <f t="shared" si="836"/>
        <v>0.7</v>
      </c>
      <c r="G605" s="122">
        <f t="shared" si="836"/>
        <v>0.7</v>
      </c>
      <c r="H605" s="127">
        <f t="shared" si="837"/>
        <v>0</v>
      </c>
      <c r="I605" s="125">
        <v>4.7E-2</v>
      </c>
      <c r="J605" s="124">
        <f t="shared" si="892"/>
        <v>46234</v>
      </c>
      <c r="K605" s="124">
        <f t="shared" si="881"/>
        <v>46234</v>
      </c>
      <c r="L605" s="124">
        <v>46130</v>
      </c>
      <c r="M605" s="124">
        <f t="shared" si="893"/>
        <v>46269</v>
      </c>
      <c r="N605" s="124">
        <f t="shared" si="883"/>
        <v>46269</v>
      </c>
      <c r="O605" s="124">
        <v>46259</v>
      </c>
      <c r="P605" s="124">
        <f t="shared" si="894"/>
        <v>46307</v>
      </c>
      <c r="Q605" s="124">
        <f t="shared" si="885"/>
        <v>46307</v>
      </c>
      <c r="R605" s="124"/>
      <c r="S605" s="124">
        <f t="shared" si="887"/>
        <v>46321</v>
      </c>
      <c r="T605" s="124">
        <f t="shared" si="886"/>
        <v>46321</v>
      </c>
      <c r="U605" s="124"/>
      <c r="W605" s="169" t="str">
        <f t="shared" ca="1" si="877"/>
        <v>Completed</v>
      </c>
      <c r="X605" s="169" t="str">
        <f t="shared" ca="1" si="878"/>
        <v>Completed</v>
      </c>
      <c r="Y605" s="169" t="str">
        <f t="shared" ca="1" si="879"/>
        <v/>
      </c>
      <c r="Z605" s="170" t="str">
        <f t="shared" ca="1" si="880"/>
        <v/>
      </c>
    </row>
    <row r="606" spans="1:26" s="70" customFormat="1" ht="11.5" x14ac:dyDescent="0.25">
      <c r="A606" s="120" t="s">
        <v>65</v>
      </c>
      <c r="B606" s="120" t="s">
        <v>14</v>
      </c>
      <c r="C606" s="120" t="s">
        <v>666</v>
      </c>
      <c r="D606" s="120" t="s">
        <v>667</v>
      </c>
      <c r="E606" s="122">
        <f t="shared" si="835"/>
        <v>0.7</v>
      </c>
      <c r="F606" s="122">
        <f t="shared" si="836"/>
        <v>0.7</v>
      </c>
      <c r="G606" s="122">
        <f t="shared" si="836"/>
        <v>0.7</v>
      </c>
      <c r="H606" s="127">
        <f t="shared" si="837"/>
        <v>0</v>
      </c>
      <c r="I606" s="125">
        <v>4.7E-2</v>
      </c>
      <c r="J606" s="124">
        <f t="shared" si="892"/>
        <v>46234</v>
      </c>
      <c r="K606" s="124">
        <f t="shared" si="881"/>
        <v>46234</v>
      </c>
      <c r="L606" s="124">
        <v>46130</v>
      </c>
      <c r="M606" s="124">
        <f t="shared" si="893"/>
        <v>46269</v>
      </c>
      <c r="N606" s="124">
        <f t="shared" si="883"/>
        <v>46269</v>
      </c>
      <c r="O606" s="124">
        <v>46259</v>
      </c>
      <c r="P606" s="124">
        <f t="shared" si="894"/>
        <v>46307</v>
      </c>
      <c r="Q606" s="124">
        <f t="shared" si="885"/>
        <v>46307</v>
      </c>
      <c r="R606" s="124"/>
      <c r="S606" s="124">
        <f t="shared" si="887"/>
        <v>46321</v>
      </c>
      <c r="T606" s="124">
        <f t="shared" si="886"/>
        <v>46321</v>
      </c>
      <c r="U606" s="124"/>
      <c r="W606" s="169" t="str">
        <f t="shared" ca="1" si="877"/>
        <v>Completed</v>
      </c>
      <c r="X606" s="169" t="str">
        <f t="shared" ca="1" si="878"/>
        <v>Completed</v>
      </c>
      <c r="Y606" s="169" t="str">
        <f t="shared" ca="1" si="879"/>
        <v/>
      </c>
      <c r="Z606" s="170" t="str">
        <f t="shared" ca="1" si="880"/>
        <v/>
      </c>
    </row>
    <row r="607" spans="1:26" s="70" customFormat="1" ht="11.5" x14ac:dyDescent="0.25">
      <c r="A607" s="120" t="s">
        <v>65</v>
      </c>
      <c r="B607" s="120" t="s">
        <v>14</v>
      </c>
      <c r="C607" s="120" t="s">
        <v>668</v>
      </c>
      <c r="D607" s="120" t="s">
        <v>669</v>
      </c>
      <c r="E607" s="122">
        <f t="shared" si="835"/>
        <v>0.7</v>
      </c>
      <c r="F607" s="122">
        <f t="shared" si="836"/>
        <v>0.7</v>
      </c>
      <c r="G607" s="122">
        <f t="shared" si="836"/>
        <v>0.7</v>
      </c>
      <c r="H607" s="127">
        <f t="shared" si="837"/>
        <v>0</v>
      </c>
      <c r="I607" s="125">
        <v>4.7E-2</v>
      </c>
      <c r="J607" s="124">
        <f t="shared" si="892"/>
        <v>46234</v>
      </c>
      <c r="K607" s="124">
        <f t="shared" si="881"/>
        <v>46234</v>
      </c>
      <c r="L607" s="124">
        <v>46130</v>
      </c>
      <c r="M607" s="124">
        <f t="shared" si="893"/>
        <v>46269</v>
      </c>
      <c r="N607" s="124">
        <f t="shared" si="883"/>
        <v>46269</v>
      </c>
      <c r="O607" s="124">
        <v>46259</v>
      </c>
      <c r="P607" s="124">
        <f t="shared" si="894"/>
        <v>46307</v>
      </c>
      <c r="Q607" s="124">
        <f t="shared" si="885"/>
        <v>46307</v>
      </c>
      <c r="R607" s="124"/>
      <c r="S607" s="124">
        <f t="shared" si="887"/>
        <v>46321</v>
      </c>
      <c r="T607" s="124">
        <f t="shared" si="886"/>
        <v>46321</v>
      </c>
      <c r="U607" s="124"/>
      <c r="W607" s="169" t="str">
        <f t="shared" ca="1" si="877"/>
        <v>Completed</v>
      </c>
      <c r="X607" s="169" t="str">
        <f t="shared" ca="1" si="878"/>
        <v>Completed</v>
      </c>
      <c r="Y607" s="169" t="str">
        <f t="shared" ca="1" si="879"/>
        <v/>
      </c>
      <c r="Z607" s="170" t="str">
        <f t="shared" ca="1" si="880"/>
        <v/>
      </c>
    </row>
    <row r="608" spans="1:26" s="70" customFormat="1" ht="11.5" x14ac:dyDescent="0.25">
      <c r="A608" s="120" t="s">
        <v>65</v>
      </c>
      <c r="B608" s="120" t="s">
        <v>14</v>
      </c>
      <c r="C608" s="120" t="s">
        <v>670</v>
      </c>
      <c r="D608" s="120" t="s">
        <v>671</v>
      </c>
      <c r="E608" s="122">
        <f t="shared" si="835"/>
        <v>0.7</v>
      </c>
      <c r="F608" s="122">
        <f t="shared" si="836"/>
        <v>0.7</v>
      </c>
      <c r="G608" s="122">
        <f t="shared" si="836"/>
        <v>0.7</v>
      </c>
      <c r="H608" s="127">
        <f t="shared" si="837"/>
        <v>0</v>
      </c>
      <c r="I608" s="125">
        <v>4.7E-2</v>
      </c>
      <c r="J608" s="124">
        <f t="shared" si="892"/>
        <v>46234</v>
      </c>
      <c r="K608" s="124">
        <f t="shared" si="881"/>
        <v>46234</v>
      </c>
      <c r="L608" s="124">
        <v>46130</v>
      </c>
      <c r="M608" s="124">
        <f t="shared" si="893"/>
        <v>46269</v>
      </c>
      <c r="N608" s="124">
        <f t="shared" si="883"/>
        <v>46269</v>
      </c>
      <c r="O608" s="124">
        <v>46259</v>
      </c>
      <c r="P608" s="124">
        <f t="shared" si="894"/>
        <v>46307</v>
      </c>
      <c r="Q608" s="124">
        <f t="shared" si="885"/>
        <v>46307</v>
      </c>
      <c r="R608" s="124"/>
      <c r="S608" s="124">
        <f t="shared" si="887"/>
        <v>46321</v>
      </c>
      <c r="T608" s="124">
        <f t="shared" si="886"/>
        <v>46321</v>
      </c>
      <c r="U608" s="124"/>
      <c r="W608" s="169" t="str">
        <f t="shared" ca="1" si="877"/>
        <v>Completed</v>
      </c>
      <c r="X608" s="169" t="str">
        <f t="shared" ca="1" si="878"/>
        <v>Completed</v>
      </c>
      <c r="Y608" s="169" t="str">
        <f t="shared" ca="1" si="879"/>
        <v/>
      </c>
      <c r="Z608" s="170" t="str">
        <f t="shared" ca="1" si="880"/>
        <v/>
      </c>
    </row>
    <row r="609" spans="1:26" s="70" customFormat="1" ht="11.5" x14ac:dyDescent="0.25">
      <c r="A609" s="120" t="s">
        <v>65</v>
      </c>
      <c r="B609" s="120" t="s">
        <v>14</v>
      </c>
      <c r="C609" s="120" t="s">
        <v>672</v>
      </c>
      <c r="D609" s="120" t="s">
        <v>673</v>
      </c>
      <c r="E609" s="122">
        <f t="shared" si="835"/>
        <v>0.7</v>
      </c>
      <c r="F609" s="122">
        <f t="shared" si="836"/>
        <v>0.7</v>
      </c>
      <c r="G609" s="122">
        <f t="shared" si="836"/>
        <v>0.7</v>
      </c>
      <c r="H609" s="127">
        <f t="shared" si="837"/>
        <v>0</v>
      </c>
      <c r="I609" s="125">
        <v>4.7E-2</v>
      </c>
      <c r="J609" s="124">
        <f t="shared" si="892"/>
        <v>46234</v>
      </c>
      <c r="K609" s="124">
        <f t="shared" si="881"/>
        <v>46234</v>
      </c>
      <c r="L609" s="124">
        <v>46130</v>
      </c>
      <c r="M609" s="124">
        <f t="shared" si="893"/>
        <v>46269</v>
      </c>
      <c r="N609" s="124">
        <f t="shared" si="883"/>
        <v>46269</v>
      </c>
      <c r="O609" s="124">
        <v>46259</v>
      </c>
      <c r="P609" s="124">
        <f t="shared" si="894"/>
        <v>46307</v>
      </c>
      <c r="Q609" s="124">
        <f t="shared" si="885"/>
        <v>46307</v>
      </c>
      <c r="R609" s="124"/>
      <c r="S609" s="124">
        <f t="shared" si="887"/>
        <v>46321</v>
      </c>
      <c r="T609" s="124">
        <f t="shared" si="886"/>
        <v>46321</v>
      </c>
      <c r="U609" s="124"/>
      <c r="W609" s="169" t="str">
        <f t="shared" ca="1" si="877"/>
        <v>Completed</v>
      </c>
      <c r="X609" s="169" t="str">
        <f t="shared" ca="1" si="878"/>
        <v>Completed</v>
      </c>
      <c r="Y609" s="169" t="str">
        <f t="shared" ca="1" si="879"/>
        <v/>
      </c>
      <c r="Z609" s="170" t="str">
        <f t="shared" ca="1" si="880"/>
        <v/>
      </c>
    </row>
    <row r="610" spans="1:26" s="70" customFormat="1" ht="11.5" x14ac:dyDescent="0.25">
      <c r="A610" s="120" t="s">
        <v>65</v>
      </c>
      <c r="B610" s="120" t="s">
        <v>14</v>
      </c>
      <c r="C610" s="120" t="s">
        <v>674</v>
      </c>
      <c r="D610" s="120" t="s">
        <v>675</v>
      </c>
      <c r="E610" s="122">
        <f t="shared" si="835"/>
        <v>0.7</v>
      </c>
      <c r="F610" s="122">
        <f t="shared" si="836"/>
        <v>0.7</v>
      </c>
      <c r="G610" s="122">
        <f t="shared" si="836"/>
        <v>0.7</v>
      </c>
      <c r="H610" s="127">
        <f t="shared" si="837"/>
        <v>0</v>
      </c>
      <c r="I610" s="125">
        <v>4.7E-2</v>
      </c>
      <c r="J610" s="124">
        <f t="shared" si="892"/>
        <v>46234</v>
      </c>
      <c r="K610" s="124">
        <f t="shared" si="881"/>
        <v>46234</v>
      </c>
      <c r="L610" s="124">
        <v>46130</v>
      </c>
      <c r="M610" s="124">
        <f t="shared" si="893"/>
        <v>46269</v>
      </c>
      <c r="N610" s="124">
        <f t="shared" si="883"/>
        <v>46269</v>
      </c>
      <c r="O610" s="124">
        <v>46259</v>
      </c>
      <c r="P610" s="124">
        <f t="shared" si="894"/>
        <v>46307</v>
      </c>
      <c r="Q610" s="124">
        <f t="shared" si="885"/>
        <v>46307</v>
      </c>
      <c r="R610" s="124"/>
      <c r="S610" s="124">
        <f t="shared" si="887"/>
        <v>46321</v>
      </c>
      <c r="T610" s="124">
        <f t="shared" si="886"/>
        <v>46321</v>
      </c>
      <c r="U610" s="124"/>
      <c r="W610" s="169" t="str">
        <f t="shared" ca="1" si="877"/>
        <v>Completed</v>
      </c>
      <c r="X610" s="169" t="str">
        <f t="shared" ca="1" si="878"/>
        <v>Completed</v>
      </c>
      <c r="Y610" s="169" t="str">
        <f t="shared" ca="1" si="879"/>
        <v/>
      </c>
      <c r="Z610" s="170" t="str">
        <f t="shared" ca="1" si="880"/>
        <v/>
      </c>
    </row>
    <row r="611" spans="1:26" s="70" customFormat="1" ht="11.5" x14ac:dyDescent="0.25">
      <c r="A611" s="120" t="s">
        <v>65</v>
      </c>
      <c r="B611" s="120" t="s">
        <v>14</v>
      </c>
      <c r="C611" s="120" t="s">
        <v>676</v>
      </c>
      <c r="D611" s="120" t="s">
        <v>677</v>
      </c>
      <c r="E611" s="122">
        <f t="shared" si="835"/>
        <v>0.7</v>
      </c>
      <c r="F611" s="122">
        <f t="shared" si="836"/>
        <v>0.7</v>
      </c>
      <c r="G611" s="122">
        <f t="shared" si="836"/>
        <v>0.7</v>
      </c>
      <c r="H611" s="127">
        <f t="shared" si="837"/>
        <v>0</v>
      </c>
      <c r="I611" s="125">
        <v>4.7E-2</v>
      </c>
      <c r="J611" s="124">
        <f t="shared" si="892"/>
        <v>46234</v>
      </c>
      <c r="K611" s="124">
        <f t="shared" si="881"/>
        <v>46234</v>
      </c>
      <c r="L611" s="124">
        <v>46130</v>
      </c>
      <c r="M611" s="124">
        <f t="shared" si="893"/>
        <v>46269</v>
      </c>
      <c r="N611" s="124">
        <f t="shared" si="883"/>
        <v>46269</v>
      </c>
      <c r="O611" s="124">
        <v>46259</v>
      </c>
      <c r="P611" s="124">
        <f t="shared" si="894"/>
        <v>46307</v>
      </c>
      <c r="Q611" s="124">
        <f t="shared" si="885"/>
        <v>46307</v>
      </c>
      <c r="R611" s="124"/>
      <c r="S611" s="124">
        <f t="shared" si="887"/>
        <v>46321</v>
      </c>
      <c r="T611" s="124">
        <f t="shared" si="886"/>
        <v>46321</v>
      </c>
      <c r="U611" s="124"/>
      <c r="W611" s="169" t="str">
        <f t="shared" ca="1" si="877"/>
        <v>Completed</v>
      </c>
      <c r="X611" s="169" t="str">
        <f t="shared" ca="1" si="878"/>
        <v>Completed</v>
      </c>
      <c r="Y611" s="169" t="str">
        <f t="shared" ca="1" si="879"/>
        <v/>
      </c>
      <c r="Z611" s="170" t="str">
        <f t="shared" ca="1" si="880"/>
        <v/>
      </c>
    </row>
    <row r="612" spans="1:26" s="70" customFormat="1" ht="11.5" x14ac:dyDescent="0.25">
      <c r="A612" s="120" t="s">
        <v>65</v>
      </c>
      <c r="B612" s="120" t="s">
        <v>14</v>
      </c>
      <c r="C612" s="120" t="s">
        <v>678</v>
      </c>
      <c r="D612" s="120" t="s">
        <v>679</v>
      </c>
      <c r="E612" s="122">
        <f t="shared" ref="E612:E685" si="895">(COUNTIFS(J612,"&lt;="&amp;$C$1)*50%)+(COUNTIFS(M612,"&lt;="&amp;$C$1)*20%)+(COUNTIFS(P612,"&lt;="&amp;$C$1)*10%)+(COUNTIFS(S612,"&lt;="&amp;$C$1)*20%)</f>
        <v>0.7</v>
      </c>
      <c r="F612" s="122">
        <f t="shared" ref="F612:G685" si="896">(COUNTIFS(K612,"&lt;="&amp;$C$1)*50%)+(COUNTIFS(N612,"&lt;="&amp;$C$1)*20%)+(COUNTIFS(Q612,"&lt;="&amp;$C$1)*10%)+(COUNTIFS(T612,"&lt;="&amp;$C$1)*20%)</f>
        <v>0.7</v>
      </c>
      <c r="G612" s="122">
        <f t="shared" si="896"/>
        <v>0.7</v>
      </c>
      <c r="H612" s="127">
        <f t="shared" ref="H612:H685" si="897">G612-E612</f>
        <v>0</v>
      </c>
      <c r="I612" s="125">
        <v>4.7E-2</v>
      </c>
      <c r="J612" s="124">
        <f t="shared" si="892"/>
        <v>46234</v>
      </c>
      <c r="K612" s="124">
        <f t="shared" si="881"/>
        <v>46234</v>
      </c>
      <c r="L612" s="124">
        <v>46130</v>
      </c>
      <c r="M612" s="124">
        <f t="shared" si="893"/>
        <v>46269</v>
      </c>
      <c r="N612" s="124">
        <f t="shared" si="883"/>
        <v>46269</v>
      </c>
      <c r="O612" s="124">
        <v>46259</v>
      </c>
      <c r="P612" s="124">
        <f t="shared" si="894"/>
        <v>46307</v>
      </c>
      <c r="Q612" s="124">
        <f t="shared" si="885"/>
        <v>46307</v>
      </c>
      <c r="R612" s="124"/>
      <c r="S612" s="124">
        <f t="shared" si="887"/>
        <v>46321</v>
      </c>
      <c r="T612" s="124">
        <f t="shared" si="886"/>
        <v>46321</v>
      </c>
      <c r="U612" s="124"/>
      <c r="W612" s="169" t="str">
        <f t="shared" ca="1" si="877"/>
        <v>Completed</v>
      </c>
      <c r="X612" s="169" t="str">
        <f t="shared" ca="1" si="878"/>
        <v>Completed</v>
      </c>
      <c r="Y612" s="169" t="str">
        <f t="shared" ca="1" si="879"/>
        <v/>
      </c>
      <c r="Z612" s="170" t="str">
        <f t="shared" ca="1" si="880"/>
        <v/>
      </c>
    </row>
    <row r="613" spans="1:26" s="70" customFormat="1" ht="11.5" x14ac:dyDescent="0.25">
      <c r="A613" s="120" t="s">
        <v>65</v>
      </c>
      <c r="B613" s="120" t="s">
        <v>14</v>
      </c>
      <c r="C613" s="120" t="s">
        <v>680</v>
      </c>
      <c r="D613" s="120" t="s">
        <v>681</v>
      </c>
      <c r="E613" s="122">
        <f t="shared" si="895"/>
        <v>0.7</v>
      </c>
      <c r="F613" s="122">
        <f t="shared" si="896"/>
        <v>0.7</v>
      </c>
      <c r="G613" s="122">
        <f t="shared" si="896"/>
        <v>0.7</v>
      </c>
      <c r="H613" s="127">
        <f t="shared" si="897"/>
        <v>0</v>
      </c>
      <c r="I613" s="125">
        <v>4.7E-2</v>
      </c>
      <c r="J613" s="124">
        <f t="shared" si="892"/>
        <v>46234</v>
      </c>
      <c r="K613" s="124">
        <f t="shared" si="881"/>
        <v>46234</v>
      </c>
      <c r="L613" s="124">
        <v>46130</v>
      </c>
      <c r="M613" s="124">
        <f t="shared" si="893"/>
        <v>46269</v>
      </c>
      <c r="N613" s="124">
        <f t="shared" si="883"/>
        <v>46269</v>
      </c>
      <c r="O613" s="124">
        <v>46259</v>
      </c>
      <c r="P613" s="124">
        <f t="shared" si="894"/>
        <v>46307</v>
      </c>
      <c r="Q613" s="124">
        <f t="shared" si="885"/>
        <v>46307</v>
      </c>
      <c r="R613" s="124"/>
      <c r="S613" s="124">
        <f t="shared" si="887"/>
        <v>46321</v>
      </c>
      <c r="T613" s="124">
        <f t="shared" si="886"/>
        <v>46321</v>
      </c>
      <c r="U613" s="124"/>
      <c r="W613" s="169" t="str">
        <f t="shared" ca="1" si="877"/>
        <v>Completed</v>
      </c>
      <c r="X613" s="169" t="str">
        <f t="shared" ca="1" si="878"/>
        <v>Completed</v>
      </c>
      <c r="Y613" s="169" t="str">
        <f t="shared" ca="1" si="879"/>
        <v/>
      </c>
      <c r="Z613" s="170" t="str">
        <f t="shared" ca="1" si="880"/>
        <v/>
      </c>
    </row>
    <row r="614" spans="1:26" s="70" customFormat="1" ht="11.5" x14ac:dyDescent="0.25">
      <c r="A614" s="120" t="s">
        <v>65</v>
      </c>
      <c r="B614" s="120" t="s">
        <v>14</v>
      </c>
      <c r="C614" s="120" t="s">
        <v>682</v>
      </c>
      <c r="D614" s="120" t="s">
        <v>683</v>
      </c>
      <c r="E614" s="122">
        <f t="shared" si="895"/>
        <v>0.7</v>
      </c>
      <c r="F614" s="122">
        <f t="shared" si="896"/>
        <v>0.7</v>
      </c>
      <c r="G614" s="122">
        <f t="shared" si="896"/>
        <v>0.7</v>
      </c>
      <c r="H614" s="127">
        <f t="shared" si="897"/>
        <v>0</v>
      </c>
      <c r="I614" s="125">
        <v>4.7E-2</v>
      </c>
      <c r="J614" s="124">
        <f t="shared" si="892"/>
        <v>46234</v>
      </c>
      <c r="K614" s="124">
        <f t="shared" si="881"/>
        <v>46234</v>
      </c>
      <c r="L614" s="124">
        <v>46130</v>
      </c>
      <c r="M614" s="124">
        <f t="shared" si="893"/>
        <v>46269</v>
      </c>
      <c r="N614" s="124">
        <f t="shared" si="883"/>
        <v>46269</v>
      </c>
      <c r="O614" s="124">
        <v>46259</v>
      </c>
      <c r="P614" s="124">
        <f t="shared" si="894"/>
        <v>46307</v>
      </c>
      <c r="Q614" s="124">
        <f t="shared" si="885"/>
        <v>46307</v>
      </c>
      <c r="R614" s="124"/>
      <c r="S614" s="124">
        <f t="shared" si="887"/>
        <v>46321</v>
      </c>
      <c r="T614" s="124">
        <f t="shared" si="886"/>
        <v>46321</v>
      </c>
      <c r="U614" s="124"/>
      <c r="W614" s="169" t="str">
        <f t="shared" ca="1" si="877"/>
        <v>Completed</v>
      </c>
      <c r="X614" s="169" t="str">
        <f t="shared" ca="1" si="878"/>
        <v>Completed</v>
      </c>
      <c r="Y614" s="169" t="str">
        <f t="shared" ca="1" si="879"/>
        <v/>
      </c>
      <c r="Z614" s="170" t="str">
        <f t="shared" ca="1" si="880"/>
        <v/>
      </c>
    </row>
    <row r="615" spans="1:26" s="70" customFormat="1" ht="11.5" x14ac:dyDescent="0.25">
      <c r="A615" s="120" t="s">
        <v>65</v>
      </c>
      <c r="B615" s="120" t="s">
        <v>14</v>
      </c>
      <c r="C615" s="120" t="s">
        <v>684</v>
      </c>
      <c r="D615" s="150" t="s">
        <v>918</v>
      </c>
      <c r="E615" s="122">
        <f t="shared" si="895"/>
        <v>0.7</v>
      </c>
      <c r="F615" s="122">
        <f t="shared" si="896"/>
        <v>0.7</v>
      </c>
      <c r="G615" s="122">
        <f t="shared" si="896"/>
        <v>0.7</v>
      </c>
      <c r="H615" s="127">
        <f t="shared" si="897"/>
        <v>0</v>
      </c>
      <c r="I615" s="125">
        <v>4.7E-2</v>
      </c>
      <c r="J615" s="124">
        <f t="shared" si="892"/>
        <v>46234</v>
      </c>
      <c r="K615" s="124">
        <f t="shared" si="881"/>
        <v>46234</v>
      </c>
      <c r="L615" s="124">
        <v>46130</v>
      </c>
      <c r="M615" s="124">
        <f t="shared" si="893"/>
        <v>46269</v>
      </c>
      <c r="N615" s="124">
        <f t="shared" si="883"/>
        <v>46269</v>
      </c>
      <c r="O615" s="124">
        <v>46191</v>
      </c>
      <c r="P615" s="124">
        <f t="shared" si="894"/>
        <v>46307</v>
      </c>
      <c r="Q615" s="124">
        <f t="shared" si="885"/>
        <v>46307</v>
      </c>
      <c r="R615" s="124"/>
      <c r="S615" s="124">
        <f t="shared" si="887"/>
        <v>46321</v>
      </c>
      <c r="T615" s="124">
        <f t="shared" si="886"/>
        <v>46321</v>
      </c>
      <c r="U615" s="124"/>
      <c r="W615" s="169" t="str">
        <f t="shared" ca="1" si="877"/>
        <v>Completed</v>
      </c>
      <c r="X615" s="169" t="str">
        <f t="shared" ca="1" si="878"/>
        <v>Completed</v>
      </c>
      <c r="Y615" s="169" t="str">
        <f t="shared" ca="1" si="879"/>
        <v/>
      </c>
      <c r="Z615" s="170" t="str">
        <f t="shared" ca="1" si="880"/>
        <v/>
      </c>
    </row>
    <row r="616" spans="1:26" s="70" customFormat="1" ht="11.5" x14ac:dyDescent="0.25">
      <c r="A616" s="120" t="s">
        <v>65</v>
      </c>
      <c r="B616" s="120" t="s">
        <v>14</v>
      </c>
      <c r="C616" s="120" t="s">
        <v>685</v>
      </c>
      <c r="D616" s="120" t="s">
        <v>686</v>
      </c>
      <c r="E616" s="122">
        <f t="shared" si="895"/>
        <v>0.7</v>
      </c>
      <c r="F616" s="122">
        <f t="shared" si="896"/>
        <v>0.7</v>
      </c>
      <c r="G616" s="122">
        <f t="shared" si="896"/>
        <v>0.7</v>
      </c>
      <c r="H616" s="127">
        <f t="shared" si="897"/>
        <v>0</v>
      </c>
      <c r="I616" s="125">
        <v>4.7E-2</v>
      </c>
      <c r="J616" s="124">
        <f t="shared" si="892"/>
        <v>46234</v>
      </c>
      <c r="K616" s="124">
        <f t="shared" si="881"/>
        <v>46234</v>
      </c>
      <c r="L616" s="124">
        <v>46130</v>
      </c>
      <c r="M616" s="124">
        <f t="shared" si="893"/>
        <v>46269</v>
      </c>
      <c r="N616" s="124">
        <f t="shared" si="883"/>
        <v>46269</v>
      </c>
      <c r="O616" s="124">
        <v>46259</v>
      </c>
      <c r="P616" s="124">
        <f t="shared" si="894"/>
        <v>46307</v>
      </c>
      <c r="Q616" s="124">
        <f t="shared" si="885"/>
        <v>46307</v>
      </c>
      <c r="R616" s="124"/>
      <c r="S616" s="124">
        <f t="shared" si="887"/>
        <v>46321</v>
      </c>
      <c r="T616" s="124">
        <f t="shared" si="886"/>
        <v>46321</v>
      </c>
      <c r="U616" s="124"/>
      <c r="W616" s="169" t="str">
        <f t="shared" ca="1" si="877"/>
        <v>Completed</v>
      </c>
      <c r="X616" s="169" t="str">
        <f t="shared" ca="1" si="878"/>
        <v>Completed</v>
      </c>
      <c r="Y616" s="169" t="str">
        <f t="shared" ca="1" si="879"/>
        <v/>
      </c>
      <c r="Z616" s="170" t="str">
        <f t="shared" ca="1" si="880"/>
        <v/>
      </c>
    </row>
    <row r="617" spans="1:26" s="70" customFormat="1" ht="11.5" x14ac:dyDescent="0.25">
      <c r="A617" s="120" t="s">
        <v>65</v>
      </c>
      <c r="B617" s="120" t="s">
        <v>14</v>
      </c>
      <c r="C617" s="120" t="s">
        <v>687</v>
      </c>
      <c r="D617" s="120" t="s">
        <v>688</v>
      </c>
      <c r="E617" s="122">
        <f t="shared" si="895"/>
        <v>0.7</v>
      </c>
      <c r="F617" s="122">
        <f t="shared" si="896"/>
        <v>0.7</v>
      </c>
      <c r="G617" s="122">
        <f t="shared" si="896"/>
        <v>0.7</v>
      </c>
      <c r="H617" s="127">
        <f t="shared" si="897"/>
        <v>0</v>
      </c>
      <c r="I617" s="125">
        <v>4.7E-2</v>
      </c>
      <c r="J617" s="124">
        <f t="shared" si="892"/>
        <v>46234</v>
      </c>
      <c r="K617" s="124">
        <f t="shared" si="881"/>
        <v>46234</v>
      </c>
      <c r="L617" s="124">
        <v>46150</v>
      </c>
      <c r="M617" s="124">
        <f t="shared" si="893"/>
        <v>46269</v>
      </c>
      <c r="N617" s="124">
        <f t="shared" si="883"/>
        <v>46269</v>
      </c>
      <c r="O617" s="124">
        <v>46205</v>
      </c>
      <c r="P617" s="124">
        <f t="shared" si="894"/>
        <v>46307</v>
      </c>
      <c r="Q617" s="124">
        <f t="shared" si="885"/>
        <v>46307</v>
      </c>
      <c r="R617" s="206"/>
      <c r="S617" s="124">
        <f t="shared" si="887"/>
        <v>46321</v>
      </c>
      <c r="T617" s="124">
        <f t="shared" si="886"/>
        <v>46321</v>
      </c>
      <c r="U617" s="124"/>
      <c r="W617" s="169" t="str">
        <f t="shared" ca="1" si="877"/>
        <v>Completed</v>
      </c>
      <c r="X617" s="169" t="str">
        <f t="shared" ca="1" si="878"/>
        <v>Completed</v>
      </c>
      <c r="Y617" s="169" t="str">
        <f t="shared" ca="1" si="879"/>
        <v/>
      </c>
      <c r="Z617" s="170" t="str">
        <f t="shared" ca="1" si="880"/>
        <v/>
      </c>
    </row>
    <row r="618" spans="1:26" s="70" customFormat="1" ht="11.5" x14ac:dyDescent="0.25">
      <c r="A618" s="120" t="s">
        <v>65</v>
      </c>
      <c r="B618" s="120" t="s">
        <v>14</v>
      </c>
      <c r="C618" s="120" t="s">
        <v>689</v>
      </c>
      <c r="D618" s="120" t="s">
        <v>690</v>
      </c>
      <c r="E618" s="122">
        <f t="shared" si="895"/>
        <v>0.7</v>
      </c>
      <c r="F618" s="122">
        <f t="shared" si="896"/>
        <v>0.7</v>
      </c>
      <c r="G618" s="122">
        <f t="shared" si="896"/>
        <v>0.7</v>
      </c>
      <c r="H618" s="127">
        <f t="shared" si="897"/>
        <v>0</v>
      </c>
      <c r="I618" s="125">
        <v>4.7E-2</v>
      </c>
      <c r="J618" s="124">
        <f t="shared" si="892"/>
        <v>46234</v>
      </c>
      <c r="K618" s="124">
        <f t="shared" si="881"/>
        <v>46234</v>
      </c>
      <c r="L618" s="124">
        <v>46150</v>
      </c>
      <c r="M618" s="124">
        <f t="shared" si="893"/>
        <v>46269</v>
      </c>
      <c r="N618" s="124">
        <f t="shared" si="883"/>
        <v>46269</v>
      </c>
      <c r="O618" s="124">
        <v>46205</v>
      </c>
      <c r="P618" s="124">
        <f t="shared" si="894"/>
        <v>46307</v>
      </c>
      <c r="Q618" s="124">
        <f t="shared" si="885"/>
        <v>46307</v>
      </c>
      <c r="R618" s="206"/>
      <c r="S618" s="124">
        <f t="shared" si="887"/>
        <v>46321</v>
      </c>
      <c r="T618" s="124">
        <f t="shared" si="886"/>
        <v>46321</v>
      </c>
      <c r="U618" s="124"/>
      <c r="W618" s="169" t="str">
        <f t="shared" ca="1" si="877"/>
        <v>Completed</v>
      </c>
      <c r="X618" s="169" t="str">
        <f t="shared" ca="1" si="878"/>
        <v>Completed</v>
      </c>
      <c r="Y618" s="169" t="str">
        <f t="shared" ca="1" si="879"/>
        <v/>
      </c>
      <c r="Z618" s="170" t="str">
        <f t="shared" ca="1" si="880"/>
        <v/>
      </c>
    </row>
    <row r="619" spans="1:26" s="70" customFormat="1" ht="11.5" x14ac:dyDescent="0.25">
      <c r="A619" s="120" t="s">
        <v>65</v>
      </c>
      <c r="B619" s="120" t="s">
        <v>14</v>
      </c>
      <c r="C619" s="120" t="s">
        <v>691</v>
      </c>
      <c r="D619" s="120" t="s">
        <v>692</v>
      </c>
      <c r="E619" s="122">
        <f t="shared" si="895"/>
        <v>0.7</v>
      </c>
      <c r="F619" s="122">
        <f t="shared" si="896"/>
        <v>0.7</v>
      </c>
      <c r="G619" s="122">
        <f t="shared" si="896"/>
        <v>1</v>
      </c>
      <c r="H619" s="127">
        <f t="shared" si="897"/>
        <v>0.30000000000000004</v>
      </c>
      <c r="I619" s="125">
        <v>4.7E-2</v>
      </c>
      <c r="J619" s="124">
        <f t="shared" si="892"/>
        <v>46234</v>
      </c>
      <c r="K619" s="124">
        <f t="shared" si="881"/>
        <v>46234</v>
      </c>
      <c r="L619" s="124">
        <v>46150</v>
      </c>
      <c r="M619" s="124">
        <f t="shared" si="893"/>
        <v>46269</v>
      </c>
      <c r="N619" s="124">
        <f t="shared" si="883"/>
        <v>46269</v>
      </c>
      <c r="O619" s="124">
        <v>46205</v>
      </c>
      <c r="P619" s="124">
        <f t="shared" si="894"/>
        <v>46307</v>
      </c>
      <c r="Q619" s="124">
        <f t="shared" si="885"/>
        <v>46307</v>
      </c>
      <c r="R619" s="126">
        <v>46248</v>
      </c>
      <c r="S619" s="124">
        <f t="shared" si="887"/>
        <v>46321</v>
      </c>
      <c r="T619" s="124">
        <f t="shared" si="886"/>
        <v>46321</v>
      </c>
      <c r="U619" s="124">
        <v>46262</v>
      </c>
      <c r="W619" s="169" t="str">
        <f t="shared" ca="1" si="877"/>
        <v>Completed</v>
      </c>
      <c r="X619" s="169" t="str">
        <f t="shared" ca="1" si="878"/>
        <v>Completed</v>
      </c>
      <c r="Y619" s="169" t="str">
        <f t="shared" ca="1" si="879"/>
        <v>Completed</v>
      </c>
      <c r="Z619" s="170" t="str">
        <f t="shared" ca="1" si="880"/>
        <v>Completed</v>
      </c>
    </row>
    <row r="620" spans="1:26" s="70" customFormat="1" ht="11.5" x14ac:dyDescent="0.25">
      <c r="A620" s="120" t="s">
        <v>65</v>
      </c>
      <c r="B620" s="120" t="s">
        <v>14</v>
      </c>
      <c r="C620" s="120" t="s">
        <v>693</v>
      </c>
      <c r="D620" s="120" t="s">
        <v>694</v>
      </c>
      <c r="E620" s="122">
        <f t="shared" si="895"/>
        <v>0.7</v>
      </c>
      <c r="F620" s="122">
        <f t="shared" si="896"/>
        <v>0.7</v>
      </c>
      <c r="G620" s="122">
        <f t="shared" si="896"/>
        <v>0.7</v>
      </c>
      <c r="H620" s="127">
        <f t="shared" si="897"/>
        <v>0</v>
      </c>
      <c r="I620" s="125">
        <v>4.7E-2</v>
      </c>
      <c r="J620" s="124">
        <f t="shared" si="892"/>
        <v>46234</v>
      </c>
      <c r="K620" s="124">
        <f t="shared" si="881"/>
        <v>46234</v>
      </c>
      <c r="L620" s="144">
        <v>46157</v>
      </c>
      <c r="M620" s="124">
        <f t="shared" si="893"/>
        <v>46269</v>
      </c>
      <c r="N620" s="124">
        <f t="shared" si="883"/>
        <v>46269</v>
      </c>
      <c r="O620" s="126">
        <v>46266</v>
      </c>
      <c r="P620" s="124">
        <f t="shared" si="894"/>
        <v>46307</v>
      </c>
      <c r="Q620" s="124">
        <f t="shared" si="885"/>
        <v>46307</v>
      </c>
      <c r="R620" s="124"/>
      <c r="S620" s="124">
        <f t="shared" si="887"/>
        <v>46321</v>
      </c>
      <c r="T620" s="124">
        <f t="shared" si="886"/>
        <v>46321</v>
      </c>
      <c r="U620" s="124"/>
      <c r="W620" s="169" t="str">
        <f t="shared" ca="1" si="877"/>
        <v>Completed</v>
      </c>
      <c r="X620" s="169" t="str">
        <f t="shared" ca="1" si="878"/>
        <v>Completed</v>
      </c>
      <c r="Y620" s="169" t="str">
        <f t="shared" ca="1" si="879"/>
        <v/>
      </c>
      <c r="Z620" s="170" t="str">
        <f t="shared" ca="1" si="880"/>
        <v/>
      </c>
    </row>
    <row r="621" spans="1:26" s="70" customFormat="1" ht="11.5" x14ac:dyDescent="0.25">
      <c r="A621" s="120" t="s">
        <v>65</v>
      </c>
      <c r="B621" s="120" t="s">
        <v>14</v>
      </c>
      <c r="C621" s="120" t="s">
        <v>695</v>
      </c>
      <c r="D621" s="120" t="s">
        <v>696</v>
      </c>
      <c r="E621" s="122">
        <f t="shared" si="895"/>
        <v>0.7</v>
      </c>
      <c r="F621" s="122">
        <f t="shared" si="896"/>
        <v>0.7</v>
      </c>
      <c r="G621" s="122">
        <f t="shared" si="896"/>
        <v>0.7</v>
      </c>
      <c r="H621" s="127">
        <f t="shared" si="897"/>
        <v>0</v>
      </c>
      <c r="I621" s="125">
        <v>4.7E-2</v>
      </c>
      <c r="J621" s="124">
        <f t="shared" si="892"/>
        <v>46234</v>
      </c>
      <c r="K621" s="124">
        <f t="shared" si="881"/>
        <v>46234</v>
      </c>
      <c r="L621" s="144">
        <v>46157</v>
      </c>
      <c r="M621" s="124">
        <f t="shared" si="893"/>
        <v>46269</v>
      </c>
      <c r="N621" s="124">
        <f t="shared" si="883"/>
        <v>46269</v>
      </c>
      <c r="O621" s="126">
        <v>46266</v>
      </c>
      <c r="P621" s="124">
        <f t="shared" si="894"/>
        <v>46307</v>
      </c>
      <c r="Q621" s="124">
        <f t="shared" si="885"/>
        <v>46307</v>
      </c>
      <c r="R621" s="124"/>
      <c r="S621" s="124">
        <f t="shared" si="887"/>
        <v>46321</v>
      </c>
      <c r="T621" s="124">
        <f t="shared" si="886"/>
        <v>46321</v>
      </c>
      <c r="U621" s="124"/>
      <c r="W621" s="169" t="str">
        <f t="shared" ca="1" si="877"/>
        <v>Completed</v>
      </c>
      <c r="X621" s="169" t="str">
        <f t="shared" ca="1" si="878"/>
        <v>Completed</v>
      </c>
      <c r="Y621" s="169" t="str">
        <f t="shared" ca="1" si="879"/>
        <v/>
      </c>
      <c r="Z621" s="170" t="str">
        <f t="shared" ca="1" si="880"/>
        <v/>
      </c>
    </row>
    <row r="622" spans="1:26" s="70" customFormat="1" ht="11.5" x14ac:dyDescent="0.25">
      <c r="A622" s="120" t="s">
        <v>65</v>
      </c>
      <c r="B622" s="120" t="s">
        <v>14</v>
      </c>
      <c r="C622" s="120" t="s">
        <v>697</v>
      </c>
      <c r="D622" s="120" t="s">
        <v>698</v>
      </c>
      <c r="E622" s="122">
        <f t="shared" si="895"/>
        <v>0.7</v>
      </c>
      <c r="F622" s="122">
        <f t="shared" si="896"/>
        <v>0.7</v>
      </c>
      <c r="G622" s="122">
        <f t="shared" si="896"/>
        <v>0.7</v>
      </c>
      <c r="H622" s="127">
        <f t="shared" si="897"/>
        <v>0</v>
      </c>
      <c r="I622" s="125">
        <v>4.7E-2</v>
      </c>
      <c r="J622" s="124">
        <f t="shared" si="892"/>
        <v>46234</v>
      </c>
      <c r="K622" s="124">
        <f t="shared" si="881"/>
        <v>46234</v>
      </c>
      <c r="L622" s="144">
        <v>46157</v>
      </c>
      <c r="M622" s="124">
        <f t="shared" si="893"/>
        <v>46269</v>
      </c>
      <c r="N622" s="124">
        <f t="shared" si="883"/>
        <v>46269</v>
      </c>
      <c r="O622" s="126">
        <v>46266</v>
      </c>
      <c r="P622" s="124">
        <f t="shared" si="894"/>
        <v>46307</v>
      </c>
      <c r="Q622" s="124">
        <f t="shared" si="885"/>
        <v>46307</v>
      </c>
      <c r="R622" s="124"/>
      <c r="S622" s="124">
        <f t="shared" si="887"/>
        <v>46321</v>
      </c>
      <c r="T622" s="124">
        <f t="shared" si="886"/>
        <v>46321</v>
      </c>
      <c r="U622" s="124"/>
      <c r="W622" s="169" t="str">
        <f t="shared" ca="1" si="877"/>
        <v>Completed</v>
      </c>
      <c r="X622" s="169" t="str">
        <f t="shared" ca="1" si="878"/>
        <v>Completed</v>
      </c>
      <c r="Y622" s="169" t="str">
        <f t="shared" ca="1" si="879"/>
        <v/>
      </c>
      <c r="Z622" s="170" t="str">
        <f t="shared" ca="1" si="880"/>
        <v/>
      </c>
    </row>
    <row r="623" spans="1:26" s="70" customFormat="1" ht="11.5" x14ac:dyDescent="0.25">
      <c r="A623" s="120" t="s">
        <v>65</v>
      </c>
      <c r="B623" s="120" t="s">
        <v>14</v>
      </c>
      <c r="C623" s="120" t="s">
        <v>699</v>
      </c>
      <c r="D623" s="120" t="s">
        <v>700</v>
      </c>
      <c r="E623" s="122">
        <f t="shared" si="895"/>
        <v>0.7</v>
      </c>
      <c r="F623" s="122">
        <f t="shared" si="896"/>
        <v>0.7</v>
      </c>
      <c r="G623" s="122">
        <f t="shared" si="896"/>
        <v>0.7</v>
      </c>
      <c r="H623" s="127">
        <f t="shared" si="897"/>
        <v>0</v>
      </c>
      <c r="I623" s="125">
        <v>4.7E-2</v>
      </c>
      <c r="J623" s="124">
        <f t="shared" ref="J623:J654" si="898">J502+28</f>
        <v>46234</v>
      </c>
      <c r="K623" s="124">
        <f t="shared" si="881"/>
        <v>46234</v>
      </c>
      <c r="L623" s="144">
        <v>46157</v>
      </c>
      <c r="M623" s="124">
        <f t="shared" si="893"/>
        <v>46269</v>
      </c>
      <c r="N623" s="124">
        <f t="shared" si="883"/>
        <v>46269</v>
      </c>
      <c r="O623" s="124">
        <v>46205</v>
      </c>
      <c r="P623" s="124">
        <f t="shared" si="894"/>
        <v>46307</v>
      </c>
      <c r="Q623" s="124">
        <f t="shared" si="885"/>
        <v>46307</v>
      </c>
      <c r="R623" s="124"/>
      <c r="S623" s="124">
        <f t="shared" si="887"/>
        <v>46321</v>
      </c>
      <c r="T623" s="124">
        <f t="shared" si="886"/>
        <v>46321</v>
      </c>
      <c r="U623" s="124"/>
      <c r="W623" s="169" t="str">
        <f t="shared" ca="1" si="877"/>
        <v>Completed</v>
      </c>
      <c r="X623" s="169" t="str">
        <f t="shared" ca="1" si="878"/>
        <v>Completed</v>
      </c>
      <c r="Y623" s="169" t="str">
        <f t="shared" ca="1" si="879"/>
        <v/>
      </c>
      <c r="Z623" s="170" t="str">
        <f t="shared" ca="1" si="880"/>
        <v/>
      </c>
    </row>
    <row r="624" spans="1:26" s="70" customFormat="1" ht="11.5" x14ac:dyDescent="0.25">
      <c r="A624" s="120" t="s">
        <v>65</v>
      </c>
      <c r="B624" s="120" t="s">
        <v>14</v>
      </c>
      <c r="C624" s="120" t="s">
        <v>701</v>
      </c>
      <c r="D624" s="120" t="s">
        <v>702</v>
      </c>
      <c r="E624" s="122">
        <f t="shared" si="895"/>
        <v>0.5</v>
      </c>
      <c r="F624" s="122">
        <f t="shared" si="896"/>
        <v>0.5</v>
      </c>
      <c r="G624" s="122">
        <f t="shared" si="896"/>
        <v>0.5</v>
      </c>
      <c r="H624" s="127">
        <f t="shared" si="897"/>
        <v>0</v>
      </c>
      <c r="I624" s="125">
        <v>4.7E-2</v>
      </c>
      <c r="J624" s="124">
        <f t="shared" si="898"/>
        <v>46255</v>
      </c>
      <c r="K624" s="124">
        <f t="shared" si="881"/>
        <v>46255</v>
      </c>
      <c r="L624" s="124">
        <v>46156</v>
      </c>
      <c r="M624" s="124">
        <f t="shared" si="882"/>
        <v>46297</v>
      </c>
      <c r="N624" s="124">
        <f t="shared" si="883"/>
        <v>46297</v>
      </c>
      <c r="O624" s="206"/>
      <c r="P624" s="124">
        <f t="shared" si="884"/>
        <v>46339</v>
      </c>
      <c r="Q624" s="124">
        <f t="shared" si="885"/>
        <v>46339</v>
      </c>
      <c r="R624" s="124"/>
      <c r="S624" s="124">
        <f t="shared" si="887"/>
        <v>46353</v>
      </c>
      <c r="T624" s="124">
        <f t="shared" si="886"/>
        <v>46353</v>
      </c>
      <c r="U624" s="124"/>
      <c r="W624" s="169" t="str">
        <f t="shared" ca="1" si="877"/>
        <v>Completed</v>
      </c>
      <c r="X624" s="169" t="str">
        <f t="shared" ca="1" si="878"/>
        <v/>
      </c>
      <c r="Y624" s="169" t="str">
        <f t="shared" ca="1" si="879"/>
        <v/>
      </c>
      <c r="Z624" s="170" t="str">
        <f t="shared" ca="1" si="880"/>
        <v/>
      </c>
    </row>
    <row r="625" spans="1:26" s="70" customFormat="1" ht="11.5" x14ac:dyDescent="0.25">
      <c r="A625" s="120" t="s">
        <v>65</v>
      </c>
      <c r="B625" s="120" t="s">
        <v>14</v>
      </c>
      <c r="C625" s="120" t="s">
        <v>703</v>
      </c>
      <c r="D625" s="120" t="s">
        <v>704</v>
      </c>
      <c r="E625" s="122">
        <f t="shared" si="895"/>
        <v>0.5</v>
      </c>
      <c r="F625" s="122">
        <f t="shared" si="896"/>
        <v>0.5</v>
      </c>
      <c r="G625" s="122">
        <f t="shared" si="896"/>
        <v>0.5</v>
      </c>
      <c r="H625" s="127">
        <f t="shared" si="897"/>
        <v>0</v>
      </c>
      <c r="I625" s="125">
        <v>4.7E-2</v>
      </c>
      <c r="J625" s="124">
        <f t="shared" si="898"/>
        <v>46255</v>
      </c>
      <c r="K625" s="124">
        <f t="shared" si="881"/>
        <v>46255</v>
      </c>
      <c r="L625" s="124">
        <v>46156</v>
      </c>
      <c r="M625" s="124">
        <f t="shared" si="882"/>
        <v>46297</v>
      </c>
      <c r="N625" s="124">
        <f t="shared" si="883"/>
        <v>46297</v>
      </c>
      <c r="O625" s="206"/>
      <c r="P625" s="124">
        <f t="shared" si="884"/>
        <v>46339</v>
      </c>
      <c r="Q625" s="124">
        <f t="shared" si="885"/>
        <v>46339</v>
      </c>
      <c r="R625" s="124"/>
      <c r="S625" s="124">
        <f t="shared" si="887"/>
        <v>46353</v>
      </c>
      <c r="T625" s="124">
        <f t="shared" si="886"/>
        <v>46353</v>
      </c>
      <c r="U625" s="124"/>
      <c r="W625" s="169" t="str">
        <f t="shared" ca="1" si="877"/>
        <v>Completed</v>
      </c>
      <c r="X625" s="169" t="str">
        <f t="shared" ca="1" si="878"/>
        <v/>
      </c>
      <c r="Y625" s="169" t="str">
        <f t="shared" ca="1" si="879"/>
        <v/>
      </c>
      <c r="Z625" s="170" t="str">
        <f t="shared" ca="1" si="880"/>
        <v/>
      </c>
    </row>
    <row r="626" spans="1:26" s="70" customFormat="1" ht="11.5" x14ac:dyDescent="0.25">
      <c r="A626" s="120" t="s">
        <v>65</v>
      </c>
      <c r="B626" s="120" t="s">
        <v>14</v>
      </c>
      <c r="C626" s="120" t="s">
        <v>705</v>
      </c>
      <c r="D626" s="120" t="s">
        <v>706</v>
      </c>
      <c r="E626" s="122">
        <f t="shared" si="895"/>
        <v>0.5</v>
      </c>
      <c r="F626" s="122">
        <f t="shared" si="896"/>
        <v>0.5</v>
      </c>
      <c r="G626" s="122">
        <f t="shared" si="896"/>
        <v>0.5</v>
      </c>
      <c r="H626" s="127">
        <f t="shared" si="897"/>
        <v>0</v>
      </c>
      <c r="I626" s="125">
        <v>4.7E-2</v>
      </c>
      <c r="J626" s="124">
        <f t="shared" si="898"/>
        <v>46255</v>
      </c>
      <c r="K626" s="124">
        <f t="shared" si="881"/>
        <v>46255</v>
      </c>
      <c r="L626" s="124">
        <v>46156</v>
      </c>
      <c r="M626" s="124">
        <f t="shared" si="882"/>
        <v>46297</v>
      </c>
      <c r="N626" s="124">
        <f t="shared" si="883"/>
        <v>46297</v>
      </c>
      <c r="O626" s="124"/>
      <c r="P626" s="124">
        <f t="shared" si="884"/>
        <v>46339</v>
      </c>
      <c r="Q626" s="124">
        <f t="shared" si="885"/>
        <v>46339</v>
      </c>
      <c r="R626" s="124"/>
      <c r="S626" s="124">
        <f t="shared" si="887"/>
        <v>46353</v>
      </c>
      <c r="T626" s="124">
        <f t="shared" si="886"/>
        <v>46353</v>
      </c>
      <c r="U626" s="124"/>
      <c r="W626" s="169" t="str">
        <f t="shared" ca="1" si="877"/>
        <v>Completed</v>
      </c>
      <c r="X626" s="169" t="str">
        <f t="shared" ca="1" si="878"/>
        <v/>
      </c>
      <c r="Y626" s="169" t="str">
        <f t="shared" ca="1" si="879"/>
        <v/>
      </c>
      <c r="Z626" s="170" t="str">
        <f t="shared" ca="1" si="880"/>
        <v/>
      </c>
    </row>
    <row r="627" spans="1:26" s="70" customFormat="1" ht="11.5" x14ac:dyDescent="0.25">
      <c r="A627" s="120" t="s">
        <v>65</v>
      </c>
      <c r="B627" s="120" t="s">
        <v>14</v>
      </c>
      <c r="C627" s="120" t="s">
        <v>707</v>
      </c>
      <c r="D627" s="120" t="s">
        <v>708</v>
      </c>
      <c r="E627" s="122">
        <f t="shared" si="895"/>
        <v>0.5</v>
      </c>
      <c r="F627" s="122">
        <f t="shared" si="896"/>
        <v>0.5</v>
      </c>
      <c r="G627" s="122">
        <f t="shared" si="896"/>
        <v>0.7</v>
      </c>
      <c r="H627" s="122">
        <f t="shared" si="897"/>
        <v>0.19999999999999996</v>
      </c>
      <c r="I627" s="123">
        <v>4.7E-2</v>
      </c>
      <c r="J627" s="124">
        <f t="shared" si="898"/>
        <v>46248</v>
      </c>
      <c r="K627" s="124">
        <f t="shared" si="881"/>
        <v>46248</v>
      </c>
      <c r="L627" s="124">
        <v>46178</v>
      </c>
      <c r="M627" s="124">
        <f t="shared" si="882"/>
        <v>46290</v>
      </c>
      <c r="N627" s="124">
        <f t="shared" si="883"/>
        <v>46290</v>
      </c>
      <c r="O627" s="126">
        <v>46266</v>
      </c>
      <c r="P627" s="124">
        <f t="shared" si="884"/>
        <v>46332</v>
      </c>
      <c r="Q627" s="124">
        <f t="shared" si="885"/>
        <v>46332</v>
      </c>
      <c r="R627" s="124"/>
      <c r="S627" s="124">
        <f t="shared" si="887"/>
        <v>46346</v>
      </c>
      <c r="T627" s="124">
        <f t="shared" si="886"/>
        <v>46346</v>
      </c>
      <c r="U627" s="124"/>
      <c r="W627" s="169" t="str">
        <f t="shared" ca="1" si="877"/>
        <v>Completed</v>
      </c>
      <c r="X627" s="169" t="str">
        <f t="shared" ca="1" si="878"/>
        <v>Completed</v>
      </c>
      <c r="Y627" s="169" t="str">
        <f t="shared" ca="1" si="879"/>
        <v/>
      </c>
      <c r="Z627" s="170" t="str">
        <f t="shared" ca="1" si="880"/>
        <v/>
      </c>
    </row>
    <row r="628" spans="1:26" s="70" customFormat="1" ht="11.5" x14ac:dyDescent="0.25">
      <c r="A628" s="120" t="s">
        <v>65</v>
      </c>
      <c r="B628" s="120" t="s">
        <v>14</v>
      </c>
      <c r="C628" s="120" t="s">
        <v>709</v>
      </c>
      <c r="D628" s="120" t="s">
        <v>710</v>
      </c>
      <c r="E628" s="122">
        <f t="shared" si="895"/>
        <v>0.5</v>
      </c>
      <c r="F628" s="122">
        <f t="shared" si="896"/>
        <v>0.5</v>
      </c>
      <c r="G628" s="122">
        <f t="shared" si="896"/>
        <v>0</v>
      </c>
      <c r="H628" s="122">
        <f t="shared" si="897"/>
        <v>-0.5</v>
      </c>
      <c r="I628" s="123">
        <v>4.7E-2</v>
      </c>
      <c r="J628" s="124">
        <f t="shared" si="898"/>
        <v>46255</v>
      </c>
      <c r="K628" s="124">
        <f t="shared" si="881"/>
        <v>46255</v>
      </c>
      <c r="L628" s="124"/>
      <c r="M628" s="124">
        <f t="shared" si="882"/>
        <v>46297</v>
      </c>
      <c r="N628" s="124">
        <f t="shared" si="883"/>
        <v>46297</v>
      </c>
      <c r="O628" s="124"/>
      <c r="P628" s="124">
        <f t="shared" si="884"/>
        <v>46339</v>
      </c>
      <c r="Q628" s="124">
        <f t="shared" si="885"/>
        <v>46339</v>
      </c>
      <c r="R628" s="124"/>
      <c r="S628" s="124">
        <f t="shared" si="887"/>
        <v>46353</v>
      </c>
      <c r="T628" s="124">
        <f t="shared" si="886"/>
        <v>46353</v>
      </c>
      <c r="U628" s="124"/>
      <c r="W628" s="169" t="str">
        <f t="shared" ca="1" si="877"/>
        <v>Overdue</v>
      </c>
      <c r="X628" s="169" t="str">
        <f t="shared" ca="1" si="878"/>
        <v/>
      </c>
      <c r="Y628" s="169" t="str">
        <f t="shared" ca="1" si="879"/>
        <v/>
      </c>
      <c r="Z628" s="170" t="str">
        <f t="shared" ca="1" si="880"/>
        <v/>
      </c>
    </row>
    <row r="629" spans="1:26" s="70" customFormat="1" ht="11.5" x14ac:dyDescent="0.25">
      <c r="A629" s="120" t="s">
        <v>65</v>
      </c>
      <c r="B629" s="120" t="s">
        <v>14</v>
      </c>
      <c r="C629" s="120" t="s">
        <v>711</v>
      </c>
      <c r="D629" s="120" t="s">
        <v>712</v>
      </c>
      <c r="E629" s="122">
        <f t="shared" si="895"/>
        <v>0.5</v>
      </c>
      <c r="F629" s="122">
        <f t="shared" si="896"/>
        <v>0.5</v>
      </c>
      <c r="G629" s="122">
        <f t="shared" si="896"/>
        <v>0.7</v>
      </c>
      <c r="H629" s="122">
        <f t="shared" si="897"/>
        <v>0.19999999999999996</v>
      </c>
      <c r="I629" s="123">
        <v>4.7E-2</v>
      </c>
      <c r="J629" s="124">
        <f t="shared" si="898"/>
        <v>46248</v>
      </c>
      <c r="K629" s="124">
        <f t="shared" si="881"/>
        <v>46248</v>
      </c>
      <c r="L629" s="124">
        <v>46205</v>
      </c>
      <c r="M629" s="124">
        <f t="shared" si="882"/>
        <v>46290</v>
      </c>
      <c r="N629" s="124">
        <f t="shared" si="883"/>
        <v>46290</v>
      </c>
      <c r="O629" s="206">
        <v>46283</v>
      </c>
      <c r="P629" s="124">
        <f t="shared" si="884"/>
        <v>46332</v>
      </c>
      <c r="Q629" s="124">
        <f t="shared" si="885"/>
        <v>46332</v>
      </c>
      <c r="R629" s="124"/>
      <c r="S629" s="124">
        <f t="shared" si="887"/>
        <v>46346</v>
      </c>
      <c r="T629" s="124">
        <f t="shared" si="886"/>
        <v>46346</v>
      </c>
      <c r="U629" s="124"/>
      <c r="W629" s="169" t="str">
        <f t="shared" ca="1" si="877"/>
        <v>Completed</v>
      </c>
      <c r="X629" s="169" t="str">
        <f t="shared" ca="1" si="878"/>
        <v>Completed</v>
      </c>
      <c r="Y629" s="169" t="str">
        <f t="shared" ca="1" si="879"/>
        <v/>
      </c>
      <c r="Z629" s="170" t="str">
        <f t="shared" ca="1" si="880"/>
        <v/>
      </c>
    </row>
    <row r="630" spans="1:26" s="70" customFormat="1" ht="11.5" x14ac:dyDescent="0.25">
      <c r="A630" s="120" t="s">
        <v>65</v>
      </c>
      <c r="B630" s="120" t="s">
        <v>14</v>
      </c>
      <c r="C630" s="120" t="s">
        <v>713</v>
      </c>
      <c r="D630" s="120" t="s">
        <v>714</v>
      </c>
      <c r="E630" s="122">
        <f t="shared" si="895"/>
        <v>0.5</v>
      </c>
      <c r="F630" s="122">
        <f t="shared" si="896"/>
        <v>0.5</v>
      </c>
      <c r="G630" s="122">
        <f t="shared" si="896"/>
        <v>0.7</v>
      </c>
      <c r="H630" s="122">
        <f t="shared" si="897"/>
        <v>0.19999999999999996</v>
      </c>
      <c r="I630" s="123">
        <v>4.7E-2</v>
      </c>
      <c r="J630" s="124">
        <f t="shared" si="898"/>
        <v>46248</v>
      </c>
      <c r="K630" s="124">
        <f t="shared" si="881"/>
        <v>46248</v>
      </c>
      <c r="L630" s="124">
        <v>46205</v>
      </c>
      <c r="M630" s="124">
        <f t="shared" si="882"/>
        <v>46290</v>
      </c>
      <c r="N630" s="124">
        <f t="shared" si="883"/>
        <v>46290</v>
      </c>
      <c r="O630" s="206">
        <v>46283</v>
      </c>
      <c r="P630" s="124">
        <f t="shared" si="884"/>
        <v>46332</v>
      </c>
      <c r="Q630" s="124">
        <f t="shared" si="885"/>
        <v>46332</v>
      </c>
      <c r="R630" s="124"/>
      <c r="S630" s="124">
        <f t="shared" si="887"/>
        <v>46346</v>
      </c>
      <c r="T630" s="124">
        <f t="shared" si="886"/>
        <v>46346</v>
      </c>
      <c r="U630" s="124"/>
      <c r="W630" s="169" t="str">
        <f t="shared" ca="1" si="877"/>
        <v>Completed</v>
      </c>
      <c r="X630" s="169" t="str">
        <f t="shared" ca="1" si="878"/>
        <v>Completed</v>
      </c>
      <c r="Y630" s="169" t="str">
        <f t="shared" ca="1" si="879"/>
        <v/>
      </c>
      <c r="Z630" s="170" t="str">
        <f t="shared" ca="1" si="880"/>
        <v/>
      </c>
    </row>
    <row r="631" spans="1:26" s="70" customFormat="1" ht="11.5" x14ac:dyDescent="0.25">
      <c r="A631" s="120" t="s">
        <v>65</v>
      </c>
      <c r="B631" s="120" t="s">
        <v>14</v>
      </c>
      <c r="C631" s="120" t="s">
        <v>842</v>
      </c>
      <c r="D631" s="120" t="s">
        <v>821</v>
      </c>
      <c r="E631" s="122">
        <f t="shared" si="895"/>
        <v>0.5</v>
      </c>
      <c r="F631" s="122">
        <f t="shared" si="896"/>
        <v>0.5</v>
      </c>
      <c r="G631" s="122">
        <f t="shared" si="896"/>
        <v>1</v>
      </c>
      <c r="H631" s="122">
        <f t="shared" si="897"/>
        <v>0.5</v>
      </c>
      <c r="I631" s="123">
        <v>4.7E-2</v>
      </c>
      <c r="J631" s="124">
        <f t="shared" si="898"/>
        <v>46262</v>
      </c>
      <c r="K631" s="124">
        <f t="shared" si="881"/>
        <v>46262</v>
      </c>
      <c r="L631" s="124">
        <v>46182</v>
      </c>
      <c r="M631" s="124">
        <f t="shared" si="882"/>
        <v>46304</v>
      </c>
      <c r="N631" s="124">
        <f t="shared" si="883"/>
        <v>46304</v>
      </c>
      <c r="O631" s="124">
        <v>46191</v>
      </c>
      <c r="P631" s="124">
        <f t="shared" si="884"/>
        <v>46346</v>
      </c>
      <c r="Q631" s="124">
        <f t="shared" si="885"/>
        <v>46346</v>
      </c>
      <c r="R631" s="126">
        <v>46252</v>
      </c>
      <c r="S631" s="124">
        <f t="shared" si="887"/>
        <v>46360</v>
      </c>
      <c r="T631" s="124">
        <f t="shared" si="886"/>
        <v>46360</v>
      </c>
      <c r="U631" s="124">
        <v>46262</v>
      </c>
      <c r="W631" s="169" t="str">
        <f t="shared" ca="1" si="877"/>
        <v>Completed</v>
      </c>
      <c r="X631" s="169" t="str">
        <f t="shared" ca="1" si="878"/>
        <v>Completed</v>
      </c>
      <c r="Y631" s="169" t="str">
        <f t="shared" ca="1" si="879"/>
        <v>Completed</v>
      </c>
      <c r="Z631" s="170" t="str">
        <f t="shared" ca="1" si="880"/>
        <v>Completed</v>
      </c>
    </row>
    <row r="632" spans="1:26" s="70" customFormat="1" ht="11.5" x14ac:dyDescent="0.25">
      <c r="A632" s="120" t="s">
        <v>65</v>
      </c>
      <c r="B632" s="120" t="s">
        <v>14</v>
      </c>
      <c r="C632" s="120" t="s">
        <v>843</v>
      </c>
      <c r="D632" s="120" t="s">
        <v>822</v>
      </c>
      <c r="E632" s="122">
        <f t="shared" si="895"/>
        <v>0.5</v>
      </c>
      <c r="F632" s="122">
        <f t="shared" si="896"/>
        <v>0.5</v>
      </c>
      <c r="G632" s="122">
        <f t="shared" si="896"/>
        <v>1</v>
      </c>
      <c r="H632" s="122">
        <f t="shared" si="897"/>
        <v>0.5</v>
      </c>
      <c r="I632" s="123">
        <v>4.7E-2</v>
      </c>
      <c r="J632" s="124">
        <f t="shared" si="898"/>
        <v>46262</v>
      </c>
      <c r="K632" s="124">
        <f t="shared" si="881"/>
        <v>46262</v>
      </c>
      <c r="L632" s="124">
        <v>46182</v>
      </c>
      <c r="M632" s="124">
        <f t="shared" si="882"/>
        <v>46304</v>
      </c>
      <c r="N632" s="124">
        <f t="shared" si="883"/>
        <v>46304</v>
      </c>
      <c r="O632" s="124">
        <v>46191</v>
      </c>
      <c r="P632" s="124">
        <f t="shared" si="884"/>
        <v>46346</v>
      </c>
      <c r="Q632" s="124">
        <f t="shared" si="885"/>
        <v>46346</v>
      </c>
      <c r="R632" s="126">
        <v>46252</v>
      </c>
      <c r="S632" s="124">
        <f t="shared" si="887"/>
        <v>46360</v>
      </c>
      <c r="T632" s="124">
        <f t="shared" si="886"/>
        <v>46360</v>
      </c>
      <c r="U632" s="124">
        <v>46262</v>
      </c>
      <c r="W632" s="169" t="str">
        <f t="shared" ca="1" si="877"/>
        <v>Completed</v>
      </c>
      <c r="X632" s="169" t="str">
        <f t="shared" ca="1" si="878"/>
        <v>Completed</v>
      </c>
      <c r="Y632" s="169" t="str">
        <f t="shared" ca="1" si="879"/>
        <v>Completed</v>
      </c>
      <c r="Z632" s="170" t="str">
        <f t="shared" ca="1" si="880"/>
        <v>Completed</v>
      </c>
    </row>
    <row r="633" spans="1:26" s="70" customFormat="1" ht="11.5" x14ac:dyDescent="0.25">
      <c r="A633" s="120" t="s">
        <v>65</v>
      </c>
      <c r="B633" s="120" t="s">
        <v>14</v>
      </c>
      <c r="C633" s="120" t="s">
        <v>844</v>
      </c>
      <c r="D633" s="120" t="s">
        <v>823</v>
      </c>
      <c r="E633" s="122">
        <f t="shared" si="895"/>
        <v>0.5</v>
      </c>
      <c r="F633" s="122">
        <f t="shared" si="896"/>
        <v>0.5</v>
      </c>
      <c r="G633" s="122">
        <f t="shared" si="896"/>
        <v>1</v>
      </c>
      <c r="H633" s="122">
        <f t="shared" si="897"/>
        <v>0.5</v>
      </c>
      <c r="I633" s="123">
        <v>4.7E-2</v>
      </c>
      <c r="J633" s="124">
        <f t="shared" si="898"/>
        <v>46262</v>
      </c>
      <c r="K633" s="124">
        <f t="shared" si="881"/>
        <v>46262</v>
      </c>
      <c r="L633" s="124">
        <v>46182</v>
      </c>
      <c r="M633" s="124">
        <f t="shared" si="882"/>
        <v>46304</v>
      </c>
      <c r="N633" s="124">
        <f t="shared" si="883"/>
        <v>46304</v>
      </c>
      <c r="O633" s="124">
        <v>46191</v>
      </c>
      <c r="P633" s="124">
        <f t="shared" si="884"/>
        <v>46346</v>
      </c>
      <c r="Q633" s="124">
        <f t="shared" si="885"/>
        <v>46346</v>
      </c>
      <c r="R633" s="126">
        <v>46252</v>
      </c>
      <c r="S633" s="124">
        <f t="shared" si="887"/>
        <v>46360</v>
      </c>
      <c r="T633" s="124">
        <f t="shared" si="886"/>
        <v>46360</v>
      </c>
      <c r="U633" s="124">
        <v>46262</v>
      </c>
      <c r="W633" s="169" t="str">
        <f t="shared" ca="1" si="877"/>
        <v>Completed</v>
      </c>
      <c r="X633" s="169" t="str">
        <f t="shared" ca="1" si="878"/>
        <v>Completed</v>
      </c>
      <c r="Y633" s="169" t="str">
        <f t="shared" ca="1" si="879"/>
        <v>Completed</v>
      </c>
      <c r="Z633" s="170" t="str">
        <f t="shared" ca="1" si="880"/>
        <v>Completed</v>
      </c>
    </row>
    <row r="634" spans="1:26" s="70" customFormat="1" ht="11.5" x14ac:dyDescent="0.25">
      <c r="A634" s="120" t="s">
        <v>65</v>
      </c>
      <c r="B634" s="120" t="s">
        <v>14</v>
      </c>
      <c r="C634" s="120" t="s">
        <v>845</v>
      </c>
      <c r="D634" s="120" t="s">
        <v>824</v>
      </c>
      <c r="E634" s="122">
        <f t="shared" si="895"/>
        <v>0.5</v>
      </c>
      <c r="F634" s="122">
        <f t="shared" si="896"/>
        <v>0.5</v>
      </c>
      <c r="G634" s="122">
        <f t="shared" si="896"/>
        <v>1</v>
      </c>
      <c r="H634" s="122">
        <f t="shared" si="897"/>
        <v>0.5</v>
      </c>
      <c r="I634" s="123">
        <v>4.7E-2</v>
      </c>
      <c r="J634" s="124">
        <f t="shared" si="898"/>
        <v>46262</v>
      </c>
      <c r="K634" s="124">
        <f t="shared" si="881"/>
        <v>46262</v>
      </c>
      <c r="L634" s="124">
        <v>46182</v>
      </c>
      <c r="M634" s="124">
        <f t="shared" si="882"/>
        <v>46304</v>
      </c>
      <c r="N634" s="124">
        <f t="shared" si="883"/>
        <v>46304</v>
      </c>
      <c r="O634" s="124">
        <v>46191</v>
      </c>
      <c r="P634" s="124">
        <f t="shared" si="884"/>
        <v>46346</v>
      </c>
      <c r="Q634" s="124">
        <f t="shared" si="885"/>
        <v>46346</v>
      </c>
      <c r="R634" s="126">
        <v>46252</v>
      </c>
      <c r="S634" s="124">
        <f t="shared" si="887"/>
        <v>46360</v>
      </c>
      <c r="T634" s="124">
        <f t="shared" si="886"/>
        <v>46360</v>
      </c>
      <c r="U634" s="124">
        <v>46262</v>
      </c>
      <c r="W634" s="169" t="str">
        <f t="shared" ca="1" si="877"/>
        <v>Completed</v>
      </c>
      <c r="X634" s="169" t="str">
        <f t="shared" ca="1" si="878"/>
        <v>Completed</v>
      </c>
      <c r="Y634" s="169" t="str">
        <f t="shared" ca="1" si="879"/>
        <v>Completed</v>
      </c>
      <c r="Z634" s="170" t="str">
        <f t="shared" ca="1" si="880"/>
        <v>Completed</v>
      </c>
    </row>
    <row r="635" spans="1:26" s="70" customFormat="1" ht="11.5" x14ac:dyDescent="0.25">
      <c r="A635" s="120" t="s">
        <v>65</v>
      </c>
      <c r="B635" s="120" t="s">
        <v>14</v>
      </c>
      <c r="C635" s="120" t="s">
        <v>846</v>
      </c>
      <c r="D635" s="120" t="s">
        <v>825</v>
      </c>
      <c r="E635" s="122">
        <f t="shared" si="895"/>
        <v>0.5</v>
      </c>
      <c r="F635" s="122">
        <f t="shared" si="896"/>
        <v>0.5</v>
      </c>
      <c r="G635" s="122">
        <f t="shared" si="896"/>
        <v>1</v>
      </c>
      <c r="H635" s="122">
        <f t="shared" si="897"/>
        <v>0.5</v>
      </c>
      <c r="I635" s="123">
        <v>4.7E-2</v>
      </c>
      <c r="J635" s="124">
        <f t="shared" si="898"/>
        <v>46262</v>
      </c>
      <c r="K635" s="124">
        <f t="shared" si="881"/>
        <v>46262</v>
      </c>
      <c r="L635" s="124">
        <v>46182</v>
      </c>
      <c r="M635" s="124">
        <f t="shared" si="882"/>
        <v>46304</v>
      </c>
      <c r="N635" s="124">
        <f t="shared" si="883"/>
        <v>46304</v>
      </c>
      <c r="O635" s="124">
        <v>46191</v>
      </c>
      <c r="P635" s="124">
        <f t="shared" si="884"/>
        <v>46346</v>
      </c>
      <c r="Q635" s="124">
        <f t="shared" si="885"/>
        <v>46346</v>
      </c>
      <c r="R635" s="126">
        <v>46252</v>
      </c>
      <c r="S635" s="124">
        <f t="shared" si="887"/>
        <v>46360</v>
      </c>
      <c r="T635" s="124">
        <f t="shared" si="886"/>
        <v>46360</v>
      </c>
      <c r="U635" s="124">
        <v>46262</v>
      </c>
      <c r="W635" s="169" t="str">
        <f t="shared" ca="1" si="877"/>
        <v>Completed</v>
      </c>
      <c r="X635" s="169" t="str">
        <f t="shared" ca="1" si="878"/>
        <v>Completed</v>
      </c>
      <c r="Y635" s="169" t="str">
        <f t="shared" ca="1" si="879"/>
        <v>Completed</v>
      </c>
      <c r="Z635" s="170" t="str">
        <f t="shared" ca="1" si="880"/>
        <v>Completed</v>
      </c>
    </row>
    <row r="636" spans="1:26" s="70" customFormat="1" ht="11.5" x14ac:dyDescent="0.25">
      <c r="A636" s="120" t="s">
        <v>65</v>
      </c>
      <c r="B636" s="120" t="s">
        <v>14</v>
      </c>
      <c r="C636" s="120" t="s">
        <v>847</v>
      </c>
      <c r="D636" s="120" t="s">
        <v>826</v>
      </c>
      <c r="E636" s="122">
        <f t="shared" si="895"/>
        <v>0.5</v>
      </c>
      <c r="F636" s="122">
        <f t="shared" si="896"/>
        <v>0.5</v>
      </c>
      <c r="G636" s="122">
        <f t="shared" si="896"/>
        <v>1</v>
      </c>
      <c r="H636" s="122">
        <f t="shared" si="897"/>
        <v>0.5</v>
      </c>
      <c r="I636" s="123">
        <v>4.7E-2</v>
      </c>
      <c r="J636" s="124">
        <f t="shared" si="898"/>
        <v>46262</v>
      </c>
      <c r="K636" s="124">
        <f t="shared" si="881"/>
        <v>46262</v>
      </c>
      <c r="L636" s="144">
        <v>46162</v>
      </c>
      <c r="M636" s="124">
        <f t="shared" si="882"/>
        <v>46304</v>
      </c>
      <c r="N636" s="124">
        <f t="shared" si="883"/>
        <v>46304</v>
      </c>
      <c r="O636" s="124">
        <v>46191</v>
      </c>
      <c r="P636" s="124">
        <f t="shared" si="884"/>
        <v>46346</v>
      </c>
      <c r="Q636" s="124">
        <f t="shared" si="885"/>
        <v>46346</v>
      </c>
      <c r="R636" s="126">
        <v>46252</v>
      </c>
      <c r="S636" s="124">
        <f t="shared" si="887"/>
        <v>46360</v>
      </c>
      <c r="T636" s="124">
        <f t="shared" si="886"/>
        <v>46360</v>
      </c>
      <c r="U636" s="124">
        <v>46262</v>
      </c>
      <c r="W636" s="169" t="str">
        <f t="shared" ref="W636:W701" ca="1" si="899">IF(OR(L636&lt;&gt;""),"Completed",
IF(K636="","",IF(K636&lt;TODAY(),"Overdue",
IF(AND(K636&gt;=TODAY()-WEEKDAY(TODAY(),2)+1,K636&lt;=TODAY()-WEEKDAY(TODAY(),2)+7),"Follow-This Week",
IF(AND(K636&gt;=TODAY()-WEEKDAY(TODAY(),2)+8,K636&lt;=TODAY()-WEEKDAY(TODAY(),2)+14),"Follow-Next Week","")))))</f>
        <v>Completed</v>
      </c>
      <c r="X636" s="169" t="str">
        <f t="shared" ref="X636:X701" ca="1" si="900">IF(OR(O636&lt;&gt;""),"Completed",IF(N636="","",
IF(N636&lt;TODAY(),"Overdue",
IF(AND(N636&gt;=TODAY()-WEEKDAY(TODAY(),2)+1,N636&lt;=TODAY()-WEEKDAY(TODAY(),2)+7),"Follow-This Week",
IF(AND(N636&gt;=TODAY()-WEEKDAY(TODAY(),2)+8,N636&lt;=TODAY()-WEEKDAY(TODAY(),2)+14),"Follow-Next Week","")))))</f>
        <v>Completed</v>
      </c>
      <c r="Y636" s="169" t="str">
        <f t="shared" ref="Y636:Y701" ca="1" si="901">IF(OR(R636&lt;&gt;""),"Completed",IF(Q636="","",
IF(Q636&lt;TODAY(),"Overdue",
IF(AND(Q636&gt;=TODAY()-WEEKDAY(TODAY(),2)+1,Q636&lt;=TODAY()-WEEKDAY(TODAY(),2)+7),"Follow-This Week",
IF(AND(Q636&gt;=TODAY()-WEEKDAY(TODAY(),2)+8,Q636&lt;=TODAY()-WEEKDAY(TODAY(),2)+14),"Follow-Next Week","")))))</f>
        <v>Completed</v>
      </c>
      <c r="Z636" s="170" t="str">
        <f t="shared" ref="Z636:Z701" ca="1" si="902">IF(OR(U636&lt;&gt;""),"Completed",IF(T636="","",
IF(T636&lt;TODAY(),"Overdue",
IF(AND(T636&gt;=TODAY()-WEEKDAY(TODAY(),2)+1,T636&lt;=TODAY()-WEEKDAY(TODAY(),2)+7),"Follow-This Week",
IF(AND(T636&gt;=TODAY()-WEEKDAY(TODAY(),2)+8,T636&lt;=TODAY()-WEEKDAY(TODAY(),2)+14),"Follow-Next Week","")))))</f>
        <v>Completed</v>
      </c>
    </row>
    <row r="637" spans="1:26" s="70" customFormat="1" ht="11.5" x14ac:dyDescent="0.25">
      <c r="A637" s="120" t="s">
        <v>65</v>
      </c>
      <c r="B637" s="120" t="s">
        <v>14</v>
      </c>
      <c r="C637" s="120" t="s">
        <v>848</v>
      </c>
      <c r="D637" s="120" t="s">
        <v>827</v>
      </c>
      <c r="E637" s="122">
        <f t="shared" si="895"/>
        <v>0.5</v>
      </c>
      <c r="F637" s="122">
        <f t="shared" si="896"/>
        <v>0.5</v>
      </c>
      <c r="G637" s="122">
        <f t="shared" si="896"/>
        <v>1</v>
      </c>
      <c r="H637" s="122">
        <f t="shared" si="897"/>
        <v>0.5</v>
      </c>
      <c r="I637" s="123">
        <v>4.7E-2</v>
      </c>
      <c r="J637" s="124">
        <f t="shared" si="898"/>
        <v>46262</v>
      </c>
      <c r="K637" s="124">
        <f t="shared" si="881"/>
        <v>46262</v>
      </c>
      <c r="L637" s="144">
        <v>46162</v>
      </c>
      <c r="M637" s="124">
        <f t="shared" si="882"/>
        <v>46304</v>
      </c>
      <c r="N637" s="124">
        <f t="shared" si="883"/>
        <v>46304</v>
      </c>
      <c r="O637" s="124">
        <v>46191</v>
      </c>
      <c r="P637" s="124">
        <f t="shared" si="884"/>
        <v>46346</v>
      </c>
      <c r="Q637" s="124">
        <f t="shared" si="885"/>
        <v>46346</v>
      </c>
      <c r="R637" s="126">
        <v>46252</v>
      </c>
      <c r="S637" s="124">
        <f t="shared" si="887"/>
        <v>46360</v>
      </c>
      <c r="T637" s="124">
        <f t="shared" si="886"/>
        <v>46360</v>
      </c>
      <c r="U637" s="124">
        <v>46262</v>
      </c>
      <c r="W637" s="169" t="str">
        <f t="shared" ca="1" si="899"/>
        <v>Completed</v>
      </c>
      <c r="X637" s="169" t="str">
        <f t="shared" ca="1" si="900"/>
        <v>Completed</v>
      </c>
      <c r="Y637" s="169" t="str">
        <f t="shared" ca="1" si="901"/>
        <v>Completed</v>
      </c>
      <c r="Z637" s="170" t="str">
        <f t="shared" ca="1" si="902"/>
        <v>Completed</v>
      </c>
    </row>
    <row r="638" spans="1:26" s="70" customFormat="1" ht="11.5" x14ac:dyDescent="0.25">
      <c r="A638" s="120" t="s">
        <v>65</v>
      </c>
      <c r="B638" s="120" t="s">
        <v>14</v>
      </c>
      <c r="C638" s="120" t="s">
        <v>849</v>
      </c>
      <c r="D638" s="120" t="s">
        <v>828</v>
      </c>
      <c r="E638" s="122">
        <f t="shared" si="895"/>
        <v>0.5</v>
      </c>
      <c r="F638" s="122">
        <f t="shared" si="896"/>
        <v>0.5</v>
      </c>
      <c r="G638" s="122">
        <f t="shared" si="896"/>
        <v>1</v>
      </c>
      <c r="H638" s="122">
        <f t="shared" si="897"/>
        <v>0.5</v>
      </c>
      <c r="I638" s="123">
        <v>4.7E-2</v>
      </c>
      <c r="J638" s="124">
        <f t="shared" si="898"/>
        <v>46262</v>
      </c>
      <c r="K638" s="124">
        <f t="shared" si="881"/>
        <v>46262</v>
      </c>
      <c r="L638" s="144">
        <v>46162</v>
      </c>
      <c r="M638" s="124">
        <f t="shared" si="882"/>
        <v>46304</v>
      </c>
      <c r="N638" s="124">
        <f t="shared" si="883"/>
        <v>46304</v>
      </c>
      <c r="O638" s="124">
        <v>46191</v>
      </c>
      <c r="P638" s="124">
        <f t="shared" si="884"/>
        <v>46346</v>
      </c>
      <c r="Q638" s="124">
        <f t="shared" si="885"/>
        <v>46346</v>
      </c>
      <c r="R638" s="126">
        <v>46252</v>
      </c>
      <c r="S638" s="124">
        <f t="shared" si="887"/>
        <v>46360</v>
      </c>
      <c r="T638" s="124">
        <f t="shared" si="886"/>
        <v>46360</v>
      </c>
      <c r="U638" s="124">
        <v>46262</v>
      </c>
      <c r="W638" s="169" t="str">
        <f t="shared" ca="1" si="899"/>
        <v>Completed</v>
      </c>
      <c r="X638" s="169" t="str">
        <f t="shared" ca="1" si="900"/>
        <v>Completed</v>
      </c>
      <c r="Y638" s="169" t="str">
        <f t="shared" ca="1" si="901"/>
        <v>Completed</v>
      </c>
      <c r="Z638" s="170" t="str">
        <f t="shared" ca="1" si="902"/>
        <v>Completed</v>
      </c>
    </row>
    <row r="639" spans="1:26" s="70" customFormat="1" ht="11.5" x14ac:dyDescent="0.25">
      <c r="A639" s="120" t="s">
        <v>65</v>
      </c>
      <c r="B639" s="120" t="s">
        <v>14</v>
      </c>
      <c r="C639" s="120" t="s">
        <v>850</v>
      </c>
      <c r="D639" s="120" t="s">
        <v>829</v>
      </c>
      <c r="E639" s="122">
        <f t="shared" si="895"/>
        <v>0.5</v>
      </c>
      <c r="F639" s="122">
        <f t="shared" si="896"/>
        <v>0.5</v>
      </c>
      <c r="G639" s="122">
        <f t="shared" si="896"/>
        <v>1</v>
      </c>
      <c r="H639" s="122">
        <f t="shared" si="897"/>
        <v>0.5</v>
      </c>
      <c r="I639" s="123">
        <v>4.7E-2</v>
      </c>
      <c r="J639" s="124">
        <f t="shared" si="898"/>
        <v>46262</v>
      </c>
      <c r="K639" s="124">
        <f t="shared" si="881"/>
        <v>46262</v>
      </c>
      <c r="L639" s="144">
        <v>46162</v>
      </c>
      <c r="M639" s="124">
        <f t="shared" si="882"/>
        <v>46304</v>
      </c>
      <c r="N639" s="124">
        <f t="shared" si="883"/>
        <v>46304</v>
      </c>
      <c r="O639" s="124">
        <v>46191</v>
      </c>
      <c r="P639" s="124">
        <f t="shared" si="884"/>
        <v>46346</v>
      </c>
      <c r="Q639" s="124">
        <f t="shared" si="885"/>
        <v>46346</v>
      </c>
      <c r="R639" s="126">
        <v>46252</v>
      </c>
      <c r="S639" s="124">
        <f t="shared" si="887"/>
        <v>46360</v>
      </c>
      <c r="T639" s="124">
        <f t="shared" si="886"/>
        <v>46360</v>
      </c>
      <c r="U639" s="124">
        <v>46262</v>
      </c>
      <c r="W639" s="169" t="str">
        <f t="shared" ca="1" si="899"/>
        <v>Completed</v>
      </c>
      <c r="X639" s="169" t="str">
        <f t="shared" ca="1" si="900"/>
        <v>Completed</v>
      </c>
      <c r="Y639" s="169" t="str">
        <f t="shared" ca="1" si="901"/>
        <v>Completed</v>
      </c>
      <c r="Z639" s="170" t="str">
        <f t="shared" ca="1" si="902"/>
        <v>Completed</v>
      </c>
    </row>
    <row r="640" spans="1:26" s="70" customFormat="1" ht="11.5" x14ac:dyDescent="0.25">
      <c r="A640" s="120" t="s">
        <v>65</v>
      </c>
      <c r="B640" s="120" t="s">
        <v>14</v>
      </c>
      <c r="C640" s="120" t="s">
        <v>851</v>
      </c>
      <c r="D640" s="120" t="s">
        <v>830</v>
      </c>
      <c r="E640" s="122">
        <f t="shared" si="895"/>
        <v>0.5</v>
      </c>
      <c r="F640" s="122">
        <f t="shared" si="896"/>
        <v>0.5</v>
      </c>
      <c r="G640" s="122">
        <f t="shared" si="896"/>
        <v>1</v>
      </c>
      <c r="H640" s="122">
        <f t="shared" si="897"/>
        <v>0.5</v>
      </c>
      <c r="I640" s="123">
        <v>4.7E-2</v>
      </c>
      <c r="J640" s="124">
        <f t="shared" si="898"/>
        <v>46262</v>
      </c>
      <c r="K640" s="124">
        <f t="shared" si="881"/>
        <v>46262</v>
      </c>
      <c r="L640" s="144">
        <v>46162</v>
      </c>
      <c r="M640" s="124">
        <f t="shared" si="882"/>
        <v>46304</v>
      </c>
      <c r="N640" s="124">
        <f t="shared" si="883"/>
        <v>46304</v>
      </c>
      <c r="O640" s="124">
        <v>46191</v>
      </c>
      <c r="P640" s="124">
        <f t="shared" si="884"/>
        <v>46346</v>
      </c>
      <c r="Q640" s="124">
        <f t="shared" si="885"/>
        <v>46346</v>
      </c>
      <c r="R640" s="126">
        <v>46252</v>
      </c>
      <c r="S640" s="124">
        <f t="shared" si="887"/>
        <v>46360</v>
      </c>
      <c r="T640" s="124">
        <f t="shared" si="886"/>
        <v>46360</v>
      </c>
      <c r="U640" s="124">
        <v>46262</v>
      </c>
      <c r="W640" s="169" t="str">
        <f t="shared" ca="1" si="899"/>
        <v>Completed</v>
      </c>
      <c r="X640" s="169" t="str">
        <f t="shared" ca="1" si="900"/>
        <v>Completed</v>
      </c>
      <c r="Y640" s="169" t="str">
        <f t="shared" ca="1" si="901"/>
        <v>Completed</v>
      </c>
      <c r="Z640" s="170" t="str">
        <f t="shared" ca="1" si="902"/>
        <v>Completed</v>
      </c>
    </row>
    <row r="641" spans="1:26" s="70" customFormat="1" ht="11.5" x14ac:dyDescent="0.25">
      <c r="A641" s="120" t="s">
        <v>65</v>
      </c>
      <c r="B641" s="120" t="s">
        <v>14</v>
      </c>
      <c r="C641" s="120" t="s">
        <v>852</v>
      </c>
      <c r="D641" s="120" t="s">
        <v>831</v>
      </c>
      <c r="E641" s="122">
        <f t="shared" si="895"/>
        <v>0.5</v>
      </c>
      <c r="F641" s="122">
        <f t="shared" si="896"/>
        <v>0.5</v>
      </c>
      <c r="G641" s="122">
        <f t="shared" si="896"/>
        <v>1</v>
      </c>
      <c r="H641" s="122">
        <f t="shared" si="897"/>
        <v>0.5</v>
      </c>
      <c r="I641" s="123">
        <v>4.7E-2</v>
      </c>
      <c r="J641" s="124">
        <f t="shared" si="898"/>
        <v>46262</v>
      </c>
      <c r="K641" s="124">
        <f t="shared" si="881"/>
        <v>46262</v>
      </c>
      <c r="L641" s="144">
        <v>46162</v>
      </c>
      <c r="M641" s="124">
        <f t="shared" si="882"/>
        <v>46304</v>
      </c>
      <c r="N641" s="124">
        <f t="shared" si="883"/>
        <v>46304</v>
      </c>
      <c r="O641" s="124">
        <v>46191</v>
      </c>
      <c r="P641" s="124">
        <f t="shared" si="884"/>
        <v>46346</v>
      </c>
      <c r="Q641" s="124">
        <f t="shared" si="885"/>
        <v>46346</v>
      </c>
      <c r="R641" s="126">
        <v>46252</v>
      </c>
      <c r="S641" s="124">
        <f t="shared" si="887"/>
        <v>46360</v>
      </c>
      <c r="T641" s="124">
        <f t="shared" si="886"/>
        <v>46360</v>
      </c>
      <c r="U641" s="124">
        <v>46262</v>
      </c>
      <c r="W641" s="169" t="str">
        <f t="shared" ca="1" si="899"/>
        <v>Completed</v>
      </c>
      <c r="X641" s="169" t="str">
        <f t="shared" ca="1" si="900"/>
        <v>Completed</v>
      </c>
      <c r="Y641" s="169" t="str">
        <f t="shared" ca="1" si="901"/>
        <v>Completed</v>
      </c>
      <c r="Z641" s="170" t="str">
        <f t="shared" ca="1" si="902"/>
        <v>Completed</v>
      </c>
    </row>
    <row r="642" spans="1:26" s="70" customFormat="1" ht="11.5" x14ac:dyDescent="0.25">
      <c r="A642" s="121" t="s">
        <v>65</v>
      </c>
      <c r="B642" s="121" t="s">
        <v>14</v>
      </c>
      <c r="C642" s="121" t="s">
        <v>853</v>
      </c>
      <c r="D642" s="121" t="s">
        <v>832</v>
      </c>
      <c r="E642" s="127">
        <f t="shared" si="895"/>
        <v>0.5</v>
      </c>
      <c r="F642" s="122">
        <f t="shared" si="896"/>
        <v>0.5</v>
      </c>
      <c r="G642" s="122">
        <f t="shared" si="896"/>
        <v>1</v>
      </c>
      <c r="H642" s="122">
        <f t="shared" si="897"/>
        <v>0.5</v>
      </c>
      <c r="I642" s="123">
        <v>4.7E-2</v>
      </c>
      <c r="J642" s="124">
        <f t="shared" si="898"/>
        <v>46262</v>
      </c>
      <c r="K642" s="124">
        <f t="shared" ref="K642:K705" si="903">J642</f>
        <v>46262</v>
      </c>
      <c r="L642" s="144">
        <v>46162</v>
      </c>
      <c r="M642" s="124">
        <f t="shared" ref="M642:M705" si="904">J642+42</f>
        <v>46304</v>
      </c>
      <c r="N642" s="124">
        <f t="shared" ref="N642:N705" si="905">M642</f>
        <v>46304</v>
      </c>
      <c r="O642" s="124">
        <v>46191</v>
      </c>
      <c r="P642" s="124">
        <f t="shared" ref="P642:P705" si="906">M642+42</f>
        <v>46346</v>
      </c>
      <c r="Q642" s="124">
        <f t="shared" ref="Q642:Q705" si="907">P642</f>
        <v>46346</v>
      </c>
      <c r="R642" s="126">
        <v>46252</v>
      </c>
      <c r="S642" s="124">
        <f t="shared" si="887"/>
        <v>46360</v>
      </c>
      <c r="T642" s="124">
        <f t="shared" ref="T642:T705" si="908">S642</f>
        <v>46360</v>
      </c>
      <c r="U642" s="124">
        <v>46262</v>
      </c>
      <c r="W642" s="169" t="str">
        <f t="shared" ca="1" si="899"/>
        <v>Completed</v>
      </c>
      <c r="X642" s="169" t="str">
        <f t="shared" ca="1" si="900"/>
        <v>Completed</v>
      </c>
      <c r="Y642" s="169" t="str">
        <f t="shared" ca="1" si="901"/>
        <v>Completed</v>
      </c>
      <c r="Z642" s="170" t="str">
        <f t="shared" ca="1" si="902"/>
        <v>Completed</v>
      </c>
    </row>
    <row r="643" spans="1:26" s="70" customFormat="1" ht="11.5" x14ac:dyDescent="0.25">
      <c r="A643" s="121" t="s">
        <v>65</v>
      </c>
      <c r="B643" s="121" t="s">
        <v>14</v>
      </c>
      <c r="C643" s="121" t="s">
        <v>854</v>
      </c>
      <c r="D643" s="121" t="s">
        <v>833</v>
      </c>
      <c r="E643" s="127">
        <f t="shared" si="895"/>
        <v>0.5</v>
      </c>
      <c r="F643" s="122">
        <f t="shared" si="896"/>
        <v>0.5</v>
      </c>
      <c r="G643" s="122">
        <f t="shared" si="896"/>
        <v>1</v>
      </c>
      <c r="H643" s="122">
        <f t="shared" si="897"/>
        <v>0.5</v>
      </c>
      <c r="I643" s="123">
        <v>4.7E-2</v>
      </c>
      <c r="J643" s="124">
        <f t="shared" si="898"/>
        <v>46262</v>
      </c>
      <c r="K643" s="124">
        <f t="shared" si="903"/>
        <v>46262</v>
      </c>
      <c r="L643" s="144">
        <v>46162</v>
      </c>
      <c r="M643" s="124">
        <f t="shared" si="904"/>
        <v>46304</v>
      </c>
      <c r="N643" s="124">
        <f t="shared" si="905"/>
        <v>46304</v>
      </c>
      <c r="O643" s="124">
        <v>46191</v>
      </c>
      <c r="P643" s="124">
        <f t="shared" si="906"/>
        <v>46346</v>
      </c>
      <c r="Q643" s="124">
        <f t="shared" si="907"/>
        <v>46346</v>
      </c>
      <c r="R643" s="126">
        <v>46252</v>
      </c>
      <c r="S643" s="124">
        <f t="shared" ref="S643:S705" si="909">P643+14</f>
        <v>46360</v>
      </c>
      <c r="T643" s="124">
        <f t="shared" si="908"/>
        <v>46360</v>
      </c>
      <c r="U643" s="124">
        <v>46262</v>
      </c>
      <c r="W643" s="169" t="str">
        <f t="shared" ca="1" si="899"/>
        <v>Completed</v>
      </c>
      <c r="X643" s="169" t="str">
        <f t="shared" ca="1" si="900"/>
        <v>Completed</v>
      </c>
      <c r="Y643" s="169" t="str">
        <f t="shared" ca="1" si="901"/>
        <v>Completed</v>
      </c>
      <c r="Z643" s="170" t="str">
        <f t="shared" ca="1" si="902"/>
        <v>Completed</v>
      </c>
    </row>
    <row r="644" spans="1:26" s="70" customFormat="1" ht="11.5" x14ac:dyDescent="0.25">
      <c r="A644" s="121" t="s">
        <v>65</v>
      </c>
      <c r="B644" s="121" t="s">
        <v>14</v>
      </c>
      <c r="C644" s="121" t="s">
        <v>715</v>
      </c>
      <c r="D644" s="121" t="s">
        <v>716</v>
      </c>
      <c r="E644" s="127">
        <f t="shared" si="895"/>
        <v>0.5</v>
      </c>
      <c r="F644" s="122">
        <f t="shared" si="896"/>
        <v>0.5</v>
      </c>
      <c r="G644" s="122">
        <f t="shared" si="896"/>
        <v>0.7</v>
      </c>
      <c r="H644" s="122">
        <f t="shared" si="897"/>
        <v>0.19999999999999996</v>
      </c>
      <c r="I644" s="123">
        <v>4.7E-2</v>
      </c>
      <c r="J644" s="128">
        <f t="shared" si="898"/>
        <v>46248</v>
      </c>
      <c r="K644" s="128">
        <f t="shared" si="903"/>
        <v>46248</v>
      </c>
      <c r="L644" s="126">
        <v>46184</v>
      </c>
      <c r="M644" s="124">
        <f t="shared" si="904"/>
        <v>46290</v>
      </c>
      <c r="N644" s="128">
        <f t="shared" si="905"/>
        <v>46290</v>
      </c>
      <c r="O644" s="124">
        <v>46192</v>
      </c>
      <c r="P644" s="124">
        <f t="shared" si="906"/>
        <v>46332</v>
      </c>
      <c r="Q644" s="128">
        <f t="shared" si="907"/>
        <v>46332</v>
      </c>
      <c r="R644" s="124"/>
      <c r="S644" s="124">
        <f t="shared" si="909"/>
        <v>46346</v>
      </c>
      <c r="T644" s="128">
        <f t="shared" si="908"/>
        <v>46346</v>
      </c>
      <c r="U644" s="124"/>
      <c r="W644" s="169" t="str">
        <f t="shared" ca="1" si="899"/>
        <v>Completed</v>
      </c>
      <c r="X644" s="169" t="str">
        <f t="shared" ca="1" si="900"/>
        <v>Completed</v>
      </c>
      <c r="Y644" s="169" t="str">
        <f t="shared" ca="1" si="901"/>
        <v/>
      </c>
      <c r="Z644" s="170" t="str">
        <f t="shared" ca="1" si="902"/>
        <v/>
      </c>
    </row>
    <row r="645" spans="1:26" s="70" customFormat="1" ht="11.5" x14ac:dyDescent="0.25">
      <c r="A645" s="201" t="s">
        <v>65</v>
      </c>
      <c r="B645" s="201" t="s">
        <v>14</v>
      </c>
      <c r="C645" s="201" t="s">
        <v>717</v>
      </c>
      <c r="D645" s="201" t="s">
        <v>1156</v>
      </c>
      <c r="E645" s="202">
        <f t="shared" si="895"/>
        <v>0.5</v>
      </c>
      <c r="F645" s="193">
        <f t="shared" si="896"/>
        <v>0.5</v>
      </c>
      <c r="G645" s="193">
        <f t="shared" si="896"/>
        <v>1</v>
      </c>
      <c r="H645" s="193">
        <f t="shared" si="897"/>
        <v>0.5</v>
      </c>
      <c r="I645" s="194">
        <v>4.7E-2</v>
      </c>
      <c r="J645" s="203">
        <f t="shared" si="898"/>
        <v>46248</v>
      </c>
      <c r="K645" s="203">
        <f t="shared" si="903"/>
        <v>46248</v>
      </c>
      <c r="L645" s="195">
        <v>46184</v>
      </c>
      <c r="M645" s="195">
        <f t="shared" si="904"/>
        <v>46290</v>
      </c>
      <c r="N645" s="203">
        <f t="shared" si="905"/>
        <v>46290</v>
      </c>
      <c r="O645" s="195">
        <v>46192</v>
      </c>
      <c r="P645" s="195">
        <f t="shared" si="906"/>
        <v>46332</v>
      </c>
      <c r="Q645" s="203">
        <f t="shared" si="907"/>
        <v>46332</v>
      </c>
      <c r="R645" s="195">
        <v>46262</v>
      </c>
      <c r="S645" s="195">
        <f t="shared" si="909"/>
        <v>46346</v>
      </c>
      <c r="T645" s="203">
        <f t="shared" si="908"/>
        <v>46346</v>
      </c>
      <c r="U645" s="195">
        <v>46262</v>
      </c>
      <c r="W645" s="169" t="str">
        <f t="shared" ca="1" si="899"/>
        <v>Completed</v>
      </c>
      <c r="X645" s="169" t="str">
        <f t="shared" ca="1" si="900"/>
        <v>Completed</v>
      </c>
      <c r="Y645" s="169" t="str">
        <f t="shared" ca="1" si="901"/>
        <v>Completed</v>
      </c>
      <c r="Z645" s="170" t="str">
        <f t="shared" ca="1" si="902"/>
        <v>Completed</v>
      </c>
    </row>
    <row r="646" spans="1:26" s="70" customFormat="1" ht="11.5" x14ac:dyDescent="0.25">
      <c r="A646" s="121" t="s">
        <v>65</v>
      </c>
      <c r="B646" s="121" t="s">
        <v>14</v>
      </c>
      <c r="C646" s="121" t="s">
        <v>718</v>
      </c>
      <c r="D646" s="121" t="s">
        <v>719</v>
      </c>
      <c r="E646" s="127">
        <f t="shared" si="895"/>
        <v>0.5</v>
      </c>
      <c r="F646" s="122">
        <f t="shared" si="896"/>
        <v>0.5</v>
      </c>
      <c r="G646" s="122">
        <f t="shared" si="896"/>
        <v>0.7</v>
      </c>
      <c r="H646" s="122">
        <f t="shared" si="897"/>
        <v>0.19999999999999996</v>
      </c>
      <c r="I646" s="123">
        <v>4.7E-2</v>
      </c>
      <c r="J646" s="128">
        <f t="shared" si="898"/>
        <v>46248</v>
      </c>
      <c r="K646" s="128">
        <f t="shared" si="903"/>
        <v>46248</v>
      </c>
      <c r="L646" s="126">
        <v>46268</v>
      </c>
      <c r="M646" s="124">
        <f t="shared" si="904"/>
        <v>46290</v>
      </c>
      <c r="N646" s="128">
        <f t="shared" si="905"/>
        <v>46290</v>
      </c>
      <c r="O646" s="161">
        <v>46281</v>
      </c>
      <c r="P646" s="124">
        <f t="shared" si="906"/>
        <v>46332</v>
      </c>
      <c r="Q646" s="128">
        <f t="shared" si="907"/>
        <v>46332</v>
      </c>
      <c r="R646" s="124"/>
      <c r="S646" s="124">
        <f t="shared" si="909"/>
        <v>46346</v>
      </c>
      <c r="T646" s="128">
        <f t="shared" si="908"/>
        <v>46346</v>
      </c>
      <c r="U646" s="124"/>
      <c r="W646" s="169" t="str">
        <f t="shared" ca="1" si="899"/>
        <v>Completed</v>
      </c>
      <c r="X646" s="169" t="str">
        <f t="shared" ca="1" si="900"/>
        <v>Completed</v>
      </c>
      <c r="Y646" s="169" t="str">
        <f t="shared" ca="1" si="901"/>
        <v/>
      </c>
      <c r="Z646" s="170" t="str">
        <f t="shared" ca="1" si="902"/>
        <v/>
      </c>
    </row>
    <row r="647" spans="1:26" s="70" customFormat="1" ht="11.5" x14ac:dyDescent="0.25">
      <c r="A647" s="121" t="s">
        <v>65</v>
      </c>
      <c r="B647" s="121" t="s">
        <v>14</v>
      </c>
      <c r="C647" s="121" t="s">
        <v>720</v>
      </c>
      <c r="D647" s="121" t="s">
        <v>721</v>
      </c>
      <c r="E647" s="127">
        <f t="shared" si="895"/>
        <v>0.5</v>
      </c>
      <c r="F647" s="122">
        <f t="shared" si="896"/>
        <v>0.5</v>
      </c>
      <c r="G647" s="122">
        <f t="shared" si="896"/>
        <v>0.7</v>
      </c>
      <c r="H647" s="122">
        <f t="shared" si="897"/>
        <v>0.19999999999999996</v>
      </c>
      <c r="I647" s="123">
        <v>4.7E-2</v>
      </c>
      <c r="J647" s="128">
        <f t="shared" si="898"/>
        <v>46248</v>
      </c>
      <c r="K647" s="128">
        <f t="shared" si="903"/>
        <v>46248</v>
      </c>
      <c r="L647" s="126">
        <v>46268</v>
      </c>
      <c r="M647" s="124">
        <f t="shared" si="904"/>
        <v>46290</v>
      </c>
      <c r="N647" s="128">
        <f t="shared" si="905"/>
        <v>46290</v>
      </c>
      <c r="O647" s="161">
        <v>46281</v>
      </c>
      <c r="P647" s="124">
        <f t="shared" si="906"/>
        <v>46332</v>
      </c>
      <c r="Q647" s="128">
        <f t="shared" si="907"/>
        <v>46332</v>
      </c>
      <c r="R647" s="124"/>
      <c r="S647" s="124">
        <f t="shared" si="909"/>
        <v>46346</v>
      </c>
      <c r="T647" s="128">
        <f t="shared" si="908"/>
        <v>46346</v>
      </c>
      <c r="U647" s="124"/>
      <c r="W647" s="169" t="str">
        <f t="shared" ca="1" si="899"/>
        <v>Completed</v>
      </c>
      <c r="X647" s="169" t="str">
        <f t="shared" ca="1" si="900"/>
        <v>Completed</v>
      </c>
      <c r="Y647" s="169" t="str">
        <f t="shared" ca="1" si="901"/>
        <v/>
      </c>
      <c r="Z647" s="170" t="str">
        <f t="shared" ca="1" si="902"/>
        <v/>
      </c>
    </row>
    <row r="648" spans="1:26" s="70" customFormat="1" ht="11.5" x14ac:dyDescent="0.25">
      <c r="A648" s="121" t="s">
        <v>65</v>
      </c>
      <c r="B648" s="121" t="s">
        <v>14</v>
      </c>
      <c r="C648" s="121" t="s">
        <v>722</v>
      </c>
      <c r="D648" s="121" t="s">
        <v>723</v>
      </c>
      <c r="E648" s="127">
        <f t="shared" si="895"/>
        <v>0.5</v>
      </c>
      <c r="F648" s="122">
        <f t="shared" si="896"/>
        <v>0.5</v>
      </c>
      <c r="G648" s="122">
        <f t="shared" si="896"/>
        <v>0.7</v>
      </c>
      <c r="H648" s="122">
        <f t="shared" si="897"/>
        <v>0.19999999999999996</v>
      </c>
      <c r="I648" s="123">
        <v>4.7E-2</v>
      </c>
      <c r="J648" s="128">
        <f t="shared" si="898"/>
        <v>46269</v>
      </c>
      <c r="K648" s="128">
        <f t="shared" si="903"/>
        <v>46269</v>
      </c>
      <c r="L648" s="124">
        <v>46142</v>
      </c>
      <c r="M648" s="124">
        <f t="shared" si="904"/>
        <v>46311</v>
      </c>
      <c r="N648" s="128">
        <f t="shared" si="905"/>
        <v>46311</v>
      </c>
      <c r="O648" s="126">
        <v>46269</v>
      </c>
      <c r="P648" s="124">
        <f t="shared" si="906"/>
        <v>46353</v>
      </c>
      <c r="Q648" s="128">
        <f t="shared" si="907"/>
        <v>46353</v>
      </c>
      <c r="R648" s="124"/>
      <c r="S648" s="124">
        <f t="shared" si="909"/>
        <v>46367</v>
      </c>
      <c r="T648" s="128">
        <f t="shared" si="908"/>
        <v>46367</v>
      </c>
      <c r="U648" s="124"/>
      <c r="W648" s="169" t="str">
        <f t="shared" ca="1" si="899"/>
        <v>Completed</v>
      </c>
      <c r="X648" s="169" t="str">
        <f t="shared" ca="1" si="900"/>
        <v>Completed</v>
      </c>
      <c r="Y648" s="169" t="str">
        <f t="shared" ca="1" si="901"/>
        <v/>
      </c>
      <c r="Z648" s="170" t="str">
        <f t="shared" ca="1" si="902"/>
        <v/>
      </c>
    </row>
    <row r="649" spans="1:26" s="70" customFormat="1" ht="11.5" x14ac:dyDescent="0.25">
      <c r="A649" s="121" t="s">
        <v>65</v>
      </c>
      <c r="B649" s="121" t="s">
        <v>14</v>
      </c>
      <c r="C649" s="121" t="s">
        <v>1046</v>
      </c>
      <c r="D649" s="121" t="s">
        <v>724</v>
      </c>
      <c r="E649" s="127">
        <f t="shared" si="895"/>
        <v>0.5</v>
      </c>
      <c r="F649" s="122">
        <f t="shared" si="896"/>
        <v>0.5</v>
      </c>
      <c r="G649" s="122">
        <f t="shared" si="896"/>
        <v>0.7</v>
      </c>
      <c r="H649" s="122">
        <f t="shared" si="897"/>
        <v>0.19999999999999996</v>
      </c>
      <c r="I649" s="123">
        <v>4.7E-2</v>
      </c>
      <c r="J649" s="128">
        <f t="shared" si="898"/>
        <v>46269</v>
      </c>
      <c r="K649" s="128">
        <f t="shared" si="903"/>
        <v>46269</v>
      </c>
      <c r="L649" s="124">
        <v>46142</v>
      </c>
      <c r="M649" s="124">
        <f t="shared" si="904"/>
        <v>46311</v>
      </c>
      <c r="N649" s="128">
        <f t="shared" si="905"/>
        <v>46311</v>
      </c>
      <c r="O649" s="126">
        <v>46269</v>
      </c>
      <c r="P649" s="124">
        <f t="shared" si="906"/>
        <v>46353</v>
      </c>
      <c r="Q649" s="128">
        <f t="shared" si="907"/>
        <v>46353</v>
      </c>
      <c r="R649" s="124"/>
      <c r="S649" s="124">
        <f t="shared" si="909"/>
        <v>46367</v>
      </c>
      <c r="T649" s="128">
        <f t="shared" si="908"/>
        <v>46367</v>
      </c>
      <c r="U649" s="124"/>
      <c r="W649" s="169" t="str">
        <f t="shared" ca="1" si="899"/>
        <v>Completed</v>
      </c>
      <c r="X649" s="169" t="str">
        <f t="shared" ca="1" si="900"/>
        <v>Completed</v>
      </c>
      <c r="Y649" s="169" t="str">
        <f t="shared" ca="1" si="901"/>
        <v/>
      </c>
      <c r="Z649" s="170" t="str">
        <f t="shared" ca="1" si="902"/>
        <v/>
      </c>
    </row>
    <row r="650" spans="1:26" s="70" customFormat="1" ht="11.5" x14ac:dyDescent="0.25">
      <c r="A650" s="121" t="s">
        <v>65</v>
      </c>
      <c r="B650" s="121" t="s">
        <v>14</v>
      </c>
      <c r="C650" s="121" t="s">
        <v>1047</v>
      </c>
      <c r="D650" s="121" t="s">
        <v>725</v>
      </c>
      <c r="E650" s="127">
        <f t="shared" ref="E650" si="910">(COUNTIFS(J650,"&lt;="&amp;$C$1)*50%)+(COUNTIFS(M650,"&lt;="&amp;$C$1)*20%)+(COUNTIFS(P650,"&lt;="&amp;$C$1)*10%)+(COUNTIFS(S650,"&lt;="&amp;$C$1)*20%)</f>
        <v>0.5</v>
      </c>
      <c r="F650" s="122">
        <f t="shared" ref="F650" si="911">(COUNTIFS(K650,"&lt;="&amp;$C$1)*50%)+(COUNTIFS(N650,"&lt;="&amp;$C$1)*20%)+(COUNTIFS(Q650,"&lt;="&amp;$C$1)*10%)+(COUNTIFS(T650,"&lt;="&amp;$C$1)*20%)</f>
        <v>0.5</v>
      </c>
      <c r="G650" s="122">
        <f t="shared" ref="G650" si="912">(COUNTIFS(L650,"&lt;="&amp;$C$1)*50%)+(COUNTIFS(O650,"&lt;="&amp;$C$1)*20%)+(COUNTIFS(R650,"&lt;="&amp;$C$1)*10%)+(COUNTIFS(U650,"&lt;="&amp;$C$1)*20%)</f>
        <v>0.7</v>
      </c>
      <c r="H650" s="122">
        <f t="shared" ref="H650" si="913">G650-E650</f>
        <v>0.19999999999999996</v>
      </c>
      <c r="I650" s="123">
        <v>4.7E-2</v>
      </c>
      <c r="J650" s="128">
        <f t="shared" si="898"/>
        <v>46269</v>
      </c>
      <c r="K650" s="128">
        <f t="shared" si="903"/>
        <v>46269</v>
      </c>
      <c r="L650" s="124">
        <v>46142</v>
      </c>
      <c r="M650" s="124">
        <f t="shared" si="904"/>
        <v>46311</v>
      </c>
      <c r="N650" s="128">
        <f t="shared" si="905"/>
        <v>46311</v>
      </c>
      <c r="O650" s="126">
        <v>46269</v>
      </c>
      <c r="P650" s="124">
        <f t="shared" si="906"/>
        <v>46353</v>
      </c>
      <c r="Q650" s="128">
        <f t="shared" si="907"/>
        <v>46353</v>
      </c>
      <c r="R650" s="124"/>
      <c r="S650" s="124">
        <f t="shared" si="909"/>
        <v>46367</v>
      </c>
      <c r="T650" s="128">
        <f t="shared" si="908"/>
        <v>46367</v>
      </c>
      <c r="U650" s="124"/>
      <c r="W650" s="169" t="str">
        <f t="shared" ca="1" si="899"/>
        <v>Completed</v>
      </c>
      <c r="X650" s="169" t="str">
        <f t="shared" ca="1" si="900"/>
        <v>Completed</v>
      </c>
      <c r="Y650" s="169" t="str">
        <f t="shared" ca="1" si="901"/>
        <v/>
      </c>
      <c r="Z650" s="170" t="str">
        <f t="shared" ca="1" si="902"/>
        <v/>
      </c>
    </row>
    <row r="651" spans="1:26" s="70" customFormat="1" ht="11.5" x14ac:dyDescent="0.25">
      <c r="A651" s="121" t="s">
        <v>65</v>
      </c>
      <c r="B651" s="121" t="s">
        <v>14</v>
      </c>
      <c r="C651" s="121" t="s">
        <v>1048</v>
      </c>
      <c r="D651" s="121" t="s">
        <v>726</v>
      </c>
      <c r="E651" s="127">
        <f t="shared" si="895"/>
        <v>0.5</v>
      </c>
      <c r="F651" s="122">
        <f t="shared" si="896"/>
        <v>0.5</v>
      </c>
      <c r="G651" s="122">
        <f t="shared" si="896"/>
        <v>0.7</v>
      </c>
      <c r="H651" s="122">
        <f t="shared" si="897"/>
        <v>0.19999999999999996</v>
      </c>
      <c r="I651" s="123">
        <v>4.7E-2</v>
      </c>
      <c r="J651" s="128">
        <f t="shared" si="898"/>
        <v>46269</v>
      </c>
      <c r="K651" s="128">
        <f t="shared" si="903"/>
        <v>46269</v>
      </c>
      <c r="L651" s="124">
        <v>46142</v>
      </c>
      <c r="M651" s="124">
        <f t="shared" si="904"/>
        <v>46311</v>
      </c>
      <c r="N651" s="128">
        <f t="shared" si="905"/>
        <v>46311</v>
      </c>
      <c r="O651" s="126">
        <v>46269</v>
      </c>
      <c r="P651" s="124">
        <f t="shared" si="906"/>
        <v>46353</v>
      </c>
      <c r="Q651" s="128">
        <f t="shared" si="907"/>
        <v>46353</v>
      </c>
      <c r="R651" s="124"/>
      <c r="S651" s="124">
        <f t="shared" si="909"/>
        <v>46367</v>
      </c>
      <c r="T651" s="128">
        <f t="shared" si="908"/>
        <v>46367</v>
      </c>
      <c r="U651" s="124"/>
      <c r="W651" s="169" t="str">
        <f t="shared" ca="1" si="899"/>
        <v>Completed</v>
      </c>
      <c r="X651" s="169" t="str">
        <f t="shared" ca="1" si="900"/>
        <v>Completed</v>
      </c>
      <c r="Y651" s="169" t="str">
        <f t="shared" ca="1" si="901"/>
        <v/>
      </c>
      <c r="Z651" s="170" t="str">
        <f t="shared" ca="1" si="902"/>
        <v/>
      </c>
    </row>
    <row r="652" spans="1:26" s="70" customFormat="1" ht="11.5" x14ac:dyDescent="0.25">
      <c r="A652" s="121" t="s">
        <v>65</v>
      </c>
      <c r="B652" s="121" t="s">
        <v>14</v>
      </c>
      <c r="C652" s="121" t="s">
        <v>1049</v>
      </c>
      <c r="D652" s="121" t="s">
        <v>727</v>
      </c>
      <c r="E652" s="127">
        <f t="shared" si="895"/>
        <v>0.5</v>
      </c>
      <c r="F652" s="122">
        <f t="shared" si="896"/>
        <v>0.5</v>
      </c>
      <c r="G652" s="122">
        <f t="shared" si="896"/>
        <v>0.7</v>
      </c>
      <c r="H652" s="122">
        <f t="shared" si="897"/>
        <v>0.19999999999999996</v>
      </c>
      <c r="I652" s="123">
        <v>4.7E-2</v>
      </c>
      <c r="J652" s="128">
        <f t="shared" si="898"/>
        <v>46269</v>
      </c>
      <c r="K652" s="128">
        <f t="shared" si="903"/>
        <v>46269</v>
      </c>
      <c r="L652" s="124">
        <v>46142</v>
      </c>
      <c r="M652" s="124">
        <f t="shared" si="904"/>
        <v>46311</v>
      </c>
      <c r="N652" s="128">
        <f t="shared" si="905"/>
        <v>46311</v>
      </c>
      <c r="O652" s="126">
        <v>46269</v>
      </c>
      <c r="P652" s="124">
        <f t="shared" si="906"/>
        <v>46353</v>
      </c>
      <c r="Q652" s="128">
        <f t="shared" si="907"/>
        <v>46353</v>
      </c>
      <c r="R652" s="124"/>
      <c r="S652" s="124">
        <f t="shared" si="909"/>
        <v>46367</v>
      </c>
      <c r="T652" s="128">
        <f t="shared" si="908"/>
        <v>46367</v>
      </c>
      <c r="U652" s="124"/>
      <c r="W652" s="169" t="str">
        <f t="shared" ca="1" si="899"/>
        <v>Completed</v>
      </c>
      <c r="X652" s="169" t="str">
        <f t="shared" ca="1" si="900"/>
        <v>Completed</v>
      </c>
      <c r="Y652" s="169" t="str">
        <f t="shared" ca="1" si="901"/>
        <v/>
      </c>
      <c r="Z652" s="170" t="str">
        <f t="shared" ca="1" si="902"/>
        <v/>
      </c>
    </row>
    <row r="653" spans="1:26" s="70" customFormat="1" ht="11.5" x14ac:dyDescent="0.25">
      <c r="A653" s="121" t="s">
        <v>65</v>
      </c>
      <c r="B653" s="121" t="s">
        <v>14</v>
      </c>
      <c r="C653" s="121" t="s">
        <v>1050</v>
      </c>
      <c r="D653" s="121" t="s">
        <v>728</v>
      </c>
      <c r="E653" s="127">
        <f t="shared" si="895"/>
        <v>0.5</v>
      </c>
      <c r="F653" s="122">
        <f t="shared" si="896"/>
        <v>0.5</v>
      </c>
      <c r="G653" s="122">
        <f t="shared" si="896"/>
        <v>0.7</v>
      </c>
      <c r="H653" s="122">
        <f t="shared" si="897"/>
        <v>0.19999999999999996</v>
      </c>
      <c r="I653" s="123">
        <v>4.7E-2</v>
      </c>
      <c r="J653" s="128">
        <f t="shared" si="898"/>
        <v>46269</v>
      </c>
      <c r="K653" s="128">
        <f t="shared" si="903"/>
        <v>46269</v>
      </c>
      <c r="L653" s="124">
        <v>46142</v>
      </c>
      <c r="M653" s="124">
        <f t="shared" si="904"/>
        <v>46311</v>
      </c>
      <c r="N653" s="128">
        <f t="shared" si="905"/>
        <v>46311</v>
      </c>
      <c r="O653" s="126">
        <v>46269</v>
      </c>
      <c r="P653" s="124">
        <f t="shared" si="906"/>
        <v>46353</v>
      </c>
      <c r="Q653" s="128">
        <f t="shared" si="907"/>
        <v>46353</v>
      </c>
      <c r="R653" s="124"/>
      <c r="S653" s="124">
        <f t="shared" si="909"/>
        <v>46367</v>
      </c>
      <c r="T653" s="128">
        <f t="shared" si="908"/>
        <v>46367</v>
      </c>
      <c r="U653" s="124"/>
      <c r="W653" s="169" t="str">
        <f t="shared" ca="1" si="899"/>
        <v>Completed</v>
      </c>
      <c r="X653" s="169" t="str">
        <f t="shared" ca="1" si="900"/>
        <v>Completed</v>
      </c>
      <c r="Y653" s="169" t="str">
        <f t="shared" ca="1" si="901"/>
        <v/>
      </c>
      <c r="Z653" s="170" t="str">
        <f t="shared" ca="1" si="902"/>
        <v/>
      </c>
    </row>
    <row r="654" spans="1:26" s="70" customFormat="1" ht="11.5" x14ac:dyDescent="0.25">
      <c r="A654" s="121" t="s">
        <v>65</v>
      </c>
      <c r="B654" s="121" t="s">
        <v>14</v>
      </c>
      <c r="C654" s="121" t="s">
        <v>1051</v>
      </c>
      <c r="D654" s="121" t="s">
        <v>729</v>
      </c>
      <c r="E654" s="127">
        <f t="shared" si="895"/>
        <v>0.5</v>
      </c>
      <c r="F654" s="122">
        <f t="shared" si="896"/>
        <v>0.5</v>
      </c>
      <c r="G654" s="122">
        <f t="shared" si="896"/>
        <v>0.7</v>
      </c>
      <c r="H654" s="122">
        <f t="shared" si="897"/>
        <v>0.19999999999999996</v>
      </c>
      <c r="I654" s="123">
        <v>4.7E-2</v>
      </c>
      <c r="J654" s="128">
        <f t="shared" si="898"/>
        <v>46269</v>
      </c>
      <c r="K654" s="128">
        <f t="shared" si="903"/>
        <v>46269</v>
      </c>
      <c r="L654" s="124">
        <v>46142</v>
      </c>
      <c r="M654" s="124">
        <f t="shared" si="904"/>
        <v>46311</v>
      </c>
      <c r="N654" s="128">
        <f t="shared" si="905"/>
        <v>46311</v>
      </c>
      <c r="O654" s="126">
        <v>46269</v>
      </c>
      <c r="P654" s="124">
        <f t="shared" si="906"/>
        <v>46353</v>
      </c>
      <c r="Q654" s="128">
        <f t="shared" si="907"/>
        <v>46353</v>
      </c>
      <c r="R654" s="124"/>
      <c r="S654" s="124">
        <f t="shared" si="909"/>
        <v>46367</v>
      </c>
      <c r="T654" s="128">
        <f t="shared" si="908"/>
        <v>46367</v>
      </c>
      <c r="U654" s="124"/>
      <c r="W654" s="169" t="str">
        <f t="shared" ca="1" si="899"/>
        <v>Completed</v>
      </c>
      <c r="X654" s="169" t="str">
        <f t="shared" ca="1" si="900"/>
        <v>Completed</v>
      </c>
      <c r="Y654" s="169" t="str">
        <f t="shared" ca="1" si="901"/>
        <v/>
      </c>
      <c r="Z654" s="170" t="str">
        <f t="shared" ca="1" si="902"/>
        <v/>
      </c>
    </row>
    <row r="655" spans="1:26" s="70" customFormat="1" ht="11.5" x14ac:dyDescent="0.25">
      <c r="A655" s="121" t="s">
        <v>65</v>
      </c>
      <c r="B655" s="121" t="s">
        <v>14</v>
      </c>
      <c r="C655" s="121" t="s">
        <v>1052</v>
      </c>
      <c r="D655" s="121" t="s">
        <v>730</v>
      </c>
      <c r="E655" s="127">
        <f t="shared" si="895"/>
        <v>0.5</v>
      </c>
      <c r="F655" s="122">
        <f t="shared" si="896"/>
        <v>0.5</v>
      </c>
      <c r="G655" s="122">
        <f t="shared" si="896"/>
        <v>0.7</v>
      </c>
      <c r="H655" s="122">
        <f t="shared" si="897"/>
        <v>0.19999999999999996</v>
      </c>
      <c r="I655" s="123">
        <v>4.7E-2</v>
      </c>
      <c r="J655" s="128">
        <f t="shared" ref="J655:J675" si="914">J534+28</f>
        <v>46269</v>
      </c>
      <c r="K655" s="128">
        <f t="shared" si="903"/>
        <v>46269</v>
      </c>
      <c r="L655" s="124">
        <v>46142</v>
      </c>
      <c r="M655" s="124">
        <f t="shared" si="904"/>
        <v>46311</v>
      </c>
      <c r="N655" s="128">
        <f t="shared" si="905"/>
        <v>46311</v>
      </c>
      <c r="O655" s="126">
        <v>46269</v>
      </c>
      <c r="P655" s="124">
        <f t="shared" si="906"/>
        <v>46353</v>
      </c>
      <c r="Q655" s="128">
        <f t="shared" si="907"/>
        <v>46353</v>
      </c>
      <c r="R655" s="124"/>
      <c r="S655" s="124">
        <f t="shared" si="909"/>
        <v>46367</v>
      </c>
      <c r="T655" s="128">
        <f t="shared" si="908"/>
        <v>46367</v>
      </c>
      <c r="U655" s="124"/>
      <c r="W655" s="169" t="str">
        <f t="shared" ca="1" si="899"/>
        <v>Completed</v>
      </c>
      <c r="X655" s="169" t="str">
        <f t="shared" ca="1" si="900"/>
        <v>Completed</v>
      </c>
      <c r="Y655" s="169" t="str">
        <f t="shared" ca="1" si="901"/>
        <v/>
      </c>
      <c r="Z655" s="170" t="str">
        <f t="shared" ca="1" si="902"/>
        <v/>
      </c>
    </row>
    <row r="656" spans="1:26" s="70" customFormat="1" ht="11.5" x14ac:dyDescent="0.25">
      <c r="A656" s="121" t="s">
        <v>65</v>
      </c>
      <c r="B656" s="121" t="s">
        <v>14</v>
      </c>
      <c r="C656" s="121" t="s">
        <v>1053</v>
      </c>
      <c r="D656" s="121" t="s">
        <v>731</v>
      </c>
      <c r="E656" s="127">
        <f t="shared" si="895"/>
        <v>0.5</v>
      </c>
      <c r="F656" s="122">
        <f t="shared" si="896"/>
        <v>0.5</v>
      </c>
      <c r="G656" s="122">
        <f t="shared" si="896"/>
        <v>0.7</v>
      </c>
      <c r="H656" s="122">
        <f t="shared" si="897"/>
        <v>0.19999999999999996</v>
      </c>
      <c r="I656" s="123">
        <v>4.7E-2</v>
      </c>
      <c r="J656" s="128">
        <f t="shared" si="914"/>
        <v>46269</v>
      </c>
      <c r="K656" s="128">
        <f t="shared" si="903"/>
        <v>46269</v>
      </c>
      <c r="L656" s="124">
        <v>46142</v>
      </c>
      <c r="M656" s="124">
        <f t="shared" si="904"/>
        <v>46311</v>
      </c>
      <c r="N656" s="128">
        <f t="shared" si="905"/>
        <v>46311</v>
      </c>
      <c r="O656" s="126">
        <v>46269</v>
      </c>
      <c r="P656" s="124">
        <f t="shared" si="906"/>
        <v>46353</v>
      </c>
      <c r="Q656" s="128">
        <f t="shared" si="907"/>
        <v>46353</v>
      </c>
      <c r="R656" s="124"/>
      <c r="S656" s="124">
        <f t="shared" si="909"/>
        <v>46367</v>
      </c>
      <c r="T656" s="128">
        <f t="shared" si="908"/>
        <v>46367</v>
      </c>
      <c r="U656" s="124"/>
      <c r="W656" s="169" t="str">
        <f t="shared" ca="1" si="899"/>
        <v>Completed</v>
      </c>
      <c r="X656" s="169" t="str">
        <f t="shared" ca="1" si="900"/>
        <v>Completed</v>
      </c>
      <c r="Y656" s="169" t="str">
        <f t="shared" ca="1" si="901"/>
        <v/>
      </c>
      <c r="Z656" s="170" t="str">
        <f t="shared" ca="1" si="902"/>
        <v/>
      </c>
    </row>
    <row r="657" spans="1:26" s="70" customFormat="1" ht="11.5" x14ac:dyDescent="0.25">
      <c r="A657" s="120" t="s">
        <v>65</v>
      </c>
      <c r="B657" s="120" t="s">
        <v>14</v>
      </c>
      <c r="C657" s="120" t="s">
        <v>1054</v>
      </c>
      <c r="D657" s="120" t="s">
        <v>732</v>
      </c>
      <c r="E657" s="122">
        <f t="shared" si="895"/>
        <v>0.5</v>
      </c>
      <c r="F657" s="122">
        <f t="shared" si="896"/>
        <v>0.5</v>
      </c>
      <c r="G657" s="122">
        <f t="shared" si="896"/>
        <v>0.7</v>
      </c>
      <c r="H657" s="122">
        <f t="shared" si="897"/>
        <v>0.19999999999999996</v>
      </c>
      <c r="I657" s="123">
        <v>4.7E-2</v>
      </c>
      <c r="J657" s="128">
        <f t="shared" si="914"/>
        <v>46269</v>
      </c>
      <c r="K657" s="128">
        <f t="shared" si="903"/>
        <v>46269</v>
      </c>
      <c r="L657" s="124">
        <v>46142</v>
      </c>
      <c r="M657" s="124">
        <f t="shared" si="904"/>
        <v>46311</v>
      </c>
      <c r="N657" s="128">
        <f t="shared" si="905"/>
        <v>46311</v>
      </c>
      <c r="O657" s="126">
        <v>46269</v>
      </c>
      <c r="P657" s="124">
        <f t="shared" si="906"/>
        <v>46353</v>
      </c>
      <c r="Q657" s="128">
        <f t="shared" si="907"/>
        <v>46353</v>
      </c>
      <c r="R657" s="124"/>
      <c r="S657" s="124">
        <f t="shared" si="909"/>
        <v>46367</v>
      </c>
      <c r="T657" s="128">
        <f t="shared" si="908"/>
        <v>46367</v>
      </c>
      <c r="U657" s="124"/>
      <c r="W657" s="169" t="str">
        <f t="shared" ca="1" si="899"/>
        <v>Completed</v>
      </c>
      <c r="X657" s="169" t="str">
        <f t="shared" ca="1" si="900"/>
        <v>Completed</v>
      </c>
      <c r="Y657" s="169" t="str">
        <f t="shared" ca="1" si="901"/>
        <v/>
      </c>
      <c r="Z657" s="170" t="str">
        <f t="shared" ca="1" si="902"/>
        <v/>
      </c>
    </row>
    <row r="658" spans="1:26" s="70" customFormat="1" ht="11.5" x14ac:dyDescent="0.25">
      <c r="A658" s="120" t="s">
        <v>65</v>
      </c>
      <c r="B658" s="120" t="s">
        <v>14</v>
      </c>
      <c r="C658" s="120" t="s">
        <v>1055</v>
      </c>
      <c r="D658" s="120" t="s">
        <v>733</v>
      </c>
      <c r="E658" s="122">
        <f t="shared" si="895"/>
        <v>0.5</v>
      </c>
      <c r="F658" s="122">
        <f t="shared" si="896"/>
        <v>0.5</v>
      </c>
      <c r="G658" s="122">
        <f t="shared" si="896"/>
        <v>0.7</v>
      </c>
      <c r="H658" s="122">
        <f t="shared" si="897"/>
        <v>0.19999999999999996</v>
      </c>
      <c r="I658" s="123">
        <v>4.7E-2</v>
      </c>
      <c r="J658" s="128">
        <f t="shared" si="914"/>
        <v>46269</v>
      </c>
      <c r="K658" s="128">
        <f t="shared" si="903"/>
        <v>46269</v>
      </c>
      <c r="L658" s="124">
        <v>46142</v>
      </c>
      <c r="M658" s="124">
        <f t="shared" si="904"/>
        <v>46311</v>
      </c>
      <c r="N658" s="128">
        <f t="shared" si="905"/>
        <v>46311</v>
      </c>
      <c r="O658" s="126">
        <v>46269</v>
      </c>
      <c r="P658" s="124">
        <f t="shared" si="906"/>
        <v>46353</v>
      </c>
      <c r="Q658" s="128">
        <f t="shared" si="907"/>
        <v>46353</v>
      </c>
      <c r="R658" s="124"/>
      <c r="S658" s="124">
        <f t="shared" si="909"/>
        <v>46367</v>
      </c>
      <c r="T658" s="128">
        <f t="shared" si="908"/>
        <v>46367</v>
      </c>
      <c r="U658" s="124"/>
      <c r="W658" s="169" t="str">
        <f t="shared" ca="1" si="899"/>
        <v>Completed</v>
      </c>
      <c r="X658" s="169" t="str">
        <f t="shared" ca="1" si="900"/>
        <v>Completed</v>
      </c>
      <c r="Y658" s="169" t="str">
        <f t="shared" ca="1" si="901"/>
        <v/>
      </c>
      <c r="Z658" s="170" t="str">
        <f t="shared" ca="1" si="902"/>
        <v/>
      </c>
    </row>
    <row r="659" spans="1:26" s="70" customFormat="1" ht="11.5" x14ac:dyDescent="0.25">
      <c r="A659" s="120" t="s">
        <v>65</v>
      </c>
      <c r="B659" s="120" t="s">
        <v>14</v>
      </c>
      <c r="C659" s="120" t="s">
        <v>1056</v>
      </c>
      <c r="D659" s="120" t="s">
        <v>734</v>
      </c>
      <c r="E659" s="122">
        <f t="shared" ref="E659:E666" si="915">(COUNTIFS(J659,"&lt;="&amp;$C$1)*50%)+(COUNTIFS(M659,"&lt;="&amp;$C$1)*20%)+(COUNTIFS(P659,"&lt;="&amp;$C$1)*10%)+(COUNTIFS(S659,"&lt;="&amp;$C$1)*20%)</f>
        <v>0.5</v>
      </c>
      <c r="F659" s="122">
        <f t="shared" ref="F659:F666" si="916">(COUNTIFS(K659,"&lt;="&amp;$C$1)*50%)+(COUNTIFS(N659,"&lt;="&amp;$C$1)*20%)+(COUNTIFS(Q659,"&lt;="&amp;$C$1)*10%)+(COUNTIFS(T659,"&lt;="&amp;$C$1)*20%)</f>
        <v>0.5</v>
      </c>
      <c r="G659" s="122">
        <f t="shared" ref="G659:G668" si="917">(COUNTIFS(L659,"&lt;="&amp;$C$1)*50%)+(COUNTIFS(O659,"&lt;="&amp;$C$1)*20%)+(COUNTIFS(R659,"&lt;="&amp;$C$1)*10%)+(COUNTIFS(U659,"&lt;="&amp;$C$1)*20%)</f>
        <v>0.7</v>
      </c>
      <c r="H659" s="122">
        <f t="shared" ref="H659:H666" si="918">G659-E659</f>
        <v>0.19999999999999996</v>
      </c>
      <c r="I659" s="123">
        <v>4.7E-2</v>
      </c>
      <c r="J659" s="128">
        <f t="shared" si="914"/>
        <v>46269</v>
      </c>
      <c r="K659" s="128">
        <f t="shared" si="903"/>
        <v>46269</v>
      </c>
      <c r="L659" s="124">
        <v>46142</v>
      </c>
      <c r="M659" s="124">
        <f t="shared" si="904"/>
        <v>46311</v>
      </c>
      <c r="N659" s="128">
        <f t="shared" si="905"/>
        <v>46311</v>
      </c>
      <c r="O659" s="126">
        <v>46269</v>
      </c>
      <c r="P659" s="124">
        <f t="shared" si="906"/>
        <v>46353</v>
      </c>
      <c r="Q659" s="128">
        <f t="shared" si="907"/>
        <v>46353</v>
      </c>
      <c r="R659" s="124"/>
      <c r="S659" s="124">
        <f t="shared" si="909"/>
        <v>46367</v>
      </c>
      <c r="T659" s="128">
        <f t="shared" si="908"/>
        <v>46367</v>
      </c>
      <c r="U659" s="124"/>
      <c r="W659" s="169" t="str">
        <f t="shared" ca="1" si="899"/>
        <v>Completed</v>
      </c>
      <c r="X659" s="169" t="str">
        <f t="shared" ca="1" si="900"/>
        <v>Completed</v>
      </c>
      <c r="Y659" s="169" t="str">
        <f t="shared" ca="1" si="901"/>
        <v/>
      </c>
      <c r="Z659" s="170" t="str">
        <f t="shared" ca="1" si="902"/>
        <v/>
      </c>
    </row>
    <row r="660" spans="1:26" s="70" customFormat="1" ht="11.5" x14ac:dyDescent="0.25">
      <c r="A660" s="120" t="s">
        <v>65</v>
      </c>
      <c r="B660" s="120" t="s">
        <v>14</v>
      </c>
      <c r="C660" s="120" t="s">
        <v>1057</v>
      </c>
      <c r="D660" s="120" t="s">
        <v>735</v>
      </c>
      <c r="E660" s="122">
        <f t="shared" si="915"/>
        <v>0.5</v>
      </c>
      <c r="F660" s="122">
        <f t="shared" si="916"/>
        <v>0.5</v>
      </c>
      <c r="G660" s="122">
        <f t="shared" si="917"/>
        <v>0.7</v>
      </c>
      <c r="H660" s="122">
        <f t="shared" si="918"/>
        <v>0.19999999999999996</v>
      </c>
      <c r="I660" s="123">
        <v>4.7E-2</v>
      </c>
      <c r="J660" s="128">
        <f t="shared" si="914"/>
        <v>46269</v>
      </c>
      <c r="K660" s="128">
        <f t="shared" si="903"/>
        <v>46269</v>
      </c>
      <c r="L660" s="124">
        <v>46142</v>
      </c>
      <c r="M660" s="124">
        <f t="shared" si="904"/>
        <v>46311</v>
      </c>
      <c r="N660" s="128">
        <f t="shared" si="905"/>
        <v>46311</v>
      </c>
      <c r="O660" s="126">
        <v>46269</v>
      </c>
      <c r="P660" s="124">
        <f t="shared" si="906"/>
        <v>46353</v>
      </c>
      <c r="Q660" s="128">
        <f t="shared" si="907"/>
        <v>46353</v>
      </c>
      <c r="R660" s="124"/>
      <c r="S660" s="124">
        <f t="shared" si="909"/>
        <v>46367</v>
      </c>
      <c r="T660" s="128">
        <f t="shared" si="908"/>
        <v>46367</v>
      </c>
      <c r="U660" s="124"/>
      <c r="W660" s="169" t="str">
        <f t="shared" ca="1" si="899"/>
        <v>Completed</v>
      </c>
      <c r="X660" s="169" t="str">
        <f t="shared" ca="1" si="900"/>
        <v>Completed</v>
      </c>
      <c r="Y660" s="169" t="str">
        <f t="shared" ca="1" si="901"/>
        <v/>
      </c>
      <c r="Z660" s="170" t="str">
        <f t="shared" ca="1" si="902"/>
        <v/>
      </c>
    </row>
    <row r="661" spans="1:26" s="70" customFormat="1" ht="11.5" x14ac:dyDescent="0.25">
      <c r="A661" s="120" t="s">
        <v>65</v>
      </c>
      <c r="B661" s="120" t="s">
        <v>14</v>
      </c>
      <c r="C661" s="120" t="s">
        <v>1058</v>
      </c>
      <c r="D661" s="120" t="s">
        <v>736</v>
      </c>
      <c r="E661" s="122">
        <f t="shared" si="915"/>
        <v>0.5</v>
      </c>
      <c r="F661" s="122">
        <f t="shared" si="916"/>
        <v>0.5</v>
      </c>
      <c r="G661" s="122">
        <f t="shared" si="917"/>
        <v>0.7</v>
      </c>
      <c r="H661" s="122">
        <f t="shared" si="918"/>
        <v>0.19999999999999996</v>
      </c>
      <c r="I661" s="123">
        <v>4.7E-2</v>
      </c>
      <c r="J661" s="128">
        <f t="shared" si="914"/>
        <v>46269</v>
      </c>
      <c r="K661" s="128">
        <f t="shared" si="903"/>
        <v>46269</v>
      </c>
      <c r="L661" s="124">
        <v>46142</v>
      </c>
      <c r="M661" s="124">
        <f t="shared" si="904"/>
        <v>46311</v>
      </c>
      <c r="N661" s="128">
        <f t="shared" si="905"/>
        <v>46311</v>
      </c>
      <c r="O661" s="126">
        <v>46269</v>
      </c>
      <c r="P661" s="124">
        <f t="shared" si="906"/>
        <v>46353</v>
      </c>
      <c r="Q661" s="128">
        <f t="shared" si="907"/>
        <v>46353</v>
      </c>
      <c r="R661" s="124"/>
      <c r="S661" s="124">
        <f t="shared" si="909"/>
        <v>46367</v>
      </c>
      <c r="T661" s="128">
        <f t="shared" si="908"/>
        <v>46367</v>
      </c>
      <c r="U661" s="124"/>
      <c r="W661" s="169" t="str">
        <f t="shared" ca="1" si="899"/>
        <v>Completed</v>
      </c>
      <c r="X661" s="169" t="str">
        <f t="shared" ca="1" si="900"/>
        <v>Completed</v>
      </c>
      <c r="Y661" s="169" t="str">
        <f t="shared" ca="1" si="901"/>
        <v/>
      </c>
      <c r="Z661" s="170" t="str">
        <f t="shared" ca="1" si="902"/>
        <v/>
      </c>
    </row>
    <row r="662" spans="1:26" s="70" customFormat="1" ht="11.5" x14ac:dyDescent="0.25">
      <c r="A662" s="120" t="s">
        <v>65</v>
      </c>
      <c r="B662" s="120" t="s">
        <v>14</v>
      </c>
      <c r="C662" s="120" t="s">
        <v>1059</v>
      </c>
      <c r="D662" s="120" t="s">
        <v>737</v>
      </c>
      <c r="E662" s="122">
        <f t="shared" si="915"/>
        <v>0.5</v>
      </c>
      <c r="F662" s="122">
        <f t="shared" si="916"/>
        <v>0.5</v>
      </c>
      <c r="G662" s="122">
        <f t="shared" si="917"/>
        <v>0.7</v>
      </c>
      <c r="H662" s="122">
        <f t="shared" si="918"/>
        <v>0.19999999999999996</v>
      </c>
      <c r="I662" s="123">
        <v>4.7E-2</v>
      </c>
      <c r="J662" s="128">
        <f t="shared" si="914"/>
        <v>46269</v>
      </c>
      <c r="K662" s="128">
        <f t="shared" si="903"/>
        <v>46269</v>
      </c>
      <c r="L662" s="124">
        <v>46142</v>
      </c>
      <c r="M662" s="124">
        <f t="shared" si="904"/>
        <v>46311</v>
      </c>
      <c r="N662" s="128">
        <f t="shared" si="905"/>
        <v>46311</v>
      </c>
      <c r="O662" s="126">
        <v>46269</v>
      </c>
      <c r="P662" s="124">
        <f t="shared" si="906"/>
        <v>46353</v>
      </c>
      <c r="Q662" s="128">
        <f t="shared" si="907"/>
        <v>46353</v>
      </c>
      <c r="R662" s="124"/>
      <c r="S662" s="124">
        <f t="shared" si="909"/>
        <v>46367</v>
      </c>
      <c r="T662" s="128">
        <f t="shared" si="908"/>
        <v>46367</v>
      </c>
      <c r="U662" s="124"/>
      <c r="W662" s="169" t="str">
        <f t="shared" ca="1" si="899"/>
        <v>Completed</v>
      </c>
      <c r="X662" s="169" t="str">
        <f t="shared" ca="1" si="900"/>
        <v>Completed</v>
      </c>
      <c r="Y662" s="169" t="str">
        <f t="shared" ca="1" si="901"/>
        <v/>
      </c>
      <c r="Z662" s="170" t="str">
        <f t="shared" ca="1" si="902"/>
        <v/>
      </c>
    </row>
    <row r="663" spans="1:26" s="70" customFormat="1" ht="11.5" x14ac:dyDescent="0.25">
      <c r="A663" s="120" t="s">
        <v>65</v>
      </c>
      <c r="B663" s="120" t="s">
        <v>14</v>
      </c>
      <c r="C663" s="120" t="s">
        <v>1060</v>
      </c>
      <c r="D663" s="120" t="s">
        <v>738</v>
      </c>
      <c r="E663" s="122">
        <f t="shared" si="915"/>
        <v>0.5</v>
      </c>
      <c r="F663" s="122">
        <f t="shared" si="916"/>
        <v>0.5</v>
      </c>
      <c r="G663" s="122">
        <f t="shared" si="917"/>
        <v>0.7</v>
      </c>
      <c r="H663" s="122">
        <f t="shared" si="918"/>
        <v>0.19999999999999996</v>
      </c>
      <c r="I663" s="123">
        <v>4.7E-2</v>
      </c>
      <c r="J663" s="128">
        <f t="shared" si="914"/>
        <v>46269</v>
      </c>
      <c r="K663" s="128">
        <f t="shared" si="903"/>
        <v>46269</v>
      </c>
      <c r="L663" s="124">
        <v>46142</v>
      </c>
      <c r="M663" s="124">
        <f t="shared" si="904"/>
        <v>46311</v>
      </c>
      <c r="N663" s="128">
        <f t="shared" si="905"/>
        <v>46311</v>
      </c>
      <c r="O663" s="126">
        <v>46269</v>
      </c>
      <c r="P663" s="124">
        <f t="shared" si="906"/>
        <v>46353</v>
      </c>
      <c r="Q663" s="128">
        <f t="shared" si="907"/>
        <v>46353</v>
      </c>
      <c r="R663" s="124"/>
      <c r="S663" s="124">
        <f t="shared" si="909"/>
        <v>46367</v>
      </c>
      <c r="T663" s="128">
        <f t="shared" si="908"/>
        <v>46367</v>
      </c>
      <c r="U663" s="124"/>
      <c r="W663" s="169" t="str">
        <f t="shared" ca="1" si="899"/>
        <v>Completed</v>
      </c>
      <c r="X663" s="169" t="str">
        <f t="shared" ca="1" si="900"/>
        <v>Completed</v>
      </c>
      <c r="Y663" s="169" t="str">
        <f t="shared" ca="1" si="901"/>
        <v/>
      </c>
      <c r="Z663" s="170" t="str">
        <f t="shared" ca="1" si="902"/>
        <v/>
      </c>
    </row>
    <row r="664" spans="1:26" s="70" customFormat="1" ht="11.5" x14ac:dyDescent="0.25">
      <c r="A664" s="120" t="s">
        <v>65</v>
      </c>
      <c r="B664" s="120" t="s">
        <v>14</v>
      </c>
      <c r="C664" s="120" t="s">
        <v>1061</v>
      </c>
      <c r="D664" s="120" t="s">
        <v>739</v>
      </c>
      <c r="E664" s="122">
        <f t="shared" si="915"/>
        <v>0.5</v>
      </c>
      <c r="F664" s="122">
        <f t="shared" si="916"/>
        <v>0.5</v>
      </c>
      <c r="G664" s="122">
        <f t="shared" si="917"/>
        <v>0.7</v>
      </c>
      <c r="H664" s="122">
        <f t="shared" si="918"/>
        <v>0.19999999999999996</v>
      </c>
      <c r="I664" s="123">
        <v>4.7E-2</v>
      </c>
      <c r="J664" s="128">
        <f t="shared" si="914"/>
        <v>46269</v>
      </c>
      <c r="K664" s="128">
        <f t="shared" si="903"/>
        <v>46269</v>
      </c>
      <c r="L664" s="124">
        <v>46142</v>
      </c>
      <c r="M664" s="124">
        <f t="shared" si="904"/>
        <v>46311</v>
      </c>
      <c r="N664" s="128">
        <f t="shared" si="905"/>
        <v>46311</v>
      </c>
      <c r="O664" s="126">
        <v>46269</v>
      </c>
      <c r="P664" s="124">
        <f t="shared" si="906"/>
        <v>46353</v>
      </c>
      <c r="Q664" s="128">
        <f t="shared" si="907"/>
        <v>46353</v>
      </c>
      <c r="R664" s="124"/>
      <c r="S664" s="124">
        <f t="shared" si="909"/>
        <v>46367</v>
      </c>
      <c r="T664" s="128">
        <f t="shared" si="908"/>
        <v>46367</v>
      </c>
      <c r="U664" s="124"/>
      <c r="W664" s="169" t="str">
        <f t="shared" ca="1" si="899"/>
        <v>Completed</v>
      </c>
      <c r="X664" s="169" t="str">
        <f t="shared" ca="1" si="900"/>
        <v>Completed</v>
      </c>
      <c r="Y664" s="169" t="str">
        <f t="shared" ca="1" si="901"/>
        <v/>
      </c>
      <c r="Z664" s="170" t="str">
        <f t="shared" ca="1" si="902"/>
        <v/>
      </c>
    </row>
    <row r="665" spans="1:26" s="70" customFormat="1" ht="11.5" x14ac:dyDescent="0.25">
      <c r="A665" s="120" t="s">
        <v>65</v>
      </c>
      <c r="B665" s="120" t="s">
        <v>14</v>
      </c>
      <c r="C665" s="120" t="s">
        <v>1062</v>
      </c>
      <c r="D665" s="150" t="s">
        <v>1104</v>
      </c>
      <c r="E665" s="122">
        <f t="shared" si="915"/>
        <v>0.5</v>
      </c>
      <c r="F665" s="122">
        <f t="shared" si="916"/>
        <v>0.5</v>
      </c>
      <c r="G665" s="122">
        <f t="shared" si="917"/>
        <v>0.7</v>
      </c>
      <c r="H665" s="122">
        <f t="shared" si="918"/>
        <v>0.19999999999999996</v>
      </c>
      <c r="I665" s="123">
        <v>4.7E-2</v>
      </c>
      <c r="J665" s="128">
        <f t="shared" si="914"/>
        <v>46269</v>
      </c>
      <c r="K665" s="128">
        <f t="shared" si="903"/>
        <v>46269</v>
      </c>
      <c r="L665" s="124">
        <v>46142</v>
      </c>
      <c r="M665" s="124">
        <f t="shared" si="904"/>
        <v>46311</v>
      </c>
      <c r="N665" s="128">
        <f t="shared" si="905"/>
        <v>46311</v>
      </c>
      <c r="O665" s="126">
        <v>46269</v>
      </c>
      <c r="P665" s="124">
        <f t="shared" si="906"/>
        <v>46353</v>
      </c>
      <c r="Q665" s="128">
        <f t="shared" si="907"/>
        <v>46353</v>
      </c>
      <c r="R665" s="124"/>
      <c r="S665" s="124">
        <f t="shared" si="909"/>
        <v>46367</v>
      </c>
      <c r="T665" s="128">
        <f t="shared" si="908"/>
        <v>46367</v>
      </c>
      <c r="U665" s="124"/>
      <c r="W665" s="169" t="str">
        <f t="shared" ca="1" si="899"/>
        <v>Completed</v>
      </c>
      <c r="X665" s="169" t="str">
        <f t="shared" ca="1" si="900"/>
        <v>Completed</v>
      </c>
      <c r="Y665" s="169" t="str">
        <f t="shared" ca="1" si="901"/>
        <v/>
      </c>
      <c r="Z665" s="170" t="str">
        <f t="shared" ca="1" si="902"/>
        <v/>
      </c>
    </row>
    <row r="666" spans="1:26" s="70" customFormat="1" ht="11.5" x14ac:dyDescent="0.25">
      <c r="A666" s="120" t="s">
        <v>65</v>
      </c>
      <c r="B666" s="120" t="s">
        <v>14</v>
      </c>
      <c r="C666" s="120" t="s">
        <v>1063</v>
      </c>
      <c r="D666" s="120" t="s">
        <v>740</v>
      </c>
      <c r="E666" s="122">
        <f t="shared" si="915"/>
        <v>0.5</v>
      </c>
      <c r="F666" s="122">
        <f t="shared" si="916"/>
        <v>0.5</v>
      </c>
      <c r="G666" s="122">
        <f t="shared" si="917"/>
        <v>0.7</v>
      </c>
      <c r="H666" s="122">
        <f t="shared" si="918"/>
        <v>0.19999999999999996</v>
      </c>
      <c r="I666" s="123">
        <v>4.7E-2</v>
      </c>
      <c r="J666" s="128">
        <f t="shared" si="914"/>
        <v>46269</v>
      </c>
      <c r="K666" s="128">
        <f t="shared" si="903"/>
        <v>46269</v>
      </c>
      <c r="L666" s="124">
        <v>46142</v>
      </c>
      <c r="M666" s="124">
        <f t="shared" si="904"/>
        <v>46311</v>
      </c>
      <c r="N666" s="128">
        <f t="shared" si="905"/>
        <v>46311</v>
      </c>
      <c r="O666" s="126">
        <v>46269</v>
      </c>
      <c r="P666" s="124">
        <f t="shared" si="906"/>
        <v>46353</v>
      </c>
      <c r="Q666" s="128">
        <f t="shared" si="907"/>
        <v>46353</v>
      </c>
      <c r="R666" s="124"/>
      <c r="S666" s="124">
        <f t="shared" si="909"/>
        <v>46367</v>
      </c>
      <c r="T666" s="128">
        <f t="shared" si="908"/>
        <v>46367</v>
      </c>
      <c r="U666" s="124"/>
      <c r="W666" s="169" t="str">
        <f t="shared" ca="1" si="899"/>
        <v>Completed</v>
      </c>
      <c r="X666" s="169" t="str">
        <f t="shared" ca="1" si="900"/>
        <v>Completed</v>
      </c>
      <c r="Y666" s="169" t="str">
        <f t="shared" ca="1" si="901"/>
        <v/>
      </c>
      <c r="Z666" s="170" t="str">
        <f t="shared" ca="1" si="902"/>
        <v/>
      </c>
    </row>
    <row r="667" spans="1:26" s="70" customFormat="1" ht="11.5" x14ac:dyDescent="0.25">
      <c r="A667" s="192" t="s">
        <v>65</v>
      </c>
      <c r="B667" s="192" t="s">
        <v>14</v>
      </c>
      <c r="C667" s="192" t="s">
        <v>741</v>
      </c>
      <c r="D667" s="192" t="s">
        <v>1157</v>
      </c>
      <c r="E667" s="193"/>
      <c r="F667" s="193"/>
      <c r="G667" s="193">
        <f t="shared" si="917"/>
        <v>1</v>
      </c>
      <c r="H667" s="193"/>
      <c r="I667" s="194">
        <v>4.7E-2</v>
      </c>
      <c r="J667" s="203">
        <f t="shared" si="914"/>
        <v>46276</v>
      </c>
      <c r="K667" s="203">
        <f t="shared" si="903"/>
        <v>46276</v>
      </c>
      <c r="L667" s="195">
        <v>46262</v>
      </c>
      <c r="M667" s="195">
        <f t="shared" si="904"/>
        <v>46318</v>
      </c>
      <c r="N667" s="203">
        <f t="shared" si="905"/>
        <v>46318</v>
      </c>
      <c r="O667" s="195">
        <v>46262</v>
      </c>
      <c r="P667" s="195">
        <f t="shared" si="906"/>
        <v>46360</v>
      </c>
      <c r="Q667" s="203">
        <f t="shared" si="907"/>
        <v>46360</v>
      </c>
      <c r="R667" s="195">
        <v>46262</v>
      </c>
      <c r="S667" s="195">
        <f t="shared" si="909"/>
        <v>46374</v>
      </c>
      <c r="T667" s="203">
        <f t="shared" si="908"/>
        <v>46374</v>
      </c>
      <c r="U667" s="195">
        <v>46262</v>
      </c>
      <c r="W667" s="169" t="str">
        <f t="shared" ca="1" si="899"/>
        <v>Completed</v>
      </c>
      <c r="X667" s="169" t="str">
        <f t="shared" ca="1" si="900"/>
        <v>Completed</v>
      </c>
      <c r="Y667" s="169" t="str">
        <f t="shared" ca="1" si="901"/>
        <v>Completed</v>
      </c>
      <c r="Z667" s="170" t="str">
        <f t="shared" ca="1" si="902"/>
        <v>Completed</v>
      </c>
    </row>
    <row r="668" spans="1:26" s="70" customFormat="1" ht="11.5" x14ac:dyDescent="0.25">
      <c r="A668" s="192" t="s">
        <v>65</v>
      </c>
      <c r="B668" s="192" t="s">
        <v>14</v>
      </c>
      <c r="C668" s="192" t="s">
        <v>742</v>
      </c>
      <c r="D668" s="192" t="s">
        <v>1158</v>
      </c>
      <c r="E668" s="193"/>
      <c r="F668" s="193"/>
      <c r="G668" s="193">
        <f t="shared" si="917"/>
        <v>1</v>
      </c>
      <c r="H668" s="193"/>
      <c r="I668" s="194">
        <v>4.7E-2</v>
      </c>
      <c r="J668" s="203">
        <f t="shared" si="914"/>
        <v>46276</v>
      </c>
      <c r="K668" s="203">
        <f t="shared" si="903"/>
        <v>46276</v>
      </c>
      <c r="L668" s="195">
        <v>46262</v>
      </c>
      <c r="M668" s="195">
        <f t="shared" si="904"/>
        <v>46318</v>
      </c>
      <c r="N668" s="203">
        <f t="shared" si="905"/>
        <v>46318</v>
      </c>
      <c r="O668" s="195">
        <v>46262</v>
      </c>
      <c r="P668" s="195">
        <f t="shared" si="906"/>
        <v>46360</v>
      </c>
      <c r="Q668" s="203">
        <f t="shared" si="907"/>
        <v>46360</v>
      </c>
      <c r="R668" s="195">
        <v>46262</v>
      </c>
      <c r="S668" s="195">
        <f t="shared" si="909"/>
        <v>46374</v>
      </c>
      <c r="T668" s="203">
        <f t="shared" si="908"/>
        <v>46374</v>
      </c>
      <c r="U668" s="195">
        <v>46262</v>
      </c>
      <c r="W668" s="169" t="str">
        <f t="shared" ca="1" si="899"/>
        <v>Completed</v>
      </c>
      <c r="X668" s="169" t="str">
        <f t="shared" ca="1" si="900"/>
        <v>Completed</v>
      </c>
      <c r="Y668" s="169" t="str">
        <f t="shared" ca="1" si="901"/>
        <v>Completed</v>
      </c>
      <c r="Z668" s="170" t="str">
        <f t="shared" ca="1" si="902"/>
        <v>Completed</v>
      </c>
    </row>
    <row r="669" spans="1:26" s="70" customFormat="1" ht="11.5" x14ac:dyDescent="0.25">
      <c r="A669" s="120" t="s">
        <v>65</v>
      </c>
      <c r="B669" s="120" t="s">
        <v>14</v>
      </c>
      <c r="C669" s="120" t="s">
        <v>1162</v>
      </c>
      <c r="D669" s="120" t="s">
        <v>1159</v>
      </c>
      <c r="E669" s="122">
        <f t="shared" si="895"/>
        <v>0</v>
      </c>
      <c r="F669" s="122">
        <f t="shared" si="896"/>
        <v>0</v>
      </c>
      <c r="G669" s="122">
        <f t="shared" si="896"/>
        <v>0</v>
      </c>
      <c r="H669" s="122">
        <f t="shared" si="897"/>
        <v>0</v>
      </c>
      <c r="I669" s="123"/>
      <c r="J669" s="128">
        <f t="shared" si="914"/>
        <v>46388</v>
      </c>
      <c r="K669" s="128">
        <f t="shared" ref="K669:K670" si="919">J669</f>
        <v>46388</v>
      </c>
      <c r="L669" s="124"/>
      <c r="M669" s="124">
        <f t="shared" ref="M669:M670" si="920">J669+42</f>
        <v>46430</v>
      </c>
      <c r="N669" s="128">
        <f t="shared" ref="N669:N670" si="921">M669</f>
        <v>46430</v>
      </c>
      <c r="O669" s="124"/>
      <c r="P669" s="124">
        <f t="shared" ref="P669:P670" si="922">M669+42</f>
        <v>46472</v>
      </c>
      <c r="Q669" s="128">
        <f t="shared" ref="Q669:Q670" si="923">P669</f>
        <v>46472</v>
      </c>
      <c r="R669" s="124"/>
      <c r="S669" s="124">
        <f t="shared" ref="S669:S670" si="924">P669+14</f>
        <v>46486</v>
      </c>
      <c r="T669" s="128">
        <f t="shared" ref="T669:T670" si="925">S669</f>
        <v>46486</v>
      </c>
      <c r="U669" s="124"/>
      <c r="W669" s="169" t="str">
        <f t="shared" ref="W669:W670" ca="1" si="926">IF(OR(L669&lt;&gt;""),"Completed",
IF(K669="","",IF(K669&lt;TODAY(),"Overdue",
IF(AND(K669&gt;=TODAY()-WEEKDAY(TODAY(),2)+1,K669&lt;=TODAY()-WEEKDAY(TODAY(),2)+7),"Follow-This Week",
IF(AND(K669&gt;=TODAY()-WEEKDAY(TODAY(),2)+8,K669&lt;=TODAY()-WEEKDAY(TODAY(),2)+14),"Follow-Next Week","")))))</f>
        <v/>
      </c>
      <c r="X669" s="169" t="str">
        <f t="shared" ref="X669:X670" ca="1" si="927">IF(OR(O669&lt;&gt;""),"Completed",IF(N669="","",
IF(N669&lt;TODAY(),"Overdue",
IF(AND(N669&gt;=TODAY()-WEEKDAY(TODAY(),2)+1,N669&lt;=TODAY()-WEEKDAY(TODAY(),2)+7),"Follow-This Week",
IF(AND(N669&gt;=TODAY()-WEEKDAY(TODAY(),2)+8,N669&lt;=TODAY()-WEEKDAY(TODAY(),2)+14),"Follow-Next Week","")))))</f>
        <v/>
      </c>
      <c r="Y669" s="169" t="str">
        <f t="shared" ref="Y669:Y670" ca="1" si="928">IF(OR(R669&lt;&gt;""),"Completed",IF(Q669="","",
IF(Q669&lt;TODAY(),"Overdue",
IF(AND(Q669&gt;=TODAY()-WEEKDAY(TODAY(),2)+1,Q669&lt;=TODAY()-WEEKDAY(TODAY(),2)+7),"Follow-This Week",
IF(AND(Q669&gt;=TODAY()-WEEKDAY(TODAY(),2)+8,Q669&lt;=TODAY()-WEEKDAY(TODAY(),2)+14),"Follow-Next Week","")))))</f>
        <v/>
      </c>
      <c r="Z669" s="170" t="str">
        <f t="shared" ref="Z669:Z670" ca="1" si="929">IF(OR(U669&lt;&gt;""),"Completed",IF(T669="","",
IF(T669&lt;TODAY(),"Overdue",
IF(AND(T669&gt;=TODAY()-WEEKDAY(TODAY(),2)+1,T669&lt;=TODAY()-WEEKDAY(TODAY(),2)+7),"Follow-This Week",
IF(AND(T669&gt;=TODAY()-WEEKDAY(TODAY(),2)+8,T669&lt;=TODAY()-WEEKDAY(TODAY(),2)+14),"Follow-Next Week","")))))</f>
        <v/>
      </c>
    </row>
    <row r="670" spans="1:26" s="70" customFormat="1" ht="11.5" x14ac:dyDescent="0.25">
      <c r="A670" s="120" t="s">
        <v>65</v>
      </c>
      <c r="B670" s="120" t="s">
        <v>14</v>
      </c>
      <c r="C670" s="120" t="s">
        <v>1162</v>
      </c>
      <c r="D670" s="120" t="s">
        <v>1160</v>
      </c>
      <c r="E670" s="122">
        <f t="shared" ref="E670" si="930">(COUNTIFS(J670,"&lt;="&amp;$C$1)*50%)+(COUNTIFS(M670,"&lt;="&amp;$C$1)*20%)+(COUNTIFS(P670,"&lt;="&amp;$C$1)*10%)+(COUNTIFS(S670,"&lt;="&amp;$C$1)*20%)</f>
        <v>0</v>
      </c>
      <c r="F670" s="122">
        <f t="shared" ref="F670" si="931">(COUNTIFS(K670,"&lt;="&amp;$C$1)*50%)+(COUNTIFS(N670,"&lt;="&amp;$C$1)*20%)+(COUNTIFS(Q670,"&lt;="&amp;$C$1)*10%)+(COUNTIFS(T670,"&lt;="&amp;$C$1)*20%)</f>
        <v>0</v>
      </c>
      <c r="G670" s="122">
        <f t="shared" ref="G670" si="932">(COUNTIFS(L670,"&lt;="&amp;$C$1)*50%)+(COUNTIFS(O670,"&lt;="&amp;$C$1)*20%)+(COUNTIFS(R670,"&lt;="&amp;$C$1)*10%)+(COUNTIFS(U670,"&lt;="&amp;$C$1)*20%)</f>
        <v>0</v>
      </c>
      <c r="H670" s="122">
        <f t="shared" ref="H670" si="933">G670-E670</f>
        <v>0</v>
      </c>
      <c r="I670" s="123"/>
      <c r="J670" s="128">
        <f t="shared" si="914"/>
        <v>46388</v>
      </c>
      <c r="K670" s="128">
        <f t="shared" si="919"/>
        <v>46388</v>
      </c>
      <c r="L670" s="124"/>
      <c r="M670" s="124">
        <f t="shared" si="920"/>
        <v>46430</v>
      </c>
      <c r="N670" s="128">
        <f t="shared" si="921"/>
        <v>46430</v>
      </c>
      <c r="O670" s="124"/>
      <c r="P670" s="124">
        <f t="shared" si="922"/>
        <v>46472</v>
      </c>
      <c r="Q670" s="128">
        <f t="shared" si="923"/>
        <v>46472</v>
      </c>
      <c r="R670" s="124"/>
      <c r="S670" s="124">
        <f t="shared" si="924"/>
        <v>46486</v>
      </c>
      <c r="T670" s="128">
        <f t="shared" si="925"/>
        <v>46486</v>
      </c>
      <c r="U670" s="124"/>
      <c r="W670" s="169" t="str">
        <f t="shared" ca="1" si="926"/>
        <v/>
      </c>
      <c r="X670" s="169" t="str">
        <f t="shared" ca="1" si="927"/>
        <v/>
      </c>
      <c r="Y670" s="169" t="str">
        <f t="shared" ca="1" si="928"/>
        <v/>
      </c>
      <c r="Z670" s="170" t="str">
        <f t="shared" ca="1" si="929"/>
        <v/>
      </c>
    </row>
    <row r="671" spans="1:26" s="70" customFormat="1" ht="11.5" x14ac:dyDescent="0.25">
      <c r="A671" s="120" t="s">
        <v>65</v>
      </c>
      <c r="B671" s="120" t="s">
        <v>14</v>
      </c>
      <c r="C671" s="120" t="s">
        <v>901</v>
      </c>
      <c r="D671" s="120" t="s">
        <v>902</v>
      </c>
      <c r="E671" s="122">
        <f t="shared" si="895"/>
        <v>0.5</v>
      </c>
      <c r="F671" s="122">
        <f t="shared" si="896"/>
        <v>0.5</v>
      </c>
      <c r="G671" s="122">
        <f t="shared" si="896"/>
        <v>0.7</v>
      </c>
      <c r="H671" s="122">
        <f t="shared" si="897"/>
        <v>0.19999999999999996</v>
      </c>
      <c r="I671" s="123"/>
      <c r="J671" s="128">
        <f t="shared" si="914"/>
        <v>46283</v>
      </c>
      <c r="K671" s="128">
        <f t="shared" ref="K671:K675" si="934">J671</f>
        <v>46283</v>
      </c>
      <c r="L671" s="124">
        <v>46190</v>
      </c>
      <c r="M671" s="124">
        <f t="shared" ref="M671:M675" si="935">J671+42</f>
        <v>46325</v>
      </c>
      <c r="N671" s="128">
        <f t="shared" ref="N671:N675" si="936">M671</f>
        <v>46325</v>
      </c>
      <c r="O671" s="126">
        <v>46276</v>
      </c>
      <c r="P671" s="124">
        <f t="shared" ref="P671:P675" si="937">M671+42</f>
        <v>46367</v>
      </c>
      <c r="Q671" s="128">
        <f t="shared" ref="Q671:Q675" si="938">P671</f>
        <v>46367</v>
      </c>
      <c r="R671" s="124"/>
      <c r="S671" s="124">
        <f t="shared" ref="S671:S675" si="939">P671+14</f>
        <v>46381</v>
      </c>
      <c r="T671" s="128">
        <f t="shared" ref="T671:T675" si="940">S671</f>
        <v>46381</v>
      </c>
      <c r="U671" s="124"/>
      <c r="W671" s="169" t="str">
        <f t="shared" ca="1" si="899"/>
        <v>Completed</v>
      </c>
      <c r="X671" s="169" t="str">
        <f t="shared" ca="1" si="900"/>
        <v>Completed</v>
      </c>
      <c r="Y671" s="169" t="str">
        <f t="shared" ca="1" si="901"/>
        <v/>
      </c>
      <c r="Z671" s="170" t="str">
        <f t="shared" ca="1" si="902"/>
        <v/>
      </c>
    </row>
    <row r="672" spans="1:26" s="70" customFormat="1" ht="11.5" x14ac:dyDescent="0.25">
      <c r="A672" s="120" t="s">
        <v>65</v>
      </c>
      <c r="B672" s="120" t="s">
        <v>14</v>
      </c>
      <c r="C672" s="120" t="s">
        <v>903</v>
      </c>
      <c r="D672" s="120" t="s">
        <v>1140</v>
      </c>
      <c r="E672" s="122">
        <f t="shared" ref="E672:E675" si="941">(COUNTIFS(J672,"&lt;="&amp;$C$1)*50%)+(COUNTIFS(M672,"&lt;="&amp;$C$1)*20%)+(COUNTIFS(P672,"&lt;="&amp;$C$1)*10%)+(COUNTIFS(S672,"&lt;="&amp;$C$1)*20%)</f>
        <v>0</v>
      </c>
      <c r="F672" s="122">
        <f t="shared" ref="F672:F675" si="942">(COUNTIFS(K672,"&lt;="&amp;$C$1)*50%)+(COUNTIFS(N672,"&lt;="&amp;$C$1)*20%)+(COUNTIFS(Q672,"&lt;="&amp;$C$1)*10%)+(COUNTIFS(T672,"&lt;="&amp;$C$1)*20%)</f>
        <v>0</v>
      </c>
      <c r="G672" s="122">
        <f t="shared" ref="G672:G675" si="943">(COUNTIFS(L672,"&lt;="&amp;$C$1)*50%)+(COUNTIFS(O672,"&lt;="&amp;$C$1)*20%)+(COUNTIFS(R672,"&lt;="&amp;$C$1)*10%)+(COUNTIFS(U672,"&lt;="&amp;$C$1)*20%)</f>
        <v>0.5</v>
      </c>
      <c r="H672" s="122">
        <f t="shared" ref="H672:H675" si="944">G672-E672</f>
        <v>0.5</v>
      </c>
      <c r="I672" s="123"/>
      <c r="J672" s="128">
        <f t="shared" si="914"/>
        <v>46349</v>
      </c>
      <c r="K672" s="128">
        <f t="shared" si="934"/>
        <v>46349</v>
      </c>
      <c r="L672" s="126">
        <v>46276</v>
      </c>
      <c r="M672" s="124">
        <f t="shared" si="935"/>
        <v>46391</v>
      </c>
      <c r="N672" s="128">
        <f t="shared" si="936"/>
        <v>46391</v>
      </c>
      <c r="O672" s="124"/>
      <c r="P672" s="124">
        <f t="shared" si="937"/>
        <v>46433</v>
      </c>
      <c r="Q672" s="128">
        <f t="shared" si="938"/>
        <v>46433</v>
      </c>
      <c r="R672" s="124"/>
      <c r="S672" s="124">
        <f t="shared" si="939"/>
        <v>46447</v>
      </c>
      <c r="T672" s="128">
        <f t="shared" si="940"/>
        <v>46447</v>
      </c>
      <c r="U672" s="124"/>
      <c r="W672" s="169" t="str">
        <f t="shared" ca="1" si="899"/>
        <v>Completed</v>
      </c>
      <c r="X672" s="169" t="str">
        <f t="shared" ca="1" si="900"/>
        <v/>
      </c>
      <c r="Y672" s="169" t="str">
        <f t="shared" ca="1" si="901"/>
        <v/>
      </c>
      <c r="Z672" s="170" t="str">
        <f t="shared" ca="1" si="902"/>
        <v/>
      </c>
    </row>
    <row r="673" spans="1:26" s="70" customFormat="1" ht="11.5" x14ac:dyDescent="0.25">
      <c r="A673" s="120" t="s">
        <v>65</v>
      </c>
      <c r="B673" s="120" t="s">
        <v>14</v>
      </c>
      <c r="C673" s="120" t="s">
        <v>904</v>
      </c>
      <c r="D673" s="120" t="s">
        <v>1141</v>
      </c>
      <c r="E673" s="122">
        <f t="shared" si="941"/>
        <v>0</v>
      </c>
      <c r="F673" s="122">
        <f t="shared" si="942"/>
        <v>0</v>
      </c>
      <c r="G673" s="122">
        <f t="shared" si="943"/>
        <v>0.5</v>
      </c>
      <c r="H673" s="122">
        <f t="shared" si="944"/>
        <v>0.5</v>
      </c>
      <c r="I673" s="123"/>
      <c r="J673" s="128">
        <f t="shared" si="914"/>
        <v>46349</v>
      </c>
      <c r="K673" s="128">
        <f t="shared" si="934"/>
        <v>46349</v>
      </c>
      <c r="L673" s="126">
        <v>46276</v>
      </c>
      <c r="M673" s="124">
        <f t="shared" si="935"/>
        <v>46391</v>
      </c>
      <c r="N673" s="128">
        <f t="shared" si="936"/>
        <v>46391</v>
      </c>
      <c r="O673" s="124"/>
      <c r="P673" s="124">
        <f t="shared" si="937"/>
        <v>46433</v>
      </c>
      <c r="Q673" s="128">
        <f t="shared" si="938"/>
        <v>46433</v>
      </c>
      <c r="R673" s="124"/>
      <c r="S673" s="124">
        <f t="shared" si="939"/>
        <v>46447</v>
      </c>
      <c r="T673" s="128">
        <f t="shared" si="940"/>
        <v>46447</v>
      </c>
      <c r="U673" s="124"/>
      <c r="W673" s="169" t="str">
        <f t="shared" ca="1" si="899"/>
        <v>Completed</v>
      </c>
      <c r="X673" s="169" t="str">
        <f t="shared" ca="1" si="900"/>
        <v/>
      </c>
      <c r="Y673" s="169" t="str">
        <f t="shared" ca="1" si="901"/>
        <v/>
      </c>
      <c r="Z673" s="170" t="str">
        <f t="shared" ca="1" si="902"/>
        <v/>
      </c>
    </row>
    <row r="674" spans="1:26" s="70" customFormat="1" ht="11.5" x14ac:dyDescent="0.25">
      <c r="A674" s="120" t="s">
        <v>65</v>
      </c>
      <c r="B674" s="120" t="s">
        <v>14</v>
      </c>
      <c r="C674" s="120" t="s">
        <v>905</v>
      </c>
      <c r="D674" s="120" t="s">
        <v>1142</v>
      </c>
      <c r="E674" s="122">
        <f t="shared" si="941"/>
        <v>0</v>
      </c>
      <c r="F674" s="122">
        <f t="shared" si="942"/>
        <v>0</v>
      </c>
      <c r="G674" s="122">
        <f t="shared" si="943"/>
        <v>0.5</v>
      </c>
      <c r="H674" s="122">
        <f t="shared" si="944"/>
        <v>0.5</v>
      </c>
      <c r="I674" s="123"/>
      <c r="J674" s="128">
        <f t="shared" si="914"/>
        <v>46349</v>
      </c>
      <c r="K674" s="128">
        <f t="shared" si="934"/>
        <v>46349</v>
      </c>
      <c r="L674" s="126">
        <v>46276</v>
      </c>
      <c r="M674" s="124">
        <f t="shared" si="935"/>
        <v>46391</v>
      </c>
      <c r="N674" s="128">
        <f t="shared" si="936"/>
        <v>46391</v>
      </c>
      <c r="O674" s="124"/>
      <c r="P674" s="124">
        <f t="shared" si="937"/>
        <v>46433</v>
      </c>
      <c r="Q674" s="128">
        <f t="shared" si="938"/>
        <v>46433</v>
      </c>
      <c r="R674" s="124"/>
      <c r="S674" s="124">
        <f t="shared" si="939"/>
        <v>46447</v>
      </c>
      <c r="T674" s="128">
        <f t="shared" si="940"/>
        <v>46447</v>
      </c>
      <c r="U674" s="124"/>
      <c r="W674" s="169" t="str">
        <f t="shared" ca="1" si="899"/>
        <v>Completed</v>
      </c>
      <c r="X674" s="169" t="str">
        <f t="shared" ca="1" si="900"/>
        <v/>
      </c>
      <c r="Y674" s="169" t="str">
        <f t="shared" ca="1" si="901"/>
        <v/>
      </c>
      <c r="Z674" s="170" t="str">
        <f t="shared" ca="1" si="902"/>
        <v/>
      </c>
    </row>
    <row r="675" spans="1:26" s="70" customFormat="1" ht="11.5" x14ac:dyDescent="0.25">
      <c r="A675" s="120" t="s">
        <v>65</v>
      </c>
      <c r="B675" s="120" t="s">
        <v>14</v>
      </c>
      <c r="C675" s="120" t="s">
        <v>906</v>
      </c>
      <c r="D675" s="120" t="s">
        <v>1143</v>
      </c>
      <c r="E675" s="122">
        <f t="shared" si="941"/>
        <v>0</v>
      </c>
      <c r="F675" s="122">
        <f t="shared" si="942"/>
        <v>0</v>
      </c>
      <c r="G675" s="122">
        <f t="shared" si="943"/>
        <v>0.5</v>
      </c>
      <c r="H675" s="122">
        <f t="shared" si="944"/>
        <v>0.5</v>
      </c>
      <c r="I675" s="123"/>
      <c r="J675" s="128">
        <f t="shared" si="914"/>
        <v>46349</v>
      </c>
      <c r="K675" s="128">
        <f t="shared" si="934"/>
        <v>46349</v>
      </c>
      <c r="L675" s="126">
        <v>46276</v>
      </c>
      <c r="M675" s="124">
        <f t="shared" si="935"/>
        <v>46391</v>
      </c>
      <c r="N675" s="128">
        <f t="shared" si="936"/>
        <v>46391</v>
      </c>
      <c r="O675" s="124"/>
      <c r="P675" s="124">
        <f t="shared" si="937"/>
        <v>46433</v>
      </c>
      <c r="Q675" s="128">
        <f t="shared" si="938"/>
        <v>46433</v>
      </c>
      <c r="R675" s="124"/>
      <c r="S675" s="124">
        <f t="shared" si="939"/>
        <v>46447</v>
      </c>
      <c r="T675" s="128">
        <f t="shared" si="940"/>
        <v>46447</v>
      </c>
      <c r="U675" s="124"/>
      <c r="W675" s="169" t="str">
        <f t="shared" ca="1" si="899"/>
        <v>Completed</v>
      </c>
      <c r="X675" s="169" t="str">
        <f t="shared" ca="1" si="900"/>
        <v/>
      </c>
      <c r="Y675" s="169" t="str">
        <f t="shared" ca="1" si="901"/>
        <v/>
      </c>
      <c r="Z675" s="170" t="str">
        <f t="shared" ca="1" si="902"/>
        <v/>
      </c>
    </row>
    <row r="676" spans="1:26" s="70" customFormat="1" ht="11.5" x14ac:dyDescent="0.25">
      <c r="A676" s="120" t="s">
        <v>65</v>
      </c>
      <c r="B676" s="120" t="s">
        <v>14</v>
      </c>
      <c r="C676" s="120" t="s">
        <v>743</v>
      </c>
      <c r="D676" s="121" t="s">
        <v>1163</v>
      </c>
      <c r="E676" s="122">
        <f t="shared" si="895"/>
        <v>0.5</v>
      </c>
      <c r="F676" s="122">
        <f t="shared" si="896"/>
        <v>0.5</v>
      </c>
      <c r="G676" s="122">
        <f t="shared" si="896"/>
        <v>0.7</v>
      </c>
      <c r="H676" s="122">
        <f t="shared" si="897"/>
        <v>0.19999999999999996</v>
      </c>
      <c r="I676" s="123">
        <v>4.7E-2</v>
      </c>
      <c r="J676" s="124">
        <f t="shared" ref="J676:J705" si="945">J559+28</f>
        <v>46276</v>
      </c>
      <c r="K676" s="124">
        <f t="shared" si="903"/>
        <v>46276</v>
      </c>
      <c r="L676" s="126">
        <v>46184</v>
      </c>
      <c r="M676" s="124">
        <f t="shared" si="904"/>
        <v>46318</v>
      </c>
      <c r="N676" s="124">
        <f t="shared" si="905"/>
        <v>46318</v>
      </c>
      <c r="O676" s="133">
        <v>46269</v>
      </c>
      <c r="P676" s="124">
        <f t="shared" si="906"/>
        <v>46360</v>
      </c>
      <c r="Q676" s="124">
        <f t="shared" si="907"/>
        <v>46360</v>
      </c>
      <c r="R676" s="124"/>
      <c r="S676" s="124">
        <f t="shared" si="909"/>
        <v>46374</v>
      </c>
      <c r="T676" s="124">
        <f t="shared" si="908"/>
        <v>46374</v>
      </c>
      <c r="U676" s="124"/>
      <c r="W676" s="169" t="str">
        <f t="shared" ca="1" si="899"/>
        <v>Completed</v>
      </c>
      <c r="X676" s="169" t="str">
        <f t="shared" ca="1" si="900"/>
        <v>Completed</v>
      </c>
      <c r="Y676" s="169" t="str">
        <f t="shared" ca="1" si="901"/>
        <v/>
      </c>
      <c r="Z676" s="170" t="str">
        <f t="shared" ca="1" si="902"/>
        <v/>
      </c>
    </row>
    <row r="677" spans="1:26" s="70" customFormat="1" ht="11.5" x14ac:dyDescent="0.25">
      <c r="A677" s="121" t="s">
        <v>65</v>
      </c>
      <c r="B677" s="121" t="s">
        <v>14</v>
      </c>
      <c r="C677" s="121" t="s">
        <v>744</v>
      </c>
      <c r="D677" s="121" t="s">
        <v>745</v>
      </c>
      <c r="E677" s="127">
        <f t="shared" si="895"/>
        <v>0.5</v>
      </c>
      <c r="F677" s="127">
        <f t="shared" si="896"/>
        <v>0.5</v>
      </c>
      <c r="G677" s="127">
        <f t="shared" si="896"/>
        <v>0.7</v>
      </c>
      <c r="H677" s="127">
        <f t="shared" si="897"/>
        <v>0.19999999999999996</v>
      </c>
      <c r="I677" s="123">
        <v>4.7E-2</v>
      </c>
      <c r="J677" s="124">
        <f t="shared" si="945"/>
        <v>46276</v>
      </c>
      <c r="K677" s="124">
        <f t="shared" si="903"/>
        <v>46276</v>
      </c>
      <c r="L677" s="126">
        <v>46184</v>
      </c>
      <c r="M677" s="124">
        <f t="shared" si="904"/>
        <v>46318</v>
      </c>
      <c r="N677" s="124">
        <f t="shared" si="905"/>
        <v>46318</v>
      </c>
      <c r="O677" s="133">
        <v>46269</v>
      </c>
      <c r="P677" s="124">
        <f t="shared" si="906"/>
        <v>46360</v>
      </c>
      <c r="Q677" s="124">
        <f t="shared" si="907"/>
        <v>46360</v>
      </c>
      <c r="R677" s="124"/>
      <c r="S677" s="124">
        <f t="shared" si="909"/>
        <v>46374</v>
      </c>
      <c r="T677" s="124">
        <f t="shared" si="908"/>
        <v>46374</v>
      </c>
      <c r="U677" s="124"/>
      <c r="W677" s="169" t="str">
        <f t="shared" ca="1" si="899"/>
        <v>Completed</v>
      </c>
      <c r="X677" s="169" t="str">
        <f t="shared" ca="1" si="900"/>
        <v>Completed</v>
      </c>
      <c r="Y677" s="169" t="str">
        <f t="shared" ca="1" si="901"/>
        <v/>
      </c>
      <c r="Z677" s="170" t="str">
        <f t="shared" ca="1" si="902"/>
        <v/>
      </c>
    </row>
    <row r="678" spans="1:26" s="70" customFormat="1" ht="11.5" x14ac:dyDescent="0.25">
      <c r="A678" s="121" t="s">
        <v>65</v>
      </c>
      <c r="B678" s="121" t="s">
        <v>14</v>
      </c>
      <c r="C678" s="121" t="s">
        <v>746</v>
      </c>
      <c r="D678" s="121" t="s">
        <v>747</v>
      </c>
      <c r="E678" s="127">
        <f t="shared" si="895"/>
        <v>0.5</v>
      </c>
      <c r="F678" s="127">
        <f t="shared" si="896"/>
        <v>0.5</v>
      </c>
      <c r="G678" s="127">
        <f t="shared" si="896"/>
        <v>0.7</v>
      </c>
      <c r="H678" s="127">
        <f t="shared" si="897"/>
        <v>0.19999999999999996</v>
      </c>
      <c r="I678" s="123">
        <v>4.7E-2</v>
      </c>
      <c r="J678" s="126">
        <f t="shared" si="945"/>
        <v>46276</v>
      </c>
      <c r="K678" s="126">
        <f t="shared" si="903"/>
        <v>46276</v>
      </c>
      <c r="L678" s="126">
        <v>46184</v>
      </c>
      <c r="M678" s="126">
        <f t="shared" si="904"/>
        <v>46318</v>
      </c>
      <c r="N678" s="126">
        <f t="shared" si="905"/>
        <v>46318</v>
      </c>
      <c r="O678" s="124">
        <v>46266</v>
      </c>
      <c r="P678" s="126">
        <f t="shared" si="906"/>
        <v>46360</v>
      </c>
      <c r="Q678" s="126">
        <f t="shared" si="907"/>
        <v>46360</v>
      </c>
      <c r="R678" s="126"/>
      <c r="S678" s="124">
        <f t="shared" si="909"/>
        <v>46374</v>
      </c>
      <c r="T678" s="126">
        <f t="shared" si="908"/>
        <v>46374</v>
      </c>
      <c r="U678" s="126"/>
      <c r="W678" s="169" t="str">
        <f t="shared" ca="1" si="899"/>
        <v>Completed</v>
      </c>
      <c r="X678" s="169" t="str">
        <f t="shared" ca="1" si="900"/>
        <v>Completed</v>
      </c>
      <c r="Y678" s="169" t="str">
        <f t="shared" ca="1" si="901"/>
        <v/>
      </c>
      <c r="Z678" s="170" t="str">
        <f t="shared" ca="1" si="902"/>
        <v/>
      </c>
    </row>
    <row r="679" spans="1:26" s="70" customFormat="1" ht="11.5" x14ac:dyDescent="0.25">
      <c r="A679" s="121" t="s">
        <v>65</v>
      </c>
      <c r="B679" s="121" t="s">
        <v>14</v>
      </c>
      <c r="C679" s="121" t="s">
        <v>748</v>
      </c>
      <c r="D679" s="121" t="s">
        <v>749</v>
      </c>
      <c r="E679" s="127">
        <f t="shared" si="895"/>
        <v>0.5</v>
      </c>
      <c r="F679" s="127">
        <f t="shared" si="896"/>
        <v>0.5</v>
      </c>
      <c r="G679" s="127">
        <f t="shared" si="896"/>
        <v>0</v>
      </c>
      <c r="H679" s="127">
        <f t="shared" si="897"/>
        <v>-0.5</v>
      </c>
      <c r="I679" s="123">
        <v>4.7E-2</v>
      </c>
      <c r="J679" s="126">
        <f t="shared" si="945"/>
        <v>46276</v>
      </c>
      <c r="K679" s="126">
        <f t="shared" si="903"/>
        <v>46276</v>
      </c>
      <c r="L679" s="126"/>
      <c r="M679" s="126">
        <f t="shared" si="904"/>
        <v>46318</v>
      </c>
      <c r="N679" s="126">
        <f t="shared" si="905"/>
        <v>46318</v>
      </c>
      <c r="O679" s="126"/>
      <c r="P679" s="126">
        <f t="shared" si="906"/>
        <v>46360</v>
      </c>
      <c r="Q679" s="126">
        <f t="shared" si="907"/>
        <v>46360</v>
      </c>
      <c r="R679" s="126"/>
      <c r="S679" s="124">
        <f t="shared" si="909"/>
        <v>46374</v>
      </c>
      <c r="T679" s="126">
        <f t="shared" si="908"/>
        <v>46374</v>
      </c>
      <c r="U679" s="126"/>
      <c r="W679" s="169" t="str">
        <f t="shared" ca="1" si="899"/>
        <v>Overdue</v>
      </c>
      <c r="X679" s="169" t="str">
        <f t="shared" ca="1" si="900"/>
        <v/>
      </c>
      <c r="Y679" s="169" t="str">
        <f t="shared" ca="1" si="901"/>
        <v/>
      </c>
      <c r="Z679" s="170" t="str">
        <f t="shared" ca="1" si="902"/>
        <v/>
      </c>
    </row>
    <row r="680" spans="1:26" s="70" customFormat="1" ht="11.5" x14ac:dyDescent="0.25">
      <c r="A680" s="121" t="s">
        <v>65</v>
      </c>
      <c r="B680" s="121" t="s">
        <v>14</v>
      </c>
      <c r="C680" s="121" t="s">
        <v>750</v>
      </c>
      <c r="D680" s="121" t="s">
        <v>751</v>
      </c>
      <c r="E680" s="127">
        <f t="shared" si="895"/>
        <v>0.5</v>
      </c>
      <c r="F680" s="127">
        <f t="shared" si="896"/>
        <v>0.5</v>
      </c>
      <c r="G680" s="127">
        <f t="shared" si="896"/>
        <v>0.7</v>
      </c>
      <c r="H680" s="127">
        <f t="shared" si="897"/>
        <v>0.19999999999999996</v>
      </c>
      <c r="I680" s="123">
        <v>4.7E-2</v>
      </c>
      <c r="J680" s="126">
        <f t="shared" si="945"/>
        <v>46283</v>
      </c>
      <c r="K680" s="126">
        <f t="shared" si="903"/>
        <v>46283</v>
      </c>
      <c r="L680" s="124">
        <v>46142</v>
      </c>
      <c r="M680" s="126">
        <f t="shared" si="904"/>
        <v>46325</v>
      </c>
      <c r="N680" s="126">
        <f t="shared" si="905"/>
        <v>46325</v>
      </c>
      <c r="O680" s="124">
        <v>46255</v>
      </c>
      <c r="P680" s="126">
        <f t="shared" si="906"/>
        <v>46367</v>
      </c>
      <c r="Q680" s="126">
        <f t="shared" si="907"/>
        <v>46367</v>
      </c>
      <c r="R680" s="126"/>
      <c r="S680" s="124">
        <f t="shared" si="909"/>
        <v>46381</v>
      </c>
      <c r="T680" s="126">
        <f t="shared" si="908"/>
        <v>46381</v>
      </c>
      <c r="U680" s="126"/>
      <c r="W680" s="169" t="str">
        <f t="shared" ca="1" si="899"/>
        <v>Completed</v>
      </c>
      <c r="X680" s="169" t="str">
        <f t="shared" ca="1" si="900"/>
        <v>Completed</v>
      </c>
      <c r="Y680" s="169" t="str">
        <f t="shared" ca="1" si="901"/>
        <v/>
      </c>
      <c r="Z680" s="170" t="str">
        <f t="shared" ca="1" si="902"/>
        <v/>
      </c>
    </row>
    <row r="681" spans="1:26" s="70" customFormat="1" ht="11.5" x14ac:dyDescent="0.25">
      <c r="A681" s="121" t="s">
        <v>65</v>
      </c>
      <c r="B681" s="121" t="s">
        <v>14</v>
      </c>
      <c r="C681" s="121" t="s">
        <v>752</v>
      </c>
      <c r="D681" s="121" t="s">
        <v>753</v>
      </c>
      <c r="E681" s="127">
        <f t="shared" si="895"/>
        <v>0.5</v>
      </c>
      <c r="F681" s="127">
        <f t="shared" si="896"/>
        <v>0.5</v>
      </c>
      <c r="G681" s="127">
        <f t="shared" si="896"/>
        <v>0.7</v>
      </c>
      <c r="H681" s="127">
        <f t="shared" si="897"/>
        <v>0.19999999999999996</v>
      </c>
      <c r="I681" s="123">
        <v>4.7E-2</v>
      </c>
      <c r="J681" s="126">
        <f t="shared" si="945"/>
        <v>46283</v>
      </c>
      <c r="K681" s="126">
        <f t="shared" si="903"/>
        <v>46283</v>
      </c>
      <c r="L681" s="124">
        <v>46142</v>
      </c>
      <c r="M681" s="126">
        <f t="shared" si="904"/>
        <v>46325</v>
      </c>
      <c r="N681" s="126">
        <f t="shared" si="905"/>
        <v>46325</v>
      </c>
      <c r="O681" s="124">
        <v>46255</v>
      </c>
      <c r="P681" s="126">
        <f t="shared" si="906"/>
        <v>46367</v>
      </c>
      <c r="Q681" s="126">
        <f t="shared" si="907"/>
        <v>46367</v>
      </c>
      <c r="R681" s="126"/>
      <c r="S681" s="124">
        <f t="shared" si="909"/>
        <v>46381</v>
      </c>
      <c r="T681" s="126">
        <f t="shared" si="908"/>
        <v>46381</v>
      </c>
      <c r="U681" s="126"/>
      <c r="W681" s="169" t="str">
        <f t="shared" ca="1" si="899"/>
        <v>Completed</v>
      </c>
      <c r="X681" s="169" t="str">
        <f t="shared" ca="1" si="900"/>
        <v>Completed</v>
      </c>
      <c r="Y681" s="169" t="str">
        <f t="shared" ca="1" si="901"/>
        <v/>
      </c>
      <c r="Z681" s="170" t="str">
        <f t="shared" ca="1" si="902"/>
        <v/>
      </c>
    </row>
    <row r="682" spans="1:26" s="70" customFormat="1" ht="11.5" x14ac:dyDescent="0.25">
      <c r="A682" s="121" t="s">
        <v>65</v>
      </c>
      <c r="B682" s="121" t="s">
        <v>14</v>
      </c>
      <c r="C682" s="121" t="s">
        <v>1064</v>
      </c>
      <c r="D682" s="121" t="s">
        <v>754</v>
      </c>
      <c r="E682" s="127">
        <f t="shared" si="895"/>
        <v>0.5</v>
      </c>
      <c r="F682" s="127">
        <f t="shared" si="896"/>
        <v>0.5</v>
      </c>
      <c r="G682" s="127">
        <f t="shared" si="896"/>
        <v>0.7</v>
      </c>
      <c r="H682" s="127">
        <f t="shared" si="897"/>
        <v>0.19999999999999996</v>
      </c>
      <c r="I682" s="123">
        <v>4.7E-2</v>
      </c>
      <c r="J682" s="126">
        <f t="shared" si="945"/>
        <v>46283</v>
      </c>
      <c r="K682" s="126">
        <f t="shared" si="903"/>
        <v>46283</v>
      </c>
      <c r="L682" s="124">
        <v>46266</v>
      </c>
      <c r="M682" s="126">
        <f t="shared" si="904"/>
        <v>46325</v>
      </c>
      <c r="N682" s="126">
        <f t="shared" si="905"/>
        <v>46325</v>
      </c>
      <c r="O682" s="133">
        <v>46269</v>
      </c>
      <c r="P682" s="126">
        <f t="shared" si="906"/>
        <v>46367</v>
      </c>
      <c r="Q682" s="126">
        <f t="shared" si="907"/>
        <v>46367</v>
      </c>
      <c r="R682" s="126"/>
      <c r="S682" s="124">
        <f t="shared" si="909"/>
        <v>46381</v>
      </c>
      <c r="T682" s="126">
        <f t="shared" si="908"/>
        <v>46381</v>
      </c>
      <c r="U682" s="126"/>
      <c r="W682" s="169" t="str">
        <f t="shared" ca="1" si="899"/>
        <v>Completed</v>
      </c>
      <c r="X682" s="169" t="str">
        <f t="shared" ca="1" si="900"/>
        <v>Completed</v>
      </c>
      <c r="Y682" s="169" t="str">
        <f t="shared" ca="1" si="901"/>
        <v/>
      </c>
      <c r="Z682" s="170" t="str">
        <f t="shared" ca="1" si="902"/>
        <v/>
      </c>
    </row>
    <row r="683" spans="1:26" s="70" customFormat="1" ht="11.5" x14ac:dyDescent="0.25">
      <c r="A683" s="121" t="s">
        <v>65</v>
      </c>
      <c r="B683" s="121" t="s">
        <v>14</v>
      </c>
      <c r="C683" s="121" t="s">
        <v>1065</v>
      </c>
      <c r="D683" s="121" t="s">
        <v>755</v>
      </c>
      <c r="E683" s="127">
        <f t="shared" si="895"/>
        <v>0.5</v>
      </c>
      <c r="F683" s="127">
        <f t="shared" si="896"/>
        <v>0.5</v>
      </c>
      <c r="G683" s="127">
        <f t="shared" si="896"/>
        <v>0.7</v>
      </c>
      <c r="H683" s="127">
        <f t="shared" si="897"/>
        <v>0.19999999999999996</v>
      </c>
      <c r="I683" s="123">
        <v>4.7E-2</v>
      </c>
      <c r="J683" s="124">
        <f t="shared" si="945"/>
        <v>46283</v>
      </c>
      <c r="K683" s="124">
        <f t="shared" si="903"/>
        <v>46283</v>
      </c>
      <c r="L683" s="124">
        <v>46266</v>
      </c>
      <c r="M683" s="124">
        <f t="shared" si="904"/>
        <v>46325</v>
      </c>
      <c r="N683" s="124">
        <f t="shared" si="905"/>
        <v>46325</v>
      </c>
      <c r="O683" s="133">
        <v>46269</v>
      </c>
      <c r="P683" s="124">
        <f t="shared" si="906"/>
        <v>46367</v>
      </c>
      <c r="Q683" s="124">
        <f t="shared" si="907"/>
        <v>46367</v>
      </c>
      <c r="R683" s="124"/>
      <c r="S683" s="124">
        <f t="shared" si="909"/>
        <v>46381</v>
      </c>
      <c r="T683" s="124">
        <f t="shared" si="908"/>
        <v>46381</v>
      </c>
      <c r="U683" s="124"/>
      <c r="W683" s="169" t="str">
        <f t="shared" ca="1" si="899"/>
        <v>Completed</v>
      </c>
      <c r="X683" s="169" t="str">
        <f t="shared" ca="1" si="900"/>
        <v>Completed</v>
      </c>
      <c r="Y683" s="169" t="str">
        <f t="shared" ca="1" si="901"/>
        <v/>
      </c>
      <c r="Z683" s="170" t="str">
        <f t="shared" ca="1" si="902"/>
        <v/>
      </c>
    </row>
    <row r="684" spans="1:26" s="70" customFormat="1" ht="11.5" x14ac:dyDescent="0.25">
      <c r="A684" s="121" t="s">
        <v>65</v>
      </c>
      <c r="B684" s="121" t="s">
        <v>14</v>
      </c>
      <c r="C684" s="121" t="s">
        <v>1066</v>
      </c>
      <c r="D684" s="121" t="s">
        <v>756</v>
      </c>
      <c r="E684" s="127">
        <f t="shared" si="895"/>
        <v>0.5</v>
      </c>
      <c r="F684" s="127">
        <f t="shared" si="896"/>
        <v>0.5</v>
      </c>
      <c r="G684" s="127">
        <f t="shared" si="896"/>
        <v>0.5</v>
      </c>
      <c r="H684" s="127">
        <f t="shared" si="897"/>
        <v>0</v>
      </c>
      <c r="I684" s="123">
        <v>4.7E-2</v>
      </c>
      <c r="J684" s="124">
        <f t="shared" si="945"/>
        <v>46283</v>
      </c>
      <c r="K684" s="124">
        <f t="shared" si="903"/>
        <v>46283</v>
      </c>
      <c r="L684" s="126">
        <v>46276</v>
      </c>
      <c r="M684" s="124">
        <f t="shared" si="904"/>
        <v>46325</v>
      </c>
      <c r="N684" s="124">
        <f t="shared" si="905"/>
        <v>46325</v>
      </c>
      <c r="O684" s="124"/>
      <c r="P684" s="124">
        <f t="shared" si="906"/>
        <v>46367</v>
      </c>
      <c r="Q684" s="124">
        <f t="shared" si="907"/>
        <v>46367</v>
      </c>
      <c r="R684" s="124"/>
      <c r="S684" s="124">
        <f t="shared" si="909"/>
        <v>46381</v>
      </c>
      <c r="T684" s="124">
        <f t="shared" si="908"/>
        <v>46381</v>
      </c>
      <c r="U684" s="124"/>
      <c r="W684" s="169" t="str">
        <f t="shared" ca="1" si="899"/>
        <v>Completed</v>
      </c>
      <c r="X684" s="169" t="str">
        <f t="shared" ca="1" si="900"/>
        <v/>
      </c>
      <c r="Y684" s="169" t="str">
        <f t="shared" ca="1" si="901"/>
        <v/>
      </c>
      <c r="Z684" s="170" t="str">
        <f t="shared" ca="1" si="902"/>
        <v/>
      </c>
    </row>
    <row r="685" spans="1:26" s="70" customFormat="1" ht="11.5" x14ac:dyDescent="0.25">
      <c r="A685" s="121" t="s">
        <v>65</v>
      </c>
      <c r="B685" s="121" t="s">
        <v>14</v>
      </c>
      <c r="C685" s="121" t="s">
        <v>1067</v>
      </c>
      <c r="D685" s="121" t="s">
        <v>757</v>
      </c>
      <c r="E685" s="127">
        <f t="shared" si="895"/>
        <v>0.5</v>
      </c>
      <c r="F685" s="127">
        <f t="shared" si="896"/>
        <v>0.5</v>
      </c>
      <c r="G685" s="127">
        <f t="shared" si="896"/>
        <v>0.5</v>
      </c>
      <c r="H685" s="127">
        <f t="shared" si="897"/>
        <v>0</v>
      </c>
      <c r="I685" s="123">
        <v>4.7E-2</v>
      </c>
      <c r="J685" s="124">
        <f t="shared" si="945"/>
        <v>46283</v>
      </c>
      <c r="K685" s="124">
        <f t="shared" si="903"/>
        <v>46283</v>
      </c>
      <c r="L685" s="126">
        <v>46276</v>
      </c>
      <c r="M685" s="124">
        <f t="shared" si="904"/>
        <v>46325</v>
      </c>
      <c r="N685" s="124">
        <f t="shared" si="905"/>
        <v>46325</v>
      </c>
      <c r="O685" s="124"/>
      <c r="P685" s="124">
        <f t="shared" si="906"/>
        <v>46367</v>
      </c>
      <c r="Q685" s="124">
        <f t="shared" si="907"/>
        <v>46367</v>
      </c>
      <c r="R685" s="124"/>
      <c r="S685" s="124">
        <f t="shared" si="909"/>
        <v>46381</v>
      </c>
      <c r="T685" s="124">
        <f t="shared" si="908"/>
        <v>46381</v>
      </c>
      <c r="U685" s="124"/>
      <c r="W685" s="169" t="str">
        <f t="shared" ca="1" si="899"/>
        <v>Completed</v>
      </c>
      <c r="X685" s="169" t="str">
        <f t="shared" ca="1" si="900"/>
        <v/>
      </c>
      <c r="Y685" s="169" t="str">
        <f t="shared" ca="1" si="901"/>
        <v/>
      </c>
      <c r="Z685" s="170" t="str">
        <f t="shared" ca="1" si="902"/>
        <v/>
      </c>
    </row>
    <row r="686" spans="1:26" s="70" customFormat="1" ht="11.5" x14ac:dyDescent="0.25">
      <c r="A686" s="121" t="s">
        <v>65</v>
      </c>
      <c r="B686" s="121" t="s">
        <v>14</v>
      </c>
      <c r="C686" s="121" t="s">
        <v>1068</v>
      </c>
      <c r="D686" s="121" t="s">
        <v>758</v>
      </c>
      <c r="E686" s="127">
        <f t="shared" ref="E686:E706" si="946">(COUNTIFS(J686,"&lt;="&amp;$C$1)*50%)+(COUNTIFS(M686,"&lt;="&amp;$C$1)*20%)+(COUNTIFS(P686,"&lt;="&amp;$C$1)*10%)+(COUNTIFS(S686,"&lt;="&amp;$C$1)*20%)</f>
        <v>0.5</v>
      </c>
      <c r="F686" s="127">
        <f t="shared" ref="F686:G706" si="947">(COUNTIFS(K686,"&lt;="&amp;$C$1)*50%)+(COUNTIFS(N686,"&lt;="&amp;$C$1)*20%)+(COUNTIFS(Q686,"&lt;="&amp;$C$1)*10%)+(COUNTIFS(T686,"&lt;="&amp;$C$1)*20%)</f>
        <v>0.5</v>
      </c>
      <c r="G686" s="127">
        <f t="shared" si="947"/>
        <v>0.5</v>
      </c>
      <c r="H686" s="127">
        <f t="shared" ref="H686:H706" si="948">G686-E686</f>
        <v>0</v>
      </c>
      <c r="I686" s="123">
        <v>4.7E-2</v>
      </c>
      <c r="J686" s="124">
        <f t="shared" si="945"/>
        <v>46283</v>
      </c>
      <c r="K686" s="124">
        <f t="shared" si="903"/>
        <v>46283</v>
      </c>
      <c r="L686" s="126">
        <v>46276</v>
      </c>
      <c r="M686" s="124">
        <f t="shared" si="904"/>
        <v>46325</v>
      </c>
      <c r="N686" s="124">
        <f t="shared" si="905"/>
        <v>46325</v>
      </c>
      <c r="O686" s="124"/>
      <c r="P686" s="124">
        <f t="shared" si="906"/>
        <v>46367</v>
      </c>
      <c r="Q686" s="124">
        <f t="shared" si="907"/>
        <v>46367</v>
      </c>
      <c r="R686" s="124"/>
      <c r="S686" s="124">
        <f t="shared" si="909"/>
        <v>46381</v>
      </c>
      <c r="T686" s="124">
        <f t="shared" si="908"/>
        <v>46381</v>
      </c>
      <c r="U686" s="124"/>
      <c r="W686" s="169" t="str">
        <f t="shared" ca="1" si="899"/>
        <v>Completed</v>
      </c>
      <c r="X686" s="169" t="str">
        <f t="shared" ca="1" si="900"/>
        <v/>
      </c>
      <c r="Y686" s="169" t="str">
        <f t="shared" ca="1" si="901"/>
        <v/>
      </c>
      <c r="Z686" s="170" t="str">
        <f t="shared" ca="1" si="902"/>
        <v/>
      </c>
    </row>
    <row r="687" spans="1:26" s="70" customFormat="1" ht="11.5" x14ac:dyDescent="0.25">
      <c r="A687" s="121" t="s">
        <v>65</v>
      </c>
      <c r="B687" s="121" t="s">
        <v>14</v>
      </c>
      <c r="C687" s="121" t="s">
        <v>1069</v>
      </c>
      <c r="D687" s="121" t="s">
        <v>759</v>
      </c>
      <c r="E687" s="127">
        <f>(COUNTIFS(J687,"&lt;="&amp;$C$1)*50%)+(COUNTIFS(M687,"&lt;="&amp;$C$1)*20%)+(COUNTIFS(P687,"&lt;="&amp;$C$1)*10%)+(COUNTIFS(S687,"&lt;="&amp;$C$1)*20%)</f>
        <v>0.5</v>
      </c>
      <c r="F687" s="127">
        <f>(COUNTIFS(K687,"&lt;="&amp;$C$1)*50%)+(COUNTIFS(N687,"&lt;="&amp;$C$1)*20%)+(COUNTIFS(Q687,"&lt;="&amp;$C$1)*10%)+(COUNTIFS(T687,"&lt;="&amp;$C$1)*20%)</f>
        <v>0.5</v>
      </c>
      <c r="G687" s="127">
        <f>(COUNTIFS(L687,"&lt;="&amp;$C$1)*50%)+(COUNTIFS(O687,"&lt;="&amp;$C$1)*20%)+(COUNTIFS(R687,"&lt;="&amp;$C$1)*10%)+(COUNTIFS(U687,"&lt;="&amp;$C$1)*20%)</f>
        <v>0.5</v>
      </c>
      <c r="H687" s="127">
        <f>G687-E687</f>
        <v>0</v>
      </c>
      <c r="I687" s="123">
        <v>4.7E-2</v>
      </c>
      <c r="J687" s="124">
        <f t="shared" si="945"/>
        <v>46283</v>
      </c>
      <c r="K687" s="124">
        <f t="shared" si="903"/>
        <v>46283</v>
      </c>
      <c r="L687" s="126">
        <v>46276</v>
      </c>
      <c r="M687" s="124">
        <f t="shared" si="904"/>
        <v>46325</v>
      </c>
      <c r="N687" s="124">
        <f t="shared" si="905"/>
        <v>46325</v>
      </c>
      <c r="O687" s="124"/>
      <c r="P687" s="124">
        <f t="shared" si="906"/>
        <v>46367</v>
      </c>
      <c r="Q687" s="124">
        <f t="shared" si="907"/>
        <v>46367</v>
      </c>
      <c r="R687" s="124"/>
      <c r="S687" s="124">
        <f t="shared" si="909"/>
        <v>46381</v>
      </c>
      <c r="T687" s="124">
        <f t="shared" si="908"/>
        <v>46381</v>
      </c>
      <c r="U687" s="124"/>
      <c r="W687" s="169" t="str">
        <f t="shared" ca="1" si="899"/>
        <v>Completed</v>
      </c>
      <c r="X687" s="169" t="str">
        <f t="shared" ca="1" si="900"/>
        <v/>
      </c>
      <c r="Y687" s="169" t="str">
        <f t="shared" ca="1" si="901"/>
        <v/>
      </c>
      <c r="Z687" s="170" t="str">
        <f t="shared" ca="1" si="902"/>
        <v/>
      </c>
    </row>
    <row r="688" spans="1:26" s="70" customFormat="1" ht="11.5" x14ac:dyDescent="0.25">
      <c r="A688" s="121" t="s">
        <v>65</v>
      </c>
      <c r="B688" s="121" t="s">
        <v>14</v>
      </c>
      <c r="C688" s="121" t="s">
        <v>1070</v>
      </c>
      <c r="D688" s="121" t="s">
        <v>760</v>
      </c>
      <c r="E688" s="127">
        <f t="shared" si="946"/>
        <v>0.5</v>
      </c>
      <c r="F688" s="127">
        <f t="shared" si="947"/>
        <v>0.5</v>
      </c>
      <c r="G688" s="127">
        <f t="shared" si="947"/>
        <v>0.5</v>
      </c>
      <c r="H688" s="127">
        <f t="shared" si="948"/>
        <v>0</v>
      </c>
      <c r="I688" s="123">
        <v>4.7E-2</v>
      </c>
      <c r="J688" s="124">
        <f t="shared" si="945"/>
        <v>46283</v>
      </c>
      <c r="K688" s="124">
        <f t="shared" si="903"/>
        <v>46283</v>
      </c>
      <c r="L688" s="126">
        <v>46276</v>
      </c>
      <c r="M688" s="124">
        <f t="shared" si="904"/>
        <v>46325</v>
      </c>
      <c r="N688" s="124">
        <f t="shared" si="905"/>
        <v>46325</v>
      </c>
      <c r="O688" s="124"/>
      <c r="P688" s="124">
        <f t="shared" si="906"/>
        <v>46367</v>
      </c>
      <c r="Q688" s="124">
        <f t="shared" si="907"/>
        <v>46367</v>
      </c>
      <c r="R688" s="124"/>
      <c r="S688" s="124">
        <f t="shared" si="909"/>
        <v>46381</v>
      </c>
      <c r="T688" s="124">
        <f t="shared" si="908"/>
        <v>46381</v>
      </c>
      <c r="U688" s="124"/>
      <c r="W688" s="169" t="str">
        <f t="shared" ca="1" si="899"/>
        <v>Completed</v>
      </c>
      <c r="X688" s="169" t="str">
        <f t="shared" ca="1" si="900"/>
        <v/>
      </c>
      <c r="Y688" s="169" t="str">
        <f t="shared" ca="1" si="901"/>
        <v/>
      </c>
      <c r="Z688" s="170" t="str">
        <f t="shared" ca="1" si="902"/>
        <v/>
      </c>
    </row>
    <row r="689" spans="1:26" s="70" customFormat="1" ht="11.5" x14ac:dyDescent="0.25">
      <c r="A689" s="121" t="s">
        <v>65</v>
      </c>
      <c r="B689" s="121" t="s">
        <v>14</v>
      </c>
      <c r="C689" s="121" t="s">
        <v>1071</v>
      </c>
      <c r="D689" s="121" t="s">
        <v>761</v>
      </c>
      <c r="E689" s="127">
        <f t="shared" si="946"/>
        <v>0.5</v>
      </c>
      <c r="F689" s="127">
        <f t="shared" si="947"/>
        <v>0.5</v>
      </c>
      <c r="G689" s="127">
        <f t="shared" si="947"/>
        <v>0.5</v>
      </c>
      <c r="H689" s="127">
        <f t="shared" si="948"/>
        <v>0</v>
      </c>
      <c r="I689" s="123">
        <v>4.7E-2</v>
      </c>
      <c r="J689" s="124">
        <f t="shared" si="945"/>
        <v>46283</v>
      </c>
      <c r="K689" s="124">
        <f t="shared" si="903"/>
        <v>46283</v>
      </c>
      <c r="L689" s="126">
        <v>46276</v>
      </c>
      <c r="M689" s="124">
        <f t="shared" si="904"/>
        <v>46325</v>
      </c>
      <c r="N689" s="124">
        <f t="shared" si="905"/>
        <v>46325</v>
      </c>
      <c r="O689" s="124"/>
      <c r="P689" s="124">
        <f t="shared" si="906"/>
        <v>46367</v>
      </c>
      <c r="Q689" s="124">
        <f t="shared" si="907"/>
        <v>46367</v>
      </c>
      <c r="R689" s="124"/>
      <c r="S689" s="124">
        <f t="shared" si="909"/>
        <v>46381</v>
      </c>
      <c r="T689" s="124">
        <f t="shared" si="908"/>
        <v>46381</v>
      </c>
      <c r="U689" s="124"/>
      <c r="W689" s="169" t="str">
        <f t="shared" ca="1" si="899"/>
        <v>Completed</v>
      </c>
      <c r="X689" s="169" t="str">
        <f t="shared" ca="1" si="900"/>
        <v/>
      </c>
      <c r="Y689" s="169" t="str">
        <f t="shared" ca="1" si="901"/>
        <v/>
      </c>
      <c r="Z689" s="170" t="str">
        <f t="shared" ca="1" si="902"/>
        <v/>
      </c>
    </row>
    <row r="690" spans="1:26" s="70" customFormat="1" ht="11.5" x14ac:dyDescent="0.25">
      <c r="A690" s="121" t="s">
        <v>65</v>
      </c>
      <c r="B690" s="121" t="s">
        <v>14</v>
      </c>
      <c r="C690" s="121" t="s">
        <v>1072</v>
      </c>
      <c r="D690" s="121" t="s">
        <v>762</v>
      </c>
      <c r="E690" s="127">
        <f t="shared" si="946"/>
        <v>0.5</v>
      </c>
      <c r="F690" s="127">
        <f t="shared" si="947"/>
        <v>0.5</v>
      </c>
      <c r="G690" s="127">
        <f t="shared" si="947"/>
        <v>0.5</v>
      </c>
      <c r="H690" s="127">
        <f t="shared" si="948"/>
        <v>0</v>
      </c>
      <c r="I690" s="123">
        <v>4.7E-2</v>
      </c>
      <c r="J690" s="124">
        <f t="shared" si="945"/>
        <v>46283</v>
      </c>
      <c r="K690" s="124">
        <f t="shared" si="903"/>
        <v>46283</v>
      </c>
      <c r="L690" s="126">
        <v>46276</v>
      </c>
      <c r="M690" s="124">
        <f t="shared" si="904"/>
        <v>46325</v>
      </c>
      <c r="N690" s="124">
        <f t="shared" si="905"/>
        <v>46325</v>
      </c>
      <c r="O690" s="124"/>
      <c r="P690" s="124">
        <f t="shared" si="906"/>
        <v>46367</v>
      </c>
      <c r="Q690" s="124">
        <f t="shared" si="907"/>
        <v>46367</v>
      </c>
      <c r="R690" s="124"/>
      <c r="S690" s="124">
        <f t="shared" si="909"/>
        <v>46381</v>
      </c>
      <c r="T690" s="124">
        <f t="shared" si="908"/>
        <v>46381</v>
      </c>
      <c r="U690" s="124"/>
      <c r="W690" s="169" t="str">
        <f t="shared" ca="1" si="899"/>
        <v>Completed</v>
      </c>
      <c r="X690" s="169" t="str">
        <f t="shared" ca="1" si="900"/>
        <v/>
      </c>
      <c r="Y690" s="169" t="str">
        <f t="shared" ca="1" si="901"/>
        <v/>
      </c>
      <c r="Z690" s="170" t="str">
        <f t="shared" ca="1" si="902"/>
        <v/>
      </c>
    </row>
    <row r="691" spans="1:26" s="70" customFormat="1" ht="11.5" x14ac:dyDescent="0.25">
      <c r="A691" s="121" t="s">
        <v>65</v>
      </c>
      <c r="B691" s="121" t="s">
        <v>14</v>
      </c>
      <c r="C691" s="121" t="s">
        <v>763</v>
      </c>
      <c r="D691" s="121" t="s">
        <v>764</v>
      </c>
      <c r="E691" s="127">
        <f t="shared" si="946"/>
        <v>0</v>
      </c>
      <c r="F691" s="127">
        <f t="shared" si="947"/>
        <v>0</v>
      </c>
      <c r="G691" s="127">
        <f t="shared" si="947"/>
        <v>0</v>
      </c>
      <c r="H691" s="127">
        <f t="shared" si="948"/>
        <v>0</v>
      </c>
      <c r="I691" s="123">
        <v>4.7E-2</v>
      </c>
      <c r="J691" s="124">
        <f t="shared" si="945"/>
        <v>46290</v>
      </c>
      <c r="K691" s="124">
        <f t="shared" si="903"/>
        <v>46290</v>
      </c>
      <c r="L691" s="124"/>
      <c r="M691" s="124">
        <f t="shared" si="904"/>
        <v>46332</v>
      </c>
      <c r="N691" s="124">
        <f t="shared" si="905"/>
        <v>46332</v>
      </c>
      <c r="O691" s="124"/>
      <c r="P691" s="124">
        <f t="shared" si="906"/>
        <v>46374</v>
      </c>
      <c r="Q691" s="124">
        <f t="shared" si="907"/>
        <v>46374</v>
      </c>
      <c r="R691" s="124"/>
      <c r="S691" s="124">
        <f t="shared" si="909"/>
        <v>46388</v>
      </c>
      <c r="T691" s="124">
        <f t="shared" si="908"/>
        <v>46388</v>
      </c>
      <c r="U691" s="124"/>
      <c r="W691" s="169" t="str">
        <f t="shared" ca="1" si="899"/>
        <v>Follow-Next Week</v>
      </c>
      <c r="X691" s="169" t="str">
        <f t="shared" ca="1" si="900"/>
        <v/>
      </c>
      <c r="Y691" s="169" t="str">
        <f t="shared" ca="1" si="901"/>
        <v/>
      </c>
      <c r="Z691" s="170" t="str">
        <f t="shared" ca="1" si="902"/>
        <v/>
      </c>
    </row>
    <row r="692" spans="1:26" s="70" customFormat="1" ht="11.5" x14ac:dyDescent="0.25">
      <c r="A692" s="121" t="s">
        <v>65</v>
      </c>
      <c r="B692" s="121" t="s">
        <v>14</v>
      </c>
      <c r="C692" s="121" t="s">
        <v>765</v>
      </c>
      <c r="D692" s="121" t="s">
        <v>766</v>
      </c>
      <c r="E692" s="127">
        <f t="shared" si="946"/>
        <v>0</v>
      </c>
      <c r="F692" s="127">
        <f t="shared" si="947"/>
        <v>0</v>
      </c>
      <c r="G692" s="127">
        <f t="shared" si="947"/>
        <v>0</v>
      </c>
      <c r="H692" s="127">
        <f t="shared" si="948"/>
        <v>0</v>
      </c>
      <c r="I692" s="123">
        <v>4.7E-2</v>
      </c>
      <c r="J692" s="124">
        <f t="shared" si="945"/>
        <v>46290</v>
      </c>
      <c r="K692" s="124">
        <f t="shared" si="903"/>
        <v>46290</v>
      </c>
      <c r="L692" s="124"/>
      <c r="M692" s="124">
        <f t="shared" si="904"/>
        <v>46332</v>
      </c>
      <c r="N692" s="124">
        <f t="shared" si="905"/>
        <v>46332</v>
      </c>
      <c r="O692" s="124"/>
      <c r="P692" s="124">
        <f t="shared" si="906"/>
        <v>46374</v>
      </c>
      <c r="Q692" s="124">
        <f t="shared" si="907"/>
        <v>46374</v>
      </c>
      <c r="R692" s="124"/>
      <c r="S692" s="124">
        <f t="shared" si="909"/>
        <v>46388</v>
      </c>
      <c r="T692" s="124">
        <f t="shared" si="908"/>
        <v>46388</v>
      </c>
      <c r="U692" s="124"/>
      <c r="W692" s="169" t="str">
        <f t="shared" ca="1" si="899"/>
        <v>Follow-Next Week</v>
      </c>
      <c r="X692" s="169" t="str">
        <f t="shared" ca="1" si="900"/>
        <v/>
      </c>
      <c r="Y692" s="169" t="str">
        <f t="shared" ca="1" si="901"/>
        <v/>
      </c>
      <c r="Z692" s="170" t="str">
        <f t="shared" ca="1" si="902"/>
        <v/>
      </c>
    </row>
    <row r="693" spans="1:26" s="70" customFormat="1" ht="11.5" x14ac:dyDescent="0.25">
      <c r="A693" s="120" t="s">
        <v>65</v>
      </c>
      <c r="B693" s="120" t="s">
        <v>14</v>
      </c>
      <c r="C693" s="121" t="s">
        <v>767</v>
      </c>
      <c r="D693" s="121" t="s">
        <v>768</v>
      </c>
      <c r="E693" s="122">
        <f t="shared" si="946"/>
        <v>0</v>
      </c>
      <c r="F693" s="122">
        <f t="shared" si="947"/>
        <v>0</v>
      </c>
      <c r="G693" s="122">
        <f t="shared" si="947"/>
        <v>0</v>
      </c>
      <c r="H693" s="122">
        <f t="shared" si="948"/>
        <v>0</v>
      </c>
      <c r="I693" s="123">
        <v>4.7E-2</v>
      </c>
      <c r="J693" s="124">
        <f t="shared" si="945"/>
        <v>46290</v>
      </c>
      <c r="K693" s="124">
        <f t="shared" si="903"/>
        <v>46290</v>
      </c>
      <c r="L693" s="124"/>
      <c r="M693" s="124">
        <f t="shared" si="904"/>
        <v>46332</v>
      </c>
      <c r="N693" s="124">
        <f t="shared" si="905"/>
        <v>46332</v>
      </c>
      <c r="O693" s="124"/>
      <c r="P693" s="124">
        <f t="shared" si="906"/>
        <v>46374</v>
      </c>
      <c r="Q693" s="124">
        <f t="shared" si="907"/>
        <v>46374</v>
      </c>
      <c r="R693" s="124"/>
      <c r="S693" s="124">
        <f t="shared" si="909"/>
        <v>46388</v>
      </c>
      <c r="T693" s="124">
        <f t="shared" si="908"/>
        <v>46388</v>
      </c>
      <c r="U693" s="124"/>
      <c r="W693" s="169" t="str">
        <f t="shared" ca="1" si="899"/>
        <v>Follow-Next Week</v>
      </c>
      <c r="X693" s="169" t="str">
        <f t="shared" ca="1" si="900"/>
        <v/>
      </c>
      <c r="Y693" s="169" t="str">
        <f t="shared" ca="1" si="901"/>
        <v/>
      </c>
      <c r="Z693" s="170" t="str">
        <f t="shared" ca="1" si="902"/>
        <v/>
      </c>
    </row>
    <row r="694" spans="1:26" s="70" customFormat="1" ht="11.5" x14ac:dyDescent="0.25">
      <c r="A694" s="120" t="s">
        <v>65</v>
      </c>
      <c r="B694" s="120" t="s">
        <v>14</v>
      </c>
      <c r="C694" s="121" t="s">
        <v>1073</v>
      </c>
      <c r="D694" s="121" t="s">
        <v>769</v>
      </c>
      <c r="E694" s="122">
        <f t="shared" si="946"/>
        <v>0</v>
      </c>
      <c r="F694" s="122">
        <f t="shared" si="947"/>
        <v>0</v>
      </c>
      <c r="G694" s="122">
        <f t="shared" si="947"/>
        <v>0.7</v>
      </c>
      <c r="H694" s="122">
        <f t="shared" si="948"/>
        <v>0.7</v>
      </c>
      <c r="I694" s="123">
        <v>4.7E-2</v>
      </c>
      <c r="J694" s="124">
        <f t="shared" si="945"/>
        <v>46290</v>
      </c>
      <c r="K694" s="124">
        <f t="shared" si="903"/>
        <v>46290</v>
      </c>
      <c r="L694" s="133">
        <v>46269</v>
      </c>
      <c r="M694" s="124">
        <f t="shared" si="904"/>
        <v>46332</v>
      </c>
      <c r="N694" s="124">
        <f t="shared" si="905"/>
        <v>46332</v>
      </c>
      <c r="O694" s="161">
        <v>46281</v>
      </c>
      <c r="P694" s="124">
        <f t="shared" si="906"/>
        <v>46374</v>
      </c>
      <c r="Q694" s="124">
        <f t="shared" si="907"/>
        <v>46374</v>
      </c>
      <c r="R694" s="124"/>
      <c r="S694" s="124">
        <f t="shared" si="909"/>
        <v>46388</v>
      </c>
      <c r="T694" s="124">
        <f t="shared" si="908"/>
        <v>46388</v>
      </c>
      <c r="U694" s="124"/>
      <c r="W694" s="169" t="str">
        <f t="shared" ca="1" si="899"/>
        <v>Completed</v>
      </c>
      <c r="X694" s="169" t="str">
        <f t="shared" ca="1" si="900"/>
        <v>Completed</v>
      </c>
      <c r="Y694" s="169" t="str">
        <f t="shared" ca="1" si="901"/>
        <v/>
      </c>
      <c r="Z694" s="170" t="str">
        <f t="shared" ca="1" si="902"/>
        <v/>
      </c>
    </row>
    <row r="695" spans="1:26" s="70" customFormat="1" ht="11.5" x14ac:dyDescent="0.25">
      <c r="A695" s="120" t="s">
        <v>65</v>
      </c>
      <c r="B695" s="120" t="s">
        <v>14</v>
      </c>
      <c r="C695" s="121" t="s">
        <v>1074</v>
      </c>
      <c r="D695" s="121" t="s">
        <v>770</v>
      </c>
      <c r="E695" s="122">
        <f t="shared" si="946"/>
        <v>0</v>
      </c>
      <c r="F695" s="122">
        <f t="shared" si="947"/>
        <v>0</v>
      </c>
      <c r="G695" s="122">
        <f t="shared" si="947"/>
        <v>0.7</v>
      </c>
      <c r="H695" s="122">
        <f t="shared" si="948"/>
        <v>0.7</v>
      </c>
      <c r="I695" s="123">
        <v>4.7E-2</v>
      </c>
      <c r="J695" s="124">
        <f t="shared" si="945"/>
        <v>46290</v>
      </c>
      <c r="K695" s="124">
        <f t="shared" si="903"/>
        <v>46290</v>
      </c>
      <c r="L695" s="133">
        <v>46269</v>
      </c>
      <c r="M695" s="124">
        <f t="shared" si="904"/>
        <v>46332</v>
      </c>
      <c r="N695" s="124">
        <f t="shared" si="905"/>
        <v>46332</v>
      </c>
      <c r="O695" s="161">
        <v>46281</v>
      </c>
      <c r="P695" s="124">
        <f t="shared" si="906"/>
        <v>46374</v>
      </c>
      <c r="Q695" s="124">
        <f t="shared" si="907"/>
        <v>46374</v>
      </c>
      <c r="R695" s="124"/>
      <c r="S695" s="124">
        <f t="shared" si="909"/>
        <v>46388</v>
      </c>
      <c r="T695" s="124">
        <f t="shared" si="908"/>
        <v>46388</v>
      </c>
      <c r="U695" s="124"/>
      <c r="W695" s="169" t="str">
        <f t="shared" ca="1" si="899"/>
        <v>Completed</v>
      </c>
      <c r="X695" s="169" t="str">
        <f t="shared" ca="1" si="900"/>
        <v>Completed</v>
      </c>
      <c r="Y695" s="169" t="str">
        <f t="shared" ca="1" si="901"/>
        <v/>
      </c>
      <c r="Z695" s="170" t="str">
        <f t="shared" ca="1" si="902"/>
        <v/>
      </c>
    </row>
    <row r="696" spans="1:26" s="70" customFormat="1" ht="11.5" x14ac:dyDescent="0.25">
      <c r="A696" s="120" t="s">
        <v>65</v>
      </c>
      <c r="B696" s="120" t="s">
        <v>14</v>
      </c>
      <c r="C696" s="121" t="s">
        <v>1075</v>
      </c>
      <c r="D696" s="121" t="s">
        <v>771</v>
      </c>
      <c r="E696" s="122">
        <f t="shared" si="946"/>
        <v>0</v>
      </c>
      <c r="F696" s="122">
        <f t="shared" si="947"/>
        <v>0</v>
      </c>
      <c r="G696" s="122">
        <f t="shared" si="947"/>
        <v>0.7</v>
      </c>
      <c r="H696" s="122">
        <f t="shared" si="948"/>
        <v>0.7</v>
      </c>
      <c r="I696" s="123">
        <v>4.7E-2</v>
      </c>
      <c r="J696" s="124">
        <f t="shared" si="945"/>
        <v>46290</v>
      </c>
      <c r="K696" s="124">
        <f t="shared" si="903"/>
        <v>46290</v>
      </c>
      <c r="L696" s="133">
        <v>46269</v>
      </c>
      <c r="M696" s="124">
        <f t="shared" si="904"/>
        <v>46332</v>
      </c>
      <c r="N696" s="124">
        <f t="shared" si="905"/>
        <v>46332</v>
      </c>
      <c r="O696" s="161">
        <v>46281</v>
      </c>
      <c r="P696" s="124">
        <f t="shared" si="906"/>
        <v>46374</v>
      </c>
      <c r="Q696" s="124">
        <f t="shared" si="907"/>
        <v>46374</v>
      </c>
      <c r="R696" s="124"/>
      <c r="S696" s="124">
        <f t="shared" si="909"/>
        <v>46388</v>
      </c>
      <c r="T696" s="124">
        <f t="shared" si="908"/>
        <v>46388</v>
      </c>
      <c r="U696" s="124"/>
      <c r="W696" s="169" t="str">
        <f t="shared" ca="1" si="899"/>
        <v>Completed</v>
      </c>
      <c r="X696" s="169" t="str">
        <f t="shared" ca="1" si="900"/>
        <v>Completed</v>
      </c>
      <c r="Y696" s="169" t="str">
        <f t="shared" ca="1" si="901"/>
        <v/>
      </c>
      <c r="Z696" s="170" t="str">
        <f t="shared" ca="1" si="902"/>
        <v/>
      </c>
    </row>
    <row r="697" spans="1:26" s="70" customFormat="1" ht="11.5" x14ac:dyDescent="0.25">
      <c r="A697" s="120" t="s">
        <v>65</v>
      </c>
      <c r="B697" s="120" t="s">
        <v>14</v>
      </c>
      <c r="C697" s="121" t="s">
        <v>1076</v>
      </c>
      <c r="D697" s="121" t="s">
        <v>772</v>
      </c>
      <c r="E697" s="122">
        <f t="shared" si="946"/>
        <v>0</v>
      </c>
      <c r="F697" s="122">
        <f t="shared" si="947"/>
        <v>0</v>
      </c>
      <c r="G697" s="122">
        <f t="shared" si="947"/>
        <v>0.7</v>
      </c>
      <c r="H697" s="122">
        <f t="shared" si="948"/>
        <v>0.7</v>
      </c>
      <c r="I697" s="123">
        <v>4.7E-2</v>
      </c>
      <c r="J697" s="124">
        <f t="shared" si="945"/>
        <v>46290</v>
      </c>
      <c r="K697" s="124">
        <f t="shared" si="903"/>
        <v>46290</v>
      </c>
      <c r="L697" s="133">
        <v>46269</v>
      </c>
      <c r="M697" s="124">
        <f t="shared" si="904"/>
        <v>46332</v>
      </c>
      <c r="N697" s="124">
        <f t="shared" si="905"/>
        <v>46332</v>
      </c>
      <c r="O697" s="161">
        <v>46281</v>
      </c>
      <c r="P697" s="124">
        <f t="shared" si="906"/>
        <v>46374</v>
      </c>
      <c r="Q697" s="124">
        <f t="shared" si="907"/>
        <v>46374</v>
      </c>
      <c r="R697" s="124"/>
      <c r="S697" s="124">
        <f t="shared" si="909"/>
        <v>46388</v>
      </c>
      <c r="T697" s="124">
        <f t="shared" si="908"/>
        <v>46388</v>
      </c>
      <c r="U697" s="124"/>
      <c r="W697" s="169" t="str">
        <f t="shared" ca="1" si="899"/>
        <v>Completed</v>
      </c>
      <c r="X697" s="169" t="str">
        <f t="shared" ca="1" si="900"/>
        <v>Completed</v>
      </c>
      <c r="Y697" s="169" t="str">
        <f t="shared" ca="1" si="901"/>
        <v/>
      </c>
      <c r="Z697" s="170" t="str">
        <f t="shared" ca="1" si="902"/>
        <v/>
      </c>
    </row>
    <row r="698" spans="1:26" s="70" customFormat="1" ht="11.5" x14ac:dyDescent="0.25">
      <c r="A698" s="120" t="s">
        <v>65</v>
      </c>
      <c r="B698" s="120" t="s">
        <v>14</v>
      </c>
      <c r="C698" s="121" t="s">
        <v>1077</v>
      </c>
      <c r="D698" s="121" t="s">
        <v>773</v>
      </c>
      <c r="E698" s="122">
        <f t="shared" si="946"/>
        <v>0</v>
      </c>
      <c r="F698" s="122">
        <f t="shared" si="947"/>
        <v>0</v>
      </c>
      <c r="G698" s="122">
        <f t="shared" si="947"/>
        <v>0.7</v>
      </c>
      <c r="H698" s="122">
        <f t="shared" si="948"/>
        <v>0.7</v>
      </c>
      <c r="I698" s="123">
        <v>4.7E-2</v>
      </c>
      <c r="J698" s="124">
        <f t="shared" si="945"/>
        <v>46290</v>
      </c>
      <c r="K698" s="124">
        <f t="shared" si="903"/>
        <v>46290</v>
      </c>
      <c r="L698" s="133">
        <v>46269</v>
      </c>
      <c r="M698" s="124">
        <f t="shared" si="904"/>
        <v>46332</v>
      </c>
      <c r="N698" s="124">
        <f t="shared" si="905"/>
        <v>46332</v>
      </c>
      <c r="O698" s="161">
        <v>46281</v>
      </c>
      <c r="P698" s="124">
        <f t="shared" si="906"/>
        <v>46374</v>
      </c>
      <c r="Q698" s="124">
        <f t="shared" si="907"/>
        <v>46374</v>
      </c>
      <c r="R698" s="124"/>
      <c r="S698" s="124">
        <f t="shared" si="909"/>
        <v>46388</v>
      </c>
      <c r="T698" s="124">
        <f t="shared" si="908"/>
        <v>46388</v>
      </c>
      <c r="U698" s="124"/>
      <c r="W698" s="169" t="str">
        <f t="shared" ca="1" si="899"/>
        <v>Completed</v>
      </c>
      <c r="X698" s="169" t="str">
        <f t="shared" ca="1" si="900"/>
        <v>Completed</v>
      </c>
      <c r="Y698" s="169" t="str">
        <f t="shared" ca="1" si="901"/>
        <v/>
      </c>
      <c r="Z698" s="170" t="str">
        <f t="shared" ca="1" si="902"/>
        <v/>
      </c>
    </row>
    <row r="699" spans="1:26" s="70" customFormat="1" ht="11.5" x14ac:dyDescent="0.25">
      <c r="A699" s="120" t="s">
        <v>65</v>
      </c>
      <c r="B699" s="120" t="s">
        <v>14</v>
      </c>
      <c r="C699" s="121" t="s">
        <v>1078</v>
      </c>
      <c r="D699" s="121" t="s">
        <v>774</v>
      </c>
      <c r="E699" s="122">
        <f t="shared" si="946"/>
        <v>0</v>
      </c>
      <c r="F699" s="122">
        <f t="shared" si="947"/>
        <v>0</v>
      </c>
      <c r="G699" s="122">
        <f t="shared" si="947"/>
        <v>0.7</v>
      </c>
      <c r="H699" s="122">
        <f t="shared" si="948"/>
        <v>0.7</v>
      </c>
      <c r="I699" s="123">
        <v>4.7E-2</v>
      </c>
      <c r="J699" s="124">
        <f t="shared" si="945"/>
        <v>46290</v>
      </c>
      <c r="K699" s="124">
        <f t="shared" si="903"/>
        <v>46290</v>
      </c>
      <c r="L699" s="133">
        <v>46269</v>
      </c>
      <c r="M699" s="124">
        <f t="shared" si="904"/>
        <v>46332</v>
      </c>
      <c r="N699" s="124">
        <f t="shared" si="905"/>
        <v>46332</v>
      </c>
      <c r="O699" s="161">
        <v>46281</v>
      </c>
      <c r="P699" s="124">
        <f t="shared" si="906"/>
        <v>46374</v>
      </c>
      <c r="Q699" s="124">
        <f t="shared" si="907"/>
        <v>46374</v>
      </c>
      <c r="R699" s="124"/>
      <c r="S699" s="124">
        <f t="shared" si="909"/>
        <v>46388</v>
      </c>
      <c r="T699" s="124">
        <f t="shared" si="908"/>
        <v>46388</v>
      </c>
      <c r="U699" s="124"/>
      <c r="W699" s="169" t="str">
        <f t="shared" ca="1" si="899"/>
        <v>Completed</v>
      </c>
      <c r="X699" s="169" t="str">
        <f t="shared" ca="1" si="900"/>
        <v>Completed</v>
      </c>
      <c r="Y699" s="169" t="str">
        <f t="shared" ca="1" si="901"/>
        <v/>
      </c>
      <c r="Z699" s="170" t="str">
        <f t="shared" ca="1" si="902"/>
        <v/>
      </c>
    </row>
    <row r="700" spans="1:26" s="70" customFormat="1" ht="11.5" x14ac:dyDescent="0.25">
      <c r="A700" s="120" t="s">
        <v>65</v>
      </c>
      <c r="B700" s="120" t="s">
        <v>14</v>
      </c>
      <c r="C700" s="121" t="s">
        <v>775</v>
      </c>
      <c r="D700" s="121" t="s">
        <v>776</v>
      </c>
      <c r="E700" s="122">
        <f t="shared" si="946"/>
        <v>0</v>
      </c>
      <c r="F700" s="122">
        <f t="shared" si="947"/>
        <v>0</v>
      </c>
      <c r="G700" s="122">
        <f t="shared" si="947"/>
        <v>0</v>
      </c>
      <c r="H700" s="122">
        <f t="shared" si="948"/>
        <v>0</v>
      </c>
      <c r="I700" s="123">
        <v>4.7E-2</v>
      </c>
      <c r="J700" s="124">
        <f t="shared" si="945"/>
        <v>46290</v>
      </c>
      <c r="K700" s="124">
        <f t="shared" si="903"/>
        <v>46290</v>
      </c>
      <c r="L700" s="124"/>
      <c r="M700" s="124">
        <f t="shared" si="904"/>
        <v>46332</v>
      </c>
      <c r="N700" s="124">
        <f t="shared" si="905"/>
        <v>46332</v>
      </c>
      <c r="O700" s="124"/>
      <c r="P700" s="124">
        <f t="shared" si="906"/>
        <v>46374</v>
      </c>
      <c r="Q700" s="124">
        <f t="shared" si="907"/>
        <v>46374</v>
      </c>
      <c r="R700" s="124"/>
      <c r="S700" s="124">
        <f t="shared" si="909"/>
        <v>46388</v>
      </c>
      <c r="T700" s="124">
        <f t="shared" si="908"/>
        <v>46388</v>
      </c>
      <c r="U700" s="124"/>
      <c r="W700" s="169" t="str">
        <f t="shared" ca="1" si="899"/>
        <v>Follow-Next Week</v>
      </c>
      <c r="X700" s="169" t="str">
        <f t="shared" ca="1" si="900"/>
        <v/>
      </c>
      <c r="Y700" s="169" t="str">
        <f t="shared" ca="1" si="901"/>
        <v/>
      </c>
      <c r="Z700" s="170" t="str">
        <f t="shared" ca="1" si="902"/>
        <v/>
      </c>
    </row>
    <row r="701" spans="1:26" s="70" customFormat="1" ht="11.5" x14ac:dyDescent="0.25">
      <c r="A701" s="120" t="s">
        <v>65</v>
      </c>
      <c r="B701" s="120" t="s">
        <v>14</v>
      </c>
      <c r="C701" s="121" t="s">
        <v>777</v>
      </c>
      <c r="D701" s="121" t="s">
        <v>778</v>
      </c>
      <c r="E701" s="122">
        <f t="shared" si="946"/>
        <v>0</v>
      </c>
      <c r="F701" s="122">
        <f t="shared" si="947"/>
        <v>0</v>
      </c>
      <c r="G701" s="122">
        <f t="shared" si="947"/>
        <v>0</v>
      </c>
      <c r="H701" s="122">
        <f t="shared" si="948"/>
        <v>0</v>
      </c>
      <c r="I701" s="123">
        <v>4.7E-2</v>
      </c>
      <c r="J701" s="124">
        <f t="shared" si="945"/>
        <v>46290</v>
      </c>
      <c r="K701" s="124">
        <f t="shared" si="903"/>
        <v>46290</v>
      </c>
      <c r="L701" s="124"/>
      <c r="M701" s="124">
        <f t="shared" si="904"/>
        <v>46332</v>
      </c>
      <c r="N701" s="124">
        <f t="shared" si="905"/>
        <v>46332</v>
      </c>
      <c r="O701" s="124"/>
      <c r="P701" s="124">
        <f t="shared" si="906"/>
        <v>46374</v>
      </c>
      <c r="Q701" s="124">
        <f t="shared" si="907"/>
        <v>46374</v>
      </c>
      <c r="R701" s="124"/>
      <c r="S701" s="124">
        <f t="shared" si="909"/>
        <v>46388</v>
      </c>
      <c r="T701" s="124">
        <f t="shared" si="908"/>
        <v>46388</v>
      </c>
      <c r="U701" s="124"/>
      <c r="W701" s="169" t="str">
        <f t="shared" ca="1" si="899"/>
        <v>Follow-Next Week</v>
      </c>
      <c r="X701" s="169" t="str">
        <f t="shared" ca="1" si="900"/>
        <v/>
      </c>
      <c r="Y701" s="169" t="str">
        <f t="shared" ca="1" si="901"/>
        <v/>
      </c>
      <c r="Z701" s="170" t="str">
        <f t="shared" ca="1" si="902"/>
        <v/>
      </c>
    </row>
    <row r="702" spans="1:26" s="70" customFormat="1" ht="11.5" x14ac:dyDescent="0.25">
      <c r="A702" s="120" t="s">
        <v>65</v>
      </c>
      <c r="B702" s="120" t="s">
        <v>14</v>
      </c>
      <c r="C702" s="121" t="s">
        <v>779</v>
      </c>
      <c r="D702" s="121" t="s">
        <v>780</v>
      </c>
      <c r="E702" s="122">
        <f t="shared" si="946"/>
        <v>0</v>
      </c>
      <c r="F702" s="122">
        <f t="shared" si="947"/>
        <v>0</v>
      </c>
      <c r="G702" s="122">
        <f t="shared" si="947"/>
        <v>0</v>
      </c>
      <c r="H702" s="122">
        <f t="shared" si="948"/>
        <v>0</v>
      </c>
      <c r="I702" s="123">
        <v>4.7E-2</v>
      </c>
      <c r="J702" s="124">
        <f t="shared" si="945"/>
        <v>46290</v>
      </c>
      <c r="K702" s="124">
        <f t="shared" si="903"/>
        <v>46290</v>
      </c>
      <c r="L702" s="124"/>
      <c r="M702" s="124">
        <f t="shared" si="904"/>
        <v>46332</v>
      </c>
      <c r="N702" s="124">
        <f t="shared" si="905"/>
        <v>46332</v>
      </c>
      <c r="O702" s="124"/>
      <c r="P702" s="124">
        <f t="shared" si="906"/>
        <v>46374</v>
      </c>
      <c r="Q702" s="124">
        <f t="shared" si="907"/>
        <v>46374</v>
      </c>
      <c r="R702" s="124"/>
      <c r="S702" s="124">
        <f t="shared" si="909"/>
        <v>46388</v>
      </c>
      <c r="T702" s="124">
        <f t="shared" si="908"/>
        <v>46388</v>
      </c>
      <c r="U702" s="124"/>
      <c r="W702" s="169" t="str">
        <f t="shared" ref="W702:W705" ca="1" si="949">IF(OR(L702&lt;&gt;""),"Completed",
IF(K702="","",IF(K702&lt;TODAY(),"Overdue",
IF(AND(K702&gt;=TODAY()-WEEKDAY(TODAY(),2)+1,K702&lt;=TODAY()-WEEKDAY(TODAY(),2)+7),"Follow-This Week",
IF(AND(K702&gt;=TODAY()-WEEKDAY(TODAY(),2)+8,K702&lt;=TODAY()-WEEKDAY(TODAY(),2)+14),"Follow-Next Week","")))))</f>
        <v>Follow-Next Week</v>
      </c>
      <c r="X702" s="169" t="str">
        <f t="shared" ref="X702:X705" ca="1" si="950">IF(OR(O702&lt;&gt;""),"Completed",IF(N702="","",
IF(N702&lt;TODAY(),"Overdue",
IF(AND(N702&gt;=TODAY()-WEEKDAY(TODAY(),2)+1,N702&lt;=TODAY()-WEEKDAY(TODAY(),2)+7),"Follow-This Week",
IF(AND(N702&gt;=TODAY()-WEEKDAY(TODAY(),2)+8,N702&lt;=TODAY()-WEEKDAY(TODAY(),2)+14),"Follow-Next Week","")))))</f>
        <v/>
      </c>
      <c r="Y702" s="169" t="str">
        <f t="shared" ref="Y702:Y706" ca="1" si="951">IF(OR(R702&lt;&gt;""),"Completed",IF(Q702="","",
IF(Q702&lt;TODAY(),"Overdue",
IF(AND(Q702&gt;=TODAY()-WEEKDAY(TODAY(),2)+1,Q702&lt;=TODAY()-WEEKDAY(TODAY(),2)+7),"Follow-This Week",
IF(AND(Q702&gt;=TODAY()-WEEKDAY(TODAY(),2)+8,Q702&lt;=TODAY()-WEEKDAY(TODAY(),2)+14),"Follow-Next Week","")))))</f>
        <v/>
      </c>
      <c r="Z702" s="170" t="str">
        <f t="shared" ref="Z702:Z706" ca="1" si="952">IF(OR(U702&lt;&gt;""),"Completed",IF(T702="","",
IF(T702&lt;TODAY(),"Overdue",
IF(AND(T702&gt;=TODAY()-WEEKDAY(TODAY(),2)+1,T702&lt;=TODAY()-WEEKDAY(TODAY(),2)+7),"Follow-This Week",
IF(AND(T702&gt;=TODAY()-WEEKDAY(TODAY(),2)+8,T702&lt;=TODAY()-WEEKDAY(TODAY(),2)+14),"Follow-Next Week","")))))</f>
        <v/>
      </c>
    </row>
    <row r="703" spans="1:26" s="70" customFormat="1" ht="11.5" x14ac:dyDescent="0.25">
      <c r="A703" s="120" t="s">
        <v>65</v>
      </c>
      <c r="B703" s="120" t="s">
        <v>14</v>
      </c>
      <c r="C703" s="120" t="s">
        <v>1079</v>
      </c>
      <c r="D703" s="120" t="s">
        <v>781</v>
      </c>
      <c r="E703" s="122">
        <f t="shared" si="946"/>
        <v>0</v>
      </c>
      <c r="F703" s="122">
        <f t="shared" si="947"/>
        <v>0</v>
      </c>
      <c r="G703" s="122">
        <f t="shared" si="947"/>
        <v>0.5</v>
      </c>
      <c r="H703" s="122">
        <f t="shared" si="948"/>
        <v>0.5</v>
      </c>
      <c r="I703" s="123">
        <v>4.7E-2</v>
      </c>
      <c r="J703" s="124">
        <f t="shared" si="945"/>
        <v>46290</v>
      </c>
      <c r="K703" s="124">
        <f t="shared" si="903"/>
        <v>46290</v>
      </c>
      <c r="L703" s="126">
        <v>46276</v>
      </c>
      <c r="M703" s="124">
        <f t="shared" si="904"/>
        <v>46332</v>
      </c>
      <c r="N703" s="124">
        <f t="shared" si="905"/>
        <v>46332</v>
      </c>
      <c r="O703" s="124"/>
      <c r="P703" s="124">
        <f t="shared" si="906"/>
        <v>46374</v>
      </c>
      <c r="Q703" s="124">
        <f t="shared" si="907"/>
        <v>46374</v>
      </c>
      <c r="R703" s="124"/>
      <c r="S703" s="124">
        <f t="shared" si="909"/>
        <v>46388</v>
      </c>
      <c r="T703" s="124">
        <f t="shared" si="908"/>
        <v>46388</v>
      </c>
      <c r="U703" s="124"/>
      <c r="W703" s="169" t="str">
        <f t="shared" ca="1" si="949"/>
        <v>Completed</v>
      </c>
      <c r="X703" s="169" t="str">
        <f t="shared" ca="1" si="950"/>
        <v/>
      </c>
      <c r="Y703" s="169" t="str">
        <f t="shared" ca="1" si="951"/>
        <v/>
      </c>
      <c r="Z703" s="170" t="str">
        <f t="shared" ca="1" si="952"/>
        <v/>
      </c>
    </row>
    <row r="704" spans="1:26" s="70" customFormat="1" ht="11.5" x14ac:dyDescent="0.25">
      <c r="A704" s="120" t="s">
        <v>65</v>
      </c>
      <c r="B704" s="120" t="s">
        <v>14</v>
      </c>
      <c r="C704" s="120" t="s">
        <v>782</v>
      </c>
      <c r="D704" s="120" t="s">
        <v>783</v>
      </c>
      <c r="E704" s="122">
        <f t="shared" si="946"/>
        <v>0</v>
      </c>
      <c r="F704" s="122">
        <f t="shared" si="947"/>
        <v>0</v>
      </c>
      <c r="G704" s="122">
        <f t="shared" si="947"/>
        <v>0</v>
      </c>
      <c r="H704" s="122">
        <f t="shared" si="948"/>
        <v>0</v>
      </c>
      <c r="I704" s="123">
        <v>4.7E-2</v>
      </c>
      <c r="J704" s="124">
        <f t="shared" si="945"/>
        <v>46290</v>
      </c>
      <c r="K704" s="124">
        <f t="shared" si="903"/>
        <v>46290</v>
      </c>
      <c r="L704" s="124"/>
      <c r="M704" s="124">
        <f t="shared" si="904"/>
        <v>46332</v>
      </c>
      <c r="N704" s="124">
        <f t="shared" si="905"/>
        <v>46332</v>
      </c>
      <c r="O704" s="124"/>
      <c r="P704" s="124">
        <f t="shared" si="906"/>
        <v>46374</v>
      </c>
      <c r="Q704" s="124">
        <f t="shared" si="907"/>
        <v>46374</v>
      </c>
      <c r="R704" s="124"/>
      <c r="S704" s="124">
        <f t="shared" si="909"/>
        <v>46388</v>
      </c>
      <c r="T704" s="124">
        <f t="shared" si="908"/>
        <v>46388</v>
      </c>
      <c r="U704" s="124"/>
      <c r="W704" s="169" t="str">
        <f t="shared" ca="1" si="949"/>
        <v>Follow-Next Week</v>
      </c>
      <c r="X704" s="169" t="str">
        <f t="shared" ca="1" si="950"/>
        <v/>
      </c>
      <c r="Y704" s="169" t="str">
        <f t="shared" ca="1" si="951"/>
        <v/>
      </c>
      <c r="Z704" s="170" t="str">
        <f t="shared" ca="1" si="952"/>
        <v/>
      </c>
    </row>
    <row r="705" spans="1:26" s="70" customFormat="1" ht="11.5" x14ac:dyDescent="0.25">
      <c r="A705" s="120" t="s">
        <v>65</v>
      </c>
      <c r="B705" s="120" t="s">
        <v>14</v>
      </c>
      <c r="C705" s="120" t="s">
        <v>784</v>
      </c>
      <c r="D705" s="120" t="s">
        <v>785</v>
      </c>
      <c r="E705" s="122">
        <f t="shared" si="946"/>
        <v>0</v>
      </c>
      <c r="F705" s="122">
        <f t="shared" si="947"/>
        <v>0</v>
      </c>
      <c r="G705" s="122">
        <f t="shared" si="947"/>
        <v>0</v>
      </c>
      <c r="H705" s="122">
        <f t="shared" si="948"/>
        <v>0</v>
      </c>
      <c r="I705" s="123">
        <v>4.7E-2</v>
      </c>
      <c r="J705" s="124">
        <f t="shared" si="945"/>
        <v>46290</v>
      </c>
      <c r="K705" s="124">
        <f t="shared" si="903"/>
        <v>46290</v>
      </c>
      <c r="L705" s="124"/>
      <c r="M705" s="124">
        <f t="shared" si="904"/>
        <v>46332</v>
      </c>
      <c r="N705" s="124">
        <f t="shared" si="905"/>
        <v>46332</v>
      </c>
      <c r="O705" s="124"/>
      <c r="P705" s="124">
        <f t="shared" si="906"/>
        <v>46374</v>
      </c>
      <c r="Q705" s="124">
        <f t="shared" si="907"/>
        <v>46374</v>
      </c>
      <c r="R705" s="124"/>
      <c r="S705" s="124">
        <f t="shared" si="909"/>
        <v>46388</v>
      </c>
      <c r="T705" s="124">
        <f t="shared" si="908"/>
        <v>46388</v>
      </c>
      <c r="U705" s="124"/>
      <c r="W705" s="169" t="str">
        <f t="shared" ca="1" si="949"/>
        <v>Follow-Next Week</v>
      </c>
      <c r="X705" s="169" t="str">
        <f t="shared" ca="1" si="950"/>
        <v/>
      </c>
      <c r="Y705" s="169" t="str">
        <f t="shared" ca="1" si="951"/>
        <v/>
      </c>
      <c r="Z705" s="170" t="str">
        <f t="shared" ca="1" si="952"/>
        <v/>
      </c>
    </row>
    <row r="706" spans="1:26" s="70" customFormat="1" ht="12" thickBot="1" x14ac:dyDescent="0.3">
      <c r="A706" s="120" t="s">
        <v>65</v>
      </c>
      <c r="B706" s="120" t="s">
        <v>14</v>
      </c>
      <c r="C706" s="120" t="s">
        <v>42</v>
      </c>
      <c r="D706" s="120" t="s">
        <v>786</v>
      </c>
      <c r="E706" s="122">
        <f t="shared" si="946"/>
        <v>0</v>
      </c>
      <c r="F706" s="122">
        <f t="shared" si="947"/>
        <v>0</v>
      </c>
      <c r="G706" s="122">
        <f t="shared" si="947"/>
        <v>0</v>
      </c>
      <c r="H706" s="122">
        <f t="shared" si="948"/>
        <v>0</v>
      </c>
      <c r="I706" s="125">
        <v>1.5</v>
      </c>
      <c r="J706" s="124"/>
      <c r="K706" s="124"/>
      <c r="L706" s="124"/>
      <c r="M706" s="124"/>
      <c r="N706" s="124"/>
      <c r="O706" s="124"/>
      <c r="P706" s="124"/>
      <c r="Q706" s="124"/>
      <c r="R706" s="124"/>
      <c r="S706" s="124"/>
      <c r="T706" s="124"/>
      <c r="U706" s="124"/>
      <c r="W706" s="171" t="str">
        <f ca="1">IF(OR(L706&lt;&gt;""),"Completed",
IF(K706="","",IF(K706&lt;TODAY(),"Overdue",
IF(AND(K706&gt;=TODAY()-WEEKDAY(TODAY(),2)+1,K706&lt;=TODAY()-WEEKDAY(TODAY(),2)+7),"Follow-This Week",
IF(AND(K706&gt;=TODAY()-WEEKDAY(TODAY(),2)+8,K706&lt;=TODAY()-WEEKDAY(TODAY(),2)+14),"Follow-Next Week","")))))</f>
        <v/>
      </c>
      <c r="X706" s="171" t="str">
        <f ca="1">IF(OR(O706&lt;&gt;""),"Completed",IF(N706="","",
IF(N706&lt;TODAY(),"Overdue",
IF(AND(N706&gt;=TODAY()-WEEKDAY(TODAY(),2)+1,N706&lt;=TODAY()-WEEKDAY(TODAY(),2)+7),"Follow-This Week",
IF(AND(N706&gt;=TODAY()-WEEKDAY(TODAY(),2)+8,N706&lt;=TODAY()-WEEKDAY(TODAY(),2)+14),"Follow-Next Week","")))))</f>
        <v/>
      </c>
      <c r="Y706" s="171" t="str">
        <f t="shared" ca="1" si="951"/>
        <v/>
      </c>
      <c r="Z706" s="172" t="str">
        <f t="shared" ca="1" si="952"/>
        <v/>
      </c>
    </row>
    <row r="707" spans="1:26" x14ac:dyDescent="0.35">
      <c r="D707" s="88"/>
      <c r="F707" s="2" t="s">
        <v>41</v>
      </c>
      <c r="G707" s="2"/>
      <c r="H707" s="2"/>
      <c r="I707" s="72">
        <f>SUM(I4:I706)</f>
        <v>99.999999999998963</v>
      </c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83"/>
      <c r="U707" s="2"/>
    </row>
  </sheetData>
  <autoFilter ref="A3:U707" xr:uid="{5A1295D6-99E8-46B3-B573-A79B1DC59D48}"/>
  <mergeCells count="5">
    <mergeCell ref="J2:L2"/>
    <mergeCell ref="M2:O2"/>
    <mergeCell ref="P2:R2"/>
    <mergeCell ref="S2:U2"/>
    <mergeCell ref="W2:Z2"/>
  </mergeCells>
  <phoneticPr fontId="31" type="noConversion"/>
  <conditionalFormatting sqref="J62:K62 Q135:Q139 T135:T139 J29:K38 N29:N38 Q29:Q38 T29:T38 J74:J114 N135:N139 K139 J139:J164">
    <cfRule type="expression" dxfId="11" priority="154">
      <formula>"if $G$4&gt;$C$1 and $H$4 is ""null"""</formula>
    </cfRule>
  </conditionalFormatting>
  <conditionalFormatting sqref="J62:K65 Q133:Q164 T133:T164 J15:K41 N15:N41 Q15:Q41 T15:T41 J76:J91 J92:K114 Q92:Q114 T92:T117 N279:N313 Q279:Q313 T279:T313 J294:K310 N377:N560 Q377:Q560 T377:T560 J431:K560">
    <cfRule type="expression" dxfId="10" priority="153">
      <formula>"if $C$1&lt;"</formula>
    </cfRule>
  </conditionalFormatting>
  <conditionalFormatting sqref="J173:K173 Q139:Q172 T139:T172 M62:M92">
    <cfRule type="cellIs" dxfId="129" priority="320" operator="equal">
      <formula>45443</formula>
    </cfRule>
  </conditionalFormatting>
  <conditionalFormatting sqref="J214:K259 T53:T61 K260:K267 J260:J293">
    <cfRule type="expression" dxfId="128" priority="363">
      <formula>"if $C$1&lt;"</formula>
    </cfRule>
  </conditionalFormatting>
  <conditionalFormatting sqref="J595:K596">
    <cfRule type="expression" dxfId="127" priority="246">
      <formula>"if $C$1&lt;"</formula>
    </cfRule>
  </conditionalFormatting>
  <conditionalFormatting sqref="J644:K675">
    <cfRule type="expression" dxfId="126" priority="290">
      <formula>"if $C$1&lt;"</formula>
    </cfRule>
  </conditionalFormatting>
  <conditionalFormatting sqref="J676:K682">
    <cfRule type="expression" dxfId="125" priority="378">
      <formula>"if $C$1&lt;"</formula>
    </cfRule>
  </conditionalFormatting>
  <conditionalFormatting sqref="J123:L123">
    <cfRule type="expression" dxfId="124" priority="312">
      <formula>"if $C$1&lt;"</formula>
    </cfRule>
  </conditionalFormatting>
  <conditionalFormatting sqref="J173:L173">
    <cfRule type="expression" dxfId="123" priority="318">
      <formula>"if $C$1&lt;"</formula>
    </cfRule>
  </conditionalFormatting>
  <conditionalFormatting sqref="K67:K75">
    <cfRule type="cellIs" dxfId="122" priority="17" operator="equal">
      <formula>45443</formula>
    </cfRule>
  </conditionalFormatting>
  <conditionalFormatting sqref="K74:K75">
    <cfRule type="expression" dxfId="121" priority="19">
      <formula>"if $G$4&gt;$C$1 and $H$4 is ""null"""</formula>
    </cfRule>
  </conditionalFormatting>
  <conditionalFormatting sqref="K119">
    <cfRule type="expression" dxfId="120" priority="149">
      <formula>"if $G$4&gt;$C$1 and $H$4 is ""null"""</formula>
    </cfRule>
    <cfRule type="expression" dxfId="119" priority="148">
      <formula>"if $C$1&lt;"</formula>
    </cfRule>
  </conditionalFormatting>
  <conditionalFormatting sqref="K181:K192 N4:N10 M124:N130 N174:N179 N181:N192 K1:K10 K124:K130 M131:M134 K174:K179 M311:M339 M438:M467 M470:M521 M523:M544 M561:M578 M584:M588 M591:M677 J642:J643 J686 J700">
    <cfRule type="cellIs" dxfId="118" priority="338" operator="equal">
      <formula>45443</formula>
    </cfRule>
  </conditionalFormatting>
  <conditionalFormatting sqref="K185">
    <cfRule type="expression" dxfId="117" priority="294">
      <formula>"if $C$1&lt;"</formula>
    </cfRule>
  </conditionalFormatting>
  <conditionalFormatting sqref="K279:K293">
    <cfRule type="expression" dxfId="116" priority="336">
      <formula>"if $C$1&lt;"</formula>
    </cfRule>
  </conditionalFormatting>
  <conditionalFormatting sqref="K279:K313 J123:K123 N15 M16:N40 M93:N95 N96:N114 N279:N313 N377:N560 Q15:Q41 Q92:Q117 Q279:Q313 Q377:Q560 T15:T41 T92:T117 T279:T313 T377:T560 K15:K41 N41 K92:K114 J297:J310 K377:K560 N92 M4:M15 M41:M59 K43:K46 K89 M96:M107 K686:K1048576 N707:O1048576">
    <cfRule type="cellIs" dxfId="115" priority="377" operator="equal">
      <formula>45443</formula>
    </cfRule>
  </conditionalFormatting>
  <conditionalFormatting sqref="K329:K332 J333:K337 K338:K339 K343:K349 J353:K353 K354:K356 J15:K26 K89 K94:K99 K101:K102 K279:K292 J311:K312 K313 K377:K423 K438:K441 K456:K462 K467 J470:K473 J476:K497 J514:K522 J525:K542 J4:K10 J124:K130 J174:K179 K182:K184 K186:K187 K191:K192 J579:K583 J588:K588 J591:K594 J597:K613 J633:K641 J135:K138 K141:K142 K146:K149 K153 K194 K197 J218:K259 K260:K267 J67:K73 K318:K321 J322:K323 K324 J11:J14 J131:J134 J180:J208 J260:J293 J313:J321 J324:J332 J338:J350 J354:J467">
    <cfRule type="expression" dxfId="9" priority="399">
      <formula>"if $G$4&gt;$C$1 and $H$4 is ""null"""</formula>
    </cfRule>
  </conditionalFormatting>
  <conditionalFormatting sqref="K329:K332 J333:K337 K338:K349 J352:K353 K354:K358 J43:K46 K89 J311:K312 K313 K377:K430 J686:K706 J4:K10 J124:K130 J174:K179 K181:K184 K186:K192 J597:K643 J66:L66 J564:K594 J133:K164 J170:K172 K194:K205 J206:K208 J120:K122 J67:K75 K318:K321 J322:K323 K324 J11:J14 J42 J131:J132 J180:J205 J313:J321 J324:J332 J338:J351 J354:J430">
    <cfRule type="expression" dxfId="8" priority="398">
      <formula>"if $C$1&lt;"</formula>
    </cfRule>
  </conditionalFormatting>
  <conditionalFormatting sqref="K564:K682 N564:N682 N686:N706 J295 J66:L66">
    <cfRule type="cellIs" dxfId="114" priority="335" operator="equal">
      <formula>45443</formula>
    </cfRule>
  </conditionalFormatting>
  <conditionalFormatting sqref="L217">
    <cfRule type="expression" dxfId="113" priority="324">
      <formula>"if $C$1&lt;"</formula>
    </cfRule>
    <cfRule type="cellIs" dxfId="112" priority="303" operator="equal">
      <formula>45443</formula>
    </cfRule>
  </conditionalFormatting>
  <conditionalFormatting sqref="L123:N123 N43:N46 N49:N50 N53:N59 N89">
    <cfRule type="cellIs" dxfId="111" priority="216" operator="equal">
      <formula>45443</formula>
    </cfRule>
  </conditionalFormatting>
  <conditionalFormatting sqref="L173:N173">
    <cfRule type="cellIs" dxfId="110" priority="213" operator="equal">
      <formula>45443</formula>
    </cfRule>
  </conditionalFormatting>
  <conditionalFormatting sqref="M119">
    <cfRule type="cellIs" dxfId="109" priority="141" operator="equal">
      <formula>45443</formula>
    </cfRule>
  </conditionalFormatting>
  <conditionalFormatting sqref="M140 J217">
    <cfRule type="cellIs" dxfId="108" priority="362" operator="equal">
      <formula>45443</formula>
    </cfRule>
  </conditionalFormatting>
  <conditionalFormatting sqref="M143:M169">
    <cfRule type="cellIs" dxfId="107" priority="139" operator="equal">
      <formula>45443</formula>
    </cfRule>
  </conditionalFormatting>
  <conditionalFormatting sqref="M174:M216">
    <cfRule type="cellIs" dxfId="106" priority="132" operator="equal">
      <formula>45443</formula>
    </cfRule>
  </conditionalFormatting>
  <conditionalFormatting sqref="M218:M250 M254">
    <cfRule type="cellIs" dxfId="105" priority="340" operator="equal">
      <formula>45443</formula>
    </cfRule>
  </conditionalFormatting>
  <conditionalFormatting sqref="M115:N118">
    <cfRule type="cellIs" dxfId="104" priority="173" operator="equal">
      <formula>45443</formula>
    </cfRule>
  </conditionalFormatting>
  <conditionalFormatting sqref="N43:N46 N49:N50 N53:N59 N89 N4:N10 N329:N349 N352:N358 N686:N706">
    <cfRule type="expression" dxfId="103" priority="218">
      <formula>"if $C$1&lt;"</formula>
    </cfRule>
  </conditionalFormatting>
  <conditionalFormatting sqref="N62 K62:K65">
    <cfRule type="cellIs" dxfId="102" priority="152" operator="equal">
      <formula>45443</formula>
    </cfRule>
  </conditionalFormatting>
  <conditionalFormatting sqref="N62">
    <cfRule type="expression" dxfId="101" priority="150">
      <formula>"if $G$4&gt;$C$1 and $H$4 is ""null"""</formula>
    </cfRule>
  </conditionalFormatting>
  <conditionalFormatting sqref="N62:N74">
    <cfRule type="expression" dxfId="100" priority="155">
      <formula>"if $C$1&lt;"</formula>
    </cfRule>
  </conditionalFormatting>
  <conditionalFormatting sqref="N67:N75">
    <cfRule type="expression" dxfId="99" priority="14">
      <formula>"if $G$4&gt;$C$1 and $H$4 is ""null"""</formula>
    </cfRule>
  </conditionalFormatting>
  <conditionalFormatting sqref="N75">
    <cfRule type="cellIs" dxfId="98" priority="15" operator="equal">
      <formula>45443</formula>
    </cfRule>
    <cfRule type="expression" dxfId="97" priority="9">
      <formula>"if $C$1&lt;"</formula>
    </cfRule>
  </conditionalFormatting>
  <conditionalFormatting sqref="N89 N318:N324 N4:N10 N15:N26 N94:N99 N101:N102 N124:N130 N141:N142 N146:N149 N153 N174:N179 N182:N184 N186:N187 N191:N192 N194 N197 N218:N267 N279:N292 N311:N313 N329:N339 N343:N349 N353:N356 N377:N423 N438:N441 N456:N462 N467 N470:N473 N476:N497 N514:N522 N525:N542 N579:N583 N588 N591:N594 N597:N613 N633:N641">
    <cfRule type="expression" dxfId="96" priority="219">
      <formula>"if $G$4&gt;$C$1 and $H$4 is ""null"""</formula>
    </cfRule>
  </conditionalFormatting>
  <conditionalFormatting sqref="N92:N130">
    <cfRule type="expression" dxfId="95" priority="142">
      <formula>"if $C$1&lt;"</formula>
    </cfRule>
  </conditionalFormatting>
  <conditionalFormatting sqref="N119 K119:K122">
    <cfRule type="cellIs" dxfId="94" priority="147" operator="equal">
      <formula>45443</formula>
    </cfRule>
  </conditionalFormatting>
  <conditionalFormatting sqref="N119">
    <cfRule type="expression" dxfId="93" priority="146">
      <formula>"if $G$4&gt;$C$1 and $H$4 is ""null"""</formula>
    </cfRule>
  </conditionalFormatting>
  <conditionalFormatting sqref="N133:N164 N194:N208 N214:N267 N63:N74 K133:K164 M120:N122 M170:N172 M60:N61 K170:K172 K194:K208 K214:K267 M683:M705">
    <cfRule type="cellIs" dxfId="7" priority="293" operator="equal">
      <formula>45443</formula>
    </cfRule>
  </conditionalFormatting>
  <conditionalFormatting sqref="N133:N179">
    <cfRule type="expression" dxfId="6" priority="136">
      <formula>"if $C$1&lt;"</formula>
    </cfRule>
  </conditionalFormatting>
  <conditionalFormatting sqref="N165:N169">
    <cfRule type="cellIs" dxfId="92" priority="135" operator="equal">
      <formula>45443</formula>
    </cfRule>
  </conditionalFormatting>
  <conditionalFormatting sqref="N181:N192">
    <cfRule type="expression" dxfId="91" priority="210">
      <formula>"if $C$1&lt;"</formula>
    </cfRule>
  </conditionalFormatting>
  <conditionalFormatting sqref="N194:N267">
    <cfRule type="expression" dxfId="90" priority="129">
      <formula>"if $C$1&lt;"</formula>
    </cfRule>
  </conditionalFormatting>
  <conditionalFormatting sqref="N209:N213">
    <cfRule type="cellIs" dxfId="89" priority="128" operator="equal">
      <formula>45443</formula>
    </cfRule>
  </conditionalFormatting>
  <conditionalFormatting sqref="N318:N321 N329:N349 N352:N358 K329:K349 K352:K358 M353:M425">
    <cfRule type="cellIs" dxfId="88" priority="397" operator="equal">
      <formula>45443</formula>
    </cfRule>
  </conditionalFormatting>
  <conditionalFormatting sqref="N318:N324 Q322:Q324 T322:T324">
    <cfRule type="expression" dxfId="87" priority="1">
      <formula>"if $C$1&lt;"</formula>
    </cfRule>
  </conditionalFormatting>
  <conditionalFormatting sqref="N564:N682">
    <cfRule type="expression" dxfId="86" priority="208">
      <formula>"if $C$1&lt;"</formula>
    </cfRule>
  </conditionalFormatting>
  <conditionalFormatting sqref="N1:O3">
    <cfRule type="cellIs" dxfId="85" priority="393" operator="equal">
      <formula>45443</formula>
    </cfRule>
  </conditionalFormatting>
  <conditionalFormatting sqref="O1:O3 O707:O1048576">
    <cfRule type="cellIs" dxfId="84" priority="358" operator="equal">
      <formula>45444</formula>
    </cfRule>
  </conditionalFormatting>
  <conditionalFormatting sqref="O49:O52">
    <cfRule type="cellIs" dxfId="83" priority="159" operator="equal">
      <formula>45443</formula>
    </cfRule>
  </conditionalFormatting>
  <conditionalFormatting sqref="O66">
    <cfRule type="cellIs" dxfId="82" priority="238" operator="equal">
      <formula>45443</formula>
    </cfRule>
    <cfRule type="expression" dxfId="81" priority="239">
      <formula>"if $C$1&lt;"</formula>
    </cfRule>
  </conditionalFormatting>
  <conditionalFormatting sqref="O109:O110">
    <cfRule type="cellIs" dxfId="80" priority="158" operator="equal">
      <formula>45443</formula>
    </cfRule>
  </conditionalFormatting>
  <conditionalFormatting sqref="O123">
    <cfRule type="expression" dxfId="79" priority="235">
      <formula>"if $C$1&lt;"</formula>
    </cfRule>
  </conditionalFormatting>
  <conditionalFormatting sqref="O159:O160">
    <cfRule type="cellIs" dxfId="78" priority="156" operator="equal">
      <formula>45443</formula>
    </cfRule>
  </conditionalFormatting>
  <conditionalFormatting sqref="O173 O123">
    <cfRule type="cellIs" dxfId="77" priority="297" operator="equal">
      <formula>45443</formula>
    </cfRule>
  </conditionalFormatting>
  <conditionalFormatting sqref="O173">
    <cfRule type="expression" dxfId="76" priority="236">
      <formula>"if $C$1&lt;"</formula>
    </cfRule>
  </conditionalFormatting>
  <conditionalFormatting sqref="O204">
    <cfRule type="cellIs" dxfId="75" priority="160" operator="equal">
      <formula>45443</formula>
    </cfRule>
  </conditionalFormatting>
  <conditionalFormatting sqref="O217">
    <cfRule type="cellIs" dxfId="74" priority="234" operator="equal">
      <formula>45443</formula>
    </cfRule>
    <cfRule type="expression" dxfId="73" priority="237">
      <formula>"if $C$1&lt;"</formula>
    </cfRule>
  </conditionalFormatting>
  <conditionalFormatting sqref="P119">
    <cfRule type="cellIs" dxfId="72" priority="140" operator="equal">
      <formula>45443</formula>
    </cfRule>
  </conditionalFormatting>
  <conditionalFormatting sqref="P118:Q118">
    <cfRule type="cellIs" dxfId="71" priority="161" operator="equal">
      <formula>45443</formula>
    </cfRule>
  </conditionalFormatting>
  <conditionalFormatting sqref="Q53:Q59">
    <cfRule type="cellIs" dxfId="70" priority="194" operator="equal">
      <formula>45443</formula>
    </cfRule>
  </conditionalFormatting>
  <conditionalFormatting sqref="Q63:Q75">
    <cfRule type="cellIs" dxfId="69" priority="11" operator="equal">
      <formula>45443</formula>
    </cfRule>
    <cfRule type="expression" dxfId="68" priority="12">
      <formula>"if $C$1&lt;"</formula>
    </cfRule>
  </conditionalFormatting>
  <conditionalFormatting sqref="Q67:Q75">
    <cfRule type="expression" dxfId="67" priority="13">
      <formula>"if $G$4&gt;$C$1 and $H$4 is ""null"""</formula>
    </cfRule>
  </conditionalFormatting>
  <conditionalFormatting sqref="Q115:Q118">
    <cfRule type="expression" dxfId="66" priority="162">
      <formula>"if $C$1&lt;"</formula>
    </cfRule>
  </conditionalFormatting>
  <conditionalFormatting sqref="Q119">
    <cfRule type="expression" dxfId="65" priority="145">
      <formula>"if $G$4&gt;$C$1 and $H$4 is ""null"""</formula>
    </cfRule>
  </conditionalFormatting>
  <conditionalFormatting sqref="Q119:Q122">
    <cfRule type="cellIs" dxfId="64" priority="143" operator="equal">
      <formula>45443</formula>
    </cfRule>
  </conditionalFormatting>
  <conditionalFormatting sqref="Q119:Q123">
    <cfRule type="expression" dxfId="63" priority="144">
      <formula>"if $C$1&lt;"</formula>
    </cfRule>
  </conditionalFormatting>
  <conditionalFormatting sqref="Q133:Q138">
    <cfRule type="cellIs" dxfId="5" priority="138" operator="equal">
      <formula>45443</formula>
    </cfRule>
  </conditionalFormatting>
  <conditionalFormatting sqref="Q165:Q173">
    <cfRule type="expression" dxfId="62" priority="134">
      <formula>"if $C$1&lt;"</formula>
    </cfRule>
  </conditionalFormatting>
  <conditionalFormatting sqref="Q173:Q179">
    <cfRule type="cellIs" dxfId="61" priority="198" operator="equal">
      <formula>45443</formula>
    </cfRule>
  </conditionalFormatting>
  <conditionalFormatting sqref="Q181:Q192 Q4:Q10 Q124:Q130">
    <cfRule type="cellIs" dxfId="60" priority="201" operator="equal">
      <formula>45443</formula>
    </cfRule>
  </conditionalFormatting>
  <conditionalFormatting sqref="Q185">
    <cfRule type="expression" dxfId="59" priority="195">
      <formula>"if $C$1&lt;"</formula>
    </cfRule>
  </conditionalFormatting>
  <conditionalFormatting sqref="Q194:Q208 Q214:Q267">
    <cfRule type="expression" dxfId="58" priority="202">
      <formula>"if $C$1&lt;"</formula>
    </cfRule>
  </conditionalFormatting>
  <conditionalFormatting sqref="Q194:Q267">
    <cfRule type="cellIs" dxfId="57" priority="131" operator="equal">
      <formula>45443</formula>
    </cfRule>
  </conditionalFormatting>
  <conditionalFormatting sqref="Q209:Q213">
    <cfRule type="expression" dxfId="56" priority="127">
      <formula>"if $C$1&lt;"</formula>
    </cfRule>
  </conditionalFormatting>
  <conditionalFormatting sqref="Q318:Q324 T318:T324 N322:N324 K318:K324">
    <cfRule type="cellIs" dxfId="55" priority="2" operator="equal">
      <formula>45443</formula>
    </cfRule>
  </conditionalFormatting>
  <conditionalFormatting sqref="Q329:Q339 Q343:Q349 Q353:Q356 Q89 Q4:Q10 Q124:Q130 Q182:Q184 Q186:Q187 Q191:Q192 Q579:Q583 Q588 Q591:Q594 Q597:Q613 Q633:Q641 Q174:Q179 Q194 Q197 Q218:Q267 Q318:Q324 Q15:Q26 Q94:Q99 Q101:Q102 Q141:Q142 Q146:Q149 Q153 Q279:Q292 Q311:Q313 Q377:Q423 Q438:Q441 Q456:Q462 Q467 Q470:Q473 Q476:Q497 Q514:Q522 Q525:Q542">
    <cfRule type="expression" dxfId="54" priority="207">
      <formula>"if $G$4&gt;$C$1 and $H$4 is ""null"""</formula>
    </cfRule>
  </conditionalFormatting>
  <conditionalFormatting sqref="Q329:Q349 Q352:Q358 Q43:Q46 Q49:Q50 Q89 Q4:Q10 Q124:Q130 Q181:Q184 Q186:Q192 Q564:Q594 Q597:Q643 Q686:Q706 Q174:Q179 Q53:Q59 Q318:Q321">
    <cfRule type="expression" dxfId="53" priority="206">
      <formula>"if $C$1&lt;"</formula>
    </cfRule>
  </conditionalFormatting>
  <conditionalFormatting sqref="Q329:Q349 Q352:Q358">
    <cfRule type="cellIs" dxfId="52" priority="205" operator="equal">
      <formula>45443</formula>
    </cfRule>
  </conditionalFormatting>
  <conditionalFormatting sqref="Q564:Q682 Q686:Q706">
    <cfRule type="cellIs" dxfId="51" priority="199" operator="equal">
      <formula>45443</formula>
    </cfRule>
  </conditionalFormatting>
  <conditionalFormatting sqref="Q595:Q596">
    <cfRule type="expression" dxfId="50" priority="192">
      <formula>"if $C$1&lt;"</formula>
    </cfRule>
  </conditionalFormatting>
  <conditionalFormatting sqref="Q644:Q675">
    <cfRule type="expression" dxfId="49" priority="193">
      <formula>"if $C$1&lt;"</formula>
    </cfRule>
  </conditionalFormatting>
  <conditionalFormatting sqref="Q676:Q682">
    <cfRule type="expression" dxfId="48" priority="204">
      <formula>"if $C$1&lt;"</formula>
    </cfRule>
  </conditionalFormatting>
  <conditionalFormatting sqref="Q123:R123 Q43:Q46 Q49:Q50 Q89">
    <cfRule type="cellIs" dxfId="47" priority="203" operator="equal">
      <formula>45443</formula>
    </cfRule>
  </conditionalFormatting>
  <conditionalFormatting sqref="R66">
    <cfRule type="cellIs" dxfId="46" priority="232" operator="equal">
      <formula>45443</formula>
    </cfRule>
    <cfRule type="expression" dxfId="45" priority="233">
      <formula>"if $C$1&lt;"</formula>
    </cfRule>
  </conditionalFormatting>
  <conditionalFormatting sqref="R123">
    <cfRule type="expression" dxfId="44" priority="229">
      <formula>"if $C$1&lt;"</formula>
    </cfRule>
  </conditionalFormatting>
  <conditionalFormatting sqref="R173">
    <cfRule type="cellIs" dxfId="43" priority="227" operator="equal">
      <formula>45443</formula>
    </cfRule>
    <cfRule type="expression" dxfId="42" priority="230">
      <formula>"if $C$1&lt;"</formula>
    </cfRule>
  </conditionalFormatting>
  <conditionalFormatting sqref="R217">
    <cfRule type="expression" dxfId="41" priority="231">
      <formula>"if $C$1&lt;"</formula>
    </cfRule>
    <cfRule type="cellIs" dxfId="40" priority="228" operator="equal">
      <formula>45443</formula>
    </cfRule>
  </conditionalFormatting>
  <conditionalFormatting sqref="T53:T61 J614:J632">
    <cfRule type="cellIs" dxfId="39" priority="295" operator="equal">
      <formula>45443</formula>
    </cfRule>
  </conditionalFormatting>
  <conditionalFormatting sqref="T63:T75">
    <cfRule type="cellIs" dxfId="38" priority="16" operator="equal">
      <formula>45443</formula>
    </cfRule>
    <cfRule type="expression" dxfId="37" priority="18">
      <formula>"if $C$1&lt;"</formula>
    </cfRule>
  </conditionalFormatting>
  <conditionalFormatting sqref="T67:T75">
    <cfRule type="expression" dxfId="36" priority="10">
      <formula>"if $G$4&gt;$C$1 and $H$4 is ""null"""</formula>
    </cfRule>
  </conditionalFormatting>
  <conditionalFormatting sqref="T120:T122">
    <cfRule type="cellIs" dxfId="35" priority="178" operator="equal">
      <formula>45443</formula>
    </cfRule>
  </conditionalFormatting>
  <conditionalFormatting sqref="T120:T123">
    <cfRule type="expression" dxfId="34" priority="180">
      <formula>"if $C$1&lt;"</formula>
    </cfRule>
  </conditionalFormatting>
  <conditionalFormatting sqref="T133:T138">
    <cfRule type="cellIs" dxfId="4" priority="137" operator="equal">
      <formula>45443</formula>
    </cfRule>
  </conditionalFormatting>
  <conditionalFormatting sqref="T165:T173">
    <cfRule type="expression" dxfId="33" priority="133">
      <formula>"if $C$1&lt;"</formula>
    </cfRule>
  </conditionalFormatting>
  <conditionalFormatting sqref="T173:T179">
    <cfRule type="cellIs" dxfId="32" priority="182" operator="equal">
      <formula>45443</formula>
    </cfRule>
  </conditionalFormatting>
  <conditionalFormatting sqref="T181:T192 T4:T10 T124:T130">
    <cfRule type="cellIs" dxfId="31" priority="185" operator="equal">
      <formula>45443</formula>
    </cfRule>
  </conditionalFormatting>
  <conditionalFormatting sqref="T185">
    <cfRule type="expression" dxfId="30" priority="179">
      <formula>"if $C$1&lt;"</formula>
    </cfRule>
  </conditionalFormatting>
  <conditionalFormatting sqref="T194:T208 T214:T267">
    <cfRule type="expression" dxfId="29" priority="186">
      <formula>"if $C$1&lt;"</formula>
    </cfRule>
  </conditionalFormatting>
  <conditionalFormatting sqref="T194:T267">
    <cfRule type="cellIs" dxfId="28" priority="130" operator="equal">
      <formula>45443</formula>
    </cfRule>
  </conditionalFormatting>
  <conditionalFormatting sqref="T209:T213">
    <cfRule type="expression" dxfId="27" priority="126">
      <formula>"if $C$1&lt;"</formula>
    </cfRule>
  </conditionalFormatting>
  <conditionalFormatting sqref="T329:T339 T343:T349 T353:T356 T89 T4:T10 T124:T130 T182:T184 T186:T187 T191:T192 T579:T583 T588 T591:T594 T597:T613 T633:T641 T174:T179 T194 T197 T218:T267 T318:T324 T15:T26 T94:T99 T101:T102 T141:T142 T146:T149 T153 T279:T292 T311:T313 T377:T423 T438:T441 T456:T462 T467 T470:T473 T476:T497 T514:T522 T525:T542">
    <cfRule type="expression" dxfId="26" priority="191">
      <formula>"if $G$4&gt;$C$1 and $H$4 is ""null"""</formula>
    </cfRule>
  </conditionalFormatting>
  <conditionalFormatting sqref="T329:T349 T352:T358 T43:T46 T49:T50 T89 T4:T10 T124:T130 T181:T184 T186:T192 T564:T594 T597:T643 T686:T706 T174:T179 T318:T321">
    <cfRule type="expression" dxfId="25" priority="190">
      <formula>"if $C$1&lt;"</formula>
    </cfRule>
  </conditionalFormatting>
  <conditionalFormatting sqref="T329:T349 T352:T358">
    <cfRule type="cellIs" dxfId="24" priority="189" operator="equal">
      <formula>45443</formula>
    </cfRule>
  </conditionalFormatting>
  <conditionalFormatting sqref="T564:T682 T686:T706">
    <cfRule type="cellIs" dxfId="23" priority="183" operator="equal">
      <formula>45443</formula>
    </cfRule>
  </conditionalFormatting>
  <conditionalFormatting sqref="T595:T596">
    <cfRule type="expression" dxfId="22" priority="176">
      <formula>"if $C$1&lt;"</formula>
    </cfRule>
  </conditionalFormatting>
  <conditionalFormatting sqref="T644:T675">
    <cfRule type="expression" dxfId="21" priority="177">
      <formula>"if $C$1&lt;"</formula>
    </cfRule>
  </conditionalFormatting>
  <conditionalFormatting sqref="T676:T682">
    <cfRule type="expression" dxfId="20" priority="188">
      <formula>"if $C$1&lt;"</formula>
    </cfRule>
  </conditionalFormatting>
  <conditionalFormatting sqref="T123:U123 T43:T46 T49:T50 T89">
    <cfRule type="cellIs" dxfId="19" priority="187" operator="equal">
      <formula>45443</formula>
    </cfRule>
  </conditionalFormatting>
  <conditionalFormatting sqref="U66">
    <cfRule type="cellIs" dxfId="18" priority="225" operator="equal">
      <formula>45443</formula>
    </cfRule>
    <cfRule type="expression" dxfId="17" priority="226">
      <formula>"if $C$1&lt;"</formula>
    </cfRule>
  </conditionalFormatting>
  <conditionalFormatting sqref="U123">
    <cfRule type="expression" dxfId="16" priority="222">
      <formula>"if $C$1&lt;"</formula>
    </cfRule>
  </conditionalFormatting>
  <conditionalFormatting sqref="U173">
    <cfRule type="expression" dxfId="15" priority="223">
      <formula>"if $C$1&lt;"</formula>
    </cfRule>
    <cfRule type="cellIs" dxfId="14" priority="220" operator="equal">
      <formula>45443</formula>
    </cfRule>
  </conditionalFormatting>
  <conditionalFormatting sqref="U217">
    <cfRule type="cellIs" dxfId="13" priority="221" operator="equal">
      <formula>45443</formula>
    </cfRule>
    <cfRule type="expression" dxfId="12" priority="224">
      <formula>"if $C$1&lt;"</formula>
    </cfRule>
  </conditionalFormatting>
  <conditionalFormatting sqref="W1:W15 X3:Z15 W16:Z670 X671:Z706 W671:W1048576">
    <cfRule type="containsText" dxfId="3" priority="37" operator="containsText" text="Follow-This week">
      <formula>NOT(ISERROR(SEARCH("Follow-This week",W1)))</formula>
    </cfRule>
    <cfRule type="containsText" dxfId="2" priority="36" operator="containsText" text="Follow-Next Week">
      <formula>NOT(ISERROR(SEARCH("Follow-Next Week",W1)))</formula>
    </cfRule>
    <cfRule type="containsText" dxfId="1" priority="35" operator="containsText" text="Overdue">
      <formula>NOT(ISERROR(SEARCH("Overdue",W1)))</formula>
    </cfRule>
    <cfRule type="containsText" dxfId="0" priority="38" operator="containsText" text="completed">
      <formula>NOT(ISERROR(SEARCH("completed",W1)))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2026-09-19T03:26:41Z</cp:lastPrinted>
  <dcterms:created xsi:type="dcterms:W3CDTF">2024-04-23T01:26:48Z</dcterms:created>
  <dcterms:modified xsi:type="dcterms:W3CDTF">2026-09-19T03:58:47Z</dcterms:modified>
</cp:coreProperties>
</file>