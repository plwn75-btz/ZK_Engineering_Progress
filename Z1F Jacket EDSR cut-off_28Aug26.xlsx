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3_cut-off_28Aug26\"/>
    </mc:Choice>
  </mc:AlternateContent>
  <xr:revisionPtr revIDLastSave="0" documentId="13_ncr:1_{2A88F8E0-0FA2-48D0-9AB1-C6EC8EB3E847}" xr6:coauthVersionLast="47" xr6:coauthVersionMax="47" xr10:uidLastSave="{00000000-0000-0000-0000-000000000000}"/>
  <bookViews>
    <workbookView xWindow="38280" yWindow="-120" windowWidth="29040" windowHeight="15720" activeTab="4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EDSR!$A$3:$U$677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1" l="1"/>
  <c r="W49" i="1"/>
  <c r="M49" i="1"/>
  <c r="N49" i="1" s="1"/>
  <c r="K49" i="1"/>
  <c r="G49" i="1"/>
  <c r="X47" i="1"/>
  <c r="W47" i="1"/>
  <c r="M47" i="1"/>
  <c r="P47" i="1" s="1"/>
  <c r="K47" i="1"/>
  <c r="G47" i="1"/>
  <c r="X44" i="1"/>
  <c r="W44" i="1"/>
  <c r="M44" i="1"/>
  <c r="P44" i="1" s="1"/>
  <c r="K44" i="1"/>
  <c r="G44" i="1"/>
  <c r="P49" i="1" l="1"/>
  <c r="N44" i="1"/>
  <c r="E47" i="1"/>
  <c r="H47" i="1" s="1"/>
  <c r="S47" i="1"/>
  <c r="T47" i="1" s="1"/>
  <c r="Z47" i="1" s="1"/>
  <c r="Q47" i="1"/>
  <c r="Y47" i="1" s="1"/>
  <c r="N47" i="1"/>
  <c r="F47" i="1" s="1"/>
  <c r="S44" i="1"/>
  <c r="T44" i="1" s="1"/>
  <c r="Z44" i="1" s="1"/>
  <c r="Q44" i="1"/>
  <c r="Y44" i="1" s="1"/>
  <c r="E44" i="1"/>
  <c r="H44" i="1" s="1"/>
  <c r="F44" i="1" l="1"/>
  <c r="S49" i="1"/>
  <c r="T49" i="1" s="1"/>
  <c r="Z49" i="1" s="1"/>
  <c r="Q49" i="1"/>
  <c r="E49" i="1" l="1"/>
  <c r="H49" i="1" s="1"/>
  <c r="Y49" i="1"/>
  <c r="F49" i="1"/>
  <c r="G639" i="1" l="1"/>
  <c r="G638" i="1"/>
  <c r="G641" i="1"/>
  <c r="G640" i="1"/>
  <c r="G518" i="1"/>
  <c r="G517" i="1"/>
  <c r="G493" i="1"/>
  <c r="J401" i="1"/>
  <c r="J518" i="1" s="1"/>
  <c r="J641" i="1" s="1"/>
  <c r="G401" i="1"/>
  <c r="J400" i="1"/>
  <c r="M400" i="1" s="1"/>
  <c r="G400" i="1"/>
  <c r="G376" i="1"/>
  <c r="G21" i="1"/>
  <c r="K21" i="1"/>
  <c r="M21" i="1"/>
  <c r="N21" i="1" s="1"/>
  <c r="W21" i="1"/>
  <c r="X21" i="1"/>
  <c r="Y21" i="1"/>
  <c r="X22" i="1"/>
  <c r="W22" i="1"/>
  <c r="M22" i="1"/>
  <c r="P22" i="1" s="1"/>
  <c r="K22" i="1"/>
  <c r="G22" i="1"/>
  <c r="K641" i="1" l="1"/>
  <c r="M641" i="1"/>
  <c r="J517" i="1"/>
  <c r="K517" i="1" s="1"/>
  <c r="M518" i="1"/>
  <c r="K518" i="1"/>
  <c r="P21" i="1"/>
  <c r="Q21" i="1" s="1"/>
  <c r="N400" i="1"/>
  <c r="X400" i="1" s="1"/>
  <c r="P400" i="1"/>
  <c r="K401" i="1"/>
  <c r="M401" i="1"/>
  <c r="K400" i="1"/>
  <c r="Z21" i="1"/>
  <c r="S22" i="1"/>
  <c r="T22" i="1" s="1"/>
  <c r="Z22" i="1" s="1"/>
  <c r="Q22" i="1"/>
  <c r="Y22" i="1" s="1"/>
  <c r="N22" i="1"/>
  <c r="X39" i="1"/>
  <c r="W39" i="1"/>
  <c r="M39" i="1"/>
  <c r="P39" i="1" s="1"/>
  <c r="K39" i="1"/>
  <c r="G39" i="1"/>
  <c r="X36" i="1"/>
  <c r="W36" i="1"/>
  <c r="M36" i="1"/>
  <c r="N36" i="1" s="1"/>
  <c r="K36" i="1"/>
  <c r="G36" i="1"/>
  <c r="X18" i="1"/>
  <c r="W18" i="1"/>
  <c r="M18" i="1"/>
  <c r="N18" i="1" s="1"/>
  <c r="K18" i="1"/>
  <c r="G18" i="1"/>
  <c r="X16" i="1"/>
  <c r="W16" i="1"/>
  <c r="M16" i="1"/>
  <c r="P16" i="1" s="1"/>
  <c r="K16" i="1"/>
  <c r="G16" i="1"/>
  <c r="P24" i="1"/>
  <c r="E22" i="1" l="1"/>
  <c r="H22" i="1" s="1"/>
  <c r="M517" i="1"/>
  <c r="J640" i="1"/>
  <c r="N641" i="1"/>
  <c r="X641" i="1" s="1"/>
  <c r="P641" i="1"/>
  <c r="W641" i="1"/>
  <c r="E21" i="1"/>
  <c r="H21" i="1" s="1"/>
  <c r="S21" i="1"/>
  <c r="T21" i="1" s="1"/>
  <c r="F21" i="1" s="1"/>
  <c r="W518" i="1"/>
  <c r="N518" i="1"/>
  <c r="X518" i="1" s="1"/>
  <c r="P518" i="1"/>
  <c r="W517" i="1"/>
  <c r="F22" i="1"/>
  <c r="N401" i="1"/>
  <c r="X401" i="1" s="1"/>
  <c r="P401" i="1"/>
  <c r="W400" i="1"/>
  <c r="W401" i="1"/>
  <c r="Q400" i="1"/>
  <c r="Y400" i="1" s="1"/>
  <c r="S400" i="1"/>
  <c r="Q39" i="1"/>
  <c r="Y39" i="1" s="1"/>
  <c r="S39" i="1"/>
  <c r="T39" i="1" s="1"/>
  <c r="Z39" i="1" s="1"/>
  <c r="N39" i="1"/>
  <c r="P36" i="1"/>
  <c r="P18" i="1"/>
  <c r="Q16" i="1"/>
  <c r="Y16" i="1" s="1"/>
  <c r="S16" i="1"/>
  <c r="T16" i="1" s="1"/>
  <c r="Z16" i="1" s="1"/>
  <c r="N16" i="1"/>
  <c r="X29" i="1"/>
  <c r="W29" i="1"/>
  <c r="M29" i="1"/>
  <c r="N29" i="1" s="1"/>
  <c r="K29" i="1"/>
  <c r="G29" i="1"/>
  <c r="X27" i="1"/>
  <c r="W27" i="1"/>
  <c r="M27" i="1"/>
  <c r="K27" i="1"/>
  <c r="G27" i="1"/>
  <c r="W24" i="1"/>
  <c r="K24" i="1"/>
  <c r="G24" i="1"/>
  <c r="M640" i="1" l="1"/>
  <c r="K640" i="1"/>
  <c r="W640" i="1" s="1"/>
  <c r="F39" i="1"/>
  <c r="N517" i="1"/>
  <c r="X517" i="1" s="1"/>
  <c r="P517" i="1"/>
  <c r="S641" i="1"/>
  <c r="Q641" i="1"/>
  <c r="Q518" i="1"/>
  <c r="Y518" i="1" s="1"/>
  <c r="S518" i="1"/>
  <c r="T518" i="1" s="1"/>
  <c r="Z518" i="1" s="1"/>
  <c r="F518" i="1"/>
  <c r="F16" i="1"/>
  <c r="T400" i="1"/>
  <c r="Z400" i="1" s="1"/>
  <c r="E400" i="1"/>
  <c r="H400" i="1" s="1"/>
  <c r="S401" i="1"/>
  <c r="Q401" i="1"/>
  <c r="E39" i="1"/>
  <c r="H39" i="1" s="1"/>
  <c r="S36" i="1"/>
  <c r="T36" i="1" s="1"/>
  <c r="Z36" i="1" s="1"/>
  <c r="Q36" i="1"/>
  <c r="S18" i="1"/>
  <c r="T18" i="1" s="1"/>
  <c r="Z18" i="1" s="1"/>
  <c r="Q18" i="1"/>
  <c r="E16" i="1"/>
  <c r="H16" i="1" s="1"/>
  <c r="S27" i="1"/>
  <c r="T27" i="1" s="1"/>
  <c r="Z27" i="1" s="1"/>
  <c r="Q27" i="1"/>
  <c r="Y27" i="1" s="1"/>
  <c r="N27" i="1"/>
  <c r="Q24" i="1"/>
  <c r="Y24" i="1" s="1"/>
  <c r="S24" i="1"/>
  <c r="T24" i="1" s="1"/>
  <c r="Z24" i="1" s="1"/>
  <c r="N24" i="1"/>
  <c r="X24" i="1" s="1"/>
  <c r="M187" i="1"/>
  <c r="P187" i="1" s="1"/>
  <c r="K187" i="1"/>
  <c r="G187" i="1"/>
  <c r="M143" i="1"/>
  <c r="P143" i="1" s="1"/>
  <c r="K143" i="1"/>
  <c r="G143" i="1"/>
  <c r="M99" i="1"/>
  <c r="N99" i="1" s="1"/>
  <c r="X99" i="1" s="1"/>
  <c r="K99" i="1"/>
  <c r="G99" i="1"/>
  <c r="E518" i="1" l="1"/>
  <c r="H518" i="1" s="1"/>
  <c r="F400" i="1"/>
  <c r="S517" i="1"/>
  <c r="Q517" i="1"/>
  <c r="Y517" i="1" s="1"/>
  <c r="E18" i="1"/>
  <c r="H18" i="1" s="1"/>
  <c r="N640" i="1"/>
  <c r="P640" i="1"/>
  <c r="T641" i="1"/>
  <c r="Z641" i="1" s="1"/>
  <c r="E641" i="1"/>
  <c r="H641" i="1" s="1"/>
  <c r="Y641" i="1"/>
  <c r="F641" i="1"/>
  <c r="E36" i="1"/>
  <c r="H36" i="1" s="1"/>
  <c r="Y401" i="1"/>
  <c r="T401" i="1"/>
  <c r="Z401" i="1" s="1"/>
  <c r="E401" i="1"/>
  <c r="H401" i="1" s="1"/>
  <c r="Y36" i="1"/>
  <c r="F36" i="1"/>
  <c r="Y18" i="1"/>
  <c r="F18" i="1"/>
  <c r="E27" i="1"/>
  <c r="H27" i="1" s="1"/>
  <c r="E24" i="1"/>
  <c r="H24" i="1" s="1"/>
  <c r="F27" i="1"/>
  <c r="E29" i="1"/>
  <c r="H29" i="1" s="1"/>
  <c r="S29" i="1"/>
  <c r="T29" i="1" s="1"/>
  <c r="Z29" i="1" s="1"/>
  <c r="Q29" i="1"/>
  <c r="F24" i="1"/>
  <c r="S187" i="1"/>
  <c r="T187" i="1" s="1"/>
  <c r="Z187" i="1" s="1"/>
  <c r="Q187" i="1"/>
  <c r="Y187" i="1" s="1"/>
  <c r="N187" i="1"/>
  <c r="X187" i="1" s="1"/>
  <c r="W187" i="1"/>
  <c r="S143" i="1"/>
  <c r="T143" i="1" s="1"/>
  <c r="Z143" i="1" s="1"/>
  <c r="Q143" i="1"/>
  <c r="Y143" i="1" s="1"/>
  <c r="N143" i="1"/>
  <c r="X143" i="1" s="1"/>
  <c r="W143" i="1"/>
  <c r="P99" i="1"/>
  <c r="W99" i="1"/>
  <c r="Q640" i="1" l="1"/>
  <c r="Y640" i="1" s="1"/>
  <c r="S640" i="1"/>
  <c r="T640" i="1" s="1"/>
  <c r="Z640" i="1" s="1"/>
  <c r="E640" i="1"/>
  <c r="H640" i="1" s="1"/>
  <c r="X640" i="1"/>
  <c r="T517" i="1"/>
  <c r="E517" i="1"/>
  <c r="H517" i="1" s="1"/>
  <c r="F401" i="1"/>
  <c r="Y29" i="1"/>
  <c r="F29" i="1"/>
  <c r="E187" i="1"/>
  <c r="H187" i="1" s="1"/>
  <c r="F187" i="1"/>
  <c r="E143" i="1"/>
  <c r="H143" i="1" s="1"/>
  <c r="F143" i="1"/>
  <c r="S99" i="1"/>
  <c r="T99" i="1" s="1"/>
  <c r="Z99" i="1" s="1"/>
  <c r="Q99" i="1"/>
  <c r="F640" i="1" l="1"/>
  <c r="Z517" i="1"/>
  <c r="F517" i="1"/>
  <c r="E99" i="1"/>
  <c r="H99" i="1" s="1"/>
  <c r="Y99" i="1"/>
  <c r="F99" i="1"/>
  <c r="X70" i="1" l="1"/>
  <c r="W70" i="1"/>
  <c r="J70" i="1"/>
  <c r="M70" i="1" s="1"/>
  <c r="G70" i="1"/>
  <c r="K70" i="1" l="1"/>
  <c r="N70" i="1"/>
  <c r="S70" i="1" l="1"/>
  <c r="Q70" i="1"/>
  <c r="Y70" i="1" s="1"/>
  <c r="T70" i="1" l="1"/>
  <c r="E70" i="1"/>
  <c r="H70" i="1" s="1"/>
  <c r="Z70" i="1" l="1"/>
  <c r="F70" i="1"/>
  <c r="W30" i="1" l="1"/>
  <c r="W31" i="1"/>
  <c r="M31" i="1"/>
  <c r="N31" i="1" s="1"/>
  <c r="X31" i="1" s="1"/>
  <c r="K31" i="1"/>
  <c r="G31" i="1"/>
  <c r="G9" i="1"/>
  <c r="J83" i="1"/>
  <c r="P31" i="1" l="1"/>
  <c r="S31" i="1" s="1"/>
  <c r="T31" i="1" s="1"/>
  <c r="Z31" i="1" s="1"/>
  <c r="M30" i="1"/>
  <c r="P30" i="1" s="1"/>
  <c r="S30" i="1" s="1"/>
  <c r="K30" i="1"/>
  <c r="G30" i="1"/>
  <c r="W81" i="1"/>
  <c r="J81" i="1"/>
  <c r="G81" i="1"/>
  <c r="G92" i="1"/>
  <c r="M10" i="1"/>
  <c r="N10" i="1" s="1"/>
  <c r="M12" i="1"/>
  <c r="K43" i="1"/>
  <c r="M43" i="1"/>
  <c r="N43" i="1" s="1"/>
  <c r="K14" i="1"/>
  <c r="M14" i="1"/>
  <c r="N14" i="1" s="1"/>
  <c r="E31" i="1" l="1"/>
  <c r="H31" i="1" s="1"/>
  <c r="Q31" i="1"/>
  <c r="N30" i="1"/>
  <c r="T30" i="1"/>
  <c r="E30" i="1"/>
  <c r="H30" i="1" s="1"/>
  <c r="Q30" i="1"/>
  <c r="P81" i="1"/>
  <c r="N81" i="1"/>
  <c r="X81" i="1" s="1"/>
  <c r="K81" i="1"/>
  <c r="W43" i="1"/>
  <c r="G43" i="1"/>
  <c r="W14" i="1"/>
  <c r="X14" i="1"/>
  <c r="G14" i="1"/>
  <c r="N12" i="1"/>
  <c r="X12" i="1" s="1"/>
  <c r="K12" i="1"/>
  <c r="W12" i="1" s="1"/>
  <c r="G12" i="1"/>
  <c r="K10" i="1"/>
  <c r="W10" i="1" s="1"/>
  <c r="G10" i="1"/>
  <c r="Y31" i="1" l="1"/>
  <c r="F31" i="1"/>
  <c r="F30" i="1"/>
  <c r="S81" i="1"/>
  <c r="Q81" i="1"/>
  <c r="Y81" i="1" s="1"/>
  <c r="X92" i="1"/>
  <c r="W92" i="1"/>
  <c r="Q43" i="1"/>
  <c r="Y43" i="1" s="1"/>
  <c r="S43" i="1"/>
  <c r="T43" i="1" s="1"/>
  <c r="Z43" i="1" s="1"/>
  <c r="Q12" i="1"/>
  <c r="Y12" i="1" s="1"/>
  <c r="Q10" i="1"/>
  <c r="Y10" i="1" s="1"/>
  <c r="S10" i="1"/>
  <c r="T10" i="1" s="1"/>
  <c r="Z10" i="1" s="1"/>
  <c r="X10" i="1"/>
  <c r="Z677" i="1"/>
  <c r="Y677" i="1"/>
  <c r="X677" i="1"/>
  <c r="W677" i="1"/>
  <c r="W652" i="1"/>
  <c r="W651" i="1"/>
  <c r="W649" i="1"/>
  <c r="W648" i="1"/>
  <c r="W647" i="1"/>
  <c r="W642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W601" i="1"/>
  <c r="W600" i="1"/>
  <c r="W598" i="1"/>
  <c r="W597" i="1"/>
  <c r="W596" i="1"/>
  <c r="W595" i="1"/>
  <c r="X594" i="1"/>
  <c r="W594" i="1"/>
  <c r="W593" i="1"/>
  <c r="W592" i="1"/>
  <c r="W591" i="1"/>
  <c r="X590" i="1"/>
  <c r="W590" i="1"/>
  <c r="X589" i="1"/>
  <c r="W589" i="1"/>
  <c r="X588" i="1"/>
  <c r="W588" i="1"/>
  <c r="W587" i="1"/>
  <c r="X586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X565" i="1"/>
  <c r="W565" i="1"/>
  <c r="X564" i="1"/>
  <c r="W564" i="1"/>
  <c r="X563" i="1"/>
  <c r="W563" i="1"/>
  <c r="X562" i="1"/>
  <c r="W562" i="1"/>
  <c r="Z561" i="1"/>
  <c r="Y561" i="1"/>
  <c r="X561" i="1"/>
  <c r="W561" i="1"/>
  <c r="Z560" i="1"/>
  <c r="Y560" i="1"/>
  <c r="X560" i="1"/>
  <c r="W560" i="1"/>
  <c r="W535" i="1"/>
  <c r="W534" i="1"/>
  <c r="W532" i="1"/>
  <c r="W531" i="1"/>
  <c r="W530" i="1"/>
  <c r="W519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W478" i="1"/>
  <c r="W477" i="1"/>
  <c r="W475" i="1"/>
  <c r="X474" i="1"/>
  <c r="W474" i="1"/>
  <c r="W473" i="1"/>
  <c r="W472" i="1"/>
  <c r="X471" i="1"/>
  <c r="W471" i="1"/>
  <c r="W470" i="1"/>
  <c r="W469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2" i="1"/>
  <c r="W442" i="1"/>
  <c r="X441" i="1"/>
  <c r="W441" i="1"/>
  <c r="X440" i="1"/>
  <c r="W440" i="1"/>
  <c r="X439" i="1"/>
  <c r="W439" i="1"/>
  <c r="Z438" i="1"/>
  <c r="Y438" i="1"/>
  <c r="X438" i="1"/>
  <c r="W438" i="1"/>
  <c r="Z437" i="1"/>
  <c r="Y437" i="1"/>
  <c r="X437" i="1"/>
  <c r="W437" i="1"/>
  <c r="W433" i="1"/>
  <c r="W421" i="1"/>
  <c r="W420" i="1"/>
  <c r="W419" i="1"/>
  <c r="W418" i="1"/>
  <c r="W417" i="1"/>
  <c r="W416" i="1"/>
  <c r="W415" i="1"/>
  <c r="W414" i="1"/>
  <c r="W413" i="1"/>
  <c r="W412" i="1"/>
  <c r="W411" i="1"/>
  <c r="W409" i="1"/>
  <c r="W408" i="1"/>
  <c r="W407" i="1"/>
  <c r="W402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W361" i="1"/>
  <c r="W360" i="1"/>
  <c r="W358" i="1"/>
  <c r="X357" i="1"/>
  <c r="W357" i="1"/>
  <c r="W356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5" i="1"/>
  <c r="W325" i="1"/>
  <c r="X324" i="1"/>
  <c r="W324" i="1"/>
  <c r="X323" i="1"/>
  <c r="W323" i="1"/>
  <c r="X322" i="1"/>
  <c r="W322" i="1"/>
  <c r="Z321" i="1"/>
  <c r="Y321" i="1"/>
  <c r="X321" i="1"/>
  <c r="W321" i="1"/>
  <c r="Z320" i="1"/>
  <c r="Y320" i="1"/>
  <c r="X320" i="1"/>
  <c r="W320" i="1"/>
  <c r="W317" i="1"/>
  <c r="W315" i="1"/>
  <c r="W314" i="1"/>
  <c r="W313" i="1"/>
  <c r="W312" i="1"/>
  <c r="W311" i="1"/>
  <c r="W310" i="1"/>
  <c r="W309" i="1"/>
  <c r="W308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79" i="1"/>
  <c r="Z276" i="1"/>
  <c r="Y276" i="1"/>
  <c r="X276" i="1"/>
  <c r="W276" i="1"/>
  <c r="Z275" i="1"/>
  <c r="Y275" i="1"/>
  <c r="X275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X255" i="1"/>
  <c r="W255" i="1"/>
  <c r="X254" i="1"/>
  <c r="W254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W235" i="1"/>
  <c r="X234" i="1"/>
  <c r="W234" i="1"/>
  <c r="W233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Z204" i="1"/>
  <c r="Y204" i="1"/>
  <c r="X204" i="1"/>
  <c r="W204" i="1"/>
  <c r="Z203" i="1"/>
  <c r="Y203" i="1"/>
  <c r="X203" i="1"/>
  <c r="W203" i="1"/>
  <c r="X202" i="1"/>
  <c r="W202" i="1"/>
  <c r="X201" i="1"/>
  <c r="W201" i="1"/>
  <c r="X200" i="1"/>
  <c r="W200" i="1"/>
  <c r="X199" i="1"/>
  <c r="W199" i="1"/>
  <c r="Z198" i="1"/>
  <c r="Y198" i="1"/>
  <c r="X198" i="1"/>
  <c r="W198" i="1"/>
  <c r="Z197" i="1"/>
  <c r="Y197" i="1"/>
  <c r="X197" i="1"/>
  <c r="W197" i="1"/>
  <c r="Z196" i="1"/>
  <c r="Y196" i="1"/>
  <c r="X196" i="1"/>
  <c r="W196" i="1"/>
  <c r="Z195" i="1"/>
  <c r="Y195" i="1"/>
  <c r="X195" i="1"/>
  <c r="W195" i="1"/>
  <c r="W193" i="1"/>
  <c r="Z192" i="1"/>
  <c r="Y192" i="1"/>
  <c r="X192" i="1"/>
  <c r="W192" i="1"/>
  <c r="Z191" i="1"/>
  <c r="Y191" i="1"/>
  <c r="X191" i="1"/>
  <c r="W191" i="1"/>
  <c r="Z190" i="1"/>
  <c r="Y190" i="1"/>
  <c r="X190" i="1"/>
  <c r="W190" i="1"/>
  <c r="Z189" i="1"/>
  <c r="Y189" i="1"/>
  <c r="X189" i="1"/>
  <c r="W189" i="1"/>
  <c r="Z188" i="1"/>
  <c r="Y188" i="1"/>
  <c r="X188" i="1"/>
  <c r="W188" i="1"/>
  <c r="X185" i="1"/>
  <c r="W185" i="1"/>
  <c r="W184" i="1"/>
  <c r="W181" i="1"/>
  <c r="W179" i="1"/>
  <c r="W177" i="1"/>
  <c r="W164" i="1"/>
  <c r="W163" i="1"/>
  <c r="W162" i="1"/>
  <c r="W160" i="1"/>
  <c r="Z159" i="1"/>
  <c r="Y159" i="1"/>
  <c r="X159" i="1"/>
  <c r="W159" i="1"/>
  <c r="X158" i="1"/>
  <c r="W158" i="1"/>
  <c r="Y157" i="1"/>
  <c r="X157" i="1"/>
  <c r="W157" i="1"/>
  <c r="Z156" i="1"/>
  <c r="Y156" i="1"/>
  <c r="X156" i="1"/>
  <c r="W156" i="1"/>
  <c r="Y155" i="1"/>
  <c r="X155" i="1"/>
  <c r="W155" i="1"/>
  <c r="Z154" i="1"/>
  <c r="Y154" i="1"/>
  <c r="X154" i="1"/>
  <c r="W154" i="1"/>
  <c r="Z153" i="1"/>
  <c r="Y153" i="1"/>
  <c r="X153" i="1"/>
  <c r="W153" i="1"/>
  <c r="Z152" i="1"/>
  <c r="Y152" i="1"/>
  <c r="X152" i="1"/>
  <c r="W152" i="1"/>
  <c r="Z151" i="1"/>
  <c r="Y151" i="1"/>
  <c r="X151" i="1"/>
  <c r="W151" i="1"/>
  <c r="W149" i="1"/>
  <c r="Z148" i="1"/>
  <c r="Y148" i="1"/>
  <c r="X148" i="1"/>
  <c r="W148" i="1"/>
  <c r="Z147" i="1"/>
  <c r="Y147" i="1"/>
  <c r="X147" i="1"/>
  <c r="W147" i="1"/>
  <c r="Z146" i="1"/>
  <c r="Y146" i="1"/>
  <c r="X146" i="1"/>
  <c r="W146" i="1"/>
  <c r="Z145" i="1"/>
  <c r="Y145" i="1"/>
  <c r="X145" i="1"/>
  <c r="W145" i="1"/>
  <c r="Z144" i="1"/>
  <c r="Y144" i="1"/>
  <c r="X144" i="1"/>
  <c r="W144" i="1"/>
  <c r="X141" i="1"/>
  <c r="W141" i="1"/>
  <c r="X140" i="1"/>
  <c r="W140" i="1"/>
  <c r="W137" i="1"/>
  <c r="W135" i="1"/>
  <c r="W133" i="1"/>
  <c r="W129" i="1"/>
  <c r="W124" i="1"/>
  <c r="W122" i="1"/>
  <c r="W120" i="1"/>
  <c r="W119" i="1"/>
  <c r="W118" i="1"/>
  <c r="W117" i="1"/>
  <c r="W116" i="1"/>
  <c r="Z115" i="1"/>
  <c r="Y115" i="1"/>
  <c r="X115" i="1"/>
  <c r="W115" i="1"/>
  <c r="X114" i="1"/>
  <c r="W114" i="1"/>
  <c r="Y113" i="1"/>
  <c r="X113" i="1"/>
  <c r="W113" i="1"/>
  <c r="Z112" i="1"/>
  <c r="Y112" i="1"/>
  <c r="X112" i="1"/>
  <c r="W112" i="1"/>
  <c r="Y111" i="1"/>
  <c r="X111" i="1"/>
  <c r="W111" i="1"/>
  <c r="Z110" i="1"/>
  <c r="Y110" i="1"/>
  <c r="X110" i="1"/>
  <c r="W110" i="1"/>
  <c r="Z109" i="1"/>
  <c r="Y109" i="1"/>
  <c r="X109" i="1"/>
  <c r="W109" i="1"/>
  <c r="Z108" i="1"/>
  <c r="Y108" i="1"/>
  <c r="X108" i="1"/>
  <c r="W108" i="1"/>
  <c r="Z107" i="1"/>
  <c r="Y107" i="1"/>
  <c r="X107" i="1"/>
  <c r="W107" i="1"/>
  <c r="W105" i="1"/>
  <c r="Z104" i="1"/>
  <c r="Y104" i="1"/>
  <c r="X104" i="1"/>
  <c r="W104" i="1"/>
  <c r="Z103" i="1"/>
  <c r="Y103" i="1"/>
  <c r="X103" i="1"/>
  <c r="W103" i="1"/>
  <c r="Z102" i="1"/>
  <c r="Y102" i="1"/>
  <c r="X102" i="1"/>
  <c r="W102" i="1"/>
  <c r="Z101" i="1"/>
  <c r="Y101" i="1"/>
  <c r="X101" i="1"/>
  <c r="W101" i="1"/>
  <c r="Z100" i="1"/>
  <c r="Y100" i="1"/>
  <c r="X100" i="1"/>
  <c r="W100" i="1"/>
  <c r="X97" i="1"/>
  <c r="W97" i="1"/>
  <c r="X96" i="1"/>
  <c r="W96" i="1"/>
  <c r="W95" i="1"/>
  <c r="W94" i="1"/>
  <c r="X93" i="1"/>
  <c r="W93" i="1"/>
  <c r="W90" i="1"/>
  <c r="X89" i="1"/>
  <c r="W89" i="1"/>
  <c r="X88" i="1"/>
  <c r="W88" i="1"/>
  <c r="W87" i="1"/>
  <c r="X84" i="1"/>
  <c r="W84" i="1"/>
  <c r="X82" i="1"/>
  <c r="W82" i="1"/>
  <c r="W80" i="1"/>
  <c r="W79" i="1"/>
  <c r="W78" i="1"/>
  <c r="X77" i="1"/>
  <c r="W77" i="1"/>
  <c r="W76" i="1"/>
  <c r="W75" i="1"/>
  <c r="W74" i="1"/>
  <c r="W73" i="1"/>
  <c r="X72" i="1"/>
  <c r="W72" i="1"/>
  <c r="W71" i="1"/>
  <c r="X69" i="1"/>
  <c r="W69" i="1"/>
  <c r="Z68" i="1"/>
  <c r="Y68" i="1"/>
  <c r="X68" i="1"/>
  <c r="W68" i="1"/>
  <c r="X67" i="1"/>
  <c r="W67" i="1"/>
  <c r="Y66" i="1"/>
  <c r="X66" i="1"/>
  <c r="W66" i="1"/>
  <c r="Z65" i="1"/>
  <c r="Y65" i="1"/>
  <c r="X65" i="1"/>
  <c r="W65" i="1"/>
  <c r="Y64" i="1"/>
  <c r="X64" i="1"/>
  <c r="W64" i="1"/>
  <c r="Z63" i="1"/>
  <c r="Y63" i="1"/>
  <c r="X63" i="1"/>
  <c r="W63" i="1"/>
  <c r="Z62" i="1"/>
  <c r="Y62" i="1"/>
  <c r="X62" i="1"/>
  <c r="W62" i="1"/>
  <c r="Z61" i="1"/>
  <c r="Y61" i="1"/>
  <c r="X61" i="1"/>
  <c r="W61" i="1"/>
  <c r="Z60" i="1"/>
  <c r="Y60" i="1"/>
  <c r="X60" i="1"/>
  <c r="W60" i="1"/>
  <c r="W58" i="1"/>
  <c r="Z57" i="1"/>
  <c r="Y57" i="1"/>
  <c r="X57" i="1"/>
  <c r="W57" i="1"/>
  <c r="X56" i="1"/>
  <c r="W56" i="1"/>
  <c r="Z55" i="1"/>
  <c r="Y55" i="1"/>
  <c r="X55" i="1"/>
  <c r="W55" i="1"/>
  <c r="Y54" i="1"/>
  <c r="X54" i="1"/>
  <c r="W54" i="1"/>
  <c r="Y53" i="1"/>
  <c r="X53" i="1"/>
  <c r="W53" i="1"/>
  <c r="Y52" i="1"/>
  <c r="X52" i="1"/>
  <c r="W52" i="1"/>
  <c r="Z51" i="1"/>
  <c r="Y51" i="1"/>
  <c r="X51" i="1"/>
  <c r="W51" i="1"/>
  <c r="X50" i="1"/>
  <c r="W50" i="1"/>
  <c r="X48" i="1"/>
  <c r="W48" i="1"/>
  <c r="X46" i="1"/>
  <c r="W46" i="1"/>
  <c r="X45" i="1"/>
  <c r="W45" i="1"/>
  <c r="X42" i="1"/>
  <c r="W42" i="1"/>
  <c r="X41" i="1"/>
  <c r="W41" i="1"/>
  <c r="X40" i="1"/>
  <c r="W40" i="1"/>
  <c r="X38" i="1"/>
  <c r="W38" i="1"/>
  <c r="X37" i="1"/>
  <c r="W37" i="1"/>
  <c r="X35" i="1"/>
  <c r="W35" i="1"/>
  <c r="X32" i="1"/>
  <c r="W32" i="1"/>
  <c r="X28" i="1"/>
  <c r="W28" i="1"/>
  <c r="X26" i="1"/>
  <c r="W26" i="1"/>
  <c r="X25" i="1"/>
  <c r="W25" i="1"/>
  <c r="W23" i="1"/>
  <c r="X20" i="1"/>
  <c r="W20" i="1"/>
  <c r="X19" i="1"/>
  <c r="W19" i="1"/>
  <c r="X17" i="1"/>
  <c r="W17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T81" i="1" l="1"/>
  <c r="E81" i="1"/>
  <c r="H81" i="1" s="1"/>
  <c r="Y92" i="1"/>
  <c r="E92" i="1"/>
  <c r="H92" i="1" s="1"/>
  <c r="F43" i="1"/>
  <c r="X43" i="1"/>
  <c r="F10" i="1"/>
  <c r="E43" i="1"/>
  <c r="H43" i="1" s="1"/>
  <c r="S12" i="1"/>
  <c r="T12" i="1" s="1"/>
  <c r="S14" i="1"/>
  <c r="T14" i="1" s="1"/>
  <c r="Z14" i="1" s="1"/>
  <c r="Q14" i="1"/>
  <c r="E10" i="1"/>
  <c r="H10" i="1" s="1"/>
  <c r="M52" i="1"/>
  <c r="N52" i="1" s="1"/>
  <c r="K278" i="1"/>
  <c r="W278" i="1" s="1"/>
  <c r="G277" i="1"/>
  <c r="G278" i="1"/>
  <c r="G279" i="1"/>
  <c r="G280" i="1"/>
  <c r="G281" i="1"/>
  <c r="M278" i="1"/>
  <c r="N278" i="1" s="1"/>
  <c r="X278" i="1" s="1"/>
  <c r="M277" i="1"/>
  <c r="N277" i="1" s="1"/>
  <c r="X277" i="1" s="1"/>
  <c r="K277" i="1"/>
  <c r="W277" i="1" s="1"/>
  <c r="K279" i="1"/>
  <c r="M279" i="1"/>
  <c r="N279" i="1" s="1"/>
  <c r="X279" i="1" s="1"/>
  <c r="K280" i="1"/>
  <c r="W280" i="1" s="1"/>
  <c r="M280" i="1"/>
  <c r="P280" i="1" s="1"/>
  <c r="E12" i="1" l="1"/>
  <c r="H12" i="1" s="1"/>
  <c r="Z81" i="1"/>
  <c r="F81" i="1"/>
  <c r="Z92" i="1"/>
  <c r="F92" i="1"/>
  <c r="E14" i="1"/>
  <c r="H14" i="1" s="1"/>
  <c r="Y14" i="1"/>
  <c r="F14" i="1"/>
  <c r="Z12" i="1"/>
  <c r="F12" i="1"/>
  <c r="N280" i="1"/>
  <c r="X280" i="1" s="1"/>
  <c r="P52" i="1"/>
  <c r="Q52" i="1" s="1"/>
  <c r="S280" i="1"/>
  <c r="T280" i="1" s="1"/>
  <c r="Z280" i="1" s="1"/>
  <c r="P278" i="1"/>
  <c r="P279" i="1"/>
  <c r="P277" i="1"/>
  <c r="Q280" i="1"/>
  <c r="Y280" i="1" s="1"/>
  <c r="K52" i="1"/>
  <c r="G52" i="1"/>
  <c r="J106" i="1"/>
  <c r="M106" i="1" s="1"/>
  <c r="P106" i="1" s="1"/>
  <c r="S106" i="1" s="1"/>
  <c r="M59" i="1"/>
  <c r="P59" i="1" s="1"/>
  <c r="K59" i="1"/>
  <c r="G59" i="1"/>
  <c r="E280" i="1" l="1"/>
  <c r="H280" i="1" s="1"/>
  <c r="K106" i="1"/>
  <c r="W59" i="1"/>
  <c r="F280" i="1"/>
  <c r="S52" i="1"/>
  <c r="T52" i="1" s="1"/>
  <c r="Z52" i="1" s="1"/>
  <c r="S277" i="1"/>
  <c r="Q277" i="1"/>
  <c r="Y277" i="1" s="1"/>
  <c r="S279" i="1"/>
  <c r="E279" i="1" s="1"/>
  <c r="H279" i="1" s="1"/>
  <c r="Q279" i="1"/>
  <c r="Y279" i="1" s="1"/>
  <c r="S278" i="1"/>
  <c r="T278" i="1" s="1"/>
  <c r="Z278" i="1" s="1"/>
  <c r="Q278" i="1"/>
  <c r="J150" i="1"/>
  <c r="S59" i="1"/>
  <c r="E59" i="1" s="1"/>
  <c r="H59" i="1" s="1"/>
  <c r="N59" i="1"/>
  <c r="F278" i="1" l="1"/>
  <c r="Y278" i="1"/>
  <c r="N106" i="1"/>
  <c r="X106" i="1" s="1"/>
  <c r="X59" i="1"/>
  <c r="K150" i="1"/>
  <c r="W106" i="1"/>
  <c r="T277" i="1"/>
  <c r="E277" i="1"/>
  <c r="H277" i="1" s="1"/>
  <c r="E278" i="1"/>
  <c r="H278" i="1" s="1"/>
  <c r="T279" i="1"/>
  <c r="F52" i="1"/>
  <c r="E52" i="1"/>
  <c r="H52" i="1" s="1"/>
  <c r="M150" i="1"/>
  <c r="P150" i="1" s="1"/>
  <c r="S150" i="1" s="1"/>
  <c r="J194" i="1"/>
  <c r="M194" i="1" s="1"/>
  <c r="P194" i="1" s="1"/>
  <c r="S194" i="1" s="1"/>
  <c r="Q59" i="1"/>
  <c r="Y59" i="1" s="1"/>
  <c r="F279" i="1" l="1"/>
  <c r="Z279" i="1"/>
  <c r="F277" i="1"/>
  <c r="Z277" i="1"/>
  <c r="N150" i="1"/>
  <c r="W150" i="1"/>
  <c r="K194" i="1"/>
  <c r="T59" i="1"/>
  <c r="Q106" i="1"/>
  <c r="T106" i="1" l="1"/>
  <c r="Z106" i="1" s="1"/>
  <c r="Y106" i="1"/>
  <c r="F59" i="1"/>
  <c r="Z59" i="1"/>
  <c r="N194" i="1"/>
  <c r="W194" i="1"/>
  <c r="Q150" i="1"/>
  <c r="X150" i="1"/>
  <c r="G642" i="1"/>
  <c r="G643" i="1"/>
  <c r="G644" i="1"/>
  <c r="G645" i="1"/>
  <c r="G646" i="1"/>
  <c r="G519" i="1"/>
  <c r="G520" i="1"/>
  <c r="G521" i="1"/>
  <c r="G522" i="1"/>
  <c r="G523" i="1"/>
  <c r="G524" i="1"/>
  <c r="G525" i="1"/>
  <c r="G526" i="1"/>
  <c r="G527" i="1"/>
  <c r="G528" i="1"/>
  <c r="G529" i="1"/>
  <c r="J402" i="1"/>
  <c r="K402" i="1" s="1"/>
  <c r="J403" i="1"/>
  <c r="J520" i="1" s="1"/>
  <c r="J643" i="1" s="1"/>
  <c r="J404" i="1"/>
  <c r="J521" i="1" s="1"/>
  <c r="J644" i="1" s="1"/>
  <c r="J405" i="1"/>
  <c r="K405" i="1" s="1"/>
  <c r="W405" i="1" s="1"/>
  <c r="J406" i="1"/>
  <c r="M406" i="1" s="1"/>
  <c r="P406" i="1" s="1"/>
  <c r="G402" i="1"/>
  <c r="G403" i="1"/>
  <c r="G404" i="1"/>
  <c r="G405" i="1"/>
  <c r="G406" i="1"/>
  <c r="K282" i="1"/>
  <c r="W282" i="1" s="1"/>
  <c r="K283" i="1"/>
  <c r="W283" i="1" s="1"/>
  <c r="K284" i="1"/>
  <c r="W284" i="1" s="1"/>
  <c r="K285" i="1"/>
  <c r="W285" i="1" s="1"/>
  <c r="K286" i="1"/>
  <c r="W286" i="1" s="1"/>
  <c r="K287" i="1"/>
  <c r="W287" i="1" s="1"/>
  <c r="K288" i="1"/>
  <c r="W288" i="1" s="1"/>
  <c r="K289" i="1"/>
  <c r="W289" i="1" s="1"/>
  <c r="K281" i="1"/>
  <c r="W281" i="1" s="1"/>
  <c r="M281" i="1"/>
  <c r="M282" i="1"/>
  <c r="P282" i="1" s="1"/>
  <c r="M283" i="1"/>
  <c r="N283" i="1" s="1"/>
  <c r="X283" i="1" s="1"/>
  <c r="M284" i="1"/>
  <c r="N284" i="1" s="1"/>
  <c r="X284" i="1" s="1"/>
  <c r="M285" i="1"/>
  <c r="N285" i="1" s="1"/>
  <c r="X285" i="1" s="1"/>
  <c r="M286" i="1"/>
  <c r="P286" i="1" s="1"/>
  <c r="M287" i="1"/>
  <c r="N287" i="1" s="1"/>
  <c r="X287" i="1" s="1"/>
  <c r="M288" i="1"/>
  <c r="P288" i="1" s="1"/>
  <c r="S288" i="1" s="1"/>
  <c r="T288" i="1" s="1"/>
  <c r="Z288" i="1" s="1"/>
  <c r="M289" i="1"/>
  <c r="N289" i="1" s="1"/>
  <c r="X289" i="1" s="1"/>
  <c r="G282" i="1"/>
  <c r="G283" i="1"/>
  <c r="G284" i="1"/>
  <c r="G285" i="1"/>
  <c r="G286" i="1"/>
  <c r="G287" i="1"/>
  <c r="G288" i="1"/>
  <c r="G289" i="1"/>
  <c r="Q194" i="1" l="1"/>
  <c r="X194" i="1"/>
  <c r="T150" i="1"/>
  <c r="Z150" i="1" s="1"/>
  <c r="Y150" i="1"/>
  <c r="N281" i="1"/>
  <c r="X281" i="1" s="1"/>
  <c r="K404" i="1"/>
  <c r="W404" i="1" s="1"/>
  <c r="M402" i="1"/>
  <c r="N402" i="1" s="1"/>
  <c r="X402" i="1" s="1"/>
  <c r="P284" i="1"/>
  <c r="Q284" i="1" s="1"/>
  <c r="Y284" i="1" s="1"/>
  <c r="K644" i="1"/>
  <c r="W644" i="1" s="1"/>
  <c r="M644" i="1"/>
  <c r="N644" i="1" s="1"/>
  <c r="X644" i="1" s="1"/>
  <c r="M643" i="1"/>
  <c r="K643" i="1"/>
  <c r="W643" i="1" s="1"/>
  <c r="N282" i="1"/>
  <c r="X282" i="1" s="1"/>
  <c r="M404" i="1"/>
  <c r="N404" i="1" s="1"/>
  <c r="X404" i="1" s="1"/>
  <c r="S282" i="1"/>
  <c r="T282" i="1" s="1"/>
  <c r="Z282" i="1" s="1"/>
  <c r="Q282" i="1"/>
  <c r="Y282" i="1" s="1"/>
  <c r="K521" i="1"/>
  <c r="W521" i="1" s="1"/>
  <c r="M521" i="1"/>
  <c r="M520" i="1"/>
  <c r="K520" i="1"/>
  <c r="W520" i="1" s="1"/>
  <c r="M403" i="1"/>
  <c r="J523" i="1"/>
  <c r="J646" i="1" s="1"/>
  <c r="J522" i="1"/>
  <c r="J645" i="1" s="1"/>
  <c r="J519" i="1"/>
  <c r="J642" i="1" s="1"/>
  <c r="M405" i="1"/>
  <c r="N286" i="1"/>
  <c r="X286" i="1" s="1"/>
  <c r="P281" i="1"/>
  <c r="N406" i="1"/>
  <c r="X406" i="1" s="1"/>
  <c r="Q406" i="1"/>
  <c r="Y406" i="1" s="1"/>
  <c r="S406" i="1"/>
  <c r="T406" i="1" s="1"/>
  <c r="Z406" i="1" s="1"/>
  <c r="K406" i="1"/>
  <c r="W406" i="1" s="1"/>
  <c r="K403" i="1"/>
  <c r="W403" i="1" s="1"/>
  <c r="S286" i="1"/>
  <c r="T286" i="1" s="1"/>
  <c r="Z286" i="1" s="1"/>
  <c r="Q286" i="1"/>
  <c r="Y286" i="1" s="1"/>
  <c r="N288" i="1"/>
  <c r="X288" i="1" s="1"/>
  <c r="Q288" i="1"/>
  <c r="Y288" i="1" s="1"/>
  <c r="E288" i="1"/>
  <c r="H288" i="1" s="1"/>
  <c r="P289" i="1"/>
  <c r="P287" i="1"/>
  <c r="P285" i="1"/>
  <c r="P283" i="1"/>
  <c r="E406" i="1" l="1"/>
  <c r="H406" i="1" s="1"/>
  <c r="P644" i="1"/>
  <c r="S644" i="1" s="1"/>
  <c r="T644" i="1" s="1"/>
  <c r="Z644" i="1" s="1"/>
  <c r="E286" i="1"/>
  <c r="H286" i="1" s="1"/>
  <c r="P402" i="1"/>
  <c r="S402" i="1" s="1"/>
  <c r="T402" i="1" s="1"/>
  <c r="Z402" i="1" s="1"/>
  <c r="T194" i="1"/>
  <c r="Z194" i="1" s="1"/>
  <c r="Y194" i="1"/>
  <c r="F282" i="1"/>
  <c r="E282" i="1"/>
  <c r="H282" i="1" s="1"/>
  <c r="F286" i="1"/>
  <c r="P404" i="1"/>
  <c r="Q404" i="1" s="1"/>
  <c r="Y404" i="1" s="1"/>
  <c r="S284" i="1"/>
  <c r="T284" i="1" s="1"/>
  <c r="K645" i="1"/>
  <c r="W645" i="1" s="1"/>
  <c r="M645" i="1"/>
  <c r="K642" i="1"/>
  <c r="M642" i="1"/>
  <c r="P643" i="1"/>
  <c r="N643" i="1"/>
  <c r="X643" i="1" s="1"/>
  <c r="K646" i="1"/>
  <c r="W646" i="1" s="1"/>
  <c r="M646" i="1"/>
  <c r="K522" i="1"/>
  <c r="W522" i="1" s="1"/>
  <c r="M522" i="1"/>
  <c r="P403" i="1"/>
  <c r="N403" i="1"/>
  <c r="X403" i="1" s="1"/>
  <c r="P520" i="1"/>
  <c r="N520" i="1"/>
  <c r="X520" i="1" s="1"/>
  <c r="K519" i="1"/>
  <c r="M519" i="1"/>
  <c r="N521" i="1"/>
  <c r="X521" i="1" s="1"/>
  <c r="P521" i="1"/>
  <c r="J524" i="1"/>
  <c r="K523" i="1"/>
  <c r="W523" i="1" s="1"/>
  <c r="M523" i="1"/>
  <c r="S281" i="1"/>
  <c r="E281" i="1" s="1"/>
  <c r="H281" i="1" s="1"/>
  <c r="Q281" i="1"/>
  <c r="Y281" i="1" s="1"/>
  <c r="F406" i="1"/>
  <c r="N405" i="1"/>
  <c r="X405" i="1" s="1"/>
  <c r="P405" i="1"/>
  <c r="F288" i="1"/>
  <c r="Q285" i="1"/>
  <c r="Y285" i="1" s="1"/>
  <c r="S285" i="1"/>
  <c r="T285" i="1" s="1"/>
  <c r="Z285" i="1" s="1"/>
  <c r="Q289" i="1"/>
  <c r="Y289" i="1" s="1"/>
  <c r="S289" i="1"/>
  <c r="T289" i="1" s="1"/>
  <c r="Z289" i="1" s="1"/>
  <c r="Q283" i="1"/>
  <c r="Y283" i="1" s="1"/>
  <c r="S283" i="1"/>
  <c r="T283" i="1" s="1"/>
  <c r="Z283" i="1" s="1"/>
  <c r="Q287" i="1"/>
  <c r="Y287" i="1" s="1"/>
  <c r="S287" i="1"/>
  <c r="T287" i="1" s="1"/>
  <c r="Z287" i="1" s="1"/>
  <c r="Q402" i="1" l="1"/>
  <c r="Y402" i="1" s="1"/>
  <c r="Q644" i="1"/>
  <c r="Y644" i="1" s="1"/>
  <c r="E284" i="1"/>
  <c r="H284" i="1" s="1"/>
  <c r="F284" i="1"/>
  <c r="Z284" i="1"/>
  <c r="S404" i="1"/>
  <c r="T404" i="1" s="1"/>
  <c r="Z404" i="1" s="1"/>
  <c r="E289" i="1"/>
  <c r="H289" i="1" s="1"/>
  <c r="E287" i="1"/>
  <c r="H287" i="1" s="1"/>
  <c r="F283" i="1"/>
  <c r="F289" i="1"/>
  <c r="F404" i="1"/>
  <c r="F644" i="1"/>
  <c r="F402" i="1"/>
  <c r="E644" i="1"/>
  <c r="H644" i="1" s="1"/>
  <c r="P646" i="1"/>
  <c r="N646" i="1"/>
  <c r="X646" i="1" s="1"/>
  <c r="Q643" i="1"/>
  <c r="Y643" i="1" s="1"/>
  <c r="S643" i="1"/>
  <c r="T643" i="1" s="1"/>
  <c r="Z643" i="1" s="1"/>
  <c r="P642" i="1"/>
  <c r="N642" i="1"/>
  <c r="X642" i="1" s="1"/>
  <c r="N645" i="1"/>
  <c r="X645" i="1" s="1"/>
  <c r="P645" i="1"/>
  <c r="E402" i="1"/>
  <c r="H402" i="1" s="1"/>
  <c r="Q403" i="1"/>
  <c r="Y403" i="1" s="1"/>
  <c r="S403" i="1"/>
  <c r="P523" i="1"/>
  <c r="N523" i="1"/>
  <c r="X523" i="1" s="1"/>
  <c r="P522" i="1"/>
  <c r="N522" i="1"/>
  <c r="X522" i="1" s="1"/>
  <c r="J525" i="1"/>
  <c r="K524" i="1"/>
  <c r="W524" i="1" s="1"/>
  <c r="M524" i="1"/>
  <c r="Q520" i="1"/>
  <c r="Y520" i="1" s="1"/>
  <c r="S520" i="1"/>
  <c r="F285" i="1"/>
  <c r="Q521" i="1"/>
  <c r="Y521" i="1" s="1"/>
  <c r="S521" i="1"/>
  <c r="T521" i="1" s="1"/>
  <c r="Z521" i="1" s="1"/>
  <c r="P519" i="1"/>
  <c r="N519" i="1"/>
  <c r="X519" i="1" s="1"/>
  <c r="E285" i="1"/>
  <c r="H285" i="1" s="1"/>
  <c r="T281" i="1"/>
  <c r="S405" i="1"/>
  <c r="Q405" i="1"/>
  <c r="Y405" i="1" s="1"/>
  <c r="F287" i="1"/>
  <c r="E283" i="1"/>
  <c r="H283" i="1" s="1"/>
  <c r="E404" i="1" l="1"/>
  <c r="H404" i="1" s="1"/>
  <c r="F281" i="1"/>
  <c r="Z281" i="1"/>
  <c r="F643" i="1"/>
  <c r="F521" i="1"/>
  <c r="E521" i="1"/>
  <c r="H521" i="1" s="1"/>
  <c r="Q642" i="1"/>
  <c r="Y642" i="1" s="1"/>
  <c r="S642" i="1"/>
  <c r="E643" i="1"/>
  <c r="H643" i="1" s="1"/>
  <c r="S645" i="1"/>
  <c r="Q645" i="1"/>
  <c r="Y645" i="1" s="1"/>
  <c r="S646" i="1"/>
  <c r="Q646" i="1"/>
  <c r="Y646" i="1" s="1"/>
  <c r="P524" i="1"/>
  <c r="N524" i="1"/>
  <c r="X524" i="1" s="1"/>
  <c r="S519" i="1"/>
  <c r="T519" i="1" s="1"/>
  <c r="Z519" i="1" s="1"/>
  <c r="Q519" i="1"/>
  <c r="Y519" i="1" s="1"/>
  <c r="J526" i="1"/>
  <c r="K525" i="1"/>
  <c r="W525" i="1" s="1"/>
  <c r="M525" i="1"/>
  <c r="Q522" i="1"/>
  <c r="Y522" i="1" s="1"/>
  <c r="S522" i="1"/>
  <c r="T522" i="1" s="1"/>
  <c r="Z522" i="1" s="1"/>
  <c r="Q523" i="1"/>
  <c r="Y523" i="1" s="1"/>
  <c r="S523" i="1"/>
  <c r="T403" i="1"/>
  <c r="E403" i="1"/>
  <c r="H403" i="1" s="1"/>
  <c r="T520" i="1"/>
  <c r="E520" i="1"/>
  <c r="H520" i="1" s="1"/>
  <c r="T405" i="1"/>
  <c r="E405" i="1"/>
  <c r="H405" i="1" s="1"/>
  <c r="E522" i="1" l="1"/>
  <c r="H522" i="1" s="1"/>
  <c r="F405" i="1"/>
  <c r="Z405" i="1"/>
  <c r="F520" i="1"/>
  <c r="Z520" i="1"/>
  <c r="F403" i="1"/>
  <c r="Z403" i="1"/>
  <c r="F519" i="1"/>
  <c r="E642" i="1"/>
  <c r="H642" i="1" s="1"/>
  <c r="T642" i="1"/>
  <c r="T646" i="1"/>
  <c r="E646" i="1"/>
  <c r="H646" i="1" s="1"/>
  <c r="F522" i="1"/>
  <c r="E645" i="1"/>
  <c r="H645" i="1" s="1"/>
  <c r="T645" i="1"/>
  <c r="E519" i="1"/>
  <c r="H519" i="1" s="1"/>
  <c r="P525" i="1"/>
  <c r="N525" i="1"/>
  <c r="X525" i="1" s="1"/>
  <c r="K526" i="1"/>
  <c r="W526" i="1" s="1"/>
  <c r="J527" i="1"/>
  <c r="M526" i="1"/>
  <c r="Q524" i="1"/>
  <c r="Y524" i="1" s="1"/>
  <c r="S524" i="1"/>
  <c r="T523" i="1"/>
  <c r="E523" i="1"/>
  <c r="H523" i="1" s="1"/>
  <c r="F523" i="1" l="1"/>
  <c r="Z523" i="1"/>
  <c r="F646" i="1"/>
  <c r="Z646" i="1"/>
  <c r="F642" i="1"/>
  <c r="Z642" i="1"/>
  <c r="F645" i="1"/>
  <c r="Z645" i="1"/>
  <c r="E524" i="1"/>
  <c r="H524" i="1" s="1"/>
  <c r="T524" i="1"/>
  <c r="Z524" i="1" s="1"/>
  <c r="N526" i="1"/>
  <c r="X526" i="1" s="1"/>
  <c r="P526" i="1"/>
  <c r="J528" i="1"/>
  <c r="K527" i="1"/>
  <c r="W527" i="1" s="1"/>
  <c r="M527" i="1"/>
  <c r="S525" i="1"/>
  <c r="T525" i="1" s="1"/>
  <c r="Z525" i="1" s="1"/>
  <c r="Q525" i="1"/>
  <c r="E525" i="1"/>
  <c r="H525" i="1" s="1"/>
  <c r="F525" i="1" l="1"/>
  <c r="Y525" i="1"/>
  <c r="F524" i="1"/>
  <c r="N527" i="1"/>
  <c r="X527" i="1" s="1"/>
  <c r="P527" i="1"/>
  <c r="K528" i="1"/>
  <c r="W528" i="1" s="1"/>
  <c r="M528" i="1"/>
  <c r="J529" i="1"/>
  <c r="Q526" i="1"/>
  <c r="Y526" i="1" s="1"/>
  <c r="S526" i="1"/>
  <c r="T526" i="1" s="1"/>
  <c r="E526" i="1"/>
  <c r="H526" i="1" s="1"/>
  <c r="F526" i="1" l="1"/>
  <c r="Z526" i="1"/>
  <c r="S527" i="1"/>
  <c r="T527" i="1" s="1"/>
  <c r="Z527" i="1" s="1"/>
  <c r="Q527" i="1"/>
  <c r="Y527" i="1" s="1"/>
  <c r="K529" i="1"/>
  <c r="W529" i="1" s="1"/>
  <c r="M529" i="1"/>
  <c r="N528" i="1"/>
  <c r="X528" i="1" s="1"/>
  <c r="P528" i="1"/>
  <c r="F527" i="1"/>
  <c r="E527" i="1"/>
  <c r="H527" i="1" s="1"/>
  <c r="Q528" i="1" l="1"/>
  <c r="Y528" i="1" s="1"/>
  <c r="S528" i="1"/>
  <c r="T528" i="1" s="1"/>
  <c r="Z528" i="1" s="1"/>
  <c r="E528" i="1"/>
  <c r="H528" i="1" s="1"/>
  <c r="P529" i="1"/>
  <c r="N529" i="1"/>
  <c r="X529" i="1" s="1"/>
  <c r="F528" i="1" l="1"/>
  <c r="Q529" i="1"/>
  <c r="Y529" i="1" s="1"/>
  <c r="S529" i="1"/>
  <c r="T529" i="1" s="1"/>
  <c r="Z529" i="1" s="1"/>
  <c r="E529" i="1"/>
  <c r="H529" i="1" s="1"/>
  <c r="F529" i="1" l="1"/>
  <c r="J105" i="1" l="1"/>
  <c r="M105" i="1" s="1"/>
  <c r="P105" i="1" s="1"/>
  <c r="S105" i="1" s="1"/>
  <c r="M58" i="1"/>
  <c r="P58" i="1" s="1"/>
  <c r="K58" i="1"/>
  <c r="N58" i="1" s="1"/>
  <c r="X58" i="1" s="1"/>
  <c r="G58" i="1"/>
  <c r="M54" i="1"/>
  <c r="P54" i="1" s="1"/>
  <c r="K54" i="1"/>
  <c r="M53" i="1"/>
  <c r="P53" i="1" s="1"/>
  <c r="K53" i="1"/>
  <c r="G53" i="1"/>
  <c r="G54" i="1"/>
  <c r="K57" i="1"/>
  <c r="M57" i="1"/>
  <c r="P57" i="1" s="1"/>
  <c r="G57" i="1"/>
  <c r="M56" i="1"/>
  <c r="P56" i="1" s="1"/>
  <c r="K56" i="1"/>
  <c r="K55" i="1"/>
  <c r="M55" i="1"/>
  <c r="N55" i="1" s="1"/>
  <c r="G55" i="1"/>
  <c r="G56" i="1"/>
  <c r="J149" i="1" l="1"/>
  <c r="K105" i="1"/>
  <c r="Q58" i="1"/>
  <c r="Y58" i="1" s="1"/>
  <c r="S58" i="1"/>
  <c r="T58" i="1" s="1"/>
  <c r="Z58" i="1" s="1"/>
  <c r="E58" i="1"/>
  <c r="H58" i="1" s="1"/>
  <c r="N53" i="1"/>
  <c r="S53" i="1"/>
  <c r="T53" i="1" s="1"/>
  <c r="Z53" i="1" s="1"/>
  <c r="Q53" i="1"/>
  <c r="F53" i="1"/>
  <c r="N54" i="1"/>
  <c r="S54" i="1"/>
  <c r="T54" i="1" s="1"/>
  <c r="Z54" i="1" s="1"/>
  <c r="Q54" i="1"/>
  <c r="P55" i="1"/>
  <c r="Q55" i="1" s="1"/>
  <c r="N57" i="1"/>
  <c r="S57" i="1"/>
  <c r="T57" i="1" s="1"/>
  <c r="Q57" i="1"/>
  <c r="Q56" i="1"/>
  <c r="Y56" i="1" s="1"/>
  <c r="S56" i="1"/>
  <c r="T56" i="1" s="1"/>
  <c r="Z56" i="1" s="1"/>
  <c r="N56" i="1"/>
  <c r="F58" i="1" l="1"/>
  <c r="M149" i="1"/>
  <c r="P149" i="1" s="1"/>
  <c r="S149" i="1" s="1"/>
  <c r="J193" i="1"/>
  <c r="M193" i="1" s="1"/>
  <c r="P193" i="1" s="1"/>
  <c r="S193" i="1" s="1"/>
  <c r="N105" i="1"/>
  <c r="K149" i="1"/>
  <c r="F54" i="1"/>
  <c r="E54" i="1"/>
  <c r="H54" i="1" s="1"/>
  <c r="S55" i="1"/>
  <c r="T55" i="1" s="1"/>
  <c r="F55" i="1" s="1"/>
  <c r="F57" i="1"/>
  <c r="E57" i="1"/>
  <c r="H57" i="1" s="1"/>
  <c r="E53" i="1"/>
  <c r="H53" i="1" s="1"/>
  <c r="E56" i="1"/>
  <c r="H56" i="1" s="1"/>
  <c r="F56" i="1"/>
  <c r="Q105" i="1" l="1"/>
  <c r="X105" i="1"/>
  <c r="E55" i="1"/>
  <c r="H55" i="1" s="1"/>
  <c r="N149" i="1"/>
  <c r="K193" i="1"/>
  <c r="N193" i="1" s="1"/>
  <c r="K184" i="1"/>
  <c r="M184" i="1"/>
  <c r="N184" i="1" s="1"/>
  <c r="X184" i="1" s="1"/>
  <c r="K185" i="1"/>
  <c r="M185" i="1"/>
  <c r="N185" i="1" s="1"/>
  <c r="K186" i="1"/>
  <c r="W186" i="1" s="1"/>
  <c r="M186" i="1"/>
  <c r="N186" i="1" s="1"/>
  <c r="X186" i="1" s="1"/>
  <c r="K140" i="1"/>
  <c r="M140" i="1"/>
  <c r="N140" i="1" s="1"/>
  <c r="K141" i="1"/>
  <c r="M141" i="1"/>
  <c r="N141" i="1" s="1"/>
  <c r="K142" i="1"/>
  <c r="W142" i="1" s="1"/>
  <c r="M142" i="1"/>
  <c r="N142" i="1" s="1"/>
  <c r="X142" i="1" s="1"/>
  <c r="K96" i="1"/>
  <c r="M96" i="1"/>
  <c r="N96" i="1" s="1"/>
  <c r="K97" i="1"/>
  <c r="M97" i="1"/>
  <c r="N97" i="1" s="1"/>
  <c r="K98" i="1"/>
  <c r="M98" i="1"/>
  <c r="M48" i="1"/>
  <c r="N48" i="1" s="1"/>
  <c r="M50" i="1"/>
  <c r="N50" i="1" s="1"/>
  <c r="M51" i="1"/>
  <c r="N51" i="1" s="1"/>
  <c r="K48" i="1"/>
  <c r="K50" i="1"/>
  <c r="K51" i="1"/>
  <c r="G96" i="1"/>
  <c r="G97" i="1"/>
  <c r="G140" i="1"/>
  <c r="G141" i="1"/>
  <c r="G184" i="1"/>
  <c r="G185" i="1"/>
  <c r="G48" i="1"/>
  <c r="G50" i="1"/>
  <c r="N98" i="1" l="1"/>
  <c r="X98" i="1" s="1"/>
  <c r="W98" i="1"/>
  <c r="Q149" i="1"/>
  <c r="X149" i="1"/>
  <c r="Q193" i="1"/>
  <c r="X193" i="1"/>
  <c r="T105" i="1"/>
  <c r="Z105" i="1" s="1"/>
  <c r="Y105" i="1"/>
  <c r="P141" i="1"/>
  <c r="S141" i="1" s="1"/>
  <c r="T141" i="1" s="1"/>
  <c r="Z141" i="1" s="1"/>
  <c r="P98" i="1"/>
  <c r="Q98" i="1" s="1"/>
  <c r="Y98" i="1" s="1"/>
  <c r="P97" i="1"/>
  <c r="S97" i="1" s="1"/>
  <c r="T97" i="1" s="1"/>
  <c r="Z97" i="1" s="1"/>
  <c r="P184" i="1"/>
  <c r="Q184" i="1" s="1"/>
  <c r="Y184" i="1" s="1"/>
  <c r="P96" i="1"/>
  <c r="P185" i="1"/>
  <c r="S185" i="1" s="1"/>
  <c r="T185" i="1" s="1"/>
  <c r="Z185" i="1" s="1"/>
  <c r="P50" i="1"/>
  <c r="Q50" i="1" s="1"/>
  <c r="Y50" i="1" s="1"/>
  <c r="P51" i="1"/>
  <c r="Q51" i="1" s="1"/>
  <c r="P48" i="1"/>
  <c r="Q48" i="1" s="1"/>
  <c r="Y48" i="1" s="1"/>
  <c r="P186" i="1"/>
  <c r="P142" i="1"/>
  <c r="P140" i="1"/>
  <c r="E97" i="1" l="1"/>
  <c r="H97" i="1" s="1"/>
  <c r="Q185" i="1"/>
  <c r="Y185" i="1" s="1"/>
  <c r="S98" i="1"/>
  <c r="Q97" i="1"/>
  <c r="Y97" i="1" s="1"/>
  <c r="T193" i="1"/>
  <c r="Z193" i="1" s="1"/>
  <c r="Y193" i="1"/>
  <c r="T149" i="1"/>
  <c r="Z149" i="1" s="1"/>
  <c r="Y149" i="1"/>
  <c r="S50" i="1"/>
  <c r="T50" i="1" s="1"/>
  <c r="Z50" i="1" s="1"/>
  <c r="Q141" i="1"/>
  <c r="Y141" i="1" s="1"/>
  <c r="E141" i="1"/>
  <c r="H141" i="1" s="1"/>
  <c r="F185" i="1"/>
  <c r="S51" i="1"/>
  <c r="T51" i="1" s="1"/>
  <c r="S184" i="1"/>
  <c r="T184" i="1" s="1"/>
  <c r="E185" i="1"/>
  <c r="H185" i="1" s="1"/>
  <c r="Q96" i="1"/>
  <c r="Y96" i="1" s="1"/>
  <c r="S96" i="1"/>
  <c r="T98" i="1"/>
  <c r="S48" i="1"/>
  <c r="T48" i="1" s="1"/>
  <c r="S186" i="1"/>
  <c r="T186" i="1" s="1"/>
  <c r="Z186" i="1" s="1"/>
  <c r="Q186" i="1"/>
  <c r="Q140" i="1"/>
  <c r="Y140" i="1" s="1"/>
  <c r="S140" i="1"/>
  <c r="T140" i="1" s="1"/>
  <c r="Z140" i="1" s="1"/>
  <c r="Q142" i="1"/>
  <c r="Y142" i="1" s="1"/>
  <c r="S142" i="1"/>
  <c r="T142" i="1" s="1"/>
  <c r="Z142" i="1" s="1"/>
  <c r="F141" i="1" l="1"/>
  <c r="F97" i="1"/>
  <c r="F50" i="1"/>
  <c r="F48" i="1"/>
  <c r="Z48" i="1"/>
  <c r="F184" i="1"/>
  <c r="Z184" i="1"/>
  <c r="Y186" i="1"/>
  <c r="E50" i="1"/>
  <c r="H50" i="1" s="1"/>
  <c r="Z98" i="1"/>
  <c r="E184" i="1"/>
  <c r="H184" i="1" s="1"/>
  <c r="E48" i="1"/>
  <c r="H48" i="1" s="1"/>
  <c r="T96" i="1"/>
  <c r="E96" i="1"/>
  <c r="H96" i="1" s="1"/>
  <c r="E140" i="1"/>
  <c r="H140" i="1" s="1"/>
  <c r="F140" i="1"/>
  <c r="F96" i="1" l="1"/>
  <c r="Z96" i="1"/>
  <c r="J323" i="1"/>
  <c r="J440" i="1" s="1"/>
  <c r="J563" i="1" s="1"/>
  <c r="J324" i="1"/>
  <c r="J441" i="1" s="1"/>
  <c r="J564" i="1" s="1"/>
  <c r="J325" i="1"/>
  <c r="J442" i="1" s="1"/>
  <c r="J565" i="1" s="1"/>
  <c r="J326" i="1"/>
  <c r="J443" i="1" s="1"/>
  <c r="J566" i="1" s="1"/>
  <c r="J327" i="1"/>
  <c r="J444" i="1" s="1"/>
  <c r="J567" i="1" s="1"/>
  <c r="J328" i="1"/>
  <c r="J445" i="1" s="1"/>
  <c r="J568" i="1" s="1"/>
  <c r="M568" i="1" s="1"/>
  <c r="P568" i="1" s="1"/>
  <c r="J329" i="1"/>
  <c r="J446" i="1" s="1"/>
  <c r="J569" i="1" s="1"/>
  <c r="M569" i="1" s="1"/>
  <c r="P569" i="1" s="1"/>
  <c r="J330" i="1"/>
  <c r="J447" i="1" s="1"/>
  <c r="J570" i="1" s="1"/>
  <c r="M570" i="1" s="1"/>
  <c r="P570" i="1" s="1"/>
  <c r="J331" i="1"/>
  <c r="J448" i="1" s="1"/>
  <c r="J571" i="1" s="1"/>
  <c r="M571" i="1" s="1"/>
  <c r="P571" i="1" s="1"/>
  <c r="J332" i="1"/>
  <c r="J449" i="1" s="1"/>
  <c r="J572" i="1" s="1"/>
  <c r="M572" i="1" s="1"/>
  <c r="P572" i="1" s="1"/>
  <c r="J333" i="1"/>
  <c r="J450" i="1" s="1"/>
  <c r="J573" i="1" s="1"/>
  <c r="M573" i="1" s="1"/>
  <c r="P573" i="1" s="1"/>
  <c r="J334" i="1"/>
  <c r="J451" i="1" s="1"/>
  <c r="J574" i="1" s="1"/>
  <c r="M574" i="1" s="1"/>
  <c r="P574" i="1" s="1"/>
  <c r="J335" i="1"/>
  <c r="J452" i="1" s="1"/>
  <c r="J575" i="1" s="1"/>
  <c r="M575" i="1" s="1"/>
  <c r="P575" i="1" s="1"/>
  <c r="J336" i="1"/>
  <c r="J453" i="1" s="1"/>
  <c r="J576" i="1" s="1"/>
  <c r="M576" i="1" s="1"/>
  <c r="P576" i="1" s="1"/>
  <c r="J337" i="1"/>
  <c r="J454" i="1" s="1"/>
  <c r="J577" i="1" s="1"/>
  <c r="M577" i="1" s="1"/>
  <c r="P577" i="1" s="1"/>
  <c r="J338" i="1"/>
  <c r="J455" i="1" s="1"/>
  <c r="J578" i="1" s="1"/>
  <c r="M578" i="1" s="1"/>
  <c r="P578" i="1" s="1"/>
  <c r="J339" i="1"/>
  <c r="J456" i="1" s="1"/>
  <c r="J579" i="1" s="1"/>
  <c r="M579" i="1" s="1"/>
  <c r="P579" i="1" s="1"/>
  <c r="J340" i="1"/>
  <c r="J457" i="1" s="1"/>
  <c r="J580" i="1" s="1"/>
  <c r="M580" i="1" s="1"/>
  <c r="P580" i="1" s="1"/>
  <c r="J341" i="1"/>
  <c r="J458" i="1" s="1"/>
  <c r="J581" i="1" s="1"/>
  <c r="M581" i="1" s="1"/>
  <c r="P581" i="1" s="1"/>
  <c r="J342" i="1"/>
  <c r="J459" i="1" s="1"/>
  <c r="J582" i="1" s="1"/>
  <c r="M582" i="1" s="1"/>
  <c r="P582" i="1" s="1"/>
  <c r="J343" i="1"/>
  <c r="J460" i="1" s="1"/>
  <c r="J583" i="1" s="1"/>
  <c r="M583" i="1" s="1"/>
  <c r="P583" i="1" s="1"/>
  <c r="J344" i="1"/>
  <c r="J461" i="1" s="1"/>
  <c r="J584" i="1" s="1"/>
  <c r="M584" i="1" s="1"/>
  <c r="P584" i="1" s="1"/>
  <c r="J345" i="1"/>
  <c r="J462" i="1" s="1"/>
  <c r="J585" i="1" s="1"/>
  <c r="M585" i="1" s="1"/>
  <c r="P585" i="1" s="1"/>
  <c r="J346" i="1"/>
  <c r="J463" i="1" s="1"/>
  <c r="J586" i="1" s="1"/>
  <c r="M586" i="1" s="1"/>
  <c r="P586" i="1" s="1"/>
  <c r="J347" i="1"/>
  <c r="J464" i="1" s="1"/>
  <c r="J587" i="1" s="1"/>
  <c r="M587" i="1" s="1"/>
  <c r="P587" i="1" s="1"/>
  <c r="J348" i="1"/>
  <c r="J465" i="1" s="1"/>
  <c r="J588" i="1" s="1"/>
  <c r="M588" i="1" s="1"/>
  <c r="P588" i="1" s="1"/>
  <c r="J349" i="1"/>
  <c r="J466" i="1" s="1"/>
  <c r="J589" i="1" s="1"/>
  <c r="M589" i="1" s="1"/>
  <c r="P589" i="1" s="1"/>
  <c r="J350" i="1"/>
  <c r="J467" i="1" s="1"/>
  <c r="J590" i="1" s="1"/>
  <c r="M590" i="1" s="1"/>
  <c r="P590" i="1" s="1"/>
  <c r="J351" i="1"/>
  <c r="J468" i="1" s="1"/>
  <c r="J591" i="1" s="1"/>
  <c r="M591" i="1" s="1"/>
  <c r="P591" i="1" s="1"/>
  <c r="J352" i="1"/>
  <c r="J469" i="1" s="1"/>
  <c r="J592" i="1" s="1"/>
  <c r="M592" i="1" s="1"/>
  <c r="P592" i="1" s="1"/>
  <c r="J353" i="1"/>
  <c r="J470" i="1" s="1"/>
  <c r="J593" i="1" s="1"/>
  <c r="M593" i="1" s="1"/>
  <c r="P593" i="1" s="1"/>
  <c r="J354" i="1"/>
  <c r="J471" i="1" s="1"/>
  <c r="J594" i="1" s="1"/>
  <c r="M594" i="1" s="1"/>
  <c r="P594" i="1" s="1"/>
  <c r="J355" i="1"/>
  <c r="J472" i="1" s="1"/>
  <c r="J595" i="1" s="1"/>
  <c r="J356" i="1"/>
  <c r="J473" i="1" s="1"/>
  <c r="J596" i="1" s="1"/>
  <c r="J357" i="1"/>
  <c r="J474" i="1" s="1"/>
  <c r="J597" i="1" s="1"/>
  <c r="J358" i="1"/>
  <c r="J475" i="1" s="1"/>
  <c r="J598" i="1" s="1"/>
  <c r="J359" i="1"/>
  <c r="J476" i="1" s="1"/>
  <c r="J599" i="1" s="1"/>
  <c r="J360" i="1"/>
  <c r="J477" i="1" s="1"/>
  <c r="J600" i="1" s="1"/>
  <c r="J361" i="1"/>
  <c r="J478" i="1" s="1"/>
  <c r="J601" i="1" s="1"/>
  <c r="J362" i="1"/>
  <c r="J479" i="1" s="1"/>
  <c r="J602" i="1" s="1"/>
  <c r="J363" i="1"/>
  <c r="J480" i="1" s="1"/>
  <c r="J603" i="1" s="1"/>
  <c r="J364" i="1"/>
  <c r="J481" i="1" s="1"/>
  <c r="J604" i="1" s="1"/>
  <c r="J365" i="1"/>
  <c r="J482" i="1" s="1"/>
  <c r="J605" i="1" s="1"/>
  <c r="J366" i="1"/>
  <c r="J483" i="1" s="1"/>
  <c r="J606" i="1" s="1"/>
  <c r="J367" i="1"/>
  <c r="J484" i="1" s="1"/>
  <c r="J607" i="1" s="1"/>
  <c r="J368" i="1"/>
  <c r="J485" i="1" s="1"/>
  <c r="J608" i="1" s="1"/>
  <c r="J369" i="1"/>
  <c r="J486" i="1" s="1"/>
  <c r="J609" i="1" s="1"/>
  <c r="J370" i="1"/>
  <c r="J487" i="1" s="1"/>
  <c r="J610" i="1" s="1"/>
  <c r="J371" i="1"/>
  <c r="J488" i="1" s="1"/>
  <c r="J611" i="1" s="1"/>
  <c r="J372" i="1"/>
  <c r="J489" i="1" s="1"/>
  <c r="J612" i="1" s="1"/>
  <c r="J373" i="1"/>
  <c r="J490" i="1" s="1"/>
  <c r="J613" i="1" s="1"/>
  <c r="J374" i="1"/>
  <c r="J491" i="1" s="1"/>
  <c r="J614" i="1" s="1"/>
  <c r="J375" i="1"/>
  <c r="J492" i="1" s="1"/>
  <c r="J615" i="1" s="1"/>
  <c r="J376" i="1"/>
  <c r="J493" i="1" s="1"/>
  <c r="J616" i="1" s="1"/>
  <c r="J377" i="1"/>
  <c r="J494" i="1" s="1"/>
  <c r="J617" i="1" s="1"/>
  <c r="J378" i="1"/>
  <c r="J495" i="1" s="1"/>
  <c r="J618" i="1" s="1"/>
  <c r="J379" i="1"/>
  <c r="J496" i="1" s="1"/>
  <c r="J619" i="1" s="1"/>
  <c r="J380" i="1"/>
  <c r="J497" i="1" s="1"/>
  <c r="J620" i="1" s="1"/>
  <c r="J381" i="1"/>
  <c r="J498" i="1" s="1"/>
  <c r="J621" i="1" s="1"/>
  <c r="J382" i="1"/>
  <c r="J499" i="1" s="1"/>
  <c r="J622" i="1" s="1"/>
  <c r="J383" i="1"/>
  <c r="J500" i="1" s="1"/>
  <c r="J623" i="1" s="1"/>
  <c r="J384" i="1"/>
  <c r="J501" i="1" s="1"/>
  <c r="J624" i="1" s="1"/>
  <c r="J385" i="1"/>
  <c r="J502" i="1" s="1"/>
  <c r="J625" i="1" s="1"/>
  <c r="J386" i="1"/>
  <c r="J503" i="1" s="1"/>
  <c r="J626" i="1" s="1"/>
  <c r="J387" i="1"/>
  <c r="J504" i="1" s="1"/>
  <c r="J627" i="1" s="1"/>
  <c r="J388" i="1"/>
  <c r="J505" i="1" s="1"/>
  <c r="J628" i="1" s="1"/>
  <c r="J389" i="1"/>
  <c r="J506" i="1" s="1"/>
  <c r="J629" i="1" s="1"/>
  <c r="J390" i="1"/>
  <c r="J507" i="1" s="1"/>
  <c r="J630" i="1" s="1"/>
  <c r="J391" i="1"/>
  <c r="J508" i="1" s="1"/>
  <c r="J631" i="1" s="1"/>
  <c r="J392" i="1"/>
  <c r="J509" i="1" s="1"/>
  <c r="J632" i="1" s="1"/>
  <c r="J393" i="1"/>
  <c r="J510" i="1" s="1"/>
  <c r="J633" i="1" s="1"/>
  <c r="J394" i="1"/>
  <c r="J511" i="1" s="1"/>
  <c r="J634" i="1" s="1"/>
  <c r="J395" i="1"/>
  <c r="J512" i="1" s="1"/>
  <c r="J635" i="1" s="1"/>
  <c r="J396" i="1"/>
  <c r="J513" i="1" s="1"/>
  <c r="J636" i="1" s="1"/>
  <c r="J397" i="1"/>
  <c r="J514" i="1" s="1"/>
  <c r="J637" i="1" s="1"/>
  <c r="J398" i="1"/>
  <c r="J515" i="1" s="1"/>
  <c r="J638" i="1" s="1"/>
  <c r="J399" i="1"/>
  <c r="J516" i="1" s="1"/>
  <c r="J639" i="1" s="1"/>
  <c r="J407" i="1"/>
  <c r="J530" i="1" s="1"/>
  <c r="J647" i="1" s="1"/>
  <c r="J408" i="1"/>
  <c r="J531" i="1" s="1"/>
  <c r="J648" i="1" s="1"/>
  <c r="J409" i="1"/>
  <c r="J532" i="1" s="1"/>
  <c r="J649" i="1" s="1"/>
  <c r="J410" i="1"/>
  <c r="J533" i="1" s="1"/>
  <c r="J650" i="1" s="1"/>
  <c r="J411" i="1"/>
  <c r="J534" i="1" s="1"/>
  <c r="J651" i="1" s="1"/>
  <c r="J412" i="1"/>
  <c r="J535" i="1" s="1"/>
  <c r="J652" i="1" s="1"/>
  <c r="J413" i="1"/>
  <c r="J536" i="1" s="1"/>
  <c r="J653" i="1" s="1"/>
  <c r="J414" i="1"/>
  <c r="J537" i="1" s="1"/>
  <c r="J654" i="1" s="1"/>
  <c r="J415" i="1"/>
  <c r="J538" i="1" s="1"/>
  <c r="J655" i="1" s="1"/>
  <c r="J416" i="1"/>
  <c r="J539" i="1" s="1"/>
  <c r="J656" i="1" s="1"/>
  <c r="J417" i="1"/>
  <c r="J540" i="1" s="1"/>
  <c r="J657" i="1" s="1"/>
  <c r="J418" i="1"/>
  <c r="J541" i="1" s="1"/>
  <c r="J658" i="1" s="1"/>
  <c r="J419" i="1"/>
  <c r="J542" i="1" s="1"/>
  <c r="J659" i="1" s="1"/>
  <c r="J420" i="1"/>
  <c r="J543" i="1" s="1"/>
  <c r="J660" i="1" s="1"/>
  <c r="J421" i="1"/>
  <c r="J544" i="1" s="1"/>
  <c r="J661" i="1" s="1"/>
  <c r="J422" i="1"/>
  <c r="J545" i="1" s="1"/>
  <c r="J662" i="1" s="1"/>
  <c r="J423" i="1"/>
  <c r="J546" i="1" s="1"/>
  <c r="J663" i="1" s="1"/>
  <c r="J424" i="1"/>
  <c r="J547" i="1" s="1"/>
  <c r="J664" i="1" s="1"/>
  <c r="J425" i="1"/>
  <c r="J548" i="1" s="1"/>
  <c r="J665" i="1" s="1"/>
  <c r="J426" i="1"/>
  <c r="J549" i="1" s="1"/>
  <c r="J666" i="1" s="1"/>
  <c r="J427" i="1"/>
  <c r="J550" i="1" s="1"/>
  <c r="J667" i="1" s="1"/>
  <c r="J428" i="1"/>
  <c r="J551" i="1" s="1"/>
  <c r="J668" i="1" s="1"/>
  <c r="J429" i="1"/>
  <c r="J552" i="1" s="1"/>
  <c r="J669" i="1" s="1"/>
  <c r="J430" i="1"/>
  <c r="J553" i="1" s="1"/>
  <c r="J670" i="1" s="1"/>
  <c r="J431" i="1"/>
  <c r="J554" i="1" s="1"/>
  <c r="J671" i="1" s="1"/>
  <c r="J432" i="1"/>
  <c r="J555" i="1" s="1"/>
  <c r="J672" i="1" s="1"/>
  <c r="J433" i="1"/>
  <c r="J556" i="1" s="1"/>
  <c r="J673" i="1" s="1"/>
  <c r="J434" i="1"/>
  <c r="J557" i="1" s="1"/>
  <c r="J674" i="1" s="1"/>
  <c r="J435" i="1"/>
  <c r="J558" i="1" s="1"/>
  <c r="J675" i="1" s="1"/>
  <c r="J436" i="1"/>
  <c r="J559" i="1" s="1"/>
  <c r="J676" i="1" s="1"/>
  <c r="J322" i="1"/>
  <c r="J439" i="1" s="1"/>
  <c r="J562" i="1" s="1"/>
  <c r="J71" i="1"/>
  <c r="J117" i="1" s="1"/>
  <c r="J72" i="1"/>
  <c r="J118" i="1" s="1"/>
  <c r="J73" i="1"/>
  <c r="J119" i="1" s="1"/>
  <c r="J74" i="1"/>
  <c r="J120" i="1" s="1"/>
  <c r="J75" i="1"/>
  <c r="J121" i="1" s="1"/>
  <c r="J76" i="1"/>
  <c r="J122" i="1" s="1"/>
  <c r="J77" i="1"/>
  <c r="J123" i="1" s="1"/>
  <c r="J78" i="1"/>
  <c r="J79" i="1"/>
  <c r="J125" i="1" s="1"/>
  <c r="J80" i="1"/>
  <c r="J126" i="1" s="1"/>
  <c r="J82" i="1"/>
  <c r="J127" i="1" s="1"/>
  <c r="J128" i="1"/>
  <c r="J84" i="1"/>
  <c r="J129" i="1" s="1"/>
  <c r="J85" i="1"/>
  <c r="J130" i="1" s="1"/>
  <c r="J86" i="1"/>
  <c r="J131" i="1" s="1"/>
  <c r="J87" i="1"/>
  <c r="J132" i="1" s="1"/>
  <c r="J88" i="1"/>
  <c r="J133" i="1" s="1"/>
  <c r="J89" i="1"/>
  <c r="J134" i="1" s="1"/>
  <c r="J90" i="1"/>
  <c r="J135" i="1" s="1"/>
  <c r="J91" i="1"/>
  <c r="J136" i="1" s="1"/>
  <c r="J93" i="1"/>
  <c r="J137" i="1" s="1"/>
  <c r="J94" i="1"/>
  <c r="J138" i="1" s="1"/>
  <c r="J95" i="1"/>
  <c r="J139" i="1" s="1"/>
  <c r="J69" i="1"/>
  <c r="J116" i="1" s="1"/>
  <c r="J124" i="1" l="1"/>
  <c r="M78" i="1"/>
  <c r="P78" i="1" s="1"/>
  <c r="S78" i="1" s="1"/>
  <c r="M676" i="1"/>
  <c r="P676" i="1" s="1"/>
  <c r="S676" i="1" s="1"/>
  <c r="M675" i="1"/>
  <c r="P675" i="1" s="1"/>
  <c r="S675" i="1" s="1"/>
  <c r="M674" i="1"/>
  <c r="P674" i="1" s="1"/>
  <c r="S674" i="1" s="1"/>
  <c r="M673" i="1"/>
  <c r="P673" i="1" s="1"/>
  <c r="S673" i="1" s="1"/>
  <c r="M672" i="1"/>
  <c r="M671" i="1"/>
  <c r="P671" i="1" s="1"/>
  <c r="S671" i="1" s="1"/>
  <c r="M670" i="1"/>
  <c r="P670" i="1" s="1"/>
  <c r="S670" i="1" s="1"/>
  <c r="M669" i="1"/>
  <c r="P669" i="1" s="1"/>
  <c r="S669" i="1" s="1"/>
  <c r="M668" i="1"/>
  <c r="P668" i="1" s="1"/>
  <c r="S668" i="1" s="1"/>
  <c r="M667" i="1"/>
  <c r="P667" i="1" s="1"/>
  <c r="S667" i="1" s="1"/>
  <c r="M666" i="1"/>
  <c r="M665" i="1"/>
  <c r="P665" i="1" s="1"/>
  <c r="S665" i="1" s="1"/>
  <c r="M664" i="1"/>
  <c r="P664" i="1" s="1"/>
  <c r="S664" i="1" s="1"/>
  <c r="M663" i="1"/>
  <c r="P663" i="1" s="1"/>
  <c r="S663" i="1" s="1"/>
  <c r="M662" i="1"/>
  <c r="P662" i="1" s="1"/>
  <c r="S662" i="1" s="1"/>
  <c r="M661" i="1"/>
  <c r="P661" i="1" s="1"/>
  <c r="S661" i="1" s="1"/>
  <c r="M660" i="1"/>
  <c r="M659" i="1"/>
  <c r="P659" i="1" s="1"/>
  <c r="S659" i="1" s="1"/>
  <c r="M658" i="1"/>
  <c r="P658" i="1" s="1"/>
  <c r="S658" i="1" s="1"/>
  <c r="M657" i="1"/>
  <c r="P657" i="1" s="1"/>
  <c r="S657" i="1" s="1"/>
  <c r="M656" i="1"/>
  <c r="M655" i="1"/>
  <c r="P655" i="1" s="1"/>
  <c r="S655" i="1" s="1"/>
  <c r="M654" i="1"/>
  <c r="P654" i="1" s="1"/>
  <c r="S654" i="1" s="1"/>
  <c r="M653" i="1"/>
  <c r="P653" i="1" s="1"/>
  <c r="S653" i="1" s="1"/>
  <c r="M652" i="1"/>
  <c r="M651" i="1"/>
  <c r="M650" i="1"/>
  <c r="P650" i="1" s="1"/>
  <c r="S650" i="1" s="1"/>
  <c r="M649" i="1"/>
  <c r="M648" i="1"/>
  <c r="M647" i="1"/>
  <c r="M639" i="1"/>
  <c r="P639" i="1" s="1"/>
  <c r="S639" i="1" s="1"/>
  <c r="M638" i="1"/>
  <c r="M637" i="1"/>
  <c r="M636" i="1"/>
  <c r="M635" i="1"/>
  <c r="P635" i="1" s="1"/>
  <c r="S635" i="1" s="1"/>
  <c r="M634" i="1"/>
  <c r="M633" i="1"/>
  <c r="P633" i="1" s="1"/>
  <c r="S633" i="1" s="1"/>
  <c r="M632" i="1"/>
  <c r="M631" i="1"/>
  <c r="P631" i="1" s="1"/>
  <c r="S631" i="1" s="1"/>
  <c r="M630" i="1"/>
  <c r="M629" i="1"/>
  <c r="P629" i="1" s="1"/>
  <c r="M628" i="1"/>
  <c r="M627" i="1"/>
  <c r="P627" i="1" s="1"/>
  <c r="S627" i="1" s="1"/>
  <c r="M626" i="1"/>
  <c r="M625" i="1"/>
  <c r="P625" i="1" s="1"/>
  <c r="S625" i="1" s="1"/>
  <c r="M624" i="1"/>
  <c r="M623" i="1"/>
  <c r="P623" i="1" s="1"/>
  <c r="S623" i="1" s="1"/>
  <c r="M622" i="1"/>
  <c r="M621" i="1"/>
  <c r="P621" i="1" s="1"/>
  <c r="S621" i="1" s="1"/>
  <c r="M620" i="1"/>
  <c r="M619" i="1"/>
  <c r="N619" i="1" s="1"/>
  <c r="X619" i="1" s="1"/>
  <c r="M618" i="1"/>
  <c r="M617" i="1"/>
  <c r="N617" i="1" s="1"/>
  <c r="X617" i="1" s="1"/>
  <c r="M616" i="1"/>
  <c r="M615" i="1"/>
  <c r="P615" i="1" s="1"/>
  <c r="S615" i="1" s="1"/>
  <c r="M614" i="1"/>
  <c r="M613" i="1"/>
  <c r="M612" i="1"/>
  <c r="M611" i="1"/>
  <c r="P611" i="1" s="1"/>
  <c r="S611" i="1" s="1"/>
  <c r="M610" i="1"/>
  <c r="M609" i="1"/>
  <c r="N609" i="1" s="1"/>
  <c r="M608" i="1"/>
  <c r="M607" i="1"/>
  <c r="P607" i="1" s="1"/>
  <c r="S607" i="1" s="1"/>
  <c r="M606" i="1"/>
  <c r="M605" i="1"/>
  <c r="P605" i="1" s="1"/>
  <c r="M604" i="1"/>
  <c r="M603" i="1"/>
  <c r="P603" i="1" s="1"/>
  <c r="S603" i="1" s="1"/>
  <c r="M602" i="1"/>
  <c r="M601" i="1"/>
  <c r="P601" i="1" s="1"/>
  <c r="S601" i="1" s="1"/>
  <c r="M600" i="1"/>
  <c r="M599" i="1"/>
  <c r="M598" i="1"/>
  <c r="M597" i="1"/>
  <c r="P597" i="1" s="1"/>
  <c r="S597" i="1" s="1"/>
  <c r="M596" i="1"/>
  <c r="M595" i="1"/>
  <c r="N595" i="1" s="1"/>
  <c r="X595" i="1" s="1"/>
  <c r="N593" i="1"/>
  <c r="X593" i="1" s="1"/>
  <c r="S587" i="1"/>
  <c r="S585" i="1"/>
  <c r="S583" i="1"/>
  <c r="S579" i="1"/>
  <c r="S577" i="1"/>
  <c r="S575" i="1"/>
  <c r="S573" i="1"/>
  <c r="N571" i="1"/>
  <c r="X571" i="1" s="1"/>
  <c r="N569" i="1"/>
  <c r="X569" i="1" s="1"/>
  <c r="M567" i="1"/>
  <c r="P567" i="1" s="1"/>
  <c r="M566" i="1"/>
  <c r="M565" i="1"/>
  <c r="M564" i="1"/>
  <c r="M563" i="1"/>
  <c r="P563" i="1" s="1"/>
  <c r="S563" i="1" s="1"/>
  <c r="M562" i="1"/>
  <c r="M559" i="1"/>
  <c r="P559" i="1" s="1"/>
  <c r="S559" i="1" s="1"/>
  <c r="M558" i="1"/>
  <c r="M557" i="1"/>
  <c r="P557" i="1" s="1"/>
  <c r="M556" i="1"/>
  <c r="M555" i="1"/>
  <c r="P555" i="1" s="1"/>
  <c r="S555" i="1" s="1"/>
  <c r="M554" i="1"/>
  <c r="M553" i="1"/>
  <c r="P553" i="1" s="1"/>
  <c r="S553" i="1" s="1"/>
  <c r="M552" i="1"/>
  <c r="M551" i="1"/>
  <c r="P551" i="1" s="1"/>
  <c r="S551" i="1" s="1"/>
  <c r="M550" i="1"/>
  <c r="M549" i="1"/>
  <c r="P549" i="1" s="1"/>
  <c r="S549" i="1" s="1"/>
  <c r="M548" i="1"/>
  <c r="M547" i="1"/>
  <c r="N547" i="1" s="1"/>
  <c r="X547" i="1" s="1"/>
  <c r="M546" i="1"/>
  <c r="M545" i="1"/>
  <c r="N545" i="1" s="1"/>
  <c r="X545" i="1" s="1"/>
  <c r="M544" i="1"/>
  <c r="M543" i="1"/>
  <c r="P543" i="1" s="1"/>
  <c r="M542" i="1"/>
  <c r="M541" i="1"/>
  <c r="M540" i="1"/>
  <c r="M539" i="1"/>
  <c r="P539" i="1" s="1"/>
  <c r="S539" i="1" s="1"/>
  <c r="M538" i="1"/>
  <c r="M537" i="1"/>
  <c r="P537" i="1" s="1"/>
  <c r="S537" i="1" s="1"/>
  <c r="M536" i="1"/>
  <c r="M535" i="1"/>
  <c r="P535" i="1" s="1"/>
  <c r="S535" i="1" s="1"/>
  <c r="M534" i="1"/>
  <c r="M533" i="1"/>
  <c r="P533" i="1" s="1"/>
  <c r="M532" i="1"/>
  <c r="M531" i="1"/>
  <c r="P531" i="1" s="1"/>
  <c r="S531" i="1" s="1"/>
  <c r="M530" i="1"/>
  <c r="M516" i="1"/>
  <c r="P516" i="1" s="1"/>
  <c r="S516" i="1" s="1"/>
  <c r="M515" i="1"/>
  <c r="M514" i="1"/>
  <c r="P514" i="1" s="1"/>
  <c r="S514" i="1" s="1"/>
  <c r="M513" i="1"/>
  <c r="M512" i="1"/>
  <c r="P512" i="1" s="1"/>
  <c r="S512" i="1" s="1"/>
  <c r="M511" i="1"/>
  <c r="M510" i="1"/>
  <c r="N510" i="1" s="1"/>
  <c r="X510" i="1" s="1"/>
  <c r="M509" i="1"/>
  <c r="P509" i="1" s="1"/>
  <c r="S509" i="1" s="1"/>
  <c r="M508" i="1"/>
  <c r="P508" i="1" s="1"/>
  <c r="S508" i="1" s="1"/>
  <c r="M507" i="1"/>
  <c r="P507" i="1" s="1"/>
  <c r="S507" i="1" s="1"/>
  <c r="M506" i="1"/>
  <c r="P506" i="1" s="1"/>
  <c r="S506" i="1" s="1"/>
  <c r="M505" i="1"/>
  <c r="P505" i="1" s="1"/>
  <c r="S505" i="1" s="1"/>
  <c r="M504" i="1"/>
  <c r="N504" i="1" s="1"/>
  <c r="X504" i="1" s="1"/>
  <c r="M503" i="1"/>
  <c r="P503" i="1" s="1"/>
  <c r="S503" i="1" s="1"/>
  <c r="M502" i="1"/>
  <c r="P502" i="1" s="1"/>
  <c r="S502" i="1" s="1"/>
  <c r="M501" i="1"/>
  <c r="P501" i="1" s="1"/>
  <c r="S501" i="1" s="1"/>
  <c r="M500" i="1"/>
  <c r="P500" i="1" s="1"/>
  <c r="S500" i="1" s="1"/>
  <c r="M499" i="1"/>
  <c r="P499" i="1" s="1"/>
  <c r="S499" i="1" s="1"/>
  <c r="M498" i="1"/>
  <c r="N498" i="1" s="1"/>
  <c r="X498" i="1" s="1"/>
  <c r="M497" i="1"/>
  <c r="P497" i="1" s="1"/>
  <c r="S497" i="1" s="1"/>
  <c r="M496" i="1"/>
  <c r="P496" i="1" s="1"/>
  <c r="S496" i="1" s="1"/>
  <c r="M495" i="1"/>
  <c r="P495" i="1" s="1"/>
  <c r="S495" i="1" s="1"/>
  <c r="M494" i="1"/>
  <c r="P494" i="1" s="1"/>
  <c r="S494" i="1" s="1"/>
  <c r="M493" i="1"/>
  <c r="P493" i="1" s="1"/>
  <c r="S493" i="1" s="1"/>
  <c r="M492" i="1"/>
  <c r="N492" i="1" s="1"/>
  <c r="M491" i="1"/>
  <c r="P491" i="1" s="1"/>
  <c r="S491" i="1" s="1"/>
  <c r="M490" i="1"/>
  <c r="P490" i="1" s="1"/>
  <c r="S490" i="1" s="1"/>
  <c r="M489" i="1"/>
  <c r="P489" i="1" s="1"/>
  <c r="S489" i="1" s="1"/>
  <c r="M488" i="1"/>
  <c r="P488" i="1" s="1"/>
  <c r="S488" i="1" s="1"/>
  <c r="M487" i="1"/>
  <c r="M486" i="1"/>
  <c r="P486" i="1" s="1"/>
  <c r="S486" i="1" s="1"/>
  <c r="M485" i="1"/>
  <c r="P485" i="1" s="1"/>
  <c r="S485" i="1" s="1"/>
  <c r="M484" i="1"/>
  <c r="P484" i="1" s="1"/>
  <c r="S484" i="1" s="1"/>
  <c r="M483" i="1"/>
  <c r="P483" i="1" s="1"/>
  <c r="S483" i="1" s="1"/>
  <c r="M482" i="1"/>
  <c r="P482" i="1" s="1"/>
  <c r="S482" i="1" s="1"/>
  <c r="M481" i="1"/>
  <c r="N481" i="1" s="1"/>
  <c r="M480" i="1"/>
  <c r="P480" i="1" s="1"/>
  <c r="S480" i="1" s="1"/>
  <c r="M479" i="1"/>
  <c r="P479" i="1" s="1"/>
  <c r="S479" i="1" s="1"/>
  <c r="M478" i="1"/>
  <c r="P478" i="1" s="1"/>
  <c r="S478" i="1" s="1"/>
  <c r="M477" i="1"/>
  <c r="P477" i="1" s="1"/>
  <c r="S477" i="1" s="1"/>
  <c r="M476" i="1"/>
  <c r="P476" i="1" s="1"/>
  <c r="S476" i="1" s="1"/>
  <c r="M475" i="1"/>
  <c r="P475" i="1" s="1"/>
  <c r="S475" i="1" s="1"/>
  <c r="M474" i="1"/>
  <c r="P474" i="1" s="1"/>
  <c r="S474" i="1" s="1"/>
  <c r="M473" i="1"/>
  <c r="P473" i="1" s="1"/>
  <c r="S473" i="1" s="1"/>
  <c r="M472" i="1"/>
  <c r="P472" i="1" s="1"/>
  <c r="S472" i="1" s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P450" i="1" s="1"/>
  <c r="S450" i="1" s="1"/>
  <c r="M449" i="1"/>
  <c r="M448" i="1"/>
  <c r="P448" i="1" s="1"/>
  <c r="S448" i="1" s="1"/>
  <c r="M447" i="1"/>
  <c r="P447" i="1" s="1"/>
  <c r="S447" i="1" s="1"/>
  <c r="M446" i="1"/>
  <c r="P446" i="1" s="1"/>
  <c r="S446" i="1" s="1"/>
  <c r="M445" i="1"/>
  <c r="P445" i="1" s="1"/>
  <c r="S445" i="1" s="1"/>
  <c r="M444" i="1"/>
  <c r="P444" i="1" s="1"/>
  <c r="S444" i="1" s="1"/>
  <c r="M443" i="1"/>
  <c r="N443" i="1" s="1"/>
  <c r="X443" i="1" s="1"/>
  <c r="M442" i="1"/>
  <c r="P442" i="1" s="1"/>
  <c r="S442" i="1" s="1"/>
  <c r="M441" i="1"/>
  <c r="P441" i="1" s="1"/>
  <c r="S441" i="1" s="1"/>
  <c r="M440" i="1"/>
  <c r="P440" i="1" s="1"/>
  <c r="S440" i="1" s="1"/>
  <c r="M439" i="1"/>
  <c r="P439" i="1" s="1"/>
  <c r="M436" i="1"/>
  <c r="P436" i="1" s="1"/>
  <c r="S436" i="1" s="1"/>
  <c r="M435" i="1"/>
  <c r="P435" i="1" s="1"/>
  <c r="S435" i="1" s="1"/>
  <c r="M434" i="1"/>
  <c r="P434" i="1" s="1"/>
  <c r="S434" i="1" s="1"/>
  <c r="M433" i="1"/>
  <c r="N433" i="1" s="1"/>
  <c r="X433" i="1" s="1"/>
  <c r="M432" i="1"/>
  <c r="P432" i="1" s="1"/>
  <c r="S432" i="1" s="1"/>
  <c r="M431" i="1"/>
  <c r="N431" i="1" s="1"/>
  <c r="X431" i="1" s="1"/>
  <c r="M430" i="1"/>
  <c r="P430" i="1" s="1"/>
  <c r="S430" i="1" s="1"/>
  <c r="M429" i="1"/>
  <c r="N429" i="1" s="1"/>
  <c r="X429" i="1" s="1"/>
  <c r="M428" i="1"/>
  <c r="M427" i="1"/>
  <c r="P427" i="1" s="1"/>
  <c r="S427" i="1" s="1"/>
  <c r="M426" i="1"/>
  <c r="M425" i="1"/>
  <c r="P425" i="1" s="1"/>
  <c r="M424" i="1"/>
  <c r="M423" i="1"/>
  <c r="P423" i="1" s="1"/>
  <c r="S423" i="1" s="1"/>
  <c r="M422" i="1"/>
  <c r="M421" i="1"/>
  <c r="P421" i="1" s="1"/>
  <c r="S421" i="1" s="1"/>
  <c r="M420" i="1"/>
  <c r="M419" i="1"/>
  <c r="N419" i="1" s="1"/>
  <c r="X419" i="1" s="1"/>
  <c r="M418" i="1"/>
  <c r="M417" i="1"/>
  <c r="P417" i="1" s="1"/>
  <c r="S417" i="1" s="1"/>
  <c r="M416" i="1"/>
  <c r="M415" i="1"/>
  <c r="P415" i="1" s="1"/>
  <c r="M414" i="1"/>
  <c r="M413" i="1"/>
  <c r="M412" i="1"/>
  <c r="M411" i="1"/>
  <c r="P411" i="1" s="1"/>
  <c r="S411" i="1" s="1"/>
  <c r="M410" i="1"/>
  <c r="M409" i="1"/>
  <c r="N409" i="1" s="1"/>
  <c r="X409" i="1" s="1"/>
  <c r="M408" i="1"/>
  <c r="M407" i="1"/>
  <c r="N407" i="1" s="1"/>
  <c r="X407" i="1" s="1"/>
  <c r="M399" i="1"/>
  <c r="M398" i="1"/>
  <c r="N398" i="1" s="1"/>
  <c r="X398" i="1" s="1"/>
  <c r="M397" i="1"/>
  <c r="M396" i="1"/>
  <c r="P396" i="1" s="1"/>
  <c r="S396" i="1" s="1"/>
  <c r="M395" i="1"/>
  <c r="M394" i="1"/>
  <c r="P394" i="1" s="1"/>
  <c r="M393" i="1"/>
  <c r="M392" i="1"/>
  <c r="P392" i="1" s="1"/>
  <c r="S392" i="1" s="1"/>
  <c r="M391" i="1"/>
  <c r="M390" i="1"/>
  <c r="P390" i="1" s="1"/>
  <c r="S390" i="1" s="1"/>
  <c r="M389" i="1"/>
  <c r="M388" i="1"/>
  <c r="P388" i="1" s="1"/>
  <c r="S388" i="1" s="1"/>
  <c r="M387" i="1"/>
  <c r="M386" i="1"/>
  <c r="P386" i="1" s="1"/>
  <c r="S386" i="1" s="1"/>
  <c r="M385" i="1"/>
  <c r="M384" i="1"/>
  <c r="P384" i="1" s="1"/>
  <c r="S384" i="1" s="1"/>
  <c r="M383" i="1"/>
  <c r="M382" i="1"/>
  <c r="M381" i="1"/>
  <c r="M380" i="1"/>
  <c r="P380" i="1" s="1"/>
  <c r="S380" i="1" s="1"/>
  <c r="M379" i="1"/>
  <c r="P379" i="1" s="1"/>
  <c r="S379" i="1" s="1"/>
  <c r="M378" i="1"/>
  <c r="N378" i="1" s="1"/>
  <c r="X378" i="1" s="1"/>
  <c r="M377" i="1"/>
  <c r="P377" i="1" s="1"/>
  <c r="S377" i="1" s="1"/>
  <c r="M376" i="1"/>
  <c r="M375" i="1"/>
  <c r="M374" i="1"/>
  <c r="P374" i="1" s="1"/>
  <c r="S374" i="1" s="1"/>
  <c r="M373" i="1"/>
  <c r="P373" i="1" s="1"/>
  <c r="S373" i="1" s="1"/>
  <c r="M372" i="1"/>
  <c r="N372" i="1" s="1"/>
  <c r="M371" i="1"/>
  <c r="P371" i="1" s="1"/>
  <c r="S371" i="1" s="1"/>
  <c r="M370" i="1"/>
  <c r="M369" i="1"/>
  <c r="M368" i="1"/>
  <c r="P368" i="1" s="1"/>
  <c r="S368" i="1" s="1"/>
  <c r="M367" i="1"/>
  <c r="P367" i="1" s="1"/>
  <c r="S367" i="1" s="1"/>
  <c r="M366" i="1"/>
  <c r="N366" i="1" s="1"/>
  <c r="M365" i="1"/>
  <c r="P365" i="1" s="1"/>
  <c r="S365" i="1" s="1"/>
  <c r="M364" i="1"/>
  <c r="M363" i="1"/>
  <c r="M362" i="1"/>
  <c r="P362" i="1" s="1"/>
  <c r="S362" i="1" s="1"/>
  <c r="M361" i="1"/>
  <c r="P361" i="1" s="1"/>
  <c r="S361" i="1" s="1"/>
  <c r="M360" i="1"/>
  <c r="N360" i="1" s="1"/>
  <c r="X360" i="1" s="1"/>
  <c r="M359" i="1"/>
  <c r="P359" i="1" s="1"/>
  <c r="S359" i="1" s="1"/>
  <c r="M358" i="1"/>
  <c r="M357" i="1"/>
  <c r="M356" i="1"/>
  <c r="P356" i="1" s="1"/>
  <c r="S356" i="1" s="1"/>
  <c r="M355" i="1"/>
  <c r="P355" i="1" s="1"/>
  <c r="S355" i="1" s="1"/>
  <c r="M354" i="1"/>
  <c r="M353" i="1"/>
  <c r="M352" i="1"/>
  <c r="P352" i="1" s="1"/>
  <c r="M351" i="1"/>
  <c r="M350" i="1"/>
  <c r="M349" i="1"/>
  <c r="M348" i="1"/>
  <c r="M347" i="1"/>
  <c r="M346" i="1"/>
  <c r="P346" i="1" s="1"/>
  <c r="M345" i="1"/>
  <c r="M344" i="1"/>
  <c r="M343" i="1"/>
  <c r="P343" i="1" s="1"/>
  <c r="M342" i="1"/>
  <c r="P342" i="1" s="1"/>
  <c r="M341" i="1"/>
  <c r="M340" i="1"/>
  <c r="M339" i="1"/>
  <c r="M338" i="1"/>
  <c r="P338" i="1" s="1"/>
  <c r="M337" i="1"/>
  <c r="M336" i="1"/>
  <c r="M335" i="1"/>
  <c r="M334" i="1"/>
  <c r="M333" i="1"/>
  <c r="P333" i="1" s="1"/>
  <c r="S333" i="1" s="1"/>
  <c r="M332" i="1"/>
  <c r="M331" i="1"/>
  <c r="P331" i="1" s="1"/>
  <c r="S331" i="1" s="1"/>
  <c r="M330" i="1"/>
  <c r="M329" i="1"/>
  <c r="P329" i="1" s="1"/>
  <c r="S329" i="1" s="1"/>
  <c r="M328" i="1"/>
  <c r="P328" i="1" s="1"/>
  <c r="S328" i="1" s="1"/>
  <c r="M327" i="1"/>
  <c r="P327" i="1" s="1"/>
  <c r="S327" i="1" s="1"/>
  <c r="M326" i="1"/>
  <c r="P326" i="1" s="1"/>
  <c r="M325" i="1"/>
  <c r="P325" i="1" s="1"/>
  <c r="S325" i="1" s="1"/>
  <c r="M324" i="1"/>
  <c r="P324" i="1" s="1"/>
  <c r="M323" i="1"/>
  <c r="P323" i="1" s="1"/>
  <c r="S323" i="1" s="1"/>
  <c r="M322" i="1"/>
  <c r="P322" i="1" s="1"/>
  <c r="M319" i="1"/>
  <c r="P319" i="1" s="1"/>
  <c r="S319" i="1" s="1"/>
  <c r="M318" i="1"/>
  <c r="P318" i="1" s="1"/>
  <c r="M317" i="1"/>
  <c r="P317" i="1" s="1"/>
  <c r="S317" i="1" s="1"/>
  <c r="M316" i="1"/>
  <c r="P316" i="1" s="1"/>
  <c r="Q316" i="1" s="1"/>
  <c r="M315" i="1"/>
  <c r="M314" i="1"/>
  <c r="P314" i="1" s="1"/>
  <c r="M313" i="1"/>
  <c r="M312" i="1"/>
  <c r="P312" i="1" s="1"/>
  <c r="M311" i="1"/>
  <c r="M310" i="1"/>
  <c r="P310" i="1" s="1"/>
  <c r="M309" i="1"/>
  <c r="M308" i="1"/>
  <c r="P308" i="1" s="1"/>
  <c r="M307" i="1"/>
  <c r="M306" i="1"/>
  <c r="P306" i="1" s="1"/>
  <c r="M305" i="1"/>
  <c r="M304" i="1"/>
  <c r="P304" i="1" s="1"/>
  <c r="S304" i="1" s="1"/>
  <c r="M303" i="1"/>
  <c r="M302" i="1"/>
  <c r="P302" i="1" s="1"/>
  <c r="S302" i="1" s="1"/>
  <c r="T302" i="1" s="1"/>
  <c r="Z302" i="1" s="1"/>
  <c r="M301" i="1"/>
  <c r="M300" i="1"/>
  <c r="P300" i="1" s="1"/>
  <c r="M299" i="1"/>
  <c r="M298" i="1"/>
  <c r="P298" i="1" s="1"/>
  <c r="M297" i="1"/>
  <c r="M296" i="1"/>
  <c r="P296" i="1" s="1"/>
  <c r="M295" i="1"/>
  <c r="M294" i="1"/>
  <c r="P294" i="1" s="1"/>
  <c r="M293" i="1"/>
  <c r="M292" i="1"/>
  <c r="P292" i="1" s="1"/>
  <c r="M291" i="1"/>
  <c r="M290" i="1"/>
  <c r="P290" i="1" s="1"/>
  <c r="M276" i="1"/>
  <c r="M275" i="1"/>
  <c r="P275" i="1" s="1"/>
  <c r="M274" i="1"/>
  <c r="P274" i="1" s="1"/>
  <c r="S274" i="1" s="1"/>
  <c r="M273" i="1"/>
  <c r="P273" i="1" s="1"/>
  <c r="M272" i="1"/>
  <c r="M271" i="1"/>
  <c r="P271" i="1" s="1"/>
  <c r="M270" i="1"/>
  <c r="P270" i="1" s="1"/>
  <c r="S270" i="1" s="1"/>
  <c r="M269" i="1"/>
  <c r="P269" i="1" s="1"/>
  <c r="M268" i="1"/>
  <c r="M267" i="1"/>
  <c r="P267" i="1" s="1"/>
  <c r="M266" i="1"/>
  <c r="P266" i="1" s="1"/>
  <c r="S266" i="1" s="1"/>
  <c r="M265" i="1"/>
  <c r="P265" i="1" s="1"/>
  <c r="M264" i="1"/>
  <c r="M263" i="1"/>
  <c r="P263" i="1" s="1"/>
  <c r="M262" i="1"/>
  <c r="P262" i="1" s="1"/>
  <c r="S262" i="1" s="1"/>
  <c r="M261" i="1"/>
  <c r="P261" i="1" s="1"/>
  <c r="M260" i="1"/>
  <c r="M259" i="1"/>
  <c r="P259" i="1" s="1"/>
  <c r="M258" i="1"/>
  <c r="P258" i="1" s="1"/>
  <c r="S258" i="1" s="1"/>
  <c r="M257" i="1"/>
  <c r="P257" i="1" s="1"/>
  <c r="M256" i="1"/>
  <c r="M255" i="1"/>
  <c r="P255" i="1" s="1"/>
  <c r="M254" i="1"/>
  <c r="P254" i="1" s="1"/>
  <c r="S254" i="1" s="1"/>
  <c r="M253" i="1"/>
  <c r="P253" i="1" s="1"/>
  <c r="M252" i="1"/>
  <c r="M251" i="1"/>
  <c r="P251" i="1" s="1"/>
  <c r="M250" i="1"/>
  <c r="P250" i="1" s="1"/>
  <c r="S250" i="1" s="1"/>
  <c r="M249" i="1"/>
  <c r="P249" i="1" s="1"/>
  <c r="M248" i="1"/>
  <c r="M247" i="1"/>
  <c r="P247" i="1" s="1"/>
  <c r="M246" i="1"/>
  <c r="P246" i="1" s="1"/>
  <c r="S246" i="1" s="1"/>
  <c r="M245" i="1"/>
  <c r="P245" i="1" s="1"/>
  <c r="M244" i="1"/>
  <c r="M243" i="1"/>
  <c r="P243" i="1" s="1"/>
  <c r="M242" i="1"/>
  <c r="P242" i="1" s="1"/>
  <c r="S242" i="1" s="1"/>
  <c r="M241" i="1"/>
  <c r="P241" i="1" s="1"/>
  <c r="M240" i="1"/>
  <c r="M239" i="1"/>
  <c r="P239" i="1" s="1"/>
  <c r="M238" i="1"/>
  <c r="P238" i="1" s="1"/>
  <c r="S238" i="1" s="1"/>
  <c r="M237" i="1"/>
  <c r="P237" i="1" s="1"/>
  <c r="M236" i="1"/>
  <c r="M235" i="1"/>
  <c r="P235" i="1" s="1"/>
  <c r="M234" i="1"/>
  <c r="P234" i="1" s="1"/>
  <c r="M233" i="1"/>
  <c r="P233" i="1" s="1"/>
  <c r="M232" i="1"/>
  <c r="P232" i="1" s="1"/>
  <c r="M231" i="1"/>
  <c r="P231" i="1" s="1"/>
  <c r="M230" i="1"/>
  <c r="M229" i="1"/>
  <c r="P229" i="1" s="1"/>
  <c r="M228" i="1"/>
  <c r="N228" i="1" s="1"/>
  <c r="M227" i="1"/>
  <c r="P227" i="1" s="1"/>
  <c r="M226" i="1"/>
  <c r="P226" i="1" s="1"/>
  <c r="M225" i="1"/>
  <c r="P225" i="1" s="1"/>
  <c r="M224" i="1"/>
  <c r="P224" i="1" s="1"/>
  <c r="M223" i="1"/>
  <c r="P223" i="1" s="1"/>
  <c r="M222" i="1"/>
  <c r="M221" i="1"/>
  <c r="P221" i="1" s="1"/>
  <c r="M220" i="1"/>
  <c r="N220" i="1" s="1"/>
  <c r="M219" i="1"/>
  <c r="P219" i="1" s="1"/>
  <c r="M218" i="1"/>
  <c r="P218" i="1" s="1"/>
  <c r="M217" i="1"/>
  <c r="P217" i="1" s="1"/>
  <c r="M216" i="1"/>
  <c r="P216" i="1" s="1"/>
  <c r="M215" i="1"/>
  <c r="P215" i="1" s="1"/>
  <c r="M214" i="1"/>
  <c r="M213" i="1"/>
  <c r="P213" i="1" s="1"/>
  <c r="M212" i="1"/>
  <c r="N212" i="1" s="1"/>
  <c r="M211" i="1"/>
  <c r="P211" i="1" s="1"/>
  <c r="M210" i="1"/>
  <c r="P210" i="1" s="1"/>
  <c r="M209" i="1"/>
  <c r="P209" i="1" s="1"/>
  <c r="M208" i="1"/>
  <c r="P208" i="1" s="1"/>
  <c r="M207" i="1"/>
  <c r="P207" i="1" s="1"/>
  <c r="M206" i="1"/>
  <c r="M205" i="1"/>
  <c r="P205" i="1" s="1"/>
  <c r="M204" i="1"/>
  <c r="N204" i="1" s="1"/>
  <c r="M203" i="1"/>
  <c r="P203" i="1" s="1"/>
  <c r="M202" i="1"/>
  <c r="P202" i="1" s="1"/>
  <c r="M201" i="1"/>
  <c r="P201" i="1" s="1"/>
  <c r="M200" i="1"/>
  <c r="P200" i="1" s="1"/>
  <c r="M199" i="1"/>
  <c r="P199" i="1" s="1"/>
  <c r="M159" i="1"/>
  <c r="P159" i="1" s="1"/>
  <c r="M158" i="1"/>
  <c r="M157" i="1"/>
  <c r="P157" i="1" s="1"/>
  <c r="S157" i="1" s="1"/>
  <c r="M156" i="1"/>
  <c r="M155" i="1"/>
  <c r="M139" i="1"/>
  <c r="M138" i="1"/>
  <c r="P138" i="1" s="1"/>
  <c r="M137" i="1"/>
  <c r="M136" i="1"/>
  <c r="M135" i="1"/>
  <c r="M134" i="1"/>
  <c r="N134" i="1" s="1"/>
  <c r="X134" i="1" s="1"/>
  <c r="M133" i="1"/>
  <c r="M132" i="1"/>
  <c r="P132" i="1" s="1"/>
  <c r="M131" i="1"/>
  <c r="M130" i="1"/>
  <c r="P130" i="1" s="1"/>
  <c r="M129" i="1"/>
  <c r="M128" i="1"/>
  <c r="M127" i="1"/>
  <c r="M126" i="1"/>
  <c r="N126" i="1" s="1"/>
  <c r="X126" i="1" s="1"/>
  <c r="M125" i="1"/>
  <c r="M124" i="1"/>
  <c r="P124" i="1" s="1"/>
  <c r="M123" i="1"/>
  <c r="M122" i="1"/>
  <c r="P122" i="1" s="1"/>
  <c r="S122" i="1" s="1"/>
  <c r="M121" i="1"/>
  <c r="M120" i="1"/>
  <c r="M119" i="1"/>
  <c r="M118" i="1"/>
  <c r="P118" i="1" s="1"/>
  <c r="S118" i="1" s="1"/>
  <c r="M117" i="1"/>
  <c r="M116" i="1"/>
  <c r="P116" i="1" s="1"/>
  <c r="S116" i="1" s="1"/>
  <c r="M115" i="1"/>
  <c r="M114" i="1"/>
  <c r="P114" i="1" s="1"/>
  <c r="M113" i="1"/>
  <c r="M112" i="1"/>
  <c r="N112" i="1" s="1"/>
  <c r="M111" i="1"/>
  <c r="M95" i="1"/>
  <c r="P95" i="1" s="1"/>
  <c r="S95" i="1" s="1"/>
  <c r="M94" i="1"/>
  <c r="M93" i="1"/>
  <c r="P93" i="1" s="1"/>
  <c r="S93" i="1" s="1"/>
  <c r="M91" i="1"/>
  <c r="M90" i="1"/>
  <c r="P90" i="1" s="1"/>
  <c r="M89" i="1"/>
  <c r="M88" i="1"/>
  <c r="N88" i="1" s="1"/>
  <c r="M87" i="1"/>
  <c r="M86" i="1"/>
  <c r="P86" i="1" s="1"/>
  <c r="S86" i="1" s="1"/>
  <c r="M85" i="1"/>
  <c r="P85" i="1" s="1"/>
  <c r="S85" i="1" s="1"/>
  <c r="M84" i="1"/>
  <c r="P84" i="1" s="1"/>
  <c r="S84" i="1" s="1"/>
  <c r="M83" i="1"/>
  <c r="P83" i="1" s="1"/>
  <c r="S83" i="1" s="1"/>
  <c r="M82" i="1"/>
  <c r="P82" i="1" s="1"/>
  <c r="S82" i="1" s="1"/>
  <c r="M80" i="1"/>
  <c r="P80" i="1" s="1"/>
  <c r="S80" i="1" s="1"/>
  <c r="M79" i="1"/>
  <c r="P79" i="1" s="1"/>
  <c r="S79" i="1" s="1"/>
  <c r="M77" i="1"/>
  <c r="P77" i="1" s="1"/>
  <c r="S77" i="1" s="1"/>
  <c r="M76" i="1"/>
  <c r="P76" i="1" s="1"/>
  <c r="S76" i="1" s="1"/>
  <c r="M75" i="1"/>
  <c r="P75" i="1" s="1"/>
  <c r="S75" i="1" s="1"/>
  <c r="M74" i="1"/>
  <c r="P74" i="1" s="1"/>
  <c r="S74" i="1" s="1"/>
  <c r="M73" i="1"/>
  <c r="P73" i="1" s="1"/>
  <c r="S73" i="1" s="1"/>
  <c r="M72" i="1"/>
  <c r="P72" i="1" s="1"/>
  <c r="S72" i="1" s="1"/>
  <c r="M71" i="1"/>
  <c r="N71" i="1" s="1"/>
  <c r="X71" i="1" s="1"/>
  <c r="M69" i="1"/>
  <c r="P69" i="1" s="1"/>
  <c r="S69" i="1" s="1"/>
  <c r="M68" i="1"/>
  <c r="P68" i="1" s="1"/>
  <c r="S68" i="1" s="1"/>
  <c r="M67" i="1"/>
  <c r="P67" i="1" s="1"/>
  <c r="S67" i="1" s="1"/>
  <c r="M66" i="1"/>
  <c r="N66" i="1" s="1"/>
  <c r="M65" i="1"/>
  <c r="P65" i="1" s="1"/>
  <c r="S65" i="1" s="1"/>
  <c r="M64" i="1"/>
  <c r="P64" i="1" s="1"/>
  <c r="S64" i="1" s="1"/>
  <c r="M46" i="1"/>
  <c r="P46" i="1" s="1"/>
  <c r="S46" i="1" s="1"/>
  <c r="M45" i="1"/>
  <c r="P45" i="1" s="1"/>
  <c r="S45" i="1" s="1"/>
  <c r="M42" i="1"/>
  <c r="P42" i="1" s="1"/>
  <c r="S42" i="1" s="1"/>
  <c r="M41" i="1"/>
  <c r="P41" i="1" s="1"/>
  <c r="S41" i="1" s="1"/>
  <c r="M40" i="1"/>
  <c r="P40" i="1" s="1"/>
  <c r="S40" i="1" s="1"/>
  <c r="M38" i="1"/>
  <c r="P38" i="1" s="1"/>
  <c r="S38" i="1" s="1"/>
  <c r="M37" i="1"/>
  <c r="P37" i="1" s="1"/>
  <c r="S37" i="1" s="1"/>
  <c r="M35" i="1"/>
  <c r="P35" i="1" s="1"/>
  <c r="S35" i="1" s="1"/>
  <c r="M34" i="1"/>
  <c r="P34" i="1" s="1"/>
  <c r="S34" i="1" s="1"/>
  <c r="M33" i="1"/>
  <c r="P33" i="1" s="1"/>
  <c r="S33" i="1" s="1"/>
  <c r="M32" i="1"/>
  <c r="P32" i="1" s="1"/>
  <c r="S32" i="1" s="1"/>
  <c r="M28" i="1"/>
  <c r="P28" i="1" s="1"/>
  <c r="S28" i="1" s="1"/>
  <c r="M26" i="1"/>
  <c r="P26" i="1" s="1"/>
  <c r="S26" i="1" s="1"/>
  <c r="M25" i="1"/>
  <c r="P25" i="1" s="1"/>
  <c r="S25" i="1" s="1"/>
  <c r="M23" i="1"/>
  <c r="M20" i="1"/>
  <c r="P20" i="1" s="1"/>
  <c r="S20" i="1" s="1"/>
  <c r="M19" i="1"/>
  <c r="P19" i="1" s="1"/>
  <c r="S19" i="1" s="1"/>
  <c r="M17" i="1"/>
  <c r="P17" i="1" s="1"/>
  <c r="S17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76" i="1"/>
  <c r="W676" i="1" s="1"/>
  <c r="K675" i="1"/>
  <c r="W675" i="1" s="1"/>
  <c r="K674" i="1"/>
  <c r="W674" i="1" s="1"/>
  <c r="K673" i="1"/>
  <c r="W673" i="1" s="1"/>
  <c r="K672" i="1"/>
  <c r="W672" i="1" s="1"/>
  <c r="K671" i="1"/>
  <c r="W671" i="1" s="1"/>
  <c r="K670" i="1"/>
  <c r="W670" i="1" s="1"/>
  <c r="K669" i="1"/>
  <c r="W669" i="1" s="1"/>
  <c r="K668" i="1"/>
  <c r="W668" i="1" s="1"/>
  <c r="K667" i="1"/>
  <c r="W667" i="1" s="1"/>
  <c r="K666" i="1"/>
  <c r="W666" i="1" s="1"/>
  <c r="K665" i="1"/>
  <c r="W665" i="1" s="1"/>
  <c r="K664" i="1"/>
  <c r="W664" i="1" s="1"/>
  <c r="K663" i="1"/>
  <c r="W663" i="1" s="1"/>
  <c r="K662" i="1"/>
  <c r="W662" i="1" s="1"/>
  <c r="K661" i="1"/>
  <c r="W661" i="1" s="1"/>
  <c r="K660" i="1"/>
  <c r="W660" i="1" s="1"/>
  <c r="K659" i="1"/>
  <c r="W659" i="1" s="1"/>
  <c r="K658" i="1"/>
  <c r="W658" i="1" s="1"/>
  <c r="K657" i="1"/>
  <c r="W657" i="1" s="1"/>
  <c r="K656" i="1"/>
  <c r="W656" i="1" s="1"/>
  <c r="K655" i="1"/>
  <c r="W655" i="1" s="1"/>
  <c r="K654" i="1"/>
  <c r="W654" i="1" s="1"/>
  <c r="K653" i="1"/>
  <c r="W653" i="1" s="1"/>
  <c r="K652" i="1"/>
  <c r="K651" i="1"/>
  <c r="K650" i="1"/>
  <c r="W650" i="1" s="1"/>
  <c r="K649" i="1"/>
  <c r="K648" i="1"/>
  <c r="K647" i="1"/>
  <c r="K639" i="1"/>
  <c r="W639" i="1" s="1"/>
  <c r="K638" i="1"/>
  <c r="W638" i="1" s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W618" i="1" s="1"/>
  <c r="K617" i="1"/>
  <c r="W617" i="1" s="1"/>
  <c r="K616" i="1"/>
  <c r="W616" i="1" s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W599" i="1" s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W567" i="1" s="1"/>
  <c r="K566" i="1"/>
  <c r="W566" i="1" s="1"/>
  <c r="K565" i="1"/>
  <c r="K564" i="1"/>
  <c r="K563" i="1"/>
  <c r="K562" i="1"/>
  <c r="K559" i="1"/>
  <c r="W559" i="1" s="1"/>
  <c r="K558" i="1"/>
  <c r="W558" i="1" s="1"/>
  <c r="K557" i="1"/>
  <c r="W557" i="1" s="1"/>
  <c r="K556" i="1"/>
  <c r="W556" i="1" s="1"/>
  <c r="K555" i="1"/>
  <c r="W555" i="1" s="1"/>
  <c r="K554" i="1"/>
  <c r="W554" i="1" s="1"/>
  <c r="K553" i="1"/>
  <c r="W553" i="1" s="1"/>
  <c r="K552" i="1"/>
  <c r="W552" i="1" s="1"/>
  <c r="K551" i="1"/>
  <c r="W551" i="1" s="1"/>
  <c r="K550" i="1"/>
  <c r="W550" i="1" s="1"/>
  <c r="K549" i="1"/>
  <c r="W549" i="1" s="1"/>
  <c r="K548" i="1"/>
  <c r="W548" i="1" s="1"/>
  <c r="K547" i="1"/>
  <c r="W547" i="1" s="1"/>
  <c r="K546" i="1"/>
  <c r="W546" i="1" s="1"/>
  <c r="K545" i="1"/>
  <c r="W545" i="1" s="1"/>
  <c r="K544" i="1"/>
  <c r="W544" i="1" s="1"/>
  <c r="K543" i="1"/>
  <c r="W543" i="1" s="1"/>
  <c r="K542" i="1"/>
  <c r="W542" i="1" s="1"/>
  <c r="K541" i="1"/>
  <c r="W541" i="1" s="1"/>
  <c r="K540" i="1"/>
  <c r="W540" i="1" s="1"/>
  <c r="K539" i="1"/>
  <c r="W539" i="1" s="1"/>
  <c r="K538" i="1"/>
  <c r="W538" i="1" s="1"/>
  <c r="K537" i="1"/>
  <c r="W537" i="1" s="1"/>
  <c r="K536" i="1"/>
  <c r="W536" i="1" s="1"/>
  <c r="K535" i="1"/>
  <c r="K534" i="1"/>
  <c r="K533" i="1"/>
  <c r="W533" i="1" s="1"/>
  <c r="K532" i="1"/>
  <c r="K531" i="1"/>
  <c r="K530" i="1"/>
  <c r="K516" i="1"/>
  <c r="W516" i="1" s="1"/>
  <c r="K515" i="1"/>
  <c r="W515" i="1" s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W495" i="1" s="1"/>
  <c r="K494" i="1"/>
  <c r="W494" i="1" s="1"/>
  <c r="K493" i="1"/>
  <c r="W493" i="1" s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W476" i="1" s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W444" i="1" s="1"/>
  <c r="K443" i="1"/>
  <c r="W443" i="1" s="1"/>
  <c r="K442" i="1"/>
  <c r="K441" i="1"/>
  <c r="K440" i="1"/>
  <c r="K439" i="1"/>
  <c r="K436" i="1"/>
  <c r="W436" i="1" s="1"/>
  <c r="K435" i="1"/>
  <c r="W435" i="1" s="1"/>
  <c r="K434" i="1"/>
  <c r="W434" i="1" s="1"/>
  <c r="K433" i="1"/>
  <c r="K432" i="1"/>
  <c r="W432" i="1" s="1"/>
  <c r="K431" i="1"/>
  <c r="W431" i="1" s="1"/>
  <c r="K430" i="1"/>
  <c r="W430" i="1" s="1"/>
  <c r="K429" i="1"/>
  <c r="W429" i="1" s="1"/>
  <c r="K428" i="1"/>
  <c r="W428" i="1" s="1"/>
  <c r="K427" i="1"/>
  <c r="W427" i="1" s="1"/>
  <c r="K426" i="1"/>
  <c r="W426" i="1" s="1"/>
  <c r="K425" i="1"/>
  <c r="W425" i="1" s="1"/>
  <c r="K424" i="1"/>
  <c r="W424" i="1" s="1"/>
  <c r="K423" i="1"/>
  <c r="W423" i="1" s="1"/>
  <c r="K422" i="1"/>
  <c r="W422" i="1" s="1"/>
  <c r="K421" i="1"/>
  <c r="K420" i="1"/>
  <c r="K419" i="1"/>
  <c r="K418" i="1"/>
  <c r="K417" i="1"/>
  <c r="K416" i="1"/>
  <c r="K415" i="1"/>
  <c r="K414" i="1"/>
  <c r="K413" i="1"/>
  <c r="K412" i="1"/>
  <c r="K411" i="1"/>
  <c r="K410" i="1"/>
  <c r="W410" i="1" s="1"/>
  <c r="K409" i="1"/>
  <c r="K408" i="1"/>
  <c r="K407" i="1"/>
  <c r="K399" i="1"/>
  <c r="W399" i="1" s="1"/>
  <c r="K398" i="1"/>
  <c r="W398" i="1" s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W378" i="1" s="1"/>
  <c r="K377" i="1"/>
  <c r="W377" i="1" s="1"/>
  <c r="K376" i="1"/>
  <c r="W376" i="1" s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W359" i="1" s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W327" i="1" s="1"/>
  <c r="K326" i="1"/>
  <c r="W326" i="1" s="1"/>
  <c r="K325" i="1"/>
  <c r="K324" i="1"/>
  <c r="K323" i="1"/>
  <c r="K322" i="1"/>
  <c r="K319" i="1"/>
  <c r="W319" i="1" s="1"/>
  <c r="K318" i="1"/>
  <c r="W318" i="1" s="1"/>
  <c r="K317" i="1"/>
  <c r="K316" i="1"/>
  <c r="K315" i="1"/>
  <c r="K314" i="1"/>
  <c r="K313" i="1"/>
  <c r="K312" i="1"/>
  <c r="K311" i="1"/>
  <c r="K310" i="1"/>
  <c r="K309" i="1"/>
  <c r="K308" i="1"/>
  <c r="K307" i="1"/>
  <c r="W307" i="1" s="1"/>
  <c r="K306" i="1"/>
  <c r="W306" i="1" s="1"/>
  <c r="K305" i="1"/>
  <c r="W305" i="1" s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W253" i="1" s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W236" i="1" s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59" i="1"/>
  <c r="K158" i="1"/>
  <c r="K157" i="1"/>
  <c r="K156" i="1"/>
  <c r="K155" i="1"/>
  <c r="K139" i="1"/>
  <c r="K138" i="1"/>
  <c r="K137" i="1"/>
  <c r="J181" i="1" s="1"/>
  <c r="K181" i="1" s="1"/>
  <c r="K136" i="1"/>
  <c r="K135" i="1"/>
  <c r="J179" i="1" s="1"/>
  <c r="K179" i="1" s="1"/>
  <c r="K134" i="1"/>
  <c r="K133" i="1"/>
  <c r="J177" i="1" s="1"/>
  <c r="K177" i="1" s="1"/>
  <c r="K132" i="1"/>
  <c r="K131" i="1"/>
  <c r="K130" i="1"/>
  <c r="K129" i="1"/>
  <c r="J173" i="1" s="1"/>
  <c r="K173" i="1" s="1"/>
  <c r="W173" i="1" s="1"/>
  <c r="K128" i="1"/>
  <c r="K127" i="1"/>
  <c r="K126" i="1"/>
  <c r="K125" i="1"/>
  <c r="K124" i="1"/>
  <c r="J168" i="1" s="1"/>
  <c r="M168" i="1" s="1"/>
  <c r="K123" i="1"/>
  <c r="K122" i="1"/>
  <c r="J166" i="1" s="1"/>
  <c r="M166" i="1" s="1"/>
  <c r="K121" i="1"/>
  <c r="K120" i="1"/>
  <c r="J164" i="1" s="1"/>
  <c r="K164" i="1" s="1"/>
  <c r="K119" i="1"/>
  <c r="J163" i="1" s="1"/>
  <c r="K163" i="1" s="1"/>
  <c r="K118" i="1"/>
  <c r="J162" i="1" s="1"/>
  <c r="K162" i="1" s="1"/>
  <c r="K117" i="1"/>
  <c r="J161" i="1" s="1"/>
  <c r="M161" i="1" s="1"/>
  <c r="N161" i="1" s="1"/>
  <c r="X161" i="1" s="1"/>
  <c r="K116" i="1"/>
  <c r="J160" i="1" s="1"/>
  <c r="K160" i="1" s="1"/>
  <c r="K115" i="1"/>
  <c r="K114" i="1"/>
  <c r="K113" i="1"/>
  <c r="K112" i="1"/>
  <c r="K111" i="1"/>
  <c r="K95" i="1"/>
  <c r="K94" i="1"/>
  <c r="K93" i="1"/>
  <c r="K91" i="1"/>
  <c r="W91" i="1" s="1"/>
  <c r="K90" i="1"/>
  <c r="K89" i="1"/>
  <c r="K88" i="1"/>
  <c r="K87" i="1"/>
  <c r="K86" i="1"/>
  <c r="W86" i="1" s="1"/>
  <c r="K85" i="1"/>
  <c r="W85" i="1" s="1"/>
  <c r="K84" i="1"/>
  <c r="K83" i="1"/>
  <c r="W83" i="1" s="1"/>
  <c r="K82" i="1"/>
  <c r="K80" i="1"/>
  <c r="K79" i="1"/>
  <c r="K78" i="1"/>
  <c r="K77" i="1"/>
  <c r="K76" i="1"/>
  <c r="K75" i="1"/>
  <c r="K74" i="1"/>
  <c r="K73" i="1"/>
  <c r="K72" i="1"/>
  <c r="K71" i="1"/>
  <c r="K69" i="1"/>
  <c r="K68" i="1"/>
  <c r="K67" i="1"/>
  <c r="K66" i="1"/>
  <c r="K65" i="1"/>
  <c r="K64" i="1"/>
  <c r="K46" i="1"/>
  <c r="K45" i="1"/>
  <c r="K42" i="1"/>
  <c r="K41" i="1"/>
  <c r="K40" i="1"/>
  <c r="K38" i="1"/>
  <c r="K37" i="1"/>
  <c r="K35" i="1"/>
  <c r="K34" i="1"/>
  <c r="W34" i="1" s="1"/>
  <c r="K33" i="1"/>
  <c r="W33" i="1" s="1"/>
  <c r="K32" i="1"/>
  <c r="K28" i="1"/>
  <c r="K26" i="1"/>
  <c r="K25" i="1"/>
  <c r="K23" i="1"/>
  <c r="K20" i="1"/>
  <c r="K19" i="1"/>
  <c r="K17" i="1"/>
  <c r="K15" i="1"/>
  <c r="K13" i="1"/>
  <c r="K11" i="1"/>
  <c r="K9" i="1"/>
  <c r="K8" i="1"/>
  <c r="K7" i="1"/>
  <c r="K6" i="1"/>
  <c r="K5" i="1"/>
  <c r="K4" i="1"/>
  <c r="P9" i="1" l="1"/>
  <c r="S9" i="1" s="1"/>
  <c r="J171" i="1"/>
  <c r="K171" i="1" s="1"/>
  <c r="W171" i="1" s="1"/>
  <c r="W127" i="1"/>
  <c r="J183" i="1"/>
  <c r="M183" i="1" s="1"/>
  <c r="P183" i="1" s="1"/>
  <c r="Q183" i="1" s="1"/>
  <c r="Y183" i="1" s="1"/>
  <c r="W139" i="1"/>
  <c r="J170" i="1"/>
  <c r="K170" i="1" s="1"/>
  <c r="W170" i="1" s="1"/>
  <c r="W126" i="1"/>
  <c r="J172" i="1"/>
  <c r="K172" i="1" s="1"/>
  <c r="W172" i="1" s="1"/>
  <c r="W128" i="1"/>
  <c r="J182" i="1"/>
  <c r="M182" i="1" s="1"/>
  <c r="P182" i="1" s="1"/>
  <c r="S182" i="1" s="1"/>
  <c r="T182" i="1" s="1"/>
  <c r="Z182" i="1" s="1"/>
  <c r="W138" i="1"/>
  <c r="J176" i="1"/>
  <c r="K176" i="1" s="1"/>
  <c r="W176" i="1" s="1"/>
  <c r="W132" i="1"/>
  <c r="J174" i="1"/>
  <c r="K174" i="1" s="1"/>
  <c r="W174" i="1" s="1"/>
  <c r="W130" i="1"/>
  <c r="J165" i="1"/>
  <c r="K165" i="1" s="1"/>
  <c r="W165" i="1" s="1"/>
  <c r="W121" i="1"/>
  <c r="J169" i="1"/>
  <c r="K169" i="1" s="1"/>
  <c r="W169" i="1" s="1"/>
  <c r="W125" i="1"/>
  <c r="J175" i="1"/>
  <c r="K175" i="1" s="1"/>
  <c r="W175" i="1" s="1"/>
  <c r="W131" i="1"/>
  <c r="J178" i="1"/>
  <c r="K178" i="1" s="1"/>
  <c r="W178" i="1" s="1"/>
  <c r="W134" i="1"/>
  <c r="J167" i="1"/>
  <c r="K167" i="1" s="1"/>
  <c r="W167" i="1" s="1"/>
  <c r="W123" i="1"/>
  <c r="J180" i="1"/>
  <c r="K180" i="1" s="1"/>
  <c r="W180" i="1" s="1"/>
  <c r="W136" i="1"/>
  <c r="K166" i="1"/>
  <c r="W166" i="1" s="1"/>
  <c r="N200" i="1"/>
  <c r="P609" i="1"/>
  <c r="S609" i="1" s="1"/>
  <c r="T609" i="1" s="1"/>
  <c r="Z609" i="1" s="1"/>
  <c r="N258" i="1"/>
  <c r="X258" i="1" s="1"/>
  <c r="N250" i="1"/>
  <c r="N390" i="1"/>
  <c r="X390" i="1" s="1"/>
  <c r="N4" i="1"/>
  <c r="N72" i="1"/>
  <c r="N42" i="1"/>
  <c r="M181" i="1"/>
  <c r="P181" i="1" s="1"/>
  <c r="S181" i="1" s="1"/>
  <c r="N365" i="1"/>
  <c r="P407" i="1"/>
  <c r="S407" i="1" s="1"/>
  <c r="T407" i="1" s="1"/>
  <c r="Z407" i="1" s="1"/>
  <c r="N380" i="1"/>
  <c r="X380" i="1" s="1"/>
  <c r="S4" i="1"/>
  <c r="T4" i="1" s="1"/>
  <c r="Z4" i="1" s="1"/>
  <c r="Q4" i="1"/>
  <c r="S292" i="1"/>
  <c r="T292" i="1" s="1"/>
  <c r="Z292" i="1" s="1"/>
  <c r="P349" i="1"/>
  <c r="S349" i="1" s="1"/>
  <c r="T349" i="1" s="1"/>
  <c r="Z349" i="1" s="1"/>
  <c r="S130" i="1"/>
  <c r="T130" i="1" s="1"/>
  <c r="Z130" i="1" s="1"/>
  <c r="N453" i="1"/>
  <c r="P453" i="1"/>
  <c r="S208" i="1"/>
  <c r="T208" i="1" s="1"/>
  <c r="Z208" i="1" s="1"/>
  <c r="S241" i="1"/>
  <c r="T241" i="1" s="1"/>
  <c r="Z241" i="1" s="1"/>
  <c r="N270" i="1"/>
  <c r="X270" i="1" s="1"/>
  <c r="S294" i="1"/>
  <c r="T294" i="1" s="1"/>
  <c r="Z294" i="1" s="1"/>
  <c r="N340" i="1"/>
  <c r="P340" i="1"/>
  <c r="S340" i="1" s="1"/>
  <c r="T340" i="1" s="1"/>
  <c r="Z340" i="1" s="1"/>
  <c r="P351" i="1"/>
  <c r="S351" i="1" s="1"/>
  <c r="T351" i="1" s="1"/>
  <c r="Z351" i="1" s="1"/>
  <c r="N362" i="1"/>
  <c r="N392" i="1"/>
  <c r="X392" i="1" s="1"/>
  <c r="P419" i="1"/>
  <c r="P454" i="1"/>
  <c r="S454" i="1" s="1"/>
  <c r="T454" i="1" s="1"/>
  <c r="Z454" i="1" s="1"/>
  <c r="P466" i="1"/>
  <c r="S466" i="1" s="1"/>
  <c r="T466" i="1" s="1"/>
  <c r="Z466" i="1" s="1"/>
  <c r="N8" i="1"/>
  <c r="Q132" i="1"/>
  <c r="Y132" i="1" s="1"/>
  <c r="S132" i="1"/>
  <c r="T132" i="1" s="1"/>
  <c r="Z132" i="1" s="1"/>
  <c r="M171" i="1"/>
  <c r="P171" i="1" s="1"/>
  <c r="S171" i="1" s="1"/>
  <c r="S209" i="1"/>
  <c r="T209" i="1" s="1"/>
  <c r="Z209" i="1" s="1"/>
  <c r="N262" i="1"/>
  <c r="X262" i="1" s="1"/>
  <c r="Q271" i="1"/>
  <c r="Y271" i="1" s="1"/>
  <c r="S271" i="1"/>
  <c r="T271" i="1" s="1"/>
  <c r="Z271" i="1" s="1"/>
  <c r="S306" i="1"/>
  <c r="T306" i="1" s="1"/>
  <c r="Z306" i="1" s="1"/>
  <c r="P330" i="1"/>
  <c r="S330" i="1" s="1"/>
  <c r="T330" i="1" s="1"/>
  <c r="Z330" i="1" s="1"/>
  <c r="N341" i="1"/>
  <c r="P341" i="1"/>
  <c r="S341" i="1" s="1"/>
  <c r="T341" i="1" s="1"/>
  <c r="Z341" i="1" s="1"/>
  <c r="N455" i="1"/>
  <c r="P455" i="1"/>
  <c r="P467" i="1"/>
  <c r="S467" i="1" s="1"/>
  <c r="T467" i="1" s="1"/>
  <c r="Z467" i="1" s="1"/>
  <c r="Q629" i="1"/>
  <c r="Y629" i="1" s="1"/>
  <c r="S629" i="1"/>
  <c r="T629" i="1" s="1"/>
  <c r="Z629" i="1" s="1"/>
  <c r="P464" i="1"/>
  <c r="Q464" i="1" s="1"/>
  <c r="Y464" i="1" s="1"/>
  <c r="N41" i="1"/>
  <c r="Q159" i="1"/>
  <c r="S159" i="1"/>
  <c r="T159" i="1" s="1"/>
  <c r="S199" i="1"/>
  <c r="T199" i="1" s="1"/>
  <c r="Z199" i="1" s="1"/>
  <c r="Q210" i="1"/>
  <c r="Y210" i="1" s="1"/>
  <c r="S210" i="1"/>
  <c r="T210" i="1" s="1"/>
  <c r="Z210" i="1" s="1"/>
  <c r="S318" i="1"/>
  <c r="T318" i="1" s="1"/>
  <c r="Z318" i="1" s="1"/>
  <c r="P353" i="1"/>
  <c r="S353" i="1" s="1"/>
  <c r="T353" i="1" s="1"/>
  <c r="Z353" i="1" s="1"/>
  <c r="Q394" i="1"/>
  <c r="Y394" i="1" s="1"/>
  <c r="S394" i="1"/>
  <c r="T394" i="1" s="1"/>
  <c r="Z394" i="1" s="1"/>
  <c r="P456" i="1"/>
  <c r="S456" i="1" s="1"/>
  <c r="T456" i="1" s="1"/>
  <c r="Z456" i="1" s="1"/>
  <c r="P468" i="1"/>
  <c r="S468" i="1" s="1"/>
  <c r="T468" i="1" s="1"/>
  <c r="Z468" i="1" s="1"/>
  <c r="Q567" i="1"/>
  <c r="Y567" i="1" s="1"/>
  <c r="S567" i="1"/>
  <c r="T567" i="1" s="1"/>
  <c r="Z567" i="1" s="1"/>
  <c r="M160" i="1"/>
  <c r="N160" i="1" s="1"/>
  <c r="X160" i="1" s="1"/>
  <c r="M173" i="1"/>
  <c r="P173" i="1" s="1"/>
  <c r="Q173" i="1" s="1"/>
  <c r="Y173" i="1" s="1"/>
  <c r="S200" i="1"/>
  <c r="T200" i="1" s="1"/>
  <c r="Z200" i="1" s="1"/>
  <c r="S232" i="1"/>
  <c r="T232" i="1" s="1"/>
  <c r="Z232" i="1" s="1"/>
  <c r="S273" i="1"/>
  <c r="T273" i="1" s="1"/>
  <c r="Z273" i="1" s="1"/>
  <c r="S308" i="1"/>
  <c r="T308" i="1" s="1"/>
  <c r="Z308" i="1" s="1"/>
  <c r="P332" i="1"/>
  <c r="S332" i="1" s="1"/>
  <c r="T332" i="1" s="1"/>
  <c r="Z332" i="1" s="1"/>
  <c r="N342" i="1"/>
  <c r="N354" i="1"/>
  <c r="P354" i="1"/>
  <c r="S354" i="1" s="1"/>
  <c r="N394" i="1"/>
  <c r="X394" i="1" s="1"/>
  <c r="N457" i="1"/>
  <c r="P457" i="1"/>
  <c r="S457" i="1" s="1"/>
  <c r="P469" i="1"/>
  <c r="S469" i="1" s="1"/>
  <c r="T469" i="1" s="1"/>
  <c r="Z469" i="1" s="1"/>
  <c r="P619" i="1"/>
  <c r="Q619" i="1" s="1"/>
  <c r="Y619" i="1" s="1"/>
  <c r="S269" i="1"/>
  <c r="T269" i="1" s="1"/>
  <c r="Z269" i="1" s="1"/>
  <c r="P7" i="1"/>
  <c r="Q7" i="1" s="1"/>
  <c r="Y7" i="1" s="1"/>
  <c r="Q251" i="1"/>
  <c r="Y251" i="1" s="1"/>
  <c r="S251" i="1"/>
  <c r="T251" i="1" s="1"/>
  <c r="Z251" i="1" s="1"/>
  <c r="P339" i="1"/>
  <c r="S339" i="1" s="1"/>
  <c r="T339" i="1" s="1"/>
  <c r="Z339" i="1" s="1"/>
  <c r="P465" i="1"/>
  <c r="S465" i="1" s="1"/>
  <c r="T465" i="1" s="1"/>
  <c r="Z465" i="1" s="1"/>
  <c r="S605" i="1"/>
  <c r="T605" i="1" s="1"/>
  <c r="Z605" i="1" s="1"/>
  <c r="Q263" i="1"/>
  <c r="Y263" i="1" s="1"/>
  <c r="S263" i="1"/>
  <c r="T263" i="1" s="1"/>
  <c r="Z263" i="1" s="1"/>
  <c r="S233" i="1"/>
  <c r="T233" i="1" s="1"/>
  <c r="Z233" i="1" s="1"/>
  <c r="K161" i="1"/>
  <c r="W161" i="1" s="1"/>
  <c r="N33" i="1"/>
  <c r="X33" i="1" s="1"/>
  <c r="N46" i="1"/>
  <c r="N85" i="1"/>
  <c r="X85" i="1" s="1"/>
  <c r="M162" i="1"/>
  <c r="N162" i="1" s="1"/>
  <c r="X162" i="1" s="1"/>
  <c r="S201" i="1"/>
  <c r="T201" i="1" s="1"/>
  <c r="Z201" i="1" s="1"/>
  <c r="N224" i="1"/>
  <c r="Q234" i="1"/>
  <c r="Y234" i="1" s="1"/>
  <c r="S234" i="1"/>
  <c r="T234" i="1" s="1"/>
  <c r="Z234" i="1" s="1"/>
  <c r="S265" i="1"/>
  <c r="T265" i="1" s="1"/>
  <c r="Z265" i="1" s="1"/>
  <c r="N274" i="1"/>
  <c r="X274" i="1" s="1"/>
  <c r="S310" i="1"/>
  <c r="T310" i="1" s="1"/>
  <c r="Z310" i="1" s="1"/>
  <c r="P334" i="1"/>
  <c r="Q334" i="1" s="1"/>
  <c r="Y334" i="1" s="1"/>
  <c r="N344" i="1"/>
  <c r="P344" i="1"/>
  <c r="Q344" i="1" s="1"/>
  <c r="Y344" i="1" s="1"/>
  <c r="P459" i="1"/>
  <c r="S459" i="1" s="1"/>
  <c r="T459" i="1" s="1"/>
  <c r="Z459" i="1" s="1"/>
  <c r="P471" i="1"/>
  <c r="S471" i="1" s="1"/>
  <c r="T471" i="1" s="1"/>
  <c r="Z471" i="1" s="1"/>
  <c r="Q239" i="1"/>
  <c r="Y239" i="1" s="1"/>
  <c r="S239" i="1"/>
  <c r="T239" i="1" s="1"/>
  <c r="Z239" i="1" s="1"/>
  <c r="S261" i="1"/>
  <c r="T261" i="1" s="1"/>
  <c r="Z261" i="1" s="1"/>
  <c r="P350" i="1"/>
  <c r="S350" i="1" s="1"/>
  <c r="T350" i="1" s="1"/>
  <c r="Z350" i="1" s="1"/>
  <c r="Q255" i="1"/>
  <c r="Y255" i="1" s="1"/>
  <c r="S255" i="1"/>
  <c r="T255" i="1" s="1"/>
  <c r="Z255" i="1" s="1"/>
  <c r="P470" i="1"/>
  <c r="S470" i="1" s="1"/>
  <c r="T470" i="1" s="1"/>
  <c r="Z470" i="1" s="1"/>
  <c r="Q543" i="1"/>
  <c r="Y543" i="1" s="1"/>
  <c r="S543" i="1"/>
  <c r="T543" i="1" s="1"/>
  <c r="Z543" i="1" s="1"/>
  <c r="N75" i="1"/>
  <c r="X75" i="1" s="1"/>
  <c r="Q114" i="1"/>
  <c r="Y114" i="1" s="1"/>
  <c r="S114" i="1"/>
  <c r="T114" i="1" s="1"/>
  <c r="Z114" i="1" s="1"/>
  <c r="M163" i="1"/>
  <c r="P163" i="1" s="1"/>
  <c r="S163" i="1" s="1"/>
  <c r="Q202" i="1"/>
  <c r="Y202" i="1" s="1"/>
  <c r="S202" i="1"/>
  <c r="T202" i="1" s="1"/>
  <c r="Z202" i="1" s="1"/>
  <c r="Q235" i="1"/>
  <c r="Y235" i="1" s="1"/>
  <c r="S235" i="1"/>
  <c r="T235" i="1" s="1"/>
  <c r="Z235" i="1" s="1"/>
  <c r="Q247" i="1"/>
  <c r="Y247" i="1" s="1"/>
  <c r="S247" i="1"/>
  <c r="T247" i="1" s="1"/>
  <c r="Z247" i="1" s="1"/>
  <c r="S257" i="1"/>
  <c r="T257" i="1" s="1"/>
  <c r="Z257" i="1" s="1"/>
  <c r="Q275" i="1"/>
  <c r="S275" i="1"/>
  <c r="T275" i="1" s="1"/>
  <c r="S300" i="1"/>
  <c r="T300" i="1" s="1"/>
  <c r="Z300" i="1" s="1"/>
  <c r="N334" i="1"/>
  <c r="P345" i="1"/>
  <c r="S345" i="1" s="1"/>
  <c r="T345" i="1" s="1"/>
  <c r="Z345" i="1" s="1"/>
  <c r="P366" i="1"/>
  <c r="S415" i="1"/>
  <c r="T415" i="1" s="1"/>
  <c r="Z415" i="1" s="1"/>
  <c r="N423" i="1"/>
  <c r="X423" i="1" s="1"/>
  <c r="P449" i="1"/>
  <c r="S449" i="1" s="1"/>
  <c r="T449" i="1" s="1"/>
  <c r="Z449" i="1" s="1"/>
  <c r="P460" i="1"/>
  <c r="S460" i="1" s="1"/>
  <c r="T460" i="1" s="1"/>
  <c r="Z460" i="1" s="1"/>
  <c r="S533" i="1"/>
  <c r="T533" i="1" s="1"/>
  <c r="Z533" i="1" s="1"/>
  <c r="S557" i="1"/>
  <c r="T557" i="1" s="1"/>
  <c r="Z557" i="1" s="1"/>
  <c r="Q243" i="1"/>
  <c r="Y243" i="1" s="1"/>
  <c r="S243" i="1"/>
  <c r="T243" i="1" s="1"/>
  <c r="Z243" i="1" s="1"/>
  <c r="S298" i="1"/>
  <c r="T298" i="1" s="1"/>
  <c r="Z298" i="1" s="1"/>
  <c r="S138" i="1"/>
  <c r="T138" i="1" s="1"/>
  <c r="Z138" i="1" s="1"/>
  <c r="M164" i="1"/>
  <c r="P164" i="1" s="1"/>
  <c r="S164" i="1" s="1"/>
  <c r="M177" i="1"/>
  <c r="N177" i="1" s="1"/>
  <c r="X177" i="1" s="1"/>
  <c r="S203" i="1"/>
  <c r="T203" i="1" s="1"/>
  <c r="Q267" i="1"/>
  <c r="Y267" i="1" s="1"/>
  <c r="S267" i="1"/>
  <c r="T267" i="1" s="1"/>
  <c r="Z267" i="1" s="1"/>
  <c r="Q312" i="1"/>
  <c r="Y312" i="1" s="1"/>
  <c r="S312" i="1"/>
  <c r="T312" i="1" s="1"/>
  <c r="Z312" i="1" s="1"/>
  <c r="S324" i="1"/>
  <c r="T324" i="1" s="1"/>
  <c r="Z324" i="1" s="1"/>
  <c r="P335" i="1"/>
  <c r="Q335" i="1" s="1"/>
  <c r="Y335" i="1" s="1"/>
  <c r="N449" i="1"/>
  <c r="P461" i="1"/>
  <c r="S461" i="1" s="1"/>
  <c r="T461" i="1" s="1"/>
  <c r="Z461" i="1" s="1"/>
  <c r="N676" i="1"/>
  <c r="X676" i="1" s="1"/>
  <c r="S207" i="1"/>
  <c r="T207" i="1" s="1"/>
  <c r="Z207" i="1" s="1"/>
  <c r="S296" i="1"/>
  <c r="T296" i="1" s="1"/>
  <c r="Z296" i="1" s="1"/>
  <c r="S245" i="1"/>
  <c r="T245" i="1" s="1"/>
  <c r="Z245" i="1" s="1"/>
  <c r="Q322" i="1"/>
  <c r="Y322" i="1" s="1"/>
  <c r="S322" i="1"/>
  <c r="T322" i="1" s="1"/>
  <c r="Z322" i="1" s="1"/>
  <c r="N76" i="1"/>
  <c r="X76" i="1" s="1"/>
  <c r="N138" i="1"/>
  <c r="X138" i="1" s="1"/>
  <c r="M165" i="1"/>
  <c r="P165" i="1" s="1"/>
  <c r="Q165" i="1" s="1"/>
  <c r="Y165" i="1" s="1"/>
  <c r="N226" i="1"/>
  <c r="S237" i="1"/>
  <c r="T237" i="1" s="1"/>
  <c r="Z237" i="1" s="1"/>
  <c r="S249" i="1"/>
  <c r="T249" i="1" s="1"/>
  <c r="Z249" i="1" s="1"/>
  <c r="S290" i="1"/>
  <c r="T290" i="1" s="1"/>
  <c r="Z290" i="1" s="1"/>
  <c r="P336" i="1"/>
  <c r="Q336" i="1" s="1"/>
  <c r="Y336" i="1" s="1"/>
  <c r="P347" i="1"/>
  <c r="S347" i="1" s="1"/>
  <c r="T347" i="1" s="1"/>
  <c r="Z347" i="1" s="1"/>
  <c r="Q425" i="1"/>
  <c r="Y425" i="1" s="1"/>
  <c r="S425" i="1"/>
  <c r="T425" i="1" s="1"/>
  <c r="Z425" i="1" s="1"/>
  <c r="S439" i="1"/>
  <c r="T439" i="1" s="1"/>
  <c r="Z439" i="1" s="1"/>
  <c r="P462" i="1"/>
  <c r="S462" i="1" s="1"/>
  <c r="T462" i="1" s="1"/>
  <c r="Z462" i="1" s="1"/>
  <c r="Q90" i="1"/>
  <c r="Y90" i="1" s="1"/>
  <c r="S90" i="1"/>
  <c r="T90" i="1" s="1"/>
  <c r="Z90" i="1" s="1"/>
  <c r="P452" i="1"/>
  <c r="S452" i="1" s="1"/>
  <c r="T452" i="1" s="1"/>
  <c r="Z452" i="1" s="1"/>
  <c r="P228" i="1"/>
  <c r="S228" i="1" s="1"/>
  <c r="T228" i="1" s="1"/>
  <c r="Z228" i="1" s="1"/>
  <c r="S316" i="1"/>
  <c r="T316" i="1" s="1"/>
  <c r="S253" i="1"/>
  <c r="T253" i="1" s="1"/>
  <c r="Z253" i="1" s="1"/>
  <c r="P458" i="1"/>
  <c r="Q458" i="1" s="1"/>
  <c r="Y458" i="1" s="1"/>
  <c r="N6" i="1"/>
  <c r="N116" i="1"/>
  <c r="X116" i="1" s="1"/>
  <c r="M179" i="1"/>
  <c r="P179" i="1" s="1"/>
  <c r="S179" i="1" s="1"/>
  <c r="Q205" i="1"/>
  <c r="Y205" i="1" s="1"/>
  <c r="S205" i="1"/>
  <c r="T205" i="1" s="1"/>
  <c r="Z205" i="1" s="1"/>
  <c r="Q259" i="1"/>
  <c r="Y259" i="1" s="1"/>
  <c r="S259" i="1"/>
  <c r="T259" i="1" s="1"/>
  <c r="Z259" i="1" s="1"/>
  <c r="S314" i="1"/>
  <c r="T314" i="1" s="1"/>
  <c r="Z314" i="1" s="1"/>
  <c r="S326" i="1"/>
  <c r="T326" i="1" s="1"/>
  <c r="Z326" i="1" s="1"/>
  <c r="N337" i="1"/>
  <c r="P337" i="1"/>
  <c r="Q337" i="1" s="1"/>
  <c r="Y337" i="1" s="1"/>
  <c r="N348" i="1"/>
  <c r="P348" i="1"/>
  <c r="N368" i="1"/>
  <c r="P451" i="1"/>
  <c r="S451" i="1" s="1"/>
  <c r="T451" i="1" s="1"/>
  <c r="Z451" i="1" s="1"/>
  <c r="P463" i="1"/>
  <c r="S463" i="1" s="1"/>
  <c r="T463" i="1" s="1"/>
  <c r="Z463" i="1" s="1"/>
  <c r="Q226" i="1"/>
  <c r="Y226" i="1" s="1"/>
  <c r="S226" i="1"/>
  <c r="T226" i="1" s="1"/>
  <c r="Z226" i="1" s="1"/>
  <c r="S225" i="1"/>
  <c r="T225" i="1" s="1"/>
  <c r="Z225" i="1" s="1"/>
  <c r="S227" i="1"/>
  <c r="T227" i="1" s="1"/>
  <c r="Z227" i="1" s="1"/>
  <c r="Q229" i="1"/>
  <c r="Y229" i="1" s="1"/>
  <c r="S229" i="1"/>
  <c r="T229" i="1" s="1"/>
  <c r="Z229" i="1" s="1"/>
  <c r="Q591" i="1"/>
  <c r="Y591" i="1" s="1"/>
  <c r="S591" i="1"/>
  <c r="T591" i="1" s="1"/>
  <c r="Z591" i="1" s="1"/>
  <c r="S231" i="1"/>
  <c r="T231" i="1" s="1"/>
  <c r="Z231" i="1" s="1"/>
  <c r="S224" i="1"/>
  <c r="T224" i="1" s="1"/>
  <c r="Z224" i="1" s="1"/>
  <c r="N347" i="1"/>
  <c r="S216" i="1"/>
  <c r="T216" i="1" s="1"/>
  <c r="Z216" i="1" s="1"/>
  <c r="Q221" i="1"/>
  <c r="Y221" i="1" s="1"/>
  <c r="S221" i="1"/>
  <c r="T221" i="1" s="1"/>
  <c r="Z221" i="1" s="1"/>
  <c r="Q213" i="1"/>
  <c r="Y213" i="1" s="1"/>
  <c r="S213" i="1"/>
  <c r="T213" i="1" s="1"/>
  <c r="Z213" i="1" s="1"/>
  <c r="N585" i="1"/>
  <c r="X585" i="1" s="1"/>
  <c r="N216" i="1"/>
  <c r="S223" i="1"/>
  <c r="T223" i="1" s="1"/>
  <c r="Z223" i="1" s="1"/>
  <c r="Q342" i="1"/>
  <c r="Y342" i="1" s="1"/>
  <c r="S342" i="1"/>
  <c r="T342" i="1" s="1"/>
  <c r="Z342" i="1" s="1"/>
  <c r="S211" i="1"/>
  <c r="T211" i="1" s="1"/>
  <c r="Z211" i="1" s="1"/>
  <c r="S217" i="1"/>
  <c r="T217" i="1" s="1"/>
  <c r="Z217" i="1" s="1"/>
  <c r="Q218" i="1"/>
  <c r="Y218" i="1" s="1"/>
  <c r="S218" i="1"/>
  <c r="T218" i="1" s="1"/>
  <c r="Z218" i="1" s="1"/>
  <c r="S581" i="1"/>
  <c r="T581" i="1" s="1"/>
  <c r="Z581" i="1" s="1"/>
  <c r="S219" i="1"/>
  <c r="T219" i="1" s="1"/>
  <c r="Z219" i="1" s="1"/>
  <c r="P220" i="1"/>
  <c r="Q220" i="1" s="1"/>
  <c r="Y220" i="1" s="1"/>
  <c r="S215" i="1"/>
  <c r="T215" i="1" s="1"/>
  <c r="Z215" i="1" s="1"/>
  <c r="Q219" i="1"/>
  <c r="Y219" i="1" s="1"/>
  <c r="Q124" i="1"/>
  <c r="Y124" i="1" s="1"/>
  <c r="S124" i="1"/>
  <c r="T124" i="1" s="1"/>
  <c r="Z124" i="1" s="1"/>
  <c r="P23" i="1"/>
  <c r="Q23" i="1" s="1"/>
  <c r="Y23" i="1" s="1"/>
  <c r="K168" i="1"/>
  <c r="W168" i="1" s="1"/>
  <c r="N575" i="1"/>
  <c r="X575" i="1" s="1"/>
  <c r="Q569" i="1"/>
  <c r="Y569" i="1" s="1"/>
  <c r="P595" i="1"/>
  <c r="Q595" i="1" s="1"/>
  <c r="Y595" i="1" s="1"/>
  <c r="N623" i="1"/>
  <c r="X623" i="1" s="1"/>
  <c r="N607" i="1"/>
  <c r="N633" i="1"/>
  <c r="X633" i="1" s="1"/>
  <c r="N605" i="1"/>
  <c r="S571" i="1"/>
  <c r="P617" i="1"/>
  <c r="N670" i="1"/>
  <c r="X670" i="1" s="1"/>
  <c r="N581" i="1"/>
  <c r="X581" i="1" s="1"/>
  <c r="N664" i="1"/>
  <c r="X664" i="1" s="1"/>
  <c r="N631" i="1"/>
  <c r="X631" i="1" s="1"/>
  <c r="N583" i="1"/>
  <c r="X583" i="1" s="1"/>
  <c r="N629" i="1"/>
  <c r="X629" i="1" s="1"/>
  <c r="N535" i="1"/>
  <c r="X535" i="1" s="1"/>
  <c r="P443" i="1"/>
  <c r="Q443" i="1" s="1"/>
  <c r="Y443" i="1" s="1"/>
  <c r="N557" i="1"/>
  <c r="X557" i="1" s="1"/>
  <c r="N537" i="1"/>
  <c r="X537" i="1" s="1"/>
  <c r="N559" i="1"/>
  <c r="X559" i="1" s="1"/>
  <c r="N469" i="1"/>
  <c r="X469" i="1" s="1"/>
  <c r="N533" i="1"/>
  <c r="X533" i="1" s="1"/>
  <c r="N499" i="1"/>
  <c r="X499" i="1" s="1"/>
  <c r="P547" i="1"/>
  <c r="N473" i="1"/>
  <c r="X473" i="1" s="1"/>
  <c r="P481" i="1"/>
  <c r="P492" i="1"/>
  <c r="N507" i="1"/>
  <c r="X507" i="1" s="1"/>
  <c r="N445" i="1"/>
  <c r="N447" i="1"/>
  <c r="N465" i="1"/>
  <c r="N493" i="1"/>
  <c r="X493" i="1" s="1"/>
  <c r="N501" i="1"/>
  <c r="X501" i="1" s="1"/>
  <c r="P510" i="1"/>
  <c r="Q510" i="1" s="1"/>
  <c r="Y510" i="1" s="1"/>
  <c r="Q533" i="1"/>
  <c r="Y533" i="1" s="1"/>
  <c r="N477" i="1"/>
  <c r="X477" i="1" s="1"/>
  <c r="P504" i="1"/>
  <c r="S504" i="1" s="1"/>
  <c r="N479" i="1"/>
  <c r="P498" i="1"/>
  <c r="S498" i="1" s="1"/>
  <c r="P545" i="1"/>
  <c r="N461" i="1"/>
  <c r="N505" i="1"/>
  <c r="X505" i="1" s="1"/>
  <c r="T388" i="1"/>
  <c r="Z388" i="1" s="1"/>
  <c r="Q388" i="1"/>
  <c r="Y388" i="1" s="1"/>
  <c r="N377" i="1"/>
  <c r="X377" i="1" s="1"/>
  <c r="P409" i="1"/>
  <c r="S409" i="1" s="1"/>
  <c r="T409" i="1" s="1"/>
  <c r="Z409" i="1" s="1"/>
  <c r="N371" i="1"/>
  <c r="P378" i="1"/>
  <c r="N388" i="1"/>
  <c r="X388" i="1" s="1"/>
  <c r="P429" i="1"/>
  <c r="N356" i="1"/>
  <c r="X356" i="1" s="1"/>
  <c r="P372" i="1"/>
  <c r="S372" i="1" s="1"/>
  <c r="N421" i="1"/>
  <c r="X421" i="1" s="1"/>
  <c r="N350" i="1"/>
  <c r="P398" i="1"/>
  <c r="S398" i="1" s="1"/>
  <c r="T398" i="1" s="1"/>
  <c r="Z398" i="1" s="1"/>
  <c r="P431" i="1"/>
  <c r="N339" i="1"/>
  <c r="N359" i="1"/>
  <c r="X359" i="1" s="1"/>
  <c r="N374" i="1"/>
  <c r="N345" i="1"/>
  <c r="N332" i="1"/>
  <c r="N353" i="1"/>
  <c r="P360" i="1"/>
  <c r="N425" i="1"/>
  <c r="X425" i="1" s="1"/>
  <c r="Q298" i="1"/>
  <c r="Y298" i="1" s="1"/>
  <c r="Q294" i="1"/>
  <c r="Y294" i="1" s="1"/>
  <c r="Q292" i="1"/>
  <c r="Y292" i="1" s="1"/>
  <c r="N266" i="1"/>
  <c r="X266" i="1" s="1"/>
  <c r="N254" i="1"/>
  <c r="N242" i="1"/>
  <c r="N246" i="1"/>
  <c r="N238" i="1"/>
  <c r="N232" i="1"/>
  <c r="X232" i="1" s="1"/>
  <c r="Q232" i="1"/>
  <c r="Y232" i="1" s="1"/>
  <c r="Q216" i="1"/>
  <c r="Y216" i="1" s="1"/>
  <c r="N218" i="1"/>
  <c r="P212" i="1"/>
  <c r="Q212" i="1" s="1"/>
  <c r="Y212" i="1" s="1"/>
  <c r="N208" i="1"/>
  <c r="Q203" i="1"/>
  <c r="P204" i="1"/>
  <c r="Q204" i="1" s="1"/>
  <c r="T181" i="1"/>
  <c r="Z181" i="1" s="1"/>
  <c r="P161" i="1"/>
  <c r="T122" i="1"/>
  <c r="Z122" i="1" s="1"/>
  <c r="Q122" i="1"/>
  <c r="Y122" i="1" s="1"/>
  <c r="P134" i="1"/>
  <c r="P126" i="1"/>
  <c r="Q126" i="1" s="1"/>
  <c r="Y126" i="1" s="1"/>
  <c r="N122" i="1"/>
  <c r="X122" i="1" s="1"/>
  <c r="N130" i="1"/>
  <c r="X130" i="1" s="1"/>
  <c r="N83" i="1"/>
  <c r="X83" i="1" s="1"/>
  <c r="N93" i="1"/>
  <c r="P71" i="1"/>
  <c r="N78" i="1"/>
  <c r="X78" i="1" s="1"/>
  <c r="N80" i="1"/>
  <c r="X80" i="1" s="1"/>
  <c r="P88" i="1"/>
  <c r="N74" i="1"/>
  <c r="X74" i="1" s="1"/>
  <c r="N82" i="1"/>
  <c r="N69" i="1"/>
  <c r="N37" i="1"/>
  <c r="N34" i="1"/>
  <c r="X34" i="1" s="1"/>
  <c r="N32" i="1"/>
  <c r="N40" i="1"/>
  <c r="N28" i="1"/>
  <c r="N25" i="1"/>
  <c r="T157" i="1"/>
  <c r="Z157" i="1" s="1"/>
  <c r="Q157" i="1"/>
  <c r="N157" i="1"/>
  <c r="P112" i="1"/>
  <c r="Q112" i="1" s="1"/>
  <c r="N65" i="1"/>
  <c r="N67" i="1"/>
  <c r="N68" i="1"/>
  <c r="N23" i="1"/>
  <c r="X23" i="1" s="1"/>
  <c r="N19" i="1"/>
  <c r="N15" i="1"/>
  <c r="N11" i="1"/>
  <c r="T86" i="1"/>
  <c r="Z86" i="1" s="1"/>
  <c r="Q86" i="1"/>
  <c r="Y86" i="1" s="1"/>
  <c r="T9" i="1"/>
  <c r="Z9" i="1" s="1"/>
  <c r="Q9" i="1"/>
  <c r="Y9" i="1" s="1"/>
  <c r="T73" i="1"/>
  <c r="Z73" i="1" s="1"/>
  <c r="Q73" i="1"/>
  <c r="Y73" i="1" s="1"/>
  <c r="T45" i="1"/>
  <c r="Z45" i="1" s="1"/>
  <c r="Q45" i="1"/>
  <c r="Y45" i="1" s="1"/>
  <c r="T79" i="1"/>
  <c r="Z79" i="1" s="1"/>
  <c r="Q79" i="1"/>
  <c r="Y79" i="1" s="1"/>
  <c r="T33" i="1"/>
  <c r="Z33" i="1" s="1"/>
  <c r="Q33" i="1"/>
  <c r="Y33" i="1" s="1"/>
  <c r="Q13" i="1"/>
  <c r="Y13" i="1" s="1"/>
  <c r="T13" i="1"/>
  <c r="Z13" i="1" s="1"/>
  <c r="T75" i="1"/>
  <c r="Z75" i="1" s="1"/>
  <c r="Q75" i="1"/>
  <c r="Y75" i="1" s="1"/>
  <c r="T35" i="1"/>
  <c r="Z35" i="1" s="1"/>
  <c r="Q35" i="1"/>
  <c r="Y35" i="1" s="1"/>
  <c r="T64" i="1"/>
  <c r="Z64" i="1" s="1"/>
  <c r="Q64" i="1"/>
  <c r="T5" i="1"/>
  <c r="Q5" i="1"/>
  <c r="Q26" i="1"/>
  <c r="Y26" i="1" s="1"/>
  <c r="T26" i="1"/>
  <c r="Z26" i="1" s="1"/>
  <c r="T68" i="1"/>
  <c r="Q68" i="1"/>
  <c r="Q17" i="1"/>
  <c r="Y17" i="1" s="1"/>
  <c r="T17" i="1"/>
  <c r="Z17" i="1" s="1"/>
  <c r="T38" i="1"/>
  <c r="Z38" i="1" s="1"/>
  <c r="Q38" i="1"/>
  <c r="Y38" i="1" s="1"/>
  <c r="T20" i="1"/>
  <c r="Z20" i="1" s="1"/>
  <c r="Q20" i="1"/>
  <c r="Y20" i="1" s="1"/>
  <c r="T84" i="1"/>
  <c r="Z84" i="1" s="1"/>
  <c r="Q84" i="1"/>
  <c r="Y84" i="1" s="1"/>
  <c r="T77" i="1"/>
  <c r="Z77" i="1" s="1"/>
  <c r="Q77" i="1"/>
  <c r="Y77" i="1" s="1"/>
  <c r="P313" i="1"/>
  <c r="S313" i="1" s="1"/>
  <c r="N313" i="1"/>
  <c r="X313" i="1" s="1"/>
  <c r="P248" i="1"/>
  <c r="S248" i="1" s="1"/>
  <c r="N248" i="1"/>
  <c r="N13" i="1"/>
  <c r="N35" i="1"/>
  <c r="T42" i="1"/>
  <c r="Z42" i="1" s="1"/>
  <c r="Q42" i="1"/>
  <c r="Y42" i="1" s="1"/>
  <c r="P66" i="1"/>
  <c r="S66" i="1" s="1"/>
  <c r="N77" i="1"/>
  <c r="T83" i="1"/>
  <c r="Z83" i="1" s="1"/>
  <c r="Q83" i="1"/>
  <c r="Y83" i="1" s="1"/>
  <c r="P276" i="1"/>
  <c r="S276" i="1" s="1"/>
  <c r="N276" i="1"/>
  <c r="P413" i="1"/>
  <c r="S413" i="1" s="1"/>
  <c r="N413" i="1"/>
  <c r="X413" i="1" s="1"/>
  <c r="T631" i="1"/>
  <c r="Z631" i="1" s="1"/>
  <c r="Q631" i="1"/>
  <c r="Y631" i="1" s="1"/>
  <c r="P647" i="1"/>
  <c r="S647" i="1" s="1"/>
  <c r="N647" i="1"/>
  <c r="X647" i="1" s="1"/>
  <c r="T659" i="1"/>
  <c r="Z659" i="1" s="1"/>
  <c r="Q659" i="1"/>
  <c r="Y659" i="1" s="1"/>
  <c r="T670" i="1"/>
  <c r="Z670" i="1" s="1"/>
  <c r="Q670" i="1"/>
  <c r="Y670" i="1" s="1"/>
  <c r="P94" i="1"/>
  <c r="S94" i="1" s="1"/>
  <c r="N94" i="1"/>
  <c r="X94" i="1" s="1"/>
  <c r="P222" i="1"/>
  <c r="S222" i="1" s="1"/>
  <c r="N222" i="1"/>
  <c r="N5" i="1"/>
  <c r="T95" i="1"/>
  <c r="Z95" i="1" s="1"/>
  <c r="Q95" i="1"/>
  <c r="Y95" i="1" s="1"/>
  <c r="T118" i="1"/>
  <c r="Z118" i="1" s="1"/>
  <c r="Q118" i="1"/>
  <c r="Y118" i="1" s="1"/>
  <c r="P136" i="1"/>
  <c r="S136" i="1" s="1"/>
  <c r="N136" i="1"/>
  <c r="X136" i="1" s="1"/>
  <c r="P206" i="1"/>
  <c r="S206" i="1" s="1"/>
  <c r="N206" i="1"/>
  <c r="P256" i="1"/>
  <c r="S256" i="1" s="1"/>
  <c r="N256" i="1"/>
  <c r="X256" i="1" s="1"/>
  <c r="T390" i="1"/>
  <c r="Z390" i="1" s="1"/>
  <c r="Q390" i="1"/>
  <c r="Y390" i="1" s="1"/>
  <c r="T483" i="1"/>
  <c r="Z483" i="1" s="1"/>
  <c r="Q483" i="1"/>
  <c r="Y483" i="1" s="1"/>
  <c r="T577" i="1"/>
  <c r="Z577" i="1" s="1"/>
  <c r="Q577" i="1"/>
  <c r="Y577" i="1" s="1"/>
  <c r="T72" i="1"/>
  <c r="Z72" i="1" s="1"/>
  <c r="Q72" i="1"/>
  <c r="Y72" i="1" s="1"/>
  <c r="T8" i="1"/>
  <c r="Q8" i="1"/>
  <c r="P125" i="1"/>
  <c r="S125" i="1" s="1"/>
  <c r="N125" i="1"/>
  <c r="X125" i="1" s="1"/>
  <c r="Q130" i="1"/>
  <c r="Y130" i="1" s="1"/>
  <c r="Q200" i="1"/>
  <c r="Y200" i="1" s="1"/>
  <c r="P236" i="1"/>
  <c r="S236" i="1" s="1"/>
  <c r="N236" i="1"/>
  <c r="X236" i="1" s="1"/>
  <c r="Q308" i="1"/>
  <c r="Y308" i="1" s="1"/>
  <c r="P382" i="1"/>
  <c r="S382" i="1" s="1"/>
  <c r="N382" i="1"/>
  <c r="X382" i="1" s="1"/>
  <c r="T476" i="1"/>
  <c r="Z476" i="1" s="1"/>
  <c r="Q476" i="1"/>
  <c r="Y476" i="1" s="1"/>
  <c r="T494" i="1"/>
  <c r="Z494" i="1" s="1"/>
  <c r="Q494" i="1"/>
  <c r="Y494" i="1" s="1"/>
  <c r="N73" i="1"/>
  <c r="X73" i="1" s="1"/>
  <c r="N20" i="1"/>
  <c r="N45" i="1"/>
  <c r="N84" i="1"/>
  <c r="Q224" i="1"/>
  <c r="Y224" i="1" s="1"/>
  <c r="P230" i="1"/>
  <c r="S230" i="1" s="1"/>
  <c r="N230" i="1"/>
  <c r="P264" i="1"/>
  <c r="S264" i="1" s="1"/>
  <c r="N264" i="1"/>
  <c r="X264" i="1" s="1"/>
  <c r="T317" i="1"/>
  <c r="Z317" i="1" s="1"/>
  <c r="Q317" i="1"/>
  <c r="Y317" i="1" s="1"/>
  <c r="T477" i="1"/>
  <c r="Z477" i="1" s="1"/>
  <c r="Q477" i="1"/>
  <c r="Y477" i="1" s="1"/>
  <c r="T485" i="1"/>
  <c r="Z485" i="1" s="1"/>
  <c r="Q485" i="1"/>
  <c r="Y485" i="1" s="1"/>
  <c r="P268" i="1"/>
  <c r="S268" i="1" s="1"/>
  <c r="N268" i="1"/>
  <c r="X268" i="1" s="1"/>
  <c r="T668" i="1"/>
  <c r="Z668" i="1" s="1"/>
  <c r="Q668" i="1"/>
  <c r="Y668" i="1" s="1"/>
  <c r="T74" i="1"/>
  <c r="Z74" i="1" s="1"/>
  <c r="Q74" i="1"/>
  <c r="Y74" i="1" s="1"/>
  <c r="P244" i="1"/>
  <c r="S244" i="1" s="1"/>
  <c r="N244" i="1"/>
  <c r="T368" i="1"/>
  <c r="Z368" i="1" s="1"/>
  <c r="Q368" i="1"/>
  <c r="Y368" i="1" s="1"/>
  <c r="P375" i="1"/>
  <c r="S375" i="1" s="1"/>
  <c r="N375" i="1"/>
  <c r="T384" i="1"/>
  <c r="Z384" i="1" s="1"/>
  <c r="Q384" i="1"/>
  <c r="Y384" i="1" s="1"/>
  <c r="T78" i="1"/>
  <c r="Z78" i="1" s="1"/>
  <c r="Q78" i="1"/>
  <c r="Y78" i="1" s="1"/>
  <c r="N38" i="1"/>
  <c r="P272" i="1"/>
  <c r="S272" i="1" s="1"/>
  <c r="N272" i="1"/>
  <c r="X272" i="1" s="1"/>
  <c r="P293" i="1"/>
  <c r="S293" i="1" s="1"/>
  <c r="N293" i="1"/>
  <c r="X293" i="1" s="1"/>
  <c r="Q318" i="1"/>
  <c r="Y318" i="1" s="1"/>
  <c r="P376" i="1"/>
  <c r="S376" i="1" s="1"/>
  <c r="N376" i="1"/>
  <c r="X376" i="1" s="1"/>
  <c r="T450" i="1"/>
  <c r="Z450" i="1" s="1"/>
  <c r="Q450" i="1"/>
  <c r="Y450" i="1" s="1"/>
  <c r="P117" i="1"/>
  <c r="S117" i="1" s="1"/>
  <c r="N117" i="1"/>
  <c r="X117" i="1" s="1"/>
  <c r="Q211" i="1"/>
  <c r="Y211" i="1" s="1"/>
  <c r="T19" i="1"/>
  <c r="Z19" i="1" s="1"/>
  <c r="Q19" i="1"/>
  <c r="Y19" i="1" s="1"/>
  <c r="N9" i="1"/>
  <c r="N26" i="1"/>
  <c r="T46" i="1"/>
  <c r="Z46" i="1" s="1"/>
  <c r="Q46" i="1"/>
  <c r="Y46" i="1" s="1"/>
  <c r="N79" i="1"/>
  <c r="X79" i="1" s="1"/>
  <c r="T85" i="1"/>
  <c r="Z85" i="1" s="1"/>
  <c r="Q85" i="1"/>
  <c r="Y85" i="1" s="1"/>
  <c r="P214" i="1"/>
  <c r="S214" i="1" s="1"/>
  <c r="N214" i="1"/>
  <c r="T6" i="1"/>
  <c r="Z6" i="1" s="1"/>
  <c r="Q6" i="1"/>
  <c r="N64" i="1"/>
  <c r="T69" i="1"/>
  <c r="Z69" i="1" s="1"/>
  <c r="Q69" i="1"/>
  <c r="Y69" i="1" s="1"/>
  <c r="P133" i="1"/>
  <c r="S133" i="1" s="1"/>
  <c r="N133" i="1"/>
  <c r="X133" i="1" s="1"/>
  <c r="Q138" i="1"/>
  <c r="Y138" i="1" s="1"/>
  <c r="P168" i="1"/>
  <c r="S168" i="1" s="1"/>
  <c r="N168" i="1"/>
  <c r="X168" i="1" s="1"/>
  <c r="Q208" i="1"/>
  <c r="Y208" i="1" s="1"/>
  <c r="P252" i="1"/>
  <c r="S252" i="1" s="1"/>
  <c r="N252" i="1"/>
  <c r="T327" i="1"/>
  <c r="Z327" i="1" s="1"/>
  <c r="Q327" i="1"/>
  <c r="Y327" i="1" s="1"/>
  <c r="T435" i="1"/>
  <c r="Z435" i="1" s="1"/>
  <c r="Q435" i="1"/>
  <c r="Y435" i="1" s="1"/>
  <c r="S338" i="1"/>
  <c r="N338" i="1"/>
  <c r="T67" i="1"/>
  <c r="Z67" i="1" s="1"/>
  <c r="Q67" i="1"/>
  <c r="Y67" i="1" s="1"/>
  <c r="T32" i="1"/>
  <c r="Z32" i="1" s="1"/>
  <c r="Q32" i="1"/>
  <c r="Y32" i="1" s="1"/>
  <c r="T15" i="1"/>
  <c r="Z15" i="1" s="1"/>
  <c r="Q15" i="1"/>
  <c r="Y15" i="1" s="1"/>
  <c r="P120" i="1"/>
  <c r="S120" i="1" s="1"/>
  <c r="N120" i="1"/>
  <c r="X120" i="1" s="1"/>
  <c r="T40" i="1"/>
  <c r="Z40" i="1" s="1"/>
  <c r="Q40" i="1"/>
  <c r="Y40" i="1" s="1"/>
  <c r="T80" i="1"/>
  <c r="Z80" i="1" s="1"/>
  <c r="Q80" i="1"/>
  <c r="Y80" i="1" s="1"/>
  <c r="P91" i="1"/>
  <c r="S91" i="1" s="1"/>
  <c r="N91" i="1"/>
  <c r="X91" i="1" s="1"/>
  <c r="P115" i="1"/>
  <c r="S115" i="1" s="1"/>
  <c r="N115" i="1"/>
  <c r="T328" i="1"/>
  <c r="Z328" i="1" s="1"/>
  <c r="Q328" i="1"/>
  <c r="Y328" i="1" s="1"/>
  <c r="P426" i="1"/>
  <c r="S426" i="1" s="1"/>
  <c r="N426" i="1"/>
  <c r="X426" i="1" s="1"/>
  <c r="T25" i="1"/>
  <c r="Z25" i="1" s="1"/>
  <c r="Q25" i="1"/>
  <c r="Y25" i="1" s="1"/>
  <c r="N17" i="1"/>
  <c r="T65" i="1"/>
  <c r="Q65" i="1"/>
  <c r="N86" i="1"/>
  <c r="X86" i="1" s="1"/>
  <c r="T93" i="1"/>
  <c r="Z93" i="1" s="1"/>
  <c r="Q93" i="1"/>
  <c r="Y93" i="1" s="1"/>
  <c r="T116" i="1"/>
  <c r="Z116" i="1" s="1"/>
  <c r="Q116" i="1"/>
  <c r="Y116" i="1" s="1"/>
  <c r="P260" i="1"/>
  <c r="S260" i="1" s="1"/>
  <c r="N260" i="1"/>
  <c r="X260" i="1" s="1"/>
  <c r="P303" i="1"/>
  <c r="S303" i="1" s="1"/>
  <c r="N303" i="1"/>
  <c r="X303" i="1" s="1"/>
  <c r="T427" i="1"/>
  <c r="Z427" i="1" s="1"/>
  <c r="Q427" i="1"/>
  <c r="Y427" i="1" s="1"/>
  <c r="T41" i="1"/>
  <c r="Z41" i="1" s="1"/>
  <c r="Q41" i="1"/>
  <c r="Y41" i="1" s="1"/>
  <c r="T82" i="1"/>
  <c r="Z82" i="1" s="1"/>
  <c r="Q82" i="1"/>
  <c r="Y82" i="1" s="1"/>
  <c r="T37" i="1"/>
  <c r="Z37" i="1" s="1"/>
  <c r="Q37" i="1"/>
  <c r="Y37" i="1" s="1"/>
  <c r="P155" i="1"/>
  <c r="S155" i="1" s="1"/>
  <c r="N155" i="1"/>
  <c r="T11" i="1"/>
  <c r="Z11" i="1" s="1"/>
  <c r="Q11" i="1"/>
  <c r="Y11" i="1" s="1"/>
  <c r="T28" i="1"/>
  <c r="Z28" i="1" s="1"/>
  <c r="Q28" i="1"/>
  <c r="Y28" i="1" s="1"/>
  <c r="T34" i="1"/>
  <c r="Z34" i="1" s="1"/>
  <c r="Q34" i="1"/>
  <c r="Y34" i="1" s="1"/>
  <c r="T76" i="1"/>
  <c r="Z76" i="1" s="1"/>
  <c r="Q76" i="1"/>
  <c r="Y76" i="1" s="1"/>
  <c r="P128" i="1"/>
  <c r="S128" i="1" s="1"/>
  <c r="N128" i="1"/>
  <c r="X128" i="1" s="1"/>
  <c r="Q227" i="1"/>
  <c r="Y227" i="1" s="1"/>
  <c r="P240" i="1"/>
  <c r="S240" i="1" s="1"/>
  <c r="N240" i="1"/>
  <c r="T304" i="1"/>
  <c r="Z304" i="1" s="1"/>
  <c r="Q304" i="1"/>
  <c r="Y304" i="1" s="1"/>
  <c r="P299" i="1"/>
  <c r="S299" i="1" s="1"/>
  <c r="N299" i="1"/>
  <c r="X299" i="1" s="1"/>
  <c r="T323" i="1"/>
  <c r="Z323" i="1" s="1"/>
  <c r="Q323" i="1"/>
  <c r="Y323" i="1" s="1"/>
  <c r="S343" i="1"/>
  <c r="N343" i="1"/>
  <c r="T362" i="1"/>
  <c r="Z362" i="1" s="1"/>
  <c r="Q362" i="1"/>
  <c r="Y362" i="1" s="1"/>
  <c r="P369" i="1"/>
  <c r="S369" i="1" s="1"/>
  <c r="N369" i="1"/>
  <c r="P391" i="1"/>
  <c r="S391" i="1" s="1"/>
  <c r="N391" i="1"/>
  <c r="X391" i="1" s="1"/>
  <c r="T421" i="1"/>
  <c r="Z421" i="1" s="1"/>
  <c r="Q421" i="1"/>
  <c r="Y421" i="1" s="1"/>
  <c r="Q615" i="1"/>
  <c r="Y615" i="1" s="1"/>
  <c r="T615" i="1"/>
  <c r="Z615" i="1" s="1"/>
  <c r="P89" i="1"/>
  <c r="S89" i="1" s="1"/>
  <c r="N89" i="1"/>
  <c r="P113" i="1"/>
  <c r="S113" i="1" s="1"/>
  <c r="N113" i="1"/>
  <c r="P123" i="1"/>
  <c r="S123" i="1" s="1"/>
  <c r="N123" i="1"/>
  <c r="X123" i="1" s="1"/>
  <c r="P131" i="1"/>
  <c r="S131" i="1" s="1"/>
  <c r="N131" i="1"/>
  <c r="X131" i="1" s="1"/>
  <c r="P139" i="1"/>
  <c r="S139" i="1" s="1"/>
  <c r="N139" i="1"/>
  <c r="X139" i="1" s="1"/>
  <c r="P158" i="1"/>
  <c r="S158" i="1" s="1"/>
  <c r="N158" i="1"/>
  <c r="P166" i="1"/>
  <c r="S166" i="1" s="1"/>
  <c r="N166" i="1"/>
  <c r="X166" i="1" s="1"/>
  <c r="Q233" i="1"/>
  <c r="Y233" i="1" s="1"/>
  <c r="Q290" i="1"/>
  <c r="Y290" i="1" s="1"/>
  <c r="P309" i="1"/>
  <c r="S309" i="1" s="1"/>
  <c r="N309" i="1"/>
  <c r="X309" i="1" s="1"/>
  <c r="Q314" i="1"/>
  <c r="Y314" i="1" s="1"/>
  <c r="N333" i="1"/>
  <c r="P370" i="1"/>
  <c r="S370" i="1" s="1"/>
  <c r="N370" i="1"/>
  <c r="T392" i="1"/>
  <c r="Z392" i="1" s="1"/>
  <c r="Q392" i="1"/>
  <c r="Y392" i="1" s="1"/>
  <c r="T479" i="1"/>
  <c r="Z479" i="1" s="1"/>
  <c r="Q479" i="1"/>
  <c r="Y479" i="1" s="1"/>
  <c r="N95" i="1"/>
  <c r="X95" i="1" s="1"/>
  <c r="N118" i="1"/>
  <c r="X118" i="1" s="1"/>
  <c r="Q201" i="1"/>
  <c r="Y201" i="1" s="1"/>
  <c r="Q209" i="1"/>
  <c r="Y209" i="1" s="1"/>
  <c r="Q217" i="1"/>
  <c r="Y217" i="1" s="1"/>
  <c r="Q225" i="1"/>
  <c r="Y225" i="1" s="1"/>
  <c r="Q237" i="1"/>
  <c r="Y237" i="1" s="1"/>
  <c r="Q241" i="1"/>
  <c r="Y241" i="1" s="1"/>
  <c r="Q245" i="1"/>
  <c r="Y245" i="1" s="1"/>
  <c r="Q249" i="1"/>
  <c r="Y249" i="1" s="1"/>
  <c r="Q253" i="1"/>
  <c r="Y253" i="1" s="1"/>
  <c r="Q257" i="1"/>
  <c r="Y257" i="1" s="1"/>
  <c r="Q261" i="1"/>
  <c r="Y261" i="1" s="1"/>
  <c r="Q265" i="1"/>
  <c r="Y265" i="1" s="1"/>
  <c r="Q269" i="1"/>
  <c r="Y269" i="1" s="1"/>
  <c r="Q273" i="1"/>
  <c r="Y273" i="1" s="1"/>
  <c r="P295" i="1"/>
  <c r="S295" i="1" s="1"/>
  <c r="N295" i="1"/>
  <c r="X295" i="1" s="1"/>
  <c r="Q300" i="1"/>
  <c r="Y300" i="1" s="1"/>
  <c r="T319" i="1"/>
  <c r="Z319" i="1" s="1"/>
  <c r="Q319" i="1"/>
  <c r="Y319" i="1" s="1"/>
  <c r="Q324" i="1"/>
  <c r="Y324" i="1" s="1"/>
  <c r="T356" i="1"/>
  <c r="Z356" i="1" s="1"/>
  <c r="Q356" i="1"/>
  <c r="Y356" i="1" s="1"/>
  <c r="P363" i="1"/>
  <c r="S363" i="1" s="1"/>
  <c r="N363" i="1"/>
  <c r="Q415" i="1"/>
  <c r="Y415" i="1" s="1"/>
  <c r="P422" i="1"/>
  <c r="S422" i="1" s="1"/>
  <c r="N422" i="1"/>
  <c r="X422" i="1" s="1"/>
  <c r="T445" i="1"/>
  <c r="Z445" i="1" s="1"/>
  <c r="Q445" i="1"/>
  <c r="Y445" i="1" s="1"/>
  <c r="P487" i="1"/>
  <c r="S487" i="1" s="1"/>
  <c r="N487" i="1"/>
  <c r="P87" i="1"/>
  <c r="S87" i="1" s="1"/>
  <c r="N87" i="1"/>
  <c r="X87" i="1" s="1"/>
  <c r="P111" i="1"/>
  <c r="S111" i="1" s="1"/>
  <c r="N111" i="1"/>
  <c r="P305" i="1"/>
  <c r="S305" i="1" s="1"/>
  <c r="N305" i="1"/>
  <c r="X305" i="1" s="1"/>
  <c r="Q310" i="1"/>
  <c r="Y310" i="1" s="1"/>
  <c r="T329" i="1"/>
  <c r="Z329" i="1" s="1"/>
  <c r="Q329" i="1"/>
  <c r="Y329" i="1" s="1"/>
  <c r="P364" i="1"/>
  <c r="S364" i="1" s="1"/>
  <c r="N364" i="1"/>
  <c r="T386" i="1"/>
  <c r="Z386" i="1" s="1"/>
  <c r="Q386" i="1"/>
  <c r="Y386" i="1" s="1"/>
  <c r="T423" i="1"/>
  <c r="Z423" i="1" s="1"/>
  <c r="Q423" i="1"/>
  <c r="Y423" i="1" s="1"/>
  <c r="P121" i="1"/>
  <c r="S121" i="1" s="1"/>
  <c r="N121" i="1"/>
  <c r="X121" i="1" s="1"/>
  <c r="P129" i="1"/>
  <c r="S129" i="1" s="1"/>
  <c r="N129" i="1"/>
  <c r="X129" i="1" s="1"/>
  <c r="P137" i="1"/>
  <c r="S137" i="1" s="1"/>
  <c r="N137" i="1"/>
  <c r="X137" i="1" s="1"/>
  <c r="P156" i="1"/>
  <c r="S156" i="1" s="1"/>
  <c r="N156" i="1"/>
  <c r="P291" i="1"/>
  <c r="S291" i="1" s="1"/>
  <c r="N291" i="1"/>
  <c r="X291" i="1" s="1"/>
  <c r="Q296" i="1"/>
  <c r="Y296" i="1" s="1"/>
  <c r="P315" i="1"/>
  <c r="S315" i="1" s="1"/>
  <c r="N315" i="1"/>
  <c r="X315" i="1" s="1"/>
  <c r="P357" i="1"/>
  <c r="S357" i="1" s="1"/>
  <c r="N357" i="1"/>
  <c r="Q439" i="1"/>
  <c r="Y439" i="1" s="1"/>
  <c r="T446" i="1"/>
  <c r="Z446" i="1" s="1"/>
  <c r="Q446" i="1"/>
  <c r="Y446" i="1" s="1"/>
  <c r="T472" i="1"/>
  <c r="Z472" i="1" s="1"/>
  <c r="Q472" i="1"/>
  <c r="Y472" i="1" s="1"/>
  <c r="P599" i="1"/>
  <c r="S599" i="1" s="1"/>
  <c r="N599" i="1"/>
  <c r="X599" i="1" s="1"/>
  <c r="Q199" i="1"/>
  <c r="Y199" i="1" s="1"/>
  <c r="Q207" i="1"/>
  <c r="Y207" i="1" s="1"/>
  <c r="Q215" i="1"/>
  <c r="Y215" i="1" s="1"/>
  <c r="Q223" i="1"/>
  <c r="Y223" i="1" s="1"/>
  <c r="Q231" i="1"/>
  <c r="Y231" i="1" s="1"/>
  <c r="N234" i="1"/>
  <c r="T238" i="1"/>
  <c r="Z238" i="1" s="1"/>
  <c r="Q238" i="1"/>
  <c r="Y238" i="1" s="1"/>
  <c r="T242" i="1"/>
  <c r="Z242" i="1" s="1"/>
  <c r="Q242" i="1"/>
  <c r="Y242" i="1" s="1"/>
  <c r="T246" i="1"/>
  <c r="Z246" i="1" s="1"/>
  <c r="Q246" i="1"/>
  <c r="Y246" i="1" s="1"/>
  <c r="T250" i="1"/>
  <c r="Z250" i="1" s="1"/>
  <c r="Q250" i="1"/>
  <c r="Y250" i="1" s="1"/>
  <c r="T254" i="1"/>
  <c r="Z254" i="1" s="1"/>
  <c r="Q254" i="1"/>
  <c r="Y254" i="1" s="1"/>
  <c r="T258" i="1"/>
  <c r="Z258" i="1" s="1"/>
  <c r="Q258" i="1"/>
  <c r="Y258" i="1" s="1"/>
  <c r="T262" i="1"/>
  <c r="Z262" i="1" s="1"/>
  <c r="Q262" i="1"/>
  <c r="Y262" i="1" s="1"/>
  <c r="T266" i="1"/>
  <c r="Z266" i="1" s="1"/>
  <c r="Q266" i="1"/>
  <c r="Y266" i="1" s="1"/>
  <c r="T270" i="1"/>
  <c r="Z270" i="1" s="1"/>
  <c r="Q270" i="1"/>
  <c r="Y270" i="1" s="1"/>
  <c r="T274" i="1"/>
  <c r="Z274" i="1" s="1"/>
  <c r="Q274" i="1"/>
  <c r="Y274" i="1" s="1"/>
  <c r="P301" i="1"/>
  <c r="S301" i="1" s="1"/>
  <c r="N301" i="1"/>
  <c r="X301" i="1" s="1"/>
  <c r="Q306" i="1"/>
  <c r="Y306" i="1" s="1"/>
  <c r="T325" i="1"/>
  <c r="Z325" i="1" s="1"/>
  <c r="Q325" i="1"/>
  <c r="Y325" i="1" s="1"/>
  <c r="N335" i="1"/>
  <c r="N351" i="1"/>
  <c r="P358" i="1"/>
  <c r="S358" i="1" s="1"/>
  <c r="N358" i="1"/>
  <c r="X358" i="1" s="1"/>
  <c r="T417" i="1"/>
  <c r="Z417" i="1" s="1"/>
  <c r="Q417" i="1"/>
  <c r="Y417" i="1" s="1"/>
  <c r="T447" i="1"/>
  <c r="Z447" i="1" s="1"/>
  <c r="Q447" i="1"/>
  <c r="Y447" i="1" s="1"/>
  <c r="T473" i="1"/>
  <c r="Z473" i="1" s="1"/>
  <c r="Q473" i="1"/>
  <c r="Y473" i="1" s="1"/>
  <c r="N90" i="1"/>
  <c r="X90" i="1" s="1"/>
  <c r="N114" i="1"/>
  <c r="N124" i="1"/>
  <c r="X124" i="1" s="1"/>
  <c r="N132" i="1"/>
  <c r="X132" i="1" s="1"/>
  <c r="N159" i="1"/>
  <c r="N183" i="1"/>
  <c r="X183" i="1" s="1"/>
  <c r="N202" i="1"/>
  <c r="N210" i="1"/>
  <c r="P311" i="1"/>
  <c r="S311" i="1" s="1"/>
  <c r="N311" i="1"/>
  <c r="X311" i="1" s="1"/>
  <c r="S346" i="1"/>
  <c r="N346" i="1"/>
  <c r="S352" i="1"/>
  <c r="N352" i="1"/>
  <c r="T380" i="1"/>
  <c r="Z380" i="1" s="1"/>
  <c r="Q380" i="1"/>
  <c r="Y380" i="1" s="1"/>
  <c r="T516" i="1"/>
  <c r="Z516" i="1" s="1"/>
  <c r="Q516" i="1"/>
  <c r="Y516" i="1" s="1"/>
  <c r="T583" i="1"/>
  <c r="Z583" i="1" s="1"/>
  <c r="Q583" i="1"/>
  <c r="Y583" i="1" s="1"/>
  <c r="P119" i="1"/>
  <c r="S119" i="1" s="1"/>
  <c r="N119" i="1"/>
  <c r="X119" i="1" s="1"/>
  <c r="P127" i="1"/>
  <c r="S127" i="1" s="1"/>
  <c r="N127" i="1"/>
  <c r="X127" i="1" s="1"/>
  <c r="P135" i="1"/>
  <c r="S135" i="1" s="1"/>
  <c r="N135" i="1"/>
  <c r="X135" i="1" s="1"/>
  <c r="P297" i="1"/>
  <c r="S297" i="1" s="1"/>
  <c r="N297" i="1"/>
  <c r="X297" i="1" s="1"/>
  <c r="Q302" i="1"/>
  <c r="Y302" i="1" s="1"/>
  <c r="Q326" i="1"/>
  <c r="Y326" i="1" s="1"/>
  <c r="P395" i="1"/>
  <c r="S395" i="1" s="1"/>
  <c r="N395" i="1"/>
  <c r="X395" i="1" s="1"/>
  <c r="T441" i="1"/>
  <c r="Z441" i="1" s="1"/>
  <c r="Q441" i="1"/>
  <c r="Y441" i="1" s="1"/>
  <c r="P530" i="1"/>
  <c r="S530" i="1" s="1"/>
  <c r="N530" i="1"/>
  <c r="X530" i="1" s="1"/>
  <c r="P307" i="1"/>
  <c r="S307" i="1" s="1"/>
  <c r="N307" i="1"/>
  <c r="X307" i="1" s="1"/>
  <c r="Q331" i="1"/>
  <c r="Y331" i="1" s="1"/>
  <c r="T331" i="1"/>
  <c r="Z331" i="1" s="1"/>
  <c r="T374" i="1"/>
  <c r="Z374" i="1" s="1"/>
  <c r="Q374" i="1"/>
  <c r="Y374" i="1" s="1"/>
  <c r="P381" i="1"/>
  <c r="S381" i="1" s="1"/>
  <c r="N381" i="1"/>
  <c r="X381" i="1" s="1"/>
  <c r="T396" i="1"/>
  <c r="Z396" i="1" s="1"/>
  <c r="Q396" i="1"/>
  <c r="Y396" i="1" s="1"/>
  <c r="T411" i="1"/>
  <c r="Z411" i="1" s="1"/>
  <c r="Q411" i="1"/>
  <c r="Y411" i="1" s="1"/>
  <c r="P433" i="1"/>
  <c r="S433" i="1" s="1"/>
  <c r="T475" i="1"/>
  <c r="Z475" i="1" s="1"/>
  <c r="Q475" i="1"/>
  <c r="Y475" i="1" s="1"/>
  <c r="T500" i="1"/>
  <c r="Z500" i="1" s="1"/>
  <c r="Q500" i="1"/>
  <c r="Y500" i="1" s="1"/>
  <c r="P412" i="1"/>
  <c r="S412" i="1" s="1"/>
  <c r="N412" i="1"/>
  <c r="X412" i="1" s="1"/>
  <c r="T436" i="1"/>
  <c r="Z436" i="1" s="1"/>
  <c r="Q436" i="1"/>
  <c r="Y436" i="1" s="1"/>
  <c r="T486" i="1"/>
  <c r="Z486" i="1" s="1"/>
  <c r="Q486" i="1"/>
  <c r="Y486" i="1" s="1"/>
  <c r="T501" i="1"/>
  <c r="Z501" i="1" s="1"/>
  <c r="Q501" i="1"/>
  <c r="Y501" i="1" s="1"/>
  <c r="T508" i="1"/>
  <c r="Z508" i="1" s="1"/>
  <c r="Q508" i="1"/>
  <c r="Y508" i="1" s="1"/>
  <c r="T553" i="1"/>
  <c r="Z553" i="1" s="1"/>
  <c r="Q553" i="1"/>
  <c r="Y553" i="1" s="1"/>
  <c r="T607" i="1"/>
  <c r="Z607" i="1" s="1"/>
  <c r="Q607" i="1"/>
  <c r="Y607" i="1" s="1"/>
  <c r="T623" i="1"/>
  <c r="Z623" i="1" s="1"/>
  <c r="Q623" i="1"/>
  <c r="Y623" i="1" s="1"/>
  <c r="T639" i="1"/>
  <c r="Z639" i="1" s="1"/>
  <c r="Q639" i="1"/>
  <c r="Y639" i="1" s="1"/>
  <c r="T658" i="1"/>
  <c r="Z658" i="1" s="1"/>
  <c r="Q658" i="1"/>
  <c r="Y658" i="1" s="1"/>
  <c r="P385" i="1"/>
  <c r="S385" i="1" s="1"/>
  <c r="N385" i="1"/>
  <c r="X385" i="1" s="1"/>
  <c r="P416" i="1"/>
  <c r="S416" i="1" s="1"/>
  <c r="N416" i="1"/>
  <c r="X416" i="1" s="1"/>
  <c r="T440" i="1"/>
  <c r="Z440" i="1" s="1"/>
  <c r="Q440" i="1"/>
  <c r="Y440" i="1" s="1"/>
  <c r="T482" i="1"/>
  <c r="Z482" i="1" s="1"/>
  <c r="Q482" i="1"/>
  <c r="Y482" i="1" s="1"/>
  <c r="T495" i="1"/>
  <c r="Z495" i="1" s="1"/>
  <c r="Q495" i="1"/>
  <c r="Y495" i="1" s="1"/>
  <c r="T502" i="1"/>
  <c r="Z502" i="1" s="1"/>
  <c r="Q502" i="1"/>
  <c r="Y502" i="1" s="1"/>
  <c r="T531" i="1"/>
  <c r="Z531" i="1" s="1"/>
  <c r="Q531" i="1"/>
  <c r="Y531" i="1" s="1"/>
  <c r="T537" i="1"/>
  <c r="Z537" i="1" s="1"/>
  <c r="Q537" i="1"/>
  <c r="Y537" i="1" s="1"/>
  <c r="P554" i="1"/>
  <c r="S554" i="1" s="1"/>
  <c r="N554" i="1"/>
  <c r="X554" i="1" s="1"/>
  <c r="T601" i="1"/>
  <c r="Z601" i="1" s="1"/>
  <c r="Q601" i="1"/>
  <c r="Y601" i="1" s="1"/>
  <c r="P648" i="1"/>
  <c r="S648" i="1" s="1"/>
  <c r="N648" i="1"/>
  <c r="X648" i="1" s="1"/>
  <c r="P660" i="1"/>
  <c r="S660" i="1" s="1"/>
  <c r="N660" i="1"/>
  <c r="X660" i="1" s="1"/>
  <c r="N317" i="1"/>
  <c r="X317" i="1" s="1"/>
  <c r="N319" i="1"/>
  <c r="X319" i="1" s="1"/>
  <c r="N323" i="1"/>
  <c r="N325" i="1"/>
  <c r="N327" i="1"/>
  <c r="X327" i="1" s="1"/>
  <c r="N329" i="1"/>
  <c r="N331" i="1"/>
  <c r="T355" i="1"/>
  <c r="Z355" i="1" s="1"/>
  <c r="Q355" i="1"/>
  <c r="Y355" i="1" s="1"/>
  <c r="T361" i="1"/>
  <c r="Z361" i="1" s="1"/>
  <c r="Q361" i="1"/>
  <c r="Y361" i="1" s="1"/>
  <c r="T367" i="1"/>
  <c r="Z367" i="1" s="1"/>
  <c r="Q367" i="1"/>
  <c r="Y367" i="1" s="1"/>
  <c r="T373" i="1"/>
  <c r="Z373" i="1" s="1"/>
  <c r="Q373" i="1"/>
  <c r="Y373" i="1" s="1"/>
  <c r="T379" i="1"/>
  <c r="Z379" i="1" s="1"/>
  <c r="Q379" i="1"/>
  <c r="Y379" i="1" s="1"/>
  <c r="N396" i="1"/>
  <c r="X396" i="1" s="1"/>
  <c r="P399" i="1"/>
  <c r="S399" i="1" s="1"/>
  <c r="N399" i="1"/>
  <c r="X399" i="1" s="1"/>
  <c r="N427" i="1"/>
  <c r="X427" i="1" s="1"/>
  <c r="T430" i="1"/>
  <c r="Z430" i="1" s="1"/>
  <c r="Q430" i="1"/>
  <c r="Y430" i="1" s="1"/>
  <c r="N451" i="1"/>
  <c r="T488" i="1"/>
  <c r="Z488" i="1" s="1"/>
  <c r="Q488" i="1"/>
  <c r="Y488" i="1" s="1"/>
  <c r="N495" i="1"/>
  <c r="X495" i="1" s="1"/>
  <c r="T555" i="1"/>
  <c r="Z555" i="1" s="1"/>
  <c r="Q555" i="1"/>
  <c r="Y555" i="1" s="1"/>
  <c r="S578" i="1"/>
  <c r="N578" i="1"/>
  <c r="X578" i="1" s="1"/>
  <c r="T625" i="1"/>
  <c r="Z625" i="1" s="1"/>
  <c r="Q625" i="1"/>
  <c r="Y625" i="1" s="1"/>
  <c r="T671" i="1"/>
  <c r="Z671" i="1" s="1"/>
  <c r="Q671" i="1"/>
  <c r="Y671" i="1" s="1"/>
  <c r="N336" i="1"/>
  <c r="N349" i="1"/>
  <c r="N355" i="1"/>
  <c r="X355" i="1" s="1"/>
  <c r="N361" i="1"/>
  <c r="X361" i="1" s="1"/>
  <c r="N367" i="1"/>
  <c r="N373" i="1"/>
  <c r="N379" i="1"/>
  <c r="X379" i="1" s="1"/>
  <c r="N386" i="1"/>
  <c r="X386" i="1" s="1"/>
  <c r="P389" i="1"/>
  <c r="S389" i="1" s="1"/>
  <c r="N389" i="1"/>
  <c r="X389" i="1" s="1"/>
  <c r="N417" i="1"/>
  <c r="X417" i="1" s="1"/>
  <c r="P420" i="1"/>
  <c r="S420" i="1" s="1"/>
  <c r="N420" i="1"/>
  <c r="X420" i="1" s="1"/>
  <c r="N441" i="1"/>
  <c r="T444" i="1"/>
  <c r="Z444" i="1" s="1"/>
  <c r="Q444" i="1"/>
  <c r="Y444" i="1" s="1"/>
  <c r="T478" i="1"/>
  <c r="Z478" i="1" s="1"/>
  <c r="Q478" i="1"/>
  <c r="Y478" i="1" s="1"/>
  <c r="N483" i="1"/>
  <c r="T489" i="1"/>
  <c r="Z489" i="1" s="1"/>
  <c r="Q489" i="1"/>
  <c r="Y489" i="1" s="1"/>
  <c r="T496" i="1"/>
  <c r="Z496" i="1" s="1"/>
  <c r="Q496" i="1"/>
  <c r="Y496" i="1" s="1"/>
  <c r="T539" i="1"/>
  <c r="Z539" i="1" s="1"/>
  <c r="Q539" i="1"/>
  <c r="Y539" i="1" s="1"/>
  <c r="T579" i="1"/>
  <c r="Z579" i="1" s="1"/>
  <c r="Q579" i="1"/>
  <c r="Y579" i="1" s="1"/>
  <c r="T585" i="1"/>
  <c r="Z585" i="1" s="1"/>
  <c r="Q585" i="1"/>
  <c r="Y585" i="1" s="1"/>
  <c r="P602" i="1"/>
  <c r="S602" i="1" s="1"/>
  <c r="N602" i="1"/>
  <c r="T650" i="1"/>
  <c r="Z650" i="1" s="1"/>
  <c r="Q650" i="1"/>
  <c r="Y650" i="1" s="1"/>
  <c r="T662" i="1"/>
  <c r="Z662" i="1" s="1"/>
  <c r="Q662" i="1"/>
  <c r="Y662" i="1" s="1"/>
  <c r="P672" i="1"/>
  <c r="S672" i="1" s="1"/>
  <c r="N672" i="1"/>
  <c r="X672" i="1" s="1"/>
  <c r="P410" i="1"/>
  <c r="S410" i="1" s="1"/>
  <c r="N410" i="1"/>
  <c r="X410" i="1" s="1"/>
  <c r="T434" i="1"/>
  <c r="Z434" i="1" s="1"/>
  <c r="Q434" i="1"/>
  <c r="Y434" i="1" s="1"/>
  <c r="T474" i="1"/>
  <c r="Z474" i="1" s="1"/>
  <c r="Q474" i="1"/>
  <c r="Y474" i="1" s="1"/>
  <c r="N489" i="1"/>
  <c r="P540" i="1"/>
  <c r="S540" i="1" s="1"/>
  <c r="N540" i="1"/>
  <c r="X540" i="1" s="1"/>
  <c r="T563" i="1"/>
  <c r="Z563" i="1" s="1"/>
  <c r="Q563" i="1"/>
  <c r="Y563" i="1" s="1"/>
  <c r="T603" i="1"/>
  <c r="Z603" i="1" s="1"/>
  <c r="Q603" i="1"/>
  <c r="Y603" i="1" s="1"/>
  <c r="P626" i="1"/>
  <c r="S626" i="1" s="1"/>
  <c r="N626" i="1"/>
  <c r="X626" i="1" s="1"/>
  <c r="P651" i="1"/>
  <c r="S651" i="1" s="1"/>
  <c r="N651" i="1"/>
  <c r="X651" i="1" s="1"/>
  <c r="P393" i="1"/>
  <c r="S393" i="1" s="1"/>
  <c r="N393" i="1"/>
  <c r="X393" i="1" s="1"/>
  <c r="P424" i="1"/>
  <c r="S424" i="1" s="1"/>
  <c r="N424" i="1"/>
  <c r="X424" i="1" s="1"/>
  <c r="T448" i="1"/>
  <c r="Z448" i="1" s="1"/>
  <c r="Q448" i="1"/>
  <c r="Y448" i="1" s="1"/>
  <c r="T490" i="1"/>
  <c r="Z490" i="1" s="1"/>
  <c r="Q490" i="1"/>
  <c r="Y490" i="1" s="1"/>
  <c r="T512" i="1"/>
  <c r="Z512" i="1" s="1"/>
  <c r="Q512" i="1"/>
  <c r="Y512" i="1" s="1"/>
  <c r="P541" i="1"/>
  <c r="S541" i="1" s="1"/>
  <c r="N541" i="1"/>
  <c r="X541" i="1" s="1"/>
  <c r="P564" i="1"/>
  <c r="S564" i="1" s="1"/>
  <c r="N564" i="1"/>
  <c r="T587" i="1"/>
  <c r="Z587" i="1" s="1"/>
  <c r="Q587" i="1"/>
  <c r="Y587" i="1" s="1"/>
  <c r="T627" i="1"/>
  <c r="Z627" i="1" s="1"/>
  <c r="Q627" i="1"/>
  <c r="Y627" i="1" s="1"/>
  <c r="T633" i="1"/>
  <c r="Z633" i="1" s="1"/>
  <c r="Q633" i="1"/>
  <c r="Y633" i="1" s="1"/>
  <c r="P652" i="1"/>
  <c r="S652" i="1" s="1"/>
  <c r="N652" i="1"/>
  <c r="X652" i="1" s="1"/>
  <c r="T664" i="1"/>
  <c r="Z664" i="1" s="1"/>
  <c r="Q664" i="1"/>
  <c r="Y664" i="1" s="1"/>
  <c r="T674" i="1"/>
  <c r="Z674" i="1" s="1"/>
  <c r="Q674" i="1"/>
  <c r="Y674" i="1" s="1"/>
  <c r="T359" i="1"/>
  <c r="Z359" i="1" s="1"/>
  <c r="Q359" i="1"/>
  <c r="Y359" i="1" s="1"/>
  <c r="T365" i="1"/>
  <c r="Z365" i="1" s="1"/>
  <c r="Q365" i="1"/>
  <c r="Y365" i="1" s="1"/>
  <c r="T371" i="1"/>
  <c r="Z371" i="1" s="1"/>
  <c r="Q371" i="1"/>
  <c r="Y371" i="1" s="1"/>
  <c r="T377" i="1"/>
  <c r="Z377" i="1" s="1"/>
  <c r="Q377" i="1"/>
  <c r="Y377" i="1" s="1"/>
  <c r="P383" i="1"/>
  <c r="S383" i="1" s="1"/>
  <c r="N383" i="1"/>
  <c r="X383" i="1" s="1"/>
  <c r="N411" i="1"/>
  <c r="X411" i="1" s="1"/>
  <c r="P414" i="1"/>
  <c r="S414" i="1" s="1"/>
  <c r="N414" i="1"/>
  <c r="X414" i="1" s="1"/>
  <c r="N435" i="1"/>
  <c r="X435" i="1" s="1"/>
  <c r="N459" i="1"/>
  <c r="N463" i="1"/>
  <c r="N467" i="1"/>
  <c r="N471" i="1"/>
  <c r="N475" i="1"/>
  <c r="X475" i="1" s="1"/>
  <c r="T484" i="1"/>
  <c r="Z484" i="1" s="1"/>
  <c r="Q484" i="1"/>
  <c r="Y484" i="1" s="1"/>
  <c r="T549" i="1"/>
  <c r="Z549" i="1" s="1"/>
  <c r="Q549" i="1"/>
  <c r="Y549" i="1" s="1"/>
  <c r="Q557" i="1"/>
  <c r="Y557" i="1" s="1"/>
  <c r="P565" i="1"/>
  <c r="S565" i="1" s="1"/>
  <c r="N565" i="1"/>
  <c r="S588" i="1"/>
  <c r="N588" i="1"/>
  <c r="T611" i="1"/>
  <c r="Z611" i="1" s="1"/>
  <c r="Q611" i="1"/>
  <c r="Y611" i="1" s="1"/>
  <c r="P397" i="1"/>
  <c r="S397" i="1" s="1"/>
  <c r="N397" i="1"/>
  <c r="X397" i="1" s="1"/>
  <c r="P428" i="1"/>
  <c r="S428" i="1" s="1"/>
  <c r="N428" i="1"/>
  <c r="X428" i="1" s="1"/>
  <c r="T514" i="1"/>
  <c r="Z514" i="1" s="1"/>
  <c r="Q514" i="1"/>
  <c r="Y514" i="1" s="1"/>
  <c r="T573" i="1"/>
  <c r="Z573" i="1" s="1"/>
  <c r="Q573" i="1"/>
  <c r="Y573" i="1" s="1"/>
  <c r="Q581" i="1"/>
  <c r="Y581" i="1" s="1"/>
  <c r="S589" i="1"/>
  <c r="N589" i="1"/>
  <c r="P612" i="1"/>
  <c r="S612" i="1" s="1"/>
  <c r="N612" i="1"/>
  <c r="T635" i="1"/>
  <c r="Z635" i="1" s="1"/>
  <c r="Q635" i="1"/>
  <c r="Y635" i="1" s="1"/>
  <c r="T654" i="1"/>
  <c r="Z654" i="1" s="1"/>
  <c r="Q654" i="1"/>
  <c r="Y654" i="1" s="1"/>
  <c r="T665" i="1"/>
  <c r="Z665" i="1" s="1"/>
  <c r="Q665" i="1"/>
  <c r="Y665" i="1" s="1"/>
  <c r="N199" i="1"/>
  <c r="N201" i="1"/>
  <c r="N203" i="1"/>
  <c r="N205" i="1"/>
  <c r="N207" i="1"/>
  <c r="N209" i="1"/>
  <c r="N211" i="1"/>
  <c r="N213" i="1"/>
  <c r="N215" i="1"/>
  <c r="N217" i="1"/>
  <c r="N219" i="1"/>
  <c r="N221" i="1"/>
  <c r="N223" i="1"/>
  <c r="N225" i="1"/>
  <c r="N227" i="1"/>
  <c r="N229" i="1"/>
  <c r="N231" i="1"/>
  <c r="N233" i="1"/>
  <c r="X233" i="1" s="1"/>
  <c r="N235" i="1"/>
  <c r="X235" i="1" s="1"/>
  <c r="N237" i="1"/>
  <c r="N239" i="1"/>
  <c r="N241" i="1"/>
  <c r="N243" i="1"/>
  <c r="N245" i="1"/>
  <c r="N247" i="1"/>
  <c r="N249" i="1"/>
  <c r="N251" i="1"/>
  <c r="N253" i="1"/>
  <c r="X253" i="1" s="1"/>
  <c r="N255" i="1"/>
  <c r="N257" i="1"/>
  <c r="X257" i="1" s="1"/>
  <c r="N259" i="1"/>
  <c r="X259" i="1" s="1"/>
  <c r="N261" i="1"/>
  <c r="X261" i="1" s="1"/>
  <c r="N263" i="1"/>
  <c r="X263" i="1" s="1"/>
  <c r="N265" i="1"/>
  <c r="X265" i="1" s="1"/>
  <c r="N267" i="1"/>
  <c r="X267" i="1" s="1"/>
  <c r="N269" i="1"/>
  <c r="X269" i="1" s="1"/>
  <c r="N271" i="1"/>
  <c r="X271" i="1" s="1"/>
  <c r="N273" i="1"/>
  <c r="X273" i="1" s="1"/>
  <c r="N275" i="1"/>
  <c r="N290" i="1"/>
  <c r="X290" i="1" s="1"/>
  <c r="N292" i="1"/>
  <c r="X292" i="1" s="1"/>
  <c r="N294" i="1"/>
  <c r="X294" i="1" s="1"/>
  <c r="N296" i="1"/>
  <c r="X296" i="1" s="1"/>
  <c r="N298" i="1"/>
  <c r="X298" i="1" s="1"/>
  <c r="N300" i="1"/>
  <c r="X300" i="1" s="1"/>
  <c r="N302" i="1"/>
  <c r="X302" i="1" s="1"/>
  <c r="N304" i="1"/>
  <c r="X304" i="1" s="1"/>
  <c r="N306" i="1"/>
  <c r="X306" i="1" s="1"/>
  <c r="N308" i="1"/>
  <c r="X308" i="1" s="1"/>
  <c r="N310" i="1"/>
  <c r="X310" i="1" s="1"/>
  <c r="N312" i="1"/>
  <c r="X312" i="1" s="1"/>
  <c r="N314" i="1"/>
  <c r="X314" i="1" s="1"/>
  <c r="N316" i="1"/>
  <c r="N318" i="1"/>
  <c r="X318" i="1" s="1"/>
  <c r="N322" i="1"/>
  <c r="N324" i="1"/>
  <c r="N326" i="1"/>
  <c r="X326" i="1" s="1"/>
  <c r="N328" i="1"/>
  <c r="N330" i="1"/>
  <c r="N384" i="1"/>
  <c r="X384" i="1" s="1"/>
  <c r="P387" i="1"/>
  <c r="S387" i="1" s="1"/>
  <c r="N387" i="1"/>
  <c r="X387" i="1" s="1"/>
  <c r="N415" i="1"/>
  <c r="X415" i="1" s="1"/>
  <c r="P418" i="1"/>
  <c r="S418" i="1" s="1"/>
  <c r="N418" i="1"/>
  <c r="X418" i="1" s="1"/>
  <c r="N439" i="1"/>
  <c r="T442" i="1"/>
  <c r="Z442" i="1" s="1"/>
  <c r="Q442" i="1"/>
  <c r="Y442" i="1" s="1"/>
  <c r="T480" i="1"/>
  <c r="Z480" i="1" s="1"/>
  <c r="Q480" i="1"/>
  <c r="Y480" i="1" s="1"/>
  <c r="N485" i="1"/>
  <c r="T506" i="1"/>
  <c r="Z506" i="1" s="1"/>
  <c r="Q506" i="1"/>
  <c r="Y506" i="1" s="1"/>
  <c r="N514" i="1"/>
  <c r="X514" i="1" s="1"/>
  <c r="T535" i="1"/>
  <c r="Z535" i="1" s="1"/>
  <c r="Q535" i="1"/>
  <c r="Y535" i="1" s="1"/>
  <c r="T551" i="1"/>
  <c r="Z551" i="1" s="1"/>
  <c r="Q551" i="1"/>
  <c r="Y551" i="1" s="1"/>
  <c r="T597" i="1"/>
  <c r="Z597" i="1" s="1"/>
  <c r="Q597" i="1"/>
  <c r="Y597" i="1" s="1"/>
  <c r="Q605" i="1"/>
  <c r="Y605" i="1" s="1"/>
  <c r="P613" i="1"/>
  <c r="S613" i="1" s="1"/>
  <c r="N613" i="1"/>
  <c r="P636" i="1"/>
  <c r="S636" i="1" s="1"/>
  <c r="N636" i="1"/>
  <c r="X636" i="1" s="1"/>
  <c r="T655" i="1"/>
  <c r="Z655" i="1" s="1"/>
  <c r="Q655" i="1"/>
  <c r="Y655" i="1" s="1"/>
  <c r="P666" i="1"/>
  <c r="S666" i="1" s="1"/>
  <c r="N666" i="1"/>
  <c r="X666" i="1" s="1"/>
  <c r="P408" i="1"/>
  <c r="S408" i="1" s="1"/>
  <c r="N408" i="1"/>
  <c r="X408" i="1" s="1"/>
  <c r="T432" i="1"/>
  <c r="Z432" i="1" s="1"/>
  <c r="Q432" i="1"/>
  <c r="Y432" i="1" s="1"/>
  <c r="T507" i="1"/>
  <c r="Z507" i="1" s="1"/>
  <c r="Q507" i="1"/>
  <c r="Y507" i="1" s="1"/>
  <c r="N551" i="1"/>
  <c r="X551" i="1" s="1"/>
  <c r="T559" i="1"/>
  <c r="Z559" i="1" s="1"/>
  <c r="Q559" i="1"/>
  <c r="Y559" i="1" s="1"/>
  <c r="T575" i="1"/>
  <c r="Z575" i="1" s="1"/>
  <c r="Q575" i="1"/>
  <c r="Y575" i="1" s="1"/>
  <c r="T621" i="1"/>
  <c r="Z621" i="1" s="1"/>
  <c r="Q621" i="1"/>
  <c r="Y621" i="1" s="1"/>
  <c r="P637" i="1"/>
  <c r="S637" i="1" s="1"/>
  <c r="N637" i="1"/>
  <c r="X637" i="1" s="1"/>
  <c r="P656" i="1"/>
  <c r="S656" i="1" s="1"/>
  <c r="N656" i="1"/>
  <c r="X656" i="1" s="1"/>
  <c r="P544" i="1"/>
  <c r="S544" i="1" s="1"/>
  <c r="N544" i="1"/>
  <c r="X544" i="1" s="1"/>
  <c r="S568" i="1"/>
  <c r="N568" i="1"/>
  <c r="X568" i="1" s="1"/>
  <c r="S592" i="1"/>
  <c r="N592" i="1"/>
  <c r="X592" i="1" s="1"/>
  <c r="P616" i="1"/>
  <c r="S616" i="1" s="1"/>
  <c r="N616" i="1"/>
  <c r="X616" i="1" s="1"/>
  <c r="N490" i="1"/>
  <c r="N496" i="1"/>
  <c r="X496" i="1" s="1"/>
  <c r="N502" i="1"/>
  <c r="X502" i="1" s="1"/>
  <c r="N508" i="1"/>
  <c r="X508" i="1" s="1"/>
  <c r="N531" i="1"/>
  <c r="X531" i="1" s="1"/>
  <c r="P534" i="1"/>
  <c r="S534" i="1" s="1"/>
  <c r="N534" i="1"/>
  <c r="X534" i="1" s="1"/>
  <c r="N555" i="1"/>
  <c r="X555" i="1" s="1"/>
  <c r="P558" i="1"/>
  <c r="S558" i="1" s="1"/>
  <c r="N558" i="1"/>
  <c r="X558" i="1" s="1"/>
  <c r="N579" i="1"/>
  <c r="X579" i="1" s="1"/>
  <c r="S582" i="1"/>
  <c r="N582" i="1"/>
  <c r="X582" i="1" s="1"/>
  <c r="N603" i="1"/>
  <c r="P606" i="1"/>
  <c r="S606" i="1" s="1"/>
  <c r="N606" i="1"/>
  <c r="N627" i="1"/>
  <c r="X627" i="1" s="1"/>
  <c r="P630" i="1"/>
  <c r="S630" i="1" s="1"/>
  <c r="N630" i="1"/>
  <c r="X630" i="1" s="1"/>
  <c r="T493" i="1"/>
  <c r="Z493" i="1" s="1"/>
  <c r="Q493" i="1"/>
  <c r="Y493" i="1" s="1"/>
  <c r="T499" i="1"/>
  <c r="Z499" i="1" s="1"/>
  <c r="Q499" i="1"/>
  <c r="Y499" i="1" s="1"/>
  <c r="T505" i="1"/>
  <c r="Z505" i="1" s="1"/>
  <c r="Q505" i="1"/>
  <c r="Y505" i="1" s="1"/>
  <c r="P511" i="1"/>
  <c r="S511" i="1" s="1"/>
  <c r="N511" i="1"/>
  <c r="X511" i="1" s="1"/>
  <c r="P548" i="1"/>
  <c r="S548" i="1" s="1"/>
  <c r="N548" i="1"/>
  <c r="X548" i="1" s="1"/>
  <c r="S572" i="1"/>
  <c r="N572" i="1"/>
  <c r="X572" i="1" s="1"/>
  <c r="P596" i="1"/>
  <c r="S596" i="1" s="1"/>
  <c r="N596" i="1"/>
  <c r="X596" i="1" s="1"/>
  <c r="P620" i="1"/>
  <c r="S620" i="1" s="1"/>
  <c r="N620" i="1"/>
  <c r="X620" i="1" s="1"/>
  <c r="T661" i="1"/>
  <c r="Z661" i="1" s="1"/>
  <c r="Q661" i="1"/>
  <c r="Y661" i="1" s="1"/>
  <c r="T667" i="1"/>
  <c r="Z667" i="1" s="1"/>
  <c r="Q667" i="1"/>
  <c r="Y667" i="1" s="1"/>
  <c r="T673" i="1"/>
  <c r="Z673" i="1" s="1"/>
  <c r="Q673" i="1"/>
  <c r="Y673" i="1" s="1"/>
  <c r="P538" i="1"/>
  <c r="S538" i="1" s="1"/>
  <c r="N538" i="1"/>
  <c r="X538" i="1" s="1"/>
  <c r="P562" i="1"/>
  <c r="S562" i="1" s="1"/>
  <c r="N562" i="1"/>
  <c r="S586" i="1"/>
  <c r="N586" i="1"/>
  <c r="P610" i="1"/>
  <c r="S610" i="1" s="1"/>
  <c r="N610" i="1"/>
  <c r="P634" i="1"/>
  <c r="S634" i="1" s="1"/>
  <c r="N634" i="1"/>
  <c r="X634" i="1" s="1"/>
  <c r="N512" i="1"/>
  <c r="X512" i="1" s="1"/>
  <c r="P515" i="1"/>
  <c r="S515" i="1" s="1"/>
  <c r="N515" i="1"/>
  <c r="X515" i="1" s="1"/>
  <c r="N549" i="1"/>
  <c r="X549" i="1" s="1"/>
  <c r="P552" i="1"/>
  <c r="S552" i="1" s="1"/>
  <c r="N552" i="1"/>
  <c r="X552" i="1" s="1"/>
  <c r="N573" i="1"/>
  <c r="X573" i="1" s="1"/>
  <c r="S576" i="1"/>
  <c r="N576" i="1"/>
  <c r="X576" i="1" s="1"/>
  <c r="Q593" i="1"/>
  <c r="Y593" i="1" s="1"/>
  <c r="N597" i="1"/>
  <c r="X597" i="1" s="1"/>
  <c r="P600" i="1"/>
  <c r="S600" i="1" s="1"/>
  <c r="N600" i="1"/>
  <c r="X600" i="1" s="1"/>
  <c r="N621" i="1"/>
  <c r="X621" i="1" s="1"/>
  <c r="P624" i="1"/>
  <c r="S624" i="1" s="1"/>
  <c r="N624" i="1"/>
  <c r="X624" i="1" s="1"/>
  <c r="P638" i="1"/>
  <c r="S638" i="1" s="1"/>
  <c r="N638" i="1"/>
  <c r="X638" i="1" s="1"/>
  <c r="P649" i="1"/>
  <c r="S649" i="1" s="1"/>
  <c r="N649" i="1"/>
  <c r="X649" i="1" s="1"/>
  <c r="T653" i="1"/>
  <c r="Z653" i="1" s="1"/>
  <c r="Q653" i="1"/>
  <c r="Y653" i="1" s="1"/>
  <c r="T657" i="1"/>
  <c r="Z657" i="1" s="1"/>
  <c r="Q657" i="1"/>
  <c r="Y657" i="1" s="1"/>
  <c r="N662" i="1"/>
  <c r="X662" i="1" s="1"/>
  <c r="N668" i="1"/>
  <c r="X668" i="1" s="1"/>
  <c r="N674" i="1"/>
  <c r="X674" i="1" s="1"/>
  <c r="N430" i="1"/>
  <c r="X430" i="1" s="1"/>
  <c r="N432" i="1"/>
  <c r="X432" i="1" s="1"/>
  <c r="N434" i="1"/>
  <c r="X434" i="1" s="1"/>
  <c r="N436" i="1"/>
  <c r="X436" i="1" s="1"/>
  <c r="N440" i="1"/>
  <c r="N442" i="1"/>
  <c r="N444" i="1"/>
  <c r="X444" i="1" s="1"/>
  <c r="N446" i="1"/>
  <c r="N448" i="1"/>
  <c r="N450" i="1"/>
  <c r="N452" i="1"/>
  <c r="N454" i="1"/>
  <c r="N456" i="1"/>
  <c r="N458" i="1"/>
  <c r="N460" i="1"/>
  <c r="N462" i="1"/>
  <c r="N464" i="1"/>
  <c r="N466" i="1"/>
  <c r="N468" i="1"/>
  <c r="X468" i="1" s="1"/>
  <c r="N470" i="1"/>
  <c r="X470" i="1" s="1"/>
  <c r="N472" i="1"/>
  <c r="X472" i="1" s="1"/>
  <c r="N474" i="1"/>
  <c r="N476" i="1"/>
  <c r="X476" i="1" s="1"/>
  <c r="N478" i="1"/>
  <c r="X478" i="1" s="1"/>
  <c r="N480" i="1"/>
  <c r="N482" i="1"/>
  <c r="N484" i="1"/>
  <c r="N486" i="1"/>
  <c r="N488" i="1"/>
  <c r="N494" i="1"/>
  <c r="X494" i="1" s="1"/>
  <c r="N500" i="1"/>
  <c r="X500" i="1" s="1"/>
  <c r="N506" i="1"/>
  <c r="X506" i="1" s="1"/>
  <c r="N539" i="1"/>
  <c r="X539" i="1" s="1"/>
  <c r="P542" i="1"/>
  <c r="S542" i="1" s="1"/>
  <c r="N542" i="1"/>
  <c r="X542" i="1" s="1"/>
  <c r="N563" i="1"/>
  <c r="P566" i="1"/>
  <c r="S566" i="1" s="1"/>
  <c r="N566" i="1"/>
  <c r="X566" i="1" s="1"/>
  <c r="N587" i="1"/>
  <c r="X587" i="1" s="1"/>
  <c r="S590" i="1"/>
  <c r="N590" i="1"/>
  <c r="N611" i="1"/>
  <c r="P614" i="1"/>
  <c r="S614" i="1" s="1"/>
  <c r="N614" i="1"/>
  <c r="N635" i="1"/>
  <c r="X635" i="1" s="1"/>
  <c r="T491" i="1"/>
  <c r="Z491" i="1" s="1"/>
  <c r="Q491" i="1"/>
  <c r="Y491" i="1" s="1"/>
  <c r="T497" i="1"/>
  <c r="Z497" i="1" s="1"/>
  <c r="Q497" i="1"/>
  <c r="Y497" i="1" s="1"/>
  <c r="T503" i="1"/>
  <c r="Z503" i="1" s="1"/>
  <c r="Q503" i="1"/>
  <c r="Y503" i="1" s="1"/>
  <c r="T509" i="1"/>
  <c r="Z509" i="1" s="1"/>
  <c r="Q509" i="1"/>
  <c r="Y509" i="1" s="1"/>
  <c r="N516" i="1"/>
  <c r="X516" i="1" s="1"/>
  <c r="P532" i="1"/>
  <c r="S532" i="1" s="1"/>
  <c r="N532" i="1"/>
  <c r="X532" i="1" s="1"/>
  <c r="N553" i="1"/>
  <c r="X553" i="1" s="1"/>
  <c r="P556" i="1"/>
  <c r="S556" i="1" s="1"/>
  <c r="N556" i="1"/>
  <c r="X556" i="1" s="1"/>
  <c r="N577" i="1"/>
  <c r="X577" i="1" s="1"/>
  <c r="S580" i="1"/>
  <c r="N580" i="1"/>
  <c r="X580" i="1" s="1"/>
  <c r="N601" i="1"/>
  <c r="X601" i="1" s="1"/>
  <c r="P604" i="1"/>
  <c r="S604" i="1" s="1"/>
  <c r="N604" i="1"/>
  <c r="N625" i="1"/>
  <c r="X625" i="1" s="1"/>
  <c r="P628" i="1"/>
  <c r="S628" i="1" s="1"/>
  <c r="N628" i="1"/>
  <c r="X628" i="1" s="1"/>
  <c r="N639" i="1"/>
  <c r="X639" i="1" s="1"/>
  <c r="N650" i="1"/>
  <c r="X650" i="1" s="1"/>
  <c r="N654" i="1"/>
  <c r="X654" i="1" s="1"/>
  <c r="N658" i="1"/>
  <c r="X658" i="1" s="1"/>
  <c r="T663" i="1"/>
  <c r="Z663" i="1" s="1"/>
  <c r="Q663" i="1"/>
  <c r="Y663" i="1" s="1"/>
  <c r="T669" i="1"/>
  <c r="Z669" i="1" s="1"/>
  <c r="Q669" i="1"/>
  <c r="Y669" i="1" s="1"/>
  <c r="T675" i="1"/>
  <c r="Z675" i="1" s="1"/>
  <c r="Q675" i="1"/>
  <c r="Y675" i="1" s="1"/>
  <c r="N491" i="1"/>
  <c r="N497" i="1"/>
  <c r="X497" i="1" s="1"/>
  <c r="N503" i="1"/>
  <c r="X503" i="1" s="1"/>
  <c r="N509" i="1"/>
  <c r="X509" i="1" s="1"/>
  <c r="N543" i="1"/>
  <c r="X543" i="1" s="1"/>
  <c r="P546" i="1"/>
  <c r="S546" i="1" s="1"/>
  <c r="N546" i="1"/>
  <c r="X546" i="1" s="1"/>
  <c r="N567" i="1"/>
  <c r="X567" i="1" s="1"/>
  <c r="S570" i="1"/>
  <c r="N570" i="1"/>
  <c r="X570" i="1" s="1"/>
  <c r="N591" i="1"/>
  <c r="X591" i="1" s="1"/>
  <c r="S594" i="1"/>
  <c r="N594" i="1"/>
  <c r="N615" i="1"/>
  <c r="P618" i="1"/>
  <c r="S618" i="1" s="1"/>
  <c r="N618" i="1"/>
  <c r="X618" i="1" s="1"/>
  <c r="T676" i="1"/>
  <c r="Z676" i="1" s="1"/>
  <c r="Q676" i="1"/>
  <c r="Y676" i="1" s="1"/>
  <c r="P536" i="1"/>
  <c r="S536" i="1" s="1"/>
  <c r="N536" i="1"/>
  <c r="X536" i="1" s="1"/>
  <c r="S584" i="1"/>
  <c r="N584" i="1"/>
  <c r="X584" i="1" s="1"/>
  <c r="P608" i="1"/>
  <c r="S608" i="1" s="1"/>
  <c r="N608" i="1"/>
  <c r="P632" i="1"/>
  <c r="S632" i="1" s="1"/>
  <c r="N632" i="1"/>
  <c r="X632" i="1" s="1"/>
  <c r="P513" i="1"/>
  <c r="S513" i="1" s="1"/>
  <c r="N513" i="1"/>
  <c r="X513" i="1" s="1"/>
  <c r="P550" i="1"/>
  <c r="S550" i="1" s="1"/>
  <c r="N550" i="1"/>
  <c r="X550" i="1" s="1"/>
  <c r="S574" i="1"/>
  <c r="N574" i="1"/>
  <c r="X574" i="1" s="1"/>
  <c r="P598" i="1"/>
  <c r="S598" i="1" s="1"/>
  <c r="N598" i="1"/>
  <c r="X598" i="1" s="1"/>
  <c r="P622" i="1"/>
  <c r="S622" i="1" s="1"/>
  <c r="N622" i="1"/>
  <c r="X622" i="1" s="1"/>
  <c r="N653" i="1"/>
  <c r="X653" i="1" s="1"/>
  <c r="N655" i="1"/>
  <c r="X655" i="1" s="1"/>
  <c r="N657" i="1"/>
  <c r="X657" i="1" s="1"/>
  <c r="N659" i="1"/>
  <c r="X659" i="1" s="1"/>
  <c r="N661" i="1"/>
  <c r="X661" i="1" s="1"/>
  <c r="N663" i="1"/>
  <c r="X663" i="1" s="1"/>
  <c r="N665" i="1"/>
  <c r="X665" i="1" s="1"/>
  <c r="N667" i="1"/>
  <c r="X667" i="1" s="1"/>
  <c r="N669" i="1"/>
  <c r="X669" i="1" s="1"/>
  <c r="N671" i="1"/>
  <c r="X671" i="1" s="1"/>
  <c r="N673" i="1"/>
  <c r="X673" i="1" s="1"/>
  <c r="N675" i="1"/>
  <c r="X675" i="1" s="1"/>
  <c r="S183" i="1" l="1"/>
  <c r="T183" i="1" s="1"/>
  <c r="Z183" i="1" s="1"/>
  <c r="K183" i="1"/>
  <c r="W183" i="1" s="1"/>
  <c r="E9" i="1"/>
  <c r="H9" i="1" s="1"/>
  <c r="F9" i="1"/>
  <c r="M180" i="1"/>
  <c r="P180" i="1" s="1"/>
  <c r="Q180" i="1" s="1"/>
  <c r="Y180" i="1" s="1"/>
  <c r="M174" i="1"/>
  <c r="P174" i="1" s="1"/>
  <c r="S174" i="1" s="1"/>
  <c r="M172" i="1"/>
  <c r="P172" i="1" s="1"/>
  <c r="S172" i="1" s="1"/>
  <c r="T172" i="1" s="1"/>
  <c r="Z172" i="1" s="1"/>
  <c r="Q350" i="1"/>
  <c r="Y350" i="1" s="1"/>
  <c r="M170" i="1"/>
  <c r="P170" i="1" s="1"/>
  <c r="S170" i="1" s="1"/>
  <c r="T170" i="1" s="1"/>
  <c r="Z170" i="1" s="1"/>
  <c r="M175" i="1"/>
  <c r="P175" i="1" s="1"/>
  <c r="Q175" i="1" s="1"/>
  <c r="Y175" i="1" s="1"/>
  <c r="Q345" i="1"/>
  <c r="Y345" i="1" s="1"/>
  <c r="N164" i="1"/>
  <c r="X164" i="1" s="1"/>
  <c r="S337" i="1"/>
  <c r="T337" i="1" s="1"/>
  <c r="Z337" i="1" s="1"/>
  <c r="M178" i="1"/>
  <c r="P178" i="1" s="1"/>
  <c r="Q178" i="1" s="1"/>
  <c r="Y178" i="1" s="1"/>
  <c r="Q349" i="1"/>
  <c r="Y349" i="1" s="1"/>
  <c r="Q468" i="1"/>
  <c r="Y468" i="1" s="1"/>
  <c r="K182" i="1"/>
  <c r="W182" i="1" s="1"/>
  <c r="Q182" i="1"/>
  <c r="Y182" i="1" s="1"/>
  <c r="M167" i="1"/>
  <c r="P167" i="1" s="1"/>
  <c r="S167" i="1" s="1"/>
  <c r="T167" i="1" s="1"/>
  <c r="Z167" i="1" s="1"/>
  <c r="M176" i="1"/>
  <c r="P176" i="1" s="1"/>
  <c r="S176" i="1" s="1"/>
  <c r="T176" i="1" s="1"/>
  <c r="Z176" i="1" s="1"/>
  <c r="N182" i="1"/>
  <c r="X182" i="1" s="1"/>
  <c r="M169" i="1"/>
  <c r="N169" i="1" s="1"/>
  <c r="X169" i="1" s="1"/>
  <c r="Q347" i="1"/>
  <c r="Y347" i="1" s="1"/>
  <c r="Q609" i="1"/>
  <c r="Y609" i="1" s="1"/>
  <c r="Q456" i="1"/>
  <c r="Y456" i="1" s="1"/>
  <c r="Q351" i="1"/>
  <c r="Y351" i="1" s="1"/>
  <c r="P160" i="1"/>
  <c r="S160" i="1" s="1"/>
  <c r="T160" i="1" s="1"/>
  <c r="Z160" i="1" s="1"/>
  <c r="Q470" i="1"/>
  <c r="Y470" i="1" s="1"/>
  <c r="Q407" i="1"/>
  <c r="Y407" i="1" s="1"/>
  <c r="Q471" i="1"/>
  <c r="Y471" i="1" s="1"/>
  <c r="Q452" i="1"/>
  <c r="Y452" i="1" s="1"/>
  <c r="Q459" i="1"/>
  <c r="Y459" i="1" s="1"/>
  <c r="Q467" i="1"/>
  <c r="Y467" i="1" s="1"/>
  <c r="Q409" i="1"/>
  <c r="Y409" i="1" s="1"/>
  <c r="Q461" i="1"/>
  <c r="Y461" i="1" s="1"/>
  <c r="N171" i="1"/>
  <c r="X171" i="1" s="1"/>
  <c r="Q340" i="1"/>
  <c r="Y340" i="1" s="1"/>
  <c r="Q228" i="1"/>
  <c r="Y228" i="1" s="1"/>
  <c r="Q451" i="1"/>
  <c r="Y451" i="1" s="1"/>
  <c r="Q463" i="1"/>
  <c r="Y463" i="1" s="1"/>
  <c r="P177" i="1"/>
  <c r="Q177" i="1" s="1"/>
  <c r="Y177" i="1" s="1"/>
  <c r="N165" i="1"/>
  <c r="X165" i="1" s="1"/>
  <c r="N181" i="1"/>
  <c r="X181" i="1" s="1"/>
  <c r="Q181" i="1"/>
  <c r="Y181" i="1" s="1"/>
  <c r="S336" i="1"/>
  <c r="T336" i="1" s="1"/>
  <c r="Z336" i="1" s="1"/>
  <c r="Q469" i="1"/>
  <c r="Y469" i="1" s="1"/>
  <c r="S134" i="1"/>
  <c r="T134" i="1" s="1"/>
  <c r="Z134" i="1" s="1"/>
  <c r="S431" i="1"/>
  <c r="T431" i="1" s="1"/>
  <c r="Z431" i="1" s="1"/>
  <c r="Q465" i="1"/>
  <c r="Y465" i="1" s="1"/>
  <c r="S161" i="1"/>
  <c r="T161" i="1" s="1"/>
  <c r="Z161" i="1" s="1"/>
  <c r="Q454" i="1"/>
  <c r="Y454" i="1" s="1"/>
  <c r="P162" i="1"/>
  <c r="S162" i="1" s="1"/>
  <c r="T162" i="1" s="1"/>
  <c r="Z162" i="1" s="1"/>
  <c r="Q460" i="1"/>
  <c r="Y460" i="1" s="1"/>
  <c r="N163" i="1"/>
  <c r="X163" i="1" s="1"/>
  <c r="Q360" i="1"/>
  <c r="Y360" i="1" s="1"/>
  <c r="S360" i="1"/>
  <c r="T360" i="1" s="1"/>
  <c r="Z360" i="1" s="1"/>
  <c r="S458" i="1"/>
  <c r="T458" i="1" s="1"/>
  <c r="Z458" i="1" s="1"/>
  <c r="S173" i="1"/>
  <c r="T173" i="1" s="1"/>
  <c r="Z173" i="1" s="1"/>
  <c r="Q466" i="1"/>
  <c r="Y466" i="1" s="1"/>
  <c r="S71" i="1"/>
  <c r="T71" i="1" s="1"/>
  <c r="Z71" i="1" s="1"/>
  <c r="S545" i="1"/>
  <c r="T545" i="1" s="1"/>
  <c r="Z545" i="1" s="1"/>
  <c r="S7" i="1"/>
  <c r="T7" i="1" s="1"/>
  <c r="Z7" i="1" s="1"/>
  <c r="S419" i="1"/>
  <c r="T419" i="1" s="1"/>
  <c r="Z419" i="1" s="1"/>
  <c r="Q419" i="1"/>
  <c r="Y419" i="1" s="1"/>
  <c r="S547" i="1"/>
  <c r="T547" i="1" s="1"/>
  <c r="Z547" i="1" s="1"/>
  <c r="S335" i="1"/>
  <c r="T335" i="1" s="1"/>
  <c r="Z335" i="1" s="1"/>
  <c r="S334" i="1"/>
  <c r="T334" i="1" s="1"/>
  <c r="Z334" i="1" s="1"/>
  <c r="Q353" i="1"/>
  <c r="Y353" i="1" s="1"/>
  <c r="Q330" i="1"/>
  <c r="Y330" i="1" s="1"/>
  <c r="N179" i="1"/>
  <c r="X179" i="1" s="1"/>
  <c r="Q429" i="1"/>
  <c r="Y429" i="1" s="1"/>
  <c r="S429" i="1"/>
  <c r="T429" i="1" s="1"/>
  <c r="Z429" i="1" s="1"/>
  <c r="S443" i="1"/>
  <c r="T443" i="1" s="1"/>
  <c r="Z443" i="1" s="1"/>
  <c r="Q366" i="1"/>
  <c r="Y366" i="1" s="1"/>
  <c r="S366" i="1"/>
  <c r="T366" i="1" s="1"/>
  <c r="Z366" i="1" s="1"/>
  <c r="Q332" i="1"/>
  <c r="Y332" i="1" s="1"/>
  <c r="Q398" i="1"/>
  <c r="Y398" i="1" s="1"/>
  <c r="S112" i="1"/>
  <c r="T112" i="1" s="1"/>
  <c r="Q339" i="1"/>
  <c r="Y339" i="1" s="1"/>
  <c r="Q462" i="1"/>
  <c r="Y462" i="1" s="1"/>
  <c r="S204" i="1"/>
  <c r="T204" i="1" s="1"/>
  <c r="S617" i="1"/>
  <c r="T617" i="1" s="1"/>
  <c r="Z617" i="1" s="1"/>
  <c r="N173" i="1"/>
  <c r="X173" i="1" s="1"/>
  <c r="Q378" i="1"/>
  <c r="Y378" i="1" s="1"/>
  <c r="S378" i="1"/>
  <c r="T378" i="1" s="1"/>
  <c r="Z378" i="1" s="1"/>
  <c r="S492" i="1"/>
  <c r="T492" i="1" s="1"/>
  <c r="Z492" i="1" s="1"/>
  <c r="S165" i="1"/>
  <c r="T165" i="1" s="1"/>
  <c r="Z165" i="1" s="1"/>
  <c r="S619" i="1"/>
  <c r="T619" i="1" s="1"/>
  <c r="Z619" i="1" s="1"/>
  <c r="Q431" i="1"/>
  <c r="Y431" i="1" s="1"/>
  <c r="S88" i="1"/>
  <c r="T88" i="1" s="1"/>
  <c r="Z88" i="1" s="1"/>
  <c r="Q449" i="1"/>
  <c r="Y449" i="1" s="1"/>
  <c r="S464" i="1"/>
  <c r="T464" i="1" s="1"/>
  <c r="Z464" i="1" s="1"/>
  <c r="Q161" i="1"/>
  <c r="Y161" i="1" s="1"/>
  <c r="Q481" i="1"/>
  <c r="Y481" i="1" s="1"/>
  <c r="S481" i="1"/>
  <c r="T481" i="1" s="1"/>
  <c r="Z481" i="1" s="1"/>
  <c r="S595" i="1"/>
  <c r="T595" i="1" s="1"/>
  <c r="Z595" i="1" s="1"/>
  <c r="S510" i="1"/>
  <c r="T510" i="1" s="1"/>
  <c r="Z510" i="1" s="1"/>
  <c r="Q134" i="1"/>
  <c r="Y134" i="1" s="1"/>
  <c r="S126" i="1"/>
  <c r="T126" i="1" s="1"/>
  <c r="Z126" i="1" s="1"/>
  <c r="S569" i="1"/>
  <c r="T569" i="1" s="1"/>
  <c r="Z569" i="1" s="1"/>
  <c r="S348" i="1"/>
  <c r="T348" i="1" s="1"/>
  <c r="Z348" i="1" s="1"/>
  <c r="Q348" i="1"/>
  <c r="Y348" i="1" s="1"/>
  <c r="S593" i="1"/>
  <c r="T593" i="1" s="1"/>
  <c r="Z593" i="1" s="1"/>
  <c r="S344" i="1"/>
  <c r="T344" i="1" s="1"/>
  <c r="Z344" i="1" s="1"/>
  <c r="Q341" i="1"/>
  <c r="Y341" i="1" s="1"/>
  <c r="S220" i="1"/>
  <c r="T220" i="1" s="1"/>
  <c r="Z220" i="1" s="1"/>
  <c r="S455" i="1"/>
  <c r="T455" i="1" s="1"/>
  <c r="Z455" i="1" s="1"/>
  <c r="S212" i="1"/>
  <c r="T212" i="1" s="1"/>
  <c r="Z212" i="1" s="1"/>
  <c r="Q453" i="1"/>
  <c r="Y453" i="1" s="1"/>
  <c r="S453" i="1"/>
  <c r="T453" i="1" s="1"/>
  <c r="Z453" i="1" s="1"/>
  <c r="S23" i="1"/>
  <c r="Q617" i="1"/>
  <c r="Y617" i="1" s="1"/>
  <c r="T571" i="1"/>
  <c r="Z571" i="1" s="1"/>
  <c r="Q571" i="1"/>
  <c r="Y571" i="1" s="1"/>
  <c r="Q547" i="1"/>
  <c r="Y547" i="1" s="1"/>
  <c r="Q492" i="1"/>
  <c r="Y492" i="1" s="1"/>
  <c r="T498" i="1"/>
  <c r="Z498" i="1" s="1"/>
  <c r="Q498" i="1"/>
  <c r="Y498" i="1" s="1"/>
  <c r="T504" i="1"/>
  <c r="Z504" i="1" s="1"/>
  <c r="Q504" i="1"/>
  <c r="Y504" i="1" s="1"/>
  <c r="Q545" i="1"/>
  <c r="Y545" i="1" s="1"/>
  <c r="Q455" i="1"/>
  <c r="Y455" i="1" s="1"/>
  <c r="Q372" i="1"/>
  <c r="Y372" i="1" s="1"/>
  <c r="T372" i="1"/>
  <c r="Z372" i="1" s="1"/>
  <c r="T354" i="1"/>
  <c r="Z354" i="1" s="1"/>
  <c r="Q354" i="1"/>
  <c r="Y354" i="1" s="1"/>
  <c r="Q88" i="1"/>
  <c r="Y88" i="1" s="1"/>
  <c r="Q71" i="1"/>
  <c r="Y71" i="1" s="1"/>
  <c r="T272" i="1"/>
  <c r="Z272" i="1" s="1"/>
  <c r="Q272" i="1"/>
  <c r="Y272" i="1" s="1"/>
  <c r="T268" i="1"/>
  <c r="Z268" i="1" s="1"/>
  <c r="Q268" i="1"/>
  <c r="Y268" i="1" s="1"/>
  <c r="T632" i="1"/>
  <c r="Z632" i="1" s="1"/>
  <c r="Q632" i="1"/>
  <c r="Y632" i="1" s="1"/>
  <c r="T618" i="1"/>
  <c r="Z618" i="1" s="1"/>
  <c r="Q618" i="1"/>
  <c r="Y618" i="1" s="1"/>
  <c r="T568" i="1"/>
  <c r="Z568" i="1" s="1"/>
  <c r="Q568" i="1"/>
  <c r="Y568" i="1" s="1"/>
  <c r="T383" i="1"/>
  <c r="Z383" i="1" s="1"/>
  <c r="Q383" i="1"/>
  <c r="Y383" i="1" s="1"/>
  <c r="T420" i="1"/>
  <c r="Z420" i="1" s="1"/>
  <c r="Q420" i="1"/>
  <c r="Y420" i="1" s="1"/>
  <c r="T530" i="1"/>
  <c r="Z530" i="1" s="1"/>
  <c r="Q530" i="1"/>
  <c r="Y530" i="1" s="1"/>
  <c r="Q127" i="1"/>
  <c r="Y127" i="1" s="1"/>
  <c r="T127" i="1"/>
  <c r="Z127" i="1" s="1"/>
  <c r="T599" i="1"/>
  <c r="Z599" i="1" s="1"/>
  <c r="Q599" i="1"/>
  <c r="Y599" i="1" s="1"/>
  <c r="T487" i="1"/>
  <c r="Z487" i="1" s="1"/>
  <c r="Q487" i="1"/>
  <c r="Y487" i="1" s="1"/>
  <c r="T166" i="1"/>
  <c r="Z166" i="1" s="1"/>
  <c r="Q166" i="1"/>
  <c r="Y166" i="1" s="1"/>
  <c r="T89" i="1"/>
  <c r="Z89" i="1" s="1"/>
  <c r="Q89" i="1"/>
  <c r="Y89" i="1" s="1"/>
  <c r="T391" i="1"/>
  <c r="Z391" i="1" s="1"/>
  <c r="Q391" i="1"/>
  <c r="Y391" i="1" s="1"/>
  <c r="T299" i="1"/>
  <c r="Z299" i="1" s="1"/>
  <c r="Q299" i="1"/>
  <c r="Y299" i="1" s="1"/>
  <c r="T252" i="1"/>
  <c r="Z252" i="1" s="1"/>
  <c r="Q252" i="1"/>
  <c r="Y252" i="1" s="1"/>
  <c r="T375" i="1"/>
  <c r="Z375" i="1" s="1"/>
  <c r="Q375" i="1"/>
  <c r="Y375" i="1" s="1"/>
  <c r="T264" i="1"/>
  <c r="Z264" i="1" s="1"/>
  <c r="Q264" i="1"/>
  <c r="Y264" i="1" s="1"/>
  <c r="T171" i="1"/>
  <c r="Z171" i="1" s="1"/>
  <c r="Q171" i="1"/>
  <c r="Y171" i="1" s="1"/>
  <c r="T572" i="1"/>
  <c r="Z572" i="1" s="1"/>
  <c r="Q572" i="1"/>
  <c r="Y572" i="1" s="1"/>
  <c r="T628" i="1"/>
  <c r="Z628" i="1" s="1"/>
  <c r="Q628" i="1"/>
  <c r="Y628" i="1" s="1"/>
  <c r="T532" i="1"/>
  <c r="Z532" i="1" s="1"/>
  <c r="Q532" i="1"/>
  <c r="Y532" i="1" s="1"/>
  <c r="T614" i="1"/>
  <c r="Z614" i="1" s="1"/>
  <c r="Q614" i="1"/>
  <c r="Y614" i="1" s="1"/>
  <c r="T600" i="1"/>
  <c r="Z600" i="1" s="1"/>
  <c r="Q600" i="1"/>
  <c r="Y600" i="1" s="1"/>
  <c r="T515" i="1"/>
  <c r="Z515" i="1" s="1"/>
  <c r="Q515" i="1"/>
  <c r="Y515" i="1" s="1"/>
  <c r="T544" i="1"/>
  <c r="Z544" i="1" s="1"/>
  <c r="Q544" i="1"/>
  <c r="Y544" i="1" s="1"/>
  <c r="T418" i="1"/>
  <c r="Z418" i="1" s="1"/>
  <c r="Q418" i="1"/>
  <c r="Y418" i="1" s="1"/>
  <c r="T297" i="1"/>
  <c r="Z297" i="1" s="1"/>
  <c r="Q297" i="1"/>
  <c r="Y297" i="1" s="1"/>
  <c r="Q119" i="1"/>
  <c r="Y119" i="1" s="1"/>
  <c r="T119" i="1"/>
  <c r="Z119" i="1" s="1"/>
  <c r="T315" i="1"/>
  <c r="Z315" i="1" s="1"/>
  <c r="Q315" i="1"/>
  <c r="Y315" i="1" s="1"/>
  <c r="T158" i="1"/>
  <c r="Z158" i="1" s="1"/>
  <c r="Q158" i="1"/>
  <c r="Y158" i="1" s="1"/>
  <c r="T369" i="1"/>
  <c r="Z369" i="1" s="1"/>
  <c r="Q369" i="1"/>
  <c r="Y369" i="1" s="1"/>
  <c r="T155" i="1"/>
  <c r="Z155" i="1" s="1"/>
  <c r="Q155" i="1"/>
  <c r="T303" i="1"/>
  <c r="Z303" i="1" s="1"/>
  <c r="Q303" i="1"/>
  <c r="Y303" i="1" s="1"/>
  <c r="T115" i="1"/>
  <c r="Q115" i="1"/>
  <c r="T214" i="1"/>
  <c r="Z214" i="1" s="1"/>
  <c r="Q214" i="1"/>
  <c r="Y214" i="1" s="1"/>
  <c r="T230" i="1"/>
  <c r="Z230" i="1" s="1"/>
  <c r="Q230" i="1"/>
  <c r="Y230" i="1" s="1"/>
  <c r="T248" i="1"/>
  <c r="Z248" i="1" s="1"/>
  <c r="Q248" i="1"/>
  <c r="Y248" i="1" s="1"/>
  <c r="T538" i="1"/>
  <c r="Z538" i="1" s="1"/>
  <c r="Q538" i="1"/>
  <c r="Y538" i="1" s="1"/>
  <c r="T588" i="1"/>
  <c r="Z588" i="1" s="1"/>
  <c r="Q588" i="1"/>
  <c r="Y588" i="1" s="1"/>
  <c r="T622" i="1"/>
  <c r="Z622" i="1" s="1"/>
  <c r="Q622" i="1"/>
  <c r="Y622" i="1" s="1"/>
  <c r="T594" i="1"/>
  <c r="Z594" i="1" s="1"/>
  <c r="Q594" i="1"/>
  <c r="Y594" i="1" s="1"/>
  <c r="T548" i="1"/>
  <c r="Z548" i="1" s="1"/>
  <c r="Q548" i="1"/>
  <c r="Y548" i="1" s="1"/>
  <c r="T565" i="1"/>
  <c r="Z565" i="1" s="1"/>
  <c r="Q565" i="1"/>
  <c r="Y565" i="1" s="1"/>
  <c r="T564" i="1"/>
  <c r="Z564" i="1" s="1"/>
  <c r="Q564" i="1"/>
  <c r="Y564" i="1" s="1"/>
  <c r="T393" i="1"/>
  <c r="Z393" i="1" s="1"/>
  <c r="Q393" i="1"/>
  <c r="Y393" i="1" s="1"/>
  <c r="T389" i="1"/>
  <c r="Z389" i="1" s="1"/>
  <c r="Q389" i="1"/>
  <c r="Y389" i="1" s="1"/>
  <c r="T416" i="1"/>
  <c r="Z416" i="1" s="1"/>
  <c r="Q416" i="1"/>
  <c r="Y416" i="1" s="1"/>
  <c r="T412" i="1"/>
  <c r="Z412" i="1" s="1"/>
  <c r="Q412" i="1"/>
  <c r="Y412" i="1" s="1"/>
  <c r="T381" i="1"/>
  <c r="Z381" i="1" s="1"/>
  <c r="Q381" i="1"/>
  <c r="Y381" i="1" s="1"/>
  <c r="T129" i="1"/>
  <c r="Z129" i="1" s="1"/>
  <c r="Q129" i="1"/>
  <c r="Y129" i="1" s="1"/>
  <c r="Q333" i="1"/>
  <c r="Y333" i="1" s="1"/>
  <c r="T333" i="1"/>
  <c r="Z333" i="1" s="1"/>
  <c r="T376" i="1"/>
  <c r="Z376" i="1" s="1"/>
  <c r="Q376" i="1"/>
  <c r="Y376" i="1" s="1"/>
  <c r="T125" i="1"/>
  <c r="Z125" i="1" s="1"/>
  <c r="Q125" i="1"/>
  <c r="Y125" i="1" s="1"/>
  <c r="T136" i="1"/>
  <c r="Z136" i="1" s="1"/>
  <c r="Q136" i="1"/>
  <c r="Y136" i="1" s="1"/>
  <c r="Q94" i="1"/>
  <c r="Y94" i="1" s="1"/>
  <c r="T94" i="1"/>
  <c r="Z94" i="1" s="1"/>
  <c r="T276" i="1"/>
  <c r="Q276" i="1"/>
  <c r="T139" i="1"/>
  <c r="Z139" i="1" s="1"/>
  <c r="Q139" i="1"/>
  <c r="Y139" i="1" s="1"/>
  <c r="T128" i="1"/>
  <c r="Z128" i="1" s="1"/>
  <c r="Q128" i="1"/>
  <c r="Y128" i="1" s="1"/>
  <c r="T260" i="1"/>
  <c r="Z260" i="1" s="1"/>
  <c r="Q260" i="1"/>
  <c r="Y260" i="1" s="1"/>
  <c r="T91" i="1"/>
  <c r="Z91" i="1" s="1"/>
  <c r="Q91" i="1"/>
  <c r="Y91" i="1" s="1"/>
  <c r="T168" i="1"/>
  <c r="Z168" i="1" s="1"/>
  <c r="Q168" i="1"/>
  <c r="Y168" i="1" s="1"/>
  <c r="T244" i="1"/>
  <c r="Z244" i="1" s="1"/>
  <c r="Q244" i="1"/>
  <c r="Y244" i="1" s="1"/>
  <c r="T382" i="1"/>
  <c r="Z382" i="1" s="1"/>
  <c r="Q382" i="1"/>
  <c r="Y382" i="1" s="1"/>
  <c r="T313" i="1"/>
  <c r="Z313" i="1" s="1"/>
  <c r="Q313" i="1"/>
  <c r="Y313" i="1" s="1"/>
  <c r="T556" i="1"/>
  <c r="Z556" i="1" s="1"/>
  <c r="Q556" i="1"/>
  <c r="Y556" i="1" s="1"/>
  <c r="T424" i="1"/>
  <c r="Z424" i="1" s="1"/>
  <c r="Q424" i="1"/>
  <c r="Y424" i="1" s="1"/>
  <c r="T364" i="1"/>
  <c r="Z364" i="1" s="1"/>
  <c r="Q364" i="1"/>
  <c r="Y364" i="1" s="1"/>
  <c r="T163" i="1"/>
  <c r="Z163" i="1" s="1"/>
  <c r="Q163" i="1"/>
  <c r="Y163" i="1" s="1"/>
  <c r="T179" i="1"/>
  <c r="Z179" i="1" s="1"/>
  <c r="Q179" i="1"/>
  <c r="Y179" i="1" s="1"/>
  <c r="T413" i="1"/>
  <c r="Z413" i="1" s="1"/>
  <c r="Q413" i="1"/>
  <c r="Y413" i="1" s="1"/>
  <c r="T636" i="1"/>
  <c r="Z636" i="1" s="1"/>
  <c r="Q636" i="1"/>
  <c r="Y636" i="1" s="1"/>
  <c r="T387" i="1"/>
  <c r="Z387" i="1" s="1"/>
  <c r="Q387" i="1"/>
  <c r="Y387" i="1" s="1"/>
  <c r="T541" i="1"/>
  <c r="Z541" i="1" s="1"/>
  <c r="Q541" i="1"/>
  <c r="Y541" i="1" s="1"/>
  <c r="T602" i="1"/>
  <c r="Z602" i="1" s="1"/>
  <c r="Q602" i="1"/>
  <c r="Y602" i="1" s="1"/>
  <c r="T578" i="1"/>
  <c r="Z578" i="1" s="1"/>
  <c r="Q578" i="1"/>
  <c r="Y578" i="1" s="1"/>
  <c r="T385" i="1"/>
  <c r="Z385" i="1" s="1"/>
  <c r="Q385" i="1"/>
  <c r="Y385" i="1" s="1"/>
  <c r="T352" i="1"/>
  <c r="Z352" i="1" s="1"/>
  <c r="Q352" i="1"/>
  <c r="Y352" i="1" s="1"/>
  <c r="T291" i="1"/>
  <c r="Z291" i="1" s="1"/>
  <c r="Q291" i="1"/>
  <c r="Y291" i="1" s="1"/>
  <c r="T121" i="1"/>
  <c r="Z121" i="1" s="1"/>
  <c r="Q121" i="1"/>
  <c r="Y121" i="1" s="1"/>
  <c r="T156" i="1"/>
  <c r="Q156" i="1"/>
  <c r="T630" i="1"/>
  <c r="Z630" i="1" s="1"/>
  <c r="Q630" i="1"/>
  <c r="Y630" i="1" s="1"/>
  <c r="T608" i="1"/>
  <c r="Z608" i="1" s="1"/>
  <c r="Q608" i="1"/>
  <c r="Y608" i="1" s="1"/>
  <c r="T584" i="1"/>
  <c r="Z584" i="1" s="1"/>
  <c r="Q584" i="1"/>
  <c r="Y584" i="1" s="1"/>
  <c r="T604" i="1"/>
  <c r="Z604" i="1" s="1"/>
  <c r="Q604" i="1"/>
  <c r="Y604" i="1" s="1"/>
  <c r="T590" i="1"/>
  <c r="Z590" i="1" s="1"/>
  <c r="Q590" i="1"/>
  <c r="Y590" i="1" s="1"/>
  <c r="T634" i="1"/>
  <c r="Z634" i="1" s="1"/>
  <c r="Q634" i="1"/>
  <c r="Y634" i="1" s="1"/>
  <c r="T511" i="1"/>
  <c r="Z511" i="1" s="1"/>
  <c r="Q511" i="1"/>
  <c r="Y511" i="1" s="1"/>
  <c r="T574" i="1"/>
  <c r="Z574" i="1" s="1"/>
  <c r="Q574" i="1"/>
  <c r="Y574" i="1" s="1"/>
  <c r="T570" i="1"/>
  <c r="Z570" i="1" s="1"/>
  <c r="Q570" i="1"/>
  <c r="Y570" i="1" s="1"/>
  <c r="T649" i="1"/>
  <c r="Z649" i="1" s="1"/>
  <c r="Q649" i="1"/>
  <c r="Y649" i="1" s="1"/>
  <c r="T576" i="1"/>
  <c r="Z576" i="1" s="1"/>
  <c r="Q576" i="1"/>
  <c r="Y576" i="1" s="1"/>
  <c r="T637" i="1"/>
  <c r="Z637" i="1" s="1"/>
  <c r="Q637" i="1"/>
  <c r="Y637" i="1" s="1"/>
  <c r="T428" i="1"/>
  <c r="Z428" i="1" s="1"/>
  <c r="Q428" i="1"/>
  <c r="Y428" i="1" s="1"/>
  <c r="T540" i="1"/>
  <c r="Z540" i="1" s="1"/>
  <c r="Q540" i="1"/>
  <c r="Y540" i="1" s="1"/>
  <c r="T395" i="1"/>
  <c r="Z395" i="1" s="1"/>
  <c r="Q395" i="1"/>
  <c r="Y395" i="1" s="1"/>
  <c r="T301" i="1"/>
  <c r="Z301" i="1" s="1"/>
  <c r="Q301" i="1"/>
  <c r="Y301" i="1" s="1"/>
  <c r="T305" i="1"/>
  <c r="Z305" i="1" s="1"/>
  <c r="Q305" i="1"/>
  <c r="Y305" i="1" s="1"/>
  <c r="T309" i="1"/>
  <c r="Z309" i="1" s="1"/>
  <c r="Q309" i="1"/>
  <c r="Y309" i="1" s="1"/>
  <c r="T131" i="1"/>
  <c r="Z131" i="1" s="1"/>
  <c r="Q131" i="1"/>
  <c r="Y131" i="1" s="1"/>
  <c r="T343" i="1"/>
  <c r="Z343" i="1" s="1"/>
  <c r="Q343" i="1"/>
  <c r="Y343" i="1" s="1"/>
  <c r="T240" i="1"/>
  <c r="Z240" i="1" s="1"/>
  <c r="Q240" i="1"/>
  <c r="Y240" i="1" s="1"/>
  <c r="T338" i="1"/>
  <c r="Z338" i="1" s="1"/>
  <c r="Q338" i="1"/>
  <c r="Y338" i="1" s="1"/>
  <c r="T606" i="1"/>
  <c r="Z606" i="1" s="1"/>
  <c r="Q606" i="1"/>
  <c r="Y606" i="1" s="1"/>
  <c r="T582" i="1"/>
  <c r="Z582" i="1" s="1"/>
  <c r="Q582" i="1"/>
  <c r="Y582" i="1" s="1"/>
  <c r="T613" i="1"/>
  <c r="Z613" i="1" s="1"/>
  <c r="Q613" i="1"/>
  <c r="Y613" i="1" s="1"/>
  <c r="T612" i="1"/>
  <c r="Z612" i="1" s="1"/>
  <c r="Q612" i="1"/>
  <c r="Y612" i="1" s="1"/>
  <c r="T652" i="1"/>
  <c r="Z652" i="1" s="1"/>
  <c r="Q652" i="1"/>
  <c r="Y652" i="1" s="1"/>
  <c r="T651" i="1"/>
  <c r="Z651" i="1" s="1"/>
  <c r="Q651" i="1"/>
  <c r="Y651" i="1" s="1"/>
  <c r="T660" i="1"/>
  <c r="Z660" i="1" s="1"/>
  <c r="Q660" i="1"/>
  <c r="Y660" i="1" s="1"/>
  <c r="T346" i="1"/>
  <c r="Z346" i="1" s="1"/>
  <c r="Q346" i="1"/>
  <c r="Y346" i="1" s="1"/>
  <c r="T358" i="1"/>
  <c r="Z358" i="1" s="1"/>
  <c r="Q358" i="1"/>
  <c r="Y358" i="1" s="1"/>
  <c r="T422" i="1"/>
  <c r="Z422" i="1" s="1"/>
  <c r="Q422" i="1"/>
  <c r="Y422" i="1" s="1"/>
  <c r="T133" i="1"/>
  <c r="Z133" i="1" s="1"/>
  <c r="Q133" i="1"/>
  <c r="Y133" i="1" s="1"/>
  <c r="T236" i="1"/>
  <c r="Z236" i="1" s="1"/>
  <c r="Q236" i="1"/>
  <c r="Y236" i="1" s="1"/>
  <c r="T256" i="1"/>
  <c r="Z256" i="1" s="1"/>
  <c r="Q256" i="1"/>
  <c r="Y256" i="1" s="1"/>
  <c r="T66" i="1"/>
  <c r="Z66" i="1" s="1"/>
  <c r="Q66" i="1"/>
  <c r="T596" i="1"/>
  <c r="Z596" i="1" s="1"/>
  <c r="Q596" i="1"/>
  <c r="Y596" i="1" s="1"/>
  <c r="T672" i="1"/>
  <c r="Z672" i="1" s="1"/>
  <c r="Q672" i="1"/>
  <c r="Y672" i="1" s="1"/>
  <c r="T666" i="1"/>
  <c r="Z666" i="1" s="1"/>
  <c r="Q666" i="1"/>
  <c r="Y666" i="1" s="1"/>
  <c r="T554" i="1"/>
  <c r="Z554" i="1" s="1"/>
  <c r="Q554" i="1"/>
  <c r="Y554" i="1" s="1"/>
  <c r="T137" i="1"/>
  <c r="Z137" i="1" s="1"/>
  <c r="Q137" i="1"/>
  <c r="Y137" i="1" s="1"/>
  <c r="T550" i="1"/>
  <c r="Z550" i="1" s="1"/>
  <c r="Q550" i="1"/>
  <c r="Y550" i="1" s="1"/>
  <c r="T536" i="1"/>
  <c r="Z536" i="1" s="1"/>
  <c r="Q536" i="1"/>
  <c r="Y536" i="1" s="1"/>
  <c r="T580" i="1"/>
  <c r="Z580" i="1" s="1"/>
  <c r="Q580" i="1"/>
  <c r="Y580" i="1" s="1"/>
  <c r="T566" i="1"/>
  <c r="Z566" i="1" s="1"/>
  <c r="Q566" i="1"/>
  <c r="Y566" i="1" s="1"/>
  <c r="T638" i="1"/>
  <c r="Z638" i="1" s="1"/>
  <c r="Q638" i="1"/>
  <c r="Y638" i="1" s="1"/>
  <c r="T616" i="1"/>
  <c r="Z616" i="1" s="1"/>
  <c r="Q616" i="1"/>
  <c r="Y616" i="1" s="1"/>
  <c r="T397" i="1"/>
  <c r="Z397" i="1" s="1"/>
  <c r="Q397" i="1"/>
  <c r="Y397" i="1" s="1"/>
  <c r="T414" i="1"/>
  <c r="Z414" i="1" s="1"/>
  <c r="Q414" i="1"/>
  <c r="Y414" i="1" s="1"/>
  <c r="T399" i="1"/>
  <c r="Z399" i="1" s="1"/>
  <c r="Q399" i="1"/>
  <c r="Y399" i="1" s="1"/>
  <c r="T433" i="1"/>
  <c r="Z433" i="1" s="1"/>
  <c r="Q433" i="1"/>
  <c r="Y433" i="1" s="1"/>
  <c r="T111" i="1"/>
  <c r="Z111" i="1" s="1"/>
  <c r="Q111" i="1"/>
  <c r="T123" i="1"/>
  <c r="Z123" i="1" s="1"/>
  <c r="Q123" i="1"/>
  <c r="Y123" i="1" s="1"/>
  <c r="T457" i="1"/>
  <c r="Z457" i="1" s="1"/>
  <c r="Q457" i="1"/>
  <c r="Y457" i="1" s="1"/>
  <c r="T542" i="1"/>
  <c r="Z542" i="1" s="1"/>
  <c r="Q542" i="1"/>
  <c r="Y542" i="1" s="1"/>
  <c r="T408" i="1"/>
  <c r="Z408" i="1" s="1"/>
  <c r="Q408" i="1"/>
  <c r="Y408" i="1" s="1"/>
  <c r="T598" i="1"/>
  <c r="Z598" i="1" s="1"/>
  <c r="Q598" i="1"/>
  <c r="Y598" i="1" s="1"/>
  <c r="T610" i="1"/>
  <c r="Z610" i="1" s="1"/>
  <c r="Q610" i="1"/>
  <c r="Y610" i="1" s="1"/>
  <c r="T546" i="1"/>
  <c r="Z546" i="1" s="1"/>
  <c r="Q546" i="1"/>
  <c r="Y546" i="1" s="1"/>
  <c r="T586" i="1"/>
  <c r="Z586" i="1" s="1"/>
  <c r="Q586" i="1"/>
  <c r="Y586" i="1" s="1"/>
  <c r="T620" i="1"/>
  <c r="Z620" i="1" s="1"/>
  <c r="Q620" i="1"/>
  <c r="Y620" i="1" s="1"/>
  <c r="T589" i="1"/>
  <c r="Z589" i="1" s="1"/>
  <c r="Q589" i="1"/>
  <c r="Y589" i="1" s="1"/>
  <c r="T626" i="1"/>
  <c r="Z626" i="1" s="1"/>
  <c r="Q626" i="1"/>
  <c r="Y626" i="1" s="1"/>
  <c r="T410" i="1"/>
  <c r="Z410" i="1" s="1"/>
  <c r="Q410" i="1"/>
  <c r="Y410" i="1" s="1"/>
  <c r="T648" i="1"/>
  <c r="Z648" i="1" s="1"/>
  <c r="Q648" i="1"/>
  <c r="Y648" i="1" s="1"/>
  <c r="T311" i="1"/>
  <c r="Z311" i="1" s="1"/>
  <c r="Q311" i="1"/>
  <c r="Y311" i="1" s="1"/>
  <c r="T357" i="1"/>
  <c r="Z357" i="1" s="1"/>
  <c r="Q357" i="1"/>
  <c r="Y357" i="1" s="1"/>
  <c r="T164" i="1"/>
  <c r="Z164" i="1" s="1"/>
  <c r="Q164" i="1"/>
  <c r="Y164" i="1" s="1"/>
  <c r="T426" i="1"/>
  <c r="Z426" i="1" s="1"/>
  <c r="Q426" i="1"/>
  <c r="Y426" i="1" s="1"/>
  <c r="Q117" i="1"/>
  <c r="Y117" i="1" s="1"/>
  <c r="T117" i="1"/>
  <c r="Z117" i="1" s="1"/>
  <c r="T293" i="1"/>
  <c r="Z293" i="1" s="1"/>
  <c r="Q293" i="1"/>
  <c r="Y293" i="1" s="1"/>
  <c r="T206" i="1"/>
  <c r="Z206" i="1" s="1"/>
  <c r="Q206" i="1"/>
  <c r="Y206" i="1" s="1"/>
  <c r="T647" i="1"/>
  <c r="Z647" i="1" s="1"/>
  <c r="Q647" i="1"/>
  <c r="Y647" i="1" s="1"/>
  <c r="T562" i="1"/>
  <c r="Z562" i="1" s="1"/>
  <c r="Q562" i="1"/>
  <c r="Y562" i="1" s="1"/>
  <c r="T534" i="1"/>
  <c r="Z534" i="1" s="1"/>
  <c r="Q534" i="1"/>
  <c r="Y534" i="1" s="1"/>
  <c r="T370" i="1"/>
  <c r="Z370" i="1" s="1"/>
  <c r="Q370" i="1"/>
  <c r="Y370" i="1" s="1"/>
  <c r="T222" i="1"/>
  <c r="Z222" i="1" s="1"/>
  <c r="Q222" i="1"/>
  <c r="Y222" i="1" s="1"/>
  <c r="T656" i="1"/>
  <c r="Z656" i="1" s="1"/>
  <c r="Q656" i="1"/>
  <c r="Y656" i="1" s="1"/>
  <c r="T513" i="1"/>
  <c r="Z513" i="1" s="1"/>
  <c r="Q513" i="1"/>
  <c r="Y513" i="1" s="1"/>
  <c r="T624" i="1"/>
  <c r="Z624" i="1" s="1"/>
  <c r="Q624" i="1"/>
  <c r="Y624" i="1" s="1"/>
  <c r="T552" i="1"/>
  <c r="Z552" i="1" s="1"/>
  <c r="Q552" i="1"/>
  <c r="Y552" i="1" s="1"/>
  <c r="T558" i="1"/>
  <c r="Z558" i="1" s="1"/>
  <c r="Q558" i="1"/>
  <c r="Y558" i="1" s="1"/>
  <c r="T592" i="1"/>
  <c r="Z592" i="1" s="1"/>
  <c r="Q592" i="1"/>
  <c r="Y592" i="1" s="1"/>
  <c r="T307" i="1"/>
  <c r="Z307" i="1" s="1"/>
  <c r="Q307" i="1"/>
  <c r="Y307" i="1" s="1"/>
  <c r="Q135" i="1"/>
  <c r="Y135" i="1" s="1"/>
  <c r="T135" i="1"/>
  <c r="Z135" i="1" s="1"/>
  <c r="T87" i="1"/>
  <c r="Z87" i="1" s="1"/>
  <c r="Q87" i="1"/>
  <c r="Y87" i="1" s="1"/>
  <c r="T363" i="1"/>
  <c r="Z363" i="1" s="1"/>
  <c r="Q363" i="1"/>
  <c r="Y363" i="1" s="1"/>
  <c r="T295" i="1"/>
  <c r="Z295" i="1" s="1"/>
  <c r="Q295" i="1"/>
  <c r="Y295" i="1" s="1"/>
  <c r="T174" i="1"/>
  <c r="Z174" i="1" s="1"/>
  <c r="Q174" i="1"/>
  <c r="Y174" i="1" s="1"/>
  <c r="T113" i="1"/>
  <c r="Z113" i="1" s="1"/>
  <c r="Q113" i="1"/>
  <c r="T120" i="1"/>
  <c r="Z120" i="1" s="1"/>
  <c r="Q120" i="1"/>
  <c r="Y120" i="1" s="1"/>
  <c r="S180" i="1" l="1"/>
  <c r="T180" i="1" s="1"/>
  <c r="Z180" i="1" s="1"/>
  <c r="N172" i="1"/>
  <c r="X172" i="1" s="1"/>
  <c r="N180" i="1"/>
  <c r="X180" i="1" s="1"/>
  <c r="Q172" i="1"/>
  <c r="Y172" i="1" s="1"/>
  <c r="N174" i="1"/>
  <c r="X174" i="1" s="1"/>
  <c r="S175" i="1"/>
  <c r="T175" i="1" s="1"/>
  <c r="Z175" i="1" s="1"/>
  <c r="N175" i="1"/>
  <c r="X175" i="1" s="1"/>
  <c r="Q170" i="1"/>
  <c r="Y170" i="1" s="1"/>
  <c r="N170" i="1"/>
  <c r="X170" i="1" s="1"/>
  <c r="S178" i="1"/>
  <c r="T178" i="1" s="1"/>
  <c r="Z178" i="1" s="1"/>
  <c r="N178" i="1"/>
  <c r="X178" i="1" s="1"/>
  <c r="Q176" i="1"/>
  <c r="Y176" i="1" s="1"/>
  <c r="N167" i="1"/>
  <c r="X167" i="1" s="1"/>
  <c r="N176" i="1"/>
  <c r="X176" i="1" s="1"/>
  <c r="P169" i="1"/>
  <c r="Q169" i="1" s="1"/>
  <c r="Y169" i="1" s="1"/>
  <c r="F7" i="3"/>
  <c r="Q167" i="1"/>
  <c r="Y167" i="1" s="1"/>
  <c r="Q160" i="1"/>
  <c r="Y160" i="1" s="1"/>
  <c r="S177" i="1"/>
  <c r="T177" i="1" s="1"/>
  <c r="Z177" i="1" s="1"/>
  <c r="Q162" i="1"/>
  <c r="Y162" i="1" s="1"/>
  <c r="T23" i="1"/>
  <c r="Z23" i="1" s="1"/>
  <c r="E42" i="1"/>
  <c r="F42" i="1"/>
  <c r="G42" i="1"/>
  <c r="E197" i="1"/>
  <c r="G197" i="1"/>
  <c r="F197" i="1"/>
  <c r="G196" i="1"/>
  <c r="F196" i="1"/>
  <c r="E196" i="1"/>
  <c r="F195" i="1"/>
  <c r="G195" i="1"/>
  <c r="E153" i="1"/>
  <c r="G153" i="1"/>
  <c r="F153" i="1"/>
  <c r="G152" i="1"/>
  <c r="F152" i="1"/>
  <c r="E152" i="1"/>
  <c r="F151" i="1"/>
  <c r="G151" i="1"/>
  <c r="F109" i="1"/>
  <c r="E109" i="1"/>
  <c r="G109" i="1"/>
  <c r="F108" i="1"/>
  <c r="G108" i="1"/>
  <c r="E108" i="1"/>
  <c r="F107" i="1"/>
  <c r="G107" i="1"/>
  <c r="G60" i="1"/>
  <c r="G61" i="1"/>
  <c r="E61" i="1"/>
  <c r="F61" i="1"/>
  <c r="G62" i="1"/>
  <c r="E62" i="1"/>
  <c r="F62" i="1"/>
  <c r="S169" i="1" l="1"/>
  <c r="T169" i="1" s="1"/>
  <c r="Z169" i="1" s="1"/>
  <c r="H42" i="1"/>
  <c r="H108" i="1"/>
  <c r="H152" i="1"/>
  <c r="H196" i="1"/>
  <c r="E195" i="1"/>
  <c r="H195" i="1" s="1"/>
  <c r="H197" i="1"/>
  <c r="H153" i="1"/>
  <c r="E151" i="1"/>
  <c r="H151" i="1" s="1"/>
  <c r="H109" i="1"/>
  <c r="E107" i="1"/>
  <c r="H107" i="1" s="1"/>
  <c r="F60" i="1"/>
  <c r="E60" i="1"/>
  <c r="H60" i="1" s="1"/>
  <c r="H61" i="1"/>
  <c r="H62" i="1"/>
  <c r="G630" i="1" l="1"/>
  <c r="G631" i="1"/>
  <c r="G632" i="1"/>
  <c r="G633" i="1"/>
  <c r="G634" i="1"/>
  <c r="G635" i="1"/>
  <c r="G636" i="1"/>
  <c r="G637" i="1"/>
  <c r="E631" i="1" l="1"/>
  <c r="H631" i="1" s="1"/>
  <c r="E12" i="2"/>
  <c r="F3" i="5" l="1"/>
  <c r="A12" i="7"/>
  <c r="F631" i="1" l="1"/>
  <c r="G621" i="1" l="1"/>
  <c r="G382" i="1"/>
  <c r="G500" i="1"/>
  <c r="E382" i="1" l="1"/>
  <c r="H382" i="1" s="1"/>
  <c r="F382" i="1"/>
  <c r="G536" i="1" l="1"/>
  <c r="E411" i="1"/>
  <c r="G411" i="1"/>
  <c r="F298" i="1"/>
  <c r="E298" i="1"/>
  <c r="G298" i="1"/>
  <c r="I678" i="1"/>
  <c r="G653" i="1"/>
  <c r="G652" i="1"/>
  <c r="G651" i="1"/>
  <c r="G650" i="1"/>
  <c r="G649" i="1"/>
  <c r="G531" i="1"/>
  <c r="G530" i="1"/>
  <c r="G516" i="1"/>
  <c r="G515" i="1"/>
  <c r="G514" i="1"/>
  <c r="E632" i="1" l="1"/>
  <c r="H632" i="1" s="1"/>
  <c r="E633" i="1"/>
  <c r="H633" i="1" s="1"/>
  <c r="F632" i="1"/>
  <c r="E536" i="1"/>
  <c r="H536" i="1" s="1"/>
  <c r="F411" i="1"/>
  <c r="F536" i="1"/>
  <c r="H411" i="1"/>
  <c r="H298" i="1"/>
  <c r="E514" i="1"/>
  <c r="H514" i="1" s="1"/>
  <c r="E530" i="1"/>
  <c r="H530" i="1" s="1"/>
  <c r="E651" i="1"/>
  <c r="H651" i="1" s="1"/>
  <c r="E531" i="1"/>
  <c r="H531" i="1" s="1"/>
  <c r="E516" i="1"/>
  <c r="H516" i="1" s="1"/>
  <c r="E515" i="1"/>
  <c r="H515" i="1" s="1"/>
  <c r="F515" i="1"/>
  <c r="F514" i="1"/>
  <c r="F530" i="1"/>
  <c r="F531" i="1"/>
  <c r="F630" i="1" l="1"/>
  <c r="E634" i="1"/>
  <c r="H634" i="1" s="1"/>
  <c r="F636" i="1"/>
  <c r="E637" i="1"/>
  <c r="H637" i="1" s="1"/>
  <c r="E635" i="1"/>
  <c r="H635" i="1" s="1"/>
  <c r="F650" i="1"/>
  <c r="E500" i="1"/>
  <c r="H500" i="1" s="1"/>
  <c r="E621" i="1"/>
  <c r="H621" i="1" s="1"/>
  <c r="F500" i="1"/>
  <c r="F621" i="1"/>
  <c r="F651" i="1"/>
  <c r="E649" i="1"/>
  <c r="H649" i="1" s="1"/>
  <c r="E650" i="1"/>
  <c r="H650" i="1" s="1"/>
  <c r="E653" i="1"/>
  <c r="H653" i="1" s="1"/>
  <c r="F649" i="1"/>
  <c r="F653" i="1"/>
  <c r="E652" i="1"/>
  <c r="H652" i="1" s="1"/>
  <c r="F652" i="1"/>
  <c r="F516" i="1"/>
  <c r="G397" i="1"/>
  <c r="E397" i="1"/>
  <c r="G396" i="1"/>
  <c r="E396" i="1"/>
  <c r="E395" i="1"/>
  <c r="G395" i="1"/>
  <c r="G293" i="1"/>
  <c r="E293" i="1"/>
  <c r="E292" i="1"/>
  <c r="G292" i="1"/>
  <c r="G291" i="1"/>
  <c r="E291" i="1"/>
  <c r="G290" i="1"/>
  <c r="E290" i="1"/>
  <c r="G554" i="1"/>
  <c r="G429" i="1"/>
  <c r="G430" i="1"/>
  <c r="G431" i="1"/>
  <c r="E636" i="1" l="1"/>
  <c r="H636" i="1" s="1"/>
  <c r="F637" i="1"/>
  <c r="E630" i="1"/>
  <c r="H630" i="1" s="1"/>
  <c r="F635" i="1"/>
  <c r="H293" i="1"/>
  <c r="H397" i="1"/>
  <c r="H395" i="1"/>
  <c r="H290" i="1"/>
  <c r="H396" i="1"/>
  <c r="F397" i="1"/>
  <c r="F396" i="1"/>
  <c r="H291" i="1"/>
  <c r="H292" i="1"/>
  <c r="F291" i="1"/>
  <c r="F290" i="1"/>
  <c r="F293" i="1"/>
  <c r="F395" i="1" l="1"/>
  <c r="F292" i="1"/>
  <c r="F633" i="1" l="1"/>
  <c r="F634" i="1"/>
  <c r="G159" i="1" l="1"/>
  <c r="G158" i="1"/>
  <c r="G157" i="1"/>
  <c r="G156" i="1"/>
  <c r="G155" i="1"/>
  <c r="G115" i="1"/>
  <c r="G114" i="1"/>
  <c r="G113" i="1"/>
  <c r="G112" i="1"/>
  <c r="G111" i="1"/>
  <c r="G68" i="1"/>
  <c r="G67" i="1"/>
  <c r="G66" i="1"/>
  <c r="G65" i="1"/>
  <c r="G64" i="1"/>
  <c r="G4" i="1"/>
  <c r="G5" i="1"/>
  <c r="G6" i="1"/>
  <c r="G7" i="1"/>
  <c r="E113" i="1" l="1"/>
  <c r="H113" i="1" s="1"/>
  <c r="E159" i="1"/>
  <c r="H159" i="1" s="1"/>
  <c r="F157" i="1"/>
  <c r="E157" i="1"/>
  <c r="H157" i="1" s="1"/>
  <c r="E156" i="1"/>
  <c r="H156" i="1" s="1"/>
  <c r="E158" i="1"/>
  <c r="H158" i="1" s="1"/>
  <c r="F159" i="1"/>
  <c r="F158" i="1"/>
  <c r="F114" i="1"/>
  <c r="E114" i="1"/>
  <c r="H114" i="1" s="1"/>
  <c r="E115" i="1"/>
  <c r="H115" i="1" s="1"/>
  <c r="F115" i="1"/>
  <c r="F113" i="1"/>
  <c r="E112" i="1"/>
  <c r="H112" i="1" s="1"/>
  <c r="F112" i="1"/>
  <c r="E4" i="1"/>
  <c r="H4" i="1" s="1"/>
  <c r="F7" i="1"/>
  <c r="F6" i="1"/>
  <c r="F67" i="1"/>
  <c r="E67" i="1"/>
  <c r="H67" i="1" s="1"/>
  <c r="E68" i="1"/>
  <c r="H68" i="1" s="1"/>
  <c r="F68" i="1"/>
  <c r="E66" i="1"/>
  <c r="H66" i="1" s="1"/>
  <c r="F66" i="1"/>
  <c r="F5" i="1" l="1"/>
  <c r="E6" i="1"/>
  <c r="H6" i="1" s="1"/>
  <c r="E7" i="1"/>
  <c r="H7" i="1" s="1"/>
  <c r="E5" i="1"/>
  <c r="H5" i="1" s="1"/>
  <c r="F111" i="1"/>
  <c r="F156" i="1"/>
  <c r="E155" i="1"/>
  <c r="H155" i="1" s="1"/>
  <c r="F155" i="1"/>
  <c r="E111" i="1"/>
  <c r="H111" i="1" s="1"/>
  <c r="F4" i="1"/>
  <c r="E65" i="1"/>
  <c r="H65" i="1" s="1"/>
  <c r="E64" i="1"/>
  <c r="H64" i="1" s="1"/>
  <c r="F64" i="1"/>
  <c r="F65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F317" i="1"/>
  <c r="E261" i="1"/>
  <c r="F6" i="5"/>
  <c r="F5" i="5"/>
  <c r="F4" i="5"/>
  <c r="F2" i="5"/>
  <c r="A10" i="2"/>
  <c r="A8" i="2"/>
  <c r="A11" i="2"/>
  <c r="A9" i="2"/>
  <c r="G25" i="1" l="1"/>
  <c r="G26" i="1"/>
  <c r="G28" i="1"/>
  <c r="G32" i="1"/>
  <c r="G33" i="1"/>
  <c r="G34" i="1"/>
  <c r="G35" i="1"/>
  <c r="G37" i="1"/>
  <c r="G38" i="1"/>
  <c r="G40" i="1"/>
  <c r="G41" i="1"/>
  <c r="G45" i="1"/>
  <c r="G46" i="1"/>
  <c r="G72" i="1"/>
  <c r="G73" i="1"/>
  <c r="G74" i="1"/>
  <c r="G75" i="1"/>
  <c r="G76" i="1"/>
  <c r="G78" i="1"/>
  <c r="G79" i="1"/>
  <c r="G80" i="1"/>
  <c r="G82" i="1"/>
  <c r="G84" i="1"/>
  <c r="G85" i="1"/>
  <c r="G87" i="1"/>
  <c r="G88" i="1"/>
  <c r="G90" i="1"/>
  <c r="G91" i="1"/>
  <c r="G93" i="1"/>
  <c r="G94" i="1"/>
  <c r="G9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30" i="1"/>
  <c r="G131" i="1"/>
  <c r="G132" i="1"/>
  <c r="G133" i="1"/>
  <c r="G135" i="1"/>
  <c r="G136" i="1"/>
  <c r="G137" i="1"/>
  <c r="G138" i="1"/>
  <c r="G13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4" i="1"/>
  <c r="G176" i="1"/>
  <c r="G177" i="1"/>
  <c r="G179" i="1"/>
  <c r="G180" i="1"/>
  <c r="G181" i="1"/>
  <c r="G182" i="1"/>
  <c r="G183" i="1"/>
  <c r="G252" i="1"/>
  <c r="G274" i="1"/>
  <c r="G294" i="1"/>
  <c r="G295" i="1"/>
  <c r="G296" i="1"/>
  <c r="G297" i="1"/>
  <c r="G299" i="1"/>
  <c r="G309" i="1"/>
  <c r="G310" i="1"/>
  <c r="G311" i="1"/>
  <c r="G320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7" i="1"/>
  <c r="G378" i="1"/>
  <c r="G379" i="1"/>
  <c r="G380" i="1"/>
  <c r="G381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409" i="1"/>
  <c r="G410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32" i="1"/>
  <c r="G433" i="1"/>
  <c r="G434" i="1"/>
  <c r="G435" i="1"/>
  <c r="G436" i="1"/>
  <c r="G437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4" i="1"/>
  <c r="G495" i="1"/>
  <c r="G496" i="1"/>
  <c r="G497" i="1"/>
  <c r="G498" i="1"/>
  <c r="G499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34" i="1"/>
  <c r="G535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5" i="1"/>
  <c r="G556" i="1"/>
  <c r="G557" i="1"/>
  <c r="G558" i="1"/>
  <c r="G559" i="1"/>
  <c r="G560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2" i="1"/>
  <c r="G623" i="1"/>
  <c r="G624" i="1"/>
  <c r="G625" i="1"/>
  <c r="G626" i="1"/>
  <c r="G627" i="1"/>
  <c r="G628" i="1"/>
  <c r="G629" i="1"/>
  <c r="G647" i="1"/>
  <c r="G648" i="1"/>
  <c r="G656" i="1"/>
  <c r="G657" i="1"/>
  <c r="G659" i="1"/>
  <c r="G658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8" i="1"/>
  <c r="G11" i="1"/>
  <c r="G13" i="1"/>
  <c r="G15" i="1"/>
  <c r="G17" i="1"/>
  <c r="G19" i="1"/>
  <c r="G20" i="1"/>
  <c r="G23" i="1"/>
  <c r="F116" i="1"/>
  <c r="F160" i="1"/>
  <c r="E69" i="1"/>
  <c r="E116" i="1"/>
  <c r="E160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8" i="1"/>
  <c r="F659" i="1"/>
  <c r="F657" i="1"/>
  <c r="F656" i="1"/>
  <c r="F648" i="1"/>
  <c r="F647" i="1"/>
  <c r="F629" i="1"/>
  <c r="F628" i="1"/>
  <c r="F627" i="1"/>
  <c r="F626" i="1"/>
  <c r="F625" i="1"/>
  <c r="F624" i="1"/>
  <c r="F623" i="1"/>
  <c r="F622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0" i="1"/>
  <c r="F559" i="1"/>
  <c r="F558" i="1"/>
  <c r="F557" i="1"/>
  <c r="F556" i="1"/>
  <c r="F555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5" i="1"/>
  <c r="F53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499" i="1"/>
  <c r="F498" i="1"/>
  <c r="F497" i="1"/>
  <c r="F496" i="1"/>
  <c r="F495" i="1"/>
  <c r="F494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37" i="1"/>
  <c r="F436" i="1"/>
  <c r="F435" i="1"/>
  <c r="F434" i="1"/>
  <c r="F433" i="1"/>
  <c r="F432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0" i="1"/>
  <c r="F409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0" i="1"/>
  <c r="F319" i="1"/>
  <c r="F318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7" i="1"/>
  <c r="F295" i="1"/>
  <c r="F294" i="1"/>
  <c r="F274" i="1"/>
  <c r="F252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183" i="1"/>
  <c r="F182" i="1"/>
  <c r="F181" i="1"/>
  <c r="F180" i="1"/>
  <c r="F179" i="1"/>
  <c r="F177" i="1"/>
  <c r="F176" i="1"/>
  <c r="F174" i="1"/>
  <c r="F171" i="1"/>
  <c r="F170" i="1"/>
  <c r="F169" i="1"/>
  <c r="F168" i="1"/>
  <c r="F167" i="1"/>
  <c r="F166" i="1"/>
  <c r="F165" i="1"/>
  <c r="F164" i="1"/>
  <c r="F163" i="1"/>
  <c r="F162" i="1"/>
  <c r="F161" i="1"/>
  <c r="F139" i="1"/>
  <c r="F138" i="1"/>
  <c r="F137" i="1"/>
  <c r="F136" i="1"/>
  <c r="F135" i="1"/>
  <c r="F133" i="1"/>
  <c r="F132" i="1"/>
  <c r="F131" i="1"/>
  <c r="F130" i="1"/>
  <c r="F127" i="1"/>
  <c r="F126" i="1"/>
  <c r="F125" i="1"/>
  <c r="F124" i="1"/>
  <c r="F123" i="1"/>
  <c r="F122" i="1"/>
  <c r="F121" i="1"/>
  <c r="F120" i="1"/>
  <c r="F119" i="1"/>
  <c r="F118" i="1"/>
  <c r="F117" i="1"/>
  <c r="F95" i="1"/>
  <c r="F94" i="1"/>
  <c r="F93" i="1"/>
  <c r="F91" i="1"/>
  <c r="F90" i="1"/>
  <c r="F88" i="1"/>
  <c r="F87" i="1"/>
  <c r="F85" i="1"/>
  <c r="F84" i="1"/>
  <c r="F82" i="1"/>
  <c r="F80" i="1"/>
  <c r="F79" i="1"/>
  <c r="F78" i="1"/>
  <c r="F76" i="1"/>
  <c r="F75" i="1"/>
  <c r="F74" i="1"/>
  <c r="F73" i="1"/>
  <c r="F72" i="1"/>
  <c r="F46" i="1"/>
  <c r="F45" i="1"/>
  <c r="F41" i="1"/>
  <c r="F40" i="1"/>
  <c r="F38" i="1"/>
  <c r="F37" i="1"/>
  <c r="F35" i="1"/>
  <c r="F34" i="1"/>
  <c r="F26" i="1"/>
  <c r="F25" i="1"/>
  <c r="F19" i="1"/>
  <c r="F13" i="1"/>
  <c r="F11" i="1"/>
  <c r="F172" i="1" l="1"/>
  <c r="H160" i="1"/>
  <c r="H116" i="1"/>
  <c r="F33" i="1"/>
  <c r="F17" i="1"/>
  <c r="F28" i="1"/>
  <c r="F15" i="1"/>
  <c r="F20" i="1" l="1"/>
  <c r="F23" i="1"/>
  <c r="F32" i="1"/>
  <c r="F8" i="1"/>
  <c r="E677" i="1" l="1"/>
  <c r="H677" i="1" s="1"/>
  <c r="E560" i="1"/>
  <c r="H560" i="1" s="1"/>
  <c r="E437" i="1"/>
  <c r="H437" i="1" s="1"/>
  <c r="E320" i="1"/>
  <c r="H320" i="1" s="1"/>
  <c r="E180" i="1"/>
  <c r="H180" i="1" s="1"/>
  <c r="E179" i="1"/>
  <c r="H179" i="1" s="1"/>
  <c r="E136" i="1"/>
  <c r="H136" i="1" s="1"/>
  <c r="E135" i="1"/>
  <c r="H135" i="1" s="1"/>
  <c r="E91" i="1"/>
  <c r="H91" i="1" s="1"/>
  <c r="E90" i="1"/>
  <c r="H90" i="1" s="1"/>
  <c r="E40" i="1"/>
  <c r="H40" i="1" s="1"/>
  <c r="E38" i="1"/>
  <c r="H38" i="1" s="1"/>
  <c r="E37" i="1"/>
  <c r="H37" i="1" s="1"/>
  <c r="E8" i="1" l="1"/>
  <c r="H8" i="1" s="1"/>
  <c r="E11" i="1"/>
  <c r="H11" i="1" s="1"/>
  <c r="E13" i="1"/>
  <c r="H13" i="1" s="1"/>
  <c r="E15" i="1"/>
  <c r="H15" i="1" s="1"/>
  <c r="E17" i="1"/>
  <c r="H17" i="1" s="1"/>
  <c r="E19" i="1"/>
  <c r="H19" i="1" s="1"/>
  <c r="E20" i="1"/>
  <c r="H20" i="1" s="1"/>
  <c r="E23" i="1"/>
  <c r="H23" i="1" s="1"/>
  <c r="E25" i="1"/>
  <c r="H25" i="1" s="1"/>
  <c r="E26" i="1"/>
  <c r="H26" i="1" s="1"/>
  <c r="E28" i="1"/>
  <c r="H28" i="1" s="1"/>
  <c r="E32" i="1"/>
  <c r="H32" i="1" s="1"/>
  <c r="E33" i="1"/>
  <c r="H33" i="1" s="1"/>
  <c r="E34" i="1"/>
  <c r="H34" i="1" s="1"/>
  <c r="E35" i="1"/>
  <c r="H35" i="1" s="1"/>
  <c r="E41" i="1"/>
  <c r="H41" i="1" s="1"/>
  <c r="E45" i="1"/>
  <c r="H45" i="1" s="1"/>
  <c r="E46" i="1"/>
  <c r="H46" i="1" s="1"/>
  <c r="E71" i="1"/>
  <c r="E72" i="1"/>
  <c r="H72" i="1" s="1"/>
  <c r="E73" i="1"/>
  <c r="H73" i="1" s="1"/>
  <c r="E74" i="1"/>
  <c r="H74" i="1" s="1"/>
  <c r="E75" i="1"/>
  <c r="H75" i="1" s="1"/>
  <c r="E76" i="1"/>
  <c r="H76" i="1" s="1"/>
  <c r="E77" i="1"/>
  <c r="E78" i="1"/>
  <c r="H78" i="1" s="1"/>
  <c r="E79" i="1"/>
  <c r="H79" i="1" s="1"/>
  <c r="E80" i="1"/>
  <c r="H80" i="1" s="1"/>
  <c r="E82" i="1"/>
  <c r="H82" i="1" s="1"/>
  <c r="E83" i="1"/>
  <c r="E84" i="1"/>
  <c r="H84" i="1" s="1"/>
  <c r="E85" i="1"/>
  <c r="H85" i="1" s="1"/>
  <c r="E86" i="1"/>
  <c r="E87" i="1"/>
  <c r="H87" i="1" s="1"/>
  <c r="E88" i="1"/>
  <c r="H88" i="1" s="1"/>
  <c r="E93" i="1"/>
  <c r="H93" i="1" s="1"/>
  <c r="E94" i="1"/>
  <c r="H94" i="1" s="1"/>
  <c r="E95" i="1"/>
  <c r="H95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E130" i="1"/>
  <c r="H130" i="1" s="1"/>
  <c r="E131" i="1"/>
  <c r="H131" i="1" s="1"/>
  <c r="E132" i="1"/>
  <c r="H132" i="1" s="1"/>
  <c r="E133" i="1"/>
  <c r="H133" i="1" s="1"/>
  <c r="E137" i="1"/>
  <c r="H137" i="1" s="1"/>
  <c r="E138" i="1"/>
  <c r="H138" i="1" s="1"/>
  <c r="E139" i="1"/>
  <c r="H139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4" i="1"/>
  <c r="H174" i="1" s="1"/>
  <c r="E176" i="1"/>
  <c r="H176" i="1" s="1"/>
  <c r="E177" i="1"/>
  <c r="H177" i="1" s="1"/>
  <c r="E181" i="1"/>
  <c r="H181" i="1" s="1"/>
  <c r="E182" i="1"/>
  <c r="H182" i="1" s="1"/>
  <c r="E183" i="1"/>
  <c r="H183" i="1" s="1"/>
  <c r="E199" i="1"/>
  <c r="E200" i="1"/>
  <c r="E201" i="1"/>
  <c r="E202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E245" i="1"/>
  <c r="E246" i="1"/>
  <c r="E247" i="1"/>
  <c r="E248" i="1"/>
  <c r="E249" i="1"/>
  <c r="E250" i="1"/>
  <c r="E251" i="1"/>
  <c r="E252" i="1"/>
  <c r="H252" i="1" s="1"/>
  <c r="E254" i="1"/>
  <c r="E255" i="1"/>
  <c r="E256" i="1"/>
  <c r="E257" i="1"/>
  <c r="E258" i="1"/>
  <c r="E259" i="1"/>
  <c r="E260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H274" i="1" s="1"/>
  <c r="E294" i="1"/>
  <c r="H294" i="1" s="1"/>
  <c r="E295" i="1"/>
  <c r="H295" i="1" s="1"/>
  <c r="E296" i="1"/>
  <c r="H296" i="1" s="1"/>
  <c r="E297" i="1"/>
  <c r="H297" i="1" s="1"/>
  <c r="E299" i="1"/>
  <c r="H299" i="1" s="1"/>
  <c r="E309" i="1"/>
  <c r="H309" i="1" s="1"/>
  <c r="E310" i="1"/>
  <c r="H310" i="1" s="1"/>
  <c r="E311" i="1"/>
  <c r="H31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7" i="1"/>
  <c r="H377" i="1" s="1"/>
  <c r="E378" i="1"/>
  <c r="H378" i="1" s="1"/>
  <c r="E379" i="1"/>
  <c r="H379" i="1" s="1"/>
  <c r="E380" i="1"/>
  <c r="H380" i="1" s="1"/>
  <c r="E381" i="1"/>
  <c r="H381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409" i="1"/>
  <c r="H409" i="1" s="1"/>
  <c r="E410" i="1"/>
  <c r="H410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32" i="1"/>
  <c r="H432" i="1" s="1"/>
  <c r="E433" i="1"/>
  <c r="H433" i="1" s="1"/>
  <c r="E434" i="1"/>
  <c r="H434" i="1" s="1"/>
  <c r="E435" i="1"/>
  <c r="H435" i="1" s="1"/>
  <c r="E436" i="1"/>
  <c r="H436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32" i="1"/>
  <c r="E533" i="1"/>
  <c r="E534" i="1"/>
  <c r="H534" i="1" s="1"/>
  <c r="E535" i="1"/>
  <c r="H535" i="1" s="1"/>
  <c r="E537" i="1"/>
  <c r="H537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5" i="1"/>
  <c r="H555" i="1" s="1"/>
  <c r="E556" i="1"/>
  <c r="H556" i="1" s="1"/>
  <c r="E557" i="1"/>
  <c r="H557" i="1" s="1"/>
  <c r="E558" i="1"/>
  <c r="H558" i="1" s="1"/>
  <c r="E559" i="1"/>
  <c r="H559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H628" i="1" s="1"/>
  <c r="E629" i="1"/>
  <c r="H629" i="1" s="1"/>
  <c r="E647" i="1"/>
  <c r="H647" i="1" s="1"/>
  <c r="E648" i="1"/>
  <c r="H648" i="1" s="1"/>
  <c r="E654" i="1"/>
  <c r="E655" i="1"/>
  <c r="E656" i="1"/>
  <c r="H656" i="1" s="1"/>
  <c r="E657" i="1"/>
  <c r="H657" i="1" s="1"/>
  <c r="E659" i="1"/>
  <c r="H659" i="1" s="1"/>
  <c r="E658" i="1"/>
  <c r="H658" i="1" s="1"/>
  <c r="E660" i="1"/>
  <c r="H660" i="1" s="1"/>
  <c r="E661" i="1"/>
  <c r="H661" i="1" s="1"/>
  <c r="E662" i="1"/>
  <c r="H662" i="1" s="1"/>
  <c r="E663" i="1"/>
  <c r="H663" i="1" s="1"/>
  <c r="E664" i="1"/>
  <c r="H664" i="1" s="1"/>
  <c r="E665" i="1"/>
  <c r="H665" i="1" s="1"/>
  <c r="E666" i="1"/>
  <c r="H666" i="1" s="1"/>
  <c r="E667" i="1"/>
  <c r="H667" i="1" s="1"/>
  <c r="E668" i="1"/>
  <c r="H668" i="1" s="1"/>
  <c r="E669" i="1"/>
  <c r="H669" i="1" s="1"/>
  <c r="E670" i="1"/>
  <c r="H670" i="1" s="1"/>
  <c r="E671" i="1"/>
  <c r="H671" i="1" s="1"/>
  <c r="E672" i="1"/>
  <c r="H672" i="1" s="1"/>
  <c r="E673" i="1"/>
  <c r="H673" i="1" s="1"/>
  <c r="E674" i="1"/>
  <c r="H674" i="1" s="1"/>
  <c r="E675" i="1"/>
  <c r="H675" i="1" s="1"/>
  <c r="E676" i="1"/>
  <c r="H676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296" i="1" l="1"/>
  <c r="F429" i="1" l="1"/>
  <c r="E430" i="1" l="1"/>
  <c r="H430" i="1" s="1"/>
  <c r="F430" i="1"/>
  <c r="E554" i="1"/>
  <c r="H554" i="1" s="1"/>
  <c r="E429" i="1"/>
  <c r="H429" i="1" s="1"/>
  <c r="F554" i="1" l="1"/>
  <c r="F431" i="1" l="1"/>
  <c r="E431" i="1" l="1"/>
  <c r="H431" i="1" s="1"/>
  <c r="F259" i="1" l="1"/>
  <c r="F271" i="1"/>
  <c r="F268" i="1"/>
  <c r="F272" i="1"/>
  <c r="F257" i="1"/>
  <c r="F265" i="1"/>
  <c r="F269" i="1"/>
  <c r="F273" i="1"/>
  <c r="F258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75" i="1"/>
  <c r="G129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39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73" i="1"/>
  <c r="BE9" i="3"/>
  <c r="AS9" i="3"/>
  <c r="BM9" i="3"/>
  <c r="BQ9" i="3"/>
  <c r="G312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407" i="1"/>
  <c r="CG9" i="3"/>
  <c r="AJ9" i="3"/>
  <c r="BW9" i="3"/>
  <c r="AU9" i="3"/>
  <c r="AR9" i="3"/>
  <c r="AY9" i="3"/>
  <c r="BR9" i="3"/>
  <c r="AD9" i="3"/>
  <c r="BK9" i="3"/>
  <c r="BZ9" i="3"/>
  <c r="G302" i="1"/>
  <c r="F204" i="1"/>
  <c r="G315" i="1"/>
  <c r="G307" i="1"/>
  <c r="G300" i="1"/>
  <c r="G314" i="1"/>
  <c r="G319" i="1"/>
  <c r="G303" i="1"/>
  <c r="G304" i="1"/>
  <c r="G313" i="1"/>
  <c r="G305" i="1"/>
  <c r="G301" i="1"/>
  <c r="G308" i="1"/>
  <c r="G533" i="1"/>
  <c r="H533" i="1" s="1"/>
  <c r="G247" i="1"/>
  <c r="H247" i="1" s="1"/>
  <c r="G212" i="1"/>
  <c r="H212" i="1" s="1"/>
  <c r="G206" i="1"/>
  <c r="H206" i="1" s="1"/>
  <c r="G217" i="1"/>
  <c r="H217" i="1" s="1"/>
  <c r="G269" i="1"/>
  <c r="H269" i="1" s="1"/>
  <c r="G227" i="1"/>
  <c r="H227" i="1" s="1"/>
  <c r="G200" i="1"/>
  <c r="H200" i="1" s="1"/>
  <c r="G202" i="1"/>
  <c r="H202" i="1" s="1"/>
  <c r="G208" i="1"/>
  <c r="H208" i="1" s="1"/>
  <c r="G223" i="1"/>
  <c r="H223" i="1" s="1"/>
  <c r="G263" i="1"/>
  <c r="H263" i="1" s="1"/>
  <c r="G83" i="1"/>
  <c r="H83" i="1" s="1"/>
  <c r="G655" i="1"/>
  <c r="H655" i="1" s="1"/>
  <c r="F203" i="1"/>
  <c r="G203" i="1"/>
  <c r="G224" i="1"/>
  <c r="H224" i="1" s="1"/>
  <c r="G215" i="1"/>
  <c r="H215" i="1" s="1"/>
  <c r="G271" i="1"/>
  <c r="H271" i="1" s="1"/>
  <c r="G273" i="1"/>
  <c r="H273" i="1" s="1"/>
  <c r="G201" i="1"/>
  <c r="H201" i="1" s="1"/>
  <c r="G216" i="1"/>
  <c r="H216" i="1" s="1"/>
  <c r="G211" i="1"/>
  <c r="H211" i="1" s="1"/>
  <c r="G267" i="1"/>
  <c r="H267" i="1" s="1"/>
  <c r="G256" i="1"/>
  <c r="H256" i="1" s="1"/>
  <c r="G248" i="1"/>
  <c r="H248" i="1" s="1"/>
  <c r="G220" i="1"/>
  <c r="H220" i="1" s="1"/>
  <c r="G205" i="1"/>
  <c r="H205" i="1" s="1"/>
  <c r="G272" i="1"/>
  <c r="H272" i="1" s="1"/>
  <c r="G244" i="1"/>
  <c r="H244" i="1" s="1"/>
  <c r="G246" i="1"/>
  <c r="H246" i="1" s="1"/>
  <c r="G225" i="1"/>
  <c r="H225" i="1" s="1"/>
  <c r="G219" i="1"/>
  <c r="H219" i="1" s="1"/>
  <c r="G270" i="1"/>
  <c r="H270" i="1" s="1"/>
  <c r="G261" i="1"/>
  <c r="H261" i="1" s="1"/>
  <c r="G204" i="1"/>
  <c r="G71" i="1"/>
  <c r="H71" i="1" s="1"/>
  <c r="G254" i="1"/>
  <c r="H254" i="1" s="1"/>
  <c r="G266" i="1"/>
  <c r="H266" i="1" s="1"/>
  <c r="G213" i="1"/>
  <c r="H213" i="1" s="1"/>
  <c r="G532" i="1"/>
  <c r="H532" i="1" s="1"/>
  <c r="G250" i="1"/>
  <c r="H250" i="1" s="1"/>
  <c r="G262" i="1"/>
  <c r="H262" i="1" s="1"/>
  <c r="G268" i="1"/>
  <c r="H268" i="1" s="1"/>
  <c r="G258" i="1"/>
  <c r="H258" i="1" s="1"/>
  <c r="G260" i="1"/>
  <c r="H260" i="1" s="1"/>
  <c r="G207" i="1"/>
  <c r="H207" i="1" s="1"/>
  <c r="G654" i="1"/>
  <c r="H654" i="1" s="1"/>
  <c r="G226" i="1"/>
  <c r="H226" i="1" s="1"/>
  <c r="G221" i="1"/>
  <c r="H221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69" i="1"/>
  <c r="H69" i="1" s="1"/>
  <c r="G264" i="1"/>
  <c r="H264" i="1" s="1"/>
  <c r="G222" i="1"/>
  <c r="H222" i="1" s="1"/>
  <c r="G249" i="1"/>
  <c r="H249" i="1" s="1"/>
  <c r="G209" i="1"/>
  <c r="H209" i="1" s="1"/>
  <c r="G259" i="1"/>
  <c r="H259" i="1" s="1"/>
  <c r="G265" i="1"/>
  <c r="H265" i="1" s="1"/>
  <c r="G218" i="1"/>
  <c r="H218" i="1" s="1"/>
  <c r="G245" i="1"/>
  <c r="H245" i="1" s="1"/>
  <c r="G251" i="1"/>
  <c r="H251" i="1" s="1"/>
  <c r="G210" i="1"/>
  <c r="H210" i="1" s="1"/>
  <c r="G255" i="1"/>
  <c r="H255" i="1" s="1"/>
  <c r="G86" i="1"/>
  <c r="H86" i="1" s="1"/>
  <c r="G214" i="1"/>
  <c r="H214" i="1" s="1"/>
  <c r="G257" i="1"/>
  <c r="H257" i="1" s="1"/>
  <c r="G77" i="1"/>
  <c r="H77" i="1" s="1"/>
  <c r="G128" i="1"/>
  <c r="H128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199" i="1"/>
  <c r="H199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G89" i="1"/>
  <c r="F89" i="1"/>
  <c r="E89" i="1"/>
  <c r="E129" i="1"/>
  <c r="F129" i="1"/>
  <c r="F215" i="1"/>
  <c r="F223" i="1"/>
  <c r="F251" i="1"/>
  <c r="E300" i="1"/>
  <c r="E312" i="1"/>
  <c r="G442" i="1"/>
  <c r="F200" i="1"/>
  <c r="F212" i="1"/>
  <c r="F220" i="1"/>
  <c r="F248" i="1"/>
  <c r="F256" i="1"/>
  <c r="E301" i="1"/>
  <c r="G317" i="1"/>
  <c r="E317" i="1"/>
  <c r="G178" i="1"/>
  <c r="F178" i="1"/>
  <c r="F205" i="1"/>
  <c r="F213" i="1"/>
  <c r="F217" i="1"/>
  <c r="F221" i="1"/>
  <c r="F225" i="1"/>
  <c r="F245" i="1"/>
  <c r="F249" i="1"/>
  <c r="F261" i="1"/>
  <c r="E302" i="1"/>
  <c r="G306" i="1"/>
  <c r="E306" i="1"/>
  <c r="E314" i="1"/>
  <c r="G318" i="1"/>
  <c r="E318" i="1"/>
  <c r="G440" i="1"/>
  <c r="F440" i="1"/>
  <c r="F71" i="1"/>
  <c r="F207" i="1"/>
  <c r="F211" i="1"/>
  <c r="F219" i="1"/>
  <c r="F227" i="1"/>
  <c r="F247" i="1"/>
  <c r="F255" i="1"/>
  <c r="F263" i="1"/>
  <c r="F267" i="1"/>
  <c r="E304" i="1"/>
  <c r="E308" i="1"/>
  <c r="G408" i="1"/>
  <c r="E408" i="1"/>
  <c r="F175" i="1"/>
  <c r="E204" i="1"/>
  <c r="F208" i="1"/>
  <c r="F216" i="1"/>
  <c r="F224" i="1"/>
  <c r="F244" i="1"/>
  <c r="F260" i="1"/>
  <c r="F264" i="1"/>
  <c r="E305" i="1"/>
  <c r="E313" i="1"/>
  <c r="F439" i="1"/>
  <c r="F201" i="1"/>
  <c r="F209" i="1"/>
  <c r="F69" i="1"/>
  <c r="F77" i="1"/>
  <c r="F86" i="1"/>
  <c r="F83" i="1"/>
  <c r="F128" i="1"/>
  <c r="G134" i="1"/>
  <c r="F134" i="1"/>
  <c r="E134" i="1"/>
  <c r="I28" i="3"/>
  <c r="AU28" i="3"/>
  <c r="CP28" i="3"/>
  <c r="BN28" i="3"/>
  <c r="Y28" i="3"/>
  <c r="Y30" i="3"/>
  <c r="F202" i="1"/>
  <c r="F206" i="1"/>
  <c r="F210" i="1"/>
  <c r="F214" i="1"/>
  <c r="F218" i="1"/>
  <c r="F222" i="1"/>
  <c r="F226" i="1"/>
  <c r="F246" i="1"/>
  <c r="F250" i="1"/>
  <c r="F254" i="1"/>
  <c r="F262" i="1"/>
  <c r="F266" i="1"/>
  <c r="F270" i="1"/>
  <c r="E303" i="1"/>
  <c r="E307" i="1"/>
  <c r="E315" i="1"/>
  <c r="E319" i="1"/>
  <c r="G441" i="1"/>
  <c r="H319" i="1" l="1"/>
  <c r="H304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08" i="1"/>
  <c r="H204" i="1"/>
  <c r="H303" i="1"/>
  <c r="H314" i="1"/>
  <c r="H129" i="1"/>
  <c r="H312" i="1"/>
  <c r="H89" i="1"/>
  <c r="H306" i="1"/>
  <c r="O28" i="3"/>
  <c r="BY28" i="3"/>
  <c r="AP28" i="3"/>
  <c r="BS28" i="3"/>
  <c r="G28" i="3"/>
  <c r="AF28" i="3"/>
  <c r="H408" i="1"/>
  <c r="BM28" i="3"/>
  <c r="CN28" i="3"/>
  <c r="BA28" i="3"/>
  <c r="H134" i="1"/>
  <c r="AM28" i="3"/>
  <c r="CE28" i="3"/>
  <c r="V28" i="3"/>
  <c r="R28" i="3"/>
  <c r="E175" i="1"/>
  <c r="H175" i="1" s="1"/>
  <c r="L28" i="3"/>
  <c r="AX28" i="3"/>
  <c r="BI28" i="3"/>
  <c r="BH28" i="3"/>
  <c r="BO28" i="3"/>
  <c r="BZ28" i="3"/>
  <c r="BU28" i="3"/>
  <c r="CJ28" i="3"/>
  <c r="F28" i="3"/>
  <c r="M28" i="3"/>
  <c r="X28" i="3"/>
  <c r="E173" i="1"/>
  <c r="H173" i="1" s="1"/>
  <c r="CM28" i="3"/>
  <c r="BB28" i="3"/>
  <c r="BP8" i="3"/>
  <c r="BZ8" i="3"/>
  <c r="E407" i="1"/>
  <c r="H407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203" i="1"/>
  <c r="H203" i="1" s="1"/>
  <c r="CP7" i="3"/>
  <c r="CS7" i="3"/>
  <c r="E441" i="1"/>
  <c r="H441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73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18" i="1"/>
  <c r="E439" i="1"/>
  <c r="H439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17" i="1"/>
  <c r="F442" i="1"/>
  <c r="E442" i="1"/>
  <c r="H442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199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13" i="1"/>
  <c r="H300" i="1"/>
  <c r="H302" i="1"/>
  <c r="E440" i="1"/>
  <c r="H440" i="1" s="1"/>
  <c r="E178" i="1"/>
  <c r="H178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301" i="1"/>
  <c r="H307" i="1"/>
  <c r="AW21" i="3"/>
  <c r="L21" i="3"/>
  <c r="BK21" i="3"/>
  <c r="BS21" i="3"/>
  <c r="H305" i="1"/>
  <c r="H315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407" i="1"/>
  <c r="O8" i="2" a="1"/>
  <c r="O8" i="2" s="1"/>
  <c r="F408" i="1"/>
  <c r="CP22" i="3"/>
  <c r="G8" i="2" a="1"/>
  <c r="G8" i="2" s="1"/>
  <c r="F441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32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55" i="1"/>
  <c r="F533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54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A14" i="7" s="1" a="1"/>
  <c r="AA14" i="7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CG16" i="3"/>
  <c r="CG37" i="3" s="1"/>
  <c r="CK16" i="3"/>
  <c r="CK37" i="3" s="1"/>
  <c r="BU16" i="3"/>
  <c r="BU37" i="3" s="1"/>
  <c r="CC16" i="3"/>
  <c r="CC37" i="3" s="1"/>
  <c r="AB16" i="3"/>
  <c r="AB37" i="3" s="1"/>
  <c r="Z14" i="7" s="1" a="1"/>
  <c r="Z14" i="7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AA17" i="7" l="1"/>
  <c r="Z17" i="7"/>
  <c r="V17" i="7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<sst xmlns="http://schemas.openxmlformats.org/spreadsheetml/2006/main" count="2804" uniqueCount="1217">
  <si>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</si>
  <si>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</si>
  <si>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</si>
  <si>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</si>
  <si>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</si>
  <si>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</si>
  <si>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</si>
  <si>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</si>
  <si>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</si>
  <si>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</si>
  <si>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</si>
  <si>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</si>
  <si>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</si>
  <si>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</si>
  <si>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</si>
  <si>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</si>
  <si>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</si>
  <si>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</si>
  <si>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</si>
  <si>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</si>
  <si>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</si>
  <si>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</si>
  <si>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</si>
  <si>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</si>
  <si>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</si>
  <si>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</si>
  <si>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</si>
  <si>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</si>
  <si>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</si>
  <si>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</si>
  <si>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</si>
  <si>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</si>
  <si>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</si>
  <si>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</si>
  <si>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</si>
  <si>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</si>
  <si>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</si>
  <si>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</si>
  <si>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</si>
  <si>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</si>
  <si>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</si>
  <si>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</si>
  <si>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</si>
  <si>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</si>
  <si>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</si>
  <si>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</si>
  <si>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</si>
  <si>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</si>
  <si>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</si>
  <si>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</si>
  <si>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</si>
  <si>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</si>
  <si>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</si>
  <si>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</si>
  <si>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</si>
  <si>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</si>
  <si>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</si>
  <si>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</si>
  <si>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</si>
  <si>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</si>
  <si>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</si>
  <si>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</si>
  <si>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</si>
  <si>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</si>
  <si>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</si>
  <si>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</si>
  <si>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</si>
  <si>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</si>
  <si>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</si>
  <si>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</si>
  <si>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</si>
  <si>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</si>
  <si>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</si>
  <si>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</si>
  <si>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</si>
  <si>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</si>
  <si>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</si>
  <si>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</si>
  <si>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MM-ZTK-1F-ZWP21-STR-CAL-2015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</si>
  <si>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</si>
  <si>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</si>
  <si>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</si>
  <si>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</si>
  <si>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</si>
  <si>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</si>
  <si>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</si>
  <si>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</si>
  <si>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</si>
  <si>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</si>
  <si>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</si>
  <si>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</si>
  <si>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</si>
  <si>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</si>
  <si>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</si>
  <si>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</si>
  <si>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</si>
  <si>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</si>
  <si>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MM-ZTK-1F-ZWP21-STR-CAL-2050</t>
  </si>
  <si>
    <t>ZWP21 JACKET CONSTRUCTION MODEL REPORT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</si>
  <si>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</si>
  <si>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</si>
  <si>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</si>
  <si>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</si>
  <si>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</si>
  <si>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</si>
  <si>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</si>
  <si>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</si>
  <si>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MM-ZTK-1F-ZWP23-STR-CAL-2011</t>
  </si>
  <si>
    <t>ZWP23 JACKET IN-PLACE ANALYSIS</t>
  </si>
  <si>
    <t>MM-ZTK-1F-ZWP23-STR-CAL-2012</t>
  </si>
  <si>
    <t>ZWP23 JACKET DYNAMIC ANALYSIS</t>
  </si>
  <si>
    <t>MM-ZTK-1F-ZWP23-STR-CAL-2014</t>
  </si>
  <si>
    <t>ZWP23 JACKET LOADOUT ANALYSIS</t>
  </si>
  <si>
    <t>MM-ZTK-1F-ZWP23-STR-CAL-2015</t>
  </si>
  <si>
    <t>ZWP23 JACKET TRANSPORTATION ANALYSIS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</si>
  <si>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</si>
  <si>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</si>
  <si>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</si>
  <si>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</si>
  <si>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</si>
  <si>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</si>
  <si>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</si>
  <si>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</si>
  <si>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</si>
  <si>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</si>
  <si>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</si>
  <si>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</si>
  <si>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</si>
  <si>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</si>
  <si>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</si>
  <si>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</si>
  <si>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</si>
  <si>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</si>
  <si>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</si>
  <si>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</si>
  <si>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</si>
  <si>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</si>
  <si>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</si>
  <si>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</si>
  <si>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</si>
  <si>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BARGE MOTION ANALYSIS</t>
  </si>
  <si>
    <t>ZWP23 JACKET LAUNCH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</si>
  <si>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</si>
  <si>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</si>
  <si>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</si>
  <si>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</si>
  <si>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</si>
  <si>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</si>
  <si>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</si>
  <si>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</si>
  <si>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</si>
  <si>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</si>
  <si>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</si>
  <si>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</si>
  <si>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</si>
  <si>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</si>
  <si>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</si>
  <si>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</si>
  <si>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</si>
  <si>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</si>
  <si>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</si>
  <si>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</si>
  <si>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</si>
  <si>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</si>
  <si>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</si>
  <si>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</si>
  <si>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</si>
  <si>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</si>
  <si>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</si>
  <si>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</si>
  <si>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</si>
  <si>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</si>
  <si>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</si>
  <si>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</si>
  <si>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</si>
  <si>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</si>
  <si>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</si>
  <si>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</si>
  <si>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</si>
  <si>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</si>
  <si>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</si>
  <si>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</si>
  <si>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</si>
  <si>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</si>
  <si>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</si>
  <si>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</si>
  <si>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</si>
  <si>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</si>
  <si>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</si>
  <si>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</si>
  <si>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</si>
  <si>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</si>
  <si>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</si>
  <si>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</si>
  <si>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</si>
  <si>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</si>
  <si>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</si>
  <si>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</si>
  <si>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</si>
  <si>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</si>
  <si>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</si>
  <si>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</si>
  <si>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</si>
  <si>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</si>
  <si>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</si>
  <si>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</si>
  <si>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</si>
  <si>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</si>
  <si>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</si>
  <si>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</si>
  <si>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</si>
  <si>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</si>
  <si>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</si>
  <si>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</si>
  <si>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</si>
  <si>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</si>
  <si>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</si>
  <si>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</si>
  <si>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</si>
  <si>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</si>
  <si>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</si>
  <si>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</si>
  <si>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</si>
  <si>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</si>
  <si>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</si>
  <si>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</si>
  <si>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</si>
  <si>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</si>
  <si>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</si>
  <si>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</si>
  <si>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</si>
  <si>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</si>
  <si>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</si>
  <si>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</si>
  <si>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</si>
  <si>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</si>
  <si>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</si>
  <si>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</si>
  <si>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</si>
  <si>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</si>
  <si>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</si>
  <si>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</si>
  <si>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</si>
  <si>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</si>
  <si>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</si>
  <si>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</si>
  <si>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</si>
  <si>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</si>
  <si>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</si>
  <si>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</si>
  <si>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</si>
  <si>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</si>
  <si>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</si>
  <si>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</si>
  <si>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</si>
  <si>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</si>
  <si>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</si>
  <si>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</si>
  <si>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</si>
  <si>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</si>
  <si>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</si>
  <si>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</si>
  <si>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</si>
  <si>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</si>
  <si>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</si>
  <si>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</si>
  <si>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</si>
  <si>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</si>
  <si>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</si>
  <si>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</si>
  <si>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</si>
  <si>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</si>
  <si>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</si>
  <si>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</si>
  <si>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</si>
  <si>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</si>
  <si>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</si>
  <si>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</si>
  <si>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</si>
  <si>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</si>
  <si>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</si>
  <si>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</si>
  <si>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</si>
  <si>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</si>
  <si>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</si>
  <si>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</si>
  <si>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</si>
  <si>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</si>
  <si>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</si>
  <si>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</si>
  <si>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</si>
  <si>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</si>
  <si>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</si>
  <si>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</si>
  <si>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</si>
  <si>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</si>
  <si>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</si>
  <si>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</si>
  <si>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</si>
  <si>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</si>
  <si>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</si>
  <si>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</si>
  <si>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</si>
  <si>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</si>
  <si>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</si>
  <si>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</si>
  <si>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</si>
  <si>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</si>
  <si>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</si>
  <si>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</si>
  <si>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</si>
  <si>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</si>
  <si>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</si>
  <si>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</si>
  <si>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</si>
  <si>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</si>
  <si>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</si>
  <si>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</si>
  <si>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</si>
  <si>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</si>
  <si>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</si>
  <si>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</si>
  <si>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</si>
  <si>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</si>
  <si>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</si>
  <si>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</si>
  <si>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</si>
  <si>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</si>
  <si>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</si>
  <si>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</si>
  <si>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</si>
  <si>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</si>
  <si>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</si>
  <si>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</si>
  <si>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</si>
  <si>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</si>
  <si>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</si>
  <si>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</si>
  <si>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</si>
  <si>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</si>
  <si>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</si>
  <si>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</si>
  <si>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</si>
  <si>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</si>
  <si>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</si>
  <si>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</si>
  <si>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</si>
  <si>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</si>
  <si>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</si>
  <si>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</si>
  <si>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</si>
  <si>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</si>
  <si>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</si>
  <si>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</si>
  <si>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</si>
  <si>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</si>
  <si>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</si>
  <si>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</si>
  <si>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</si>
  <si>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</si>
  <si>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</si>
  <si>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</si>
  <si>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</si>
  <si>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</si>
  <si>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</si>
  <si>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</si>
  <si>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</si>
  <si>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</si>
  <si>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</si>
  <si>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</si>
  <si>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</si>
  <si>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</si>
  <si>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</si>
  <si>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</si>
  <si>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</si>
  <si>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</si>
  <si>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</si>
  <si>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</si>
  <si>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</si>
  <si>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</si>
  <si>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</si>
  <si>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</si>
  <si>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</si>
  <si>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</si>
  <si>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</si>
  <si>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</si>
  <si>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</si>
  <si>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</si>
  <si>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</si>
  <si>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</si>
  <si>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</si>
  <si>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</si>
  <si>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</si>
  <si>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</si>
  <si>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</si>
  <si>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</si>
  <si>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</si>
  <si>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</si>
  <si>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</si>
  <si>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</si>
  <si>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</si>
  <si>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</si>
  <si>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</si>
  <si>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</si>
  <si>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</si>
  <si>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</si>
  <si>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</si>
  <si>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</si>
  <si>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</si>
  <si>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</si>
  <si>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</si>
  <si>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</si>
  <si>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</si>
  <si>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</si>
  <si>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</si>
  <si>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</si>
  <si>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</si>
  <si>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</si>
  <si>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</si>
  <si>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</si>
  <si>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</si>
  <si>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</si>
  <si>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</si>
  <si>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</si>
  <si>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</si>
  <si>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</si>
  <si>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</si>
  <si>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</si>
  <si>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</si>
  <si>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</si>
  <si>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</si>
  <si>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</si>
  <si>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</si>
  <si>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</si>
  <si>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</si>
  <si>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</si>
  <si>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</si>
  <si>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</si>
  <si>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</si>
  <si>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</si>
  <si>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</si>
  <si>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</si>
  <si>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</si>
  <si>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</si>
  <si>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</si>
  <si>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</si>
  <si>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</si>
  <si>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</si>
  <si>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</si>
  <si>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</si>
  <si>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</si>
  <si>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</si>
  <si>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</si>
  <si>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</si>
  <si>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</si>
  <si>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</si>
  <si>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</si>
  <si>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</si>
  <si>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</si>
  <si>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</si>
  <si>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</si>
  <si>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</si>
  <si>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</si>
  <si>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</si>
  <si>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</si>
  <si>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</si>
  <si>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</si>
  <si>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</si>
  <si>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</si>
  <si>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</si>
  <si>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</si>
  <si>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</si>
  <si>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</si>
  <si>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</si>
  <si>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</si>
  <si>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</si>
  <si>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</si>
  <si>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</si>
  <si>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>ZWP23 JACKET - ANODE DISTRIBUTION OF PILE CLUSTER</t>
  </si>
  <si>
    <t>MM-ZTK-1F-ZWP23-STR-DWG-2411</t>
  </si>
  <si>
    <t>MM-ZTK-1F-ZWP23-STR-DWG-2421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</si>
  <si>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</si>
  <si>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</si>
  <si>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</si>
  <si>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</si>
  <si>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</si>
  <si>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</si>
  <si>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</si>
  <si>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</si>
  <si>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</si>
  <si>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</si>
  <si>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</si>
  <si>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</si>
  <si>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</si>
  <si>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</si>
  <si>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</si>
  <si>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</si>
  <si>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</si>
  <si>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</si>
  <si>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</si>
  <si>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</si>
  <si>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</si>
  <si>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</si>
  <si>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</si>
  <si>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</si>
  <si>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</si>
  <si>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</si>
  <si>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</si>
  <si>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</si>
  <si>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</si>
  <si>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</si>
  <si>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</si>
  <si>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</si>
  <si>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</si>
  <si>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</si>
  <si>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</si>
  <si>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</si>
  <si>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</si>
  <si>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</si>
  <si>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</si>
  <si>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</si>
  <si>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</si>
  <si>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</si>
  <si>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</si>
  <si>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</si>
  <si>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</si>
  <si>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</si>
  <si>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</si>
  <si>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</si>
  <si>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</si>
  <si>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</si>
  <si>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</si>
  <si>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</si>
  <si>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</si>
  <si>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</si>
  <si>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</si>
  <si>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</si>
  <si>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</si>
  <si>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</si>
  <si>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</si>
  <si>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</si>
  <si>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</si>
  <si>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</si>
  <si>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</si>
  <si>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</si>
  <si>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</si>
  <si>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</si>
  <si>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</si>
  <si>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</si>
  <si>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</si>
  <si>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</si>
  <si>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</si>
  <si>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</si>
  <si>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</si>
  <si>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</si>
  <si>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</si>
  <si>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</si>
  <si>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</si>
  <si>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</si>
  <si>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</si>
  <si>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</si>
  <si>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</si>
  <si>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</si>
  <si>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</si>
  <si>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</si>
  <si>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</si>
  <si>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</si>
  <si>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</si>
  <si>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</si>
  <si>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</si>
  <si>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</si>
  <si>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</si>
  <si>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</si>
  <si>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</si>
  <si>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</si>
  <si>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</si>
  <si>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</si>
  <si>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</si>
  <si>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</si>
  <si>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</si>
  <si>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</si>
  <si>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</si>
  <si>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</si>
  <si>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</si>
  <si>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</si>
  <si>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</si>
  <si>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</si>
  <si>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</si>
  <si>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</si>
  <si>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</si>
  <si>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</si>
  <si>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</si>
  <si>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</si>
  <si>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</si>
  <si>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</si>
  <si>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</si>
  <si>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</si>
  <si>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</si>
  <si>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</si>
  <si>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</si>
  <si>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</si>
  <si>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</si>
  <si>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</si>
  <si>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</si>
  <si>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</si>
  <si>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</si>
  <si>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</si>
  <si>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</si>
  <si>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</si>
  <si>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</si>
  <si>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</si>
  <si>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</si>
  <si>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</si>
  <si>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</si>
  <si>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</si>
  <si>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</si>
  <si>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</si>
  <si>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</si>
  <si>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</si>
  <si>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</si>
  <si>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</si>
  <si>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</si>
  <si>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ZWP22 JACKET - ANODE DISTRIBUTION OF PILE CLUSTER</t>
  </si>
  <si>
    <t>MM-ZTK-1F-ZWP22-STR-DWG-2411</t>
  </si>
  <si>
    <t>MM-ZTK-1F-ZWP22-STR-DWG-2421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</si>
  <si>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</si>
  <si>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</si>
  <si>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</si>
  <si>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</si>
  <si>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</si>
  <si>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</si>
  <si>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</si>
  <si>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</si>
  <si>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</si>
  <si>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</si>
  <si>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</si>
  <si>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</si>
  <si>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</si>
  <si>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</si>
  <si>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</si>
  <si>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</si>
  <si>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</si>
  <si>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</si>
  <si>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</si>
  <si>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</si>
  <si>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</si>
  <si>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</si>
  <si>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</si>
  <si>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</si>
  <si>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</si>
  <si>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</si>
  <si>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</si>
  <si>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</si>
  <si>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</si>
  <si>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</si>
  <si>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</si>
  <si>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</si>
  <si>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</si>
  <si>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</si>
  <si>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</si>
  <si>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</si>
  <si>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</si>
  <si>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</si>
  <si>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</si>
  <si>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</si>
  <si>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</si>
  <si>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</si>
  <si>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</si>
  <si>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</si>
  <si>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</si>
  <si>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</si>
  <si>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</si>
  <si>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</si>
  <si>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</si>
  <si>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</si>
  <si>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</si>
  <si>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</si>
  <si>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</si>
  <si>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</si>
  <si>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</si>
  <si>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</si>
  <si>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</si>
  <si>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</si>
  <si>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</si>
  <si>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</si>
  <si>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</si>
  <si>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</si>
  <si>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</si>
  <si>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</si>
  <si>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</si>
  <si>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</si>
  <si>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</si>
  <si>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</si>
  <si>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</si>
  <si>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</si>
  <si>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</si>
  <si>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</si>
  <si>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</si>
  <si>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</si>
  <si>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</si>
  <si>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</si>
  <si>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</si>
  <si>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</si>
  <si>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</si>
  <si>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</si>
  <si>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</si>
  <si>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</si>
  <si>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</si>
  <si>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</si>
  <si>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</si>
  <si>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</si>
  <si>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</si>
  <si>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</si>
  <si>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</si>
  <si>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</si>
  <si>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</si>
  <si>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</si>
  <si>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</si>
  <si>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</si>
  <si>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</si>
  <si>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</si>
  <si>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</si>
  <si>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</si>
  <si>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</si>
  <si>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</si>
  <si>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</si>
  <si>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</si>
  <si>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</si>
  <si>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</si>
  <si>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</si>
  <si>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</si>
  <si>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</si>
  <si>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</si>
  <si>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</si>
  <si>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</si>
  <si>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</si>
  <si>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</si>
  <si>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</si>
  <si>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</si>
  <si>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</si>
  <si>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</si>
  <si>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</si>
  <si>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</si>
  <si>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</si>
  <si>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</si>
  <si>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</si>
  <si>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</si>
  <si>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</si>
  <si>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</si>
  <si>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</si>
  <si>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</si>
  <si>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</si>
  <si>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</si>
  <si>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</si>
  <si>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</si>
  <si>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</si>
  <si>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</si>
  <si>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</si>
  <si>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</si>
  <si>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</si>
  <si>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</si>
  <si>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</si>
  <si>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</si>
  <si>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</si>
  <si>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</si>
  <si>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</si>
  <si>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>ZWP20 JACKET - ANODE DISTRIBUTION OF PILE CLUSTER</t>
  </si>
  <si>
    <t>MM-ZTK-1F-ZWP20-STR-DWG-2411</t>
  </si>
  <si>
    <t>MM-ZTK-1F-ZWP20-STR-DWG-2421</t>
  </si>
  <si>
    <t>MM-ZTK-1F-ZWP20-STR-DWG-2900</t>
  </si>
  <si>
    <t>ZWP20 JACKET - CLOSURE PLATE DETAILS - SHEET 1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</si>
  <si>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</si>
  <si>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</si>
  <si>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</si>
  <si>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</si>
  <si>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</si>
  <si>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</si>
  <si>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</si>
  <si>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</si>
  <si>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</si>
  <si>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</si>
  <si>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</si>
  <si>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</si>
  <si>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</si>
  <si>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</si>
  <si>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</si>
  <si>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</si>
  <si>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</si>
  <si>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</si>
  <si>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</si>
  <si>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</si>
  <si>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</si>
  <si>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</si>
  <si>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</si>
  <si>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</si>
  <si>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</si>
  <si>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</si>
  <si>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</si>
  <si>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</si>
  <si>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</si>
  <si>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</si>
  <si>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</si>
  <si>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</si>
  <si>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</si>
  <si>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</si>
  <si>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</si>
  <si>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</si>
  <si>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</si>
  <si>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</si>
  <si>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</si>
  <si>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</si>
  <si>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</si>
  <si>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</si>
  <si>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</si>
  <si>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</si>
  <si>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</si>
  <si>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</si>
  <si>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</si>
  <si>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</si>
  <si>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</si>
  <si>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</si>
  <si>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</si>
  <si>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</si>
  <si>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</si>
  <si>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</si>
  <si>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</si>
  <si>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</si>
  <si>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</si>
  <si>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MATERIAL REQUISITION FOR ZWP20 JACKET PRIMARY TUBULAR STEEL</t>
  </si>
  <si>
    <t>MM-ZTK-1F-ZWP20-STR-MR-2002</t>
  </si>
  <si>
    <t>MATERIAL REQUISITION FOR ZWP20 JACKET PRIMARY STEEL (PLATE)</t>
  </si>
  <si>
    <t>MM-ZTK-1F-ZWP20-STR-MR-2003</t>
  </si>
  <si>
    <t>MATERIAL REQUISITION FOR ZWP20 JACKET SECONDARY AND TERTIARY STEEL</t>
  </si>
  <si>
    <t>MM-ZTK-1F-ZWP23-STR-MR-2001</t>
  </si>
  <si>
    <t>MATERIAL REQUISITION FOR ZWP23 JACKET PRIMARY TUBULAR STEEL</t>
  </si>
  <si>
    <t>MM-ZTK-1F-ZWP23-STR-MR-2002</t>
  </si>
  <si>
    <t>MATERIAL REQUISITION FOR ZWP23 JACKET PRIMARY STEEL (PLATE)</t>
  </si>
  <si>
    <t>MM-ZTK-1F-ZWP23-STR-MR-2003</t>
  </si>
  <si>
    <t>MATERIAL REQUISITION FOR ZWP23 JACKET SECONDARY AND TERTIARY STEEL</t>
  </si>
  <si>
    <t>MM-ZTK-1F-ZWP22-STR-MR-2001</t>
  </si>
  <si>
    <t>MATERIAL REQUISITION FOR ZWP22 JACKET PRIMARY TUBULAR STEEL</t>
  </si>
  <si>
    <t>MM-ZTK-1F-ZWP22-STR-MR-2002</t>
  </si>
  <si>
    <t>MATERIAL REQUISITION FOR ZWP22 JACKET PRIMARY STEEL (PLATE)</t>
  </si>
  <si>
    <t>MM-ZTK-1F-ZWP22-STR-MR-2003</t>
  </si>
  <si>
    <t>MATERIAL REQUISITION FOR ZWP22 JACKET SECONDARY AND TERTIARY STEEL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</si>
  <si>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</si>
  <si>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</si>
  <si>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</si>
  <si>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</si>
  <si>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</si>
  <si>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</si>
  <si>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</si>
  <si>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</si>
  <si>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</si>
  <si>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</si>
  <si>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</si>
  <si>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</si>
  <si>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</si>
  <si>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</si>
  <si>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</si>
  <si>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</si>
  <si>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</si>
  <si>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</si>
  <si>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</si>
  <si>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</si>
  <si>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</si>
  <si>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</si>
  <si>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</si>
  <si>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</si>
  <si>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</si>
  <si>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</si>
  <si>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</si>
  <si>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</si>
  <si>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</si>
  <si>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</si>
  <si>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</si>
  <si>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</si>
  <si>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</si>
  <si>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</si>
  <si>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</si>
  <si>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</si>
  <si>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</si>
  <si>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</si>
  <si>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</si>
  <si>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</si>
  <si>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</si>
  <si>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</si>
  <si>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</si>
  <si>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</si>
  <si>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</si>
  <si>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</si>
  <si>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</si>
  <si>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</si>
  <si>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</si>
  <si>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</si>
  <si>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</si>
  <si>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</si>
  <si>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</si>
  <si>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</si>
  <si>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</si>
  <si>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</si>
  <si>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</si>
  <si>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</si>
  <si>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</si>
  <si>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MATERIAL REQUISITION FOR ZWP21 JACKET PRIMARY TUBULAR STEEL</t>
  </si>
  <si>
    <t>MATERIAL REQUISITION FOR ZWP21 JACKET PRIMARY STEEL (PLATE)</t>
  </si>
  <si>
    <t>MATERIAL REQUISITION FOR ZWP21 JACKET SECONDARY AND TERTIARY STEEL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</si>
  <si>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</si>
  <si>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</si>
  <si>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</si>
  <si>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</si>
  <si>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</si>
  <si>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</si>
  <si>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</si>
  <si>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</si>
  <si>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</si>
  <si>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</si>
  <si>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</si>
  <si>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</si>
  <si>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</si>
  <si>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</si>
  <si>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</si>
  <si>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</si>
  <si>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</si>
  <si>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</si>
  <si>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</si>
  <si>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</si>
  <si>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MM-ZTK-1F-ZWP23-STR-DWG-2801</t>
  </si>
  <si>
    <t>ZWP23 JACKET - RISER SUPPORT LOCATION</t>
  </si>
  <si>
    <t>MM-ZTK-1F-ZWP23-STR-DWG-2802</t>
  </si>
  <si>
    <t>MM-ZTK-1F-ZWP23-STR-DWG-2803</t>
  </si>
  <si>
    <t>MM-ZTK-1F-ZWP23-STR-DWG-2804</t>
  </si>
  <si>
    <t>MM-ZTK-1F-ZWP23-STR-DWG-2805</t>
  </si>
  <si>
    <t>MM-ZTK-1F-ZWP22-STR-DWG-2801</t>
  </si>
  <si>
    <t>ZWP22 JACKET - RISER SUPPORT LOCATION</t>
  </si>
  <si>
    <t>MM-ZTK-1F-ZWP22-STR-DWG-2802</t>
  </si>
  <si>
    <t>MM-ZTK-1F-ZWP22-STR-DWG-2803</t>
  </si>
  <si>
    <t>MM-ZTK-1F-ZWP22-STR-DWG-2804</t>
  </si>
  <si>
    <t>MM-ZTK-1F-ZWP22-STR-DWG-2805</t>
  </si>
  <si>
    <t>MM-ZTK-1F-ZWP22-STR-DWG-2806</t>
  </si>
  <si>
    <t>MM-ZTK-1F-ZWP22-STR-DWG-2807</t>
  </si>
  <si>
    <t>MM-ZTK-1F-ZWP22-STR-DWG-2808</t>
  </si>
  <si>
    <t>MM-ZTK-1F-ZWP22-STR-DWG-2809</t>
  </si>
  <si>
    <t>MM-ZTK-1F-ZWP22-STR-DWG-2810</t>
  </si>
  <si>
    <t>MM-ZTK-1F-ZWP22-STR-DWG-2811</t>
  </si>
  <si>
    <t>MM-ZTK-1F-ZWP20-STR-DWG-2801</t>
  </si>
  <si>
    <t>ZWP20 JACKET - RISER SUPPORT LOCATION</t>
  </si>
  <si>
    <t>MM-ZTK-1F-ZWP20-STR-DWG-2802</t>
  </si>
  <si>
    <t>MM-ZTK-1F-ZWP20-STR-DWG-2803</t>
  </si>
  <si>
    <t>MM-ZTK-1F-ZWP20-STR-DWG-2804</t>
  </si>
  <si>
    <t>MM-ZTK-1F-ZWP20-STR-DWG-2805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</si>
  <si>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</si>
  <si>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</si>
  <si>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</si>
  <si>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</si>
  <si>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</si>
  <si>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</si>
  <si>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</si>
  <si>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</si>
  <si>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</si>
  <si>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</si>
  <si>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</si>
  <si>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</si>
  <si>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</si>
  <si>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</si>
  <si>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</si>
  <si>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 xml:space="preserve">MATERIAL REQUISITION FOR ZEP21 JACKET MISCELLANEOUS STEEL 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</si>
  <si>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</si>
  <si>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</si>
  <si>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</si>
  <si>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</si>
  <si>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</si>
  <si>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</si>
  <si>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</si>
  <si>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</si>
  <si>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</si>
  <si>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</si>
  <si>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</si>
  <si>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</si>
  <si>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</si>
  <si>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</si>
  <si>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</si>
  <si>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</si>
  <si>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</si>
  <si>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</si>
  <si>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</si>
  <si>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</si>
  <si>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</si>
  <si>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</si>
  <si>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</si>
  <si>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</si>
  <si>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</si>
  <si>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</si>
  <si>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</si>
  <si>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</si>
  <si>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</si>
  <si>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</si>
  <si>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</si>
  <si>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</si>
  <si>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</si>
  <si>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</si>
  <si>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</si>
  <si>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</si>
  <si>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</si>
  <si>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</si>
  <si>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</si>
  <si>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</si>
  <si>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</si>
  <si>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</si>
  <si>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</si>
  <si>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</si>
  <si>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</si>
  <si>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</si>
  <si>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</si>
  <si>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</si>
  <si>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</si>
  <si>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</si>
  <si>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</si>
  <si>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</si>
  <si>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</si>
  <si>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</si>
  <si>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</si>
  <si>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</si>
  <si>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</si>
  <si>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</si>
  <si>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</si>
  <si>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</si>
  <si>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</si>
  <si>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</si>
  <si>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</si>
  <si>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</si>
  <si>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</si>
  <si>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</si>
  <si>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</si>
  <si>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</si>
  <si>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</si>
  <si>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</si>
  <si>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</si>
  <si>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</si>
  <si>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</si>
  <si>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</si>
  <si>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</si>
  <si>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</si>
  <si>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</si>
  <si>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</si>
  <si>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</si>
  <si>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</si>
  <si>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</si>
  <si>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</si>
  <si>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</si>
  <si>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</si>
  <si>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</si>
  <si>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</si>
  <si>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</si>
  <si>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</si>
  <si>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</si>
  <si>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</si>
  <si>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</si>
  <si>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</si>
  <si>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</si>
  <si>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</si>
  <si>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</si>
  <si>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</si>
  <si>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</si>
  <si>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</si>
  <si>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</si>
  <si>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</si>
  <si>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</si>
  <si>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</si>
  <si>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</si>
  <si>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</si>
  <si>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</si>
  <si>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</si>
  <si>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</si>
  <si>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</si>
  <si>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</si>
  <si>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</si>
  <si>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</si>
  <si>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</si>
  <si>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</si>
  <si>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</si>
  <si>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</si>
  <si>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</si>
  <si>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</si>
  <si>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</si>
  <si>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</si>
  <si>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</si>
  <si>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</si>
  <si>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</si>
  <si>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</si>
  <si>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</si>
  <si>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</si>
  <si>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</si>
  <si>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</si>
  <si>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</si>
  <si>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</si>
  <si>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</si>
  <si>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</si>
  <si>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</si>
  <si>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</si>
  <si>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</si>
  <si>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</si>
  <si>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</si>
  <si>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</si>
  <si>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</si>
  <si>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</si>
  <si>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</si>
  <si>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</si>
  <si>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</si>
  <si>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</si>
  <si>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</si>
  <si>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</si>
  <si>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</si>
  <si>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</si>
  <si>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</si>
  <si>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</si>
  <si>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</si>
  <si>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</si>
  <si>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</si>
  <si>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</si>
  <si>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</si>
  <si>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</si>
  <si>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</si>
  <si>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</si>
  <si>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</si>
  <si>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</si>
  <si>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</si>
  <si>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</si>
  <si>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</si>
  <si>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</si>
  <si>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</si>
  <si>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</si>
  <si>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</si>
  <si>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</si>
  <si>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</si>
  <si>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</si>
  <si>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</si>
  <si>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</si>
  <si>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</si>
  <si>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</si>
  <si>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</si>
  <si>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MATERIAL REQUISITION FOR ZWP23 JACKET MISCELLANEOUS STEEL</t>
  </si>
  <si>
    <t>MATERIAL REQUISITION FOR ZWP22 JACKET MISCELLANEOUS STEEL</t>
  </si>
  <si>
    <t>MATERIAL REQUISITION FOR ZWP20 JACKETMISCELLANEOUS STEEL</t>
  </si>
  <si>
    <t>ZWP21 JACKET MISCELLANEOUS DESIGN (SUPERSEDED)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</si>
  <si>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</si>
  <si>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</si>
  <si>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</si>
  <si>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</si>
  <si>
    <t>ZWP21 JACKET - ANODE DISTRIBUTION OF HORIZONTAL FRAMING PLAN AT EL(-) 147900</t>
  </si>
  <si>
    <t>ZWP23 JACKET - ANODE DISTRIBUTION OF HORIZONTAL FRAMING PLAN AT EL(-) 144100</t>
  </si>
  <si>
    <t>ZWP22 JACKET - ANODE DISTRIBUTION OF HORIZONTAL FRAMING PLAN AT EL(-) 137900</t>
  </si>
  <si>
    <t>ZWP20 JACKET - ANODE DISTRIBUTION OF HORIZONTAL FRAMING PLAN AT EL(-) 133100</t>
  </si>
  <si>
    <t>ZWP21 JACKET - RISER PROTECTOR (OPTION) - CANCELLED</t>
  </si>
  <si>
    <t>ZWP21 JACKET MISCELLANEOUS DESIGN (NEW WATER DEPTH)</t>
  </si>
  <si>
    <t>ZWP21 JACKET TRANSPORTATION ANALYSIS - SUPERSEDED</t>
  </si>
  <si>
    <t>ZWP21 JACKET PUSHOVER ANALYSIS - SUPERSEDED</t>
  </si>
  <si>
    <t>ZWP21 JACKET PUSHOVER ANALYSIS - PILE PENETRATION OPTIMISATION</t>
  </si>
  <si>
    <t>ZWP21 JACKET BARGE MOTION ANALYSIS - SUPERSEDED</t>
  </si>
  <si>
    <t>ZWP21 JACKET LOADOUT ANALYSIS - SUPERSEDED</t>
  </si>
  <si>
    <t>ZWP21 JACKET ON-BOTTOM STABILITY ANALYSIS - SUPERSEDED</t>
  </si>
  <si>
    <t>ZWP23 JACKER FREE FLOATATION AND UPENDING ANALYSIS REPORT - SUPERSEDED</t>
  </si>
  <si>
    <t>ZWP23 JACKET FREE FLOATATION AND UPENDING ANALYSIS REPORT - NEW WATER DEPTH</t>
  </si>
  <si>
    <t>ZWP21 JACKET LOADOUT ANALYSIS - NEW WATER DEPTH</t>
  </si>
  <si>
    <t>ZWP21 JACKET TRANSPORTATION ANALYSIS - NEW WATER DEPTH</t>
  </si>
  <si>
    <t>ZWP21 JACKET ON-BOTTOM STABILITY ANALYSIS - PILE PENETRATION OPTIMISATION</t>
  </si>
  <si>
    <t>ZWP21 JACKET BARGE MOTION ANALYSIS - NEW WATER DEPTH</t>
  </si>
  <si>
    <t>SPECIFICATION FOR GROUTING AND INSTALLATION</t>
  </si>
  <si>
    <t>ZWP21 JACKET - RISER CLAMP DETAILS SHEET 1</t>
  </si>
  <si>
    <t>ZWP21 JACKET - RISER CLAMP DETAILS SHEET 2</t>
  </si>
  <si>
    <t>ZWP21 JACKET - RISER CLAMP DETAILS SHEET 3</t>
  </si>
  <si>
    <t>ZWP21 JACKET - RISER CLAMP DETAILS SHEET 4</t>
  </si>
  <si>
    <t>ZWP21 JACKET - RISER CLAMP DETAILS SHEET 5</t>
  </si>
  <si>
    <t>ZWP21 JACKET - RISER CLAMP DETAILS SHEET 6</t>
  </si>
  <si>
    <t>ZWP21 JACKET - RISER CLAMP DETAILS SHEET 7</t>
  </si>
  <si>
    <t>ZWP21 JACKET - RISER CLAMP DETAILS SHEET 8</t>
  </si>
  <si>
    <t>ZWP21 JACKET - RISER CLAMP DETAILS SHEET 9</t>
  </si>
  <si>
    <t>ZWP21 JACKET - RISER CLAMP DETAILS SHEET 10</t>
  </si>
  <si>
    <t>ZWP23 JACKET - RISER CLAMP DETAILS SHEET 1</t>
  </si>
  <si>
    <t>ZWP23 JACKET - RISER CLAMP DETAILS SHEET 2</t>
  </si>
  <si>
    <t>ZWP23 JACKET - RISER CLAMP DETAILS SHEET 3</t>
  </si>
  <si>
    <t>ZWP23 JACKET - RISER CLAMP DETAILS SHEET 4</t>
  </si>
  <si>
    <t>ZWP22 JACKET - RISER CLAMP DETAILS SHEET 1</t>
  </si>
  <si>
    <t>ZWP22 JACKET - RISER CLAMP DETAILS SHEET 2</t>
  </si>
  <si>
    <t>ZWP22 JACKET - RISER CLAMP DETAILS SHEET 3</t>
  </si>
  <si>
    <t>ZWP22 JACKET - RISER CLAMP DETAILS SHEET 4</t>
  </si>
  <si>
    <t>ZWP22 JACKET - RISER CLAMP DETAILS SHEET 5</t>
  </si>
  <si>
    <t>ZWP22 JACKET - RISER CLAMP DETAILS SHEET 6</t>
  </si>
  <si>
    <t>ZWP22 JACKET - RISER CLAMP DETAILS SHEET 7</t>
  </si>
  <si>
    <t>ZWP22 JACKET - RISER CLAMP DETAILS SHEET 8</t>
  </si>
  <si>
    <t>ZWP22 JACKET - RISER CLAMP DETAILS SHEET 9</t>
  </si>
  <si>
    <t>ZWP22 JACKET - RISER CLAMP DETAILS SHEET 10</t>
  </si>
  <si>
    <t>ZWP20 JACKET - RISER CLAMP DETAILS SHEET 1</t>
  </si>
  <si>
    <t>ZWP20 JACKET - RISER CLAMP DETAILS SHEET 2</t>
  </si>
  <si>
    <t>ZWP20 JACKET - RISER CLAMP DETAILS SHEET 3</t>
  </si>
  <si>
    <t>ZWP20 JACKET - RISER CLAMP DETAILS SHEET 4</t>
  </si>
  <si>
    <t>ZWP23 JACKET - RISER PROTECTOR (OPTION) - CANCELLED</t>
  </si>
  <si>
    <t>MM-ZTK-1F-ZWP23-STR-DWG-XXXX</t>
  </si>
  <si>
    <t>ZWP23 JACKET - INSTALLATION PROCEDURE - CANCELLED</t>
  </si>
  <si>
    <t>ZWP23 JACKET - INSTALLATION AID CLASH CHECK - CANCELLED\</t>
  </si>
  <si>
    <t>ZWP23 JACKET - INSTALLATION PROCEDURE - T&amp;I ITEM</t>
  </si>
  <si>
    <t>ZWP23 JACKET - INSTALLATION AID CLASH CHECK - T&amp;I ITEM</t>
  </si>
  <si>
    <t>ZWP22 JACKET - RISER PROTECTOR (OPTION) - CANCELLED</t>
  </si>
  <si>
    <t>MM-ZTK-1F-ZWP22-STR-DWG-XXXX</t>
  </si>
  <si>
    <t>ZWP22 JACKET - INSTALLATION PROCEDURE CANCELLED</t>
  </si>
  <si>
    <t>ZWP22 JACKET - INSTALLATION AID CLASH CHECK - CANCELLED</t>
  </si>
  <si>
    <t>ZWP22 JACKET - INSTALLATION PROCEDURE - T&amp;I ITEM</t>
  </si>
  <si>
    <t>ZWP22 JACKET - INSTALLATION AID CLASH CHECK - T&amp;I ITEM</t>
  </si>
  <si>
    <t>ZWP20 JACKET - RISER PROTECTOR (OPTION) - CANCELLED</t>
  </si>
  <si>
    <t>ZWP20 JACKET - INSTALLATION PROCEDURE - CANCELLED</t>
  </si>
  <si>
    <t>ZWP20 JACKET - INSTALLATION AID CLASH CHECK - CANCELLED</t>
  </si>
  <si>
    <t>ZWP20 JACKET - INSTALLATION PROCEDURE - T&amp;I ITEM</t>
  </si>
  <si>
    <t>ZWP20 JACKET - INSTALLATION AID CLASH CHECK T&amp;I ITEM</t>
  </si>
  <si>
    <t xml:space="preserve">ZWP21 JACKET PRIMARY STEEL AND PILE MTO REPORT - UPDATE  WD </t>
  </si>
  <si>
    <t>MATERIAL REQUISITION FOR ZWP21 JACKET PRIMARY TUBULAR STEEL - UPDATE WD</t>
  </si>
  <si>
    <t>MATERIAL REQUISITION FOR ZWP21 JACKET PRIMARY STEEL (PLATE) - UPDATE WD</t>
  </si>
  <si>
    <t>MM-ZTK-1F-ZWP20-STR-DWG-XXXX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</si>
</sst>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00"/>
    <numFmt numFmtId="173" formatCode="0.000000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  <font>
      <sz val="7"/>
      <color theme="8" tint="0.79998168889431442"/>
      <name val="Aptos Narrow"/>
      <family val="2"/>
      <scheme val="minor"/>
    </font>
    <font>
      <strike/>
      <sz val="7"/>
      <color theme="8" tint="0.79998168889431442"/>
      <name val="Aptos Narrow"/>
      <family val="2"/>
      <scheme val="minor"/>
    </font>
    <font>
      <strike/>
      <sz val="7"/>
      <color theme="7" tint="0.79998168889431442"/>
      <name val="Aptos Narrow"/>
      <family val="2"/>
      <scheme val="minor"/>
    </font>
    <font>
      <strike/>
      <sz val="7"/>
      <color theme="5" tint="0.7999816888943144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73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164" fontId="33" fillId="11" borderId="1" xfId="0" applyNumberFormat="1" applyFont="1" applyFill="1" applyBorder="1"/>
    <xf numFmtId="164" fontId="33" fillId="12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3" fillId="0" borderId="13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0" fontId="37" fillId="12" borderId="1" xfId="0" applyFont="1" applyFill="1" applyBorder="1"/>
    <xf numFmtId="9" fontId="37" fillId="12" borderId="1" xfId="2" applyFont="1" applyFill="1" applyBorder="1"/>
    <xf numFmtId="164" fontId="44" fillId="12" borderId="1" xfId="0" applyNumberFormat="1" applyFont="1" applyFill="1" applyBorder="1"/>
    <xf numFmtId="164" fontId="45" fillId="12" borderId="1" xfId="0" applyNumberFormat="1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164" fontId="46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4" fontId="47" fillId="14" borderId="1" xfId="0" applyNumberFormat="1" applyFont="1" applyFill="1" applyBorder="1"/>
    <xf numFmtId="165" fontId="37" fillId="11" borderId="1" xfId="0" applyNumberFormat="1" applyFont="1" applyFill="1" applyBorder="1"/>
    <xf numFmtId="165" fontId="37" fillId="13" borderId="1" xfId="0" applyNumberFormat="1" applyFont="1" applyFill="1" applyBorder="1"/>
    <xf numFmtId="0" fontId="37" fillId="13" borderId="1" xfId="0" applyFont="1" applyFill="1" applyBorder="1"/>
    <xf numFmtId="9" fontId="37" fillId="13" borderId="1" xfId="2" applyFont="1" applyFill="1" applyBorder="1"/>
    <xf numFmtId="171" fontId="37" fillId="13" borderId="1" xfId="0" applyNumberFormat="1" applyFont="1" applyFill="1" applyBorder="1"/>
    <xf numFmtId="0" fontId="37" fillId="14" borderId="1" xfId="0" applyFont="1" applyFill="1" applyBorder="1"/>
    <xf numFmtId="9" fontId="37" fillId="14" borderId="1" xfId="2" applyFont="1" applyFill="1" applyBorder="1"/>
    <xf numFmtId="164" fontId="36" fillId="14" borderId="1" xfId="0" applyNumberFormat="1" applyFont="1" applyFill="1" applyBorder="1"/>
    <xf numFmtId="164" fontId="36" fillId="11" borderId="1" xfId="0" applyNumberFormat="1" applyFont="1" applyFill="1" applyBorder="1"/>
    <xf numFmtId="9" fontId="36" fillId="11" borderId="1" xfId="2" applyFont="1" applyFill="1" applyBorder="1" applyAlignment="1">
      <alignment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24"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0.23838500000000037</c:v>
                </c:pt>
                <c:pt idx="15">
                  <c:v>0.27294800000000047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0.4032040000000009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0.57754700000000148</c:v>
                </c:pt>
                <c:pt idx="25">
                  <c:v>0.61008400000000151</c:v>
                </c:pt>
                <c:pt idx="26">
                  <c:v>0.64109600000000166</c:v>
                </c:pt>
                <c:pt idx="27">
                  <c:v>0.66805600000000187</c:v>
                </c:pt>
                <c:pt idx="28">
                  <c:v>0.69116900000000192</c:v>
                </c:pt>
                <c:pt idx="29">
                  <c:v>0.71429400000000209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0.23838500000000037</c:v>
                </c:pt>
                <c:pt idx="15">
                  <c:v>0.27294800000000047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0.4032040000000009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0.57754700000000148</c:v>
                </c:pt>
                <c:pt idx="25">
                  <c:v>0.61008400000000151</c:v>
                </c:pt>
                <c:pt idx="26">
                  <c:v>0.64109600000000166</c:v>
                </c:pt>
                <c:pt idx="27">
                  <c:v>0.66805600000000187</c:v>
                </c:pt>
                <c:pt idx="28">
                  <c:v>0.69116900000000192</c:v>
                </c:pt>
                <c:pt idx="29">
                  <c:v>0.71429400000000209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0.18540000000000012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0.24807900000000069</c:v>
                </c:pt>
                <c:pt idx="13">
                  <c:v>0.29147400000000079</c:v>
                </c:pt>
                <c:pt idx="14">
                  <c:v>0.30147000000000074</c:v>
                </c:pt>
                <c:pt idx="15">
                  <c:v>0.32594400000000084</c:v>
                </c:pt>
                <c:pt idx="16">
                  <c:v>0.3398200000000009</c:v>
                </c:pt>
                <c:pt idx="17">
                  <c:v>0.36959600000000092</c:v>
                </c:pt>
                <c:pt idx="18">
                  <c:v>0.40104900000000104</c:v>
                </c:pt>
                <c:pt idx="19">
                  <c:v>0.42438800000000104</c:v>
                </c:pt>
                <c:pt idx="20">
                  <c:v>0.45514900000000114</c:v>
                </c:pt>
                <c:pt idx="21">
                  <c:v>0.49811300000000114</c:v>
                </c:pt>
                <c:pt idx="22">
                  <c:v>0.53614800000000129</c:v>
                </c:pt>
                <c:pt idx="23">
                  <c:v>0.56648400000000132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77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opLeftCell="D2" zoomScaleNormal="100" workbookViewId="0">
      <selection activeCell="P12" sqref="P12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28</v>
      </c>
      <c r="G1" s="23">
        <f>O1-1</f>
        <v>28</v>
      </c>
      <c r="H1" s="23">
        <f t="shared" ref="H1:I1" si="0">P1-1</f>
        <v>28</v>
      </c>
      <c r="I1" s="23">
        <f t="shared" si="0"/>
        <v>28</v>
      </c>
      <c r="J1" s="23"/>
      <c r="K1" s="23"/>
      <c r="L1" s="23"/>
      <c r="M1" s="23"/>
      <c r="N1" s="23">
        <f>_xlfn.XLOOKUP(D3,'Progress%'!6:6,'Progress%'!1:1,0)</f>
        <v>29</v>
      </c>
      <c r="O1" s="23">
        <f>_xlfn.XLOOKUP(D3,'Progress%'!6:6,'Progress%'!1:1,0)</f>
        <v>29</v>
      </c>
      <c r="P1" s="23">
        <f>N1</f>
        <v>29</v>
      </c>
      <c r="Q1" s="23">
        <f>P1</f>
        <v>29</v>
      </c>
    </row>
    <row r="2" spans="1:17" collapsed="1" x14ac:dyDescent="0.35">
      <c r="D2" s="16" t="s">
        <v>32</v>
      </c>
    </row>
    <row r="3" spans="1:17" x14ac:dyDescent="0.35">
      <c r="D3" s="25">
        <v>46262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14" t="s">
        <v>24</v>
      </c>
      <c r="E6" s="214" t="s">
        <v>25</v>
      </c>
      <c r="F6" s="216" t="s">
        <v>31</v>
      </c>
      <c r="G6" s="217"/>
      <c r="H6" s="217"/>
      <c r="I6" s="218"/>
      <c r="J6" s="216" t="s">
        <v>26</v>
      </c>
      <c r="K6" s="217"/>
      <c r="L6" s="217"/>
      <c r="M6" s="218"/>
      <c r="N6" s="216" t="s">
        <v>27</v>
      </c>
      <c r="O6" s="217"/>
      <c r="P6" s="217"/>
      <c r="Q6" s="218"/>
    </row>
    <row r="7" spans="1:17" ht="24.5" customHeight="1" thickBot="1" x14ac:dyDescent="0.4">
      <c r="D7" s="215"/>
      <c r="E7" s="215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66</v>
      </c>
      <c r="E8" s="19">
        <v>0.25</v>
      </c>
      <c r="F8" s="19" cm="1">
        <f t="array" ref="F8">INDEX('Progress%'!$A$1:$CT$37,'Progress Summary'!$A8,'Progress Summary'!F$1)</f>
        <v>0.69396800000000181</v>
      </c>
      <c r="G8" s="19" cm="1">
        <f t="array" ref="G8">INDEX('Progress%'!$A$1:$CT$37,'Progress Summary'!$B8,'Progress Summary'!G$1)</f>
        <v>0.69396800000000181</v>
      </c>
      <c r="H8" s="19" cm="1">
        <f t="array" ref="H8">INDEX('Progress%'!$A$1:$CT$37,'Progress Summary'!$C8,'Progress Summary'!H$1)</f>
        <v>0.68536400000000175</v>
      </c>
      <c r="I8" s="19">
        <f>H8-F8</f>
        <v>-8.604000000000056E-3</v>
      </c>
      <c r="J8" s="19">
        <f t="shared" ref="J8:M10" si="2">N8-F8</f>
        <v>1.8476000000000159E-2</v>
      </c>
      <c r="K8" s="19">
        <f t="shared" si="2"/>
        <v>1.8476000000000159E-2</v>
      </c>
      <c r="L8" s="19">
        <f t="shared" si="2"/>
        <v>2.2379999999999955E-2</v>
      </c>
      <c r="M8" s="19">
        <f t="shared" si="2"/>
        <v>3.9039999999997965E-3</v>
      </c>
      <c r="N8" s="19" cm="1">
        <f t="array" ref="N8">INDEX('Progress%'!$A$1:$CT$37,'Progress Summary'!$A8,'Progress Summary'!N$1)</f>
        <v>0.71244400000000196</v>
      </c>
      <c r="O8" s="19" cm="1">
        <f t="array" ref="O8">INDEX('Progress%'!$A$1:$CT$37,'Progress Summary'!$B8,'Progress Summary'!O$1)</f>
        <v>0.71244400000000196</v>
      </c>
      <c r="P8" s="19" cm="1">
        <f t="array" ref="P8">INDEX('Progress%'!$A$1:$CT$37,'Progress Summary'!$C8,'Progress Summary'!P$1)</f>
        <v>0.70774400000000171</v>
      </c>
      <c r="Q8" s="19">
        <f>P8-N8</f>
        <v>-4.7000000000002595E-3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64</v>
      </c>
      <c r="E9" s="19">
        <v>0.25</v>
      </c>
      <c r="F9" s="19" cm="1">
        <f t="array" ref="F9">INDEX('Progress%'!$A$1:$CT$37,'Progress Summary'!$A9,'Progress Summary'!F$1)</f>
        <v>0.58976800000000162</v>
      </c>
      <c r="G9" s="19" cm="1">
        <f t="array" ref="G9">INDEX('Progress%'!$A$1:$CT$37,'Progress Summary'!$B9,'Progress Summary'!G$1)</f>
        <v>0.58976800000000162</v>
      </c>
      <c r="H9" s="19" cm="1">
        <f t="array" ref="H9">INDEX('Progress%'!$A$1:$CT$37,'Progress Summary'!$C9,'Progress Summary'!H$1)</f>
        <v>0.59638000000000135</v>
      </c>
      <c r="I9" s="19">
        <f>H9-F9</f>
        <v>6.6119999999997292E-3</v>
      </c>
      <c r="J9" s="19">
        <f t="shared" si="2"/>
        <v>2.5155999999999956E-2</v>
      </c>
      <c r="K9" s="19">
        <f t="shared" si="2"/>
        <v>2.5155999999999956E-2</v>
      </c>
      <c r="L9" s="19">
        <f t="shared" si="2"/>
        <v>1.3444000000000011E-2</v>
      </c>
      <c r="M9" s="19">
        <f t="shared" si="2"/>
        <v>-1.1711999999999945E-2</v>
      </c>
      <c r="N9" s="19" cm="1">
        <f t="array" ref="N9">INDEX('Progress%'!$A$1:$CT$37,'Progress Summary'!$A9,'Progress Summary'!N$1)</f>
        <v>0.61492400000000158</v>
      </c>
      <c r="O9" s="19" cm="1">
        <f t="array" ref="O9">INDEX('Progress%'!$A$1:$CT$37,'Progress Summary'!$B9,'Progress Summary'!O$1)</f>
        <v>0.61492400000000158</v>
      </c>
      <c r="P9" s="19" cm="1">
        <f t="array" ref="P9">INDEX('Progress%'!$A$1:$CT$37,'Progress Summary'!$C9,'Progress Summary'!P$1)</f>
        <v>0.60982400000000136</v>
      </c>
      <c r="Q9" s="19">
        <f>P9-N9</f>
        <v>-5.1000000000002155E-3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67</v>
      </c>
      <c r="E10" s="19">
        <v>0.25</v>
      </c>
      <c r="F10" s="19" cm="1">
        <f t="array" ref="F10">INDEX('Progress%'!$A$1:$CT$37,'Progress Summary'!$A10,'Progress Summary'!F$1)</f>
        <v>0.46970000000000112</v>
      </c>
      <c r="G10" s="19" cm="1">
        <f t="array" ref="G10">INDEX('Progress%'!$A$1:$CT$37,'Progress Summary'!$B10,'Progress Summary'!G$1)</f>
        <v>0.46970000000000112</v>
      </c>
      <c r="H10" s="19" cm="1">
        <f t="array" ref="H10">INDEX('Progress%'!$A$1:$CT$37,'Progress Summary'!$C10,'Progress Summary'!H$1)</f>
        <v>0.48418400000000111</v>
      </c>
      <c r="I10" s="19">
        <f>H10-F10</f>
        <v>1.4483999999999997E-2</v>
      </c>
      <c r="J10" s="19">
        <f t="shared" si="2"/>
        <v>3.7132000000000276E-2</v>
      </c>
      <c r="K10" s="19">
        <f t="shared" si="2"/>
        <v>3.7132000000000276E-2</v>
      </c>
      <c r="L10" s="19">
        <f t="shared" si="2"/>
        <v>3.9187999999999945E-2</v>
      </c>
      <c r="M10" s="19">
        <f t="shared" si="2"/>
        <v>2.0559999999996692E-3</v>
      </c>
      <c r="N10" s="19" cm="1">
        <f t="array" ref="N10">INDEX('Progress%'!$A$1:$CT$37,'Progress Summary'!$A10,'Progress Summary'!N$1)</f>
        <v>0.50683200000000139</v>
      </c>
      <c r="O10" s="19" cm="1">
        <f t="array" ref="O10">INDEX('Progress%'!$A$1:$CT$37,'Progress Summary'!$B10,'Progress Summary'!O$1)</f>
        <v>0.50683200000000139</v>
      </c>
      <c r="P10" s="19" cm="1">
        <f t="array" ref="P10">INDEX('Progress%'!$A$1:$CT$37,'Progress Summary'!$C10,'Progress Summary'!P$1)</f>
        <v>0.52337200000000106</v>
      </c>
      <c r="Q10" s="19">
        <f>P10-N10</f>
        <v>1.6539999999999666E-2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65</v>
      </c>
      <c r="E11" s="19">
        <v>0.25</v>
      </c>
      <c r="F11" s="19" cm="1">
        <f t="array" ref="F11">INDEX('Progress%'!$A$1:$CT$37,'Progress Summary'!$A11,'Progress Summary'!F$1)</f>
        <v>0.30384000000000044</v>
      </c>
      <c r="G11" s="19" cm="1">
        <f t="array" ref="G11">INDEX('Progress%'!$A$1:$CT$37,'Progress Summary'!$B11,'Progress Summary'!G$1)</f>
        <v>0.30384000000000044</v>
      </c>
      <c r="H11" s="19" cm="1">
        <f t="array" ref="H11">INDEX('Progress%'!$A$1:$CT$37,'Progress Summary'!$C11,'Progress Summary'!H$1)</f>
        <v>0.37866400000000083</v>
      </c>
      <c r="I11" s="19">
        <f t="shared" ref="I11" si="5">H11-F11</f>
        <v>7.482400000000039E-2</v>
      </c>
      <c r="J11" s="19">
        <f>N11-F11</f>
        <v>3.6220000000000141E-2</v>
      </c>
      <c r="K11" s="19">
        <f t="shared" ref="K11" si="6">O11-G11</f>
        <v>3.6220000000000141E-2</v>
      </c>
      <c r="L11" s="19">
        <f t="shared" ref="L11:M11" si="7">P11-H11</f>
        <v>4.633200000000004E-2</v>
      </c>
      <c r="M11" s="19">
        <f t="shared" si="7"/>
        <v>1.0111999999999899E-2</v>
      </c>
      <c r="N11" s="19" cm="1">
        <f t="array" ref="N11">INDEX('Progress%'!$A$1:$CT$37,'Progress Summary'!$A11,'Progress Summary'!N$1)</f>
        <v>0.34006000000000058</v>
      </c>
      <c r="O11" s="19" cm="1">
        <f t="array" ref="O11">INDEX('Progress%'!$A$1:$CT$37,'Progress Summary'!$B11,'Progress Summary'!O$1)</f>
        <v>0.34006000000000058</v>
      </c>
      <c r="P11" s="19" cm="1">
        <f t="array" ref="P11">INDEX('Progress%'!$A$1:$CT$37,'Progress Summary'!$C11,'Progress Summary'!P$1)</f>
        <v>0.42499600000000087</v>
      </c>
      <c r="Q11" s="19">
        <f t="shared" ref="Q11" si="8">P11-N11</f>
        <v>8.4936000000000289E-2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0.51431900000000119</v>
      </c>
      <c r="G12" s="20">
        <f t="shared" si="9"/>
        <v>0.51431900000000119</v>
      </c>
      <c r="H12" s="20">
        <f t="shared" si="9"/>
        <v>0.53614800000000129</v>
      </c>
      <c r="I12" s="20">
        <f t="shared" si="9"/>
        <v>2.1829000000000015E-2</v>
      </c>
      <c r="J12" s="20">
        <f t="shared" si="9"/>
        <v>2.9246000000000133E-2</v>
      </c>
      <c r="K12" s="20">
        <f t="shared" si="9"/>
        <v>2.9246000000000133E-2</v>
      </c>
      <c r="L12" s="20">
        <f t="shared" si="9"/>
        <v>3.0335999999999988E-2</v>
      </c>
      <c r="M12" s="20">
        <f t="shared" si="9"/>
        <v>1.089999999999855E-3</v>
      </c>
      <c r="N12" s="20">
        <f t="shared" si="9"/>
        <v>0.54356500000000141</v>
      </c>
      <c r="O12" s="20">
        <f t="shared" si="9"/>
        <v>0.54356500000000141</v>
      </c>
      <c r="P12" s="20">
        <f t="shared" si="9"/>
        <v>0.56648400000000132</v>
      </c>
      <c r="Q12" s="20">
        <f t="shared" si="9"/>
        <v>2.291899999999987E-2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61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62</v>
      </c>
      <c r="F4">
        <f>'Progress%'!A28</f>
        <v>28</v>
      </c>
    </row>
    <row r="5" spans="2:6" x14ac:dyDescent="0.35">
      <c r="B5" s="21">
        <f t="shared" si="0"/>
        <v>46122</v>
      </c>
      <c r="E5" t="s">
        <v>60</v>
      </c>
      <c r="F5">
        <f>'Progress%'!A7</f>
        <v>7</v>
      </c>
    </row>
    <row r="6" spans="2:6" x14ac:dyDescent="0.35">
      <c r="B6" s="21">
        <f t="shared" si="0"/>
        <v>46129</v>
      </c>
      <c r="E6" t="s">
        <v>63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46262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66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0.14749999999999983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0.19550000000000023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0.29446000000000061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0.43570000000000109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0.47343200000000141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0.49693600000000143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0.51602400000000148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0.5637680000000016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0.59292400000000156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0.6252600000000017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0.65821600000000169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0.69396800000000181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0.71244400000000196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0.7503200000000021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0.77333600000000213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0.80094800000000232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0.82202400000000242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0.83356000000000252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0.85320000000000262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66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0.14749999999999983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0.19550000000000023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0.29446000000000061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0.43570000000000109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0.47343200000000141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0.49693600000000143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0.51602400000000148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0.5637680000000016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0.59292400000000156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0.6252600000000017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0.65821600000000169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0.69396800000000181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0.71244400000000196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0.7503200000000021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0.77333600000000213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0.80094800000000232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0.82202400000000242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0.83356000000000252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0.85320000000000262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66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2.8000000000000004E-2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0.21622000000000066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0.37796000000000096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0.41074400000000094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0.49274400000000135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0.53596400000000133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0.56442000000000137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0.59584800000000149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0.62779200000000157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0.66230000000000155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0.68536400000000175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0.70774400000000171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0.70774400000000171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0.70812000000000186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0.70812000000000186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0.70887200000000172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0.70887200000000172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0.70887200000000172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0.70887200000000172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0.70887200000000172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0.70887200000000172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0.70887200000000172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0.70887200000000172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0.70887200000000172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0.70887200000000172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0.70887200000000172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0.70887200000000172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0.70887200000000172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0.70887200000000172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0.70887200000000172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0.70887200000000172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0.70887200000000172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0.70887200000000172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0.70887200000000172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0.70887200000000172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0.70887200000000172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0.70887200000000172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0.70887200000000172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0.70887200000000172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0.70887200000000172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0.70887200000000172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0.70887200000000172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0.70887200000000172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0.70887200000000172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0.70887200000000172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0.70887200000000172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0.70887200000000172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0.70887200000000172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0.70887200000000172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0.70887200000000172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0.70887200000000172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0.70887200000000172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0.70887200000000172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0.70887200000000172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0.70887200000000172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0.70887200000000172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0.70887200000000172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0.70887200000000172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0.70887200000000172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0.70887200000000172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0.70887200000000172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0.70887200000000172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0.70887200000000172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0.70887200000000172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0.70887200000000172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0.70887200000000172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0.70887200000000172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0.70887200000000172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0.70887200000000172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0.70887200000000172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0.70887200000000172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0.70887200000000172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0.70887200000000172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0.70887200000000172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0.70887200000000172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0.70887200000000172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0.70887200000000172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0.70887200000000172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0.70887200000000172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0.70887200000000172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0.70887200000000172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64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0.20670000000000022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0.23828000000000046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0.3096600000000006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0.36112000000000077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0.42026000000000074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0.44820000000000099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0.53582400000000152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0.58976800000000162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0.64306000000000163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0.70696800000000193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0.72444400000000198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0.80794800000000222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64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0.20670000000000022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0.23828000000000046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0.3096600000000006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0.36112000000000077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0.42026000000000074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0.44820000000000099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0.53582400000000152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0.58976800000000162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0.64306000000000163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0.70696800000000193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0.72444400000000198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0.80794800000000222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64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0.25984000000000085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0.30638400000000088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0.30878400000000084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0.32991200000000087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0.34826400000000068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0.46338400000000118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0.59638000000000135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0.60982400000000136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0.60982400000000136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0.60982400000000136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0.60982400000000136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0.60982400000000136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0.60982400000000136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0.60982400000000136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0.60982400000000136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0.60982400000000136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0.60982400000000136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0.60982400000000136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0.60982400000000136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0.60982400000000136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0.60982400000000136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0.60982400000000136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0.60982400000000136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0.60982400000000136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0.60982400000000136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0.60982400000000136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0.60982400000000136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0.60982400000000136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0.60982400000000136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0.60982400000000136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0.60982400000000136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0.60982400000000136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0.60982400000000136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0.60982400000000136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0.60982400000000136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0.60982400000000136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0.60982400000000136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0.60982400000000136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0.60982400000000136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0.60982400000000136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0.60982400000000136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0.60982400000000136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0.60982400000000136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0.60982400000000136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0.60982400000000136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0.60982400000000136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0.60982400000000136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0.60982400000000136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0.60982400000000136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0.60982400000000136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0.60982400000000136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0.60982400000000136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0.60982400000000136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0.60982400000000136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0.60982400000000136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0.60982400000000136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0.60982400000000136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0.60982400000000136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0.60982400000000136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0.60982400000000136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0.60982400000000136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0.60982400000000136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0.60982400000000136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0.60982400000000136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0.60982400000000136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0.60982400000000136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0.60982400000000136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0.60982400000000136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0.60982400000000136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0.60982400000000136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0.60982400000000136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0.60982400000000136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0.60982400000000136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0.60982400000000136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0.60982400000000136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0.60982400000000136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0.60982400000000136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67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0.29184000000000049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0.32806000000000063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67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0.29184000000000049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0.32806000000000063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67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0.21984000000000065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0.24200000000000066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0.24440000000000064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0.26573600000000092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0.48418400000000111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0.52337200000000106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0.52337200000000106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0.52337200000000106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0.52337200000000106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0.52337200000000106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0.52337200000000106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0.52337200000000106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0.52337200000000106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0.52337200000000106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0.52337200000000106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0.52337200000000106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0.52337200000000106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0.52337200000000106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0.52337200000000106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0.52337200000000106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0.52337200000000106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0.52337200000000106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0.52337200000000106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0.52337200000000106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0.52337200000000106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0.52337200000000106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0.52337200000000106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0.52337200000000106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0.52337200000000106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0.52337200000000106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0.52337200000000106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0.52337200000000106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0.52337200000000106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0.52337200000000106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0.52337200000000106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0.52337200000000106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0.52337200000000106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0.52337200000000106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0.52337200000000106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0.52337200000000106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0.52337200000000106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0.52337200000000106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0.52337200000000106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0.52337200000000106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0.52337200000000106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0.52337200000000106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0.52337200000000106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0.52337200000000106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0.52337200000000106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0.52337200000000106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0.52337200000000106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0.52337200000000106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0.52337200000000106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0.52337200000000106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0.52337200000000106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0.52337200000000106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0.52337200000000106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0.52337200000000106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0.52337200000000106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0.52337200000000106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0.52337200000000106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0.52337200000000106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0.52337200000000106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0.52337200000000106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0.52337200000000106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0.52337200000000106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0.52337200000000106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0.52337200000000106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0.52337200000000106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0.52337200000000106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0.52337200000000106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0.52337200000000106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0.52337200000000106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0.52337200000000106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0.52337200000000106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65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0.27428000000000047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65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0.27428000000000047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65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0.20884000000000047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0.23955200000000068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0.2525360000000007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0.25413600000000069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0.25893600000000072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0.2971360000000009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0.30977200000000088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0.37866400000000083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0.42499600000000087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0.42499600000000087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0.42499600000000087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0.42499600000000087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0.42499600000000087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0.42499600000000087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0.42499600000000087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0.42499600000000087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0.42499600000000087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0.42499600000000087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0.42499600000000087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0.42499600000000087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0.42499600000000087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0.42499600000000087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0.42499600000000087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0.42499600000000087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0.42499600000000087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0.42499600000000087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0.42499600000000087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0.42499600000000087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0.42499600000000087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0.42499600000000087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0.42499600000000087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0.42499600000000087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0.42499600000000087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0.42499600000000087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0.42499600000000087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0.42499600000000087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0.42499600000000087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0.42499600000000087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0.42499600000000087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0.42499600000000087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0.42499600000000087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0.42499600000000087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0.42499600000000087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0.42499600000000087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0.42499600000000087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0.42499600000000087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0.42499600000000087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0.42499600000000087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0.42499600000000087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0.42499600000000087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0.42499600000000087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0.42499600000000087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0.42499600000000087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0.42499600000000087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0.42499600000000087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0.42499600000000087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0.42499600000000087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0.42499600000000087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0.42499600000000087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0.42499600000000087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0.42499600000000087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0.42499600000000087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0.42499600000000087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0.42499600000000087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0.42499600000000087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0.42499600000000087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0.42499600000000087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0.42499600000000087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0.42499600000000087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0.42499600000000087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0.42499600000000087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0.42499600000000087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0.42499600000000087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0.42499600000000087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0.42499600000000087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0.42499600000000087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0.42499600000000087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0.42499600000000087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0.10737500000000007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0.18405500000000027</v>
      </c>
      <c r="S35" s="15">
        <f t="shared" si="366"/>
        <v>0.2108100000000003</v>
      </c>
      <c r="T35" s="15">
        <f t="shared" si="366"/>
        <v>0.23838500000000037</v>
      </c>
      <c r="U35" s="15">
        <f t="shared" si="366"/>
        <v>0.27294800000000047</v>
      </c>
      <c r="V35" s="15">
        <f t="shared" si="366"/>
        <v>0.30348900000000062</v>
      </c>
      <c r="W35" s="15">
        <f t="shared" si="366"/>
        <v>0.3350410000000007</v>
      </c>
      <c r="X35" s="15">
        <f t="shared" si="366"/>
        <v>0.36545200000000078</v>
      </c>
      <c r="Y35" s="15">
        <f t="shared" si="366"/>
        <v>0.4032040000000009</v>
      </c>
      <c r="Z35" s="15">
        <f t="shared" si="366"/>
        <v>0.44100400000000106</v>
      </c>
      <c r="AA35" s="15">
        <f t="shared" si="366"/>
        <v>0.47772000000000114</v>
      </c>
      <c r="AB35" s="15">
        <f t="shared" si="366"/>
        <v>0.51431900000000119</v>
      </c>
      <c r="AC35" s="15">
        <f t="shared" si="366"/>
        <v>0.54356500000000141</v>
      </c>
      <c r="AD35" s="15">
        <f t="shared" si="366"/>
        <v>0.57754700000000148</v>
      </c>
      <c r="AE35" s="15">
        <f t="shared" si="366"/>
        <v>0.61008400000000151</v>
      </c>
      <c r="AF35" s="15">
        <f t="shared" si="366"/>
        <v>0.64109600000000166</v>
      </c>
      <c r="AG35" s="15">
        <f t="shared" si="366"/>
        <v>0.66805600000000187</v>
      </c>
      <c r="AH35" s="15">
        <f t="shared" si="366"/>
        <v>0.69116900000000192</v>
      </c>
      <c r="AI35" s="15">
        <f t="shared" si="366"/>
        <v>0.71429400000000209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0.10737500000000007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0.18405500000000027</v>
      </c>
      <c r="S36" s="15">
        <f t="shared" si="366"/>
        <v>0.2108100000000003</v>
      </c>
      <c r="T36" s="15">
        <f t="shared" si="366"/>
        <v>0.23838500000000037</v>
      </c>
      <c r="U36" s="15">
        <f t="shared" si="366"/>
        <v>0.27294800000000047</v>
      </c>
      <c r="V36" s="15">
        <f t="shared" si="366"/>
        <v>0.30348900000000062</v>
      </c>
      <c r="W36" s="15">
        <f t="shared" si="366"/>
        <v>0.3350410000000007</v>
      </c>
      <c r="X36" s="15">
        <f t="shared" si="366"/>
        <v>0.36545200000000078</v>
      </c>
      <c r="Y36" s="15">
        <f t="shared" si="366"/>
        <v>0.4032040000000009</v>
      </c>
      <c r="Z36" s="15">
        <f t="shared" si="366"/>
        <v>0.44100400000000106</v>
      </c>
      <c r="AA36" s="15">
        <f t="shared" si="366"/>
        <v>0.47772000000000114</v>
      </c>
      <c r="AB36" s="15">
        <f t="shared" si="366"/>
        <v>0.51431900000000119</v>
      </c>
      <c r="AC36" s="15">
        <f t="shared" si="366"/>
        <v>0.54356500000000141</v>
      </c>
      <c r="AD36" s="15">
        <f t="shared" si="366"/>
        <v>0.57754700000000148</v>
      </c>
      <c r="AE36" s="15">
        <f t="shared" si="366"/>
        <v>0.61008400000000151</v>
      </c>
      <c r="AF36" s="15">
        <f t="shared" si="366"/>
        <v>0.64109600000000166</v>
      </c>
      <c r="AG36" s="15">
        <f t="shared" si="366"/>
        <v>0.66805600000000187</v>
      </c>
      <c r="AH36" s="15">
        <f t="shared" si="366"/>
        <v>0.69116900000000192</v>
      </c>
      <c r="AI36" s="15">
        <f t="shared" si="366"/>
        <v>0.71429400000000209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0.18540000000000012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0.24807900000000069</v>
      </c>
      <c r="S37" s="15">
        <f t="shared" si="369"/>
        <v>0.29147400000000079</v>
      </c>
      <c r="T37" s="15">
        <f t="shared" si="369"/>
        <v>0.30147000000000074</v>
      </c>
      <c r="U37" s="15">
        <f t="shared" si="369"/>
        <v>0.32594400000000084</v>
      </c>
      <c r="V37" s="15">
        <f t="shared" si="369"/>
        <v>0.3398200000000009</v>
      </c>
      <c r="W37" s="15">
        <f t="shared" si="369"/>
        <v>0.36959600000000092</v>
      </c>
      <c r="X37" s="15">
        <f t="shared" si="369"/>
        <v>0.40104900000000104</v>
      </c>
      <c r="Y37" s="15">
        <f t="shared" si="369"/>
        <v>0.42438800000000104</v>
      </c>
      <c r="Z37" s="15">
        <f t="shared" si="369"/>
        <v>0.45514900000000114</v>
      </c>
      <c r="AA37" s="15">
        <f t="shared" si="369"/>
        <v>0.49811300000000114</v>
      </c>
      <c r="AB37" s="15">
        <f t="shared" si="369"/>
        <v>0.53614800000000129</v>
      </c>
      <c r="AC37" s="15">
        <f t="shared" si="369"/>
        <v>0.56648400000000132</v>
      </c>
      <c r="AD37" s="15">
        <f t="shared" si="369"/>
        <v>0.56648400000000132</v>
      </c>
      <c r="AE37" s="15">
        <f t="shared" si="369"/>
        <v>0.56657800000000136</v>
      </c>
      <c r="AF37" s="15">
        <f t="shared" si="369"/>
        <v>0.56657800000000136</v>
      </c>
      <c r="AG37" s="15">
        <f t="shared" si="369"/>
        <v>0.56676600000000132</v>
      </c>
      <c r="AH37" s="15">
        <f t="shared" si="369"/>
        <v>0.56676600000000132</v>
      </c>
      <c r="AI37" s="15">
        <f t="shared" si="369"/>
        <v>0.56676600000000132</v>
      </c>
      <c r="AJ37" s="15">
        <f t="shared" si="369"/>
        <v>0.56676600000000132</v>
      </c>
      <c r="AK37" s="15">
        <f t="shared" si="369"/>
        <v>0.56676600000000132</v>
      </c>
      <c r="AL37" s="15">
        <f t="shared" si="369"/>
        <v>0.56676600000000132</v>
      </c>
      <c r="AM37" s="15">
        <f t="shared" si="369"/>
        <v>0.56676600000000132</v>
      </c>
      <c r="AN37" s="15">
        <f t="shared" si="369"/>
        <v>0.56676600000000132</v>
      </c>
      <c r="AO37" s="15">
        <f t="shared" si="369"/>
        <v>0.56676600000000132</v>
      </c>
      <c r="AP37" s="15">
        <f t="shared" si="369"/>
        <v>0.56676600000000132</v>
      </c>
      <c r="AQ37" s="15">
        <f t="shared" si="369"/>
        <v>0.56676600000000132</v>
      </c>
      <c r="AR37" s="15">
        <f t="shared" si="369"/>
        <v>0.56676600000000132</v>
      </c>
      <c r="AS37" s="15">
        <f t="shared" si="369"/>
        <v>0.56676600000000132</v>
      </c>
      <c r="AT37" s="15">
        <f t="shared" si="369"/>
        <v>0.56676600000000132</v>
      </c>
      <c r="AU37" s="15">
        <f t="shared" si="369"/>
        <v>0.56676600000000132</v>
      </c>
      <c r="AV37" s="15">
        <f t="shared" si="369"/>
        <v>0.56676600000000132</v>
      </c>
      <c r="AW37" s="15">
        <f t="shared" si="369"/>
        <v>0.56676600000000132</v>
      </c>
      <c r="AX37" s="15">
        <f t="shared" si="369"/>
        <v>0.56676600000000132</v>
      </c>
      <c r="AY37" s="15">
        <f t="shared" si="369"/>
        <v>0.56676600000000132</v>
      </c>
      <c r="AZ37" s="15">
        <f t="shared" si="369"/>
        <v>0.56676600000000132</v>
      </c>
      <c r="BA37" s="15">
        <f t="shared" si="369"/>
        <v>0.56676600000000132</v>
      </c>
      <c r="BB37" s="15">
        <f t="shared" si="369"/>
        <v>0.56676600000000132</v>
      </c>
      <c r="BC37" s="15">
        <f t="shared" si="369"/>
        <v>0.56676600000000132</v>
      </c>
      <c r="BD37" s="15">
        <f t="shared" si="369"/>
        <v>0.56676600000000132</v>
      </c>
      <c r="BE37" s="15">
        <f t="shared" si="369"/>
        <v>0.56676600000000132</v>
      </c>
      <c r="BF37" s="15">
        <f t="shared" si="369"/>
        <v>0.56676600000000132</v>
      </c>
      <c r="BG37" s="15">
        <f t="shared" si="369"/>
        <v>0.56676600000000132</v>
      </c>
      <c r="BH37" s="15">
        <f t="shared" si="369"/>
        <v>0.56676600000000132</v>
      </c>
      <c r="BI37" s="15">
        <f t="shared" si="369"/>
        <v>0.56676600000000132</v>
      </c>
      <c r="BJ37" s="15">
        <f t="shared" si="369"/>
        <v>0.56676600000000132</v>
      </c>
      <c r="BK37" s="15">
        <f t="shared" si="369"/>
        <v>0.56676600000000132</v>
      </c>
      <c r="BL37" s="15">
        <f t="shared" si="369"/>
        <v>0.56676600000000132</v>
      </c>
      <c r="BM37" s="15">
        <f t="shared" si="369"/>
        <v>0.56676600000000132</v>
      </c>
      <c r="BN37" s="15">
        <f t="shared" si="369"/>
        <v>0.56676600000000132</v>
      </c>
      <c r="BO37" s="15">
        <f t="shared" si="369"/>
        <v>0.56676600000000132</v>
      </c>
      <c r="BP37" s="15">
        <f t="shared" si="369"/>
        <v>0.56676600000000132</v>
      </c>
      <c r="BQ37" s="15">
        <f t="shared" si="369"/>
        <v>0.56676600000000132</v>
      </c>
      <c r="BR37" s="15">
        <f t="shared" si="369"/>
        <v>0.56676600000000132</v>
      </c>
      <c r="BS37" s="15">
        <f t="shared" ref="BS37:CT37" si="370">SUMPRODUCT($D9,BS9)+SUMPRODUCT($D16,BS16)+SUMPRODUCT($D23,BS23)+SUMPRODUCT($D30,BS30)/$D37</f>
        <v>0.56676600000000132</v>
      </c>
      <c r="BT37" s="15">
        <f t="shared" si="370"/>
        <v>0.56676600000000132</v>
      </c>
      <c r="BU37" s="15">
        <f t="shared" si="370"/>
        <v>0.56676600000000132</v>
      </c>
      <c r="BV37" s="15">
        <f t="shared" si="370"/>
        <v>0.56676600000000132</v>
      </c>
      <c r="BW37" s="15">
        <f t="shared" si="370"/>
        <v>0.56676600000000132</v>
      </c>
      <c r="BX37" s="15">
        <f t="shared" si="370"/>
        <v>0.56676600000000132</v>
      </c>
      <c r="BY37" s="15">
        <f t="shared" si="370"/>
        <v>0.56676600000000132</v>
      </c>
      <c r="BZ37" s="15">
        <f t="shared" si="370"/>
        <v>0.56676600000000132</v>
      </c>
      <c r="CA37" s="15">
        <f t="shared" si="370"/>
        <v>0.56676600000000132</v>
      </c>
      <c r="CB37" s="15">
        <f t="shared" si="370"/>
        <v>0.56676600000000132</v>
      </c>
      <c r="CC37" s="15">
        <f t="shared" si="370"/>
        <v>0.56676600000000132</v>
      </c>
      <c r="CD37" s="15">
        <f t="shared" si="370"/>
        <v>0.56676600000000132</v>
      </c>
      <c r="CE37" s="15">
        <f t="shared" si="370"/>
        <v>0.56676600000000132</v>
      </c>
      <c r="CF37" s="15">
        <f t="shared" si="370"/>
        <v>0.56676600000000132</v>
      </c>
      <c r="CG37" s="15">
        <f t="shared" si="370"/>
        <v>0.56676600000000132</v>
      </c>
      <c r="CH37" s="15">
        <f t="shared" si="370"/>
        <v>0.56676600000000132</v>
      </c>
      <c r="CI37" s="15">
        <f t="shared" si="370"/>
        <v>0.56676600000000132</v>
      </c>
      <c r="CJ37" s="15">
        <f t="shared" si="370"/>
        <v>0.56676600000000132</v>
      </c>
      <c r="CK37" s="15">
        <f t="shared" si="370"/>
        <v>0.56676600000000132</v>
      </c>
      <c r="CL37" s="15">
        <f t="shared" si="370"/>
        <v>0.56676600000000132</v>
      </c>
      <c r="CM37" s="15">
        <f t="shared" si="370"/>
        <v>0.56676600000000132</v>
      </c>
      <c r="CN37" s="15">
        <f t="shared" si="370"/>
        <v>0.56676600000000132</v>
      </c>
      <c r="CO37" s="15">
        <f t="shared" si="370"/>
        <v>0.56676600000000132</v>
      </c>
      <c r="CP37" s="15">
        <f t="shared" si="370"/>
        <v>0.56676600000000132</v>
      </c>
      <c r="CQ37" s="15">
        <f t="shared" si="370"/>
        <v>0.56676600000000132</v>
      </c>
      <c r="CR37" s="15">
        <f t="shared" si="370"/>
        <v>0.56676600000000132</v>
      </c>
      <c r="CS37" s="15">
        <f t="shared" si="370"/>
        <v>0.56676600000000132</v>
      </c>
      <c r="CT37" s="15">
        <f t="shared" si="370"/>
        <v>0.56676600000000132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AA14" sqref="AA14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19" t="s">
        <v>68</v>
      </c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19"/>
      <c r="BL4" s="219"/>
      <c r="BM4" s="219"/>
      <c r="BN4" s="219"/>
      <c r="BO4" s="219"/>
      <c r="BP4" s="219"/>
      <c r="BQ4" s="219"/>
      <c r="BR4" s="219"/>
      <c r="BS4" s="219"/>
      <c r="BT4" s="219"/>
      <c r="BU4" s="219"/>
      <c r="BV4" s="219"/>
      <c r="BW4" s="219"/>
      <c r="BX4" s="219"/>
      <c r="BY4" s="219"/>
      <c r="BZ4" s="219"/>
      <c r="CA4" s="219"/>
      <c r="CB4" s="219"/>
      <c r="CC4" s="219"/>
      <c r="CD4" s="219"/>
      <c r="CE4" s="219"/>
      <c r="CF4" s="219"/>
      <c r="CG4" s="219"/>
      <c r="CH4" s="219"/>
      <c r="CI4" s="219"/>
      <c r="CJ4" s="219"/>
      <c r="CK4" s="219"/>
      <c r="CL4" s="219"/>
      <c r="CM4" s="219"/>
      <c r="CN4" s="219"/>
      <c r="CO4" s="219"/>
      <c r="CP4" s="219"/>
      <c r="CQ4" s="219"/>
      <c r="CR4" s="219"/>
      <c r="CS4" s="32"/>
    </row>
    <row r="5" spans="1:97" ht="45" x14ac:dyDescent="0.35">
      <c r="B5" s="31"/>
      <c r="C5" s="220" t="s">
        <v>40</v>
      </c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  <c r="CB5" s="220"/>
      <c r="CC5" s="220"/>
      <c r="CD5" s="220"/>
      <c r="CE5" s="220"/>
      <c r="CF5" s="220"/>
      <c r="CG5" s="220"/>
      <c r="CH5" s="220"/>
      <c r="CI5" s="220"/>
      <c r="CJ5" s="220"/>
      <c r="CK5" s="220"/>
      <c r="CL5" s="220"/>
      <c r="CM5" s="220"/>
      <c r="CN5" s="220"/>
      <c r="CO5" s="220"/>
      <c r="CP5" s="220"/>
      <c r="CQ5" s="220"/>
      <c r="CR5" s="220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826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0.10737500000000007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0.18405500000000027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0.23838500000000037</v>
      </c>
      <c r="S12" s="43" cm="1">
        <f t="array" ref="S12">INDEX('Progress%'!$A$1:$CT$37,'S-Curves'!$A12,'S-Curves'!S$10)</f>
        <v>0.27294800000000047</v>
      </c>
      <c r="T12" s="43" cm="1">
        <f t="array" ref="T12">INDEX('Progress%'!$A$1:$CT$37,'S-Curves'!$A12,'S-Curves'!T$10)</f>
        <v>0.30348900000000062</v>
      </c>
      <c r="U12" s="43" cm="1">
        <f t="array" ref="U12">INDEX('Progress%'!$A$1:$CT$37,'S-Curves'!$A12,'S-Curves'!U$10)</f>
        <v>0.3350410000000007</v>
      </c>
      <c r="V12" s="43" cm="1">
        <f t="array" ref="V12">INDEX('Progress%'!$A$1:$CT$37,'S-Curves'!$A12,'S-Curves'!V$10)</f>
        <v>0.36545200000000078</v>
      </c>
      <c r="W12" s="43" cm="1">
        <f t="array" ref="W12">INDEX('Progress%'!$A$1:$CT$37,'S-Curves'!$A12,'S-Curves'!W$10)</f>
        <v>0.4032040000000009</v>
      </c>
      <c r="X12" s="43" cm="1">
        <f t="array" ref="X12">INDEX('Progress%'!$A$1:$CT$37,'S-Curves'!$A12,'S-Curves'!X$10)</f>
        <v>0.44100400000000106</v>
      </c>
      <c r="Y12" s="43" cm="1">
        <f t="array" ref="Y12">INDEX('Progress%'!$A$1:$CT$37,'S-Curves'!$A12,'S-Curves'!Y$10)</f>
        <v>0.47772000000000114</v>
      </c>
      <c r="Z12" s="43" cm="1">
        <f t="array" ref="Z12">INDEX('Progress%'!$A$1:$CT$37,'S-Curves'!$A12,'S-Curves'!Z$10)</f>
        <v>0.51431900000000119</v>
      </c>
      <c r="AA12" s="43" cm="1">
        <f t="array" ref="AA12">INDEX('Progress%'!$A$1:$CT$37,'S-Curves'!$A12,'S-Curves'!AA$10)</f>
        <v>0.54356500000000141</v>
      </c>
      <c r="AB12" s="43" cm="1">
        <f t="array" ref="AB12">INDEX('Progress%'!$A$1:$CT$37,'S-Curves'!$A12,'S-Curves'!AB$10)</f>
        <v>0.57754700000000148</v>
      </c>
      <c r="AC12" s="43" cm="1">
        <f t="array" ref="AC12">INDEX('Progress%'!$A$1:$CT$37,'S-Curves'!$A12,'S-Curves'!AC$10)</f>
        <v>0.61008400000000151</v>
      </c>
      <c r="AD12" s="43" cm="1">
        <f t="array" ref="AD12">INDEX('Progress%'!$A$1:$CT$37,'S-Curves'!$A12,'S-Curves'!AD$10)</f>
        <v>0.64109600000000166</v>
      </c>
      <c r="AE12" s="43" cm="1">
        <f t="array" ref="AE12">INDEX('Progress%'!$A$1:$CT$37,'S-Curves'!$A12,'S-Curves'!AE$10)</f>
        <v>0.66805600000000187</v>
      </c>
      <c r="AF12" s="43" cm="1">
        <f t="array" ref="AF12">INDEX('Progress%'!$A$1:$CT$37,'S-Curves'!$A12,'S-Curves'!AF$10)</f>
        <v>0.69116900000000192</v>
      </c>
      <c r="AG12" s="43" cm="1">
        <f t="array" ref="AG12">INDEX('Progress%'!$A$1:$CT$37,'S-Curves'!$A12,'S-Curves'!AG$10)</f>
        <v>0.71429400000000209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0.10737500000000007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0.18405500000000027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0.23838500000000037</v>
      </c>
      <c r="S13" s="43" cm="1">
        <f t="array" ref="S13">INDEX('Progress%'!$A$1:$CT$37,'S-Curves'!$A13,'S-Curves'!S$10)</f>
        <v>0.27294800000000047</v>
      </c>
      <c r="T13" s="43" cm="1">
        <f t="array" ref="T13">INDEX('Progress%'!$A$1:$CT$37,'S-Curves'!$A13,'S-Curves'!T$10)</f>
        <v>0.30348900000000062</v>
      </c>
      <c r="U13" s="43" cm="1">
        <f t="array" ref="U13">INDEX('Progress%'!$A$1:$CT$37,'S-Curves'!$A13,'S-Curves'!U$10)</f>
        <v>0.3350410000000007</v>
      </c>
      <c r="V13" s="43" cm="1">
        <f t="array" ref="V13">INDEX('Progress%'!$A$1:$CT$37,'S-Curves'!$A13,'S-Curves'!V$10)</f>
        <v>0.36545200000000078</v>
      </c>
      <c r="W13" s="43" cm="1">
        <f t="array" ref="W13">INDEX('Progress%'!$A$1:$CT$37,'S-Curves'!$A13,'S-Curves'!W$10)</f>
        <v>0.4032040000000009</v>
      </c>
      <c r="X13" s="43" cm="1">
        <f t="array" ref="X13">INDEX('Progress%'!$A$1:$CT$37,'S-Curves'!$A13,'S-Curves'!X$10)</f>
        <v>0.44100400000000106</v>
      </c>
      <c r="Y13" s="43" cm="1">
        <f t="array" ref="Y13">INDEX('Progress%'!$A$1:$CT$37,'S-Curves'!$A13,'S-Curves'!Y$10)</f>
        <v>0.47772000000000114</v>
      </c>
      <c r="Z13" s="43" cm="1">
        <f t="array" ref="Z13">INDEX('Progress%'!$A$1:$CT$37,'S-Curves'!$A13,'S-Curves'!Z$10)</f>
        <v>0.51431900000000119</v>
      </c>
      <c r="AA13" s="43" cm="1">
        <f t="array" ref="AA13">INDEX('Progress%'!$A$1:$CT$37,'S-Curves'!$A13,'S-Curves'!AA$10)</f>
        <v>0.54356500000000141</v>
      </c>
      <c r="AB13" s="43" cm="1">
        <f t="array" ref="AB13">INDEX('Progress%'!$A$1:$CT$37,'S-Curves'!$A13,'S-Curves'!AB$10)</f>
        <v>0.57754700000000148</v>
      </c>
      <c r="AC13" s="43" cm="1">
        <f t="array" ref="AC13">INDEX('Progress%'!$A$1:$CT$37,'S-Curves'!$A13,'S-Curves'!AC$10)</f>
        <v>0.61008400000000151</v>
      </c>
      <c r="AD13" s="43" cm="1">
        <f t="array" ref="AD13">INDEX('Progress%'!$A$1:$CT$37,'S-Curves'!$A13,'S-Curves'!AD$10)</f>
        <v>0.64109600000000166</v>
      </c>
      <c r="AE13" s="43" cm="1">
        <f t="array" ref="AE13">INDEX('Progress%'!$A$1:$CT$37,'S-Curves'!$A13,'S-Curves'!AE$10)</f>
        <v>0.66805600000000187</v>
      </c>
      <c r="AF13" s="43" cm="1">
        <f t="array" ref="AF13">INDEX('Progress%'!$A$1:$CT$37,'S-Curves'!$A13,'S-Curves'!AF$10)</f>
        <v>0.69116900000000192</v>
      </c>
      <c r="AG13" s="43" cm="1">
        <f t="array" ref="AG13">INDEX('Progress%'!$A$1:$CT$37,'S-Curves'!$A13,'S-Curves'!AG$10)</f>
        <v>0.71429400000000209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0.18540000000000012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0.24807900000000069</v>
      </c>
      <c r="Q14" s="43" cm="1">
        <f t="array" ref="Q14">INDEX('Progress%'!$A$1:$CT$37,'S-Curves'!$A14,'S-Curves'!Q$10)</f>
        <v>0.29147400000000079</v>
      </c>
      <c r="R14" s="43" cm="1">
        <f t="array" ref="R14">INDEX('Progress%'!$A$1:$CT$37,'S-Curves'!$A14,'S-Curves'!R$10)</f>
        <v>0.30147000000000074</v>
      </c>
      <c r="S14" s="43" cm="1">
        <f t="array" ref="S14">INDEX('Progress%'!$A$1:$CT$37,'S-Curves'!$A14,'S-Curves'!S$10)</f>
        <v>0.32594400000000084</v>
      </c>
      <c r="T14" s="43" cm="1">
        <f t="array" ref="T14">INDEX('Progress%'!$A$1:$CT$37,'S-Curves'!$A14,'S-Curves'!T$10)</f>
        <v>0.3398200000000009</v>
      </c>
      <c r="U14" s="43" cm="1">
        <f t="array" ref="U14">INDEX('Progress%'!$A$1:$CT$37,'S-Curves'!$A14,'S-Curves'!U$10)</f>
        <v>0.36959600000000092</v>
      </c>
      <c r="V14" s="43" cm="1">
        <f t="array" ref="V14">INDEX('Progress%'!$A$1:$CT$37,'S-Curves'!$A14,'S-Curves'!V$10)</f>
        <v>0.40104900000000104</v>
      </c>
      <c r="W14" s="43" cm="1">
        <f t="array" ref="W14">INDEX('Progress%'!$A$1:$CT$37,'S-Curves'!$A14,'S-Curves'!W$10)</f>
        <v>0.42438800000000104</v>
      </c>
      <c r="X14" s="43" cm="1">
        <f t="array" ref="X14">INDEX('Progress%'!$A$1:$CT$37,'S-Curves'!$A14,'S-Curves'!X$10)</f>
        <v>0.45514900000000114</v>
      </c>
      <c r="Y14" s="43" cm="1">
        <f t="array" ref="Y14">INDEX('Progress%'!$A$1:$CT$37,'S-Curves'!$A14,'S-Curves'!Y$10)</f>
        <v>0.49811300000000114</v>
      </c>
      <c r="Z14" s="43" cm="1">
        <f t="array" ref="Z14">INDEX('Progress%'!$A$1:$CT$37,'S-Curves'!$A14,'S-Curves'!Z$10)</f>
        <v>0.53614800000000129</v>
      </c>
      <c r="AA14" s="43" cm="1">
        <f t="array" ref="AA14">INDEX('Progress%'!$A$1:$CT$37,'S-Curves'!$A14,'S-Curves'!AA$10)</f>
        <v>0.56648400000000132</v>
      </c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2.7000000000000107E-2</v>
      </c>
      <c r="M15" s="49">
        <f t="shared" si="0"/>
        <v>1.3595000000000038E-2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2.3515000000000147E-2</v>
      </c>
      <c r="Q15" s="49">
        <f t="shared" si="0"/>
        <v>2.6755000000000029E-2</v>
      </c>
      <c r="R15" s="49">
        <f t="shared" si="0"/>
        <v>2.7575000000000072E-2</v>
      </c>
      <c r="S15" s="49">
        <f t="shared" si="0"/>
        <v>3.4563000000000094E-2</v>
      </c>
      <c r="T15" s="49">
        <f t="shared" si="0"/>
        <v>3.0541000000000151E-2</v>
      </c>
      <c r="U15" s="49">
        <f t="shared" si="0"/>
        <v>3.155200000000008E-2</v>
      </c>
      <c r="V15" s="49">
        <f t="shared" si="0"/>
        <v>3.0411000000000077E-2</v>
      </c>
      <c r="W15" s="49">
        <f t="shared" si="0"/>
        <v>3.7752000000000119E-2</v>
      </c>
      <c r="X15" s="49">
        <f t="shared" si="0"/>
        <v>3.7800000000000167E-2</v>
      </c>
      <c r="Y15" s="49">
        <f t="shared" si="0"/>
        <v>3.6716000000000082E-2</v>
      </c>
      <c r="Z15" s="49">
        <f t="shared" si="0"/>
        <v>3.6599000000000048E-2</v>
      </c>
      <c r="AA15" s="49">
        <f t="shared" si="0"/>
        <v>2.9246000000000216E-2</v>
      </c>
      <c r="AB15" s="49">
        <f t="shared" si="0"/>
        <v>3.3982000000000068E-2</v>
      </c>
      <c r="AC15" s="49">
        <f t="shared" si="0"/>
        <v>3.2537000000000038E-2</v>
      </c>
      <c r="AD15" s="49">
        <f t="shared" si="0"/>
        <v>3.1012000000000151E-2</v>
      </c>
      <c r="AE15" s="49">
        <f t="shared" si="0"/>
        <v>2.6960000000000206E-2</v>
      </c>
      <c r="AF15" s="49">
        <f t="shared" si="0"/>
        <v>2.311300000000005E-2</v>
      </c>
      <c r="AG15" s="49">
        <f t="shared" si="0"/>
        <v>2.3125000000000173E-2</v>
      </c>
      <c r="AH15" s="49">
        <f t="shared" si="0"/>
        <v>2.9996000000000023E-2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2.7000000000000107E-2</v>
      </c>
      <c r="M16" s="49">
        <f t="shared" ref="M16" si="10">M13-L13</f>
        <v>1.3595000000000038E-2</v>
      </c>
      <c r="N16" s="49">
        <f t="shared" ref="N16" si="11">N13-M13</f>
        <v>1.6890000000000016E-2</v>
      </c>
      <c r="O16" s="49">
        <f t="shared" ref="O16:AA17" si="12">O13-N13</f>
        <v>2.2680000000000006E-2</v>
      </c>
      <c r="P16" s="49">
        <f t="shared" si="12"/>
        <v>2.3515000000000147E-2</v>
      </c>
      <c r="Q16" s="49">
        <f t="shared" si="12"/>
        <v>2.6755000000000029E-2</v>
      </c>
      <c r="R16" s="49">
        <f t="shared" si="12"/>
        <v>2.7575000000000072E-2</v>
      </c>
      <c r="S16" s="49">
        <f t="shared" si="12"/>
        <v>3.4563000000000094E-2</v>
      </c>
      <c r="T16" s="49">
        <f t="shared" si="12"/>
        <v>3.0541000000000151E-2</v>
      </c>
      <c r="U16" s="49">
        <f t="shared" si="12"/>
        <v>3.155200000000008E-2</v>
      </c>
      <c r="V16" s="49">
        <f t="shared" si="12"/>
        <v>3.0411000000000077E-2</v>
      </c>
      <c r="W16" s="49">
        <f t="shared" si="12"/>
        <v>3.7752000000000119E-2</v>
      </c>
      <c r="X16" s="49">
        <f t="shared" si="12"/>
        <v>3.7800000000000167E-2</v>
      </c>
      <c r="Y16" s="49">
        <f t="shared" si="12"/>
        <v>3.6716000000000082E-2</v>
      </c>
      <c r="Z16" s="49">
        <f t="shared" si="0"/>
        <v>3.6599000000000048E-2</v>
      </c>
      <c r="AA16" s="49">
        <f t="shared" si="0"/>
        <v>2.9246000000000216E-2</v>
      </c>
      <c r="AB16" s="49">
        <f t="shared" si="0"/>
        <v>3.3982000000000068E-2</v>
      </c>
      <c r="AC16" s="49">
        <f t="shared" si="0"/>
        <v>3.2537000000000038E-2</v>
      </c>
      <c r="AD16" s="49">
        <f t="shared" si="0"/>
        <v>3.1012000000000151E-2</v>
      </c>
      <c r="AE16" s="49">
        <f t="shared" si="0"/>
        <v>2.6960000000000206E-2</v>
      </c>
      <c r="AF16" s="49">
        <f t="shared" si="0"/>
        <v>2.311300000000005E-2</v>
      </c>
      <c r="AG16" s="49">
        <f t="shared" si="0"/>
        <v>2.3125000000000173E-2</v>
      </c>
      <c r="AH16" s="49">
        <f t="shared" si="0"/>
        <v>2.9996000000000023E-2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3.8005000000000289E-2</v>
      </c>
      <c r="N17" s="48">
        <f t="shared" si="8"/>
        <v>1.7550000000000177E-2</v>
      </c>
      <c r="O17" s="48">
        <f t="shared" si="8"/>
        <v>2.7195000000000302E-2</v>
      </c>
      <c r="P17" s="48">
        <f t="shared" si="8"/>
        <v>1.7934000000000089E-2</v>
      </c>
      <c r="Q17" s="48">
        <f t="shared" si="12"/>
        <v>4.33950000000001E-2</v>
      </c>
      <c r="R17" s="48">
        <f t="shared" si="12"/>
        <v>9.9959999999999494E-3</v>
      </c>
      <c r="S17" s="48">
        <f t="shared" si="12"/>
        <v>2.4474000000000107E-2</v>
      </c>
      <c r="T17" s="48">
        <f t="shared" si="12"/>
        <v>1.3876000000000055E-2</v>
      </c>
      <c r="U17" s="48">
        <f t="shared" si="12"/>
        <v>2.9776000000000025E-2</v>
      </c>
      <c r="V17" s="48">
        <f t="shared" si="12"/>
        <v>3.145300000000012E-2</v>
      </c>
      <c r="W17" s="48">
        <f t="shared" si="12"/>
        <v>2.3338999999999999E-2</v>
      </c>
      <c r="X17" s="48">
        <f t="shared" si="12"/>
        <v>3.0761000000000094E-2</v>
      </c>
      <c r="Y17" s="48">
        <f t="shared" si="12"/>
        <v>4.2964000000000002E-2</v>
      </c>
      <c r="Z17" s="48">
        <f t="shared" si="12"/>
        <v>3.8035000000000152E-2</v>
      </c>
      <c r="AA17" s="48">
        <f t="shared" si="12"/>
        <v>3.033600000000003E-2</v>
      </c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23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679"/>
  <sheetViews>
    <sheetView tabSelected="1" topLeftCell="A315" zoomScaleNormal="100" workbookViewId="0">
      <selection activeCell="D643" sqref="D643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6" customWidth="1"/>
    <col min="24" max="26" width="14.08984375" customWidth="1"/>
  </cols>
  <sheetData>
    <row r="1" spans="1:26" ht="15" thickBot="1" x14ac:dyDescent="0.4">
      <c r="A1" t="s">
        <v>43</v>
      </c>
      <c r="C1" s="21">
        <v>46262</v>
      </c>
    </row>
    <row r="2" spans="1:26" ht="19" thickBot="1" x14ac:dyDescent="0.5">
      <c r="A2" s="26" t="s">
        <v>33</v>
      </c>
      <c r="J2" s="221" t="s">
        <v>7</v>
      </c>
      <c r="K2" s="221"/>
      <c r="L2" s="221"/>
      <c r="M2" s="221" t="s">
        <v>9</v>
      </c>
      <c r="N2" s="221"/>
      <c r="O2" s="221"/>
      <c r="P2" s="221" t="s">
        <v>8</v>
      </c>
      <c r="Q2" s="221"/>
      <c r="R2" s="221"/>
      <c r="S2" s="221" t="s">
        <v>10</v>
      </c>
      <c r="T2" s="221"/>
      <c r="U2" s="221"/>
      <c r="W2" s="222" t="s">
        <v>1125</v>
      </c>
      <c r="X2" s="223"/>
      <c r="Y2" s="223"/>
      <c r="Z2" s="224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67" t="s">
        <v>7</v>
      </c>
      <c r="X3" s="168" t="s">
        <v>9</v>
      </c>
      <c r="Y3" s="169" t="s">
        <v>8</v>
      </c>
      <c r="Z3" s="170" t="s">
        <v>10</v>
      </c>
    </row>
    <row r="4" spans="1:26" s="70" customFormat="1" ht="11.5" x14ac:dyDescent="0.25">
      <c r="A4" s="71" t="s">
        <v>66</v>
      </c>
      <c r="B4" s="87" t="s">
        <v>34</v>
      </c>
      <c r="C4" s="87" t="s">
        <v>967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1</v>
      </c>
      <c r="H4" s="81">
        <f t="shared" ref="H4:H7" si="3">G4-E4</f>
        <v>0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165">
        <v>46262</v>
      </c>
      <c r="W4" s="171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71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71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72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Completed</v>
      </c>
    </row>
    <row r="5" spans="1:26" s="70" customFormat="1" ht="11.5" x14ac:dyDescent="0.25">
      <c r="A5" s="71" t="s">
        <v>66</v>
      </c>
      <c r="B5" s="87" t="s">
        <v>34</v>
      </c>
      <c r="C5" s="87" t="s">
        <v>968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95" si="4">J5</f>
        <v>46115</v>
      </c>
      <c r="L5" s="85">
        <v>46115</v>
      </c>
      <c r="M5" s="85">
        <f t="shared" ref="M5:M95" si="5">J5+42</f>
        <v>46157</v>
      </c>
      <c r="N5" s="85">
        <f t="shared" ref="N5:N95" si="6">M5</f>
        <v>46157</v>
      </c>
      <c r="O5" s="146">
        <v>46171</v>
      </c>
      <c r="P5" s="85">
        <f t="shared" ref="P5:P95" si="7">M5+42</f>
        <v>46199</v>
      </c>
      <c r="Q5" s="85">
        <f t="shared" ref="Q5:Q95" si="8">P5</f>
        <v>46199</v>
      </c>
      <c r="R5" s="85">
        <v>46199</v>
      </c>
      <c r="S5" s="85">
        <f>P5+14</f>
        <v>46213</v>
      </c>
      <c r="T5" s="85">
        <f t="shared" ref="T5:T95" si="9">S5</f>
        <v>46213</v>
      </c>
      <c r="U5" s="85">
        <v>46204</v>
      </c>
      <c r="W5" s="173" t="str">
        <f t="shared" ref="W5:W86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73" t="str">
        <f t="shared" ref="X5:X86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73" t="str">
        <f t="shared" ref="Y5:Y86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4" t="str">
        <f t="shared" ref="Z5:Z86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66</v>
      </c>
      <c r="B6" s="87" t="s">
        <v>34</v>
      </c>
      <c r="C6" s="87" t="s">
        <v>969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6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95" si="14">P6+14</f>
        <v>46213</v>
      </c>
      <c r="T6" s="85">
        <f t="shared" si="9"/>
        <v>46213</v>
      </c>
      <c r="U6" s="85">
        <v>46233</v>
      </c>
      <c r="W6" s="173" t="str">
        <f t="shared" ca="1" si="10"/>
        <v>Completed</v>
      </c>
      <c r="X6" s="173" t="str">
        <f t="shared" ca="1" si="11"/>
        <v>Completed</v>
      </c>
      <c r="Y6" s="173" t="str">
        <f t="shared" ca="1" si="12"/>
        <v>Completed</v>
      </c>
      <c r="Z6" s="174" t="str">
        <f t="shared" ca="1" si="13"/>
        <v>Completed</v>
      </c>
    </row>
    <row r="7" spans="1:26" s="70" customFormat="1" ht="11.5" x14ac:dyDescent="0.25">
      <c r="A7" s="71" t="s">
        <v>66</v>
      </c>
      <c r="B7" s="87" t="s">
        <v>34</v>
      </c>
      <c r="C7" s="87" t="s">
        <v>970</v>
      </c>
      <c r="D7" s="87" t="s">
        <v>1167</v>
      </c>
      <c r="E7" s="86">
        <f t="shared" si="0"/>
        <v>1</v>
      </c>
      <c r="F7" s="86">
        <f t="shared" si="1"/>
        <v>1</v>
      </c>
      <c r="G7" s="86">
        <f t="shared" si="2"/>
        <v>0.7</v>
      </c>
      <c r="H7" s="81">
        <f t="shared" si="3"/>
        <v>-0.30000000000000004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6">
        <v>46171</v>
      </c>
      <c r="P7" s="85">
        <f t="shared" si="7"/>
        <v>46199</v>
      </c>
      <c r="Q7" s="85">
        <f t="shared" si="8"/>
        <v>46199</v>
      </c>
      <c r="R7" s="85"/>
      <c r="S7" s="85">
        <f t="shared" si="14"/>
        <v>46213</v>
      </c>
      <c r="T7" s="85">
        <f t="shared" si="9"/>
        <v>46213</v>
      </c>
      <c r="U7" s="85"/>
      <c r="W7" s="173" t="str">
        <f t="shared" ca="1" si="10"/>
        <v>Completed</v>
      </c>
      <c r="X7" s="173" t="str">
        <f t="shared" ca="1" si="11"/>
        <v>Completed</v>
      </c>
      <c r="Y7" s="173" t="str">
        <f t="shared" ca="1" si="12"/>
        <v>Overdue</v>
      </c>
      <c r="Z7" s="174" t="str">
        <f t="shared" ca="1" si="13"/>
        <v>Overdue</v>
      </c>
    </row>
    <row r="8" spans="1:26" s="70" customFormat="1" ht="11.5" x14ac:dyDescent="0.25">
      <c r="A8" s="71" t="s">
        <v>66</v>
      </c>
      <c r="B8" s="87" t="s">
        <v>34</v>
      </c>
      <c r="C8" s="87" t="s">
        <v>971</v>
      </c>
      <c r="D8" s="87" t="s">
        <v>59</v>
      </c>
      <c r="E8" s="86">
        <f t="shared" ref="E8:E95" si="15">(COUNTIFS(J8,"&lt;="&amp;$C$1)*50%)+(COUNTIFS(M8,"&lt;="&amp;$C$1)*20%)+(COUNTIFS(P8,"&lt;="&amp;$C$1)*10%)+(COUNTIFS(S8,"&lt;="&amp;$C$1)*20%)</f>
        <v>1</v>
      </c>
      <c r="F8" s="86">
        <f t="shared" ref="F8:F95" si="16">(COUNTIFS(K8,"&lt;="&amp;$C$1)*50%)+(COUNTIFS(N8,"&lt;="&amp;$C$1)*20%)+(COUNTIFS(Q8,"&lt;="&amp;$C$1)*10%)+(COUNTIFS(T8,"&lt;="&amp;$C$1)*20%)</f>
        <v>1</v>
      </c>
      <c r="G8" s="86">
        <f t="shared" ref="G8:G93" si="17">(COUNTIFS(L8,"&lt;="&amp;$C$1)*50%)+(COUNTIFS(O8,"&lt;="&amp;$C$1)*20%)+(COUNTIFS(R8,"&lt;="&amp;$C$1)*10%)+(COUNTIFS(U8,"&lt;="&amp;$C$1)*20%)</f>
        <v>1</v>
      </c>
      <c r="H8" s="81">
        <f t="shared" ref="H8:H95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73" t="str">
        <f t="shared" ca="1" si="10"/>
        <v>Completed</v>
      </c>
      <c r="X8" s="173" t="str">
        <f t="shared" ca="1" si="11"/>
        <v>Completed</v>
      </c>
      <c r="Y8" s="173" t="str">
        <f t="shared" ca="1" si="12"/>
        <v>Completed</v>
      </c>
      <c r="Z8" s="174" t="str">
        <f t="shared" ca="1" si="13"/>
        <v>Completed</v>
      </c>
    </row>
    <row r="9" spans="1:26" s="70" customFormat="1" ht="11.5" x14ac:dyDescent="0.25">
      <c r="A9" s="178" t="s">
        <v>66</v>
      </c>
      <c r="B9" s="162" t="s">
        <v>34</v>
      </c>
      <c r="C9" s="162" t="s">
        <v>74</v>
      </c>
      <c r="D9" s="162" t="s">
        <v>1127</v>
      </c>
      <c r="E9" s="163">
        <f t="shared" si="15"/>
        <v>1</v>
      </c>
      <c r="F9" s="163">
        <f t="shared" si="16"/>
        <v>1</v>
      </c>
      <c r="G9" s="163">
        <f t="shared" si="17"/>
        <v>1</v>
      </c>
      <c r="H9" s="156">
        <f t="shared" si="18"/>
        <v>0</v>
      </c>
      <c r="I9" s="157">
        <v>0.25</v>
      </c>
      <c r="J9" s="159">
        <v>46122</v>
      </c>
      <c r="K9" s="159">
        <f t="shared" si="4"/>
        <v>46122</v>
      </c>
      <c r="L9" s="159">
        <v>46142</v>
      </c>
      <c r="M9" s="159">
        <f t="shared" si="5"/>
        <v>46164</v>
      </c>
      <c r="N9" s="159">
        <f t="shared" si="6"/>
        <v>46164</v>
      </c>
      <c r="O9" s="159">
        <v>46206</v>
      </c>
      <c r="P9" s="159">
        <f t="shared" si="7"/>
        <v>46206</v>
      </c>
      <c r="Q9" s="159">
        <f t="shared" si="8"/>
        <v>46206</v>
      </c>
      <c r="R9" s="159">
        <v>46227</v>
      </c>
      <c r="S9" s="159">
        <f t="shared" si="14"/>
        <v>46220</v>
      </c>
      <c r="T9" s="159">
        <f t="shared" si="9"/>
        <v>46220</v>
      </c>
      <c r="U9" s="159">
        <v>46227</v>
      </c>
      <c r="W9" s="173" t="str">
        <f t="shared" ca="1" si="10"/>
        <v>Completed</v>
      </c>
      <c r="X9" s="173" t="str">
        <f t="shared" ca="1" si="11"/>
        <v>Completed</v>
      </c>
      <c r="Y9" s="173" t="str">
        <f t="shared" ca="1" si="12"/>
        <v>Completed</v>
      </c>
      <c r="Z9" s="174" t="str">
        <f t="shared" ca="1" si="13"/>
        <v>Completed</v>
      </c>
    </row>
    <row r="10" spans="1:26" s="70" customFormat="1" ht="11.5" x14ac:dyDescent="0.25">
      <c r="A10" s="93" t="s">
        <v>66</v>
      </c>
      <c r="B10" s="92" t="s">
        <v>34</v>
      </c>
      <c r="C10" s="92" t="s">
        <v>74</v>
      </c>
      <c r="D10" s="92" t="s">
        <v>1128</v>
      </c>
      <c r="E10" s="94">
        <f t="shared" ref="E10" si="19">(COUNTIFS(J10,"&lt;="&amp;$C$1)*50%)+(COUNTIFS(M10,"&lt;="&amp;$C$1)*20%)+(COUNTIFS(P10,"&lt;="&amp;$C$1)*10%)+(COUNTIFS(S10,"&lt;="&amp;$C$1)*20%)</f>
        <v>0.79999999999999993</v>
      </c>
      <c r="F10" s="94">
        <f t="shared" ref="F10" si="20">(COUNTIFS(K10,"&lt;="&amp;$C$1)*50%)+(COUNTIFS(N10,"&lt;="&amp;$C$1)*20%)+(COUNTIFS(Q10,"&lt;="&amp;$C$1)*10%)+(COUNTIFS(T10,"&lt;="&amp;$C$1)*20%)</f>
        <v>0.79999999999999993</v>
      </c>
      <c r="G10" s="94">
        <f t="shared" ref="G10" si="21">(COUNTIFS(L10,"&lt;="&amp;$C$1)*50%)+(COUNTIFS(O10,"&lt;="&amp;$C$1)*20%)+(COUNTIFS(R10,"&lt;="&amp;$C$1)*10%)+(COUNTIFS(U10,"&lt;="&amp;$C$1)*20%)</f>
        <v>0.7</v>
      </c>
      <c r="H10" s="95">
        <f t="shared" ref="H10" si="22">G10-E10</f>
        <v>-9.9999999999999978E-2</v>
      </c>
      <c r="I10" s="96">
        <v>0.25</v>
      </c>
      <c r="J10" s="90">
        <v>46122</v>
      </c>
      <c r="K10" s="90">
        <f t="shared" ref="K10" si="23">J10</f>
        <v>46122</v>
      </c>
      <c r="L10" s="90">
        <v>46142</v>
      </c>
      <c r="M10" s="90">
        <f t="shared" ref="M10" si="24">J10+42</f>
        <v>46164</v>
      </c>
      <c r="N10" s="90">
        <f t="shared" ref="N10" si="25">M10</f>
        <v>46164</v>
      </c>
      <c r="O10" s="90">
        <v>46206</v>
      </c>
      <c r="P10" s="90">
        <v>46249</v>
      </c>
      <c r="Q10" s="90">
        <f t="shared" ref="Q10" si="26">P10</f>
        <v>46249</v>
      </c>
      <c r="R10" s="90"/>
      <c r="S10" s="90">
        <f t="shared" ref="S10" si="27">P10+14</f>
        <v>46263</v>
      </c>
      <c r="T10" s="90">
        <f t="shared" ref="T10" si="28">S10</f>
        <v>46263</v>
      </c>
      <c r="U10" s="90"/>
      <c r="W10" s="173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73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73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>Overdue</v>
      </c>
      <c r="Z10" s="174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>Overdue</v>
      </c>
    </row>
    <row r="11" spans="1:26" s="70" customFormat="1" ht="10.5" customHeight="1" x14ac:dyDescent="0.25">
      <c r="A11" s="178" t="s">
        <v>66</v>
      </c>
      <c r="B11" s="162" t="s">
        <v>34</v>
      </c>
      <c r="C11" s="162" t="s">
        <v>75</v>
      </c>
      <c r="D11" s="162" t="s">
        <v>1129</v>
      </c>
      <c r="E11" s="163">
        <f t="shared" si="15"/>
        <v>1</v>
      </c>
      <c r="F11" s="163">
        <f t="shared" si="16"/>
        <v>1</v>
      </c>
      <c r="G11" s="163">
        <f t="shared" si="17"/>
        <v>1</v>
      </c>
      <c r="H11" s="156">
        <f t="shared" si="18"/>
        <v>0</v>
      </c>
      <c r="I11" s="157">
        <v>0.25</v>
      </c>
      <c r="J11" s="159">
        <v>46136</v>
      </c>
      <c r="K11" s="159">
        <f t="shared" si="4"/>
        <v>46136</v>
      </c>
      <c r="L11" s="159">
        <v>46164</v>
      </c>
      <c r="M11" s="159">
        <f t="shared" si="5"/>
        <v>46178</v>
      </c>
      <c r="N11" s="159">
        <f t="shared" si="6"/>
        <v>46178</v>
      </c>
      <c r="O11" s="159">
        <v>46206</v>
      </c>
      <c r="P11" s="159">
        <f t="shared" si="7"/>
        <v>46220</v>
      </c>
      <c r="Q11" s="159">
        <f t="shared" si="8"/>
        <v>46220</v>
      </c>
      <c r="R11" s="159">
        <v>46227</v>
      </c>
      <c r="S11" s="159">
        <f t="shared" si="14"/>
        <v>46234</v>
      </c>
      <c r="T11" s="159">
        <f t="shared" si="9"/>
        <v>46234</v>
      </c>
      <c r="U11" s="159">
        <v>46227</v>
      </c>
      <c r="W11" s="173" t="str">
        <f t="shared" ca="1" si="10"/>
        <v>Completed</v>
      </c>
      <c r="X11" s="173" t="str">
        <f t="shared" ca="1" si="11"/>
        <v>Completed</v>
      </c>
      <c r="Y11" s="173" t="str">
        <f t="shared" ca="1" si="12"/>
        <v>Completed</v>
      </c>
      <c r="Z11" s="174" t="str">
        <f t="shared" ca="1" si="13"/>
        <v>Completed</v>
      </c>
    </row>
    <row r="12" spans="1:26" s="70" customFormat="1" ht="10.5" customHeight="1" x14ac:dyDescent="0.25">
      <c r="A12" s="93" t="s">
        <v>66</v>
      </c>
      <c r="B12" s="92" t="s">
        <v>34</v>
      </c>
      <c r="C12" s="92" t="s">
        <v>75</v>
      </c>
      <c r="D12" s="92" t="s">
        <v>1130</v>
      </c>
      <c r="E12" s="94">
        <f t="shared" ref="E12" si="33">(COUNTIFS(J12,"&lt;="&amp;$C$1)*50%)+(COUNTIFS(M12,"&lt;="&amp;$C$1)*20%)+(COUNTIFS(P12,"&lt;="&amp;$C$1)*10%)+(COUNTIFS(S12,"&lt;="&amp;$C$1)*20%)</f>
        <v>0.79999999999999993</v>
      </c>
      <c r="F12" s="94">
        <f t="shared" ref="F12" si="34">(COUNTIFS(K12,"&lt;="&amp;$C$1)*50%)+(COUNTIFS(N12,"&lt;="&amp;$C$1)*20%)+(COUNTIFS(Q12,"&lt;="&amp;$C$1)*10%)+(COUNTIFS(T12,"&lt;="&amp;$C$1)*20%)</f>
        <v>0.79999999999999993</v>
      </c>
      <c r="G12" s="94">
        <f t="shared" ref="G12" si="35">(COUNTIFS(L12,"&lt;="&amp;$C$1)*50%)+(COUNTIFS(O12,"&lt;="&amp;$C$1)*20%)+(COUNTIFS(R12,"&lt;="&amp;$C$1)*10%)+(COUNTIFS(U12,"&lt;="&amp;$C$1)*20%)</f>
        <v>0.7</v>
      </c>
      <c r="H12" s="95">
        <f t="shared" ref="H12" si="36">G12-E12</f>
        <v>-9.9999999999999978E-2</v>
      </c>
      <c r="I12" s="96">
        <v>0.25</v>
      </c>
      <c r="J12" s="90">
        <v>46136</v>
      </c>
      <c r="K12" s="90">
        <f t="shared" ref="K12" si="37">J12</f>
        <v>46136</v>
      </c>
      <c r="L12" s="90">
        <v>46164</v>
      </c>
      <c r="M12" s="90">
        <f t="shared" ref="M12" si="38">J12+42</f>
        <v>46178</v>
      </c>
      <c r="N12" s="90">
        <f t="shared" ref="N12" si="39">M12</f>
        <v>46178</v>
      </c>
      <c r="O12" s="90">
        <v>46206</v>
      </c>
      <c r="P12" s="90">
        <v>46256</v>
      </c>
      <c r="Q12" s="90">
        <f t="shared" ref="Q12" si="40">P12</f>
        <v>46256</v>
      </c>
      <c r="R12" s="90"/>
      <c r="S12" s="90">
        <f t="shared" ref="S12" si="41">P12+14</f>
        <v>46270</v>
      </c>
      <c r="T12" s="90">
        <f t="shared" ref="T12" si="42">S12</f>
        <v>46270</v>
      </c>
      <c r="U12" s="90"/>
      <c r="W12" s="173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73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73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>Overdue</v>
      </c>
      <c r="Z12" s="174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>Follow-This Week</v>
      </c>
    </row>
    <row r="13" spans="1:26" s="70" customFormat="1" ht="11.5" x14ac:dyDescent="0.25">
      <c r="A13" s="178" t="s">
        <v>66</v>
      </c>
      <c r="B13" s="178" t="s">
        <v>34</v>
      </c>
      <c r="C13" s="178" t="s">
        <v>76</v>
      </c>
      <c r="D13" s="178" t="s">
        <v>1131</v>
      </c>
      <c r="E13" s="156">
        <f t="shared" si="15"/>
        <v>1</v>
      </c>
      <c r="F13" s="156">
        <f t="shared" si="16"/>
        <v>1</v>
      </c>
      <c r="G13" s="156">
        <f t="shared" si="17"/>
        <v>1</v>
      </c>
      <c r="H13" s="156">
        <f t="shared" si="18"/>
        <v>0</v>
      </c>
      <c r="I13" s="157">
        <v>0.25</v>
      </c>
      <c r="J13" s="159">
        <v>46143</v>
      </c>
      <c r="K13" s="159">
        <f t="shared" si="4"/>
        <v>46143</v>
      </c>
      <c r="L13" s="179">
        <v>46161</v>
      </c>
      <c r="M13" s="159">
        <f t="shared" si="5"/>
        <v>46185</v>
      </c>
      <c r="N13" s="159">
        <f t="shared" si="6"/>
        <v>46185</v>
      </c>
      <c r="O13" s="159">
        <v>46199</v>
      </c>
      <c r="P13" s="159">
        <f t="shared" si="7"/>
        <v>46227</v>
      </c>
      <c r="Q13" s="159">
        <f t="shared" si="8"/>
        <v>46227</v>
      </c>
      <c r="R13" s="179">
        <v>46227</v>
      </c>
      <c r="S13" s="159">
        <f t="shared" si="14"/>
        <v>46241</v>
      </c>
      <c r="T13" s="159">
        <f t="shared" si="9"/>
        <v>46241</v>
      </c>
      <c r="U13" s="179">
        <v>46227</v>
      </c>
      <c r="W13" s="173" t="str">
        <f t="shared" ca="1" si="10"/>
        <v>Completed</v>
      </c>
      <c r="X13" s="173" t="str">
        <f t="shared" ca="1" si="11"/>
        <v>Completed</v>
      </c>
      <c r="Y13" s="173" t="str">
        <f t="shared" ca="1" si="12"/>
        <v>Completed</v>
      </c>
      <c r="Z13" s="174" t="str">
        <f t="shared" ca="1" si="13"/>
        <v>Completed</v>
      </c>
    </row>
    <row r="14" spans="1:26" s="70" customFormat="1" ht="11.5" x14ac:dyDescent="0.25">
      <c r="A14" s="93" t="s">
        <v>66</v>
      </c>
      <c r="B14" s="93" t="s">
        <v>34</v>
      </c>
      <c r="C14" s="93" t="s">
        <v>76</v>
      </c>
      <c r="D14" s="93" t="s">
        <v>1132</v>
      </c>
      <c r="E14" s="95">
        <f t="shared" ref="E14" si="47">(COUNTIFS(J14,"&lt;="&amp;$C$1)*50%)+(COUNTIFS(M14,"&lt;="&amp;$C$1)*20%)+(COUNTIFS(P14,"&lt;="&amp;$C$1)*10%)+(COUNTIFS(S14,"&lt;="&amp;$C$1)*20%)</f>
        <v>0.79999999999999993</v>
      </c>
      <c r="F14" s="95">
        <f t="shared" ref="F14" si="48">(COUNTIFS(K14,"&lt;="&amp;$C$1)*50%)+(COUNTIFS(N14,"&lt;="&amp;$C$1)*20%)+(COUNTIFS(Q14,"&lt;="&amp;$C$1)*10%)+(COUNTIFS(T14,"&lt;="&amp;$C$1)*20%)</f>
        <v>0.79999999999999993</v>
      </c>
      <c r="G14" s="95">
        <f t="shared" ref="G14" si="49">(COUNTIFS(L14,"&lt;="&amp;$C$1)*50%)+(COUNTIFS(O14,"&lt;="&amp;$C$1)*20%)+(COUNTIFS(R14,"&lt;="&amp;$C$1)*10%)+(COUNTIFS(U14,"&lt;="&amp;$C$1)*20%)</f>
        <v>0.79999999999999993</v>
      </c>
      <c r="H14" s="95">
        <f t="shared" ref="H14" si="50">G14-E14</f>
        <v>0</v>
      </c>
      <c r="I14" s="96">
        <v>0.25</v>
      </c>
      <c r="J14" s="90">
        <v>46143</v>
      </c>
      <c r="K14" s="90">
        <f t="shared" ref="K14" si="51">J14</f>
        <v>46143</v>
      </c>
      <c r="L14" s="98">
        <v>46161</v>
      </c>
      <c r="M14" s="90">
        <f t="shared" ref="M14" si="52">J14+42</f>
        <v>46185</v>
      </c>
      <c r="N14" s="90">
        <f t="shared" ref="N14" si="53">M14</f>
        <v>46185</v>
      </c>
      <c r="O14" s="90">
        <v>46199</v>
      </c>
      <c r="P14" s="90">
        <v>46249</v>
      </c>
      <c r="Q14" s="90">
        <f t="shared" ref="Q14" si="54">P14</f>
        <v>46249</v>
      </c>
      <c r="R14" s="165">
        <v>46262</v>
      </c>
      <c r="S14" s="90">
        <f t="shared" ref="S14" si="55">P14+14</f>
        <v>46263</v>
      </c>
      <c r="T14" s="90">
        <f t="shared" ref="T14" si="56">S14</f>
        <v>46263</v>
      </c>
      <c r="U14" s="98"/>
      <c r="W14" s="173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73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73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>Completed</v>
      </c>
      <c r="Z14" s="174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>Overdue</v>
      </c>
    </row>
    <row r="15" spans="1:26" s="70" customFormat="1" ht="11.5" x14ac:dyDescent="0.25">
      <c r="A15" s="178" t="s">
        <v>66</v>
      </c>
      <c r="B15" s="178" t="s">
        <v>34</v>
      </c>
      <c r="C15" s="178" t="s">
        <v>77</v>
      </c>
      <c r="D15" s="178" t="s">
        <v>1159</v>
      </c>
      <c r="E15" s="156">
        <f t="shared" si="15"/>
        <v>1</v>
      </c>
      <c r="F15" s="156">
        <f t="shared" si="16"/>
        <v>1</v>
      </c>
      <c r="G15" s="156">
        <f t="shared" si="17"/>
        <v>1</v>
      </c>
      <c r="H15" s="163">
        <f t="shared" si="18"/>
        <v>0</v>
      </c>
      <c r="I15" s="164">
        <v>0.2</v>
      </c>
      <c r="J15" s="159">
        <v>46150</v>
      </c>
      <c r="K15" s="159">
        <f t="shared" si="4"/>
        <v>46150</v>
      </c>
      <c r="L15" s="159">
        <v>46142</v>
      </c>
      <c r="M15" s="159">
        <f t="shared" si="5"/>
        <v>46192</v>
      </c>
      <c r="N15" s="159">
        <f t="shared" si="6"/>
        <v>46192</v>
      </c>
      <c r="O15" s="159">
        <v>46214</v>
      </c>
      <c r="P15" s="159">
        <f t="shared" si="7"/>
        <v>46234</v>
      </c>
      <c r="Q15" s="159">
        <f t="shared" si="8"/>
        <v>46234</v>
      </c>
      <c r="R15" s="159">
        <v>46255</v>
      </c>
      <c r="S15" s="159">
        <f t="shared" si="14"/>
        <v>46248</v>
      </c>
      <c r="T15" s="159">
        <f t="shared" si="9"/>
        <v>46248</v>
      </c>
      <c r="U15" s="159">
        <v>46255</v>
      </c>
      <c r="W15" s="173" t="str">
        <f t="shared" ca="1" si="10"/>
        <v>Completed</v>
      </c>
      <c r="X15" s="173" t="str">
        <f t="shared" ca="1" si="11"/>
        <v>Completed</v>
      </c>
      <c r="Y15" s="173" t="str">
        <f t="shared" ca="1" si="12"/>
        <v>Completed</v>
      </c>
      <c r="Z15" s="174" t="str">
        <f t="shared" ca="1" si="13"/>
        <v>Completed</v>
      </c>
    </row>
    <row r="16" spans="1:26" s="70" customFormat="1" ht="11.5" x14ac:dyDescent="0.25">
      <c r="A16" s="93" t="s">
        <v>66</v>
      </c>
      <c r="B16" s="93" t="s">
        <v>34</v>
      </c>
      <c r="C16" s="93" t="s">
        <v>77</v>
      </c>
      <c r="D16" s="93" t="s">
        <v>1163</v>
      </c>
      <c r="E16" s="95">
        <f t="shared" ref="E16" si="61">(COUNTIFS(J16,"&lt;="&amp;$C$1)*50%)+(COUNTIFS(M16,"&lt;="&amp;$C$1)*20%)+(COUNTIFS(P16,"&lt;="&amp;$C$1)*10%)+(COUNTIFS(S16,"&lt;="&amp;$C$1)*20%)</f>
        <v>1</v>
      </c>
      <c r="F16" s="95">
        <f t="shared" ref="F16" si="62">(COUNTIFS(K16,"&lt;="&amp;$C$1)*50%)+(COUNTIFS(N16,"&lt;="&amp;$C$1)*20%)+(COUNTIFS(Q16,"&lt;="&amp;$C$1)*10%)+(COUNTIFS(T16,"&lt;="&amp;$C$1)*20%)</f>
        <v>1</v>
      </c>
      <c r="G16" s="95">
        <f t="shared" ref="G16" si="63">(COUNTIFS(L16,"&lt;="&amp;$C$1)*50%)+(COUNTIFS(O16,"&lt;="&amp;$C$1)*20%)+(COUNTIFS(R16,"&lt;="&amp;$C$1)*10%)+(COUNTIFS(U16,"&lt;="&amp;$C$1)*20%)</f>
        <v>0.7</v>
      </c>
      <c r="H16" s="94">
        <f t="shared" ref="H16" si="64">G16-E16</f>
        <v>-0.30000000000000004</v>
      </c>
      <c r="I16" s="130">
        <v>0.3</v>
      </c>
      <c r="J16" s="90">
        <v>46150</v>
      </c>
      <c r="K16" s="90">
        <f t="shared" ref="K16" si="65">J16</f>
        <v>46150</v>
      </c>
      <c r="L16" s="90">
        <v>46142</v>
      </c>
      <c r="M16" s="90">
        <f t="shared" ref="M16" si="66">J16+42</f>
        <v>46192</v>
      </c>
      <c r="N16" s="90">
        <f t="shared" ref="N16" si="67">M16</f>
        <v>46192</v>
      </c>
      <c r="O16" s="90">
        <v>46214</v>
      </c>
      <c r="P16" s="90">
        <f t="shared" ref="P16" si="68">M16+42</f>
        <v>46234</v>
      </c>
      <c r="Q16" s="90">
        <f t="shared" ref="Q16" si="69">P16</f>
        <v>46234</v>
      </c>
      <c r="R16" s="90"/>
      <c r="S16" s="90">
        <f t="shared" ref="S16" si="70">P16+14</f>
        <v>46248</v>
      </c>
      <c r="T16" s="90">
        <f t="shared" ref="T16" si="71">S16</f>
        <v>46248</v>
      </c>
      <c r="U16" s="90"/>
      <c r="W16" s="173" t="str">
        <f t="shared" ref="W16" ca="1" si="72">IF(OR(L16&lt;&gt;""),"Completed",
IF(K16="","",IF(K16&lt;TODAY(),"Overdue",
IF(AND(K16&gt;=TODAY()-WEEKDAY(TODAY(),2)+1,K16&lt;=TODAY()-WEEKDAY(TODAY(),2)+7),"Follow-This Week",
IF(AND(K16&gt;=TODAY()-WEEKDAY(TODAY(),2)+8,K16&lt;=TODAY()-WEEKDAY(TODAY(),2)+14),"Follow-Next Week","")))))</f>
        <v>Completed</v>
      </c>
      <c r="X16" s="173" t="str">
        <f t="shared" ref="X16" ca="1" si="73">IF(OR(O16&lt;&gt;""),"Completed",IF(N16="","",
IF(N16&lt;TODAY(),"Overdue",
IF(AND(N16&gt;=TODAY()-WEEKDAY(TODAY(),2)+1,N16&lt;=TODAY()-WEEKDAY(TODAY(),2)+7),"Follow-This Week",
IF(AND(N16&gt;=TODAY()-WEEKDAY(TODAY(),2)+8,N16&lt;=TODAY()-WEEKDAY(TODAY(),2)+14),"Follow-Next Week","")))))</f>
        <v>Completed</v>
      </c>
      <c r="Y16" s="173" t="str">
        <f t="shared" ref="Y16" ca="1" si="74">IF(OR(R16&lt;&gt;""),"Completed",IF(Q16="","",
IF(Q16&lt;TODAY(),"Overdue",
IF(AND(Q16&gt;=TODAY()-WEEKDAY(TODAY(),2)+1,Q16&lt;=TODAY()-WEEKDAY(TODAY(),2)+7),"Follow-This Week",
IF(AND(Q16&gt;=TODAY()-WEEKDAY(TODAY(),2)+8,Q16&lt;=TODAY()-WEEKDAY(TODAY(),2)+14),"Follow-Next Week","")))))</f>
        <v>Overdue</v>
      </c>
      <c r="Z16" s="174" t="str">
        <f t="shared" ref="Z16" ca="1" si="75">IF(OR(U16&lt;&gt;""),"Completed",IF(T16="","",
IF(T16&lt;TODAY(),"Overdue",
IF(AND(T16&gt;=TODAY()-WEEKDAY(TODAY(),2)+1,T16&lt;=TODAY()-WEEKDAY(TODAY(),2)+7),"Follow-This Week",
IF(AND(T16&gt;=TODAY()-WEEKDAY(TODAY(),2)+8,T16&lt;=TODAY()-WEEKDAY(TODAY(),2)+14),"Follow-Next Week","")))))</f>
        <v>Overdue</v>
      </c>
    </row>
    <row r="17" spans="1:26" s="70" customFormat="1" ht="11.5" x14ac:dyDescent="0.25">
      <c r="A17" s="178" t="s">
        <v>66</v>
      </c>
      <c r="B17" s="178" t="s">
        <v>34</v>
      </c>
      <c r="C17" s="178" t="s">
        <v>78</v>
      </c>
      <c r="D17" s="178" t="s">
        <v>1155</v>
      </c>
      <c r="E17" s="156">
        <f t="shared" si="15"/>
        <v>1</v>
      </c>
      <c r="F17" s="156">
        <f t="shared" si="16"/>
        <v>1</v>
      </c>
      <c r="G17" s="156">
        <f t="shared" si="17"/>
        <v>1</v>
      </c>
      <c r="H17" s="163">
        <f t="shared" si="18"/>
        <v>0</v>
      </c>
      <c r="I17" s="164">
        <v>0.2</v>
      </c>
      <c r="J17" s="159">
        <v>46164</v>
      </c>
      <c r="K17" s="159">
        <f t="shared" si="4"/>
        <v>46164</v>
      </c>
      <c r="L17" s="159">
        <v>46155</v>
      </c>
      <c r="M17" s="159">
        <f t="shared" si="5"/>
        <v>46206</v>
      </c>
      <c r="N17" s="159">
        <f t="shared" si="6"/>
        <v>46206</v>
      </c>
      <c r="O17" s="204">
        <v>46217</v>
      </c>
      <c r="P17" s="159">
        <f t="shared" si="7"/>
        <v>46248</v>
      </c>
      <c r="Q17" s="159">
        <f t="shared" si="8"/>
        <v>46248</v>
      </c>
      <c r="R17" s="159">
        <v>46255</v>
      </c>
      <c r="S17" s="159">
        <f t="shared" si="14"/>
        <v>46262</v>
      </c>
      <c r="T17" s="159">
        <f t="shared" si="9"/>
        <v>46262</v>
      </c>
      <c r="U17" s="159">
        <v>46255</v>
      </c>
      <c r="W17" s="173" t="str">
        <f t="shared" ca="1" si="10"/>
        <v>Completed</v>
      </c>
      <c r="X17" s="173" t="str">
        <f t="shared" ca="1" si="11"/>
        <v>Completed</v>
      </c>
      <c r="Y17" s="173" t="str">
        <f t="shared" ca="1" si="12"/>
        <v>Completed</v>
      </c>
      <c r="Z17" s="174" t="str">
        <f t="shared" ca="1" si="13"/>
        <v>Completed</v>
      </c>
    </row>
    <row r="18" spans="1:26" s="70" customFormat="1" ht="11.5" x14ac:dyDescent="0.25">
      <c r="A18" s="93" t="s">
        <v>66</v>
      </c>
      <c r="B18" s="93" t="s">
        <v>34</v>
      </c>
      <c r="C18" s="93" t="s">
        <v>78</v>
      </c>
      <c r="D18" s="93" t="s">
        <v>1164</v>
      </c>
      <c r="E18" s="95">
        <f t="shared" ref="E18" si="76">(COUNTIFS(J18,"&lt;="&amp;$C$1)*50%)+(COUNTIFS(M18,"&lt;="&amp;$C$1)*20%)+(COUNTIFS(P18,"&lt;="&amp;$C$1)*10%)+(COUNTIFS(S18,"&lt;="&amp;$C$1)*20%)</f>
        <v>1</v>
      </c>
      <c r="F18" s="95">
        <f t="shared" ref="F18" si="77">(COUNTIFS(K18,"&lt;="&amp;$C$1)*50%)+(COUNTIFS(N18,"&lt;="&amp;$C$1)*20%)+(COUNTIFS(Q18,"&lt;="&amp;$C$1)*10%)+(COUNTIFS(T18,"&lt;="&amp;$C$1)*20%)</f>
        <v>1</v>
      </c>
      <c r="G18" s="95">
        <f t="shared" ref="G18" si="78">(COUNTIFS(L18,"&lt;="&amp;$C$1)*50%)+(COUNTIFS(O18,"&lt;="&amp;$C$1)*20%)+(COUNTIFS(R18,"&lt;="&amp;$C$1)*10%)+(COUNTIFS(U18,"&lt;="&amp;$C$1)*20%)</f>
        <v>0.7</v>
      </c>
      <c r="H18" s="94">
        <f t="shared" ref="H18" si="79">G18-E18</f>
        <v>-0.30000000000000004</v>
      </c>
      <c r="I18" s="130">
        <v>0.3</v>
      </c>
      <c r="J18" s="90">
        <v>46164</v>
      </c>
      <c r="K18" s="90">
        <f t="shared" ref="K18" si="80">J18</f>
        <v>46164</v>
      </c>
      <c r="L18" s="90">
        <v>46155</v>
      </c>
      <c r="M18" s="90">
        <f t="shared" ref="M18" si="81">J18+42</f>
        <v>46206</v>
      </c>
      <c r="N18" s="90">
        <f t="shared" ref="N18" si="82">M18</f>
        <v>46206</v>
      </c>
      <c r="O18" s="147">
        <v>46217</v>
      </c>
      <c r="P18" s="90">
        <f t="shared" ref="P18" si="83">M18+42</f>
        <v>46248</v>
      </c>
      <c r="Q18" s="90">
        <f t="shared" ref="Q18" si="84">P18</f>
        <v>46248</v>
      </c>
      <c r="R18" s="90"/>
      <c r="S18" s="90">
        <f t="shared" ref="S18" si="85">P18+14</f>
        <v>46262</v>
      </c>
      <c r="T18" s="90">
        <f t="shared" ref="T18" si="86">S18</f>
        <v>46262</v>
      </c>
      <c r="U18" s="90"/>
      <c r="W18" s="173" t="str">
        <f t="shared" ref="W18" ca="1" si="87">IF(OR(L18&lt;&gt;""),"Completed",
IF(K18="","",IF(K18&lt;TODAY(),"Overdue",
IF(AND(K18&gt;=TODAY()-WEEKDAY(TODAY(),2)+1,K18&lt;=TODAY()-WEEKDAY(TODAY(),2)+7),"Follow-This Week",
IF(AND(K18&gt;=TODAY()-WEEKDAY(TODAY(),2)+8,K18&lt;=TODAY()-WEEKDAY(TODAY(),2)+14),"Follow-Next Week","")))))</f>
        <v>Completed</v>
      </c>
      <c r="X18" s="173" t="str">
        <f t="shared" ref="X18" ca="1" si="88">IF(OR(O18&lt;&gt;""),"Completed",IF(N18="","",
IF(N18&lt;TODAY(),"Overdue",
IF(AND(N18&gt;=TODAY()-WEEKDAY(TODAY(),2)+1,N18&lt;=TODAY()-WEEKDAY(TODAY(),2)+7),"Follow-This Week",
IF(AND(N18&gt;=TODAY()-WEEKDAY(TODAY(),2)+8,N18&lt;=TODAY()-WEEKDAY(TODAY(),2)+14),"Follow-Next Week","")))))</f>
        <v>Completed</v>
      </c>
      <c r="Y18" s="173" t="str">
        <f t="shared" ref="Y18" ca="1" si="89">IF(OR(R18&lt;&gt;""),"Completed",IF(Q18="","",
IF(Q18&lt;TODAY(),"Overdue",
IF(AND(Q18&gt;=TODAY()-WEEKDAY(TODAY(),2)+1,Q18&lt;=TODAY()-WEEKDAY(TODAY(),2)+7),"Follow-This Week",
IF(AND(Q18&gt;=TODAY()-WEEKDAY(TODAY(),2)+8,Q18&lt;=TODAY()-WEEKDAY(TODAY(),2)+14),"Follow-Next Week","")))))</f>
        <v>Overdue</v>
      </c>
      <c r="Z18" s="174" t="str">
        <f t="shared" ref="Z18" ca="1" si="90">IF(OR(U18&lt;&gt;""),"Completed",IF(T18="","",
IF(T18&lt;TODAY(),"Overdue",
IF(AND(T18&gt;=TODAY()-WEEKDAY(TODAY(),2)+1,T18&lt;=TODAY()-WEEKDAY(TODAY(),2)+7),"Follow-This Week",
IF(AND(T18&gt;=TODAY()-WEEKDAY(TODAY(),2)+8,T18&lt;=TODAY()-WEEKDAY(TODAY(),2)+14),"Follow-Next Week","")))))</f>
        <v>Overdue</v>
      </c>
    </row>
    <row r="19" spans="1:26" s="70" customFormat="1" ht="11.5" x14ac:dyDescent="0.25">
      <c r="A19" s="93" t="s">
        <v>66</v>
      </c>
      <c r="B19" s="93" t="s">
        <v>34</v>
      </c>
      <c r="C19" s="93" t="s">
        <v>79</v>
      </c>
      <c r="D19" s="93" t="s">
        <v>80</v>
      </c>
      <c r="E19" s="95">
        <f t="shared" si="15"/>
        <v>0.79999999999999993</v>
      </c>
      <c r="F19" s="95">
        <f t="shared" si="16"/>
        <v>0.79999999999999993</v>
      </c>
      <c r="G19" s="95">
        <f t="shared" si="17"/>
        <v>0.7</v>
      </c>
      <c r="H19" s="94">
        <f t="shared" si="18"/>
        <v>-9.9999999999999978E-2</v>
      </c>
      <c r="I19" s="130">
        <v>0.5</v>
      </c>
      <c r="J19" s="90">
        <v>46178</v>
      </c>
      <c r="K19" s="90">
        <f t="shared" si="4"/>
        <v>46178</v>
      </c>
      <c r="L19" s="90">
        <v>46178</v>
      </c>
      <c r="M19" s="90">
        <f t="shared" si="5"/>
        <v>46220</v>
      </c>
      <c r="N19" s="90">
        <f t="shared" si="6"/>
        <v>46220</v>
      </c>
      <c r="O19" s="90">
        <v>46226</v>
      </c>
      <c r="P19" s="90">
        <f t="shared" si="7"/>
        <v>46262</v>
      </c>
      <c r="Q19" s="90">
        <f t="shared" si="8"/>
        <v>46262</v>
      </c>
      <c r="R19" s="90"/>
      <c r="S19" s="90">
        <f t="shared" si="14"/>
        <v>46276</v>
      </c>
      <c r="T19" s="90">
        <f t="shared" si="9"/>
        <v>46276</v>
      </c>
      <c r="U19" s="90"/>
      <c r="W19" s="173" t="str">
        <f t="shared" ca="1" si="10"/>
        <v>Completed</v>
      </c>
      <c r="X19" s="173" t="str">
        <f t="shared" ca="1" si="11"/>
        <v>Completed</v>
      </c>
      <c r="Y19" s="173" t="str">
        <f t="shared" ca="1" si="12"/>
        <v>Overdue</v>
      </c>
      <c r="Z19" s="174" t="str">
        <f t="shared" ca="1" si="13"/>
        <v>Follow-Next Week</v>
      </c>
    </row>
    <row r="20" spans="1:26" s="70" customFormat="1" ht="11.5" x14ac:dyDescent="0.25">
      <c r="A20" s="93" t="s">
        <v>66</v>
      </c>
      <c r="B20" s="93" t="s">
        <v>34</v>
      </c>
      <c r="C20" s="93" t="s">
        <v>81</v>
      </c>
      <c r="D20" s="93" t="s">
        <v>82</v>
      </c>
      <c r="E20" s="95">
        <f t="shared" si="15"/>
        <v>0.7</v>
      </c>
      <c r="F20" s="95">
        <f t="shared" si="16"/>
        <v>0.7</v>
      </c>
      <c r="G20" s="95">
        <f t="shared" si="17"/>
        <v>0.7</v>
      </c>
      <c r="H20" s="94">
        <f t="shared" si="18"/>
        <v>0</v>
      </c>
      <c r="I20" s="130">
        <v>0.5</v>
      </c>
      <c r="J20" s="90">
        <v>46192</v>
      </c>
      <c r="K20" s="90">
        <f t="shared" si="4"/>
        <v>46192</v>
      </c>
      <c r="L20" s="90">
        <v>46206</v>
      </c>
      <c r="M20" s="90">
        <f t="shared" si="5"/>
        <v>46234</v>
      </c>
      <c r="N20" s="90">
        <f t="shared" si="6"/>
        <v>46234</v>
      </c>
      <c r="O20" s="90">
        <v>46212</v>
      </c>
      <c r="P20" s="90">
        <f t="shared" si="7"/>
        <v>46276</v>
      </c>
      <c r="Q20" s="90">
        <f t="shared" si="8"/>
        <v>46276</v>
      </c>
      <c r="R20" s="90"/>
      <c r="S20" s="90">
        <f t="shared" si="14"/>
        <v>46290</v>
      </c>
      <c r="T20" s="90">
        <f t="shared" si="9"/>
        <v>46290</v>
      </c>
      <c r="U20" s="90"/>
      <c r="W20" s="173" t="str">
        <f t="shared" ca="1" si="10"/>
        <v>Completed</v>
      </c>
      <c r="X20" s="173" t="str">
        <f t="shared" ca="1" si="11"/>
        <v>Completed</v>
      </c>
      <c r="Y20" s="173" t="str">
        <f t="shared" ca="1" si="12"/>
        <v>Follow-Next Week</v>
      </c>
      <c r="Z20" s="174" t="str">
        <f t="shared" ca="1" si="13"/>
        <v/>
      </c>
    </row>
    <row r="21" spans="1:26" s="70" customFormat="1" ht="11.5" x14ac:dyDescent="0.25">
      <c r="A21" s="178" t="s">
        <v>66</v>
      </c>
      <c r="B21" s="178" t="s">
        <v>34</v>
      </c>
      <c r="C21" s="178" t="s">
        <v>83</v>
      </c>
      <c r="D21" s="178" t="s">
        <v>1160</v>
      </c>
      <c r="E21" s="156">
        <f t="shared" si="15"/>
        <v>1</v>
      </c>
      <c r="F21" s="156">
        <f t="shared" si="16"/>
        <v>1</v>
      </c>
      <c r="G21" s="156">
        <f t="shared" si="17"/>
        <v>1</v>
      </c>
      <c r="H21" s="163">
        <f t="shared" si="18"/>
        <v>0</v>
      </c>
      <c r="I21" s="164">
        <v>0.2</v>
      </c>
      <c r="J21" s="159">
        <v>46157</v>
      </c>
      <c r="K21" s="159">
        <f t="shared" si="4"/>
        <v>46157</v>
      </c>
      <c r="L21" s="159">
        <v>46175</v>
      </c>
      <c r="M21" s="159">
        <f t="shared" si="5"/>
        <v>46199</v>
      </c>
      <c r="N21" s="159">
        <f t="shared" si="6"/>
        <v>46199</v>
      </c>
      <c r="O21" s="204">
        <v>46217</v>
      </c>
      <c r="P21" s="159">
        <f t="shared" si="7"/>
        <v>46241</v>
      </c>
      <c r="Q21" s="159">
        <f t="shared" si="8"/>
        <v>46241</v>
      </c>
      <c r="R21" s="159">
        <v>46255</v>
      </c>
      <c r="S21" s="159">
        <f t="shared" si="14"/>
        <v>46255</v>
      </c>
      <c r="T21" s="159">
        <f t="shared" si="9"/>
        <v>46255</v>
      </c>
      <c r="U21" s="159">
        <v>46255</v>
      </c>
      <c r="W21" s="173" t="str">
        <f t="shared" ca="1" si="10"/>
        <v>Completed</v>
      </c>
      <c r="X21" s="173" t="str">
        <f t="shared" ca="1" si="11"/>
        <v>Completed</v>
      </c>
      <c r="Y21" s="173" t="str">
        <f t="shared" ca="1" si="12"/>
        <v>Completed</v>
      </c>
      <c r="Z21" s="174" t="str">
        <f t="shared" ca="1" si="13"/>
        <v>Completed</v>
      </c>
    </row>
    <row r="22" spans="1:26" s="70" customFormat="1" ht="11.5" x14ac:dyDescent="0.25">
      <c r="A22" s="93" t="s">
        <v>66</v>
      </c>
      <c r="B22" s="93" t="s">
        <v>34</v>
      </c>
      <c r="C22" s="93" t="s">
        <v>83</v>
      </c>
      <c r="D22" s="93" t="s">
        <v>1165</v>
      </c>
      <c r="E22" s="95">
        <f>(COUNTIFS(J22,"&lt;="&amp;$C$1)*50%)+(COUNTIFS(M22,"&lt;="&amp;$C$1)*20%)+(COUNTIFS(P22,"&lt;="&amp;$C$1)*10%)+(COUNTIFS(S22,"&lt;="&amp;$C$1)*20%)</f>
        <v>1</v>
      </c>
      <c r="F22" s="95">
        <f>(COUNTIFS(K22,"&lt;="&amp;$C$1)*50%)+(COUNTIFS(N22,"&lt;="&amp;$C$1)*20%)+(COUNTIFS(Q22,"&lt;="&amp;$C$1)*10%)+(COUNTIFS(T22,"&lt;="&amp;$C$1)*20%)</f>
        <v>1</v>
      </c>
      <c r="G22" s="95">
        <f>(COUNTIFS(L22,"&lt;="&amp;$C$1)*50%)+(COUNTIFS(O22,"&lt;="&amp;$C$1)*20%)+(COUNTIFS(R22,"&lt;="&amp;$C$1)*10%)+(COUNTIFS(U22,"&lt;="&amp;$C$1)*20%)</f>
        <v>0.7</v>
      </c>
      <c r="H22" s="94">
        <f>G22-E22</f>
        <v>-0.30000000000000004</v>
      </c>
      <c r="I22" s="130">
        <v>0.3</v>
      </c>
      <c r="J22" s="90">
        <v>46157</v>
      </c>
      <c r="K22" s="90">
        <f>J22</f>
        <v>46157</v>
      </c>
      <c r="L22" s="90">
        <v>46175</v>
      </c>
      <c r="M22" s="90">
        <f>J22+42</f>
        <v>46199</v>
      </c>
      <c r="N22" s="90">
        <f>M22</f>
        <v>46199</v>
      </c>
      <c r="O22" s="147">
        <v>46217</v>
      </c>
      <c r="P22" s="90">
        <f>M22+42</f>
        <v>46241</v>
      </c>
      <c r="Q22" s="90">
        <f>P22</f>
        <v>46241</v>
      </c>
      <c r="R22" s="90"/>
      <c r="S22" s="90">
        <f>P22+14</f>
        <v>46255</v>
      </c>
      <c r="T22" s="90">
        <f>S22</f>
        <v>46255</v>
      </c>
      <c r="U22" s="90"/>
      <c r="W22" s="173" t="str">
        <f ca="1">IF(OR(L22&lt;&gt;""),"Completed",
IF(K22="","",IF(K22&lt;TODAY(),"Overdue",
IF(AND(K22&gt;=TODAY()-WEEKDAY(TODAY(),2)+1,K22&lt;=TODAY()-WEEKDAY(TODAY(),2)+7),"Follow-This Week",
IF(AND(K22&gt;=TODAY()-WEEKDAY(TODAY(),2)+8,K22&lt;=TODAY()-WEEKDAY(TODAY(),2)+14),"Follow-Next Week","")))))</f>
        <v>Completed</v>
      </c>
      <c r="X22" s="173" t="str">
        <f ca="1">IF(OR(O22&lt;&gt;""),"Completed",IF(N22="","",
IF(N22&lt;TODAY(),"Overdue",
IF(AND(N22&gt;=TODAY()-WEEKDAY(TODAY(),2)+1,N22&lt;=TODAY()-WEEKDAY(TODAY(),2)+7),"Follow-This Week",
IF(AND(N22&gt;=TODAY()-WEEKDAY(TODAY(),2)+8,N22&lt;=TODAY()-WEEKDAY(TODAY(),2)+14),"Follow-Next Week","")))))</f>
        <v>Completed</v>
      </c>
      <c r="Y22" s="173" t="str">
        <f ca="1">IF(OR(R22&lt;&gt;""),"Completed",IF(Q22="","",
IF(Q22&lt;TODAY(),"Overdue",
IF(AND(Q22&gt;=TODAY()-WEEKDAY(TODAY(),2)+1,Q22&lt;=TODAY()-WEEKDAY(TODAY(),2)+7),"Follow-This Week",
IF(AND(Q22&gt;=TODAY()-WEEKDAY(TODAY(),2)+8,Q22&lt;=TODAY()-WEEKDAY(TODAY(),2)+14),"Follow-Next Week","")))))</f>
        <v>Overdue</v>
      </c>
      <c r="Z22" s="174" t="str">
        <f ca="1">IF(OR(U22&lt;&gt;""),"Completed",IF(T22="","",
IF(T22&lt;TODAY(),"Overdue",
IF(AND(T22&gt;=TODAY()-WEEKDAY(TODAY(),2)+1,T22&lt;=TODAY()-WEEKDAY(TODAY(),2)+7),"Follow-This Week",
IF(AND(T22&gt;=TODAY()-WEEKDAY(TODAY(),2)+8,T22&lt;=TODAY()-WEEKDAY(TODAY(),2)+14),"Follow-Next Week","")))))</f>
        <v>Overdue</v>
      </c>
    </row>
    <row r="23" spans="1:26" s="70" customFormat="1" ht="11.5" x14ac:dyDescent="0.25">
      <c r="A23" s="178" t="s">
        <v>66</v>
      </c>
      <c r="B23" s="178" t="s">
        <v>34</v>
      </c>
      <c r="C23" s="178" t="s">
        <v>84</v>
      </c>
      <c r="D23" s="178" t="s">
        <v>1144</v>
      </c>
      <c r="E23" s="156">
        <f t="shared" si="15"/>
        <v>0.7</v>
      </c>
      <c r="F23" s="156">
        <f t="shared" si="16"/>
        <v>0.7</v>
      </c>
      <c r="G23" s="156">
        <f t="shared" si="17"/>
        <v>1</v>
      </c>
      <c r="H23" s="163">
        <f t="shared" si="18"/>
        <v>0.30000000000000004</v>
      </c>
      <c r="I23" s="164">
        <v>0.5</v>
      </c>
      <c r="J23" s="159">
        <v>46188</v>
      </c>
      <c r="K23" s="159">
        <f t="shared" si="4"/>
        <v>46188</v>
      </c>
      <c r="L23" s="159">
        <v>46192</v>
      </c>
      <c r="M23" s="159">
        <f t="shared" si="5"/>
        <v>46230</v>
      </c>
      <c r="N23" s="159">
        <f t="shared" si="6"/>
        <v>46230</v>
      </c>
      <c r="O23" s="159">
        <v>46248</v>
      </c>
      <c r="P23" s="159">
        <f t="shared" si="7"/>
        <v>46272</v>
      </c>
      <c r="Q23" s="159">
        <f t="shared" si="8"/>
        <v>46272</v>
      </c>
      <c r="R23" s="159">
        <v>46248</v>
      </c>
      <c r="S23" s="159">
        <f t="shared" si="14"/>
        <v>46286</v>
      </c>
      <c r="T23" s="159">
        <f t="shared" si="9"/>
        <v>46286</v>
      </c>
      <c r="U23" s="159">
        <v>46248</v>
      </c>
      <c r="W23" s="173" t="str">
        <f t="shared" ca="1" si="10"/>
        <v>Completed</v>
      </c>
      <c r="X23" s="173" t="str">
        <f t="shared" ca="1" si="11"/>
        <v>Completed</v>
      </c>
      <c r="Y23" s="173" t="str">
        <f t="shared" ca="1" si="12"/>
        <v>Completed</v>
      </c>
      <c r="Z23" s="174" t="str">
        <f t="shared" ca="1" si="13"/>
        <v>Completed</v>
      </c>
    </row>
    <row r="24" spans="1:26" s="70" customFormat="1" ht="11.5" x14ac:dyDescent="0.25">
      <c r="A24" s="92" t="s">
        <v>66</v>
      </c>
      <c r="B24" s="92" t="s">
        <v>34</v>
      </c>
      <c r="C24" s="92" t="s">
        <v>84</v>
      </c>
      <c r="D24" s="92" t="s">
        <v>1154</v>
      </c>
      <c r="E24" s="94">
        <f t="shared" ref="E24" si="91">(COUNTIFS(J24,"&lt;="&amp;$C$1)*50%)+(COUNTIFS(M24,"&lt;="&amp;$C$1)*20%)+(COUNTIFS(P24,"&lt;="&amp;$C$1)*10%)+(COUNTIFS(S24,"&lt;="&amp;$C$1)*20%)</f>
        <v>0.7</v>
      </c>
      <c r="F24" s="94">
        <f t="shared" ref="F24" si="92">(COUNTIFS(K24,"&lt;="&amp;$C$1)*50%)+(COUNTIFS(N24,"&lt;="&amp;$C$1)*20%)+(COUNTIFS(Q24,"&lt;="&amp;$C$1)*10%)+(COUNTIFS(T24,"&lt;="&amp;$C$1)*20%)</f>
        <v>0.7</v>
      </c>
      <c r="G24" s="94">
        <f t="shared" ref="G24" si="93">(COUNTIFS(L24,"&lt;="&amp;$C$1)*50%)+(COUNTIFS(O24,"&lt;="&amp;$C$1)*20%)+(COUNTIFS(R24,"&lt;="&amp;$C$1)*10%)+(COUNTIFS(U24,"&lt;="&amp;$C$1)*20%)</f>
        <v>0.5</v>
      </c>
      <c r="H24" s="94">
        <f t="shared" ref="H24" si="94">G24-E24</f>
        <v>-0.19999999999999996</v>
      </c>
      <c r="I24" s="130">
        <v>0.25</v>
      </c>
      <c r="J24" s="90">
        <v>46188</v>
      </c>
      <c r="K24" s="90">
        <f t="shared" ref="K24" si="95">J24</f>
        <v>46188</v>
      </c>
      <c r="L24" s="90">
        <v>46192</v>
      </c>
      <c r="M24" s="90">
        <v>46230</v>
      </c>
      <c r="N24" s="90">
        <f t="shared" ref="N24" si="96">M24</f>
        <v>46230</v>
      </c>
      <c r="O24" s="90"/>
      <c r="P24" s="90">
        <f>M24+63</f>
        <v>46293</v>
      </c>
      <c r="Q24" s="90">
        <f t="shared" ref="Q24" si="97">P24</f>
        <v>46293</v>
      </c>
      <c r="R24" s="90"/>
      <c r="S24" s="90">
        <f t="shared" ref="S24" si="98">P24+14</f>
        <v>46307</v>
      </c>
      <c r="T24" s="90">
        <f t="shared" ref="T24" si="99">S24</f>
        <v>46307</v>
      </c>
      <c r="U24" s="90"/>
      <c r="W24" s="173" t="str">
        <f t="shared" ref="W24" ca="1" si="100">IF(OR(L24&lt;&gt;""),"Completed",
IF(K24="","",IF(K24&lt;TODAY(),"Overdue",
IF(AND(K24&gt;=TODAY()-WEEKDAY(TODAY(),2)+1,K24&lt;=TODAY()-WEEKDAY(TODAY(),2)+7),"Follow-This Week",
IF(AND(K24&gt;=TODAY()-WEEKDAY(TODAY(),2)+8,K24&lt;=TODAY()-WEEKDAY(TODAY(),2)+14),"Follow-Next Week","")))))</f>
        <v>Completed</v>
      </c>
      <c r="X24" s="173" t="str">
        <f t="shared" ref="X24" ca="1" si="101">IF(OR(O24&lt;&gt;""),"Completed",IF(N24="","",
IF(N24&lt;TODAY(),"Overdue",
IF(AND(N24&gt;=TODAY()-WEEKDAY(TODAY(),2)+1,N24&lt;=TODAY()-WEEKDAY(TODAY(),2)+7),"Follow-This Week",
IF(AND(N24&gt;=TODAY()-WEEKDAY(TODAY(),2)+8,N24&lt;=TODAY()-WEEKDAY(TODAY(),2)+14),"Follow-Next Week","")))))</f>
        <v>Overdue</v>
      </c>
      <c r="Y24" s="173" t="str">
        <f t="shared" ref="Y24" ca="1" si="102">IF(OR(R24&lt;&gt;""),"Completed",IF(Q24="","",
IF(Q24&lt;TODAY(),"Overdue",
IF(AND(Q24&gt;=TODAY()-WEEKDAY(TODAY(),2)+1,Q24&lt;=TODAY()-WEEKDAY(TODAY(),2)+7),"Follow-This Week",
IF(AND(Q24&gt;=TODAY()-WEEKDAY(TODAY(),2)+8,Q24&lt;=TODAY()-WEEKDAY(TODAY(),2)+14),"Follow-Next Week","")))))</f>
        <v/>
      </c>
      <c r="Z24" s="174" t="str">
        <f t="shared" ref="Z24" ca="1" si="103">IF(OR(U24&lt;&gt;""),"Completed",IF(T24="","",
IF(T24&lt;TODAY(),"Overdue",
IF(AND(T24&gt;=TODAY()-WEEKDAY(TODAY(),2)+1,T24&lt;=TODAY()-WEEKDAY(TODAY(),2)+7),"Follow-This Week",
IF(AND(T24&gt;=TODAY()-WEEKDAY(TODAY(),2)+8,T24&lt;=TODAY()-WEEKDAY(TODAY(),2)+14),"Follow-Next Week","")))))</f>
        <v/>
      </c>
    </row>
    <row r="25" spans="1:26" s="70" customFormat="1" ht="11.5" x14ac:dyDescent="0.25">
      <c r="A25" s="93" t="s">
        <v>66</v>
      </c>
      <c r="B25" s="93" t="s">
        <v>34</v>
      </c>
      <c r="C25" s="93" t="s">
        <v>85</v>
      </c>
      <c r="D25" s="93" t="s">
        <v>86</v>
      </c>
      <c r="E25" s="95">
        <f t="shared" si="15"/>
        <v>0.7</v>
      </c>
      <c r="F25" s="95">
        <f t="shared" si="16"/>
        <v>0.7</v>
      </c>
      <c r="G25" s="95">
        <f t="shared" si="17"/>
        <v>0.7</v>
      </c>
      <c r="H25" s="94">
        <f t="shared" si="18"/>
        <v>0</v>
      </c>
      <c r="I25" s="130">
        <v>0.5</v>
      </c>
      <c r="J25" s="90">
        <v>46206</v>
      </c>
      <c r="K25" s="90">
        <f t="shared" si="4"/>
        <v>46206</v>
      </c>
      <c r="L25" s="90">
        <v>46211</v>
      </c>
      <c r="M25" s="90">
        <f t="shared" si="5"/>
        <v>46248</v>
      </c>
      <c r="N25" s="90">
        <f t="shared" si="6"/>
        <v>46248</v>
      </c>
      <c r="O25" s="91">
        <v>46223</v>
      </c>
      <c r="P25" s="90">
        <f t="shared" si="7"/>
        <v>46290</v>
      </c>
      <c r="Q25" s="90">
        <f t="shared" si="8"/>
        <v>46290</v>
      </c>
      <c r="R25" s="90"/>
      <c r="S25" s="90">
        <f t="shared" si="14"/>
        <v>46304</v>
      </c>
      <c r="T25" s="90">
        <f t="shared" si="9"/>
        <v>46304</v>
      </c>
      <c r="U25" s="90"/>
      <c r="W25" s="173" t="str">
        <f t="shared" ca="1" si="10"/>
        <v>Completed</v>
      </c>
      <c r="X25" s="173" t="str">
        <f t="shared" ca="1" si="11"/>
        <v>Completed</v>
      </c>
      <c r="Y25" s="173" t="str">
        <f t="shared" ca="1" si="12"/>
        <v/>
      </c>
      <c r="Z25" s="174" t="str">
        <f t="shared" ca="1" si="13"/>
        <v/>
      </c>
    </row>
    <row r="26" spans="1:26" s="70" customFormat="1" ht="11.5" x14ac:dyDescent="0.25">
      <c r="A26" s="178" t="s">
        <v>66</v>
      </c>
      <c r="B26" s="178" t="s">
        <v>34</v>
      </c>
      <c r="C26" s="178" t="s">
        <v>87</v>
      </c>
      <c r="D26" s="178" t="s">
        <v>1145</v>
      </c>
      <c r="E26" s="156">
        <f t="shared" si="15"/>
        <v>1</v>
      </c>
      <c r="F26" s="156">
        <f t="shared" si="16"/>
        <v>1</v>
      </c>
      <c r="G26" s="156">
        <f t="shared" si="17"/>
        <v>1</v>
      </c>
      <c r="H26" s="156">
        <f t="shared" si="18"/>
        <v>0</v>
      </c>
      <c r="I26" s="157">
        <v>0.25</v>
      </c>
      <c r="J26" s="159">
        <v>46150</v>
      </c>
      <c r="K26" s="159">
        <f t="shared" si="4"/>
        <v>46150</v>
      </c>
      <c r="L26" s="159">
        <v>46206</v>
      </c>
      <c r="M26" s="159">
        <f t="shared" si="5"/>
        <v>46192</v>
      </c>
      <c r="N26" s="159">
        <f t="shared" si="6"/>
        <v>46192</v>
      </c>
      <c r="O26" s="159">
        <v>46212</v>
      </c>
      <c r="P26" s="159">
        <f t="shared" si="7"/>
        <v>46234</v>
      </c>
      <c r="Q26" s="159">
        <f t="shared" si="8"/>
        <v>46234</v>
      </c>
      <c r="R26" s="159">
        <v>46248</v>
      </c>
      <c r="S26" s="159">
        <f t="shared" si="14"/>
        <v>46248</v>
      </c>
      <c r="T26" s="159">
        <f t="shared" si="9"/>
        <v>46248</v>
      </c>
      <c r="U26" s="159">
        <v>46248</v>
      </c>
      <c r="W26" s="173" t="str">
        <f t="shared" ca="1" si="10"/>
        <v>Completed</v>
      </c>
      <c r="X26" s="173" t="str">
        <f t="shared" ca="1" si="11"/>
        <v>Completed</v>
      </c>
      <c r="Y26" s="173" t="str">
        <f t="shared" ca="1" si="12"/>
        <v>Completed</v>
      </c>
      <c r="Z26" s="174" t="str">
        <f t="shared" ca="1" si="13"/>
        <v>Completed</v>
      </c>
    </row>
    <row r="27" spans="1:26" s="70" customFormat="1" ht="11.5" x14ac:dyDescent="0.25">
      <c r="A27" s="93" t="s">
        <v>66</v>
      </c>
      <c r="B27" s="93" t="s">
        <v>34</v>
      </c>
      <c r="C27" s="93" t="s">
        <v>87</v>
      </c>
      <c r="D27" s="93" t="s">
        <v>1146</v>
      </c>
      <c r="E27" s="95">
        <f t="shared" ref="E27" si="104">(COUNTIFS(J27,"&lt;="&amp;$C$1)*50%)+(COUNTIFS(M27,"&lt;="&amp;$C$1)*20%)+(COUNTIFS(P27,"&lt;="&amp;$C$1)*10%)+(COUNTIFS(S27,"&lt;="&amp;$C$1)*20%)</f>
        <v>0.7</v>
      </c>
      <c r="F27" s="95">
        <f t="shared" ref="F27" si="105">(COUNTIFS(K27,"&lt;="&amp;$C$1)*50%)+(COUNTIFS(N27,"&lt;="&amp;$C$1)*20%)+(COUNTIFS(Q27,"&lt;="&amp;$C$1)*10%)+(COUNTIFS(T27,"&lt;="&amp;$C$1)*20%)</f>
        <v>0.7</v>
      </c>
      <c r="G27" s="95">
        <f t="shared" ref="G27" si="106">(COUNTIFS(L27,"&lt;="&amp;$C$1)*50%)+(COUNTIFS(O27,"&lt;="&amp;$C$1)*20%)+(COUNTIFS(R27,"&lt;="&amp;$C$1)*10%)+(COUNTIFS(U27,"&lt;="&amp;$C$1)*20%)</f>
        <v>0.7</v>
      </c>
      <c r="H27" s="95">
        <f t="shared" ref="H27" si="107">G27-E27</f>
        <v>0</v>
      </c>
      <c r="I27" s="96">
        <v>0.25</v>
      </c>
      <c r="J27" s="90">
        <v>46150</v>
      </c>
      <c r="K27" s="90">
        <f t="shared" ref="K27" si="108">J27</f>
        <v>46150</v>
      </c>
      <c r="L27" s="90">
        <v>46206</v>
      </c>
      <c r="M27" s="90">
        <f t="shared" ref="M27" si="109">J27+42</f>
        <v>46192</v>
      </c>
      <c r="N27" s="90">
        <f t="shared" ref="N27" si="110">M27</f>
        <v>46192</v>
      </c>
      <c r="O27" s="90">
        <v>46212</v>
      </c>
      <c r="P27" s="90">
        <v>46265</v>
      </c>
      <c r="Q27" s="90">
        <f t="shared" ref="Q27" si="111">P27</f>
        <v>46265</v>
      </c>
      <c r="R27" s="90"/>
      <c r="S27" s="90">
        <f t="shared" ref="S27" si="112">P27+14</f>
        <v>46279</v>
      </c>
      <c r="T27" s="90">
        <f t="shared" ref="T27" si="113">S27</f>
        <v>46279</v>
      </c>
      <c r="U27" s="90"/>
      <c r="W27" s="173" t="str">
        <f t="shared" ref="W27" ca="1" si="114">IF(OR(L27&lt;&gt;""),"Completed",
IF(K27="","",IF(K27&lt;TODAY(),"Overdue",
IF(AND(K27&gt;=TODAY()-WEEKDAY(TODAY(),2)+1,K27&lt;=TODAY()-WEEKDAY(TODAY(),2)+7),"Follow-This Week",
IF(AND(K27&gt;=TODAY()-WEEKDAY(TODAY(),2)+8,K27&lt;=TODAY()-WEEKDAY(TODAY(),2)+14),"Follow-Next Week","")))))</f>
        <v>Completed</v>
      </c>
      <c r="X27" s="173" t="str">
        <f t="shared" ref="X27" ca="1" si="115">IF(OR(O27&lt;&gt;""),"Completed",IF(N27="","",
IF(N27&lt;TODAY(),"Overdue",
IF(AND(N27&gt;=TODAY()-WEEKDAY(TODAY(),2)+1,N27&lt;=TODAY()-WEEKDAY(TODAY(),2)+7),"Follow-This Week",
IF(AND(N27&gt;=TODAY()-WEEKDAY(TODAY(),2)+8,N27&lt;=TODAY()-WEEKDAY(TODAY(),2)+14),"Follow-Next Week","")))))</f>
        <v>Completed</v>
      </c>
      <c r="Y27" s="173" t="str">
        <f t="shared" ref="Y27" ca="1" si="116">IF(OR(R27&lt;&gt;""),"Completed",IF(Q27="","",
IF(Q27&lt;TODAY(),"Overdue",
IF(AND(Q27&gt;=TODAY()-WEEKDAY(TODAY(),2)+1,Q27&lt;=TODAY()-WEEKDAY(TODAY(),2)+7),"Follow-This Week",
IF(AND(Q27&gt;=TODAY()-WEEKDAY(TODAY(),2)+8,Q27&lt;=TODAY()-WEEKDAY(TODAY(),2)+14),"Follow-Next Week","")))))</f>
        <v>Follow-This Week</v>
      </c>
      <c r="Z27" s="174" t="str">
        <f t="shared" ref="Z27" ca="1" si="117">IF(OR(U27&lt;&gt;""),"Completed",IF(T27="","",
IF(T27&lt;TODAY(),"Overdue",
IF(AND(T27&gt;=TODAY()-WEEKDAY(TODAY(),2)+1,T27&lt;=TODAY()-WEEKDAY(TODAY(),2)+7),"Follow-This Week",
IF(AND(T27&gt;=TODAY()-WEEKDAY(TODAY(),2)+8,T27&lt;=TODAY()-WEEKDAY(TODAY(),2)+14),"Follow-Next Week","")))))</f>
        <v/>
      </c>
    </row>
    <row r="28" spans="1:26" s="70" customFormat="1" ht="11.5" x14ac:dyDescent="0.25">
      <c r="A28" s="178" t="s">
        <v>66</v>
      </c>
      <c r="B28" s="178" t="s">
        <v>34</v>
      </c>
      <c r="C28" s="178" t="s">
        <v>88</v>
      </c>
      <c r="D28" s="178" t="s">
        <v>1147</v>
      </c>
      <c r="E28" s="156">
        <f t="shared" si="15"/>
        <v>1</v>
      </c>
      <c r="F28" s="156">
        <f t="shared" si="16"/>
        <v>1</v>
      </c>
      <c r="G28" s="156">
        <f t="shared" si="17"/>
        <v>1</v>
      </c>
      <c r="H28" s="156">
        <f t="shared" si="18"/>
        <v>0</v>
      </c>
      <c r="I28" s="157">
        <v>0.25</v>
      </c>
      <c r="J28" s="159">
        <v>46157</v>
      </c>
      <c r="K28" s="159">
        <f t="shared" si="4"/>
        <v>46157</v>
      </c>
      <c r="L28" s="179">
        <v>46161</v>
      </c>
      <c r="M28" s="159">
        <f t="shared" si="5"/>
        <v>46199</v>
      </c>
      <c r="N28" s="159">
        <f t="shared" si="6"/>
        <v>46199</v>
      </c>
      <c r="O28" s="204">
        <v>46218</v>
      </c>
      <c r="P28" s="159">
        <f t="shared" si="7"/>
        <v>46241</v>
      </c>
      <c r="Q28" s="159">
        <f t="shared" si="8"/>
        <v>46241</v>
      </c>
      <c r="R28" s="159">
        <v>46248</v>
      </c>
      <c r="S28" s="159">
        <f t="shared" si="14"/>
        <v>46255</v>
      </c>
      <c r="T28" s="159">
        <f t="shared" si="9"/>
        <v>46255</v>
      </c>
      <c r="U28" s="159">
        <v>46248</v>
      </c>
      <c r="W28" s="173" t="str">
        <f t="shared" ca="1" si="10"/>
        <v>Completed</v>
      </c>
      <c r="X28" s="173" t="str">
        <f t="shared" ca="1" si="11"/>
        <v>Completed</v>
      </c>
      <c r="Y28" s="173" t="str">
        <f t="shared" ca="1" si="12"/>
        <v>Completed</v>
      </c>
      <c r="Z28" s="174" t="str">
        <f t="shared" ca="1" si="13"/>
        <v>Completed</v>
      </c>
    </row>
    <row r="29" spans="1:26" s="70" customFormat="1" ht="11.5" x14ac:dyDescent="0.25">
      <c r="A29" s="93" t="s">
        <v>66</v>
      </c>
      <c r="B29" s="93" t="s">
        <v>34</v>
      </c>
      <c r="C29" s="93" t="s">
        <v>88</v>
      </c>
      <c r="D29" s="93" t="s">
        <v>1148</v>
      </c>
      <c r="E29" s="95">
        <f t="shared" ref="E29" si="118">(COUNTIFS(J29,"&lt;="&amp;$C$1)*50%)+(COUNTIFS(M29,"&lt;="&amp;$C$1)*20%)+(COUNTIFS(P29,"&lt;="&amp;$C$1)*10%)+(COUNTIFS(S29,"&lt;="&amp;$C$1)*20%)</f>
        <v>0.7</v>
      </c>
      <c r="F29" s="95">
        <f t="shared" ref="F29" si="119">(COUNTIFS(K29,"&lt;="&amp;$C$1)*50%)+(COUNTIFS(N29,"&lt;="&amp;$C$1)*20%)+(COUNTIFS(Q29,"&lt;="&amp;$C$1)*10%)+(COUNTIFS(T29,"&lt;="&amp;$C$1)*20%)</f>
        <v>0.7</v>
      </c>
      <c r="G29" s="95">
        <f t="shared" ref="G29" si="120">(COUNTIFS(L29,"&lt;="&amp;$C$1)*50%)+(COUNTIFS(O29,"&lt;="&amp;$C$1)*20%)+(COUNTIFS(R29,"&lt;="&amp;$C$1)*10%)+(COUNTIFS(U29,"&lt;="&amp;$C$1)*20%)</f>
        <v>0.7</v>
      </c>
      <c r="H29" s="95">
        <f t="shared" ref="H29" si="121">G29-E29</f>
        <v>0</v>
      </c>
      <c r="I29" s="96">
        <v>0.25</v>
      </c>
      <c r="J29" s="90">
        <v>46157</v>
      </c>
      <c r="K29" s="90">
        <f t="shared" ref="K29" si="122">J29</f>
        <v>46157</v>
      </c>
      <c r="L29" s="98">
        <v>46161</v>
      </c>
      <c r="M29" s="90">
        <f t="shared" ref="M29" si="123">J29+42</f>
        <v>46199</v>
      </c>
      <c r="N29" s="90">
        <f t="shared" ref="N29" si="124">M29</f>
        <v>46199</v>
      </c>
      <c r="O29" s="147">
        <v>46218</v>
      </c>
      <c r="P29" s="90">
        <v>46265</v>
      </c>
      <c r="Q29" s="90">
        <f t="shared" ref="Q29" si="125">P29</f>
        <v>46265</v>
      </c>
      <c r="R29" s="90"/>
      <c r="S29" s="90">
        <f t="shared" ref="S29" si="126">P29+14</f>
        <v>46279</v>
      </c>
      <c r="T29" s="90">
        <f t="shared" ref="T29" si="127">S29</f>
        <v>46279</v>
      </c>
      <c r="U29" s="90"/>
      <c r="W29" s="173" t="str">
        <f t="shared" ref="W29" ca="1" si="128">IF(OR(L29&lt;&gt;""),"Completed",
IF(K29="","",IF(K29&lt;TODAY(),"Overdue",
IF(AND(K29&gt;=TODAY()-WEEKDAY(TODAY(),2)+1,K29&lt;=TODAY()-WEEKDAY(TODAY(),2)+7),"Follow-This Week",
IF(AND(K29&gt;=TODAY()-WEEKDAY(TODAY(),2)+8,K29&lt;=TODAY()-WEEKDAY(TODAY(),2)+14),"Follow-Next Week","")))))</f>
        <v>Completed</v>
      </c>
      <c r="X29" s="173" t="str">
        <f t="shared" ref="X29" ca="1" si="129">IF(OR(O29&lt;&gt;""),"Completed",IF(N29="","",
IF(N29&lt;TODAY(),"Overdue",
IF(AND(N29&gt;=TODAY()-WEEKDAY(TODAY(),2)+1,N29&lt;=TODAY()-WEEKDAY(TODAY(),2)+7),"Follow-This Week",
IF(AND(N29&gt;=TODAY()-WEEKDAY(TODAY(),2)+8,N29&lt;=TODAY()-WEEKDAY(TODAY(),2)+14),"Follow-Next Week","")))))</f>
        <v>Completed</v>
      </c>
      <c r="Y29" s="173" t="str">
        <f t="shared" ref="Y29" ca="1" si="130">IF(OR(R29&lt;&gt;""),"Completed",IF(Q29="","",
IF(Q29&lt;TODAY(),"Overdue",
IF(AND(Q29&gt;=TODAY()-WEEKDAY(TODAY(),2)+1,Q29&lt;=TODAY()-WEEKDAY(TODAY(),2)+7),"Follow-This Week",
IF(AND(Q29&gt;=TODAY()-WEEKDAY(TODAY(),2)+8,Q29&lt;=TODAY()-WEEKDAY(TODAY(),2)+14),"Follow-Next Week","")))))</f>
        <v>Follow-This Week</v>
      </c>
      <c r="Z29" s="174" t="str">
        <f t="shared" ref="Z29" ca="1" si="131">IF(OR(U29&lt;&gt;""),"Completed",IF(T29="","",
IF(T29&lt;TODAY(),"Overdue",
IF(AND(T29&gt;=TODAY()-WEEKDAY(TODAY(),2)+1,T29&lt;=TODAY()-WEEKDAY(TODAY(),2)+7),"Follow-This Week",
IF(AND(T29&gt;=TODAY()-WEEKDAY(TODAY(),2)+8,T29&lt;=TODAY()-WEEKDAY(TODAY(),2)+14),"Follow-Next Week","")))))</f>
        <v/>
      </c>
    </row>
    <row r="30" spans="1:26" s="70" customFormat="1" ht="11.5" x14ac:dyDescent="0.25">
      <c r="A30" s="178" t="s">
        <v>66</v>
      </c>
      <c r="B30" s="178" t="s">
        <v>34</v>
      </c>
      <c r="C30" s="178" t="s">
        <v>89</v>
      </c>
      <c r="D30" s="178" t="s">
        <v>1135</v>
      </c>
      <c r="E30" s="189">
        <f t="shared" ref="E30" si="132">(COUNTIFS(J30,"&lt;="&amp;$C$1)*50%)+(COUNTIFS(M30,"&lt;="&amp;$C$1)*20%)+(COUNTIFS(P30,"&lt;="&amp;$C$1)*10%)+(COUNTIFS(S30,"&lt;="&amp;$C$1)*20%)</f>
        <v>0.5</v>
      </c>
      <c r="F30" s="189">
        <f t="shared" ref="F30" si="133">(COUNTIFS(K30,"&lt;="&amp;$C$1)*50%)+(COUNTIFS(N30,"&lt;="&amp;$C$1)*20%)+(COUNTIFS(Q30,"&lt;="&amp;$C$1)*10%)+(COUNTIFS(T30,"&lt;="&amp;$C$1)*20%)</f>
        <v>0.5</v>
      </c>
      <c r="G30" s="189">
        <f t="shared" ref="G30" si="134">(COUNTIFS(L30,"&lt;="&amp;$C$1)*50%)+(COUNTIFS(O30,"&lt;="&amp;$C$1)*20%)+(COUNTIFS(R30,"&lt;="&amp;$C$1)*10%)+(COUNTIFS(U30,"&lt;="&amp;$C$1)*20%)</f>
        <v>1</v>
      </c>
      <c r="H30" s="189">
        <f t="shared" ref="H30" si="135">G30-E30</f>
        <v>0.5</v>
      </c>
      <c r="I30" s="157">
        <v>0.4</v>
      </c>
      <c r="J30" s="159">
        <v>46227</v>
      </c>
      <c r="K30" s="159">
        <f t="shared" ref="K30" si="136">J30</f>
        <v>46227</v>
      </c>
      <c r="L30" s="159">
        <v>46234</v>
      </c>
      <c r="M30" s="159">
        <f t="shared" ref="M30" si="137">J30+42</f>
        <v>46269</v>
      </c>
      <c r="N30" s="159">
        <f t="shared" ref="N30" si="138">M30</f>
        <v>46269</v>
      </c>
      <c r="O30" s="159">
        <v>46234</v>
      </c>
      <c r="P30" s="159">
        <f t="shared" ref="P30" si="139">M30+42</f>
        <v>46311</v>
      </c>
      <c r="Q30" s="159">
        <f t="shared" ref="Q30" si="140">P30</f>
        <v>46311</v>
      </c>
      <c r="R30" s="159">
        <v>46234</v>
      </c>
      <c r="S30" s="159">
        <f t="shared" ref="S30" si="141">P30+14</f>
        <v>46325</v>
      </c>
      <c r="T30" s="159">
        <f t="shared" ref="T30" si="142">S30</f>
        <v>46325</v>
      </c>
      <c r="U30" s="159">
        <v>46234</v>
      </c>
      <c r="W30" s="187" t="str">
        <f t="shared" ca="1" si="10"/>
        <v>Completed</v>
      </c>
      <c r="X30" s="187"/>
      <c r="Y30" s="187"/>
      <c r="Z30" s="188"/>
    </row>
    <row r="31" spans="1:26" s="70" customFormat="1" ht="11.5" x14ac:dyDescent="0.25">
      <c r="A31" s="93" t="s">
        <v>66</v>
      </c>
      <c r="B31" s="93" t="s">
        <v>34</v>
      </c>
      <c r="C31" s="93" t="s">
        <v>89</v>
      </c>
      <c r="D31" s="93" t="s">
        <v>1136</v>
      </c>
      <c r="E31" s="95">
        <f t="shared" ref="E31" si="143">(COUNTIFS(J31,"&lt;="&amp;$C$1)*50%)+(COUNTIFS(M31,"&lt;="&amp;$C$1)*20%)+(COUNTIFS(P31,"&lt;="&amp;$C$1)*10%)+(COUNTIFS(S31,"&lt;="&amp;$C$1)*20%)</f>
        <v>0.5</v>
      </c>
      <c r="F31" s="95">
        <f t="shared" ref="F31" si="144">(COUNTIFS(K31,"&lt;="&amp;$C$1)*50%)+(COUNTIFS(N31,"&lt;="&amp;$C$1)*20%)+(COUNTIFS(Q31,"&lt;="&amp;$C$1)*10%)+(COUNTIFS(T31,"&lt;="&amp;$C$1)*20%)</f>
        <v>0.5</v>
      </c>
      <c r="G31" s="95">
        <f t="shared" ref="G31" si="145">(COUNTIFS(L31,"&lt;="&amp;$C$1)*50%)+(COUNTIFS(O31,"&lt;="&amp;$C$1)*20%)+(COUNTIFS(R31,"&lt;="&amp;$C$1)*10%)+(COUNTIFS(U31,"&lt;="&amp;$C$1)*20%)</f>
        <v>0.7</v>
      </c>
      <c r="H31" s="95">
        <f t="shared" ref="H31" si="146">G31-E31</f>
        <v>0.19999999999999996</v>
      </c>
      <c r="I31" s="96">
        <v>0.4</v>
      </c>
      <c r="J31" s="90">
        <v>46227</v>
      </c>
      <c r="K31" s="90">
        <f t="shared" ref="K31" si="147">J31</f>
        <v>46227</v>
      </c>
      <c r="L31" s="90">
        <v>46234</v>
      </c>
      <c r="M31" s="90">
        <f t="shared" ref="M31" si="148">J31+42</f>
        <v>46269</v>
      </c>
      <c r="N31" s="90">
        <f t="shared" ref="N31" si="149">M31</f>
        <v>46269</v>
      </c>
      <c r="O31" s="90">
        <v>46248</v>
      </c>
      <c r="P31" s="90">
        <f t="shared" ref="P31" si="150">M31+42</f>
        <v>46311</v>
      </c>
      <c r="Q31" s="90">
        <f t="shared" ref="Q31" si="151">P31</f>
        <v>46311</v>
      </c>
      <c r="R31" s="90"/>
      <c r="S31" s="90">
        <f t="shared" ref="S31" si="152">P31+14</f>
        <v>46325</v>
      </c>
      <c r="T31" s="90">
        <f t="shared" ref="T31" si="153">S31</f>
        <v>46325</v>
      </c>
      <c r="U31" s="90"/>
      <c r="W31" s="187" t="str">
        <f t="shared" ref="W31" ca="1" si="154">IF(OR(L31&lt;&gt;""),"Completed",
IF(K31="","",IF(K31&lt;TODAY(),"Overdue",
IF(AND(K31&gt;=TODAY()-WEEKDAY(TODAY(),2)+1,K31&lt;=TODAY()-WEEKDAY(TODAY(),2)+7),"Follow-This Week",
IF(AND(K31&gt;=TODAY()-WEEKDAY(TODAY(),2)+8,K31&lt;=TODAY()-WEEKDAY(TODAY(),2)+14),"Follow-Next Week","")))))</f>
        <v>Completed</v>
      </c>
      <c r="X31" s="187" t="str">
        <f t="shared" ref="X31" ca="1" si="155">IF(OR(O31&lt;&gt;""),"Completed",IF(N31="","",
IF(N31&lt;TODAY(),"Overdue",
IF(AND(N31&gt;=TODAY()-WEEKDAY(TODAY(),2)+1,N31&lt;=TODAY()-WEEKDAY(TODAY(),2)+7),"Follow-This Week",
IF(AND(N31&gt;=TODAY()-WEEKDAY(TODAY(),2)+8,N31&lt;=TODAY()-WEEKDAY(TODAY(),2)+14),"Follow-Next Week","")))))</f>
        <v>Completed</v>
      </c>
      <c r="Y31" s="187" t="str">
        <f t="shared" ref="Y31" ca="1" si="156">IF(OR(R31&lt;&gt;""),"Completed",IF(Q31="","",
IF(Q31&lt;TODAY(),"Overdue",
IF(AND(Q31&gt;=TODAY()-WEEKDAY(TODAY(),2)+1,Q31&lt;=TODAY()-WEEKDAY(TODAY(),2)+7),"Follow-This Week",
IF(AND(Q31&gt;=TODAY()-WEEKDAY(TODAY(),2)+8,Q31&lt;=TODAY()-WEEKDAY(TODAY(),2)+14),"Follow-Next Week","")))))</f>
        <v/>
      </c>
      <c r="Z31" s="188" t="str">
        <f t="shared" ref="Z31" ca="1" si="157">IF(OR(U31&lt;&gt;""),"Completed",IF(T31="","",
IF(T31&lt;TODAY(),"Overdue",
IF(AND(T31&gt;=TODAY()-WEEKDAY(TODAY(),2)+1,T31&lt;=TODAY()-WEEKDAY(TODAY(),2)+7),"Follow-This Week",
IF(AND(T31&gt;=TODAY()-WEEKDAY(TODAY(),2)+8,T31&lt;=TODAY()-WEEKDAY(TODAY(),2)+14),"Follow-Next Week","")))))</f>
        <v/>
      </c>
    </row>
    <row r="32" spans="1:26" s="70" customFormat="1" ht="11.5" x14ac:dyDescent="0.25">
      <c r="A32" s="93" t="s">
        <v>66</v>
      </c>
      <c r="B32" s="93" t="s">
        <v>34</v>
      </c>
      <c r="C32" s="93" t="s">
        <v>90</v>
      </c>
      <c r="D32" s="93" t="s">
        <v>91</v>
      </c>
      <c r="E32" s="95">
        <f t="shared" si="15"/>
        <v>0.5</v>
      </c>
      <c r="F32" s="95">
        <f t="shared" si="16"/>
        <v>0.5</v>
      </c>
      <c r="G32" s="95">
        <f t="shared" si="17"/>
        <v>0.7</v>
      </c>
      <c r="H32" s="95">
        <f t="shared" si="18"/>
        <v>0.19999999999999996</v>
      </c>
      <c r="I32" s="96">
        <v>0.8</v>
      </c>
      <c r="J32" s="90">
        <v>46241</v>
      </c>
      <c r="K32" s="90">
        <f t="shared" si="4"/>
        <v>46241</v>
      </c>
      <c r="L32" s="90">
        <v>46178</v>
      </c>
      <c r="M32" s="90">
        <f t="shared" si="5"/>
        <v>46283</v>
      </c>
      <c r="N32" s="90">
        <f t="shared" si="6"/>
        <v>46283</v>
      </c>
      <c r="O32" s="90">
        <v>46192</v>
      </c>
      <c r="P32" s="90">
        <f t="shared" si="7"/>
        <v>46325</v>
      </c>
      <c r="Q32" s="90">
        <f t="shared" si="8"/>
        <v>46325</v>
      </c>
      <c r="R32" s="90"/>
      <c r="S32" s="90">
        <f t="shared" si="14"/>
        <v>46339</v>
      </c>
      <c r="T32" s="90">
        <f t="shared" si="9"/>
        <v>46339</v>
      </c>
      <c r="U32" s="90"/>
      <c r="W32" s="173" t="str">
        <f t="shared" ca="1" si="10"/>
        <v>Completed</v>
      </c>
      <c r="X32" s="173" t="str">
        <f t="shared" ca="1" si="11"/>
        <v>Completed</v>
      </c>
      <c r="Y32" s="173" t="str">
        <f t="shared" ca="1" si="12"/>
        <v/>
      </c>
      <c r="Z32" s="174" t="str">
        <f t="shared" ca="1" si="13"/>
        <v/>
      </c>
    </row>
    <row r="33" spans="1:26" s="70" customFormat="1" ht="11.5" x14ac:dyDescent="0.25">
      <c r="A33" s="93" t="s">
        <v>66</v>
      </c>
      <c r="B33" s="93" t="s">
        <v>34</v>
      </c>
      <c r="C33" s="93" t="s">
        <v>92</v>
      </c>
      <c r="D33" s="93" t="s">
        <v>93</v>
      </c>
      <c r="E33" s="95">
        <f t="shared" si="15"/>
        <v>0.5</v>
      </c>
      <c r="F33" s="95">
        <f t="shared" si="16"/>
        <v>0.5</v>
      </c>
      <c r="G33" s="95">
        <f t="shared" si="17"/>
        <v>0.7</v>
      </c>
      <c r="H33" s="95">
        <f t="shared" si="18"/>
        <v>0.19999999999999996</v>
      </c>
      <c r="I33" s="96">
        <v>0.8</v>
      </c>
      <c r="J33" s="90">
        <v>46249</v>
      </c>
      <c r="K33" s="90">
        <f t="shared" si="4"/>
        <v>46249</v>
      </c>
      <c r="L33" s="90">
        <v>46241</v>
      </c>
      <c r="M33" s="90">
        <f t="shared" si="5"/>
        <v>46291</v>
      </c>
      <c r="N33" s="90">
        <f t="shared" si="6"/>
        <v>46291</v>
      </c>
      <c r="O33" s="90">
        <v>46248</v>
      </c>
      <c r="P33" s="90">
        <f t="shared" si="7"/>
        <v>46333</v>
      </c>
      <c r="Q33" s="90">
        <f t="shared" si="8"/>
        <v>46333</v>
      </c>
      <c r="R33" s="90"/>
      <c r="S33" s="90">
        <f t="shared" si="14"/>
        <v>46347</v>
      </c>
      <c r="T33" s="90">
        <f t="shared" si="9"/>
        <v>46347</v>
      </c>
      <c r="U33" s="90"/>
      <c r="W33" s="173" t="str">
        <f t="shared" ca="1" si="10"/>
        <v>Completed</v>
      </c>
      <c r="X33" s="173" t="str">
        <f t="shared" ca="1" si="11"/>
        <v>Completed</v>
      </c>
      <c r="Y33" s="173" t="str">
        <f t="shared" ca="1" si="12"/>
        <v/>
      </c>
      <c r="Z33" s="174" t="str">
        <f t="shared" ca="1" si="13"/>
        <v/>
      </c>
    </row>
    <row r="34" spans="1:26" s="70" customFormat="1" ht="11.5" x14ac:dyDescent="0.25">
      <c r="A34" s="93" t="s">
        <v>66</v>
      </c>
      <c r="B34" s="93" t="s">
        <v>34</v>
      </c>
      <c r="C34" s="93" t="s">
        <v>94</v>
      </c>
      <c r="D34" s="93" t="s">
        <v>95</v>
      </c>
      <c r="E34" s="95">
        <f t="shared" si="15"/>
        <v>0</v>
      </c>
      <c r="F34" s="95">
        <f t="shared" si="16"/>
        <v>0</v>
      </c>
      <c r="G34" s="95">
        <f t="shared" si="17"/>
        <v>0</v>
      </c>
      <c r="H34" s="95">
        <f t="shared" si="18"/>
        <v>0</v>
      </c>
      <c r="I34" s="96">
        <v>0.5</v>
      </c>
      <c r="J34" s="90">
        <v>46302</v>
      </c>
      <c r="K34" s="90">
        <f t="shared" si="4"/>
        <v>46302</v>
      </c>
      <c r="L34" s="90"/>
      <c r="M34" s="90">
        <f t="shared" si="5"/>
        <v>46344</v>
      </c>
      <c r="N34" s="90">
        <f t="shared" si="6"/>
        <v>46344</v>
      </c>
      <c r="O34" s="90"/>
      <c r="P34" s="90">
        <f t="shared" si="7"/>
        <v>46386</v>
      </c>
      <c r="Q34" s="90">
        <f t="shared" si="8"/>
        <v>46386</v>
      </c>
      <c r="R34" s="90"/>
      <c r="S34" s="90">
        <f t="shared" si="14"/>
        <v>46400</v>
      </c>
      <c r="T34" s="90">
        <f t="shared" si="9"/>
        <v>46400</v>
      </c>
      <c r="U34" s="90"/>
      <c r="W34" s="173" t="str">
        <f t="shared" ca="1" si="10"/>
        <v/>
      </c>
      <c r="X34" s="173" t="str">
        <f t="shared" ca="1" si="11"/>
        <v/>
      </c>
      <c r="Y34" s="173" t="str">
        <f t="shared" ca="1" si="12"/>
        <v/>
      </c>
      <c r="Z34" s="174" t="str">
        <f t="shared" ca="1" si="13"/>
        <v/>
      </c>
    </row>
    <row r="35" spans="1:26" s="70" customFormat="1" ht="11.5" x14ac:dyDescent="0.25">
      <c r="A35" s="178" t="s">
        <v>66</v>
      </c>
      <c r="B35" s="178" t="s">
        <v>34</v>
      </c>
      <c r="C35" s="178" t="s">
        <v>96</v>
      </c>
      <c r="D35" s="178" t="s">
        <v>1156</v>
      </c>
      <c r="E35" s="156">
        <f t="shared" si="15"/>
        <v>0.79999999999999993</v>
      </c>
      <c r="F35" s="156">
        <f t="shared" si="16"/>
        <v>0.79999999999999993</v>
      </c>
      <c r="G35" s="156">
        <f t="shared" si="17"/>
        <v>1</v>
      </c>
      <c r="H35" s="156">
        <f t="shared" si="18"/>
        <v>0.20000000000000007</v>
      </c>
      <c r="I35" s="157">
        <v>0.2</v>
      </c>
      <c r="J35" s="159">
        <v>46171</v>
      </c>
      <c r="K35" s="159">
        <f t="shared" si="4"/>
        <v>46171</v>
      </c>
      <c r="L35" s="159">
        <v>46178</v>
      </c>
      <c r="M35" s="159">
        <f t="shared" si="5"/>
        <v>46213</v>
      </c>
      <c r="N35" s="159">
        <f t="shared" si="6"/>
        <v>46213</v>
      </c>
      <c r="O35" s="159">
        <v>46220</v>
      </c>
      <c r="P35" s="159">
        <f t="shared" si="7"/>
        <v>46255</v>
      </c>
      <c r="Q35" s="159">
        <f t="shared" si="8"/>
        <v>46255</v>
      </c>
      <c r="R35" s="159">
        <v>46255</v>
      </c>
      <c r="S35" s="159">
        <f t="shared" si="14"/>
        <v>46269</v>
      </c>
      <c r="T35" s="159">
        <f t="shared" si="9"/>
        <v>46269</v>
      </c>
      <c r="U35" s="159">
        <v>46255</v>
      </c>
      <c r="W35" s="173" t="str">
        <f t="shared" ca="1" si="10"/>
        <v>Completed</v>
      </c>
      <c r="X35" s="173" t="str">
        <f t="shared" ca="1" si="11"/>
        <v>Completed</v>
      </c>
      <c r="Y35" s="173" t="str">
        <f t="shared" ca="1" si="12"/>
        <v>Completed</v>
      </c>
      <c r="Z35" s="174" t="str">
        <f t="shared" ca="1" si="13"/>
        <v>Completed</v>
      </c>
    </row>
    <row r="36" spans="1:26" s="70" customFormat="1" ht="11.5" x14ac:dyDescent="0.25">
      <c r="A36" s="93" t="s">
        <v>66</v>
      </c>
      <c r="B36" s="93" t="s">
        <v>34</v>
      </c>
      <c r="C36" s="93" t="s">
        <v>96</v>
      </c>
      <c r="D36" s="93" t="s">
        <v>1157</v>
      </c>
      <c r="E36" s="95">
        <f t="shared" ref="E36" si="158">(COUNTIFS(J36,"&lt;="&amp;$C$1)*50%)+(COUNTIFS(M36,"&lt;="&amp;$C$1)*20%)+(COUNTIFS(P36,"&lt;="&amp;$C$1)*10%)+(COUNTIFS(S36,"&lt;="&amp;$C$1)*20%)</f>
        <v>0.79999999999999993</v>
      </c>
      <c r="F36" s="95">
        <f t="shared" ref="F36" si="159">(COUNTIFS(K36,"&lt;="&amp;$C$1)*50%)+(COUNTIFS(N36,"&lt;="&amp;$C$1)*20%)+(COUNTIFS(Q36,"&lt;="&amp;$C$1)*10%)+(COUNTIFS(T36,"&lt;="&amp;$C$1)*20%)</f>
        <v>0.79999999999999993</v>
      </c>
      <c r="G36" s="95">
        <f t="shared" ref="G36" si="160">(COUNTIFS(L36,"&lt;="&amp;$C$1)*50%)+(COUNTIFS(O36,"&lt;="&amp;$C$1)*20%)+(COUNTIFS(R36,"&lt;="&amp;$C$1)*10%)+(COUNTIFS(U36,"&lt;="&amp;$C$1)*20%)</f>
        <v>0.7</v>
      </c>
      <c r="H36" s="95">
        <f t="shared" ref="H36" si="161">G36-E36</f>
        <v>-9.9999999999999978E-2</v>
      </c>
      <c r="I36" s="96">
        <v>0.3</v>
      </c>
      <c r="J36" s="90">
        <v>46171</v>
      </c>
      <c r="K36" s="90">
        <f t="shared" ref="K36" si="162">J36</f>
        <v>46171</v>
      </c>
      <c r="L36" s="90">
        <v>46178</v>
      </c>
      <c r="M36" s="90">
        <f t="shared" ref="M36" si="163">J36+42</f>
        <v>46213</v>
      </c>
      <c r="N36" s="90">
        <f t="shared" ref="N36" si="164">M36</f>
        <v>46213</v>
      </c>
      <c r="O36" s="90">
        <v>46220</v>
      </c>
      <c r="P36" s="90">
        <f t="shared" ref="P36" si="165">M36+42</f>
        <v>46255</v>
      </c>
      <c r="Q36" s="90">
        <f t="shared" ref="Q36" si="166">P36</f>
        <v>46255</v>
      </c>
      <c r="R36" s="90"/>
      <c r="S36" s="90">
        <f t="shared" ref="S36" si="167">P36+14</f>
        <v>46269</v>
      </c>
      <c r="T36" s="90">
        <f t="shared" ref="T36" si="168">S36</f>
        <v>46269</v>
      </c>
      <c r="U36" s="90"/>
      <c r="W36" s="173" t="str">
        <f t="shared" ref="W36" ca="1" si="169">IF(OR(L36&lt;&gt;""),"Completed",
IF(K36="","",IF(K36&lt;TODAY(),"Overdue",
IF(AND(K36&gt;=TODAY()-WEEKDAY(TODAY(),2)+1,K36&lt;=TODAY()-WEEKDAY(TODAY(),2)+7),"Follow-This Week",
IF(AND(K36&gt;=TODAY()-WEEKDAY(TODAY(),2)+8,K36&lt;=TODAY()-WEEKDAY(TODAY(),2)+14),"Follow-Next Week","")))))</f>
        <v>Completed</v>
      </c>
      <c r="X36" s="173" t="str">
        <f t="shared" ref="X36" ca="1" si="170">IF(OR(O36&lt;&gt;""),"Completed",IF(N36="","",
IF(N36&lt;TODAY(),"Overdue",
IF(AND(N36&gt;=TODAY()-WEEKDAY(TODAY(),2)+1,N36&lt;=TODAY()-WEEKDAY(TODAY(),2)+7),"Follow-This Week",
IF(AND(N36&gt;=TODAY()-WEEKDAY(TODAY(),2)+8,N36&lt;=TODAY()-WEEKDAY(TODAY(),2)+14),"Follow-Next Week","")))))</f>
        <v>Completed</v>
      </c>
      <c r="Y36" s="173" t="str">
        <f t="shared" ref="Y36" ca="1" si="171">IF(OR(R36&lt;&gt;""),"Completed",IF(Q36="","",
IF(Q36&lt;TODAY(),"Overdue",
IF(AND(Q36&gt;=TODAY()-WEEKDAY(TODAY(),2)+1,Q36&lt;=TODAY()-WEEKDAY(TODAY(),2)+7),"Follow-This Week",
IF(AND(Q36&gt;=TODAY()-WEEKDAY(TODAY(),2)+8,Q36&lt;=TODAY()-WEEKDAY(TODAY(),2)+14),"Follow-Next Week","")))))</f>
        <v>Overdue</v>
      </c>
      <c r="Z36" s="174" t="str">
        <f t="shared" ref="Z36" ca="1" si="172">IF(OR(U36&lt;&gt;""),"Completed",IF(T36="","",
IF(T36&lt;TODAY(),"Overdue",
IF(AND(T36&gt;=TODAY()-WEEKDAY(TODAY(),2)+1,T36&lt;=TODAY()-WEEKDAY(TODAY(),2)+7),"Follow-This Week",
IF(AND(T36&gt;=TODAY()-WEEKDAY(TODAY(),2)+8,T36&lt;=TODAY()-WEEKDAY(TODAY(),2)+14),"Follow-Next Week","")))))</f>
        <v>Follow-This Week</v>
      </c>
    </row>
    <row r="37" spans="1:26" s="70" customFormat="1" ht="11.5" x14ac:dyDescent="0.25">
      <c r="A37" s="93" t="s">
        <v>66</v>
      </c>
      <c r="B37" s="93" t="s">
        <v>34</v>
      </c>
      <c r="C37" s="93" t="s">
        <v>97</v>
      </c>
      <c r="D37" s="93" t="s">
        <v>98</v>
      </c>
      <c r="E37" s="95">
        <f t="shared" si="15"/>
        <v>0.5</v>
      </c>
      <c r="F37" s="95">
        <f t="shared" si="16"/>
        <v>0.5</v>
      </c>
      <c r="G37" s="95">
        <f t="shared" si="17"/>
        <v>0.7</v>
      </c>
      <c r="H37" s="95">
        <f t="shared" si="18"/>
        <v>0.19999999999999996</v>
      </c>
      <c r="I37" s="96">
        <v>0.5</v>
      </c>
      <c r="J37" s="90">
        <v>46227</v>
      </c>
      <c r="K37" s="90">
        <f t="shared" si="4"/>
        <v>46227</v>
      </c>
      <c r="L37" s="90">
        <v>46142</v>
      </c>
      <c r="M37" s="90">
        <f t="shared" si="5"/>
        <v>46269</v>
      </c>
      <c r="N37" s="90">
        <f t="shared" si="6"/>
        <v>46269</v>
      </c>
      <c r="O37" s="147">
        <v>46218</v>
      </c>
      <c r="P37" s="90">
        <f t="shared" si="7"/>
        <v>46311</v>
      </c>
      <c r="Q37" s="90">
        <f t="shared" si="8"/>
        <v>46311</v>
      </c>
      <c r="R37" s="90"/>
      <c r="S37" s="90">
        <f t="shared" si="14"/>
        <v>46325</v>
      </c>
      <c r="T37" s="90">
        <f t="shared" si="9"/>
        <v>46325</v>
      </c>
      <c r="U37" s="90"/>
      <c r="W37" s="173" t="str">
        <f t="shared" ca="1" si="10"/>
        <v>Completed</v>
      </c>
      <c r="X37" s="173" t="str">
        <f t="shared" ca="1" si="11"/>
        <v>Completed</v>
      </c>
      <c r="Y37" s="173" t="str">
        <f t="shared" ca="1" si="12"/>
        <v/>
      </c>
      <c r="Z37" s="174" t="str">
        <f t="shared" ca="1" si="13"/>
        <v/>
      </c>
    </row>
    <row r="38" spans="1:26" s="70" customFormat="1" ht="11.5" x14ac:dyDescent="0.25">
      <c r="A38" s="178" t="s">
        <v>66</v>
      </c>
      <c r="B38" s="178" t="s">
        <v>34</v>
      </c>
      <c r="C38" s="178" t="s">
        <v>845</v>
      </c>
      <c r="D38" s="178" t="s">
        <v>1158</v>
      </c>
      <c r="E38" s="156">
        <f t="shared" si="15"/>
        <v>1</v>
      </c>
      <c r="F38" s="156">
        <f t="shared" si="16"/>
        <v>1</v>
      </c>
      <c r="G38" s="156">
        <f t="shared" si="17"/>
        <v>1</v>
      </c>
      <c r="H38" s="156">
        <f t="shared" si="18"/>
        <v>0</v>
      </c>
      <c r="I38" s="157">
        <v>0.25</v>
      </c>
      <c r="J38" s="159">
        <v>46164</v>
      </c>
      <c r="K38" s="159">
        <f t="shared" si="4"/>
        <v>46164</v>
      </c>
      <c r="L38" s="179">
        <v>46161</v>
      </c>
      <c r="M38" s="159">
        <f t="shared" si="5"/>
        <v>46206</v>
      </c>
      <c r="N38" s="159">
        <f t="shared" si="6"/>
        <v>46206</v>
      </c>
      <c r="O38" s="204">
        <v>46217</v>
      </c>
      <c r="P38" s="159">
        <f t="shared" si="7"/>
        <v>46248</v>
      </c>
      <c r="Q38" s="159">
        <f t="shared" si="8"/>
        <v>46248</v>
      </c>
      <c r="R38" s="159">
        <v>46255</v>
      </c>
      <c r="S38" s="159">
        <f t="shared" si="14"/>
        <v>46262</v>
      </c>
      <c r="T38" s="159">
        <f t="shared" si="9"/>
        <v>46262</v>
      </c>
      <c r="U38" s="159">
        <v>46255</v>
      </c>
      <c r="W38" s="173" t="str">
        <f t="shared" ca="1" si="10"/>
        <v>Completed</v>
      </c>
      <c r="X38" s="173" t="str">
        <f t="shared" ca="1" si="11"/>
        <v>Completed</v>
      </c>
      <c r="Y38" s="173" t="str">
        <f t="shared" ca="1" si="12"/>
        <v>Completed</v>
      </c>
      <c r="Z38" s="174" t="str">
        <f t="shared" ca="1" si="13"/>
        <v>Completed</v>
      </c>
    </row>
    <row r="39" spans="1:26" s="70" customFormat="1" ht="11.5" x14ac:dyDescent="0.25">
      <c r="A39" s="93" t="s">
        <v>66</v>
      </c>
      <c r="B39" s="93" t="s">
        <v>34</v>
      </c>
      <c r="C39" s="93" t="s">
        <v>845</v>
      </c>
      <c r="D39" s="93" t="s">
        <v>1166</v>
      </c>
      <c r="E39" s="95">
        <f t="shared" ref="E39" si="173">(COUNTIFS(J39,"&lt;="&amp;$C$1)*50%)+(COUNTIFS(M39,"&lt;="&amp;$C$1)*20%)+(COUNTIFS(P39,"&lt;="&amp;$C$1)*10%)+(COUNTIFS(S39,"&lt;="&amp;$C$1)*20%)</f>
        <v>1</v>
      </c>
      <c r="F39" s="95">
        <f t="shared" ref="F39" si="174">(COUNTIFS(K39,"&lt;="&amp;$C$1)*50%)+(COUNTIFS(N39,"&lt;="&amp;$C$1)*20%)+(COUNTIFS(Q39,"&lt;="&amp;$C$1)*10%)+(COUNTIFS(T39,"&lt;="&amp;$C$1)*20%)</f>
        <v>1</v>
      </c>
      <c r="G39" s="95">
        <f t="shared" ref="G39" si="175">(COUNTIFS(L39,"&lt;="&amp;$C$1)*50%)+(COUNTIFS(O39,"&lt;="&amp;$C$1)*20%)+(COUNTIFS(R39,"&lt;="&amp;$C$1)*10%)+(COUNTIFS(U39,"&lt;="&amp;$C$1)*20%)</f>
        <v>0.79999999999999993</v>
      </c>
      <c r="H39" s="95">
        <f t="shared" ref="H39" si="176">G39-E39</f>
        <v>-0.20000000000000007</v>
      </c>
      <c r="I39" s="96">
        <v>0.3</v>
      </c>
      <c r="J39" s="90">
        <v>46164</v>
      </c>
      <c r="K39" s="90">
        <f t="shared" ref="K39" si="177">J39</f>
        <v>46164</v>
      </c>
      <c r="L39" s="98">
        <v>46161</v>
      </c>
      <c r="M39" s="90">
        <f t="shared" ref="M39" si="178">J39+42</f>
        <v>46206</v>
      </c>
      <c r="N39" s="90">
        <f t="shared" ref="N39" si="179">M39</f>
        <v>46206</v>
      </c>
      <c r="O39" s="147">
        <v>46217</v>
      </c>
      <c r="P39" s="90">
        <f t="shared" ref="P39" si="180">M39+42</f>
        <v>46248</v>
      </c>
      <c r="Q39" s="90">
        <f t="shared" ref="Q39" si="181">P39</f>
        <v>46248</v>
      </c>
      <c r="R39" s="165">
        <v>46262</v>
      </c>
      <c r="S39" s="90">
        <f t="shared" ref="S39" si="182">P39+14</f>
        <v>46262</v>
      </c>
      <c r="T39" s="90">
        <f t="shared" ref="T39" si="183">S39</f>
        <v>46262</v>
      </c>
      <c r="U39" s="90"/>
      <c r="W39" s="173" t="str">
        <f t="shared" ref="W39" ca="1" si="184">IF(OR(L39&lt;&gt;""),"Completed",
IF(K39="","",IF(K39&lt;TODAY(),"Overdue",
IF(AND(K39&gt;=TODAY()-WEEKDAY(TODAY(),2)+1,K39&lt;=TODAY()-WEEKDAY(TODAY(),2)+7),"Follow-This Week",
IF(AND(K39&gt;=TODAY()-WEEKDAY(TODAY(),2)+8,K39&lt;=TODAY()-WEEKDAY(TODAY(),2)+14),"Follow-Next Week","")))))</f>
        <v>Completed</v>
      </c>
      <c r="X39" s="173" t="str">
        <f t="shared" ref="X39" ca="1" si="185">IF(OR(O39&lt;&gt;""),"Completed",IF(N39="","",
IF(N39&lt;TODAY(),"Overdue",
IF(AND(N39&gt;=TODAY()-WEEKDAY(TODAY(),2)+1,N39&lt;=TODAY()-WEEKDAY(TODAY(),2)+7),"Follow-This Week",
IF(AND(N39&gt;=TODAY()-WEEKDAY(TODAY(),2)+8,N39&lt;=TODAY()-WEEKDAY(TODAY(),2)+14),"Follow-Next Week","")))))</f>
        <v>Completed</v>
      </c>
      <c r="Y39" s="173" t="str">
        <f t="shared" ref="Y39" ca="1" si="186">IF(OR(R39&lt;&gt;""),"Completed",IF(Q39="","",
IF(Q39&lt;TODAY(),"Overdue",
IF(AND(Q39&gt;=TODAY()-WEEKDAY(TODAY(),2)+1,Q39&lt;=TODAY()-WEEKDAY(TODAY(),2)+7),"Follow-This Week",
IF(AND(Q39&gt;=TODAY()-WEEKDAY(TODAY(),2)+8,Q39&lt;=TODAY()-WEEKDAY(TODAY(),2)+14),"Follow-Next Week","")))))</f>
        <v>Completed</v>
      </c>
      <c r="Z39" s="174" t="str">
        <f t="shared" ref="Z39" ca="1" si="187">IF(OR(U39&lt;&gt;""),"Completed",IF(T39="","",
IF(T39&lt;TODAY(),"Overdue",
IF(AND(T39&gt;=TODAY()-WEEKDAY(TODAY(),2)+1,T39&lt;=TODAY()-WEEKDAY(TODAY(),2)+7),"Follow-This Week",
IF(AND(T39&gt;=TODAY()-WEEKDAY(TODAY(),2)+8,T39&lt;=TODAY()-WEEKDAY(TODAY(),2)+14),"Follow-Next Week","")))))</f>
        <v>Overdue</v>
      </c>
    </row>
    <row r="40" spans="1:26" s="70" customFormat="1" ht="11.5" x14ac:dyDescent="0.25">
      <c r="A40" s="93" t="s">
        <v>66</v>
      </c>
      <c r="B40" s="93" t="s">
        <v>34</v>
      </c>
      <c r="C40" s="93" t="s">
        <v>846</v>
      </c>
      <c r="D40" s="93" t="s">
        <v>99</v>
      </c>
      <c r="E40" s="95">
        <f t="shared" si="15"/>
        <v>0.79999999999999993</v>
      </c>
      <c r="F40" s="95">
        <f t="shared" si="16"/>
        <v>0.79999999999999993</v>
      </c>
      <c r="G40" s="95">
        <f t="shared" si="17"/>
        <v>0.7</v>
      </c>
      <c r="H40" s="95">
        <f t="shared" si="18"/>
        <v>-9.9999999999999978E-2</v>
      </c>
      <c r="I40" s="96">
        <v>0.55000000000000004</v>
      </c>
      <c r="J40" s="90">
        <v>46171</v>
      </c>
      <c r="K40" s="90">
        <f t="shared" si="4"/>
        <v>46171</v>
      </c>
      <c r="L40" s="91">
        <v>46171</v>
      </c>
      <c r="M40" s="90">
        <f t="shared" si="5"/>
        <v>46213</v>
      </c>
      <c r="N40" s="90">
        <f t="shared" si="6"/>
        <v>46213</v>
      </c>
      <c r="O40" s="90">
        <v>46214</v>
      </c>
      <c r="P40" s="90">
        <f t="shared" si="7"/>
        <v>46255</v>
      </c>
      <c r="Q40" s="90">
        <f t="shared" si="8"/>
        <v>46255</v>
      </c>
      <c r="R40" s="90"/>
      <c r="S40" s="90">
        <f t="shared" si="14"/>
        <v>46269</v>
      </c>
      <c r="T40" s="90">
        <f t="shared" si="9"/>
        <v>46269</v>
      </c>
      <c r="U40" s="90"/>
      <c r="W40" s="173" t="str">
        <f t="shared" ca="1" si="10"/>
        <v>Completed</v>
      </c>
      <c r="X40" s="173" t="str">
        <f t="shared" ca="1" si="11"/>
        <v>Completed</v>
      </c>
      <c r="Y40" s="173" t="str">
        <f t="shared" ca="1" si="12"/>
        <v>Overdue</v>
      </c>
      <c r="Z40" s="174" t="str">
        <f t="shared" ca="1" si="13"/>
        <v>Follow-This Week</v>
      </c>
    </row>
    <row r="41" spans="1:26" s="70" customFormat="1" ht="11.5" x14ac:dyDescent="0.25">
      <c r="A41" s="93" t="s">
        <v>66</v>
      </c>
      <c r="B41" s="93" t="s">
        <v>34</v>
      </c>
      <c r="C41" s="93" t="s">
        <v>847</v>
      </c>
      <c r="D41" s="93" t="s">
        <v>100</v>
      </c>
      <c r="E41" s="95">
        <f t="shared" si="15"/>
        <v>0.7</v>
      </c>
      <c r="F41" s="95">
        <f t="shared" si="16"/>
        <v>0.7</v>
      </c>
      <c r="G41" s="95">
        <f t="shared" si="17"/>
        <v>0.7</v>
      </c>
      <c r="H41" s="95">
        <f t="shared" si="18"/>
        <v>0</v>
      </c>
      <c r="I41" s="96">
        <v>0.75</v>
      </c>
      <c r="J41" s="90">
        <v>46192</v>
      </c>
      <c r="K41" s="97">
        <f t="shared" si="4"/>
        <v>46192</v>
      </c>
      <c r="L41" s="90">
        <v>46192</v>
      </c>
      <c r="M41" s="90">
        <f t="shared" si="5"/>
        <v>46234</v>
      </c>
      <c r="N41" s="97">
        <f t="shared" si="6"/>
        <v>46234</v>
      </c>
      <c r="O41" s="90">
        <v>46220</v>
      </c>
      <c r="P41" s="90">
        <f t="shared" si="7"/>
        <v>46276</v>
      </c>
      <c r="Q41" s="97">
        <f t="shared" si="8"/>
        <v>46276</v>
      </c>
      <c r="R41" s="90"/>
      <c r="S41" s="90">
        <f t="shared" si="14"/>
        <v>46290</v>
      </c>
      <c r="T41" s="97">
        <f t="shared" si="9"/>
        <v>46290</v>
      </c>
      <c r="U41" s="90"/>
      <c r="W41" s="173" t="str">
        <f t="shared" ca="1" si="10"/>
        <v>Completed</v>
      </c>
      <c r="X41" s="173" t="str">
        <f t="shared" ca="1" si="11"/>
        <v>Completed</v>
      </c>
      <c r="Y41" s="173" t="str">
        <f t="shared" ca="1" si="12"/>
        <v>Follow-Next Week</v>
      </c>
      <c r="Z41" s="174" t="str">
        <f t="shared" ca="1" si="13"/>
        <v/>
      </c>
    </row>
    <row r="42" spans="1:26" s="70" customFormat="1" ht="11.5" x14ac:dyDescent="0.25">
      <c r="A42" s="178" t="s">
        <v>66</v>
      </c>
      <c r="B42" s="178" t="s">
        <v>34</v>
      </c>
      <c r="C42" s="178" t="s">
        <v>101</v>
      </c>
      <c r="D42" s="178" t="s">
        <v>1133</v>
      </c>
      <c r="E42" s="156">
        <f t="shared" si="15"/>
        <v>1</v>
      </c>
      <c r="F42" s="156">
        <f t="shared" si="16"/>
        <v>1</v>
      </c>
      <c r="G42" s="156">
        <f t="shared" si="17"/>
        <v>1</v>
      </c>
      <c r="H42" s="156">
        <f t="shared" si="18"/>
        <v>0</v>
      </c>
      <c r="I42" s="157">
        <v>0.5</v>
      </c>
      <c r="J42" s="159">
        <v>46115</v>
      </c>
      <c r="K42" s="159">
        <f t="shared" si="4"/>
        <v>46115</v>
      </c>
      <c r="L42" s="159">
        <v>46122</v>
      </c>
      <c r="M42" s="159">
        <f t="shared" si="5"/>
        <v>46157</v>
      </c>
      <c r="N42" s="159">
        <f t="shared" si="6"/>
        <v>46157</v>
      </c>
      <c r="O42" s="159">
        <v>46199</v>
      </c>
      <c r="P42" s="159">
        <f t="shared" si="7"/>
        <v>46199</v>
      </c>
      <c r="Q42" s="159">
        <f t="shared" si="8"/>
        <v>46199</v>
      </c>
      <c r="R42" s="159">
        <v>46227</v>
      </c>
      <c r="S42" s="159">
        <f t="shared" si="14"/>
        <v>46213</v>
      </c>
      <c r="T42" s="159">
        <f t="shared" si="9"/>
        <v>46213</v>
      </c>
      <c r="U42" s="159">
        <v>46227</v>
      </c>
      <c r="W42" s="173" t="str">
        <f t="shared" ca="1" si="10"/>
        <v>Completed</v>
      </c>
      <c r="X42" s="173" t="str">
        <f t="shared" ca="1" si="11"/>
        <v>Completed</v>
      </c>
      <c r="Y42" s="173" t="str">
        <f t="shared" ca="1" si="12"/>
        <v>Completed</v>
      </c>
      <c r="Z42" s="174" t="str">
        <f t="shared" ca="1" si="13"/>
        <v>Completed</v>
      </c>
    </row>
    <row r="43" spans="1:26" s="70" customFormat="1" ht="11.5" x14ac:dyDescent="0.25">
      <c r="A43" s="93" t="s">
        <v>66</v>
      </c>
      <c r="B43" s="93" t="s">
        <v>34</v>
      </c>
      <c r="C43" s="93" t="s">
        <v>101</v>
      </c>
      <c r="D43" s="93" t="s">
        <v>1134</v>
      </c>
      <c r="E43" s="95">
        <f t="shared" ref="E43:E44" si="188">(COUNTIFS(J43,"&lt;="&amp;$C$1)*50%)+(COUNTIFS(M43,"&lt;="&amp;$C$1)*20%)+(COUNTIFS(P43,"&lt;="&amp;$C$1)*10%)+(COUNTIFS(S43,"&lt;="&amp;$C$1)*20%)</f>
        <v>0.79999999999999993</v>
      </c>
      <c r="F43" s="95">
        <f t="shared" ref="F43:F44" si="189">(COUNTIFS(K43,"&lt;="&amp;$C$1)*50%)+(COUNTIFS(N43,"&lt;="&amp;$C$1)*20%)+(COUNTIFS(Q43,"&lt;="&amp;$C$1)*10%)+(COUNTIFS(T43,"&lt;="&amp;$C$1)*20%)</f>
        <v>0.79999999999999993</v>
      </c>
      <c r="G43" s="95">
        <f t="shared" ref="G43:G44" si="190">(COUNTIFS(L43,"&lt;="&amp;$C$1)*50%)+(COUNTIFS(O43,"&lt;="&amp;$C$1)*20%)+(COUNTIFS(R43,"&lt;="&amp;$C$1)*10%)+(COUNTIFS(U43,"&lt;="&amp;$C$1)*20%)</f>
        <v>0.79999999999999993</v>
      </c>
      <c r="H43" s="95">
        <f t="shared" ref="H43:H44" si="191">G43-E43</f>
        <v>0</v>
      </c>
      <c r="I43" s="96">
        <v>0.5</v>
      </c>
      <c r="J43" s="90">
        <v>46115</v>
      </c>
      <c r="K43" s="90">
        <f t="shared" ref="K43:K44" si="192">J43</f>
        <v>46115</v>
      </c>
      <c r="L43" s="90">
        <v>46122</v>
      </c>
      <c r="M43" s="90">
        <f t="shared" ref="M43:M44" si="193">J43+42</f>
        <v>46157</v>
      </c>
      <c r="N43" s="90">
        <f t="shared" ref="N43:N44" si="194">M43</f>
        <v>46157</v>
      </c>
      <c r="O43" s="90">
        <v>46199</v>
      </c>
      <c r="P43" s="90">
        <v>46249</v>
      </c>
      <c r="Q43" s="90">
        <f t="shared" ref="Q43:Q44" si="195">P43</f>
        <v>46249</v>
      </c>
      <c r="R43" s="90">
        <v>46249</v>
      </c>
      <c r="S43" s="90">
        <f t="shared" ref="S43:S44" si="196">P43+14</f>
        <v>46263</v>
      </c>
      <c r="T43" s="90">
        <f t="shared" ref="T43:T44" si="197">S43</f>
        <v>46263</v>
      </c>
      <c r="U43" s="90"/>
      <c r="W43" s="173" t="str">
        <f t="shared" ref="W43:W44" ca="1" si="198">IF(OR(L43&lt;&gt;""),"Completed",
IF(K43="","",IF(K43&lt;TODAY(),"Overdue",
IF(AND(K43&gt;=TODAY()-WEEKDAY(TODAY(),2)+1,K43&lt;=TODAY()-WEEKDAY(TODAY(),2)+7),"Follow-This Week",
IF(AND(K43&gt;=TODAY()-WEEKDAY(TODAY(),2)+8,K43&lt;=TODAY()-WEEKDAY(TODAY(),2)+14),"Follow-Next Week","")))))</f>
        <v>Completed</v>
      </c>
      <c r="X43" s="173" t="str">
        <f t="shared" ref="X43:X44" ca="1" si="199">IF(OR(O43&lt;&gt;""),"Completed",IF(N43="","",
IF(N43&lt;TODAY(),"Overdue",
IF(AND(N43&gt;=TODAY()-WEEKDAY(TODAY(),2)+1,N43&lt;=TODAY()-WEEKDAY(TODAY(),2)+7),"Follow-This Week",
IF(AND(N43&gt;=TODAY()-WEEKDAY(TODAY(),2)+8,N43&lt;=TODAY()-WEEKDAY(TODAY(),2)+14),"Follow-Next Week","")))))</f>
        <v>Completed</v>
      </c>
      <c r="Y43" s="173" t="str">
        <f t="shared" ref="Y43:Y44" ca="1" si="200">IF(OR(R43&lt;&gt;""),"Completed",IF(Q43="","",
IF(Q43&lt;TODAY(),"Overdue",
IF(AND(Q43&gt;=TODAY()-WEEKDAY(TODAY(),2)+1,Q43&lt;=TODAY()-WEEKDAY(TODAY(),2)+7),"Follow-This Week",
IF(AND(Q43&gt;=TODAY()-WEEKDAY(TODAY(),2)+8,Q43&lt;=TODAY()-WEEKDAY(TODAY(),2)+14),"Follow-Next Week","")))))</f>
        <v>Completed</v>
      </c>
      <c r="Z43" s="174" t="str">
        <f t="shared" ref="Z43:Z44" ca="1" si="201">IF(OR(U43&lt;&gt;""),"Completed",IF(T43="","",
IF(T43&lt;TODAY(),"Overdue",
IF(AND(T43&gt;=TODAY()-WEEKDAY(TODAY(),2)+1,T43&lt;=TODAY()-WEEKDAY(TODAY(),2)+7),"Follow-This Week",
IF(AND(T43&gt;=TODAY()-WEEKDAY(TODAY(),2)+8,T43&lt;=TODAY()-WEEKDAY(TODAY(),2)+14),"Follow-Next Week","")))))</f>
        <v>Overdue</v>
      </c>
    </row>
    <row r="44" spans="1:26" s="70" customFormat="1" ht="11.5" x14ac:dyDescent="0.25">
      <c r="A44" s="178" t="s">
        <v>66</v>
      </c>
      <c r="B44" s="178" t="s">
        <v>34</v>
      </c>
      <c r="C44" s="178" t="s">
        <v>102</v>
      </c>
      <c r="D44" s="178" t="s">
        <v>103</v>
      </c>
      <c r="E44" s="156">
        <f t="shared" si="188"/>
        <v>0.79999999999999993</v>
      </c>
      <c r="F44" s="156">
        <f t="shared" si="189"/>
        <v>0.79999999999999993</v>
      </c>
      <c r="G44" s="156">
        <f t="shared" si="190"/>
        <v>1</v>
      </c>
      <c r="H44" s="156">
        <f t="shared" si="191"/>
        <v>0.20000000000000007</v>
      </c>
      <c r="I44" s="157">
        <v>0.4</v>
      </c>
      <c r="J44" s="159">
        <v>46178</v>
      </c>
      <c r="K44" s="159">
        <f t="shared" si="192"/>
        <v>46178</v>
      </c>
      <c r="L44" s="159">
        <v>46206</v>
      </c>
      <c r="M44" s="159">
        <f t="shared" si="193"/>
        <v>46220</v>
      </c>
      <c r="N44" s="159">
        <f t="shared" si="194"/>
        <v>46220</v>
      </c>
      <c r="O44" s="159">
        <v>46212</v>
      </c>
      <c r="P44" s="159">
        <f t="shared" ref="P44" si="202">M44+42</f>
        <v>46262</v>
      </c>
      <c r="Q44" s="159">
        <f t="shared" si="195"/>
        <v>46262</v>
      </c>
      <c r="R44" s="159">
        <v>46262</v>
      </c>
      <c r="S44" s="159">
        <f t="shared" si="196"/>
        <v>46276</v>
      </c>
      <c r="T44" s="159">
        <f t="shared" si="197"/>
        <v>46276</v>
      </c>
      <c r="U44" s="159">
        <v>46262</v>
      </c>
      <c r="W44" s="173" t="str">
        <f t="shared" ca="1" si="198"/>
        <v>Completed</v>
      </c>
      <c r="X44" s="173" t="str">
        <f t="shared" ca="1" si="199"/>
        <v>Completed</v>
      </c>
      <c r="Y44" s="173" t="str">
        <f t="shared" ca="1" si="200"/>
        <v>Completed</v>
      </c>
      <c r="Z44" s="174" t="str">
        <f t="shared" ca="1" si="201"/>
        <v>Completed</v>
      </c>
    </row>
    <row r="45" spans="1:26" s="70" customFormat="1" ht="11.5" x14ac:dyDescent="0.25">
      <c r="A45" s="93" t="s">
        <v>66</v>
      </c>
      <c r="B45" s="93" t="s">
        <v>34</v>
      </c>
      <c r="C45" s="93" t="s">
        <v>102</v>
      </c>
      <c r="D45" s="93" t="s">
        <v>1213</v>
      </c>
      <c r="E45" s="95">
        <f t="shared" si="15"/>
        <v>0.79999999999999993</v>
      </c>
      <c r="F45" s="95">
        <f t="shared" si="16"/>
        <v>0.79999999999999993</v>
      </c>
      <c r="G45" s="95">
        <f t="shared" si="17"/>
        <v>0.7</v>
      </c>
      <c r="H45" s="95">
        <f t="shared" si="18"/>
        <v>-9.9999999999999978E-2</v>
      </c>
      <c r="I45" s="96">
        <v>0.1</v>
      </c>
      <c r="J45" s="90">
        <v>46178</v>
      </c>
      <c r="K45" s="90">
        <f t="shared" si="4"/>
        <v>46178</v>
      </c>
      <c r="L45" s="90">
        <v>46206</v>
      </c>
      <c r="M45" s="90">
        <f t="shared" si="5"/>
        <v>46220</v>
      </c>
      <c r="N45" s="90">
        <f t="shared" si="6"/>
        <v>46220</v>
      </c>
      <c r="O45" s="90">
        <v>46212</v>
      </c>
      <c r="P45" s="90">
        <f t="shared" si="7"/>
        <v>46262</v>
      </c>
      <c r="Q45" s="90">
        <f t="shared" si="8"/>
        <v>46262</v>
      </c>
      <c r="R45" s="90"/>
      <c r="S45" s="90">
        <f t="shared" si="14"/>
        <v>46276</v>
      </c>
      <c r="T45" s="90">
        <f t="shared" si="9"/>
        <v>46276</v>
      </c>
      <c r="U45" s="90"/>
      <c r="W45" s="173" t="str">
        <f t="shared" ca="1" si="10"/>
        <v>Completed</v>
      </c>
      <c r="X45" s="173" t="str">
        <f t="shared" ca="1" si="11"/>
        <v>Completed</v>
      </c>
      <c r="Y45" s="173" t="str">
        <f t="shared" ca="1" si="12"/>
        <v>Overdue</v>
      </c>
      <c r="Z45" s="174" t="str">
        <f t="shared" ca="1" si="13"/>
        <v>Follow-Next Week</v>
      </c>
    </row>
    <row r="46" spans="1:26" s="70" customFormat="1" ht="11.5" x14ac:dyDescent="0.25">
      <c r="A46" s="99" t="s">
        <v>66</v>
      </c>
      <c r="B46" s="99" t="s">
        <v>34</v>
      </c>
      <c r="C46" s="99" t="s">
        <v>104</v>
      </c>
      <c r="D46" s="100" t="s">
        <v>105</v>
      </c>
      <c r="E46" s="101">
        <f t="shared" si="15"/>
        <v>0.7</v>
      </c>
      <c r="F46" s="101">
        <f t="shared" si="16"/>
        <v>0.7</v>
      </c>
      <c r="G46" s="101">
        <f t="shared" si="17"/>
        <v>0.7</v>
      </c>
      <c r="H46" s="101">
        <f t="shared" si="18"/>
        <v>0</v>
      </c>
      <c r="I46" s="96">
        <v>0.5</v>
      </c>
      <c r="J46" s="91">
        <v>46185</v>
      </c>
      <c r="K46" s="91">
        <f t="shared" si="4"/>
        <v>46185</v>
      </c>
      <c r="L46" s="90">
        <v>46206</v>
      </c>
      <c r="M46" s="91">
        <f t="shared" si="5"/>
        <v>46227</v>
      </c>
      <c r="N46" s="91">
        <f t="shared" si="6"/>
        <v>46227</v>
      </c>
      <c r="O46" s="90">
        <v>46212</v>
      </c>
      <c r="P46" s="91">
        <f t="shared" si="7"/>
        <v>46269</v>
      </c>
      <c r="Q46" s="91">
        <f t="shared" si="8"/>
        <v>46269</v>
      </c>
      <c r="R46" s="91"/>
      <c r="S46" s="90">
        <f t="shared" si="14"/>
        <v>46283</v>
      </c>
      <c r="T46" s="91">
        <f t="shared" si="9"/>
        <v>46283</v>
      </c>
      <c r="U46" s="91"/>
      <c r="W46" s="173" t="str">
        <f t="shared" ca="1" si="10"/>
        <v>Completed</v>
      </c>
      <c r="X46" s="173" t="str">
        <f t="shared" ca="1" si="11"/>
        <v>Completed</v>
      </c>
      <c r="Y46" s="173" t="str">
        <f t="shared" ca="1" si="12"/>
        <v>Follow-This Week</v>
      </c>
      <c r="Z46" s="174" t="str">
        <f t="shared" ca="1" si="13"/>
        <v/>
      </c>
    </row>
    <row r="47" spans="1:26" s="70" customFormat="1" ht="11.5" x14ac:dyDescent="0.25">
      <c r="A47" s="178" t="s">
        <v>66</v>
      </c>
      <c r="B47" s="178" t="s">
        <v>34</v>
      </c>
      <c r="C47" s="154" t="s">
        <v>901</v>
      </c>
      <c r="D47" s="155" t="s">
        <v>904</v>
      </c>
      <c r="E47" s="156">
        <f t="shared" si="15"/>
        <v>1</v>
      </c>
      <c r="F47" s="156">
        <f t="shared" si="16"/>
        <v>1</v>
      </c>
      <c r="G47" s="156">
        <f t="shared" si="17"/>
        <v>1</v>
      </c>
      <c r="H47" s="156">
        <f t="shared" si="18"/>
        <v>0</v>
      </c>
      <c r="I47" s="157">
        <v>0.3</v>
      </c>
      <c r="J47" s="158">
        <v>46122</v>
      </c>
      <c r="K47" s="158">
        <f t="shared" ref="K47" si="203">J47</f>
        <v>46122</v>
      </c>
      <c r="L47" s="159">
        <v>46115</v>
      </c>
      <c r="M47" s="159">
        <f t="shared" si="5"/>
        <v>46164</v>
      </c>
      <c r="N47" s="159">
        <f t="shared" si="6"/>
        <v>46164</v>
      </c>
      <c r="O47" s="212">
        <v>46191</v>
      </c>
      <c r="P47" s="159">
        <f t="shared" si="7"/>
        <v>46206</v>
      </c>
      <c r="Q47" s="159">
        <f t="shared" si="8"/>
        <v>46206</v>
      </c>
      <c r="R47" s="159">
        <v>46262</v>
      </c>
      <c r="S47" s="159">
        <f t="shared" si="14"/>
        <v>46220</v>
      </c>
      <c r="T47" s="159">
        <f t="shared" si="9"/>
        <v>46220</v>
      </c>
      <c r="U47" s="159">
        <v>46262</v>
      </c>
      <c r="W47" s="173" t="str">
        <f t="shared" ref="W47" ca="1" si="204">IF(OR(L47&lt;&gt;""),"Completed",
IF(K47="","",IF(K47&lt;TODAY(),"Overdue",
IF(AND(K47&gt;=TODAY()-WEEKDAY(TODAY(),2)+1,K47&lt;=TODAY()-WEEKDAY(TODAY(),2)+7),"Follow-This Week",
IF(AND(K47&gt;=TODAY()-WEEKDAY(TODAY(),2)+8,K47&lt;=TODAY()-WEEKDAY(TODAY(),2)+14),"Follow-Next Week","")))))</f>
        <v>Completed</v>
      </c>
      <c r="X47" s="173" t="str">
        <f t="shared" ref="X47" ca="1" si="205">IF(OR(O47&lt;&gt;""),"Completed",IF(N47="","",
IF(N47&lt;TODAY(),"Overdue",
IF(AND(N47&gt;=TODAY()-WEEKDAY(TODAY(),2)+1,N47&lt;=TODAY()-WEEKDAY(TODAY(),2)+7),"Follow-This Week",
IF(AND(N47&gt;=TODAY()-WEEKDAY(TODAY(),2)+8,N47&lt;=TODAY()-WEEKDAY(TODAY(),2)+14),"Follow-Next Week","")))))</f>
        <v>Completed</v>
      </c>
      <c r="Y47" s="173" t="str">
        <f t="shared" ref="Y47" ca="1" si="206">IF(OR(R47&lt;&gt;""),"Completed",IF(Q47="","",
IF(Q47&lt;TODAY(),"Overdue",
IF(AND(Q47&gt;=TODAY()-WEEKDAY(TODAY(),2)+1,Q47&lt;=TODAY()-WEEKDAY(TODAY(),2)+7),"Follow-This Week",
IF(AND(Q47&gt;=TODAY()-WEEKDAY(TODAY(),2)+8,Q47&lt;=TODAY()-WEEKDAY(TODAY(),2)+14),"Follow-Next Week","")))))</f>
        <v>Completed</v>
      </c>
      <c r="Z47" s="174" t="str">
        <f t="shared" ref="Z47" ca="1" si="207">IF(OR(U47&lt;&gt;""),"Completed",IF(T47="","",
IF(T47&lt;TODAY(),"Overdue",
IF(AND(T47&gt;=TODAY()-WEEKDAY(TODAY(),2)+1,T47&lt;=TODAY()-WEEKDAY(TODAY(),2)+7),"Follow-This Week",
IF(AND(T47&gt;=TODAY()-WEEKDAY(TODAY(),2)+8,T47&lt;=TODAY()-WEEKDAY(TODAY(),2)+14),"Follow-Next Week","")))))</f>
        <v>Completed</v>
      </c>
    </row>
    <row r="48" spans="1:26" s="70" customFormat="1" ht="11.5" x14ac:dyDescent="0.25">
      <c r="A48" s="93" t="s">
        <v>66</v>
      </c>
      <c r="B48" s="93" t="s">
        <v>34</v>
      </c>
      <c r="C48" s="99" t="s">
        <v>901</v>
      </c>
      <c r="D48" s="100" t="s">
        <v>1214</v>
      </c>
      <c r="E48" s="95">
        <f t="shared" ref="E48:E54" si="208">(COUNTIFS(J48,"&lt;="&amp;$C$1)*50%)+(COUNTIFS(M48,"&lt;="&amp;$C$1)*20%)+(COUNTIFS(P48,"&lt;="&amp;$C$1)*10%)+(COUNTIFS(S48,"&lt;="&amp;$C$1)*20%)</f>
        <v>1</v>
      </c>
      <c r="F48" s="95">
        <f t="shared" ref="F48:F54" si="209">(COUNTIFS(K48,"&lt;="&amp;$C$1)*50%)+(COUNTIFS(N48,"&lt;="&amp;$C$1)*20%)+(COUNTIFS(Q48,"&lt;="&amp;$C$1)*10%)+(COUNTIFS(T48,"&lt;="&amp;$C$1)*20%)</f>
        <v>1</v>
      </c>
      <c r="G48" s="95">
        <f t="shared" ref="G48:G54" si="210">(COUNTIFS(L48,"&lt;="&amp;$C$1)*50%)+(COUNTIFS(O48,"&lt;="&amp;$C$1)*20%)+(COUNTIFS(R48,"&lt;="&amp;$C$1)*10%)+(COUNTIFS(U48,"&lt;="&amp;$C$1)*20%)</f>
        <v>0.7</v>
      </c>
      <c r="H48" s="95">
        <f t="shared" ref="H48:H54" si="211">G48-E48</f>
        <v>-0.30000000000000004</v>
      </c>
      <c r="I48" s="96">
        <v>0.1</v>
      </c>
      <c r="J48" s="91">
        <v>46122</v>
      </c>
      <c r="K48" s="91">
        <f t="shared" si="4"/>
        <v>46122</v>
      </c>
      <c r="L48" s="90">
        <v>46115</v>
      </c>
      <c r="M48" s="90">
        <f t="shared" ref="M48:M54" si="212">J48+42</f>
        <v>46164</v>
      </c>
      <c r="N48" s="90">
        <f t="shared" ref="N48:N54" si="213">M48</f>
        <v>46164</v>
      </c>
      <c r="O48" s="148">
        <v>46191</v>
      </c>
      <c r="P48" s="90">
        <f t="shared" ref="P48:P54" si="214">M48+42</f>
        <v>46206</v>
      </c>
      <c r="Q48" s="90">
        <f t="shared" ref="Q48:Q54" si="215">P48</f>
        <v>46206</v>
      </c>
      <c r="R48" s="90"/>
      <c r="S48" s="90">
        <f t="shared" ref="S48:S54" si="216">P48+14</f>
        <v>46220</v>
      </c>
      <c r="T48" s="90">
        <f t="shared" ref="T48:T54" si="217">S48</f>
        <v>46220</v>
      </c>
      <c r="U48" s="91"/>
      <c r="W48" s="173" t="str">
        <f t="shared" ca="1" si="10"/>
        <v>Completed</v>
      </c>
      <c r="X48" s="173" t="str">
        <f t="shared" ca="1" si="11"/>
        <v>Completed</v>
      </c>
      <c r="Y48" s="173" t="str">
        <f t="shared" ca="1" si="12"/>
        <v>Overdue</v>
      </c>
      <c r="Z48" s="174" t="str">
        <f t="shared" ca="1" si="13"/>
        <v>Overdue</v>
      </c>
    </row>
    <row r="49" spans="1:26" s="70" customFormat="1" ht="11.5" x14ac:dyDescent="0.25">
      <c r="A49" s="178" t="s">
        <v>66</v>
      </c>
      <c r="B49" s="178" t="s">
        <v>34</v>
      </c>
      <c r="C49" s="154" t="s">
        <v>902</v>
      </c>
      <c r="D49" s="155" t="s">
        <v>905</v>
      </c>
      <c r="E49" s="213">
        <f t="shared" ref="E49" si="218">(COUNTIFS(J49,"&lt;="&amp;$C$1)*50%)+(COUNTIFS(M49,"&lt;="&amp;$C$1)*20%)+(COUNTIFS(P49,"&lt;="&amp;$C$1)*10%)+(COUNTIFS(S49,"&lt;="&amp;$C$1)*20%)</f>
        <v>1</v>
      </c>
      <c r="F49" s="213">
        <f t="shared" ref="F49" si="219">(COUNTIFS(K49,"&lt;="&amp;$C$1)*50%)+(COUNTIFS(N49,"&lt;="&amp;$C$1)*20%)+(COUNTIFS(Q49,"&lt;="&amp;$C$1)*10%)+(COUNTIFS(T49,"&lt;="&amp;$C$1)*20%)</f>
        <v>1</v>
      </c>
      <c r="G49" s="213">
        <f t="shared" ref="G49" si="220">(COUNTIFS(L49,"&lt;="&amp;$C$1)*50%)+(COUNTIFS(O49,"&lt;="&amp;$C$1)*20%)+(COUNTIFS(R49,"&lt;="&amp;$C$1)*10%)+(COUNTIFS(U49,"&lt;="&amp;$C$1)*20%)</f>
        <v>1</v>
      </c>
      <c r="H49" s="213">
        <f t="shared" ref="H49" si="221">G49-E49</f>
        <v>0</v>
      </c>
      <c r="I49" s="157">
        <v>0.3</v>
      </c>
      <c r="J49" s="158">
        <v>46129</v>
      </c>
      <c r="K49" s="158">
        <f t="shared" ref="K49" si="222">J49</f>
        <v>46129</v>
      </c>
      <c r="L49" s="159">
        <v>46142</v>
      </c>
      <c r="M49" s="158">
        <f t="shared" ref="M49" si="223">J49+42</f>
        <v>46171</v>
      </c>
      <c r="N49" s="158">
        <f t="shared" ref="N49" si="224">M49</f>
        <v>46171</v>
      </c>
      <c r="O49" s="212">
        <v>46191</v>
      </c>
      <c r="P49" s="158">
        <f t="shared" ref="P49" si="225">M49+42</f>
        <v>46213</v>
      </c>
      <c r="Q49" s="158">
        <f t="shared" ref="Q49" si="226">P49</f>
        <v>46213</v>
      </c>
      <c r="R49" s="159">
        <v>46262</v>
      </c>
      <c r="S49" s="159">
        <f t="shared" ref="S49" si="227">P49+14</f>
        <v>46227</v>
      </c>
      <c r="T49" s="158">
        <f t="shared" ref="T49" si="228">S49</f>
        <v>46227</v>
      </c>
      <c r="U49" s="159">
        <v>46262</v>
      </c>
      <c r="W49" s="173" t="str">
        <f t="shared" ref="W49" ca="1" si="229">IF(OR(L49&lt;&gt;""),"Completed",
IF(K49="","",IF(K49&lt;TODAY(),"Overdue",
IF(AND(K49&gt;=TODAY()-WEEKDAY(TODAY(),2)+1,K49&lt;=TODAY()-WEEKDAY(TODAY(),2)+7),"Follow-This Week",
IF(AND(K49&gt;=TODAY()-WEEKDAY(TODAY(),2)+8,K49&lt;=TODAY()-WEEKDAY(TODAY(),2)+14),"Follow-Next Week","")))))</f>
        <v>Completed</v>
      </c>
      <c r="X49" s="173" t="str">
        <f t="shared" ref="X49" ca="1" si="230">IF(OR(O49&lt;&gt;""),"Completed",IF(N49="","",
IF(N49&lt;TODAY(),"Overdue",
IF(AND(N49&gt;=TODAY()-WEEKDAY(TODAY(),2)+1,N49&lt;=TODAY()-WEEKDAY(TODAY(),2)+7),"Follow-This Week",
IF(AND(N49&gt;=TODAY()-WEEKDAY(TODAY(),2)+8,N49&lt;=TODAY()-WEEKDAY(TODAY(),2)+14),"Follow-Next Week","")))))</f>
        <v>Completed</v>
      </c>
      <c r="Y49" s="173" t="str">
        <f t="shared" ref="Y49" ca="1" si="231">IF(OR(R49&lt;&gt;""),"Completed",IF(Q49="","",
IF(Q49&lt;TODAY(),"Overdue",
IF(AND(Q49&gt;=TODAY()-WEEKDAY(TODAY(),2)+1,Q49&lt;=TODAY()-WEEKDAY(TODAY(),2)+7),"Follow-This Week",
IF(AND(Q49&gt;=TODAY()-WEEKDAY(TODAY(),2)+8,Q49&lt;=TODAY()-WEEKDAY(TODAY(),2)+14),"Follow-Next Week","")))))</f>
        <v>Completed</v>
      </c>
      <c r="Z49" s="174" t="str">
        <f t="shared" ref="Z49" ca="1" si="232">IF(OR(U49&lt;&gt;""),"Completed",IF(T49="","",
IF(T49&lt;TODAY(),"Overdue",
IF(AND(T49&gt;=TODAY()-WEEKDAY(TODAY(),2)+1,T49&lt;=TODAY()-WEEKDAY(TODAY(),2)+7),"Follow-This Week",
IF(AND(T49&gt;=TODAY()-WEEKDAY(TODAY(),2)+8,T49&lt;=TODAY()-WEEKDAY(TODAY(),2)+14),"Follow-Next Week","")))))</f>
        <v>Completed</v>
      </c>
    </row>
    <row r="50" spans="1:26" s="70" customFormat="1" ht="11.5" x14ac:dyDescent="0.25">
      <c r="A50" s="93" t="s">
        <v>66</v>
      </c>
      <c r="B50" s="93" t="s">
        <v>34</v>
      </c>
      <c r="C50" s="99" t="s">
        <v>902</v>
      </c>
      <c r="D50" s="100" t="s">
        <v>1215</v>
      </c>
      <c r="E50" s="101">
        <f t="shared" si="208"/>
        <v>1</v>
      </c>
      <c r="F50" s="101">
        <f t="shared" si="209"/>
        <v>1</v>
      </c>
      <c r="G50" s="101">
        <f t="shared" si="210"/>
        <v>0.7</v>
      </c>
      <c r="H50" s="101">
        <f t="shared" si="211"/>
        <v>-0.30000000000000004</v>
      </c>
      <c r="I50" s="96">
        <v>0.1</v>
      </c>
      <c r="J50" s="91">
        <v>46129</v>
      </c>
      <c r="K50" s="91">
        <f t="shared" si="4"/>
        <v>46129</v>
      </c>
      <c r="L50" s="90">
        <v>46142</v>
      </c>
      <c r="M50" s="91">
        <f t="shared" si="212"/>
        <v>46171</v>
      </c>
      <c r="N50" s="91">
        <f t="shared" si="213"/>
        <v>46171</v>
      </c>
      <c r="O50" s="148">
        <v>46191</v>
      </c>
      <c r="P50" s="91">
        <f t="shared" si="214"/>
        <v>46213</v>
      </c>
      <c r="Q50" s="91">
        <f t="shared" si="215"/>
        <v>46213</v>
      </c>
      <c r="R50" s="91"/>
      <c r="S50" s="90">
        <f t="shared" si="216"/>
        <v>46227</v>
      </c>
      <c r="T50" s="91">
        <f t="shared" si="217"/>
        <v>46227</v>
      </c>
      <c r="U50" s="91"/>
      <c r="W50" s="173" t="str">
        <f t="shared" ca="1" si="10"/>
        <v>Completed</v>
      </c>
      <c r="X50" s="173" t="str">
        <f t="shared" ca="1" si="11"/>
        <v>Completed</v>
      </c>
      <c r="Y50" s="173" t="str">
        <f t="shared" ca="1" si="12"/>
        <v>Overdue</v>
      </c>
      <c r="Z50" s="174" t="str">
        <f t="shared" ca="1" si="13"/>
        <v>Overdue</v>
      </c>
    </row>
    <row r="51" spans="1:26" s="70" customFormat="1" ht="11.5" x14ac:dyDescent="0.25">
      <c r="A51" s="154" t="s">
        <v>66</v>
      </c>
      <c r="B51" s="154" t="s">
        <v>34</v>
      </c>
      <c r="C51" s="154" t="s">
        <v>903</v>
      </c>
      <c r="D51" s="155" t="s">
        <v>906</v>
      </c>
      <c r="E51" s="156"/>
      <c r="F51" s="156"/>
      <c r="G51" s="156"/>
      <c r="H51" s="156"/>
      <c r="I51" s="157">
        <v>0.2</v>
      </c>
      <c r="J51" s="158">
        <v>46142</v>
      </c>
      <c r="K51" s="158">
        <f t="shared" si="4"/>
        <v>46142</v>
      </c>
      <c r="L51" s="159">
        <v>46199</v>
      </c>
      <c r="M51" s="159">
        <f t="shared" si="212"/>
        <v>46184</v>
      </c>
      <c r="N51" s="159">
        <f t="shared" si="213"/>
        <v>46184</v>
      </c>
      <c r="O51" s="159">
        <v>46199</v>
      </c>
      <c r="P51" s="159">
        <f t="shared" si="214"/>
        <v>46226</v>
      </c>
      <c r="Q51" s="159">
        <f t="shared" si="215"/>
        <v>46226</v>
      </c>
      <c r="R51" s="159">
        <v>46213</v>
      </c>
      <c r="S51" s="159">
        <f t="shared" si="216"/>
        <v>46240</v>
      </c>
      <c r="T51" s="159">
        <f t="shared" si="217"/>
        <v>46240</v>
      </c>
      <c r="U51" s="159">
        <v>46240</v>
      </c>
      <c r="W51" s="173" t="str">
        <f t="shared" ca="1" si="10"/>
        <v>Completed</v>
      </c>
      <c r="X51" s="173" t="str">
        <f t="shared" ca="1" si="11"/>
        <v>Completed</v>
      </c>
      <c r="Y51" s="173" t="str">
        <f t="shared" ca="1" si="12"/>
        <v>Completed</v>
      </c>
      <c r="Z51" s="174" t="str">
        <f t="shared" ca="1" si="13"/>
        <v>Completed</v>
      </c>
    </row>
    <row r="52" spans="1:26" s="70" customFormat="1" ht="11.5" x14ac:dyDescent="0.25">
      <c r="A52" s="93" t="s">
        <v>66</v>
      </c>
      <c r="B52" s="93" t="s">
        <v>34</v>
      </c>
      <c r="C52" s="99" t="s">
        <v>903</v>
      </c>
      <c r="D52" s="100" t="s">
        <v>966</v>
      </c>
      <c r="E52" s="101">
        <f t="shared" ref="E52" si="233">(COUNTIFS(J52,"&lt;="&amp;$C$1)*50%)+(COUNTIFS(M52,"&lt;="&amp;$C$1)*20%)+(COUNTIFS(P52,"&lt;="&amp;$C$1)*10%)+(COUNTIFS(S52,"&lt;="&amp;$C$1)*20%)</f>
        <v>0.7</v>
      </c>
      <c r="F52" s="101">
        <f t="shared" ref="F52" si="234">(COUNTIFS(K52,"&lt;="&amp;$C$1)*50%)+(COUNTIFS(N52,"&lt;="&amp;$C$1)*20%)+(COUNTIFS(Q52,"&lt;="&amp;$C$1)*10%)+(COUNTIFS(T52,"&lt;="&amp;$C$1)*20%)</f>
        <v>0.7</v>
      </c>
      <c r="G52" s="101">
        <f t="shared" ref="G52" si="235">(COUNTIFS(L52,"&lt;="&amp;$C$1)*50%)+(COUNTIFS(O52,"&lt;="&amp;$C$1)*20%)+(COUNTIFS(R52,"&lt;="&amp;$C$1)*10%)+(COUNTIFS(U52,"&lt;="&amp;$C$1)*20%)</f>
        <v>0.79999999999999993</v>
      </c>
      <c r="H52" s="101">
        <f t="shared" ref="H52" si="236">G52-E52</f>
        <v>9.9999999999999978E-2</v>
      </c>
      <c r="I52" s="96"/>
      <c r="J52" s="91">
        <v>46195</v>
      </c>
      <c r="K52" s="91">
        <f t="shared" si="4"/>
        <v>46195</v>
      </c>
      <c r="L52" s="90">
        <v>46213</v>
      </c>
      <c r="M52" s="90">
        <f t="shared" ref="M52" si="237">J52+42</f>
        <v>46237</v>
      </c>
      <c r="N52" s="90">
        <f t="shared" ref="N52" si="238">M52</f>
        <v>46237</v>
      </c>
      <c r="O52" s="90">
        <v>46213</v>
      </c>
      <c r="P52" s="90">
        <f t="shared" ref="P52" si="239">M52+42</f>
        <v>46279</v>
      </c>
      <c r="Q52" s="90">
        <f t="shared" ref="Q52" si="240">P52</f>
        <v>46279</v>
      </c>
      <c r="R52" s="90">
        <v>46213</v>
      </c>
      <c r="S52" s="90">
        <f t="shared" ref="S52" si="241">P52+14</f>
        <v>46293</v>
      </c>
      <c r="T52" s="90">
        <f t="shared" ref="T52" si="242">S52</f>
        <v>46293</v>
      </c>
      <c r="U52" s="91"/>
      <c r="W52" s="173" t="str">
        <f t="shared" ca="1" si="10"/>
        <v>Completed</v>
      </c>
      <c r="X52" s="173" t="str">
        <f t="shared" ca="1" si="11"/>
        <v>Completed</v>
      </c>
      <c r="Y52" s="173" t="str">
        <f t="shared" ca="1" si="12"/>
        <v>Completed</v>
      </c>
      <c r="Z52" s="174" t="str">
        <f t="shared" ca="1" si="13"/>
        <v/>
      </c>
    </row>
    <row r="53" spans="1:26" s="70" customFormat="1" ht="11.5" x14ac:dyDescent="0.25">
      <c r="A53" s="93" t="s">
        <v>66</v>
      </c>
      <c r="B53" s="93" t="s">
        <v>34</v>
      </c>
      <c r="C53" s="99" t="s">
        <v>897</v>
      </c>
      <c r="D53" s="100" t="s">
        <v>899</v>
      </c>
      <c r="E53" s="101">
        <f t="shared" si="208"/>
        <v>1</v>
      </c>
      <c r="F53" s="101">
        <f t="shared" si="209"/>
        <v>1</v>
      </c>
      <c r="G53" s="101">
        <f t="shared" si="210"/>
        <v>1</v>
      </c>
      <c r="H53" s="101">
        <f t="shared" si="211"/>
        <v>0</v>
      </c>
      <c r="I53" s="96">
        <v>0.2</v>
      </c>
      <c r="J53" s="91">
        <v>46157</v>
      </c>
      <c r="K53" s="91">
        <f t="shared" si="4"/>
        <v>46157</v>
      </c>
      <c r="L53" s="90">
        <v>46150</v>
      </c>
      <c r="M53" s="90">
        <f t="shared" si="212"/>
        <v>46199</v>
      </c>
      <c r="N53" s="90">
        <f t="shared" si="213"/>
        <v>46199</v>
      </c>
      <c r="O53" s="90">
        <v>46191</v>
      </c>
      <c r="P53" s="90">
        <f t="shared" si="214"/>
        <v>46241</v>
      </c>
      <c r="Q53" s="90">
        <f t="shared" si="215"/>
        <v>46241</v>
      </c>
      <c r="R53" s="90">
        <v>46227</v>
      </c>
      <c r="S53" s="90">
        <f t="shared" si="216"/>
        <v>46255</v>
      </c>
      <c r="T53" s="90">
        <f t="shared" si="217"/>
        <v>46255</v>
      </c>
      <c r="U53" s="91">
        <v>46239</v>
      </c>
      <c r="W53" s="173" t="str">
        <f t="shared" ca="1" si="10"/>
        <v>Completed</v>
      </c>
      <c r="X53" s="173" t="str">
        <f t="shared" ca="1" si="11"/>
        <v>Completed</v>
      </c>
      <c r="Y53" s="173" t="str">
        <f t="shared" ca="1" si="12"/>
        <v>Completed</v>
      </c>
      <c r="Z53" s="174" t="str">
        <f t="shared" ca="1" si="13"/>
        <v>Completed</v>
      </c>
    </row>
    <row r="54" spans="1:26" s="70" customFormat="1" ht="11.5" x14ac:dyDescent="0.25">
      <c r="A54" s="99" t="s">
        <v>66</v>
      </c>
      <c r="B54" s="99" t="s">
        <v>34</v>
      </c>
      <c r="C54" s="99" t="s">
        <v>898</v>
      </c>
      <c r="D54" s="100" t="s">
        <v>900</v>
      </c>
      <c r="E54" s="95">
        <f t="shared" si="208"/>
        <v>1</v>
      </c>
      <c r="F54" s="95">
        <f t="shared" si="209"/>
        <v>1</v>
      </c>
      <c r="G54" s="95">
        <f t="shared" si="210"/>
        <v>1</v>
      </c>
      <c r="H54" s="95">
        <f t="shared" si="211"/>
        <v>0</v>
      </c>
      <c r="I54" s="96">
        <v>0.2</v>
      </c>
      <c r="J54" s="91">
        <v>46157</v>
      </c>
      <c r="K54" s="91">
        <f t="shared" si="4"/>
        <v>46157</v>
      </c>
      <c r="L54" s="90">
        <v>46150</v>
      </c>
      <c r="M54" s="90">
        <f t="shared" si="212"/>
        <v>46199</v>
      </c>
      <c r="N54" s="90">
        <f t="shared" si="213"/>
        <v>46199</v>
      </c>
      <c r="O54" s="90">
        <v>46191</v>
      </c>
      <c r="P54" s="90">
        <f t="shared" si="214"/>
        <v>46241</v>
      </c>
      <c r="Q54" s="90">
        <f t="shared" si="215"/>
        <v>46241</v>
      </c>
      <c r="R54" s="90">
        <v>46227</v>
      </c>
      <c r="S54" s="90">
        <f t="shared" si="216"/>
        <v>46255</v>
      </c>
      <c r="T54" s="90">
        <f t="shared" si="217"/>
        <v>46255</v>
      </c>
      <c r="U54" s="91">
        <v>46239</v>
      </c>
      <c r="W54" s="173" t="str">
        <f t="shared" ca="1" si="10"/>
        <v>Completed</v>
      </c>
      <c r="X54" s="173" t="str">
        <f t="shared" ca="1" si="11"/>
        <v>Completed</v>
      </c>
      <c r="Y54" s="173" t="str">
        <f t="shared" ca="1" si="12"/>
        <v>Completed</v>
      </c>
      <c r="Z54" s="174" t="str">
        <f t="shared" ca="1" si="13"/>
        <v>Completed</v>
      </c>
    </row>
    <row r="55" spans="1:26" s="70" customFormat="1" ht="11.5" x14ac:dyDescent="0.25">
      <c r="A55" s="93" t="s">
        <v>66</v>
      </c>
      <c r="B55" s="93" t="s">
        <v>34</v>
      </c>
      <c r="C55" s="99" t="s">
        <v>891</v>
      </c>
      <c r="D55" s="100" t="s">
        <v>893</v>
      </c>
      <c r="E55" s="101">
        <f t="shared" ref="E55:E56" si="243">(COUNTIFS(J55,"&lt;="&amp;$C$1)*50%)+(COUNTIFS(M55,"&lt;="&amp;$C$1)*20%)+(COUNTIFS(P55,"&lt;="&amp;$C$1)*10%)+(COUNTIFS(S55,"&lt;="&amp;$C$1)*20%)</f>
        <v>1</v>
      </c>
      <c r="F55" s="101">
        <f t="shared" ref="F55:F56" si="244">(COUNTIFS(K55,"&lt;="&amp;$C$1)*50%)+(COUNTIFS(N55,"&lt;="&amp;$C$1)*20%)+(COUNTIFS(Q55,"&lt;="&amp;$C$1)*10%)+(COUNTIFS(T55,"&lt;="&amp;$C$1)*20%)</f>
        <v>1</v>
      </c>
      <c r="G55" s="101">
        <f t="shared" ref="G55:G56" si="245">(COUNTIFS(L55,"&lt;="&amp;$C$1)*50%)+(COUNTIFS(O55,"&lt;="&amp;$C$1)*20%)+(COUNTIFS(R55,"&lt;="&amp;$C$1)*10%)+(COUNTIFS(U55,"&lt;="&amp;$C$1)*20%)</f>
        <v>1</v>
      </c>
      <c r="H55" s="101">
        <f t="shared" ref="H55:H56" si="246">G55-E55</f>
        <v>0</v>
      </c>
      <c r="I55" s="96">
        <v>0.2</v>
      </c>
      <c r="J55" s="91">
        <v>46143</v>
      </c>
      <c r="K55" s="91">
        <f t="shared" ref="K55" si="247">J55</f>
        <v>46143</v>
      </c>
      <c r="L55" s="90">
        <v>46142</v>
      </c>
      <c r="M55" s="90">
        <f t="shared" ref="M55" si="248">J55+42</f>
        <v>46185</v>
      </c>
      <c r="N55" s="90">
        <f t="shared" ref="N55" si="249">M55</f>
        <v>46185</v>
      </c>
      <c r="O55" s="90">
        <v>46191</v>
      </c>
      <c r="P55" s="90">
        <f t="shared" ref="P55" si="250">M55+42</f>
        <v>46227</v>
      </c>
      <c r="Q55" s="90">
        <f t="shared" ref="Q55" si="251">P55</f>
        <v>46227</v>
      </c>
      <c r="R55" s="147">
        <v>46202</v>
      </c>
      <c r="S55" s="90">
        <f t="shared" ref="S55" si="252">P55+14</f>
        <v>46241</v>
      </c>
      <c r="T55" s="90">
        <f t="shared" ref="T55" si="253">S55</f>
        <v>46241</v>
      </c>
      <c r="U55" s="91">
        <v>46209</v>
      </c>
      <c r="W55" s="173" t="str">
        <f t="shared" ca="1" si="10"/>
        <v>Completed</v>
      </c>
      <c r="X55" s="173" t="str">
        <f t="shared" ca="1" si="11"/>
        <v>Completed</v>
      </c>
      <c r="Y55" s="173" t="str">
        <f t="shared" ca="1" si="12"/>
        <v>Completed</v>
      </c>
      <c r="Z55" s="174" t="str">
        <f t="shared" ca="1" si="13"/>
        <v>Completed</v>
      </c>
    </row>
    <row r="56" spans="1:26" s="70" customFormat="1" ht="11.5" x14ac:dyDescent="0.25">
      <c r="A56" s="99" t="s">
        <v>66</v>
      </c>
      <c r="B56" s="99" t="s">
        <v>34</v>
      </c>
      <c r="C56" s="99" t="s">
        <v>892</v>
      </c>
      <c r="D56" s="100" t="s">
        <v>894</v>
      </c>
      <c r="E56" s="95">
        <f t="shared" si="243"/>
        <v>1</v>
      </c>
      <c r="F56" s="95">
        <f t="shared" si="244"/>
        <v>1</v>
      </c>
      <c r="G56" s="95">
        <f t="shared" si="245"/>
        <v>0.79999999999999993</v>
      </c>
      <c r="H56" s="95">
        <f t="shared" si="246"/>
        <v>-0.20000000000000007</v>
      </c>
      <c r="I56" s="96">
        <v>0.2</v>
      </c>
      <c r="J56" s="91">
        <v>46143</v>
      </c>
      <c r="K56" s="91">
        <f t="shared" ref="K56:K59" si="254">J56</f>
        <v>46143</v>
      </c>
      <c r="L56" s="90">
        <v>46142</v>
      </c>
      <c r="M56" s="90">
        <f t="shared" ref="M56:M59" si="255">J56+42</f>
        <v>46185</v>
      </c>
      <c r="N56" s="90">
        <f t="shared" ref="N56:N57" si="256">M56</f>
        <v>46185</v>
      </c>
      <c r="O56" s="90">
        <v>46191</v>
      </c>
      <c r="P56" s="90">
        <f t="shared" ref="P56:P59" si="257">M56+42</f>
        <v>46227</v>
      </c>
      <c r="Q56" s="90">
        <f t="shared" ref="Q56:Q57" si="258">P56</f>
        <v>46227</v>
      </c>
      <c r="R56" s="90">
        <v>46254</v>
      </c>
      <c r="S56" s="90">
        <f t="shared" ref="S56:T59" si="259">P56+14</f>
        <v>46241</v>
      </c>
      <c r="T56" s="90">
        <f t="shared" ref="T56:T58" si="260">S56</f>
        <v>46241</v>
      </c>
      <c r="U56" s="91"/>
      <c r="W56" s="173" t="str">
        <f t="shared" ca="1" si="10"/>
        <v>Completed</v>
      </c>
      <c r="X56" s="173" t="str">
        <f t="shared" ca="1" si="11"/>
        <v>Completed</v>
      </c>
      <c r="Y56" s="173" t="str">
        <f t="shared" ca="1" si="12"/>
        <v>Completed</v>
      </c>
      <c r="Z56" s="174" t="str">
        <f t="shared" ca="1" si="13"/>
        <v>Overdue</v>
      </c>
    </row>
    <row r="57" spans="1:26" s="70" customFormat="1" ht="11.5" x14ac:dyDescent="0.25">
      <c r="A57" s="93" t="s">
        <v>66</v>
      </c>
      <c r="B57" s="93" t="s">
        <v>34</v>
      </c>
      <c r="C57" s="99" t="s">
        <v>895</v>
      </c>
      <c r="D57" s="100" t="s">
        <v>896</v>
      </c>
      <c r="E57" s="95">
        <f t="shared" ref="E57:E59" si="261">(COUNTIFS(J57,"&lt;="&amp;$C$1)*50%)+(COUNTIFS(M57,"&lt;="&amp;$C$1)*20%)+(COUNTIFS(P57,"&lt;="&amp;$C$1)*10%)+(COUNTIFS(S57,"&lt;="&amp;$C$1)*20%)</f>
        <v>1</v>
      </c>
      <c r="F57" s="95">
        <f t="shared" ref="F57:F59" si="262">(COUNTIFS(K57,"&lt;="&amp;$C$1)*50%)+(COUNTIFS(N57,"&lt;="&amp;$C$1)*20%)+(COUNTIFS(Q57,"&lt;="&amp;$C$1)*10%)+(COUNTIFS(T57,"&lt;="&amp;$C$1)*20%)</f>
        <v>1</v>
      </c>
      <c r="G57" s="95">
        <f t="shared" ref="G57:G59" si="263">(COUNTIFS(L57,"&lt;="&amp;$C$1)*50%)+(COUNTIFS(O57,"&lt;="&amp;$C$1)*20%)+(COUNTIFS(R57,"&lt;="&amp;$C$1)*10%)+(COUNTIFS(U57,"&lt;="&amp;$C$1)*20%)</f>
        <v>1</v>
      </c>
      <c r="H57" s="95">
        <f t="shared" ref="H57:H59" si="264">G57-E57</f>
        <v>0</v>
      </c>
      <c r="I57" s="96">
        <v>0.2</v>
      </c>
      <c r="J57" s="91">
        <v>46157</v>
      </c>
      <c r="K57" s="91">
        <f t="shared" si="254"/>
        <v>46157</v>
      </c>
      <c r="L57" s="90">
        <v>46150</v>
      </c>
      <c r="M57" s="90">
        <f t="shared" si="255"/>
        <v>46199</v>
      </c>
      <c r="N57" s="90">
        <f t="shared" si="256"/>
        <v>46199</v>
      </c>
      <c r="O57" s="90">
        <v>46191</v>
      </c>
      <c r="P57" s="90">
        <f t="shared" si="257"/>
        <v>46241</v>
      </c>
      <c r="Q57" s="90">
        <f t="shared" si="258"/>
        <v>46241</v>
      </c>
      <c r="R57" s="147">
        <v>46204</v>
      </c>
      <c r="S57" s="90">
        <f t="shared" si="259"/>
        <v>46255</v>
      </c>
      <c r="T57" s="90">
        <f t="shared" si="260"/>
        <v>46255</v>
      </c>
      <c r="U57" s="91">
        <v>46223</v>
      </c>
      <c r="W57" s="173" t="str">
        <f t="shared" ca="1" si="10"/>
        <v>Completed</v>
      </c>
      <c r="X57" s="173" t="str">
        <f t="shared" ca="1" si="11"/>
        <v>Completed</v>
      </c>
      <c r="Y57" s="173" t="str">
        <f t="shared" ca="1" si="12"/>
        <v>Completed</v>
      </c>
      <c r="Z57" s="174" t="str">
        <f t="shared" ca="1" si="13"/>
        <v>Completed</v>
      </c>
    </row>
    <row r="58" spans="1:26" s="70" customFormat="1" ht="11.5" x14ac:dyDescent="0.25">
      <c r="A58" s="93" t="s">
        <v>66</v>
      </c>
      <c r="B58" s="99" t="s">
        <v>34</v>
      </c>
      <c r="C58" s="99" t="s">
        <v>907</v>
      </c>
      <c r="D58" s="100" t="s">
        <v>908</v>
      </c>
      <c r="E58" s="95">
        <f t="shared" si="261"/>
        <v>0.7</v>
      </c>
      <c r="F58" s="95">
        <f t="shared" si="262"/>
        <v>0.7</v>
      </c>
      <c r="G58" s="95">
        <f t="shared" si="263"/>
        <v>0.7</v>
      </c>
      <c r="H58" s="95">
        <f t="shared" si="264"/>
        <v>0</v>
      </c>
      <c r="I58" s="96">
        <v>0.5</v>
      </c>
      <c r="J58" s="91">
        <v>46185</v>
      </c>
      <c r="K58" s="91">
        <f t="shared" si="254"/>
        <v>46185</v>
      </c>
      <c r="L58" s="91">
        <v>46171</v>
      </c>
      <c r="M58" s="90">
        <f t="shared" si="255"/>
        <v>46227</v>
      </c>
      <c r="N58" s="90">
        <f t="shared" ref="N58" si="265">K58+42</f>
        <v>46227</v>
      </c>
      <c r="O58" s="90">
        <v>46240</v>
      </c>
      <c r="P58" s="90">
        <f t="shared" si="257"/>
        <v>46269</v>
      </c>
      <c r="Q58" s="90">
        <f t="shared" ref="Q58:Q59" si="266">N58+42</f>
        <v>46269</v>
      </c>
      <c r="R58" s="90"/>
      <c r="S58" s="90">
        <f t="shared" si="259"/>
        <v>46283</v>
      </c>
      <c r="T58" s="90">
        <f t="shared" si="260"/>
        <v>46283</v>
      </c>
      <c r="U58" s="91"/>
      <c r="W58" s="173" t="str">
        <f t="shared" ca="1" si="10"/>
        <v>Completed</v>
      </c>
      <c r="X58" s="173" t="str">
        <f t="shared" ca="1" si="11"/>
        <v>Completed</v>
      </c>
      <c r="Y58" s="173" t="str">
        <f t="shared" ca="1" si="12"/>
        <v>Follow-This Week</v>
      </c>
      <c r="Z58" s="174" t="str">
        <f t="shared" ca="1" si="13"/>
        <v/>
      </c>
    </row>
    <row r="59" spans="1:26" s="70" customFormat="1" ht="11.5" x14ac:dyDescent="0.25">
      <c r="A59" s="93" t="s">
        <v>66</v>
      </c>
      <c r="B59" s="93" t="s">
        <v>34</v>
      </c>
      <c r="C59" s="93" t="s">
        <v>951</v>
      </c>
      <c r="D59" s="93" t="s">
        <v>952</v>
      </c>
      <c r="E59" s="95">
        <f t="shared" si="261"/>
        <v>0</v>
      </c>
      <c r="F59" s="95">
        <f t="shared" si="262"/>
        <v>0</v>
      </c>
      <c r="G59" s="95">
        <f t="shared" si="263"/>
        <v>0</v>
      </c>
      <c r="H59" s="95">
        <f t="shared" si="264"/>
        <v>0</v>
      </c>
      <c r="I59" s="96"/>
      <c r="J59" s="90">
        <v>46302</v>
      </c>
      <c r="K59" s="90">
        <f t="shared" si="254"/>
        <v>46302</v>
      </c>
      <c r="L59" s="90"/>
      <c r="M59" s="90">
        <f t="shared" si="255"/>
        <v>46344</v>
      </c>
      <c r="N59" s="90">
        <f t="shared" ref="N59" si="267">M59</f>
        <v>46344</v>
      </c>
      <c r="O59" s="90"/>
      <c r="P59" s="90">
        <f t="shared" si="257"/>
        <v>46386</v>
      </c>
      <c r="Q59" s="90">
        <f t="shared" si="266"/>
        <v>46386</v>
      </c>
      <c r="R59" s="90"/>
      <c r="S59" s="90">
        <f t="shared" si="259"/>
        <v>46400</v>
      </c>
      <c r="T59" s="90">
        <f t="shared" si="259"/>
        <v>46400</v>
      </c>
      <c r="U59" s="91"/>
      <c r="W59" s="173" t="str">
        <f t="shared" ca="1" si="10"/>
        <v/>
      </c>
      <c r="X59" s="173" t="str">
        <f t="shared" ca="1" si="11"/>
        <v/>
      </c>
      <c r="Y59" s="173" t="str">
        <f t="shared" ca="1" si="12"/>
        <v/>
      </c>
      <c r="Z59" s="174" t="str">
        <f t="shared" ca="1" si="13"/>
        <v/>
      </c>
    </row>
    <row r="60" spans="1:26" s="70" customFormat="1" ht="11.5" x14ac:dyDescent="0.25">
      <c r="A60" s="71" t="s">
        <v>66</v>
      </c>
      <c r="B60" s="71" t="s">
        <v>34</v>
      </c>
      <c r="C60" s="71" t="s">
        <v>972</v>
      </c>
      <c r="D60" s="71" t="s">
        <v>814</v>
      </c>
      <c r="E60" s="81">
        <f t="shared" ref="E60:E62" si="268">(COUNTIFS(J60,"&lt;="&amp;$C$1)*50%)+(COUNTIFS(M60,"&lt;="&amp;$C$1)*20%)+(COUNTIFS(P60,"&lt;="&amp;$C$1)*10%)+(COUNTIFS(S60,"&lt;="&amp;$C$1)*20%)</f>
        <v>0</v>
      </c>
      <c r="F60" s="81">
        <f t="shared" ref="F60:F62" si="269">(COUNTIFS(K60,"&lt;="&amp;$C$1)*50%)+(COUNTIFS(N60,"&lt;="&amp;$C$1)*20%)+(COUNTIFS(Q60,"&lt;="&amp;$C$1)*10%)+(COUNTIFS(T60,"&lt;="&amp;$C$1)*20%)</f>
        <v>0</v>
      </c>
      <c r="G60" s="81">
        <f t="shared" ref="G60:G62" si="270">(COUNTIFS(L60,"&lt;="&amp;$C$1)*50%)+(COUNTIFS(O60,"&lt;="&amp;$C$1)*20%)+(COUNTIFS(R60,"&lt;="&amp;$C$1)*10%)+(COUNTIFS(U60,"&lt;="&amp;$C$1)*20%)</f>
        <v>0</v>
      </c>
      <c r="H60" s="81">
        <f t="shared" ref="H60:H62" si="271">G60-E60</f>
        <v>0</v>
      </c>
      <c r="I60" s="82">
        <v>0.2</v>
      </c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W60" s="173" t="str">
        <f t="shared" ca="1" si="10"/>
        <v/>
      </c>
      <c r="X60" s="173" t="str">
        <f t="shared" ca="1" si="11"/>
        <v/>
      </c>
      <c r="Y60" s="173" t="str">
        <f t="shared" ca="1" si="12"/>
        <v/>
      </c>
      <c r="Z60" s="174" t="str">
        <f t="shared" ca="1" si="13"/>
        <v/>
      </c>
    </row>
    <row r="61" spans="1:26" s="70" customFormat="1" ht="11.5" x14ac:dyDescent="0.25">
      <c r="A61" s="71" t="s">
        <v>66</v>
      </c>
      <c r="B61" s="71" t="s">
        <v>34</v>
      </c>
      <c r="C61" s="71" t="s">
        <v>973</v>
      </c>
      <c r="D61" s="71" t="s">
        <v>815</v>
      </c>
      <c r="E61" s="81">
        <f t="shared" si="268"/>
        <v>0</v>
      </c>
      <c r="F61" s="81">
        <f t="shared" si="269"/>
        <v>0</v>
      </c>
      <c r="G61" s="81">
        <f t="shared" si="270"/>
        <v>0</v>
      </c>
      <c r="H61" s="81">
        <f t="shared" si="271"/>
        <v>0</v>
      </c>
      <c r="I61" s="82">
        <v>0.4</v>
      </c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W61" s="173" t="str">
        <f t="shared" ca="1" si="10"/>
        <v/>
      </c>
      <c r="X61" s="173" t="str">
        <f t="shared" ca="1" si="11"/>
        <v/>
      </c>
      <c r="Y61" s="173" t="str">
        <f t="shared" ca="1" si="12"/>
        <v/>
      </c>
      <c r="Z61" s="174" t="str">
        <f t="shared" ca="1" si="13"/>
        <v/>
      </c>
    </row>
    <row r="62" spans="1:26" s="70" customFormat="1" ht="11.5" x14ac:dyDescent="0.25">
      <c r="A62" s="71" t="s">
        <v>66</v>
      </c>
      <c r="B62" s="71" t="s">
        <v>34</v>
      </c>
      <c r="C62" s="71" t="s">
        <v>974</v>
      </c>
      <c r="D62" s="71" t="s">
        <v>816</v>
      </c>
      <c r="E62" s="81">
        <f t="shared" si="268"/>
        <v>0</v>
      </c>
      <c r="F62" s="81">
        <f t="shared" si="269"/>
        <v>0</v>
      </c>
      <c r="G62" s="81">
        <f t="shared" si="270"/>
        <v>0</v>
      </c>
      <c r="H62" s="81">
        <f t="shared" si="271"/>
        <v>0</v>
      </c>
      <c r="I62" s="82">
        <v>0.4</v>
      </c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W62" s="173" t="str">
        <f t="shared" ca="1" si="10"/>
        <v/>
      </c>
      <c r="X62" s="173" t="str">
        <f t="shared" ca="1" si="11"/>
        <v/>
      </c>
      <c r="Y62" s="173" t="str">
        <f t="shared" ca="1" si="12"/>
        <v/>
      </c>
      <c r="Z62" s="174" t="str">
        <f t="shared" ca="1" si="13"/>
        <v/>
      </c>
    </row>
    <row r="63" spans="1:26" s="70" customFormat="1" ht="11.5" x14ac:dyDescent="0.25">
      <c r="A63" s="73"/>
      <c r="B63" s="73"/>
      <c r="C63" s="77"/>
      <c r="D63" s="78"/>
      <c r="E63" s="79"/>
      <c r="F63" s="79"/>
      <c r="G63" s="79"/>
      <c r="H63" s="79"/>
      <c r="I63" s="75"/>
      <c r="J63" s="76"/>
      <c r="K63" s="76"/>
      <c r="L63" s="76"/>
      <c r="M63" s="80"/>
      <c r="N63" s="76"/>
      <c r="O63" s="76"/>
      <c r="P63" s="80"/>
      <c r="Q63" s="76"/>
      <c r="R63" s="76"/>
      <c r="S63" s="80"/>
      <c r="T63" s="76"/>
      <c r="U63" s="76"/>
      <c r="W63" s="173" t="str">
        <f t="shared" ca="1" si="10"/>
        <v/>
      </c>
      <c r="X63" s="173" t="str">
        <f t="shared" ca="1" si="11"/>
        <v/>
      </c>
      <c r="Y63" s="173" t="str">
        <f t="shared" ca="1" si="12"/>
        <v/>
      </c>
      <c r="Z63" s="174" t="str">
        <f t="shared" ca="1" si="13"/>
        <v/>
      </c>
    </row>
    <row r="64" spans="1:26" s="70" customFormat="1" ht="11.5" x14ac:dyDescent="0.25">
      <c r="A64" s="71" t="s">
        <v>64</v>
      </c>
      <c r="B64" s="87" t="s">
        <v>34</v>
      </c>
      <c r="C64" s="87" t="s">
        <v>975</v>
      </c>
      <c r="D64" s="87" t="s">
        <v>56</v>
      </c>
      <c r="E64" s="86">
        <f t="shared" si="15"/>
        <v>1</v>
      </c>
      <c r="F64" s="86">
        <f t="shared" si="16"/>
        <v>1</v>
      </c>
      <c r="G64" s="81">
        <f t="shared" si="17"/>
        <v>1</v>
      </c>
      <c r="H64" s="81">
        <f t="shared" si="18"/>
        <v>0</v>
      </c>
      <c r="I64" s="82">
        <v>0.2</v>
      </c>
      <c r="J64" s="85">
        <v>46115</v>
      </c>
      <c r="K64" s="85">
        <f t="shared" si="4"/>
        <v>46115</v>
      </c>
      <c r="L64" s="85">
        <v>46115</v>
      </c>
      <c r="M64" s="85">
        <f t="shared" si="5"/>
        <v>46157</v>
      </c>
      <c r="N64" s="85">
        <f t="shared" si="6"/>
        <v>46157</v>
      </c>
      <c r="O64" s="85">
        <v>46191</v>
      </c>
      <c r="P64" s="85">
        <f t="shared" si="7"/>
        <v>46199</v>
      </c>
      <c r="Q64" s="85">
        <f t="shared" si="8"/>
        <v>46199</v>
      </c>
      <c r="R64" s="85">
        <v>46219</v>
      </c>
      <c r="S64" s="85">
        <f t="shared" si="14"/>
        <v>46213</v>
      </c>
      <c r="T64" s="85">
        <f t="shared" si="9"/>
        <v>46213</v>
      </c>
      <c r="U64" s="165">
        <v>46262</v>
      </c>
      <c r="W64" s="173" t="str">
        <f t="shared" ca="1" si="10"/>
        <v>Completed</v>
      </c>
      <c r="X64" s="173" t="str">
        <f t="shared" ca="1" si="11"/>
        <v>Completed</v>
      </c>
      <c r="Y64" s="173" t="str">
        <f t="shared" ca="1" si="12"/>
        <v>Completed</v>
      </c>
      <c r="Z64" s="174" t="str">
        <f t="shared" ca="1" si="13"/>
        <v>Completed</v>
      </c>
    </row>
    <row r="65" spans="1:26" s="70" customFormat="1" ht="11.5" x14ac:dyDescent="0.25">
      <c r="A65" s="71" t="s">
        <v>64</v>
      </c>
      <c r="B65" s="87" t="s">
        <v>34</v>
      </c>
      <c r="C65" s="87" t="s">
        <v>976</v>
      </c>
      <c r="D65" s="87" t="s">
        <v>57</v>
      </c>
      <c r="E65" s="86">
        <f t="shared" si="15"/>
        <v>1</v>
      </c>
      <c r="F65" s="86">
        <f t="shared" si="16"/>
        <v>1</v>
      </c>
      <c r="G65" s="81">
        <f t="shared" si="17"/>
        <v>1</v>
      </c>
      <c r="H65" s="81">
        <f t="shared" si="18"/>
        <v>0</v>
      </c>
      <c r="I65" s="82">
        <v>0.2</v>
      </c>
      <c r="J65" s="85">
        <v>46115</v>
      </c>
      <c r="K65" s="85">
        <f t="shared" si="4"/>
        <v>46115</v>
      </c>
      <c r="L65" s="85">
        <v>46115</v>
      </c>
      <c r="M65" s="85">
        <f t="shared" si="5"/>
        <v>46157</v>
      </c>
      <c r="N65" s="85">
        <f t="shared" si="6"/>
        <v>46157</v>
      </c>
      <c r="O65" s="146">
        <v>46171</v>
      </c>
      <c r="P65" s="85">
        <f t="shared" si="7"/>
        <v>46199</v>
      </c>
      <c r="Q65" s="85">
        <f t="shared" si="8"/>
        <v>46199</v>
      </c>
      <c r="R65" s="85">
        <v>46199</v>
      </c>
      <c r="S65" s="85">
        <f t="shared" si="14"/>
        <v>46213</v>
      </c>
      <c r="T65" s="85">
        <f t="shared" si="9"/>
        <v>46213</v>
      </c>
      <c r="U65" s="85">
        <v>46204</v>
      </c>
      <c r="W65" s="173" t="str">
        <f t="shared" ca="1" si="10"/>
        <v>Completed</v>
      </c>
      <c r="X65" s="173" t="str">
        <f t="shared" ca="1" si="11"/>
        <v>Completed</v>
      </c>
      <c r="Y65" s="173" t="str">
        <f t="shared" ca="1" si="12"/>
        <v>Completed</v>
      </c>
      <c r="Z65" s="174" t="str">
        <f t="shared" ca="1" si="13"/>
        <v>Completed</v>
      </c>
    </row>
    <row r="66" spans="1:26" s="70" customFormat="1" ht="11.5" x14ac:dyDescent="0.25">
      <c r="A66" s="71" t="s">
        <v>64</v>
      </c>
      <c r="B66" s="87" t="s">
        <v>34</v>
      </c>
      <c r="C66" s="87" t="s">
        <v>977</v>
      </c>
      <c r="D66" s="87" t="s">
        <v>58</v>
      </c>
      <c r="E66" s="86">
        <f t="shared" si="15"/>
        <v>1</v>
      </c>
      <c r="F66" s="86">
        <f t="shared" si="16"/>
        <v>1</v>
      </c>
      <c r="G66" s="81">
        <f t="shared" si="17"/>
        <v>1</v>
      </c>
      <c r="H66" s="81">
        <f t="shared" si="18"/>
        <v>0</v>
      </c>
      <c r="I66" s="82">
        <v>0.2</v>
      </c>
      <c r="J66" s="85">
        <v>46115</v>
      </c>
      <c r="K66" s="85">
        <f t="shared" si="4"/>
        <v>46115</v>
      </c>
      <c r="L66" s="85">
        <v>46115</v>
      </c>
      <c r="M66" s="85">
        <f t="shared" si="5"/>
        <v>46157</v>
      </c>
      <c r="N66" s="85">
        <f t="shared" si="6"/>
        <v>46157</v>
      </c>
      <c r="O66" s="146">
        <v>46171</v>
      </c>
      <c r="P66" s="85">
        <f t="shared" si="7"/>
        <v>46199</v>
      </c>
      <c r="Q66" s="85">
        <f t="shared" si="8"/>
        <v>46199</v>
      </c>
      <c r="R66" s="85">
        <v>46219</v>
      </c>
      <c r="S66" s="85">
        <f t="shared" si="14"/>
        <v>46213</v>
      </c>
      <c r="T66" s="85">
        <f t="shared" si="9"/>
        <v>46213</v>
      </c>
      <c r="U66" s="85">
        <v>46233</v>
      </c>
      <c r="W66" s="173" t="str">
        <f t="shared" ca="1" si="10"/>
        <v>Completed</v>
      </c>
      <c r="X66" s="173" t="str">
        <f t="shared" ca="1" si="11"/>
        <v>Completed</v>
      </c>
      <c r="Y66" s="173" t="str">
        <f t="shared" ca="1" si="12"/>
        <v>Completed</v>
      </c>
      <c r="Z66" s="174" t="str">
        <f t="shared" ca="1" si="13"/>
        <v>Completed</v>
      </c>
    </row>
    <row r="67" spans="1:26" s="70" customFormat="1" ht="11.5" x14ac:dyDescent="0.25">
      <c r="A67" s="71" t="s">
        <v>64</v>
      </c>
      <c r="B67" s="87" t="s">
        <v>34</v>
      </c>
      <c r="C67" s="87" t="s">
        <v>978</v>
      </c>
      <c r="D67" s="87" t="s">
        <v>1167</v>
      </c>
      <c r="E67" s="86">
        <f t="shared" si="15"/>
        <v>1</v>
      </c>
      <c r="F67" s="86">
        <f t="shared" si="16"/>
        <v>1</v>
      </c>
      <c r="G67" s="81">
        <f t="shared" si="17"/>
        <v>0.7</v>
      </c>
      <c r="H67" s="81">
        <f t="shared" si="18"/>
        <v>-0.30000000000000004</v>
      </c>
      <c r="I67" s="82">
        <v>0.2</v>
      </c>
      <c r="J67" s="85">
        <v>46115</v>
      </c>
      <c r="K67" s="85">
        <f t="shared" si="4"/>
        <v>46115</v>
      </c>
      <c r="L67" s="85">
        <v>46115</v>
      </c>
      <c r="M67" s="85">
        <f t="shared" si="5"/>
        <v>46157</v>
      </c>
      <c r="N67" s="85">
        <f t="shared" si="6"/>
        <v>46157</v>
      </c>
      <c r="O67" s="146">
        <v>46171</v>
      </c>
      <c r="P67" s="85">
        <f t="shared" si="7"/>
        <v>46199</v>
      </c>
      <c r="Q67" s="85">
        <f t="shared" si="8"/>
        <v>46199</v>
      </c>
      <c r="R67" s="85"/>
      <c r="S67" s="85">
        <f t="shared" si="14"/>
        <v>46213</v>
      </c>
      <c r="T67" s="85">
        <f t="shared" si="9"/>
        <v>46213</v>
      </c>
      <c r="U67" s="85"/>
      <c r="W67" s="173" t="str">
        <f t="shared" ca="1" si="10"/>
        <v>Completed</v>
      </c>
      <c r="X67" s="173" t="str">
        <f t="shared" ca="1" si="11"/>
        <v>Completed</v>
      </c>
      <c r="Y67" s="173" t="str">
        <f t="shared" ca="1" si="12"/>
        <v>Overdue</v>
      </c>
      <c r="Z67" s="174" t="str">
        <f t="shared" ca="1" si="13"/>
        <v>Overdue</v>
      </c>
    </row>
    <row r="68" spans="1:26" s="70" customFormat="1" ht="11.5" x14ac:dyDescent="0.25">
      <c r="A68" s="71" t="s">
        <v>64</v>
      </c>
      <c r="B68" s="87" t="s">
        <v>34</v>
      </c>
      <c r="C68" s="87" t="s">
        <v>979</v>
      </c>
      <c r="D68" s="87" t="s">
        <v>59</v>
      </c>
      <c r="E68" s="86">
        <f t="shared" ref="E68" si="272">(COUNTIFS(J68,"&lt;="&amp;$C$1)*50%)+(COUNTIFS(M68,"&lt;="&amp;$C$1)*20%)+(COUNTIFS(P68,"&lt;="&amp;$C$1)*10%)+(COUNTIFS(S68,"&lt;="&amp;$C$1)*20%)</f>
        <v>1</v>
      </c>
      <c r="F68" s="86">
        <f t="shared" ref="F68" si="273">(COUNTIFS(K68,"&lt;="&amp;$C$1)*50%)+(COUNTIFS(N68,"&lt;="&amp;$C$1)*20%)+(COUNTIFS(Q68,"&lt;="&amp;$C$1)*10%)+(COUNTIFS(T68,"&lt;="&amp;$C$1)*20%)</f>
        <v>1</v>
      </c>
      <c r="G68" s="81">
        <f t="shared" ref="G68" si="274">(COUNTIFS(L68,"&lt;="&amp;$C$1)*50%)+(COUNTIFS(O68,"&lt;="&amp;$C$1)*20%)+(COUNTIFS(R68,"&lt;="&amp;$C$1)*10%)+(COUNTIFS(U68,"&lt;="&amp;$C$1)*20%)</f>
        <v>1</v>
      </c>
      <c r="H68" s="81">
        <f t="shared" ref="H68" si="275">G68-E68</f>
        <v>0</v>
      </c>
      <c r="I68" s="82">
        <v>0.2</v>
      </c>
      <c r="J68" s="85">
        <v>46115</v>
      </c>
      <c r="K68" s="85">
        <f t="shared" si="4"/>
        <v>46115</v>
      </c>
      <c r="L68" s="85">
        <v>46115</v>
      </c>
      <c r="M68" s="85">
        <f t="shared" si="5"/>
        <v>46157</v>
      </c>
      <c r="N68" s="85">
        <f t="shared" si="6"/>
        <v>46157</v>
      </c>
      <c r="O68" s="85">
        <v>46199</v>
      </c>
      <c r="P68" s="85">
        <f t="shared" si="7"/>
        <v>46199</v>
      </c>
      <c r="Q68" s="85">
        <f t="shared" si="8"/>
        <v>46199</v>
      </c>
      <c r="R68" s="85">
        <v>46204</v>
      </c>
      <c r="S68" s="85">
        <f t="shared" si="14"/>
        <v>46213</v>
      </c>
      <c r="T68" s="85">
        <f t="shared" si="9"/>
        <v>46213</v>
      </c>
      <c r="U68" s="85">
        <v>46213</v>
      </c>
      <c r="W68" s="173" t="str">
        <f t="shared" ca="1" si="10"/>
        <v>Completed</v>
      </c>
      <c r="X68" s="173" t="str">
        <f t="shared" ca="1" si="11"/>
        <v>Completed</v>
      </c>
      <c r="Y68" s="173" t="str">
        <f t="shared" ca="1" si="12"/>
        <v>Completed</v>
      </c>
      <c r="Z68" s="174" t="str">
        <f t="shared" ca="1" si="13"/>
        <v>Completed</v>
      </c>
    </row>
    <row r="69" spans="1:26" s="70" customFormat="1" ht="11.5" x14ac:dyDescent="0.25">
      <c r="A69" s="180" t="s">
        <v>64</v>
      </c>
      <c r="B69" s="190" t="s">
        <v>34</v>
      </c>
      <c r="C69" s="190" t="s">
        <v>106</v>
      </c>
      <c r="D69" s="190" t="s">
        <v>1137</v>
      </c>
      <c r="E69" s="191">
        <f t="shared" si="15"/>
        <v>1</v>
      </c>
      <c r="F69" s="191">
        <f t="shared" si="16"/>
        <v>1</v>
      </c>
      <c r="G69" s="181">
        <f t="shared" si="17"/>
        <v>1</v>
      </c>
      <c r="H69" s="181">
        <f t="shared" si="18"/>
        <v>0</v>
      </c>
      <c r="I69" s="182">
        <v>0.25</v>
      </c>
      <c r="J69" s="183">
        <f>J9+28</f>
        <v>46150</v>
      </c>
      <c r="K69" s="183">
        <f t="shared" si="4"/>
        <v>46150</v>
      </c>
      <c r="L69" s="183">
        <v>46150</v>
      </c>
      <c r="M69" s="183">
        <f t="shared" si="5"/>
        <v>46192</v>
      </c>
      <c r="N69" s="183">
        <f t="shared" si="6"/>
        <v>46192</v>
      </c>
      <c r="O69" s="183">
        <v>46220</v>
      </c>
      <c r="P69" s="183">
        <f t="shared" si="7"/>
        <v>46234</v>
      </c>
      <c r="Q69" s="183">
        <f t="shared" si="8"/>
        <v>46234</v>
      </c>
      <c r="R69" s="183">
        <v>46241</v>
      </c>
      <c r="S69" s="183">
        <f t="shared" si="14"/>
        <v>46248</v>
      </c>
      <c r="T69" s="183">
        <f t="shared" si="9"/>
        <v>46248</v>
      </c>
      <c r="U69" s="183">
        <v>46241</v>
      </c>
      <c r="W69" s="173" t="str">
        <f t="shared" ca="1" si="10"/>
        <v>Completed</v>
      </c>
      <c r="X69" s="173" t="str">
        <f t="shared" ca="1" si="11"/>
        <v>Completed</v>
      </c>
      <c r="Y69" s="173" t="str">
        <f t="shared" ca="1" si="12"/>
        <v>Completed</v>
      </c>
      <c r="Z69" s="174" t="str">
        <f t="shared" ca="1" si="13"/>
        <v>Completed</v>
      </c>
    </row>
    <row r="70" spans="1:26" s="70" customFormat="1" ht="11.5" x14ac:dyDescent="0.25">
      <c r="A70" s="102" t="s">
        <v>64</v>
      </c>
      <c r="B70" s="103" t="s">
        <v>34</v>
      </c>
      <c r="C70" s="103" t="s">
        <v>106</v>
      </c>
      <c r="D70" s="103" t="s">
        <v>1138</v>
      </c>
      <c r="E70" s="104">
        <f t="shared" ref="E70" si="276">(COUNTIFS(J70,"&lt;="&amp;$C$1)*50%)+(COUNTIFS(M70,"&lt;="&amp;$C$1)*20%)+(COUNTIFS(P70,"&lt;="&amp;$C$1)*10%)+(COUNTIFS(S70,"&lt;="&amp;$C$1)*20%)</f>
        <v>0.7</v>
      </c>
      <c r="F70" s="104">
        <f t="shared" ref="F70" si="277">(COUNTIFS(K70,"&lt;="&amp;$C$1)*50%)+(COUNTIFS(N70,"&lt;="&amp;$C$1)*20%)+(COUNTIFS(Q70,"&lt;="&amp;$C$1)*10%)+(COUNTIFS(T70,"&lt;="&amp;$C$1)*20%)</f>
        <v>0.7</v>
      </c>
      <c r="G70" s="105">
        <f t="shared" ref="G70" si="278">(COUNTIFS(L70,"&lt;="&amp;$C$1)*50%)+(COUNTIFS(O70,"&lt;="&amp;$C$1)*20%)+(COUNTIFS(R70,"&lt;="&amp;$C$1)*10%)+(COUNTIFS(U70,"&lt;="&amp;$C$1)*20%)</f>
        <v>0.7</v>
      </c>
      <c r="H70" s="105">
        <f t="shared" ref="H70" si="279">G70-E70</f>
        <v>0</v>
      </c>
      <c r="I70" s="106">
        <v>0.25</v>
      </c>
      <c r="J70" s="107">
        <f>J10+28</f>
        <v>46150</v>
      </c>
      <c r="K70" s="107">
        <f t="shared" ref="K70" si="280">J70</f>
        <v>46150</v>
      </c>
      <c r="L70" s="107">
        <v>46150</v>
      </c>
      <c r="M70" s="107">
        <f t="shared" ref="M70" si="281">J70+42</f>
        <v>46192</v>
      </c>
      <c r="N70" s="107">
        <f t="shared" ref="N70" si="282">M70</f>
        <v>46192</v>
      </c>
      <c r="O70" s="107">
        <v>46220</v>
      </c>
      <c r="P70" s="107">
        <v>46277</v>
      </c>
      <c r="Q70" s="107">
        <f t="shared" ref="Q70" si="283">P70</f>
        <v>46277</v>
      </c>
      <c r="R70" s="107"/>
      <c r="S70" s="107">
        <f t="shared" ref="S70" si="284">P70+14</f>
        <v>46291</v>
      </c>
      <c r="T70" s="107">
        <f t="shared" ref="T70" si="285">S70</f>
        <v>46291</v>
      </c>
      <c r="U70" s="107"/>
      <c r="W70" s="173" t="str">
        <f t="shared" ref="W70" ca="1" si="286">IF(OR(L70&lt;&gt;""),"Completed",
IF(K70="","",IF(K70&lt;TODAY(),"Overdue",
IF(AND(K70&gt;=TODAY()-WEEKDAY(TODAY(),2)+1,K70&lt;=TODAY()-WEEKDAY(TODAY(),2)+7),"Follow-This Week",
IF(AND(K70&gt;=TODAY()-WEEKDAY(TODAY(),2)+8,K70&lt;=TODAY()-WEEKDAY(TODAY(),2)+14),"Follow-Next Week","")))))</f>
        <v>Completed</v>
      </c>
      <c r="X70" s="173" t="str">
        <f t="shared" ref="X70" ca="1" si="287">IF(OR(O70&lt;&gt;""),"Completed",IF(N70="","",
IF(N70&lt;TODAY(),"Overdue",
IF(AND(N70&gt;=TODAY()-WEEKDAY(TODAY(),2)+1,N70&lt;=TODAY()-WEEKDAY(TODAY(),2)+7),"Follow-This Week",
IF(AND(N70&gt;=TODAY()-WEEKDAY(TODAY(),2)+8,N70&lt;=TODAY()-WEEKDAY(TODAY(),2)+14),"Follow-Next Week","")))))</f>
        <v>Completed</v>
      </c>
      <c r="Y70" s="173" t="str">
        <f t="shared" ref="Y70" ca="1" si="288">IF(OR(R70&lt;&gt;""),"Completed",IF(Q70="","",
IF(Q70&lt;TODAY(),"Overdue",
IF(AND(Q70&gt;=TODAY()-WEEKDAY(TODAY(),2)+1,Q70&lt;=TODAY()-WEEKDAY(TODAY(),2)+7),"Follow-This Week",
IF(AND(Q70&gt;=TODAY()-WEEKDAY(TODAY(),2)+8,Q70&lt;=TODAY()-WEEKDAY(TODAY(),2)+14),"Follow-Next Week","")))))</f>
        <v>Follow-Next Week</v>
      </c>
      <c r="Z70" s="174" t="str">
        <f t="shared" ref="Z70" ca="1" si="289">IF(OR(U70&lt;&gt;""),"Completed",IF(T70="","",
IF(T70&lt;TODAY(),"Overdue",
IF(AND(T70&gt;=TODAY()-WEEKDAY(TODAY(),2)+1,T70&lt;=TODAY()-WEEKDAY(TODAY(),2)+7),"Follow-This Week",
IF(AND(T70&gt;=TODAY()-WEEKDAY(TODAY(),2)+8,T70&lt;=TODAY()-WEEKDAY(TODAY(),2)+14),"Follow-Next Week","")))))</f>
        <v/>
      </c>
    </row>
    <row r="71" spans="1:26" s="70" customFormat="1" ht="11.5" x14ac:dyDescent="0.25">
      <c r="A71" s="102" t="s">
        <v>64</v>
      </c>
      <c r="B71" s="103" t="s">
        <v>34</v>
      </c>
      <c r="C71" s="103" t="s">
        <v>107</v>
      </c>
      <c r="D71" s="103" t="s">
        <v>108</v>
      </c>
      <c r="E71" s="104">
        <f t="shared" si="15"/>
        <v>1</v>
      </c>
      <c r="F71" s="104">
        <f t="shared" si="16"/>
        <v>1</v>
      </c>
      <c r="G71" s="105">
        <f t="shared" si="17"/>
        <v>0.7</v>
      </c>
      <c r="H71" s="105">
        <f t="shared" si="18"/>
        <v>-0.30000000000000004</v>
      </c>
      <c r="I71" s="106">
        <v>0.5</v>
      </c>
      <c r="J71" s="107">
        <f>J11+28</f>
        <v>46164</v>
      </c>
      <c r="K71" s="107">
        <f t="shared" si="4"/>
        <v>46164</v>
      </c>
      <c r="L71" s="107">
        <v>46178</v>
      </c>
      <c r="M71" s="107">
        <f t="shared" si="5"/>
        <v>46206</v>
      </c>
      <c r="N71" s="107">
        <f t="shared" si="6"/>
        <v>46206</v>
      </c>
      <c r="O71" s="107">
        <v>46227</v>
      </c>
      <c r="P71" s="107">
        <f t="shared" si="7"/>
        <v>46248</v>
      </c>
      <c r="Q71" s="107">
        <f t="shared" si="8"/>
        <v>46248</v>
      </c>
      <c r="R71" s="108"/>
      <c r="S71" s="107">
        <f t="shared" si="14"/>
        <v>46262</v>
      </c>
      <c r="T71" s="107">
        <f t="shared" si="9"/>
        <v>46262</v>
      </c>
      <c r="U71" s="108"/>
      <c r="W71" s="173" t="str">
        <f t="shared" ca="1" si="10"/>
        <v>Completed</v>
      </c>
      <c r="X71" s="173" t="str">
        <f t="shared" ca="1" si="11"/>
        <v>Completed</v>
      </c>
      <c r="Y71" s="173" t="str">
        <f t="shared" ca="1" si="12"/>
        <v>Overdue</v>
      </c>
      <c r="Z71" s="174" t="str">
        <f t="shared" ca="1" si="13"/>
        <v>Overdue</v>
      </c>
    </row>
    <row r="72" spans="1:26" s="70" customFormat="1" ht="11.5" x14ac:dyDescent="0.25">
      <c r="A72" s="102" t="s">
        <v>64</v>
      </c>
      <c r="B72" s="102" t="s">
        <v>34</v>
      </c>
      <c r="C72" s="102" t="s">
        <v>109</v>
      </c>
      <c r="D72" s="102" t="s">
        <v>110</v>
      </c>
      <c r="E72" s="105">
        <f t="shared" si="15"/>
        <v>0.79999999999999993</v>
      </c>
      <c r="F72" s="105">
        <f t="shared" si="16"/>
        <v>0.79999999999999993</v>
      </c>
      <c r="G72" s="105">
        <f t="shared" si="17"/>
        <v>0.7</v>
      </c>
      <c r="H72" s="105">
        <f t="shared" si="18"/>
        <v>-9.9999999999999978E-2</v>
      </c>
      <c r="I72" s="106">
        <v>0.5</v>
      </c>
      <c r="J72" s="107">
        <f>J13+28</f>
        <v>46171</v>
      </c>
      <c r="K72" s="109">
        <f t="shared" si="4"/>
        <v>46171</v>
      </c>
      <c r="L72" s="143">
        <v>46161</v>
      </c>
      <c r="M72" s="107">
        <f t="shared" si="5"/>
        <v>46213</v>
      </c>
      <c r="N72" s="109">
        <f t="shared" si="6"/>
        <v>46213</v>
      </c>
      <c r="O72" s="138">
        <v>46223</v>
      </c>
      <c r="P72" s="107">
        <f t="shared" si="7"/>
        <v>46255</v>
      </c>
      <c r="Q72" s="109">
        <f t="shared" si="8"/>
        <v>46255</v>
      </c>
      <c r="R72" s="107"/>
      <c r="S72" s="107">
        <f t="shared" si="14"/>
        <v>46269</v>
      </c>
      <c r="T72" s="109">
        <f t="shared" si="9"/>
        <v>46269</v>
      </c>
      <c r="U72" s="107"/>
      <c r="W72" s="173" t="str">
        <f t="shared" ca="1" si="10"/>
        <v>Completed</v>
      </c>
      <c r="X72" s="173" t="str">
        <f t="shared" ca="1" si="11"/>
        <v>Completed</v>
      </c>
      <c r="Y72" s="173" t="str">
        <f t="shared" ca="1" si="12"/>
        <v>Overdue</v>
      </c>
      <c r="Z72" s="174" t="str">
        <f t="shared" ca="1" si="13"/>
        <v>Follow-This Week</v>
      </c>
    </row>
    <row r="73" spans="1:26" s="70" customFormat="1" ht="11.5" x14ac:dyDescent="0.25">
      <c r="A73" s="102" t="s">
        <v>64</v>
      </c>
      <c r="B73" s="102" t="s">
        <v>34</v>
      </c>
      <c r="C73" s="102" t="s">
        <v>111</v>
      </c>
      <c r="D73" s="102" t="s">
        <v>112</v>
      </c>
      <c r="E73" s="105">
        <f t="shared" si="15"/>
        <v>0.79999999999999993</v>
      </c>
      <c r="F73" s="105">
        <f t="shared" si="16"/>
        <v>0.79999999999999993</v>
      </c>
      <c r="G73" s="105">
        <f t="shared" si="17"/>
        <v>0.7</v>
      </c>
      <c r="H73" s="105">
        <f t="shared" si="18"/>
        <v>-9.9999999999999978E-2</v>
      </c>
      <c r="I73" s="106">
        <v>0.5</v>
      </c>
      <c r="J73" s="107">
        <f>J15+28</f>
        <v>46178</v>
      </c>
      <c r="K73" s="107">
        <f t="shared" si="4"/>
        <v>46178</v>
      </c>
      <c r="L73" s="107">
        <v>46150</v>
      </c>
      <c r="M73" s="107">
        <f t="shared" si="5"/>
        <v>46220</v>
      </c>
      <c r="N73" s="107">
        <f t="shared" si="6"/>
        <v>46220</v>
      </c>
      <c r="O73" s="107">
        <v>46230</v>
      </c>
      <c r="P73" s="107">
        <f t="shared" si="7"/>
        <v>46262</v>
      </c>
      <c r="Q73" s="107">
        <f t="shared" si="8"/>
        <v>46262</v>
      </c>
      <c r="R73" s="107"/>
      <c r="S73" s="107">
        <f t="shared" si="14"/>
        <v>46276</v>
      </c>
      <c r="T73" s="107">
        <f t="shared" si="9"/>
        <v>46276</v>
      </c>
      <c r="U73" s="107"/>
      <c r="W73" s="173" t="str">
        <f t="shared" ca="1" si="10"/>
        <v>Completed</v>
      </c>
      <c r="X73" s="173" t="str">
        <f t="shared" ca="1" si="11"/>
        <v>Completed</v>
      </c>
      <c r="Y73" s="173" t="str">
        <f t="shared" ca="1" si="12"/>
        <v>Overdue</v>
      </c>
      <c r="Z73" s="174" t="str">
        <f t="shared" ca="1" si="13"/>
        <v>Follow-Next Week</v>
      </c>
    </row>
    <row r="74" spans="1:26" s="70" customFormat="1" ht="11.5" x14ac:dyDescent="0.25">
      <c r="A74" s="102" t="s">
        <v>64</v>
      </c>
      <c r="B74" s="102" t="s">
        <v>34</v>
      </c>
      <c r="C74" s="102" t="s">
        <v>113</v>
      </c>
      <c r="D74" s="102" t="s">
        <v>114</v>
      </c>
      <c r="E74" s="105">
        <f t="shared" si="15"/>
        <v>0.7</v>
      </c>
      <c r="F74" s="105">
        <f t="shared" si="16"/>
        <v>0.7</v>
      </c>
      <c r="G74" s="105">
        <f t="shared" si="17"/>
        <v>0.7</v>
      </c>
      <c r="H74" s="105">
        <f t="shared" si="18"/>
        <v>0</v>
      </c>
      <c r="I74" s="106">
        <v>0.5</v>
      </c>
      <c r="J74" s="107">
        <f>J17+28</f>
        <v>46192</v>
      </c>
      <c r="K74" s="107">
        <f t="shared" si="4"/>
        <v>46192</v>
      </c>
      <c r="L74" s="107">
        <v>46155</v>
      </c>
      <c r="M74" s="107">
        <f t="shared" si="5"/>
        <v>46234</v>
      </c>
      <c r="N74" s="107">
        <f t="shared" si="6"/>
        <v>46234</v>
      </c>
      <c r="O74" s="107">
        <v>46230</v>
      </c>
      <c r="P74" s="107">
        <f t="shared" si="7"/>
        <v>46276</v>
      </c>
      <c r="Q74" s="107">
        <f t="shared" si="8"/>
        <v>46276</v>
      </c>
      <c r="R74" s="107"/>
      <c r="S74" s="107">
        <f t="shared" si="14"/>
        <v>46290</v>
      </c>
      <c r="T74" s="107">
        <f t="shared" si="9"/>
        <v>46290</v>
      </c>
      <c r="U74" s="107"/>
      <c r="W74" s="173" t="str">
        <f t="shared" ca="1" si="10"/>
        <v>Completed</v>
      </c>
      <c r="X74" s="173" t="str">
        <f t="shared" ca="1" si="11"/>
        <v>Completed</v>
      </c>
      <c r="Y74" s="173" t="str">
        <f t="shared" ca="1" si="12"/>
        <v>Follow-Next Week</v>
      </c>
      <c r="Z74" s="174" t="str">
        <f t="shared" ca="1" si="13"/>
        <v/>
      </c>
    </row>
    <row r="75" spans="1:26" s="70" customFormat="1" ht="11.5" x14ac:dyDescent="0.25">
      <c r="A75" s="102" t="s">
        <v>64</v>
      </c>
      <c r="B75" s="102" t="s">
        <v>34</v>
      </c>
      <c r="C75" s="102" t="s">
        <v>115</v>
      </c>
      <c r="D75" s="102" t="s">
        <v>116</v>
      </c>
      <c r="E75" s="105">
        <f t="shared" si="15"/>
        <v>0.7</v>
      </c>
      <c r="F75" s="105">
        <f t="shared" si="16"/>
        <v>0.7</v>
      </c>
      <c r="G75" s="105">
        <f t="shared" si="17"/>
        <v>0.7</v>
      </c>
      <c r="H75" s="105">
        <f t="shared" si="18"/>
        <v>0</v>
      </c>
      <c r="I75" s="110">
        <v>0.5</v>
      </c>
      <c r="J75" s="107">
        <f>J19+28</f>
        <v>46206</v>
      </c>
      <c r="K75" s="108">
        <f t="shared" si="4"/>
        <v>46206</v>
      </c>
      <c r="L75" s="108">
        <v>46185</v>
      </c>
      <c r="M75" s="107">
        <f t="shared" si="5"/>
        <v>46248</v>
      </c>
      <c r="N75" s="108">
        <f t="shared" si="6"/>
        <v>46248</v>
      </c>
      <c r="O75" s="108">
        <v>46241</v>
      </c>
      <c r="P75" s="107">
        <f t="shared" si="7"/>
        <v>46290</v>
      </c>
      <c r="Q75" s="108">
        <f t="shared" si="8"/>
        <v>46290</v>
      </c>
      <c r="R75" s="108"/>
      <c r="S75" s="107">
        <f t="shared" si="14"/>
        <v>46304</v>
      </c>
      <c r="T75" s="108">
        <f t="shared" si="9"/>
        <v>46304</v>
      </c>
      <c r="U75" s="107"/>
      <c r="W75" s="173" t="str">
        <f t="shared" ca="1" si="10"/>
        <v>Completed</v>
      </c>
      <c r="X75" s="173" t="str">
        <f t="shared" ca="1" si="11"/>
        <v>Completed</v>
      </c>
      <c r="Y75" s="173" t="str">
        <f t="shared" ca="1" si="12"/>
        <v/>
      </c>
      <c r="Z75" s="174" t="str">
        <f t="shared" ca="1" si="13"/>
        <v/>
      </c>
    </row>
    <row r="76" spans="1:26" s="70" customFormat="1" ht="11.5" x14ac:dyDescent="0.25">
      <c r="A76" s="102" t="s">
        <v>64</v>
      </c>
      <c r="B76" s="102" t="s">
        <v>34</v>
      </c>
      <c r="C76" s="102" t="s">
        <v>117</v>
      </c>
      <c r="D76" s="102" t="s">
        <v>118</v>
      </c>
      <c r="E76" s="105">
        <f t="shared" si="15"/>
        <v>0.7</v>
      </c>
      <c r="F76" s="105">
        <f t="shared" si="16"/>
        <v>0.7</v>
      </c>
      <c r="G76" s="105">
        <f t="shared" si="17"/>
        <v>0.7</v>
      </c>
      <c r="H76" s="105">
        <f t="shared" si="18"/>
        <v>0</v>
      </c>
      <c r="I76" s="110">
        <v>0.5</v>
      </c>
      <c r="J76" s="107">
        <f>J20+28</f>
        <v>46220</v>
      </c>
      <c r="K76" s="108">
        <f t="shared" si="4"/>
        <v>46220</v>
      </c>
      <c r="L76" s="138">
        <v>46223</v>
      </c>
      <c r="M76" s="107">
        <f t="shared" si="5"/>
        <v>46262</v>
      </c>
      <c r="N76" s="108">
        <f t="shared" si="6"/>
        <v>46262</v>
      </c>
      <c r="O76" s="108">
        <v>46248</v>
      </c>
      <c r="P76" s="107">
        <f t="shared" si="7"/>
        <v>46304</v>
      </c>
      <c r="Q76" s="108">
        <f t="shared" si="8"/>
        <v>46304</v>
      </c>
      <c r="R76" s="108"/>
      <c r="S76" s="107">
        <f t="shared" si="14"/>
        <v>46318</v>
      </c>
      <c r="T76" s="108">
        <f t="shared" si="9"/>
        <v>46318</v>
      </c>
      <c r="U76" s="107"/>
      <c r="W76" s="173" t="str">
        <f t="shared" ca="1" si="10"/>
        <v>Completed</v>
      </c>
      <c r="X76" s="173" t="str">
        <f t="shared" ca="1" si="11"/>
        <v>Completed</v>
      </c>
      <c r="Y76" s="173" t="str">
        <f t="shared" ca="1" si="12"/>
        <v/>
      </c>
      <c r="Z76" s="174" t="str">
        <f t="shared" ca="1" si="13"/>
        <v/>
      </c>
    </row>
    <row r="77" spans="1:26" s="70" customFormat="1" ht="11.5" x14ac:dyDescent="0.25">
      <c r="A77" s="102" t="s">
        <v>64</v>
      </c>
      <c r="B77" s="102" t="s">
        <v>34</v>
      </c>
      <c r="C77" s="102" t="s">
        <v>119</v>
      </c>
      <c r="D77" s="102" t="s">
        <v>120</v>
      </c>
      <c r="E77" s="105">
        <f t="shared" si="15"/>
        <v>0.7</v>
      </c>
      <c r="F77" s="105">
        <f t="shared" si="16"/>
        <v>0.7</v>
      </c>
      <c r="G77" s="105">
        <f t="shared" si="17"/>
        <v>0.7</v>
      </c>
      <c r="H77" s="105">
        <f t="shared" si="18"/>
        <v>0</v>
      </c>
      <c r="I77" s="110">
        <v>0.5</v>
      </c>
      <c r="J77" s="107">
        <f>J21+28</f>
        <v>46185</v>
      </c>
      <c r="K77" s="108">
        <f t="shared" si="4"/>
        <v>46185</v>
      </c>
      <c r="L77" s="108">
        <v>46181</v>
      </c>
      <c r="M77" s="107">
        <f t="shared" si="5"/>
        <v>46227</v>
      </c>
      <c r="N77" s="108">
        <f t="shared" si="6"/>
        <v>46227</v>
      </c>
      <c r="O77" s="107">
        <v>46227</v>
      </c>
      <c r="P77" s="107">
        <f t="shared" si="7"/>
        <v>46269</v>
      </c>
      <c r="Q77" s="108">
        <f t="shared" si="8"/>
        <v>46269</v>
      </c>
      <c r="R77" s="108"/>
      <c r="S77" s="107">
        <f t="shared" si="14"/>
        <v>46283</v>
      </c>
      <c r="T77" s="108">
        <f t="shared" si="9"/>
        <v>46283</v>
      </c>
      <c r="U77" s="108"/>
      <c r="W77" s="173" t="str">
        <f t="shared" ca="1" si="10"/>
        <v>Completed</v>
      </c>
      <c r="X77" s="173" t="str">
        <f t="shared" ca="1" si="11"/>
        <v>Completed</v>
      </c>
      <c r="Y77" s="173" t="str">
        <f t="shared" ca="1" si="12"/>
        <v>Follow-This Week</v>
      </c>
      <c r="Z77" s="174" t="str">
        <f t="shared" ca="1" si="13"/>
        <v/>
      </c>
    </row>
    <row r="78" spans="1:26" s="70" customFormat="1" ht="11.5" x14ac:dyDescent="0.25">
      <c r="A78" s="102" t="s">
        <v>64</v>
      </c>
      <c r="B78" s="102" t="s">
        <v>34</v>
      </c>
      <c r="C78" s="102" t="s">
        <v>121</v>
      </c>
      <c r="D78" s="102" t="s">
        <v>122</v>
      </c>
      <c r="E78" s="105">
        <f t="shared" si="15"/>
        <v>0.7</v>
      </c>
      <c r="F78" s="105">
        <f t="shared" si="16"/>
        <v>0.7</v>
      </c>
      <c r="G78" s="105">
        <f>(COUNTIFS(L78,"&lt;="&amp;$C$1)*50%)+(COUNTIFS(O78,"&lt;="&amp;$C$1)*20%)+(COUNTIFS(R78,"&lt;="&amp;$C$1)*10%)+(COUNTIFS(U78,"&lt;="&amp;$C$1)*20%)</f>
        <v>0.5</v>
      </c>
      <c r="H78" s="105">
        <f t="shared" si="18"/>
        <v>-0.19999999999999996</v>
      </c>
      <c r="I78" s="110">
        <v>0.75</v>
      </c>
      <c r="J78" s="107">
        <f>J23+28</f>
        <v>46216</v>
      </c>
      <c r="K78" s="107">
        <f t="shared" si="4"/>
        <v>46216</v>
      </c>
      <c r="L78" s="108">
        <v>46219</v>
      </c>
      <c r="M78" s="107">
        <f>J78+35</f>
        <v>46251</v>
      </c>
      <c r="N78" s="107">
        <f t="shared" si="6"/>
        <v>46251</v>
      </c>
      <c r="O78" s="108"/>
      <c r="P78" s="107">
        <f t="shared" si="7"/>
        <v>46293</v>
      </c>
      <c r="Q78" s="107">
        <f t="shared" si="8"/>
        <v>46293</v>
      </c>
      <c r="R78" s="108"/>
      <c r="S78" s="107">
        <f t="shared" si="14"/>
        <v>46307</v>
      </c>
      <c r="T78" s="107">
        <f t="shared" si="9"/>
        <v>46307</v>
      </c>
      <c r="U78" s="108"/>
      <c r="W78" s="173" t="str">
        <f t="shared" ca="1" si="10"/>
        <v>Completed</v>
      </c>
      <c r="X78" s="173" t="str">
        <f t="shared" ca="1" si="11"/>
        <v>Overdue</v>
      </c>
      <c r="Y78" s="173" t="str">
        <f t="shared" ca="1" si="12"/>
        <v/>
      </c>
      <c r="Z78" s="174" t="str">
        <f t="shared" ca="1" si="13"/>
        <v/>
      </c>
    </row>
    <row r="79" spans="1:26" s="70" customFormat="1" ht="11.5" x14ac:dyDescent="0.25">
      <c r="A79" s="102" t="s">
        <v>64</v>
      </c>
      <c r="B79" s="102" t="s">
        <v>34</v>
      </c>
      <c r="C79" s="102" t="s">
        <v>123</v>
      </c>
      <c r="D79" s="102" t="s">
        <v>124</v>
      </c>
      <c r="E79" s="105">
        <f t="shared" si="15"/>
        <v>0.5</v>
      </c>
      <c r="F79" s="105">
        <f t="shared" si="16"/>
        <v>0.5</v>
      </c>
      <c r="G79" s="105">
        <f>(COUNTIFS(L79,"&lt;="&amp;$C$1)*50%)+(COUNTIFS(O79,"&lt;="&amp;$C$1)*20%)+(COUNTIFS(R79,"&lt;="&amp;$C$1)*10%)+(COUNTIFS(U79,"&lt;="&amp;$C$1)*20%)</f>
        <v>0.7</v>
      </c>
      <c r="H79" s="105">
        <f t="shared" si="18"/>
        <v>0.19999999999999996</v>
      </c>
      <c r="I79" s="110">
        <v>0.5</v>
      </c>
      <c r="J79" s="107">
        <f>J25+28</f>
        <v>46234</v>
      </c>
      <c r="K79" s="107">
        <f t="shared" si="4"/>
        <v>46234</v>
      </c>
      <c r="L79" s="107">
        <v>46218</v>
      </c>
      <c r="M79" s="107">
        <f t="shared" si="5"/>
        <v>46276</v>
      </c>
      <c r="N79" s="107">
        <f t="shared" si="6"/>
        <v>46276</v>
      </c>
      <c r="O79" s="108">
        <v>46248</v>
      </c>
      <c r="P79" s="107">
        <f t="shared" si="7"/>
        <v>46318</v>
      </c>
      <c r="Q79" s="107">
        <f t="shared" si="8"/>
        <v>46318</v>
      </c>
      <c r="R79" s="108"/>
      <c r="S79" s="107">
        <f t="shared" si="14"/>
        <v>46332</v>
      </c>
      <c r="T79" s="107">
        <f t="shared" si="9"/>
        <v>46332</v>
      </c>
      <c r="U79" s="108"/>
      <c r="W79" s="173" t="str">
        <f t="shared" ca="1" si="10"/>
        <v>Completed</v>
      </c>
      <c r="X79" s="173" t="str">
        <f t="shared" ca="1" si="11"/>
        <v>Completed</v>
      </c>
      <c r="Y79" s="173" t="str">
        <f t="shared" ca="1" si="12"/>
        <v/>
      </c>
      <c r="Z79" s="174" t="str">
        <f t="shared" ca="1" si="13"/>
        <v/>
      </c>
    </row>
    <row r="80" spans="1:26" s="70" customFormat="1" ht="11.5" x14ac:dyDescent="0.25">
      <c r="A80" s="180" t="s">
        <v>64</v>
      </c>
      <c r="B80" s="180" t="s">
        <v>34</v>
      </c>
      <c r="C80" s="180" t="s">
        <v>125</v>
      </c>
      <c r="D80" s="180" t="s">
        <v>1139</v>
      </c>
      <c r="E80" s="181">
        <f t="shared" si="15"/>
        <v>0.79999999999999993</v>
      </c>
      <c r="F80" s="181">
        <f t="shared" si="16"/>
        <v>0.79999999999999993</v>
      </c>
      <c r="G80" s="181">
        <f t="shared" si="17"/>
        <v>1</v>
      </c>
      <c r="H80" s="181">
        <f t="shared" si="18"/>
        <v>0.20000000000000007</v>
      </c>
      <c r="I80" s="185">
        <v>0.25</v>
      </c>
      <c r="J80" s="183">
        <f>J26+28</f>
        <v>46178</v>
      </c>
      <c r="K80" s="186">
        <f t="shared" si="4"/>
        <v>46178</v>
      </c>
      <c r="L80" s="183">
        <v>46218</v>
      </c>
      <c r="M80" s="183">
        <f t="shared" si="5"/>
        <v>46220</v>
      </c>
      <c r="N80" s="186">
        <f t="shared" si="6"/>
        <v>46220</v>
      </c>
      <c r="O80" s="183">
        <v>46234</v>
      </c>
      <c r="P80" s="183">
        <f t="shared" si="7"/>
        <v>46262</v>
      </c>
      <c r="Q80" s="186">
        <f t="shared" si="8"/>
        <v>46262</v>
      </c>
      <c r="R80" s="183">
        <v>46234</v>
      </c>
      <c r="S80" s="183">
        <f t="shared" si="14"/>
        <v>46276</v>
      </c>
      <c r="T80" s="186">
        <f t="shared" si="9"/>
        <v>46276</v>
      </c>
      <c r="U80" s="183">
        <v>46234</v>
      </c>
      <c r="W80" s="173" t="str">
        <f t="shared" ca="1" si="10"/>
        <v>Completed</v>
      </c>
      <c r="X80" s="173" t="str">
        <f t="shared" ca="1" si="11"/>
        <v>Completed</v>
      </c>
      <c r="Y80" s="173" t="str">
        <f t="shared" ca="1" si="12"/>
        <v>Completed</v>
      </c>
      <c r="Z80" s="174" t="str">
        <f t="shared" ca="1" si="13"/>
        <v>Completed</v>
      </c>
    </row>
    <row r="81" spans="1:26" s="70" customFormat="1" ht="11.5" x14ac:dyDescent="0.25">
      <c r="A81" s="102" t="s">
        <v>64</v>
      </c>
      <c r="B81" s="102" t="s">
        <v>34</v>
      </c>
      <c r="C81" s="102" t="s">
        <v>125</v>
      </c>
      <c r="D81" s="102" t="s">
        <v>1140</v>
      </c>
      <c r="E81" s="105">
        <f t="shared" ref="E81" si="290">(COUNTIFS(J81,"&lt;="&amp;$C$1)*50%)+(COUNTIFS(M81,"&lt;="&amp;$C$1)*20%)+(COUNTIFS(P81,"&lt;="&amp;$C$1)*10%)+(COUNTIFS(S81,"&lt;="&amp;$C$1)*20%)</f>
        <v>0.7</v>
      </c>
      <c r="F81" s="105">
        <f t="shared" ref="F81" si="291">(COUNTIFS(K81,"&lt;="&amp;$C$1)*50%)+(COUNTIFS(N81,"&lt;="&amp;$C$1)*20%)+(COUNTIFS(Q81,"&lt;="&amp;$C$1)*10%)+(COUNTIFS(T81,"&lt;="&amp;$C$1)*20%)</f>
        <v>0.7</v>
      </c>
      <c r="G81" s="105">
        <f t="shared" ref="G81" si="292">(COUNTIFS(L81,"&lt;="&amp;$C$1)*50%)+(COUNTIFS(O81,"&lt;="&amp;$C$1)*20%)+(COUNTIFS(R81,"&lt;="&amp;$C$1)*10%)+(COUNTIFS(U81,"&lt;="&amp;$C$1)*20%)</f>
        <v>0.7</v>
      </c>
      <c r="H81" s="105">
        <f t="shared" ref="H81" si="293">G81-E81</f>
        <v>0</v>
      </c>
      <c r="I81" s="110">
        <v>0.25</v>
      </c>
      <c r="J81" s="107">
        <f t="shared" ref="J81" si="294">J28+28</f>
        <v>46185</v>
      </c>
      <c r="K81" s="109">
        <f t="shared" ref="K81" si="295">J81</f>
        <v>46185</v>
      </c>
      <c r="L81" s="107">
        <v>46218</v>
      </c>
      <c r="M81" s="107">
        <v>46241</v>
      </c>
      <c r="N81" s="109">
        <f t="shared" ref="N81" si="296">M81</f>
        <v>46241</v>
      </c>
      <c r="O81" s="108">
        <v>46248</v>
      </c>
      <c r="P81" s="107">
        <f t="shared" ref="P81" si="297">M81+42</f>
        <v>46283</v>
      </c>
      <c r="Q81" s="109">
        <f t="shared" ref="Q81" si="298">P81</f>
        <v>46283</v>
      </c>
      <c r="R81" s="107"/>
      <c r="S81" s="107">
        <f t="shared" ref="S81" si="299">P81+14</f>
        <v>46297</v>
      </c>
      <c r="T81" s="109">
        <f t="shared" ref="T81" si="300">S81</f>
        <v>46297</v>
      </c>
      <c r="U81" s="107"/>
      <c r="W81" s="173" t="str">
        <f t="shared" ref="W81" ca="1" si="301">IF(OR(L81&lt;&gt;""),"Completed",
IF(K81="","",IF(K81&lt;TODAY(),"Overdue",
IF(AND(K81&gt;=TODAY()-WEEKDAY(TODAY(),2)+1,K81&lt;=TODAY()-WEEKDAY(TODAY(),2)+7),"Follow-This Week",
IF(AND(K81&gt;=TODAY()-WEEKDAY(TODAY(),2)+8,K81&lt;=TODAY()-WEEKDAY(TODAY(),2)+14),"Follow-Next Week","")))))</f>
        <v>Completed</v>
      </c>
      <c r="X81" s="173" t="str">
        <f t="shared" ref="X81" ca="1" si="302">IF(OR(O81&lt;&gt;""),"Completed",IF(N81="","",
IF(N81&lt;TODAY(),"Overdue",
IF(AND(N81&gt;=TODAY()-WEEKDAY(TODAY(),2)+1,N81&lt;=TODAY()-WEEKDAY(TODAY(),2)+7),"Follow-This Week",
IF(AND(N81&gt;=TODAY()-WEEKDAY(TODAY(),2)+8,N81&lt;=TODAY()-WEEKDAY(TODAY(),2)+14),"Follow-Next Week","")))))</f>
        <v>Completed</v>
      </c>
      <c r="Y81" s="173" t="str">
        <f t="shared" ref="Y81" ca="1" si="303">IF(OR(R81&lt;&gt;""),"Completed",IF(Q81="","",
IF(Q81&lt;TODAY(),"Overdue",
IF(AND(Q81&gt;=TODAY()-WEEKDAY(TODAY(),2)+1,Q81&lt;=TODAY()-WEEKDAY(TODAY(),2)+7),"Follow-This Week",
IF(AND(Q81&gt;=TODAY()-WEEKDAY(TODAY(),2)+8,Q81&lt;=TODAY()-WEEKDAY(TODAY(),2)+14),"Follow-Next Week","")))))</f>
        <v/>
      </c>
      <c r="Z81" s="174" t="str">
        <f t="shared" ref="Z81" ca="1" si="304">IF(OR(U81&lt;&gt;""),"Completed",IF(T81="","",
IF(T81&lt;TODAY(),"Overdue",
IF(AND(T81&gt;=TODAY()-WEEKDAY(TODAY(),2)+1,T81&lt;=TODAY()-WEEKDAY(TODAY(),2)+7),"Follow-This Week",
IF(AND(T81&gt;=TODAY()-WEEKDAY(TODAY(),2)+8,T81&lt;=TODAY()-WEEKDAY(TODAY(),2)+14),"Follow-Next Week","")))))</f>
        <v/>
      </c>
    </row>
    <row r="82" spans="1:26" s="70" customFormat="1" ht="11.5" x14ac:dyDescent="0.25">
      <c r="A82" s="102" t="s">
        <v>64</v>
      </c>
      <c r="B82" s="102" t="s">
        <v>34</v>
      </c>
      <c r="C82" s="102" t="s">
        <v>126</v>
      </c>
      <c r="D82" s="102" t="s">
        <v>127</v>
      </c>
      <c r="E82" s="105">
        <f t="shared" si="15"/>
        <v>0.7</v>
      </c>
      <c r="F82" s="105">
        <f t="shared" si="16"/>
        <v>0.7</v>
      </c>
      <c r="G82" s="105">
        <f t="shared" si="17"/>
        <v>0.7</v>
      </c>
      <c r="H82" s="105">
        <f t="shared" si="18"/>
        <v>0</v>
      </c>
      <c r="I82" s="106">
        <v>0.5</v>
      </c>
      <c r="J82" s="107">
        <f>J28+28</f>
        <v>46185</v>
      </c>
      <c r="K82" s="108">
        <f t="shared" si="4"/>
        <v>46185</v>
      </c>
      <c r="L82" s="108">
        <v>46185</v>
      </c>
      <c r="M82" s="107">
        <f t="shared" si="5"/>
        <v>46227</v>
      </c>
      <c r="N82" s="108">
        <f t="shared" si="6"/>
        <v>46227</v>
      </c>
      <c r="O82" s="107">
        <v>46225</v>
      </c>
      <c r="P82" s="107">
        <f t="shared" si="7"/>
        <v>46269</v>
      </c>
      <c r="Q82" s="108">
        <f t="shared" si="8"/>
        <v>46269</v>
      </c>
      <c r="R82" s="108"/>
      <c r="S82" s="107">
        <f t="shared" si="14"/>
        <v>46283</v>
      </c>
      <c r="T82" s="108">
        <f t="shared" si="9"/>
        <v>46283</v>
      </c>
      <c r="U82" s="108"/>
      <c r="W82" s="173" t="str">
        <f t="shared" ca="1" si="10"/>
        <v>Completed</v>
      </c>
      <c r="X82" s="173" t="str">
        <f t="shared" ca="1" si="11"/>
        <v>Completed</v>
      </c>
      <c r="Y82" s="173" t="str">
        <f t="shared" ca="1" si="12"/>
        <v>Follow-This Week</v>
      </c>
      <c r="Z82" s="174" t="str">
        <f t="shared" ca="1" si="13"/>
        <v/>
      </c>
    </row>
    <row r="83" spans="1:26" s="70" customFormat="1" ht="11.5" x14ac:dyDescent="0.25">
      <c r="A83" s="102" t="s">
        <v>64</v>
      </c>
      <c r="B83" s="102" t="s">
        <v>34</v>
      </c>
      <c r="C83" s="102" t="s">
        <v>128</v>
      </c>
      <c r="D83" s="102" t="s">
        <v>129</v>
      </c>
      <c r="E83" s="105">
        <f t="shared" si="15"/>
        <v>0.5</v>
      </c>
      <c r="F83" s="105">
        <f t="shared" si="16"/>
        <v>0.5</v>
      </c>
      <c r="G83" s="105">
        <f t="shared" si="17"/>
        <v>0.5</v>
      </c>
      <c r="H83" s="105">
        <f t="shared" si="18"/>
        <v>0</v>
      </c>
      <c r="I83" s="106">
        <v>0.8</v>
      </c>
      <c r="J83" s="107">
        <f>J30+28</f>
        <v>46255</v>
      </c>
      <c r="K83" s="107">
        <f t="shared" si="4"/>
        <v>46255</v>
      </c>
      <c r="L83" s="108">
        <v>46248</v>
      </c>
      <c r="M83" s="107">
        <f t="shared" si="5"/>
        <v>46297</v>
      </c>
      <c r="N83" s="107">
        <f t="shared" si="6"/>
        <v>46297</v>
      </c>
      <c r="O83" s="108"/>
      <c r="P83" s="107">
        <f t="shared" si="7"/>
        <v>46339</v>
      </c>
      <c r="Q83" s="107">
        <f t="shared" si="8"/>
        <v>46339</v>
      </c>
      <c r="R83" s="108"/>
      <c r="S83" s="107">
        <f t="shared" si="14"/>
        <v>46353</v>
      </c>
      <c r="T83" s="107">
        <f t="shared" si="9"/>
        <v>46353</v>
      </c>
      <c r="U83" s="108"/>
      <c r="W83" s="173" t="str">
        <f t="shared" ca="1" si="10"/>
        <v>Completed</v>
      </c>
      <c r="X83" s="173" t="str">
        <f t="shared" ca="1" si="11"/>
        <v/>
      </c>
      <c r="Y83" s="173" t="str">
        <f t="shared" ca="1" si="12"/>
        <v/>
      </c>
      <c r="Z83" s="174" t="str">
        <f t="shared" ca="1" si="13"/>
        <v/>
      </c>
    </row>
    <row r="84" spans="1:26" s="70" customFormat="1" ht="11.5" x14ac:dyDescent="0.25">
      <c r="A84" s="102" t="s">
        <v>64</v>
      </c>
      <c r="B84" s="102" t="s">
        <v>34</v>
      </c>
      <c r="C84" s="102" t="s">
        <v>130</v>
      </c>
      <c r="D84" s="102" t="s">
        <v>131</v>
      </c>
      <c r="E84" s="105">
        <f t="shared" si="15"/>
        <v>0</v>
      </c>
      <c r="F84" s="105">
        <f t="shared" si="16"/>
        <v>0</v>
      </c>
      <c r="G84" s="105">
        <f t="shared" si="17"/>
        <v>0.7</v>
      </c>
      <c r="H84" s="105">
        <f t="shared" si="18"/>
        <v>0.7</v>
      </c>
      <c r="I84" s="106">
        <v>0.8</v>
      </c>
      <c r="J84" s="107">
        <f>J32+28</f>
        <v>46269</v>
      </c>
      <c r="K84" s="107">
        <f t="shared" si="4"/>
        <v>46269</v>
      </c>
      <c r="L84" s="108">
        <v>46202</v>
      </c>
      <c r="M84" s="107">
        <f t="shared" si="5"/>
        <v>46311</v>
      </c>
      <c r="N84" s="107">
        <f t="shared" si="6"/>
        <v>46311</v>
      </c>
      <c r="O84" s="138">
        <v>46209</v>
      </c>
      <c r="P84" s="107">
        <f t="shared" si="7"/>
        <v>46353</v>
      </c>
      <c r="Q84" s="107">
        <f t="shared" si="8"/>
        <v>46353</v>
      </c>
      <c r="R84" s="108"/>
      <c r="S84" s="107">
        <f t="shared" si="14"/>
        <v>46367</v>
      </c>
      <c r="T84" s="107">
        <f t="shared" si="9"/>
        <v>46367</v>
      </c>
      <c r="U84" s="108"/>
      <c r="W84" s="173" t="str">
        <f t="shared" ca="1" si="10"/>
        <v>Completed</v>
      </c>
      <c r="X84" s="173" t="str">
        <f t="shared" ca="1" si="11"/>
        <v>Completed</v>
      </c>
      <c r="Y84" s="173" t="str">
        <f t="shared" ca="1" si="12"/>
        <v/>
      </c>
      <c r="Z84" s="174" t="str">
        <f t="shared" ca="1" si="13"/>
        <v/>
      </c>
    </row>
    <row r="85" spans="1:26" s="70" customFormat="1" ht="11.5" x14ac:dyDescent="0.25">
      <c r="A85" s="102" t="s">
        <v>64</v>
      </c>
      <c r="B85" s="102" t="s">
        <v>34</v>
      </c>
      <c r="C85" s="102" t="s">
        <v>132</v>
      </c>
      <c r="D85" s="102" t="s">
        <v>133</v>
      </c>
      <c r="E85" s="105">
        <f t="shared" si="15"/>
        <v>0</v>
      </c>
      <c r="F85" s="105">
        <f t="shared" si="16"/>
        <v>0</v>
      </c>
      <c r="G85" s="105">
        <f t="shared" si="17"/>
        <v>0.5</v>
      </c>
      <c r="H85" s="105">
        <f t="shared" si="18"/>
        <v>0.5</v>
      </c>
      <c r="I85" s="106">
        <v>0.8</v>
      </c>
      <c r="J85" s="107">
        <f>J33+28</f>
        <v>46277</v>
      </c>
      <c r="K85" s="107">
        <f t="shared" si="4"/>
        <v>46277</v>
      </c>
      <c r="L85" s="107">
        <v>46248</v>
      </c>
      <c r="M85" s="107">
        <f t="shared" si="5"/>
        <v>46319</v>
      </c>
      <c r="N85" s="107">
        <f t="shared" si="6"/>
        <v>46319</v>
      </c>
      <c r="O85" s="107"/>
      <c r="P85" s="107">
        <f t="shared" si="7"/>
        <v>46361</v>
      </c>
      <c r="Q85" s="107">
        <f t="shared" si="8"/>
        <v>46361</v>
      </c>
      <c r="R85" s="107"/>
      <c r="S85" s="107">
        <f t="shared" si="14"/>
        <v>46375</v>
      </c>
      <c r="T85" s="107">
        <f t="shared" si="9"/>
        <v>46375</v>
      </c>
      <c r="U85" s="107"/>
      <c r="W85" s="173" t="str">
        <f t="shared" ca="1" si="10"/>
        <v>Completed</v>
      </c>
      <c r="X85" s="173" t="str">
        <f t="shared" ca="1" si="11"/>
        <v/>
      </c>
      <c r="Y85" s="173" t="str">
        <f t="shared" ca="1" si="12"/>
        <v/>
      </c>
      <c r="Z85" s="174" t="str">
        <f t="shared" ca="1" si="13"/>
        <v/>
      </c>
    </row>
    <row r="86" spans="1:26" s="70" customFormat="1" ht="11.5" x14ac:dyDescent="0.25">
      <c r="A86" s="102" t="s">
        <v>64</v>
      </c>
      <c r="B86" s="102" t="s">
        <v>34</v>
      </c>
      <c r="C86" s="102" t="s">
        <v>134</v>
      </c>
      <c r="D86" s="102" t="s">
        <v>135</v>
      </c>
      <c r="E86" s="105">
        <f t="shared" si="15"/>
        <v>0</v>
      </c>
      <c r="F86" s="105">
        <f t="shared" si="16"/>
        <v>0</v>
      </c>
      <c r="G86" s="105">
        <f t="shared" si="17"/>
        <v>0</v>
      </c>
      <c r="H86" s="105">
        <f t="shared" si="18"/>
        <v>0</v>
      </c>
      <c r="I86" s="106">
        <v>0.5</v>
      </c>
      <c r="J86" s="107">
        <f>J34+28</f>
        <v>46330</v>
      </c>
      <c r="K86" s="107">
        <f t="shared" si="4"/>
        <v>46330</v>
      </c>
      <c r="L86" s="107"/>
      <c r="M86" s="107">
        <f t="shared" si="5"/>
        <v>46372</v>
      </c>
      <c r="N86" s="107">
        <f t="shared" si="6"/>
        <v>46372</v>
      </c>
      <c r="O86" s="107"/>
      <c r="P86" s="107">
        <f t="shared" si="7"/>
        <v>46414</v>
      </c>
      <c r="Q86" s="107">
        <f t="shared" si="8"/>
        <v>46414</v>
      </c>
      <c r="R86" s="107"/>
      <c r="S86" s="107">
        <f t="shared" si="14"/>
        <v>46428</v>
      </c>
      <c r="T86" s="107">
        <f t="shared" si="9"/>
        <v>46428</v>
      </c>
      <c r="U86" s="107"/>
      <c r="W86" s="173" t="str">
        <f t="shared" ca="1" si="10"/>
        <v/>
      </c>
      <c r="X86" s="173" t="str">
        <f t="shared" ca="1" si="11"/>
        <v/>
      </c>
      <c r="Y86" s="173" t="str">
        <f t="shared" ca="1" si="12"/>
        <v/>
      </c>
      <c r="Z86" s="174" t="str">
        <f t="shared" ca="1" si="13"/>
        <v/>
      </c>
    </row>
    <row r="87" spans="1:26" s="70" customFormat="1" ht="11.5" x14ac:dyDescent="0.25">
      <c r="A87" s="102" t="s">
        <v>64</v>
      </c>
      <c r="B87" s="102" t="s">
        <v>34</v>
      </c>
      <c r="C87" s="102" t="s">
        <v>136</v>
      </c>
      <c r="D87" s="102" t="s">
        <v>137</v>
      </c>
      <c r="E87" s="105">
        <f t="shared" si="15"/>
        <v>0.7</v>
      </c>
      <c r="F87" s="105">
        <f t="shared" si="16"/>
        <v>0.7</v>
      </c>
      <c r="G87" s="105">
        <f t="shared" si="17"/>
        <v>0.7</v>
      </c>
      <c r="H87" s="105">
        <f t="shared" si="18"/>
        <v>0</v>
      </c>
      <c r="I87" s="106">
        <v>0.5</v>
      </c>
      <c r="J87" s="107">
        <f>J35+28</f>
        <v>46199</v>
      </c>
      <c r="K87" s="107">
        <f t="shared" si="4"/>
        <v>46199</v>
      </c>
      <c r="L87" s="107">
        <v>46192</v>
      </c>
      <c r="M87" s="107">
        <f t="shared" si="5"/>
        <v>46241</v>
      </c>
      <c r="N87" s="107">
        <f t="shared" si="6"/>
        <v>46241</v>
      </c>
      <c r="O87" s="108">
        <v>46237</v>
      </c>
      <c r="P87" s="107">
        <f t="shared" si="7"/>
        <v>46283</v>
      </c>
      <c r="Q87" s="107">
        <f t="shared" si="8"/>
        <v>46283</v>
      </c>
      <c r="R87" s="107"/>
      <c r="S87" s="107">
        <f t="shared" si="14"/>
        <v>46297</v>
      </c>
      <c r="T87" s="107">
        <f t="shared" si="9"/>
        <v>46297</v>
      </c>
      <c r="U87" s="107"/>
      <c r="W87" s="173" t="str">
        <f t="shared" ref="W87:W153" ca="1" si="305">IF(OR(L87&lt;&gt;""),"Completed",
IF(K87="","",IF(K87&lt;TODAY(),"Overdue",
IF(AND(K87&gt;=TODAY()-WEEKDAY(TODAY(),2)+1,K87&lt;=TODAY()-WEEKDAY(TODAY(),2)+7),"Follow-This Week",
IF(AND(K87&gt;=TODAY()-WEEKDAY(TODAY(),2)+8,K87&lt;=TODAY()-WEEKDAY(TODAY(),2)+14),"Follow-Next Week","")))))</f>
        <v>Completed</v>
      </c>
      <c r="X87" s="173" t="str">
        <f t="shared" ref="X87:X153" ca="1" si="306">IF(OR(O87&lt;&gt;""),"Completed",IF(N87="","",
IF(N87&lt;TODAY(),"Overdue",
IF(AND(N87&gt;=TODAY()-WEEKDAY(TODAY(),2)+1,N87&lt;=TODAY()-WEEKDAY(TODAY(),2)+7),"Follow-This Week",
IF(AND(N87&gt;=TODAY()-WEEKDAY(TODAY(),2)+8,N87&lt;=TODAY()-WEEKDAY(TODAY(),2)+14),"Follow-Next Week","")))))</f>
        <v>Completed</v>
      </c>
      <c r="Y87" s="173" t="str">
        <f t="shared" ref="Y87:Y153" ca="1" si="307">IF(OR(R87&lt;&gt;""),"Completed",IF(Q87="","",
IF(Q87&lt;TODAY(),"Overdue",
IF(AND(Q87&gt;=TODAY()-WEEKDAY(TODAY(),2)+1,Q87&lt;=TODAY()-WEEKDAY(TODAY(),2)+7),"Follow-This Week",
IF(AND(Q87&gt;=TODAY()-WEEKDAY(TODAY(),2)+8,Q87&lt;=TODAY()-WEEKDAY(TODAY(),2)+14),"Follow-Next Week","")))))</f>
        <v/>
      </c>
      <c r="Z87" s="174" t="str">
        <f t="shared" ref="Z87:Z153" ca="1" si="308">IF(OR(U87&lt;&gt;""),"Completed",IF(T87="","",
IF(T87&lt;TODAY(),"Overdue",
IF(AND(T87&gt;=TODAY()-WEEKDAY(TODAY(),2)+1,T87&lt;=TODAY()-WEEKDAY(TODAY(),2)+7),"Follow-This Week",
IF(AND(T87&gt;=TODAY()-WEEKDAY(TODAY(),2)+8,T87&lt;=TODAY()-WEEKDAY(TODAY(),2)+14),"Follow-Next Week","")))))</f>
        <v/>
      </c>
    </row>
    <row r="88" spans="1:26" s="70" customFormat="1" ht="11.5" x14ac:dyDescent="0.25">
      <c r="A88" s="102" t="s">
        <v>64</v>
      </c>
      <c r="B88" s="102" t="s">
        <v>34</v>
      </c>
      <c r="C88" s="102" t="s">
        <v>138</v>
      </c>
      <c r="D88" s="102" t="s">
        <v>139</v>
      </c>
      <c r="E88" s="105">
        <f t="shared" si="15"/>
        <v>0.5</v>
      </c>
      <c r="F88" s="105">
        <f t="shared" si="16"/>
        <v>0.5</v>
      </c>
      <c r="G88" s="105">
        <f t="shared" si="17"/>
        <v>0.7</v>
      </c>
      <c r="H88" s="105">
        <f t="shared" si="18"/>
        <v>0.19999999999999996</v>
      </c>
      <c r="I88" s="106">
        <v>0.5</v>
      </c>
      <c r="J88" s="107">
        <f>J37+28</f>
        <v>46255</v>
      </c>
      <c r="K88" s="108">
        <f t="shared" si="4"/>
        <v>46255</v>
      </c>
      <c r="L88" s="107">
        <v>46150</v>
      </c>
      <c r="M88" s="107">
        <f t="shared" si="5"/>
        <v>46297</v>
      </c>
      <c r="N88" s="108">
        <f t="shared" si="6"/>
        <v>46297</v>
      </c>
      <c r="O88" s="107">
        <v>46220</v>
      </c>
      <c r="P88" s="107">
        <f t="shared" si="7"/>
        <v>46339</v>
      </c>
      <c r="Q88" s="108">
        <f t="shared" si="8"/>
        <v>46339</v>
      </c>
      <c r="R88" s="107"/>
      <c r="S88" s="107">
        <f t="shared" si="14"/>
        <v>46353</v>
      </c>
      <c r="T88" s="108">
        <f t="shared" si="9"/>
        <v>46353</v>
      </c>
      <c r="U88" s="107"/>
      <c r="W88" s="173" t="str">
        <f t="shared" ca="1" si="305"/>
        <v>Completed</v>
      </c>
      <c r="X88" s="173" t="str">
        <f t="shared" ca="1" si="306"/>
        <v>Completed</v>
      </c>
      <c r="Y88" s="173" t="str">
        <f t="shared" ca="1" si="307"/>
        <v/>
      </c>
      <c r="Z88" s="174" t="str">
        <f t="shared" ca="1" si="308"/>
        <v/>
      </c>
    </row>
    <row r="89" spans="1:26" s="70" customFormat="1" ht="11.5" x14ac:dyDescent="0.25">
      <c r="A89" s="102" t="s">
        <v>64</v>
      </c>
      <c r="B89" s="102" t="s">
        <v>34</v>
      </c>
      <c r="C89" s="102" t="s">
        <v>848</v>
      </c>
      <c r="D89" s="102" t="s">
        <v>140</v>
      </c>
      <c r="E89" s="105">
        <f t="shared" si="15"/>
        <v>0.7</v>
      </c>
      <c r="F89" s="105">
        <f t="shared" si="16"/>
        <v>0.7</v>
      </c>
      <c r="G89" s="105">
        <f t="shared" si="17"/>
        <v>0.7</v>
      </c>
      <c r="H89" s="105">
        <f t="shared" si="18"/>
        <v>0</v>
      </c>
      <c r="I89" s="106">
        <v>0.55000000000000004</v>
      </c>
      <c r="J89" s="107">
        <f>J38+28</f>
        <v>46192</v>
      </c>
      <c r="K89" s="107">
        <f t="shared" si="4"/>
        <v>46192</v>
      </c>
      <c r="L89" s="107">
        <v>46192</v>
      </c>
      <c r="M89" s="107">
        <f t="shared" si="5"/>
        <v>46234</v>
      </c>
      <c r="N89" s="107">
        <f t="shared" si="6"/>
        <v>46234</v>
      </c>
      <c r="O89" s="107">
        <v>46227</v>
      </c>
      <c r="P89" s="107">
        <f t="shared" si="7"/>
        <v>46276</v>
      </c>
      <c r="Q89" s="107">
        <f t="shared" si="8"/>
        <v>46276</v>
      </c>
      <c r="R89" s="108"/>
      <c r="S89" s="107">
        <f t="shared" si="14"/>
        <v>46290</v>
      </c>
      <c r="T89" s="107">
        <f t="shared" si="9"/>
        <v>46290</v>
      </c>
      <c r="U89" s="108"/>
      <c r="W89" s="173" t="str">
        <f t="shared" ca="1" si="305"/>
        <v>Completed</v>
      </c>
      <c r="X89" s="173" t="str">
        <f t="shared" ca="1" si="306"/>
        <v>Completed</v>
      </c>
      <c r="Y89" s="173" t="str">
        <f t="shared" ca="1" si="307"/>
        <v>Follow-Next Week</v>
      </c>
      <c r="Z89" s="174" t="str">
        <f t="shared" ca="1" si="308"/>
        <v/>
      </c>
    </row>
    <row r="90" spans="1:26" s="70" customFormat="1" ht="11.5" x14ac:dyDescent="0.25">
      <c r="A90" s="102" t="s">
        <v>64</v>
      </c>
      <c r="B90" s="102" t="s">
        <v>34</v>
      </c>
      <c r="C90" s="102" t="s">
        <v>849</v>
      </c>
      <c r="D90" s="102" t="s">
        <v>141</v>
      </c>
      <c r="E90" s="105">
        <f t="shared" si="15"/>
        <v>0.7</v>
      </c>
      <c r="F90" s="105">
        <f t="shared" si="16"/>
        <v>0.7</v>
      </c>
      <c r="G90" s="105">
        <f t="shared" si="17"/>
        <v>0.7</v>
      </c>
      <c r="H90" s="105">
        <f t="shared" si="18"/>
        <v>0</v>
      </c>
      <c r="I90" s="106">
        <v>0.55000000000000004</v>
      </c>
      <c r="J90" s="107">
        <f>J40+28</f>
        <v>46199</v>
      </c>
      <c r="K90" s="108">
        <f t="shared" si="4"/>
        <v>46199</v>
      </c>
      <c r="L90" s="107">
        <v>46155</v>
      </c>
      <c r="M90" s="107">
        <f t="shared" si="5"/>
        <v>46241</v>
      </c>
      <c r="N90" s="108">
        <f t="shared" si="6"/>
        <v>46241</v>
      </c>
      <c r="O90" s="108">
        <v>46244</v>
      </c>
      <c r="P90" s="108">
        <f t="shared" si="7"/>
        <v>46283</v>
      </c>
      <c r="Q90" s="108">
        <f t="shared" si="8"/>
        <v>46283</v>
      </c>
      <c r="R90" s="108"/>
      <c r="S90" s="107">
        <f t="shared" si="14"/>
        <v>46297</v>
      </c>
      <c r="T90" s="108">
        <f t="shared" si="9"/>
        <v>46297</v>
      </c>
      <c r="U90" s="108"/>
      <c r="W90" s="173" t="str">
        <f t="shared" ca="1" si="305"/>
        <v>Completed</v>
      </c>
      <c r="X90" s="173" t="str">
        <f t="shared" ca="1" si="306"/>
        <v>Completed</v>
      </c>
      <c r="Y90" s="173" t="str">
        <f t="shared" ca="1" si="307"/>
        <v/>
      </c>
      <c r="Z90" s="174" t="str">
        <f t="shared" ca="1" si="308"/>
        <v/>
      </c>
    </row>
    <row r="91" spans="1:26" s="70" customFormat="1" ht="11.5" x14ac:dyDescent="0.25">
      <c r="A91" s="180" t="s">
        <v>64</v>
      </c>
      <c r="B91" s="180" t="s">
        <v>34</v>
      </c>
      <c r="C91" s="180" t="s">
        <v>850</v>
      </c>
      <c r="D91" s="180" t="s">
        <v>1161</v>
      </c>
      <c r="E91" s="181">
        <f t="shared" si="15"/>
        <v>0.7</v>
      </c>
      <c r="F91" s="181">
        <f t="shared" si="16"/>
        <v>0.7</v>
      </c>
      <c r="G91" s="181">
        <f t="shared" si="17"/>
        <v>1</v>
      </c>
      <c r="H91" s="181">
        <f t="shared" si="18"/>
        <v>0.30000000000000004</v>
      </c>
      <c r="I91" s="182">
        <v>0.375</v>
      </c>
      <c r="J91" s="183">
        <f>J41+28</f>
        <v>46220</v>
      </c>
      <c r="K91" s="184">
        <f t="shared" si="4"/>
        <v>46220</v>
      </c>
      <c r="L91" s="183">
        <v>46234</v>
      </c>
      <c r="M91" s="183">
        <f t="shared" si="5"/>
        <v>46262</v>
      </c>
      <c r="N91" s="184">
        <f t="shared" si="6"/>
        <v>46262</v>
      </c>
      <c r="O91" s="184">
        <v>46234</v>
      </c>
      <c r="P91" s="184">
        <f t="shared" si="7"/>
        <v>46304</v>
      </c>
      <c r="Q91" s="184">
        <f t="shared" si="8"/>
        <v>46304</v>
      </c>
      <c r="R91" s="184">
        <v>46234</v>
      </c>
      <c r="S91" s="183">
        <f t="shared" si="14"/>
        <v>46318</v>
      </c>
      <c r="T91" s="184">
        <f t="shared" si="9"/>
        <v>46318</v>
      </c>
      <c r="U91" s="184">
        <v>46234</v>
      </c>
      <c r="W91" s="173" t="str">
        <f t="shared" ca="1" si="305"/>
        <v>Completed</v>
      </c>
      <c r="X91" s="173" t="str">
        <f t="shared" ca="1" si="306"/>
        <v>Completed</v>
      </c>
      <c r="Y91" s="173" t="str">
        <f t="shared" ca="1" si="307"/>
        <v>Completed</v>
      </c>
      <c r="Z91" s="174" t="str">
        <f t="shared" ca="1" si="308"/>
        <v>Completed</v>
      </c>
    </row>
    <row r="92" spans="1:26" s="70" customFormat="1" ht="11.5" x14ac:dyDescent="0.25">
      <c r="A92" s="102" t="s">
        <v>64</v>
      </c>
      <c r="B92" s="102" t="s">
        <v>34</v>
      </c>
      <c r="C92" s="102" t="s">
        <v>850</v>
      </c>
      <c r="D92" s="102" t="s">
        <v>1162</v>
      </c>
      <c r="E92" s="105">
        <f t="shared" ref="E92" si="309">(COUNTIFS(J92,"&lt;="&amp;$C$1)*50%)+(COUNTIFS(M92,"&lt;="&amp;$C$1)*20%)+(COUNTIFS(P92,"&lt;="&amp;$C$1)*10%)+(COUNTIFS(S92,"&lt;="&amp;$C$1)*20%)</f>
        <v>0.7</v>
      </c>
      <c r="F92" s="105">
        <f t="shared" ref="F92" si="310">(COUNTIFS(K92,"&lt;="&amp;$C$1)*50%)+(COUNTIFS(N92,"&lt;="&amp;$C$1)*20%)+(COUNTIFS(Q92,"&lt;="&amp;$C$1)*10%)+(COUNTIFS(T92,"&lt;="&amp;$C$1)*20%)</f>
        <v>0.7</v>
      </c>
      <c r="G92" s="105">
        <f t="shared" ref="G92" si="311">(COUNTIFS(L92,"&lt;="&amp;$C$1)*50%)+(COUNTIFS(O92,"&lt;="&amp;$C$1)*20%)+(COUNTIFS(R92,"&lt;="&amp;$C$1)*10%)+(COUNTIFS(U92,"&lt;="&amp;$C$1)*20%)</f>
        <v>0.7</v>
      </c>
      <c r="H92" s="105">
        <f t="shared" ref="H92" si="312">G92-E92</f>
        <v>0</v>
      </c>
      <c r="I92" s="106">
        <v>0.375</v>
      </c>
      <c r="J92" s="107">
        <v>46241</v>
      </c>
      <c r="K92" s="108">
        <v>46241</v>
      </c>
      <c r="L92" s="108">
        <v>46237</v>
      </c>
      <c r="M92" s="107">
        <v>46262</v>
      </c>
      <c r="N92" s="108">
        <v>46262</v>
      </c>
      <c r="O92" s="108">
        <v>46252</v>
      </c>
      <c r="P92" s="108">
        <v>46304</v>
      </c>
      <c r="Q92" s="108">
        <v>46304</v>
      </c>
      <c r="R92" s="108"/>
      <c r="S92" s="107">
        <v>46318</v>
      </c>
      <c r="T92" s="108">
        <v>46318</v>
      </c>
      <c r="U92" s="108"/>
      <c r="W92" s="173" t="str">
        <f t="shared" ref="W92" ca="1" si="313">IF(OR(L92&lt;&gt;""),"Completed",
IF(K92="","",IF(K92&lt;TODAY(),"Overdue",
IF(AND(K92&gt;=TODAY()-WEEKDAY(TODAY(),2)+1,K92&lt;=TODAY()-WEEKDAY(TODAY(),2)+7),"Follow-This Week",
IF(AND(K92&gt;=TODAY()-WEEKDAY(TODAY(),2)+8,K92&lt;=TODAY()-WEEKDAY(TODAY(),2)+14),"Follow-Next Week","")))))</f>
        <v>Completed</v>
      </c>
      <c r="X92" s="173" t="str">
        <f t="shared" ref="X92" ca="1" si="314">IF(OR(O92&lt;&gt;""),"Completed",IF(N92="","",
IF(N92&lt;TODAY(),"Overdue",
IF(AND(N92&gt;=TODAY()-WEEKDAY(TODAY(),2)+1,N92&lt;=TODAY()-WEEKDAY(TODAY(),2)+7),"Follow-This Week",
IF(AND(N92&gt;=TODAY()-WEEKDAY(TODAY(),2)+8,N92&lt;=TODAY()-WEEKDAY(TODAY(),2)+14),"Follow-Next Week","")))))</f>
        <v>Completed</v>
      </c>
      <c r="Y92" s="173" t="str">
        <f t="shared" ref="Y92" ca="1" si="315">IF(OR(R92&lt;&gt;""),"Completed",IF(Q92="","",
IF(Q92&lt;TODAY(),"Overdue",
IF(AND(Q92&gt;=TODAY()-WEEKDAY(TODAY(),2)+1,Q92&lt;=TODAY()-WEEKDAY(TODAY(),2)+7),"Follow-This Week",
IF(AND(Q92&gt;=TODAY()-WEEKDAY(TODAY(),2)+8,Q92&lt;=TODAY()-WEEKDAY(TODAY(),2)+14),"Follow-Next Week","")))))</f>
        <v/>
      </c>
      <c r="Z92" s="174" t="str">
        <f t="shared" ref="Z92" ca="1" si="316">IF(OR(U92&lt;&gt;""),"Completed",IF(T92="","",
IF(T92&lt;TODAY(),"Overdue",
IF(AND(T92&gt;=TODAY()-WEEKDAY(TODAY(),2)+1,T92&lt;=TODAY()-WEEKDAY(TODAY(),2)+7),"Follow-This Week",
IF(AND(T92&gt;=TODAY()-WEEKDAY(TODAY(),2)+8,T92&lt;=TODAY()-WEEKDAY(TODAY(),2)+14),"Follow-Next Week","")))))</f>
        <v/>
      </c>
    </row>
    <row r="93" spans="1:26" s="70" customFormat="1" ht="11.5" x14ac:dyDescent="0.25">
      <c r="A93" s="102" t="s">
        <v>64</v>
      </c>
      <c r="B93" s="102" t="s">
        <v>34</v>
      </c>
      <c r="C93" s="102" t="s">
        <v>142</v>
      </c>
      <c r="D93" s="102" t="s">
        <v>143</v>
      </c>
      <c r="E93" s="105">
        <f t="shared" si="15"/>
        <v>1</v>
      </c>
      <c r="F93" s="105">
        <f t="shared" si="16"/>
        <v>1</v>
      </c>
      <c r="G93" s="105">
        <f t="shared" si="17"/>
        <v>0.7</v>
      </c>
      <c r="H93" s="105">
        <f t="shared" si="18"/>
        <v>-0.30000000000000004</v>
      </c>
      <c r="I93" s="106">
        <v>1</v>
      </c>
      <c r="J93" s="107">
        <f>J42+28</f>
        <v>46143</v>
      </c>
      <c r="K93" s="108">
        <f t="shared" si="4"/>
        <v>46143</v>
      </c>
      <c r="L93" s="107">
        <v>46122</v>
      </c>
      <c r="M93" s="107">
        <f t="shared" si="5"/>
        <v>46185</v>
      </c>
      <c r="N93" s="108">
        <f t="shared" si="6"/>
        <v>46185</v>
      </c>
      <c r="O93" s="108">
        <v>46213</v>
      </c>
      <c r="P93" s="107">
        <f t="shared" si="7"/>
        <v>46227</v>
      </c>
      <c r="Q93" s="108">
        <f t="shared" si="8"/>
        <v>46227</v>
      </c>
      <c r="R93" s="107"/>
      <c r="S93" s="107">
        <f t="shared" si="14"/>
        <v>46241</v>
      </c>
      <c r="T93" s="108">
        <f t="shared" si="9"/>
        <v>46241</v>
      </c>
      <c r="U93" s="107"/>
      <c r="W93" s="173" t="str">
        <f t="shared" ca="1" si="305"/>
        <v>Completed</v>
      </c>
      <c r="X93" s="173" t="str">
        <f t="shared" ca="1" si="306"/>
        <v>Completed</v>
      </c>
      <c r="Y93" s="173" t="str">
        <f t="shared" ca="1" si="307"/>
        <v>Overdue</v>
      </c>
      <c r="Z93" s="174" t="str">
        <f t="shared" ca="1" si="308"/>
        <v>Overdue</v>
      </c>
    </row>
    <row r="94" spans="1:26" s="70" customFormat="1" ht="11.5" x14ac:dyDescent="0.25">
      <c r="A94" s="102" t="s">
        <v>64</v>
      </c>
      <c r="B94" s="102" t="s">
        <v>34</v>
      </c>
      <c r="C94" s="102" t="s">
        <v>144</v>
      </c>
      <c r="D94" s="102" t="s">
        <v>145</v>
      </c>
      <c r="E94" s="105">
        <f t="shared" si="15"/>
        <v>0.7</v>
      </c>
      <c r="F94" s="105">
        <f t="shared" si="16"/>
        <v>0.7</v>
      </c>
      <c r="G94" s="105">
        <f>(COUNTIFS(L94,"&lt;="&amp;$C$1)*50%)+(COUNTIFS(O94,"&lt;="&amp;$C$1)*20%)+(COUNTIFS(R94,"&lt;="&amp;$C$1)*10%)+(COUNTIFS(U94,"&lt;="&amp;$C$1)*20%)</f>
        <v>0.7</v>
      </c>
      <c r="H94" s="105">
        <f t="shared" si="18"/>
        <v>0</v>
      </c>
      <c r="I94" s="106">
        <v>0.5</v>
      </c>
      <c r="J94" s="107">
        <f>J45+28</f>
        <v>46206</v>
      </c>
      <c r="K94" s="108">
        <f t="shared" si="4"/>
        <v>46206</v>
      </c>
      <c r="L94" s="107">
        <v>46220</v>
      </c>
      <c r="M94" s="107">
        <f t="shared" si="5"/>
        <v>46248</v>
      </c>
      <c r="N94" s="108">
        <f t="shared" si="6"/>
        <v>46248</v>
      </c>
      <c r="O94" s="108">
        <v>46252</v>
      </c>
      <c r="P94" s="107">
        <f t="shared" si="7"/>
        <v>46290</v>
      </c>
      <c r="Q94" s="108">
        <f t="shared" si="8"/>
        <v>46290</v>
      </c>
      <c r="R94" s="107"/>
      <c r="S94" s="107">
        <f t="shared" si="14"/>
        <v>46304</v>
      </c>
      <c r="T94" s="108">
        <f t="shared" si="9"/>
        <v>46304</v>
      </c>
      <c r="U94" s="107"/>
      <c r="W94" s="173" t="str">
        <f t="shared" ca="1" si="305"/>
        <v>Completed</v>
      </c>
      <c r="X94" s="173" t="str">
        <f t="shared" ca="1" si="306"/>
        <v>Completed</v>
      </c>
      <c r="Y94" s="173" t="str">
        <f t="shared" ca="1" si="307"/>
        <v/>
      </c>
      <c r="Z94" s="174" t="str">
        <f t="shared" ca="1" si="308"/>
        <v/>
      </c>
    </row>
    <row r="95" spans="1:26" s="70" customFormat="1" ht="11.5" x14ac:dyDescent="0.25">
      <c r="A95" s="102" t="s">
        <v>64</v>
      </c>
      <c r="B95" s="102" t="s">
        <v>34</v>
      </c>
      <c r="C95" s="102" t="s">
        <v>146</v>
      </c>
      <c r="D95" s="102" t="s">
        <v>147</v>
      </c>
      <c r="E95" s="105">
        <f t="shared" si="15"/>
        <v>0.7</v>
      </c>
      <c r="F95" s="105">
        <f t="shared" si="16"/>
        <v>0.7</v>
      </c>
      <c r="G95" s="105">
        <f>(COUNTIFS(L95,"&lt;="&amp;$C$1)*50%)+(COUNTIFS(O95,"&lt;="&amp;$C$1)*20%)+(COUNTIFS(R95,"&lt;="&amp;$C$1)*10%)+(COUNTIFS(U95,"&lt;="&amp;$C$1)*20%)</f>
        <v>0.7</v>
      </c>
      <c r="H95" s="105">
        <f t="shared" si="18"/>
        <v>0</v>
      </c>
      <c r="I95" s="106">
        <v>0.5</v>
      </c>
      <c r="J95" s="107">
        <f>J46+28</f>
        <v>46213</v>
      </c>
      <c r="K95" s="108">
        <f t="shared" si="4"/>
        <v>46213</v>
      </c>
      <c r="L95" s="107">
        <v>46220</v>
      </c>
      <c r="M95" s="107">
        <f t="shared" si="5"/>
        <v>46255</v>
      </c>
      <c r="N95" s="108">
        <f t="shared" si="6"/>
        <v>46255</v>
      </c>
      <c r="O95" s="108">
        <v>46248</v>
      </c>
      <c r="P95" s="107">
        <f t="shared" si="7"/>
        <v>46297</v>
      </c>
      <c r="Q95" s="108">
        <f t="shared" si="8"/>
        <v>46297</v>
      </c>
      <c r="R95" s="107"/>
      <c r="S95" s="107">
        <f t="shared" si="14"/>
        <v>46311</v>
      </c>
      <c r="T95" s="108">
        <f t="shared" si="9"/>
        <v>46311</v>
      </c>
      <c r="U95" s="107"/>
      <c r="W95" s="173" t="str">
        <f t="shared" ca="1" si="305"/>
        <v>Completed</v>
      </c>
      <c r="X95" s="173" t="str">
        <f t="shared" ca="1" si="306"/>
        <v>Completed</v>
      </c>
      <c r="Y95" s="173" t="str">
        <f t="shared" ca="1" si="307"/>
        <v/>
      </c>
      <c r="Z95" s="174" t="str">
        <f t="shared" ca="1" si="308"/>
        <v/>
      </c>
    </row>
    <row r="96" spans="1:26" s="70" customFormat="1" ht="11.5" x14ac:dyDescent="0.25">
      <c r="A96" s="102" t="s">
        <v>64</v>
      </c>
      <c r="B96" s="102" t="s">
        <v>34</v>
      </c>
      <c r="C96" s="102" t="s">
        <v>833</v>
      </c>
      <c r="D96" s="102" t="s">
        <v>834</v>
      </c>
      <c r="E96" s="105">
        <f t="shared" ref="E96:E97" si="317">(COUNTIFS(J96,"&lt;="&amp;$C$1)*50%)+(COUNTIFS(M96,"&lt;="&amp;$C$1)*20%)+(COUNTIFS(P96,"&lt;="&amp;$C$1)*10%)+(COUNTIFS(S96,"&lt;="&amp;$C$1)*20%)</f>
        <v>1</v>
      </c>
      <c r="F96" s="105">
        <f t="shared" ref="F96:F97" si="318">(COUNTIFS(K96,"&lt;="&amp;$C$1)*50%)+(COUNTIFS(N96,"&lt;="&amp;$C$1)*20%)+(COUNTIFS(Q96,"&lt;="&amp;$C$1)*10%)+(COUNTIFS(T96,"&lt;="&amp;$C$1)*20%)</f>
        <v>1</v>
      </c>
      <c r="G96" s="105">
        <f t="shared" ref="G96:G97" si="319">(COUNTIFS(L96,"&lt;="&amp;$C$1)*50%)+(COUNTIFS(O96,"&lt;="&amp;$C$1)*20%)+(COUNTIFS(R96,"&lt;="&amp;$C$1)*10%)+(COUNTIFS(U96,"&lt;="&amp;$C$1)*20%)</f>
        <v>0.7</v>
      </c>
      <c r="H96" s="105">
        <f t="shared" ref="H96:H97" si="320">G96-E96</f>
        <v>-0.30000000000000004</v>
      </c>
      <c r="I96" s="106">
        <v>0.4</v>
      </c>
      <c r="J96" s="107">
        <v>46122</v>
      </c>
      <c r="K96" s="108">
        <f t="shared" ref="K96:K98" si="321">J96</f>
        <v>46122</v>
      </c>
      <c r="L96" s="107">
        <v>46115</v>
      </c>
      <c r="M96" s="107">
        <f t="shared" ref="M96:M98" si="322">J96+42</f>
        <v>46164</v>
      </c>
      <c r="N96" s="108">
        <f t="shared" ref="N96:N98" si="323">M96</f>
        <v>46164</v>
      </c>
      <c r="O96" s="149">
        <v>46191</v>
      </c>
      <c r="P96" s="107">
        <f t="shared" ref="P96:P98" si="324">M96+42</f>
        <v>46206</v>
      </c>
      <c r="Q96" s="108">
        <f t="shared" ref="Q96:Q98" si="325">P96</f>
        <v>46206</v>
      </c>
      <c r="R96" s="107"/>
      <c r="S96" s="107">
        <f t="shared" ref="S96:S98" si="326">P96+14</f>
        <v>46220</v>
      </c>
      <c r="T96" s="108">
        <f t="shared" ref="T96:T98" si="327">S96</f>
        <v>46220</v>
      </c>
      <c r="U96" s="107"/>
      <c r="W96" s="173" t="str">
        <f t="shared" ca="1" si="305"/>
        <v>Completed</v>
      </c>
      <c r="X96" s="173" t="str">
        <f t="shared" ca="1" si="306"/>
        <v>Completed</v>
      </c>
      <c r="Y96" s="173" t="str">
        <f t="shared" ca="1" si="307"/>
        <v>Overdue</v>
      </c>
      <c r="Z96" s="174" t="str">
        <f t="shared" ca="1" si="308"/>
        <v>Overdue</v>
      </c>
    </row>
    <row r="97" spans="1:26" s="70" customFormat="1" ht="11.5" x14ac:dyDescent="0.25">
      <c r="A97" s="102" t="s">
        <v>64</v>
      </c>
      <c r="B97" s="102" t="s">
        <v>34</v>
      </c>
      <c r="C97" s="102" t="s">
        <v>835</v>
      </c>
      <c r="D97" s="102" t="s">
        <v>836</v>
      </c>
      <c r="E97" s="105">
        <f t="shared" si="317"/>
        <v>1</v>
      </c>
      <c r="F97" s="105">
        <f t="shared" si="318"/>
        <v>1</v>
      </c>
      <c r="G97" s="105">
        <f t="shared" si="319"/>
        <v>0.7</v>
      </c>
      <c r="H97" s="105">
        <f t="shared" si="320"/>
        <v>-0.30000000000000004</v>
      </c>
      <c r="I97" s="106">
        <v>0.4</v>
      </c>
      <c r="J97" s="107">
        <v>46129</v>
      </c>
      <c r="K97" s="108">
        <f t="shared" si="321"/>
        <v>46129</v>
      </c>
      <c r="L97" s="107">
        <v>46142</v>
      </c>
      <c r="M97" s="107">
        <f t="shared" si="322"/>
        <v>46171</v>
      </c>
      <c r="N97" s="108">
        <f t="shared" si="323"/>
        <v>46171</v>
      </c>
      <c r="O97" s="149">
        <v>46191</v>
      </c>
      <c r="P97" s="107">
        <f t="shared" si="324"/>
        <v>46213</v>
      </c>
      <c r="Q97" s="108">
        <f t="shared" si="325"/>
        <v>46213</v>
      </c>
      <c r="R97" s="107"/>
      <c r="S97" s="107">
        <f t="shared" si="326"/>
        <v>46227</v>
      </c>
      <c r="T97" s="108">
        <f t="shared" si="327"/>
        <v>46227</v>
      </c>
      <c r="U97" s="107"/>
      <c r="W97" s="173" t="str">
        <f t="shared" ca="1" si="305"/>
        <v>Completed</v>
      </c>
      <c r="X97" s="173" t="str">
        <f t="shared" ca="1" si="306"/>
        <v>Completed</v>
      </c>
      <c r="Y97" s="173" t="str">
        <f t="shared" ca="1" si="307"/>
        <v>Overdue</v>
      </c>
      <c r="Z97" s="174" t="str">
        <f t="shared" ca="1" si="308"/>
        <v>Overdue</v>
      </c>
    </row>
    <row r="98" spans="1:26" s="70" customFormat="1" ht="11.5" x14ac:dyDescent="0.25">
      <c r="A98" s="180" t="s">
        <v>64</v>
      </c>
      <c r="B98" s="180" t="s">
        <v>34</v>
      </c>
      <c r="C98" s="180" t="s">
        <v>837</v>
      </c>
      <c r="D98" s="180" t="s">
        <v>838</v>
      </c>
      <c r="E98" s="181"/>
      <c r="F98" s="181"/>
      <c r="G98" s="181"/>
      <c r="H98" s="181"/>
      <c r="I98" s="182">
        <v>0.2</v>
      </c>
      <c r="J98" s="183">
        <v>46142</v>
      </c>
      <c r="K98" s="184">
        <f t="shared" si="321"/>
        <v>46142</v>
      </c>
      <c r="L98" s="193">
        <v>46248</v>
      </c>
      <c r="M98" s="183">
        <f t="shared" si="322"/>
        <v>46184</v>
      </c>
      <c r="N98" s="184">
        <f t="shared" si="323"/>
        <v>46184</v>
      </c>
      <c r="O98" s="193">
        <v>46248</v>
      </c>
      <c r="P98" s="183">
        <f t="shared" si="324"/>
        <v>46226</v>
      </c>
      <c r="Q98" s="184">
        <f t="shared" si="325"/>
        <v>46226</v>
      </c>
      <c r="R98" s="193">
        <v>46248</v>
      </c>
      <c r="S98" s="183">
        <f t="shared" si="326"/>
        <v>46240</v>
      </c>
      <c r="T98" s="184">
        <f t="shared" si="327"/>
        <v>46240</v>
      </c>
      <c r="U98" s="193">
        <v>46248</v>
      </c>
      <c r="W98" s="173" t="str">
        <f t="shared" ca="1" si="305"/>
        <v>Completed</v>
      </c>
      <c r="X98" s="173" t="str">
        <f t="shared" ca="1" si="306"/>
        <v>Completed</v>
      </c>
      <c r="Y98" s="173" t="str">
        <f t="shared" ca="1" si="307"/>
        <v>Completed</v>
      </c>
      <c r="Z98" s="174" t="str">
        <f t="shared" ca="1" si="308"/>
        <v>Completed</v>
      </c>
    </row>
    <row r="99" spans="1:26" s="70" customFormat="1" ht="11.5" x14ac:dyDescent="0.25">
      <c r="A99" s="102" t="s">
        <v>64</v>
      </c>
      <c r="B99" s="102" t="s">
        <v>34</v>
      </c>
      <c r="C99" s="102" t="s">
        <v>837</v>
      </c>
      <c r="D99" s="102" t="s">
        <v>1141</v>
      </c>
      <c r="E99" s="105">
        <f t="shared" ref="E99" si="328">(COUNTIFS(J99,"&lt;="&amp;$C$1)*50%)+(COUNTIFS(M99,"&lt;="&amp;$C$1)*20%)+(COUNTIFS(P99,"&lt;="&amp;$C$1)*10%)+(COUNTIFS(S99,"&lt;="&amp;$C$1)*20%)</f>
        <v>1</v>
      </c>
      <c r="F99" s="105">
        <f t="shared" ref="F99" si="329">(COUNTIFS(K99,"&lt;="&amp;$C$1)*50%)+(COUNTIFS(N99,"&lt;="&amp;$C$1)*20%)+(COUNTIFS(Q99,"&lt;="&amp;$C$1)*10%)+(COUNTIFS(T99,"&lt;="&amp;$C$1)*20%)</f>
        <v>1</v>
      </c>
      <c r="G99" s="105">
        <f t="shared" ref="G99" si="330">(COUNTIFS(L99,"&lt;="&amp;$C$1)*50%)+(COUNTIFS(O99,"&lt;="&amp;$C$1)*20%)+(COUNTIFS(R99,"&lt;="&amp;$C$1)*10%)+(COUNTIFS(U99,"&lt;="&amp;$C$1)*20%)</f>
        <v>0</v>
      </c>
      <c r="H99" s="105">
        <f t="shared" ref="H99" si="331">G99-E99</f>
        <v>-1</v>
      </c>
      <c r="I99" s="106"/>
      <c r="J99" s="107">
        <v>46142</v>
      </c>
      <c r="K99" s="108">
        <f t="shared" ref="K99" si="332">J99</f>
        <v>46142</v>
      </c>
      <c r="L99" s="192"/>
      <c r="M99" s="107">
        <f t="shared" ref="M99" si="333">J99+42</f>
        <v>46184</v>
      </c>
      <c r="N99" s="108">
        <f t="shared" ref="N99" si="334">M99</f>
        <v>46184</v>
      </c>
      <c r="O99" s="192"/>
      <c r="P99" s="107">
        <f t="shared" ref="P99" si="335">M99+42</f>
        <v>46226</v>
      </c>
      <c r="Q99" s="108">
        <f t="shared" ref="Q99" si="336">P99</f>
        <v>46226</v>
      </c>
      <c r="R99" s="192"/>
      <c r="S99" s="107">
        <f t="shared" ref="S99" si="337">P99+14</f>
        <v>46240</v>
      </c>
      <c r="T99" s="108">
        <f t="shared" ref="T99" si="338">S99</f>
        <v>46240</v>
      </c>
      <c r="U99" s="192"/>
      <c r="W99" s="173" t="str">
        <f t="shared" ref="W99" ca="1" si="339">IF(OR(L99&lt;&gt;""),"Completed",
IF(K99="","",IF(K99&lt;TODAY(),"Overdue",
IF(AND(K99&gt;=TODAY()-WEEKDAY(TODAY(),2)+1,K99&lt;=TODAY()-WEEKDAY(TODAY(),2)+7),"Follow-This Week",
IF(AND(K99&gt;=TODAY()-WEEKDAY(TODAY(),2)+8,K99&lt;=TODAY()-WEEKDAY(TODAY(),2)+14),"Follow-Next Week","")))))</f>
        <v>Overdue</v>
      </c>
      <c r="X99" s="173" t="str">
        <f t="shared" ref="X99" ca="1" si="340">IF(OR(O99&lt;&gt;""),"Completed",IF(N99="","",
IF(N99&lt;TODAY(),"Overdue",
IF(AND(N99&gt;=TODAY()-WEEKDAY(TODAY(),2)+1,N99&lt;=TODAY()-WEEKDAY(TODAY(),2)+7),"Follow-This Week",
IF(AND(N99&gt;=TODAY()-WEEKDAY(TODAY(),2)+8,N99&lt;=TODAY()-WEEKDAY(TODAY(),2)+14),"Follow-Next Week","")))))</f>
        <v>Overdue</v>
      </c>
      <c r="Y99" s="173" t="str">
        <f t="shared" ref="Y99" ca="1" si="341">IF(OR(R99&lt;&gt;""),"Completed",IF(Q99="","",
IF(Q99&lt;TODAY(),"Overdue",
IF(AND(Q99&gt;=TODAY()-WEEKDAY(TODAY(),2)+1,Q99&lt;=TODAY()-WEEKDAY(TODAY(),2)+7),"Follow-This Week",
IF(AND(Q99&gt;=TODAY()-WEEKDAY(TODAY(),2)+8,Q99&lt;=TODAY()-WEEKDAY(TODAY(),2)+14),"Follow-Next Week","")))))</f>
        <v>Overdue</v>
      </c>
      <c r="Z99" s="174" t="str">
        <f t="shared" ref="Z99" ca="1" si="342">IF(OR(U99&lt;&gt;""),"Completed",IF(T99="","",
IF(T99&lt;TODAY(),"Overdue",
IF(AND(T99&gt;=TODAY()-WEEKDAY(TODAY(),2)+1,T99&lt;=TODAY()-WEEKDAY(TODAY(),2)+7),"Follow-This Week",
IF(AND(T99&gt;=TODAY()-WEEKDAY(TODAY(),2)+8,T99&lt;=TODAY()-WEEKDAY(TODAY(),2)+14),"Follow-Next Week","")))))</f>
        <v>Overdue</v>
      </c>
    </row>
    <row r="100" spans="1:26" s="70" customFormat="1" ht="11.5" x14ac:dyDescent="0.25">
      <c r="A100" s="102" t="s">
        <v>64</v>
      </c>
      <c r="B100" s="102" t="s">
        <v>34</v>
      </c>
      <c r="C100" s="135" t="s">
        <v>897</v>
      </c>
      <c r="D100" s="102" t="s">
        <v>899</v>
      </c>
      <c r="E100" s="105">
        <v>0</v>
      </c>
      <c r="F100" s="105">
        <v>0</v>
      </c>
      <c r="G100" s="105">
        <v>0.5</v>
      </c>
      <c r="H100" s="105">
        <v>0.5</v>
      </c>
      <c r="I100" s="106">
        <v>0.2</v>
      </c>
      <c r="J100" s="107">
        <v>46157</v>
      </c>
      <c r="K100" s="108">
        <v>46157</v>
      </c>
      <c r="L100" s="107">
        <v>46150</v>
      </c>
      <c r="M100" s="107">
        <v>46199</v>
      </c>
      <c r="N100" s="108">
        <v>46199</v>
      </c>
      <c r="O100" s="107">
        <v>46191</v>
      </c>
      <c r="P100" s="107">
        <v>46241</v>
      </c>
      <c r="Q100" s="108">
        <v>46241</v>
      </c>
      <c r="R100" s="107">
        <v>46227</v>
      </c>
      <c r="S100" s="107">
        <v>46255</v>
      </c>
      <c r="T100" s="108">
        <v>46255</v>
      </c>
      <c r="U100" s="138">
        <v>46239</v>
      </c>
      <c r="W100" s="173" t="str">
        <f t="shared" ca="1" si="305"/>
        <v>Completed</v>
      </c>
      <c r="X100" s="173" t="str">
        <f t="shared" ca="1" si="306"/>
        <v>Completed</v>
      </c>
      <c r="Y100" s="173" t="str">
        <f t="shared" ca="1" si="307"/>
        <v>Completed</v>
      </c>
      <c r="Z100" s="174" t="str">
        <f t="shared" ca="1" si="308"/>
        <v>Completed</v>
      </c>
    </row>
    <row r="101" spans="1:26" s="70" customFormat="1" ht="11.5" x14ac:dyDescent="0.25">
      <c r="A101" s="102" t="s">
        <v>64</v>
      </c>
      <c r="B101" s="135" t="s">
        <v>34</v>
      </c>
      <c r="C101" s="135" t="s">
        <v>898</v>
      </c>
      <c r="D101" s="102" t="s">
        <v>900</v>
      </c>
      <c r="E101" s="105">
        <v>0</v>
      </c>
      <c r="F101" s="105">
        <v>0</v>
      </c>
      <c r="G101" s="105">
        <v>0.5</v>
      </c>
      <c r="H101" s="105">
        <v>0.5</v>
      </c>
      <c r="I101" s="106">
        <v>0.2</v>
      </c>
      <c r="J101" s="107">
        <v>46157</v>
      </c>
      <c r="K101" s="108">
        <v>46157</v>
      </c>
      <c r="L101" s="107">
        <v>46150</v>
      </c>
      <c r="M101" s="107">
        <v>46199</v>
      </c>
      <c r="N101" s="108">
        <v>46199</v>
      </c>
      <c r="O101" s="107">
        <v>46191</v>
      </c>
      <c r="P101" s="107">
        <v>46241</v>
      </c>
      <c r="Q101" s="108">
        <v>46241</v>
      </c>
      <c r="R101" s="107">
        <v>46227</v>
      </c>
      <c r="S101" s="107">
        <v>46255</v>
      </c>
      <c r="T101" s="108">
        <v>46255</v>
      </c>
      <c r="U101" s="138">
        <v>46239</v>
      </c>
      <c r="W101" s="173" t="str">
        <f t="shared" ca="1" si="305"/>
        <v>Completed</v>
      </c>
      <c r="X101" s="173" t="str">
        <f t="shared" ca="1" si="306"/>
        <v>Completed</v>
      </c>
      <c r="Y101" s="173" t="str">
        <f t="shared" ca="1" si="307"/>
        <v>Completed</v>
      </c>
      <c r="Z101" s="174" t="str">
        <f t="shared" ca="1" si="308"/>
        <v>Completed</v>
      </c>
    </row>
    <row r="102" spans="1:26" s="70" customFormat="1" ht="11.5" x14ac:dyDescent="0.25">
      <c r="A102" s="102" t="s">
        <v>64</v>
      </c>
      <c r="B102" s="102" t="s">
        <v>34</v>
      </c>
      <c r="C102" s="135" t="s">
        <v>891</v>
      </c>
      <c r="D102" s="136" t="s">
        <v>893</v>
      </c>
      <c r="E102" s="137">
        <v>0.5</v>
      </c>
      <c r="F102" s="137">
        <v>0.5</v>
      </c>
      <c r="G102" s="137">
        <v>0.5</v>
      </c>
      <c r="H102" s="137">
        <v>0</v>
      </c>
      <c r="I102" s="106">
        <v>0.2</v>
      </c>
      <c r="J102" s="138">
        <v>46143</v>
      </c>
      <c r="K102" s="138">
        <v>46143</v>
      </c>
      <c r="L102" s="107">
        <v>46142</v>
      </c>
      <c r="M102" s="107">
        <v>46185</v>
      </c>
      <c r="N102" s="107">
        <v>46185</v>
      </c>
      <c r="O102" s="107">
        <v>46191</v>
      </c>
      <c r="P102" s="107">
        <v>46227</v>
      </c>
      <c r="Q102" s="107">
        <v>46227</v>
      </c>
      <c r="R102" s="108">
        <v>46202</v>
      </c>
      <c r="S102" s="107">
        <v>46241</v>
      </c>
      <c r="T102" s="107">
        <v>46241</v>
      </c>
      <c r="U102" s="138">
        <v>46209</v>
      </c>
      <c r="W102" s="173" t="str">
        <f t="shared" ca="1" si="305"/>
        <v>Completed</v>
      </c>
      <c r="X102" s="173" t="str">
        <f t="shared" ca="1" si="306"/>
        <v>Completed</v>
      </c>
      <c r="Y102" s="173" t="str">
        <f t="shared" ca="1" si="307"/>
        <v>Completed</v>
      </c>
      <c r="Z102" s="174" t="str">
        <f t="shared" ca="1" si="308"/>
        <v>Completed</v>
      </c>
    </row>
    <row r="103" spans="1:26" s="70" customFormat="1" ht="11.5" x14ac:dyDescent="0.25">
      <c r="A103" s="102" t="s">
        <v>64</v>
      </c>
      <c r="B103" s="135" t="s">
        <v>34</v>
      </c>
      <c r="C103" s="135" t="s">
        <v>892</v>
      </c>
      <c r="D103" s="136" t="s">
        <v>894</v>
      </c>
      <c r="E103" s="105">
        <v>0.5</v>
      </c>
      <c r="F103" s="105">
        <v>0.5</v>
      </c>
      <c r="G103" s="105">
        <v>0.5</v>
      </c>
      <c r="H103" s="105">
        <v>0</v>
      </c>
      <c r="I103" s="106">
        <v>0.2</v>
      </c>
      <c r="J103" s="138">
        <v>46143</v>
      </c>
      <c r="K103" s="138">
        <v>46143</v>
      </c>
      <c r="L103" s="107">
        <v>46142</v>
      </c>
      <c r="M103" s="107">
        <v>46185</v>
      </c>
      <c r="N103" s="107">
        <v>46185</v>
      </c>
      <c r="O103" s="107">
        <v>46191</v>
      </c>
      <c r="P103" s="107">
        <v>46227</v>
      </c>
      <c r="Q103" s="107">
        <v>46227</v>
      </c>
      <c r="R103" s="107">
        <v>46254</v>
      </c>
      <c r="S103" s="107">
        <v>46241</v>
      </c>
      <c r="T103" s="107">
        <v>46241</v>
      </c>
      <c r="U103" s="138"/>
      <c r="W103" s="173" t="str">
        <f t="shared" ca="1" si="305"/>
        <v>Completed</v>
      </c>
      <c r="X103" s="173" t="str">
        <f t="shared" ca="1" si="306"/>
        <v>Completed</v>
      </c>
      <c r="Y103" s="173" t="str">
        <f t="shared" ca="1" si="307"/>
        <v>Completed</v>
      </c>
      <c r="Z103" s="174" t="str">
        <f t="shared" ca="1" si="308"/>
        <v>Overdue</v>
      </c>
    </row>
    <row r="104" spans="1:26" s="70" customFormat="1" ht="11.5" x14ac:dyDescent="0.25">
      <c r="A104" s="102" t="s">
        <v>64</v>
      </c>
      <c r="B104" s="102" t="s">
        <v>34</v>
      </c>
      <c r="C104" s="135" t="s">
        <v>895</v>
      </c>
      <c r="D104" s="136" t="s">
        <v>896</v>
      </c>
      <c r="E104" s="105">
        <v>0</v>
      </c>
      <c r="F104" s="105">
        <v>0</v>
      </c>
      <c r="G104" s="105">
        <v>0.5</v>
      </c>
      <c r="H104" s="105">
        <v>0.5</v>
      </c>
      <c r="I104" s="106">
        <v>0.2</v>
      </c>
      <c r="J104" s="138">
        <v>46157</v>
      </c>
      <c r="K104" s="138">
        <v>46157</v>
      </c>
      <c r="L104" s="107">
        <v>46150</v>
      </c>
      <c r="M104" s="107">
        <v>46199</v>
      </c>
      <c r="N104" s="107">
        <v>46199</v>
      </c>
      <c r="O104" s="107">
        <v>46191</v>
      </c>
      <c r="P104" s="107">
        <v>46241</v>
      </c>
      <c r="Q104" s="107">
        <v>46241</v>
      </c>
      <c r="R104" s="108">
        <v>46204</v>
      </c>
      <c r="S104" s="107">
        <v>46255</v>
      </c>
      <c r="T104" s="107">
        <v>46255</v>
      </c>
      <c r="U104" s="138">
        <v>46223</v>
      </c>
      <c r="W104" s="173" t="str">
        <f t="shared" ca="1" si="305"/>
        <v>Completed</v>
      </c>
      <c r="X104" s="173" t="str">
        <f t="shared" ca="1" si="306"/>
        <v>Completed</v>
      </c>
      <c r="Y104" s="173" t="str">
        <f t="shared" ca="1" si="307"/>
        <v>Completed</v>
      </c>
      <c r="Z104" s="174" t="str">
        <f t="shared" ca="1" si="308"/>
        <v>Completed</v>
      </c>
    </row>
    <row r="105" spans="1:26" s="70" customFormat="1" ht="11.5" x14ac:dyDescent="0.25">
      <c r="A105" s="102" t="s">
        <v>64</v>
      </c>
      <c r="B105" s="102" t="s">
        <v>34</v>
      </c>
      <c r="C105" s="135" t="s">
        <v>909</v>
      </c>
      <c r="D105" s="136" t="s">
        <v>910</v>
      </c>
      <c r="E105" s="105">
        <v>0</v>
      </c>
      <c r="F105" s="105">
        <v>0</v>
      </c>
      <c r="G105" s="105">
        <v>0.5</v>
      </c>
      <c r="H105" s="105">
        <v>0.5</v>
      </c>
      <c r="I105" s="106">
        <v>0.5</v>
      </c>
      <c r="J105" s="138">
        <f>J58+28</f>
        <v>46213</v>
      </c>
      <c r="K105" s="138">
        <f>K58+28</f>
        <v>46213</v>
      </c>
      <c r="L105" s="107">
        <v>46171</v>
      </c>
      <c r="M105" s="107">
        <f>J105+42</f>
        <v>46255</v>
      </c>
      <c r="N105" s="107">
        <f>K105+42</f>
        <v>46255</v>
      </c>
      <c r="O105" s="107">
        <v>46255</v>
      </c>
      <c r="P105" s="107">
        <f>M105+42</f>
        <v>46297</v>
      </c>
      <c r="Q105" s="107">
        <f>N105+42</f>
        <v>46297</v>
      </c>
      <c r="R105" s="107"/>
      <c r="S105" s="107">
        <f>P105+14</f>
        <v>46311</v>
      </c>
      <c r="T105" s="107">
        <f>Q105+14</f>
        <v>46311</v>
      </c>
      <c r="U105" s="138"/>
      <c r="W105" s="173" t="str">
        <f t="shared" ca="1" si="305"/>
        <v>Completed</v>
      </c>
      <c r="X105" s="173" t="str">
        <f t="shared" ca="1" si="306"/>
        <v>Completed</v>
      </c>
      <c r="Y105" s="173" t="str">
        <f t="shared" ca="1" si="307"/>
        <v/>
      </c>
      <c r="Z105" s="174" t="str">
        <f t="shared" ca="1" si="308"/>
        <v/>
      </c>
    </row>
    <row r="106" spans="1:26" s="70" customFormat="1" ht="11.5" x14ac:dyDescent="0.25">
      <c r="A106" s="102" t="s">
        <v>64</v>
      </c>
      <c r="B106" s="102" t="s">
        <v>34</v>
      </c>
      <c r="C106" s="102" t="s">
        <v>953</v>
      </c>
      <c r="D106" s="102" t="s">
        <v>954</v>
      </c>
      <c r="E106" s="105">
        <v>0</v>
      </c>
      <c r="F106" s="105">
        <v>0</v>
      </c>
      <c r="G106" s="105">
        <v>0.5</v>
      </c>
      <c r="H106" s="105">
        <v>0.5</v>
      </c>
      <c r="I106" s="106"/>
      <c r="J106" s="138">
        <f>J59+28</f>
        <v>46330</v>
      </c>
      <c r="K106" s="107">
        <f>K59+28</f>
        <v>46330</v>
      </c>
      <c r="L106" s="107"/>
      <c r="M106" s="107">
        <f>J106+42</f>
        <v>46372</v>
      </c>
      <c r="N106" s="107">
        <f>N59+28</f>
        <v>46372</v>
      </c>
      <c r="O106" s="107"/>
      <c r="P106" s="107">
        <f>M106+42</f>
        <v>46414</v>
      </c>
      <c r="Q106" s="107">
        <f>Q59+28</f>
        <v>46414</v>
      </c>
      <c r="R106" s="107"/>
      <c r="S106" s="107">
        <f>P106+14</f>
        <v>46428</v>
      </c>
      <c r="T106" s="107">
        <f t="shared" ref="T106" si="343">Q106+14</f>
        <v>46428</v>
      </c>
      <c r="U106" s="138"/>
      <c r="W106" s="173" t="str">
        <f t="shared" ca="1" si="305"/>
        <v/>
      </c>
      <c r="X106" s="173" t="str">
        <f t="shared" ca="1" si="306"/>
        <v/>
      </c>
      <c r="Y106" s="173" t="str">
        <f t="shared" ca="1" si="307"/>
        <v/>
      </c>
      <c r="Z106" s="174" t="str">
        <f t="shared" ca="1" si="308"/>
        <v/>
      </c>
    </row>
    <row r="107" spans="1:26" s="70" customFormat="1" ht="11.5" x14ac:dyDescent="0.25">
      <c r="A107" s="71" t="s">
        <v>64</v>
      </c>
      <c r="B107" s="71" t="s">
        <v>34</v>
      </c>
      <c r="C107" s="71" t="s">
        <v>980</v>
      </c>
      <c r="D107" s="71" t="s">
        <v>823</v>
      </c>
      <c r="E107" s="81">
        <f t="shared" ref="E107:E109" si="344">(COUNTIFS(J107,"&lt;="&amp;$C$1)*50%)+(COUNTIFS(M107,"&lt;="&amp;$C$1)*20%)+(COUNTIFS(P107,"&lt;="&amp;$C$1)*10%)+(COUNTIFS(S107,"&lt;="&amp;$C$1)*20%)</f>
        <v>0</v>
      </c>
      <c r="F107" s="81">
        <f t="shared" ref="F107:F109" si="345">(COUNTIFS(K107,"&lt;="&amp;$C$1)*50%)+(COUNTIFS(N107,"&lt;="&amp;$C$1)*20%)+(COUNTIFS(Q107,"&lt;="&amp;$C$1)*10%)+(COUNTIFS(T107,"&lt;="&amp;$C$1)*20%)</f>
        <v>0</v>
      </c>
      <c r="G107" s="81">
        <f t="shared" ref="G107:G109" si="346">(COUNTIFS(L107,"&lt;="&amp;$C$1)*50%)+(COUNTIFS(O107,"&lt;="&amp;$C$1)*20%)+(COUNTIFS(R107,"&lt;="&amp;$C$1)*10%)+(COUNTIFS(U107,"&lt;="&amp;$C$1)*20%)</f>
        <v>0</v>
      </c>
      <c r="H107" s="81">
        <f t="shared" ref="H107:H109" si="347">G107-E107</f>
        <v>0</v>
      </c>
      <c r="I107" s="82">
        <v>0.2</v>
      </c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W107" s="173" t="str">
        <f t="shared" ca="1" si="305"/>
        <v/>
      </c>
      <c r="X107" s="173" t="str">
        <f t="shared" ca="1" si="306"/>
        <v/>
      </c>
      <c r="Y107" s="173" t="str">
        <f t="shared" ca="1" si="307"/>
        <v/>
      </c>
      <c r="Z107" s="174" t="str">
        <f t="shared" ca="1" si="308"/>
        <v/>
      </c>
    </row>
    <row r="108" spans="1:26" s="70" customFormat="1" ht="11.5" x14ac:dyDescent="0.25">
      <c r="A108" s="71" t="s">
        <v>64</v>
      </c>
      <c r="B108" s="71" t="s">
        <v>34</v>
      </c>
      <c r="C108" s="71" t="s">
        <v>981</v>
      </c>
      <c r="D108" s="71" t="s">
        <v>824</v>
      </c>
      <c r="E108" s="81">
        <f t="shared" si="344"/>
        <v>0</v>
      </c>
      <c r="F108" s="81">
        <f t="shared" si="345"/>
        <v>0</v>
      </c>
      <c r="G108" s="81">
        <f t="shared" si="346"/>
        <v>0</v>
      </c>
      <c r="H108" s="81">
        <f t="shared" si="347"/>
        <v>0</v>
      </c>
      <c r="I108" s="82">
        <v>0.4</v>
      </c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W108" s="173" t="str">
        <f t="shared" ca="1" si="305"/>
        <v/>
      </c>
      <c r="X108" s="173" t="str">
        <f t="shared" ca="1" si="306"/>
        <v/>
      </c>
      <c r="Y108" s="173" t="str">
        <f t="shared" ca="1" si="307"/>
        <v/>
      </c>
      <c r="Z108" s="174" t="str">
        <f t="shared" ca="1" si="308"/>
        <v/>
      </c>
    </row>
    <row r="109" spans="1:26" s="70" customFormat="1" ht="11.5" x14ac:dyDescent="0.25">
      <c r="A109" s="71" t="s">
        <v>64</v>
      </c>
      <c r="B109" s="71" t="s">
        <v>34</v>
      </c>
      <c r="C109" s="71" t="s">
        <v>982</v>
      </c>
      <c r="D109" s="71" t="s">
        <v>825</v>
      </c>
      <c r="E109" s="81">
        <f t="shared" si="344"/>
        <v>0</v>
      </c>
      <c r="F109" s="81">
        <f t="shared" si="345"/>
        <v>0</v>
      </c>
      <c r="G109" s="81">
        <f t="shared" si="346"/>
        <v>0</v>
      </c>
      <c r="H109" s="81">
        <f t="shared" si="347"/>
        <v>0</v>
      </c>
      <c r="I109" s="82">
        <v>0.4</v>
      </c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W109" s="173" t="str">
        <f t="shared" ca="1" si="305"/>
        <v/>
      </c>
      <c r="X109" s="173" t="str">
        <f t="shared" ca="1" si="306"/>
        <v/>
      </c>
      <c r="Y109" s="173" t="str">
        <f t="shared" ca="1" si="307"/>
        <v/>
      </c>
      <c r="Z109" s="174" t="str">
        <f t="shared" ca="1" si="308"/>
        <v/>
      </c>
    </row>
    <row r="110" spans="1:26" s="70" customFormat="1" ht="11.5" x14ac:dyDescent="0.25">
      <c r="A110" s="73"/>
      <c r="B110" s="73"/>
      <c r="C110" s="77"/>
      <c r="D110" s="78"/>
      <c r="E110" s="79"/>
      <c r="F110" s="79"/>
      <c r="G110" s="79"/>
      <c r="H110" s="79"/>
      <c r="I110" s="75"/>
      <c r="J110" s="76"/>
      <c r="K110" s="76"/>
      <c r="L110" s="76"/>
      <c r="M110" s="80"/>
      <c r="N110" s="76"/>
      <c r="O110" s="76"/>
      <c r="P110" s="80"/>
      <c r="Q110" s="76"/>
      <c r="R110" s="76"/>
      <c r="S110" s="80"/>
      <c r="T110" s="76"/>
      <c r="U110" s="76"/>
      <c r="W110" s="173" t="str">
        <f t="shared" ca="1" si="305"/>
        <v/>
      </c>
      <c r="X110" s="173" t="str">
        <f t="shared" ca="1" si="306"/>
        <v/>
      </c>
      <c r="Y110" s="173" t="str">
        <f t="shared" ca="1" si="307"/>
        <v/>
      </c>
      <c r="Z110" s="174" t="str">
        <f t="shared" ca="1" si="308"/>
        <v/>
      </c>
    </row>
    <row r="111" spans="1:26" s="70" customFormat="1" ht="11.5" x14ac:dyDescent="0.25">
      <c r="A111" s="71" t="s">
        <v>67</v>
      </c>
      <c r="B111" s="87" t="s">
        <v>34</v>
      </c>
      <c r="C111" s="87" t="s">
        <v>975</v>
      </c>
      <c r="D111" s="87" t="s">
        <v>56</v>
      </c>
      <c r="E111" s="86">
        <f t="shared" ref="E111:E182" si="348">(COUNTIFS(J111,"&lt;="&amp;$C$1)*50%)+(COUNTIFS(M111,"&lt;="&amp;$C$1)*20%)+(COUNTIFS(P111,"&lt;="&amp;$C$1)*10%)+(COUNTIFS(S111,"&lt;="&amp;$C$1)*20%)</f>
        <v>1</v>
      </c>
      <c r="F111" s="86">
        <f t="shared" ref="F111:G182" si="349">(COUNTIFS(K111,"&lt;="&amp;$C$1)*50%)+(COUNTIFS(N111,"&lt;="&amp;$C$1)*20%)+(COUNTIFS(Q111,"&lt;="&amp;$C$1)*10%)+(COUNTIFS(T111,"&lt;="&amp;$C$1)*20%)</f>
        <v>1</v>
      </c>
      <c r="G111" s="86">
        <f t="shared" si="349"/>
        <v>1</v>
      </c>
      <c r="H111" s="86">
        <f t="shared" ref="H111:H182" si="350">G111-E111</f>
        <v>0</v>
      </c>
      <c r="I111" s="82">
        <v>0.2</v>
      </c>
      <c r="J111" s="85">
        <v>46115</v>
      </c>
      <c r="K111" s="85">
        <f t="shared" ref="K111:K183" si="351">J111</f>
        <v>46115</v>
      </c>
      <c r="L111" s="85">
        <v>46115</v>
      </c>
      <c r="M111" s="85">
        <f t="shared" ref="M111:M183" si="352">J111+42</f>
        <v>46157</v>
      </c>
      <c r="N111" s="85">
        <f t="shared" ref="N111:N183" si="353">M111</f>
        <v>46157</v>
      </c>
      <c r="O111" s="85">
        <v>46191</v>
      </c>
      <c r="P111" s="85">
        <f t="shared" ref="P111:P183" si="354">M111+42</f>
        <v>46199</v>
      </c>
      <c r="Q111" s="85">
        <f t="shared" ref="Q111:Q183" si="355">P111</f>
        <v>46199</v>
      </c>
      <c r="R111" s="85">
        <v>46219</v>
      </c>
      <c r="S111" s="85">
        <f t="shared" ref="S111:S183" si="356">P111+14</f>
        <v>46213</v>
      </c>
      <c r="T111" s="85">
        <f t="shared" ref="T111:T183" si="357">S111</f>
        <v>46213</v>
      </c>
      <c r="U111" s="165">
        <v>46262</v>
      </c>
      <c r="W111" s="173" t="str">
        <f t="shared" ca="1" si="305"/>
        <v>Completed</v>
      </c>
      <c r="X111" s="173" t="str">
        <f t="shared" ca="1" si="306"/>
        <v>Completed</v>
      </c>
      <c r="Y111" s="173" t="str">
        <f t="shared" ca="1" si="307"/>
        <v>Completed</v>
      </c>
      <c r="Z111" s="174" t="str">
        <f t="shared" ca="1" si="308"/>
        <v>Completed</v>
      </c>
    </row>
    <row r="112" spans="1:26" s="70" customFormat="1" ht="11.5" x14ac:dyDescent="0.25">
      <c r="A112" s="71" t="s">
        <v>67</v>
      </c>
      <c r="B112" s="87" t="s">
        <v>34</v>
      </c>
      <c r="C112" s="87" t="s">
        <v>976</v>
      </c>
      <c r="D112" s="87" t="s">
        <v>57</v>
      </c>
      <c r="E112" s="86">
        <f t="shared" si="348"/>
        <v>1</v>
      </c>
      <c r="F112" s="86">
        <f t="shared" si="349"/>
        <v>1</v>
      </c>
      <c r="G112" s="86">
        <f t="shared" si="349"/>
        <v>1</v>
      </c>
      <c r="H112" s="86">
        <f t="shared" si="350"/>
        <v>0</v>
      </c>
      <c r="I112" s="82">
        <v>0.2</v>
      </c>
      <c r="J112" s="85">
        <v>46115</v>
      </c>
      <c r="K112" s="85">
        <f t="shared" si="351"/>
        <v>46115</v>
      </c>
      <c r="L112" s="85">
        <v>46115</v>
      </c>
      <c r="M112" s="85">
        <f t="shared" si="352"/>
        <v>46157</v>
      </c>
      <c r="N112" s="85">
        <f t="shared" si="353"/>
        <v>46157</v>
      </c>
      <c r="O112" s="146">
        <v>46171</v>
      </c>
      <c r="P112" s="85">
        <f t="shared" si="354"/>
        <v>46199</v>
      </c>
      <c r="Q112" s="85">
        <f t="shared" si="355"/>
        <v>46199</v>
      </c>
      <c r="R112" s="85">
        <v>46199</v>
      </c>
      <c r="S112" s="85">
        <f t="shared" si="356"/>
        <v>46213</v>
      </c>
      <c r="T112" s="85">
        <f t="shared" si="357"/>
        <v>46213</v>
      </c>
      <c r="U112" s="85">
        <v>46204</v>
      </c>
      <c r="W112" s="173" t="str">
        <f t="shared" ca="1" si="305"/>
        <v>Completed</v>
      </c>
      <c r="X112" s="173" t="str">
        <f t="shared" ca="1" si="306"/>
        <v>Completed</v>
      </c>
      <c r="Y112" s="173" t="str">
        <f t="shared" ca="1" si="307"/>
        <v>Completed</v>
      </c>
      <c r="Z112" s="174" t="str">
        <f t="shared" ca="1" si="308"/>
        <v>Completed</v>
      </c>
    </row>
    <row r="113" spans="1:26" s="70" customFormat="1" ht="11.5" x14ac:dyDescent="0.25">
      <c r="A113" s="71" t="s">
        <v>67</v>
      </c>
      <c r="B113" s="87" t="s">
        <v>34</v>
      </c>
      <c r="C113" s="87" t="s">
        <v>977</v>
      </c>
      <c r="D113" s="87" t="s">
        <v>58</v>
      </c>
      <c r="E113" s="86">
        <f t="shared" si="348"/>
        <v>1</v>
      </c>
      <c r="F113" s="86">
        <f t="shared" si="349"/>
        <v>1</v>
      </c>
      <c r="G113" s="86">
        <f t="shared" si="349"/>
        <v>1</v>
      </c>
      <c r="H113" s="86">
        <f t="shared" si="350"/>
        <v>0</v>
      </c>
      <c r="I113" s="82">
        <v>0.2</v>
      </c>
      <c r="J113" s="85">
        <v>46115</v>
      </c>
      <c r="K113" s="85">
        <f t="shared" si="351"/>
        <v>46115</v>
      </c>
      <c r="L113" s="85">
        <v>46115</v>
      </c>
      <c r="M113" s="85">
        <f t="shared" si="352"/>
        <v>46157</v>
      </c>
      <c r="N113" s="85">
        <f t="shared" si="353"/>
        <v>46157</v>
      </c>
      <c r="O113" s="146">
        <v>46171</v>
      </c>
      <c r="P113" s="85">
        <f t="shared" si="354"/>
        <v>46199</v>
      </c>
      <c r="Q113" s="85">
        <f t="shared" si="355"/>
        <v>46199</v>
      </c>
      <c r="R113" s="85">
        <v>46219</v>
      </c>
      <c r="S113" s="85">
        <f t="shared" si="356"/>
        <v>46213</v>
      </c>
      <c r="T113" s="85">
        <f t="shared" si="357"/>
        <v>46213</v>
      </c>
      <c r="U113" s="85">
        <v>46233</v>
      </c>
      <c r="W113" s="173" t="str">
        <f t="shared" ca="1" si="305"/>
        <v>Completed</v>
      </c>
      <c r="X113" s="173" t="str">
        <f t="shared" ca="1" si="306"/>
        <v>Completed</v>
      </c>
      <c r="Y113" s="173" t="str">
        <f t="shared" ca="1" si="307"/>
        <v>Completed</v>
      </c>
      <c r="Z113" s="174" t="str">
        <f t="shared" ca="1" si="308"/>
        <v>Completed</v>
      </c>
    </row>
    <row r="114" spans="1:26" s="70" customFormat="1" ht="11.5" x14ac:dyDescent="0.25">
      <c r="A114" s="71" t="s">
        <v>67</v>
      </c>
      <c r="B114" s="87" t="s">
        <v>34</v>
      </c>
      <c r="C114" s="87" t="s">
        <v>978</v>
      </c>
      <c r="D114" s="87" t="s">
        <v>1167</v>
      </c>
      <c r="E114" s="86">
        <f t="shared" si="348"/>
        <v>1</v>
      </c>
      <c r="F114" s="86">
        <f t="shared" si="349"/>
        <v>1</v>
      </c>
      <c r="G114" s="86">
        <f t="shared" si="349"/>
        <v>0.7</v>
      </c>
      <c r="H114" s="86">
        <f t="shared" si="350"/>
        <v>-0.30000000000000004</v>
      </c>
      <c r="I114" s="82">
        <v>0.2</v>
      </c>
      <c r="J114" s="85">
        <v>46115</v>
      </c>
      <c r="K114" s="85">
        <f t="shared" si="351"/>
        <v>46115</v>
      </c>
      <c r="L114" s="85">
        <v>46115</v>
      </c>
      <c r="M114" s="85">
        <f t="shared" si="352"/>
        <v>46157</v>
      </c>
      <c r="N114" s="85">
        <f t="shared" si="353"/>
        <v>46157</v>
      </c>
      <c r="O114" s="146">
        <v>46171</v>
      </c>
      <c r="P114" s="85">
        <f t="shared" si="354"/>
        <v>46199</v>
      </c>
      <c r="Q114" s="85">
        <f t="shared" si="355"/>
        <v>46199</v>
      </c>
      <c r="R114" s="85"/>
      <c r="S114" s="85">
        <f t="shared" si="356"/>
        <v>46213</v>
      </c>
      <c r="T114" s="85">
        <f t="shared" si="357"/>
        <v>46213</v>
      </c>
      <c r="U114" s="85"/>
      <c r="W114" s="173" t="str">
        <f t="shared" ca="1" si="305"/>
        <v>Completed</v>
      </c>
      <c r="X114" s="173" t="str">
        <f t="shared" ca="1" si="306"/>
        <v>Completed</v>
      </c>
      <c r="Y114" s="173" t="str">
        <f t="shared" ca="1" si="307"/>
        <v>Overdue</v>
      </c>
      <c r="Z114" s="174" t="str">
        <f t="shared" ca="1" si="308"/>
        <v>Overdue</v>
      </c>
    </row>
    <row r="115" spans="1:26" s="70" customFormat="1" ht="11.5" x14ac:dyDescent="0.25">
      <c r="A115" s="71" t="s">
        <v>67</v>
      </c>
      <c r="B115" s="87" t="s">
        <v>34</v>
      </c>
      <c r="C115" s="87" t="s">
        <v>979</v>
      </c>
      <c r="D115" s="87" t="s">
        <v>59</v>
      </c>
      <c r="E115" s="86">
        <f t="shared" si="348"/>
        <v>1</v>
      </c>
      <c r="F115" s="86">
        <f t="shared" si="349"/>
        <v>1</v>
      </c>
      <c r="G115" s="86">
        <f t="shared" si="349"/>
        <v>1</v>
      </c>
      <c r="H115" s="86">
        <f t="shared" si="350"/>
        <v>0</v>
      </c>
      <c r="I115" s="82">
        <v>0.2</v>
      </c>
      <c r="J115" s="85">
        <v>46115</v>
      </c>
      <c r="K115" s="85">
        <f t="shared" si="351"/>
        <v>46115</v>
      </c>
      <c r="L115" s="85">
        <v>46115</v>
      </c>
      <c r="M115" s="85">
        <f t="shared" si="352"/>
        <v>46157</v>
      </c>
      <c r="N115" s="85">
        <f t="shared" si="353"/>
        <v>46157</v>
      </c>
      <c r="O115" s="85">
        <v>46199</v>
      </c>
      <c r="P115" s="85">
        <f t="shared" si="354"/>
        <v>46199</v>
      </c>
      <c r="Q115" s="85">
        <f t="shared" si="355"/>
        <v>46199</v>
      </c>
      <c r="R115" s="85">
        <v>46204</v>
      </c>
      <c r="S115" s="85">
        <f t="shared" si="356"/>
        <v>46213</v>
      </c>
      <c r="T115" s="85">
        <f t="shared" si="357"/>
        <v>46213</v>
      </c>
      <c r="U115" s="85">
        <v>46213</v>
      </c>
      <c r="W115" s="173" t="str">
        <f t="shared" ca="1" si="305"/>
        <v>Completed</v>
      </c>
      <c r="X115" s="173" t="str">
        <f t="shared" ca="1" si="306"/>
        <v>Completed</v>
      </c>
      <c r="Y115" s="173" t="str">
        <f t="shared" ca="1" si="307"/>
        <v>Completed</v>
      </c>
      <c r="Z115" s="174" t="str">
        <f t="shared" ca="1" si="308"/>
        <v>Completed</v>
      </c>
    </row>
    <row r="116" spans="1:26" s="70" customFormat="1" ht="11.5" x14ac:dyDescent="0.25">
      <c r="A116" s="112" t="s">
        <v>67</v>
      </c>
      <c r="B116" s="118" t="s">
        <v>34</v>
      </c>
      <c r="C116" s="118" t="s">
        <v>148</v>
      </c>
      <c r="D116" s="118" t="s">
        <v>149</v>
      </c>
      <c r="E116" s="119">
        <f t="shared" si="348"/>
        <v>0.79999999999999993</v>
      </c>
      <c r="F116" s="119">
        <f t="shared" si="349"/>
        <v>0.79999999999999993</v>
      </c>
      <c r="G116" s="119">
        <f t="shared" si="349"/>
        <v>0.7</v>
      </c>
      <c r="H116" s="119">
        <f t="shared" si="350"/>
        <v>-9.9999999999999978E-2</v>
      </c>
      <c r="I116" s="114">
        <v>0.5</v>
      </c>
      <c r="J116" s="115">
        <f>J69+28</f>
        <v>46178</v>
      </c>
      <c r="K116" s="115">
        <f t="shared" si="351"/>
        <v>46178</v>
      </c>
      <c r="L116" s="144">
        <v>46161</v>
      </c>
      <c r="M116" s="115">
        <f t="shared" si="352"/>
        <v>46220</v>
      </c>
      <c r="N116" s="115">
        <f t="shared" si="353"/>
        <v>46220</v>
      </c>
      <c r="O116" s="165">
        <v>46262</v>
      </c>
      <c r="P116" s="115">
        <f t="shared" si="354"/>
        <v>46262</v>
      </c>
      <c r="Q116" s="115">
        <f t="shared" si="355"/>
        <v>46262</v>
      </c>
      <c r="R116" s="115"/>
      <c r="S116" s="115">
        <f t="shared" si="356"/>
        <v>46276</v>
      </c>
      <c r="T116" s="115">
        <f t="shared" si="357"/>
        <v>46276</v>
      </c>
      <c r="U116" s="115"/>
      <c r="W116" s="173" t="str">
        <f t="shared" ca="1" si="305"/>
        <v>Completed</v>
      </c>
      <c r="X116" s="173" t="str">
        <f t="shared" ca="1" si="306"/>
        <v>Completed</v>
      </c>
      <c r="Y116" s="173" t="str">
        <f t="shared" ca="1" si="307"/>
        <v>Overdue</v>
      </c>
      <c r="Z116" s="174" t="str">
        <f t="shared" ca="1" si="308"/>
        <v>Follow-Next Week</v>
      </c>
    </row>
    <row r="117" spans="1:26" s="70" customFormat="1" ht="11.5" x14ac:dyDescent="0.25">
      <c r="A117" s="112" t="s">
        <v>67</v>
      </c>
      <c r="B117" s="118" t="s">
        <v>34</v>
      </c>
      <c r="C117" s="118" t="s">
        <v>150</v>
      </c>
      <c r="D117" s="118" t="s">
        <v>151</v>
      </c>
      <c r="E117" s="119">
        <f t="shared" si="348"/>
        <v>0.7</v>
      </c>
      <c r="F117" s="119">
        <f t="shared" si="349"/>
        <v>0.7</v>
      </c>
      <c r="G117" s="119">
        <f t="shared" si="349"/>
        <v>0.7</v>
      </c>
      <c r="H117" s="119">
        <f t="shared" si="350"/>
        <v>0</v>
      </c>
      <c r="I117" s="114">
        <v>0.5</v>
      </c>
      <c r="J117" s="115">
        <f t="shared" ref="J117:J126" si="358">J71+28</f>
        <v>46192</v>
      </c>
      <c r="K117" s="115">
        <f t="shared" si="351"/>
        <v>46192</v>
      </c>
      <c r="L117" s="116">
        <v>46202</v>
      </c>
      <c r="M117" s="115">
        <f t="shared" si="352"/>
        <v>46234</v>
      </c>
      <c r="N117" s="115">
        <f t="shared" si="353"/>
        <v>46234</v>
      </c>
      <c r="O117" s="116">
        <v>46248</v>
      </c>
      <c r="P117" s="115">
        <f t="shared" si="354"/>
        <v>46276</v>
      </c>
      <c r="Q117" s="115">
        <f t="shared" si="355"/>
        <v>46276</v>
      </c>
      <c r="R117" s="115"/>
      <c r="S117" s="115">
        <f t="shared" si="356"/>
        <v>46290</v>
      </c>
      <c r="T117" s="115">
        <f t="shared" si="357"/>
        <v>46290</v>
      </c>
      <c r="U117" s="115"/>
      <c r="W117" s="173" t="str">
        <f t="shared" ca="1" si="305"/>
        <v>Completed</v>
      </c>
      <c r="X117" s="173" t="str">
        <f t="shared" ca="1" si="306"/>
        <v>Completed</v>
      </c>
      <c r="Y117" s="173" t="str">
        <f t="shared" ca="1" si="307"/>
        <v>Follow-Next Week</v>
      </c>
      <c r="Z117" s="174" t="str">
        <f t="shared" ca="1" si="308"/>
        <v/>
      </c>
    </row>
    <row r="118" spans="1:26" s="70" customFormat="1" ht="11.5" x14ac:dyDescent="0.25">
      <c r="A118" s="112" t="s">
        <v>67</v>
      </c>
      <c r="B118" s="118" t="s">
        <v>34</v>
      </c>
      <c r="C118" s="118" t="s">
        <v>152</v>
      </c>
      <c r="D118" s="118" t="s">
        <v>153</v>
      </c>
      <c r="E118" s="119">
        <f t="shared" si="348"/>
        <v>0.7</v>
      </c>
      <c r="F118" s="119">
        <f t="shared" si="349"/>
        <v>0.7</v>
      </c>
      <c r="G118" s="119">
        <f t="shared" si="349"/>
        <v>0.7</v>
      </c>
      <c r="H118" s="119">
        <f t="shared" si="350"/>
        <v>0</v>
      </c>
      <c r="I118" s="114">
        <v>0.5</v>
      </c>
      <c r="J118" s="115">
        <f t="shared" si="358"/>
        <v>46199</v>
      </c>
      <c r="K118" s="115">
        <f t="shared" si="351"/>
        <v>46199</v>
      </c>
      <c r="L118" s="115">
        <v>46175</v>
      </c>
      <c r="M118" s="115">
        <f t="shared" si="352"/>
        <v>46241</v>
      </c>
      <c r="N118" s="115">
        <f t="shared" si="353"/>
        <v>46241</v>
      </c>
      <c r="O118" s="115">
        <v>46241</v>
      </c>
      <c r="P118" s="115">
        <f t="shared" si="354"/>
        <v>46283</v>
      </c>
      <c r="Q118" s="115">
        <f t="shared" si="355"/>
        <v>46283</v>
      </c>
      <c r="R118" s="115"/>
      <c r="S118" s="115">
        <f t="shared" si="356"/>
        <v>46297</v>
      </c>
      <c r="T118" s="115">
        <f t="shared" si="357"/>
        <v>46297</v>
      </c>
      <c r="U118" s="115"/>
      <c r="W118" s="173" t="str">
        <f t="shared" ca="1" si="305"/>
        <v>Completed</v>
      </c>
      <c r="X118" s="173" t="str">
        <f t="shared" ca="1" si="306"/>
        <v>Completed</v>
      </c>
      <c r="Y118" s="173" t="str">
        <f t="shared" ca="1" si="307"/>
        <v/>
      </c>
      <c r="Z118" s="174" t="str">
        <f t="shared" ca="1" si="308"/>
        <v/>
      </c>
    </row>
    <row r="119" spans="1:26" s="70" customFormat="1" ht="11.5" x14ac:dyDescent="0.25">
      <c r="A119" s="112" t="s">
        <v>67</v>
      </c>
      <c r="B119" s="118" t="s">
        <v>34</v>
      </c>
      <c r="C119" s="118" t="s">
        <v>154</v>
      </c>
      <c r="D119" s="118" t="s">
        <v>155</v>
      </c>
      <c r="E119" s="119">
        <f t="shared" si="348"/>
        <v>0.7</v>
      </c>
      <c r="F119" s="119">
        <f t="shared" si="349"/>
        <v>0.7</v>
      </c>
      <c r="G119" s="119">
        <f t="shared" si="349"/>
        <v>0.7</v>
      </c>
      <c r="H119" s="119">
        <f t="shared" si="350"/>
        <v>0</v>
      </c>
      <c r="I119" s="114">
        <v>0.5</v>
      </c>
      <c r="J119" s="115">
        <f t="shared" si="358"/>
        <v>46206</v>
      </c>
      <c r="K119" s="115">
        <f t="shared" si="351"/>
        <v>46206</v>
      </c>
      <c r="L119" s="144">
        <v>46161</v>
      </c>
      <c r="M119" s="116">
        <f t="shared" si="352"/>
        <v>46248</v>
      </c>
      <c r="N119" s="115">
        <f t="shared" si="353"/>
        <v>46248</v>
      </c>
      <c r="O119" s="115">
        <v>46241</v>
      </c>
      <c r="P119" s="115">
        <f t="shared" si="354"/>
        <v>46290</v>
      </c>
      <c r="Q119" s="115">
        <f t="shared" si="355"/>
        <v>46290</v>
      </c>
      <c r="R119" s="115"/>
      <c r="S119" s="115">
        <f t="shared" si="356"/>
        <v>46304</v>
      </c>
      <c r="T119" s="115">
        <f t="shared" si="357"/>
        <v>46304</v>
      </c>
      <c r="U119" s="115"/>
      <c r="W119" s="173" t="str">
        <f t="shared" ca="1" si="305"/>
        <v>Completed</v>
      </c>
      <c r="X119" s="173" t="str">
        <f t="shared" ca="1" si="306"/>
        <v>Completed</v>
      </c>
      <c r="Y119" s="173" t="str">
        <f t="shared" ca="1" si="307"/>
        <v/>
      </c>
      <c r="Z119" s="174" t="str">
        <f t="shared" ca="1" si="308"/>
        <v/>
      </c>
    </row>
    <row r="120" spans="1:26" s="70" customFormat="1" ht="11.5" x14ac:dyDescent="0.25">
      <c r="A120" s="112" t="s">
        <v>67</v>
      </c>
      <c r="B120" s="118" t="s">
        <v>34</v>
      </c>
      <c r="C120" s="118" t="s">
        <v>156</v>
      </c>
      <c r="D120" s="118" t="s">
        <v>157</v>
      </c>
      <c r="E120" s="119">
        <f t="shared" si="348"/>
        <v>0.7</v>
      </c>
      <c r="F120" s="119">
        <f t="shared" si="349"/>
        <v>0.7</v>
      </c>
      <c r="G120" s="119">
        <f t="shared" si="349"/>
        <v>0.7</v>
      </c>
      <c r="H120" s="119">
        <f t="shared" si="350"/>
        <v>0</v>
      </c>
      <c r="I120" s="114">
        <v>0.5</v>
      </c>
      <c r="J120" s="115">
        <f t="shared" si="358"/>
        <v>46220</v>
      </c>
      <c r="K120" s="115">
        <f t="shared" si="351"/>
        <v>46220</v>
      </c>
      <c r="L120" s="144">
        <v>46161</v>
      </c>
      <c r="M120" s="115">
        <f t="shared" si="352"/>
        <v>46262</v>
      </c>
      <c r="N120" s="115">
        <f t="shared" si="353"/>
        <v>46262</v>
      </c>
      <c r="O120" s="116">
        <v>46252</v>
      </c>
      <c r="P120" s="115">
        <f t="shared" si="354"/>
        <v>46304</v>
      </c>
      <c r="Q120" s="115">
        <f t="shared" si="355"/>
        <v>46304</v>
      </c>
      <c r="R120" s="115"/>
      <c r="S120" s="115">
        <f t="shared" si="356"/>
        <v>46318</v>
      </c>
      <c r="T120" s="115">
        <f t="shared" si="357"/>
        <v>46318</v>
      </c>
      <c r="U120" s="115"/>
      <c r="W120" s="173" t="str">
        <f t="shared" ca="1" si="305"/>
        <v>Completed</v>
      </c>
      <c r="X120" s="173" t="str">
        <f t="shared" ca="1" si="306"/>
        <v>Completed</v>
      </c>
      <c r="Y120" s="173" t="str">
        <f t="shared" ca="1" si="307"/>
        <v/>
      </c>
      <c r="Z120" s="174" t="str">
        <f t="shared" ca="1" si="308"/>
        <v/>
      </c>
    </row>
    <row r="121" spans="1:26" s="70" customFormat="1" ht="11.5" x14ac:dyDescent="0.25">
      <c r="A121" s="112" t="s">
        <v>67</v>
      </c>
      <c r="B121" s="112" t="s">
        <v>34</v>
      </c>
      <c r="C121" s="112" t="s">
        <v>158</v>
      </c>
      <c r="D121" s="112" t="s">
        <v>159</v>
      </c>
      <c r="E121" s="113">
        <f t="shared" si="348"/>
        <v>0.5</v>
      </c>
      <c r="F121" s="113">
        <f t="shared" si="349"/>
        <v>0.5</v>
      </c>
      <c r="G121" s="113">
        <f t="shared" si="349"/>
        <v>0.7</v>
      </c>
      <c r="H121" s="119">
        <f t="shared" si="350"/>
        <v>0.19999999999999996</v>
      </c>
      <c r="I121" s="120">
        <v>0.5</v>
      </c>
      <c r="J121" s="115">
        <f t="shared" si="358"/>
        <v>46234</v>
      </c>
      <c r="K121" s="115">
        <f t="shared" si="351"/>
        <v>46234</v>
      </c>
      <c r="L121" s="116">
        <v>46237</v>
      </c>
      <c r="M121" s="115">
        <f t="shared" si="352"/>
        <v>46276</v>
      </c>
      <c r="N121" s="115">
        <f t="shared" si="353"/>
        <v>46276</v>
      </c>
      <c r="O121" s="116">
        <v>46255</v>
      </c>
      <c r="P121" s="115">
        <f t="shared" si="354"/>
        <v>46318</v>
      </c>
      <c r="Q121" s="115">
        <f t="shared" si="355"/>
        <v>46318</v>
      </c>
      <c r="R121" s="115"/>
      <c r="S121" s="115">
        <f t="shared" si="356"/>
        <v>46332</v>
      </c>
      <c r="T121" s="115">
        <f t="shared" si="357"/>
        <v>46332</v>
      </c>
      <c r="U121" s="115"/>
      <c r="W121" s="173" t="str">
        <f t="shared" ca="1" si="305"/>
        <v>Completed</v>
      </c>
      <c r="X121" s="173" t="str">
        <f t="shared" ca="1" si="306"/>
        <v>Completed</v>
      </c>
      <c r="Y121" s="173" t="str">
        <f t="shared" ca="1" si="307"/>
        <v/>
      </c>
      <c r="Z121" s="174" t="str">
        <f t="shared" ca="1" si="308"/>
        <v/>
      </c>
    </row>
    <row r="122" spans="1:26" s="70" customFormat="1" ht="11.5" x14ac:dyDescent="0.25">
      <c r="A122" s="112" t="s">
        <v>67</v>
      </c>
      <c r="B122" s="112" t="s">
        <v>34</v>
      </c>
      <c r="C122" s="112" t="s">
        <v>160</v>
      </c>
      <c r="D122" s="112" t="s">
        <v>161</v>
      </c>
      <c r="E122" s="113">
        <f t="shared" si="348"/>
        <v>0.5</v>
      </c>
      <c r="F122" s="113">
        <f t="shared" si="349"/>
        <v>0.5</v>
      </c>
      <c r="G122" s="113">
        <f t="shared" si="349"/>
        <v>0.7</v>
      </c>
      <c r="H122" s="119">
        <f t="shared" si="350"/>
        <v>0.19999999999999996</v>
      </c>
      <c r="I122" s="120">
        <v>0.5</v>
      </c>
      <c r="J122" s="115">
        <f t="shared" si="358"/>
        <v>46248</v>
      </c>
      <c r="K122" s="115">
        <f t="shared" si="351"/>
        <v>46248</v>
      </c>
      <c r="L122" s="115">
        <v>46227</v>
      </c>
      <c r="M122" s="115">
        <f t="shared" si="352"/>
        <v>46290</v>
      </c>
      <c r="N122" s="115">
        <f t="shared" si="353"/>
        <v>46290</v>
      </c>
      <c r="O122" s="116">
        <v>46248</v>
      </c>
      <c r="P122" s="115">
        <f t="shared" si="354"/>
        <v>46332</v>
      </c>
      <c r="Q122" s="115">
        <f t="shared" si="355"/>
        <v>46332</v>
      </c>
      <c r="R122" s="115"/>
      <c r="S122" s="115">
        <f t="shared" si="356"/>
        <v>46346</v>
      </c>
      <c r="T122" s="115">
        <f t="shared" si="357"/>
        <v>46346</v>
      </c>
      <c r="U122" s="115"/>
      <c r="W122" s="173" t="str">
        <f t="shared" ca="1" si="305"/>
        <v>Completed</v>
      </c>
      <c r="X122" s="173" t="str">
        <f t="shared" ca="1" si="306"/>
        <v>Completed</v>
      </c>
      <c r="Y122" s="173" t="str">
        <f t="shared" ca="1" si="307"/>
        <v/>
      </c>
      <c r="Z122" s="174" t="str">
        <f t="shared" ca="1" si="308"/>
        <v/>
      </c>
    </row>
    <row r="123" spans="1:26" s="70" customFormat="1" ht="11.5" x14ac:dyDescent="0.25">
      <c r="A123" s="112" t="s">
        <v>67</v>
      </c>
      <c r="B123" s="112" t="s">
        <v>34</v>
      </c>
      <c r="C123" s="112" t="s">
        <v>162</v>
      </c>
      <c r="D123" s="112" t="s">
        <v>163</v>
      </c>
      <c r="E123" s="113">
        <f t="shared" si="348"/>
        <v>0.7</v>
      </c>
      <c r="F123" s="113">
        <f t="shared" si="349"/>
        <v>0.7</v>
      </c>
      <c r="G123" s="113">
        <f t="shared" si="349"/>
        <v>0.7</v>
      </c>
      <c r="H123" s="119">
        <f t="shared" si="350"/>
        <v>0</v>
      </c>
      <c r="I123" s="120">
        <v>0.5</v>
      </c>
      <c r="J123" s="115">
        <f t="shared" si="358"/>
        <v>46213</v>
      </c>
      <c r="K123" s="115">
        <f t="shared" si="351"/>
        <v>46213</v>
      </c>
      <c r="L123" s="116">
        <v>46237</v>
      </c>
      <c r="M123" s="115">
        <f t="shared" si="352"/>
        <v>46255</v>
      </c>
      <c r="N123" s="115">
        <f t="shared" si="353"/>
        <v>46255</v>
      </c>
      <c r="O123" s="116">
        <v>46248</v>
      </c>
      <c r="P123" s="115">
        <f t="shared" si="354"/>
        <v>46297</v>
      </c>
      <c r="Q123" s="115">
        <f t="shared" si="355"/>
        <v>46297</v>
      </c>
      <c r="R123" s="115"/>
      <c r="S123" s="115">
        <f t="shared" si="356"/>
        <v>46311</v>
      </c>
      <c r="T123" s="115">
        <f t="shared" si="357"/>
        <v>46311</v>
      </c>
      <c r="U123" s="115"/>
      <c r="W123" s="173" t="str">
        <f t="shared" ca="1" si="305"/>
        <v>Completed</v>
      </c>
      <c r="X123" s="173" t="str">
        <f t="shared" ca="1" si="306"/>
        <v>Completed</v>
      </c>
      <c r="Y123" s="173" t="str">
        <f t="shared" ca="1" si="307"/>
        <v/>
      </c>
      <c r="Z123" s="174" t="str">
        <f t="shared" ca="1" si="308"/>
        <v/>
      </c>
    </row>
    <row r="124" spans="1:26" s="70" customFormat="1" ht="11.5" x14ac:dyDescent="0.25">
      <c r="A124" s="112" t="s">
        <v>67</v>
      </c>
      <c r="B124" s="112" t="s">
        <v>34</v>
      </c>
      <c r="C124" s="112" t="s">
        <v>164</v>
      </c>
      <c r="D124" s="112" t="s">
        <v>165</v>
      </c>
      <c r="E124" s="113">
        <f t="shared" si="348"/>
        <v>0.5</v>
      </c>
      <c r="F124" s="113">
        <f t="shared" si="349"/>
        <v>0.5</v>
      </c>
      <c r="G124" s="113">
        <f t="shared" si="349"/>
        <v>0.5</v>
      </c>
      <c r="H124" s="119">
        <f t="shared" si="350"/>
        <v>0</v>
      </c>
      <c r="I124" s="120">
        <v>0.75</v>
      </c>
      <c r="J124" s="115">
        <f t="shared" si="358"/>
        <v>46244</v>
      </c>
      <c r="K124" s="115">
        <f t="shared" si="351"/>
        <v>46244</v>
      </c>
      <c r="L124" s="115">
        <v>46226</v>
      </c>
      <c r="M124" s="115">
        <f t="shared" si="352"/>
        <v>46286</v>
      </c>
      <c r="N124" s="115">
        <f t="shared" si="353"/>
        <v>46286</v>
      </c>
      <c r="O124" s="115"/>
      <c r="P124" s="115">
        <f t="shared" si="354"/>
        <v>46328</v>
      </c>
      <c r="Q124" s="115">
        <f t="shared" si="355"/>
        <v>46328</v>
      </c>
      <c r="R124" s="115"/>
      <c r="S124" s="115">
        <f t="shared" si="356"/>
        <v>46342</v>
      </c>
      <c r="T124" s="115">
        <f t="shared" si="357"/>
        <v>46342</v>
      </c>
      <c r="U124" s="115"/>
      <c r="W124" s="173" t="str">
        <f t="shared" ca="1" si="305"/>
        <v>Completed</v>
      </c>
      <c r="X124" s="173" t="str">
        <f t="shared" ca="1" si="306"/>
        <v/>
      </c>
      <c r="Y124" s="173" t="str">
        <f t="shared" ca="1" si="307"/>
        <v/>
      </c>
      <c r="Z124" s="174" t="str">
        <f t="shared" ca="1" si="308"/>
        <v/>
      </c>
    </row>
    <row r="125" spans="1:26" s="70" customFormat="1" ht="11.5" x14ac:dyDescent="0.25">
      <c r="A125" s="112" t="s">
        <v>67</v>
      </c>
      <c r="B125" s="112" t="s">
        <v>34</v>
      </c>
      <c r="C125" s="112" t="s">
        <v>166</v>
      </c>
      <c r="D125" s="112" t="s">
        <v>167</v>
      </c>
      <c r="E125" s="113">
        <f t="shared" si="348"/>
        <v>0.5</v>
      </c>
      <c r="F125" s="113">
        <f t="shared" si="349"/>
        <v>0.5</v>
      </c>
      <c r="G125" s="113">
        <f t="shared" si="349"/>
        <v>0</v>
      </c>
      <c r="H125" s="119">
        <f t="shared" si="350"/>
        <v>-0.5</v>
      </c>
      <c r="I125" s="120">
        <v>0.5</v>
      </c>
      <c r="J125" s="115">
        <f t="shared" si="358"/>
        <v>46262</v>
      </c>
      <c r="K125" s="115">
        <f t="shared" si="351"/>
        <v>46262</v>
      </c>
      <c r="L125" s="115"/>
      <c r="M125" s="115">
        <f t="shared" si="352"/>
        <v>46304</v>
      </c>
      <c r="N125" s="115">
        <f t="shared" si="353"/>
        <v>46304</v>
      </c>
      <c r="O125" s="115"/>
      <c r="P125" s="115">
        <f t="shared" si="354"/>
        <v>46346</v>
      </c>
      <c r="Q125" s="115">
        <f t="shared" si="355"/>
        <v>46346</v>
      </c>
      <c r="R125" s="115"/>
      <c r="S125" s="115">
        <f t="shared" si="356"/>
        <v>46360</v>
      </c>
      <c r="T125" s="115">
        <f t="shared" si="357"/>
        <v>46360</v>
      </c>
      <c r="U125" s="115"/>
      <c r="W125" s="173" t="str">
        <f t="shared" ca="1" si="305"/>
        <v>Overdue</v>
      </c>
      <c r="X125" s="173" t="str">
        <f t="shared" ca="1" si="306"/>
        <v/>
      </c>
      <c r="Y125" s="173" t="str">
        <f t="shared" ca="1" si="307"/>
        <v/>
      </c>
      <c r="Z125" s="174" t="str">
        <f t="shared" ca="1" si="308"/>
        <v/>
      </c>
    </row>
    <row r="126" spans="1:26" s="70" customFormat="1" ht="11.5" x14ac:dyDescent="0.25">
      <c r="A126" s="112" t="s">
        <v>67</v>
      </c>
      <c r="B126" s="112" t="s">
        <v>34</v>
      </c>
      <c r="C126" s="112" t="s">
        <v>168</v>
      </c>
      <c r="D126" s="112" t="s">
        <v>169</v>
      </c>
      <c r="E126" s="113">
        <f t="shared" si="348"/>
        <v>0.7</v>
      </c>
      <c r="F126" s="113">
        <f t="shared" si="349"/>
        <v>0.7</v>
      </c>
      <c r="G126" s="113">
        <f t="shared" si="349"/>
        <v>0.5</v>
      </c>
      <c r="H126" s="119">
        <f t="shared" si="350"/>
        <v>-0.19999999999999996</v>
      </c>
      <c r="I126" s="120">
        <v>0.5</v>
      </c>
      <c r="J126" s="115">
        <f t="shared" si="358"/>
        <v>46206</v>
      </c>
      <c r="K126" s="115">
        <f t="shared" si="351"/>
        <v>46206</v>
      </c>
      <c r="L126" s="115">
        <v>46255</v>
      </c>
      <c r="M126" s="115">
        <f t="shared" si="352"/>
        <v>46248</v>
      </c>
      <c r="N126" s="115">
        <f t="shared" si="353"/>
        <v>46248</v>
      </c>
      <c r="O126" s="115"/>
      <c r="P126" s="115">
        <f t="shared" si="354"/>
        <v>46290</v>
      </c>
      <c r="Q126" s="115">
        <f t="shared" si="355"/>
        <v>46290</v>
      </c>
      <c r="R126" s="115"/>
      <c r="S126" s="115">
        <f t="shared" si="356"/>
        <v>46304</v>
      </c>
      <c r="T126" s="115">
        <f t="shared" si="357"/>
        <v>46304</v>
      </c>
      <c r="U126" s="115"/>
      <c r="W126" s="173" t="str">
        <f t="shared" ca="1" si="305"/>
        <v>Completed</v>
      </c>
      <c r="X126" s="173" t="str">
        <f t="shared" ca="1" si="306"/>
        <v>Overdue</v>
      </c>
      <c r="Y126" s="173" t="str">
        <f t="shared" ca="1" si="307"/>
        <v/>
      </c>
      <c r="Z126" s="174" t="str">
        <f t="shared" ca="1" si="308"/>
        <v/>
      </c>
    </row>
    <row r="127" spans="1:26" s="70" customFormat="1" ht="11.5" x14ac:dyDescent="0.25">
      <c r="A127" s="112" t="s">
        <v>67</v>
      </c>
      <c r="B127" s="112" t="s">
        <v>34</v>
      </c>
      <c r="C127" s="112" t="s">
        <v>170</v>
      </c>
      <c r="D127" s="112" t="s">
        <v>171</v>
      </c>
      <c r="E127" s="113">
        <f t="shared" si="348"/>
        <v>0.7</v>
      </c>
      <c r="F127" s="113">
        <f t="shared" si="349"/>
        <v>0.7</v>
      </c>
      <c r="G127" s="113">
        <f t="shared" si="349"/>
        <v>0.5</v>
      </c>
      <c r="H127" s="113">
        <f t="shared" si="350"/>
        <v>-0.19999999999999996</v>
      </c>
      <c r="I127" s="114">
        <v>0.5</v>
      </c>
      <c r="J127" s="115">
        <f t="shared" ref="J127:J136" si="359">J82+28</f>
        <v>46213</v>
      </c>
      <c r="K127" s="115">
        <f t="shared" si="351"/>
        <v>46213</v>
      </c>
      <c r="L127" s="116">
        <v>46248</v>
      </c>
      <c r="M127" s="115">
        <f t="shared" si="352"/>
        <v>46255</v>
      </c>
      <c r="N127" s="115">
        <f t="shared" si="353"/>
        <v>46255</v>
      </c>
      <c r="O127" s="115"/>
      <c r="P127" s="115">
        <f t="shared" si="354"/>
        <v>46297</v>
      </c>
      <c r="Q127" s="115">
        <f t="shared" si="355"/>
        <v>46297</v>
      </c>
      <c r="R127" s="115"/>
      <c r="S127" s="115">
        <f t="shared" si="356"/>
        <v>46311</v>
      </c>
      <c r="T127" s="115">
        <f t="shared" si="357"/>
        <v>46311</v>
      </c>
      <c r="U127" s="115"/>
      <c r="W127" s="173" t="str">
        <f t="shared" ca="1" si="305"/>
        <v>Completed</v>
      </c>
      <c r="X127" s="173" t="str">
        <f t="shared" ca="1" si="306"/>
        <v>Overdue</v>
      </c>
      <c r="Y127" s="173" t="str">
        <f t="shared" ca="1" si="307"/>
        <v/>
      </c>
      <c r="Z127" s="174" t="str">
        <f t="shared" ca="1" si="308"/>
        <v/>
      </c>
    </row>
    <row r="128" spans="1:26" s="70" customFormat="1" ht="11.5" x14ac:dyDescent="0.25">
      <c r="A128" s="112" t="s">
        <v>67</v>
      </c>
      <c r="B128" s="112" t="s">
        <v>34</v>
      </c>
      <c r="C128" s="112" t="s">
        <v>172</v>
      </c>
      <c r="D128" s="112" t="s">
        <v>173</v>
      </c>
      <c r="E128" s="113">
        <f t="shared" si="348"/>
        <v>0</v>
      </c>
      <c r="F128" s="113">
        <f t="shared" si="349"/>
        <v>0</v>
      </c>
      <c r="G128" s="113">
        <f t="shared" si="349"/>
        <v>0.5</v>
      </c>
      <c r="H128" s="113">
        <f t="shared" si="350"/>
        <v>0.5</v>
      </c>
      <c r="I128" s="114">
        <v>0.8</v>
      </c>
      <c r="J128" s="115">
        <f t="shared" si="359"/>
        <v>46283</v>
      </c>
      <c r="K128" s="115">
        <f t="shared" si="351"/>
        <v>46283</v>
      </c>
      <c r="L128" s="165">
        <v>46262</v>
      </c>
      <c r="M128" s="115">
        <f t="shared" si="352"/>
        <v>46325</v>
      </c>
      <c r="N128" s="115">
        <f t="shared" si="353"/>
        <v>46325</v>
      </c>
      <c r="O128" s="115"/>
      <c r="P128" s="115">
        <f t="shared" si="354"/>
        <v>46367</v>
      </c>
      <c r="Q128" s="115">
        <f t="shared" si="355"/>
        <v>46367</v>
      </c>
      <c r="R128" s="115"/>
      <c r="S128" s="115">
        <f t="shared" si="356"/>
        <v>46381</v>
      </c>
      <c r="T128" s="115">
        <f t="shared" si="357"/>
        <v>46381</v>
      </c>
      <c r="U128" s="115"/>
      <c r="W128" s="173" t="str">
        <f t="shared" ca="1" si="305"/>
        <v>Completed</v>
      </c>
      <c r="X128" s="173" t="str">
        <f t="shared" ca="1" si="306"/>
        <v/>
      </c>
      <c r="Y128" s="173" t="str">
        <f t="shared" ca="1" si="307"/>
        <v/>
      </c>
      <c r="Z128" s="174" t="str">
        <f t="shared" ca="1" si="308"/>
        <v/>
      </c>
    </row>
    <row r="129" spans="1:26" s="70" customFormat="1" ht="11.5" x14ac:dyDescent="0.25">
      <c r="A129" s="112" t="s">
        <v>67</v>
      </c>
      <c r="B129" s="112" t="s">
        <v>34</v>
      </c>
      <c r="C129" s="112" t="s">
        <v>174</v>
      </c>
      <c r="D129" s="112" t="s">
        <v>175</v>
      </c>
      <c r="E129" s="113">
        <f t="shared" si="348"/>
        <v>0</v>
      </c>
      <c r="F129" s="113">
        <f t="shared" si="349"/>
        <v>0</v>
      </c>
      <c r="G129" s="113">
        <f t="shared" si="349"/>
        <v>0.7</v>
      </c>
      <c r="H129" s="113">
        <f t="shared" si="350"/>
        <v>0.7</v>
      </c>
      <c r="I129" s="114">
        <v>0.8</v>
      </c>
      <c r="J129" s="115">
        <f t="shared" si="359"/>
        <v>46297</v>
      </c>
      <c r="K129" s="115">
        <f t="shared" si="351"/>
        <v>46297</v>
      </c>
      <c r="L129" s="115">
        <v>46226</v>
      </c>
      <c r="M129" s="115">
        <f t="shared" si="352"/>
        <v>46339</v>
      </c>
      <c r="N129" s="115">
        <f t="shared" si="353"/>
        <v>46339</v>
      </c>
      <c r="O129" s="116">
        <v>46248</v>
      </c>
      <c r="P129" s="115">
        <f t="shared" si="354"/>
        <v>46381</v>
      </c>
      <c r="Q129" s="115">
        <f t="shared" si="355"/>
        <v>46381</v>
      </c>
      <c r="R129" s="115"/>
      <c r="S129" s="115">
        <f t="shared" si="356"/>
        <v>46395</v>
      </c>
      <c r="T129" s="115">
        <f t="shared" si="357"/>
        <v>46395</v>
      </c>
      <c r="U129" s="115"/>
      <c r="W129" s="173" t="str">
        <f t="shared" ca="1" si="305"/>
        <v>Completed</v>
      </c>
      <c r="X129" s="173" t="str">
        <f t="shared" ca="1" si="306"/>
        <v>Completed</v>
      </c>
      <c r="Y129" s="173" t="str">
        <f t="shared" ca="1" si="307"/>
        <v/>
      </c>
      <c r="Z129" s="174" t="str">
        <f t="shared" ca="1" si="308"/>
        <v/>
      </c>
    </row>
    <row r="130" spans="1:26" s="70" customFormat="1" ht="11.5" x14ac:dyDescent="0.25">
      <c r="A130" s="112" t="s">
        <v>67</v>
      </c>
      <c r="B130" s="112" t="s">
        <v>34</v>
      </c>
      <c r="C130" s="112" t="s">
        <v>176</v>
      </c>
      <c r="D130" s="112" t="s">
        <v>177</v>
      </c>
      <c r="E130" s="113">
        <f t="shared" si="348"/>
        <v>0</v>
      </c>
      <c r="F130" s="113">
        <f t="shared" si="349"/>
        <v>0</v>
      </c>
      <c r="G130" s="113">
        <f t="shared" si="349"/>
        <v>0</v>
      </c>
      <c r="H130" s="113">
        <f t="shared" si="350"/>
        <v>0</v>
      </c>
      <c r="I130" s="114">
        <v>0.8</v>
      </c>
      <c r="J130" s="115">
        <f t="shared" si="359"/>
        <v>46305</v>
      </c>
      <c r="K130" s="115">
        <f t="shared" si="351"/>
        <v>46305</v>
      </c>
      <c r="L130" s="116"/>
      <c r="M130" s="115">
        <f t="shared" si="352"/>
        <v>46347</v>
      </c>
      <c r="N130" s="115">
        <f t="shared" si="353"/>
        <v>46347</v>
      </c>
      <c r="O130" s="115"/>
      <c r="P130" s="115">
        <f t="shared" si="354"/>
        <v>46389</v>
      </c>
      <c r="Q130" s="115">
        <f t="shared" si="355"/>
        <v>46389</v>
      </c>
      <c r="R130" s="115"/>
      <c r="S130" s="115">
        <f t="shared" si="356"/>
        <v>46403</v>
      </c>
      <c r="T130" s="115">
        <f t="shared" si="357"/>
        <v>46403</v>
      </c>
      <c r="U130" s="115"/>
      <c r="W130" s="173" t="str">
        <f t="shared" ca="1" si="305"/>
        <v/>
      </c>
      <c r="X130" s="173" t="str">
        <f t="shared" ca="1" si="306"/>
        <v/>
      </c>
      <c r="Y130" s="173" t="str">
        <f t="shared" ca="1" si="307"/>
        <v/>
      </c>
      <c r="Z130" s="174" t="str">
        <f t="shared" ca="1" si="308"/>
        <v/>
      </c>
    </row>
    <row r="131" spans="1:26" s="70" customFormat="1" ht="11.5" x14ac:dyDescent="0.25">
      <c r="A131" s="112" t="s">
        <v>67</v>
      </c>
      <c r="B131" s="112" t="s">
        <v>34</v>
      </c>
      <c r="C131" s="112" t="s">
        <v>178</v>
      </c>
      <c r="D131" s="112" t="s">
        <v>135</v>
      </c>
      <c r="E131" s="113">
        <f t="shared" si="348"/>
        <v>0</v>
      </c>
      <c r="F131" s="113">
        <f t="shared" si="349"/>
        <v>0</v>
      </c>
      <c r="G131" s="113">
        <f t="shared" si="349"/>
        <v>0</v>
      </c>
      <c r="H131" s="113">
        <f t="shared" si="350"/>
        <v>0</v>
      </c>
      <c r="I131" s="114">
        <v>0.5</v>
      </c>
      <c r="J131" s="115">
        <f t="shared" si="359"/>
        <v>46358</v>
      </c>
      <c r="K131" s="115">
        <f t="shared" si="351"/>
        <v>46358</v>
      </c>
      <c r="L131" s="116"/>
      <c r="M131" s="115">
        <f t="shared" si="352"/>
        <v>46400</v>
      </c>
      <c r="N131" s="115">
        <f t="shared" si="353"/>
        <v>46400</v>
      </c>
      <c r="O131" s="116"/>
      <c r="P131" s="115">
        <f t="shared" si="354"/>
        <v>46442</v>
      </c>
      <c r="Q131" s="115">
        <f t="shared" si="355"/>
        <v>46442</v>
      </c>
      <c r="R131" s="116"/>
      <c r="S131" s="115">
        <f t="shared" si="356"/>
        <v>46456</v>
      </c>
      <c r="T131" s="115">
        <f t="shared" si="357"/>
        <v>46456</v>
      </c>
      <c r="U131" s="116"/>
      <c r="W131" s="173" t="str">
        <f t="shared" ca="1" si="305"/>
        <v/>
      </c>
      <c r="X131" s="173" t="str">
        <f t="shared" ca="1" si="306"/>
        <v/>
      </c>
      <c r="Y131" s="173" t="str">
        <f t="shared" ca="1" si="307"/>
        <v/>
      </c>
      <c r="Z131" s="174" t="str">
        <f t="shared" ca="1" si="308"/>
        <v/>
      </c>
    </row>
    <row r="132" spans="1:26" s="70" customFormat="1" ht="11.5" x14ac:dyDescent="0.25">
      <c r="A132" s="112" t="s">
        <v>67</v>
      </c>
      <c r="B132" s="112" t="s">
        <v>34</v>
      </c>
      <c r="C132" s="112" t="s">
        <v>179</v>
      </c>
      <c r="D132" s="112" t="s">
        <v>180</v>
      </c>
      <c r="E132" s="113">
        <f t="shared" si="348"/>
        <v>0.5</v>
      </c>
      <c r="F132" s="113">
        <f t="shared" si="349"/>
        <v>0.5</v>
      </c>
      <c r="G132" s="113">
        <f t="shared" si="349"/>
        <v>0</v>
      </c>
      <c r="H132" s="113">
        <f t="shared" si="350"/>
        <v>-0.5</v>
      </c>
      <c r="I132" s="114">
        <v>0.5</v>
      </c>
      <c r="J132" s="115">
        <f t="shared" si="359"/>
        <v>46227</v>
      </c>
      <c r="K132" s="115">
        <f t="shared" si="351"/>
        <v>46227</v>
      </c>
      <c r="L132" s="115"/>
      <c r="M132" s="115">
        <f t="shared" si="352"/>
        <v>46269</v>
      </c>
      <c r="N132" s="115">
        <f t="shared" si="353"/>
        <v>46269</v>
      </c>
      <c r="O132" s="115"/>
      <c r="P132" s="115">
        <f t="shared" si="354"/>
        <v>46311</v>
      </c>
      <c r="Q132" s="115">
        <f t="shared" si="355"/>
        <v>46311</v>
      </c>
      <c r="R132" s="115"/>
      <c r="S132" s="115">
        <f t="shared" si="356"/>
        <v>46325</v>
      </c>
      <c r="T132" s="115">
        <f t="shared" si="357"/>
        <v>46325</v>
      </c>
      <c r="U132" s="115"/>
      <c r="W132" s="173" t="str">
        <f t="shared" ca="1" si="305"/>
        <v>Overdue</v>
      </c>
      <c r="X132" s="173" t="str">
        <f t="shared" ca="1" si="306"/>
        <v>Follow-This Week</v>
      </c>
      <c r="Y132" s="173" t="str">
        <f t="shared" ca="1" si="307"/>
        <v/>
      </c>
      <c r="Z132" s="174" t="str">
        <f t="shared" ca="1" si="308"/>
        <v/>
      </c>
    </row>
    <row r="133" spans="1:26" s="70" customFormat="1" ht="11.5" x14ac:dyDescent="0.25">
      <c r="A133" s="112" t="s">
        <v>67</v>
      </c>
      <c r="B133" s="112" t="s">
        <v>34</v>
      </c>
      <c r="C133" s="112" t="s">
        <v>181</v>
      </c>
      <c r="D133" s="112" t="s">
        <v>182</v>
      </c>
      <c r="E133" s="113">
        <f t="shared" si="348"/>
        <v>0</v>
      </c>
      <c r="F133" s="113">
        <f t="shared" si="349"/>
        <v>0</v>
      </c>
      <c r="G133" s="113">
        <f t="shared" si="349"/>
        <v>0.7</v>
      </c>
      <c r="H133" s="113">
        <f t="shared" si="350"/>
        <v>0.7</v>
      </c>
      <c r="I133" s="114">
        <v>0.5</v>
      </c>
      <c r="J133" s="115">
        <f t="shared" si="359"/>
        <v>46283</v>
      </c>
      <c r="K133" s="115">
        <f t="shared" si="351"/>
        <v>46283</v>
      </c>
      <c r="L133" s="144">
        <v>46161</v>
      </c>
      <c r="M133" s="115">
        <f t="shared" si="352"/>
        <v>46325</v>
      </c>
      <c r="N133" s="115">
        <f t="shared" si="353"/>
        <v>46325</v>
      </c>
      <c r="O133" s="165">
        <v>46262</v>
      </c>
      <c r="P133" s="115">
        <f t="shared" si="354"/>
        <v>46367</v>
      </c>
      <c r="Q133" s="115">
        <f t="shared" si="355"/>
        <v>46367</v>
      </c>
      <c r="R133" s="115"/>
      <c r="S133" s="115">
        <f t="shared" si="356"/>
        <v>46381</v>
      </c>
      <c r="T133" s="115">
        <f t="shared" si="357"/>
        <v>46381</v>
      </c>
      <c r="U133" s="115"/>
      <c r="W133" s="173" t="str">
        <f t="shared" ca="1" si="305"/>
        <v>Completed</v>
      </c>
      <c r="X133" s="173" t="str">
        <f t="shared" ca="1" si="306"/>
        <v>Completed</v>
      </c>
      <c r="Y133" s="173" t="str">
        <f t="shared" ca="1" si="307"/>
        <v/>
      </c>
      <c r="Z133" s="174" t="str">
        <f t="shared" ca="1" si="308"/>
        <v/>
      </c>
    </row>
    <row r="134" spans="1:26" s="70" customFormat="1" ht="11.5" x14ac:dyDescent="0.25">
      <c r="A134" s="112" t="s">
        <v>67</v>
      </c>
      <c r="B134" s="112" t="s">
        <v>34</v>
      </c>
      <c r="C134" s="112" t="s">
        <v>851</v>
      </c>
      <c r="D134" s="112" t="s">
        <v>183</v>
      </c>
      <c r="E134" s="113">
        <f t="shared" si="348"/>
        <v>0.7</v>
      </c>
      <c r="F134" s="113">
        <f t="shared" si="349"/>
        <v>0.7</v>
      </c>
      <c r="G134" s="113">
        <f t="shared" si="349"/>
        <v>0.5</v>
      </c>
      <c r="H134" s="113">
        <f t="shared" si="350"/>
        <v>-0.19999999999999996</v>
      </c>
      <c r="I134" s="114">
        <v>0.55000000000000004</v>
      </c>
      <c r="J134" s="115">
        <f t="shared" si="359"/>
        <v>46220</v>
      </c>
      <c r="K134" s="115">
        <f t="shared" si="351"/>
        <v>46220</v>
      </c>
      <c r="L134" s="115">
        <v>46255</v>
      </c>
      <c r="M134" s="115">
        <f t="shared" si="352"/>
        <v>46262</v>
      </c>
      <c r="N134" s="115">
        <f t="shared" si="353"/>
        <v>46262</v>
      </c>
      <c r="O134" s="116"/>
      <c r="P134" s="115">
        <f t="shared" si="354"/>
        <v>46304</v>
      </c>
      <c r="Q134" s="115">
        <f t="shared" si="355"/>
        <v>46304</v>
      </c>
      <c r="R134" s="116"/>
      <c r="S134" s="115">
        <f t="shared" si="356"/>
        <v>46318</v>
      </c>
      <c r="T134" s="115">
        <f t="shared" si="357"/>
        <v>46318</v>
      </c>
      <c r="U134" s="116"/>
      <c r="W134" s="173" t="str">
        <f t="shared" ca="1" si="305"/>
        <v>Completed</v>
      </c>
      <c r="X134" s="173" t="str">
        <f t="shared" ca="1" si="306"/>
        <v>Overdue</v>
      </c>
      <c r="Y134" s="173" t="str">
        <f t="shared" ca="1" si="307"/>
        <v/>
      </c>
      <c r="Z134" s="174" t="str">
        <f t="shared" ca="1" si="308"/>
        <v/>
      </c>
    </row>
    <row r="135" spans="1:26" s="70" customFormat="1" ht="11.5" x14ac:dyDescent="0.25">
      <c r="A135" s="112" t="s">
        <v>67</v>
      </c>
      <c r="B135" s="112" t="s">
        <v>34</v>
      </c>
      <c r="C135" s="112" t="s">
        <v>852</v>
      </c>
      <c r="D135" s="112" t="s">
        <v>184</v>
      </c>
      <c r="E135" s="113">
        <f t="shared" si="348"/>
        <v>0.5</v>
      </c>
      <c r="F135" s="113">
        <f t="shared" si="349"/>
        <v>0.5</v>
      </c>
      <c r="G135" s="113">
        <f t="shared" si="349"/>
        <v>0.7</v>
      </c>
      <c r="H135" s="113">
        <f t="shared" si="350"/>
        <v>0.19999999999999996</v>
      </c>
      <c r="I135" s="114">
        <v>0.55000000000000004</v>
      </c>
      <c r="J135" s="115">
        <f t="shared" si="359"/>
        <v>46227</v>
      </c>
      <c r="K135" s="115">
        <f t="shared" si="351"/>
        <v>46227</v>
      </c>
      <c r="L135" s="115">
        <v>46175</v>
      </c>
      <c r="M135" s="115">
        <f t="shared" si="352"/>
        <v>46269</v>
      </c>
      <c r="N135" s="115">
        <f t="shared" si="353"/>
        <v>46269</v>
      </c>
      <c r="O135" s="115">
        <v>46255</v>
      </c>
      <c r="P135" s="115">
        <f t="shared" si="354"/>
        <v>46311</v>
      </c>
      <c r="Q135" s="115">
        <f t="shared" si="355"/>
        <v>46311</v>
      </c>
      <c r="R135" s="115"/>
      <c r="S135" s="115">
        <f t="shared" si="356"/>
        <v>46325</v>
      </c>
      <c r="T135" s="115">
        <f t="shared" si="357"/>
        <v>46325</v>
      </c>
      <c r="U135" s="115"/>
      <c r="W135" s="173" t="str">
        <f t="shared" ca="1" si="305"/>
        <v>Completed</v>
      </c>
      <c r="X135" s="173" t="str">
        <f t="shared" ca="1" si="306"/>
        <v>Completed</v>
      </c>
      <c r="Y135" s="173" t="str">
        <f t="shared" ca="1" si="307"/>
        <v/>
      </c>
      <c r="Z135" s="174" t="str">
        <f t="shared" ca="1" si="308"/>
        <v/>
      </c>
    </row>
    <row r="136" spans="1:26" s="70" customFormat="1" ht="11.5" x14ac:dyDescent="0.25">
      <c r="A136" s="112" t="s">
        <v>67</v>
      </c>
      <c r="B136" s="112" t="s">
        <v>34</v>
      </c>
      <c r="C136" s="112" t="s">
        <v>853</v>
      </c>
      <c r="D136" s="112" t="s">
        <v>185</v>
      </c>
      <c r="E136" s="113">
        <f t="shared" si="348"/>
        <v>0.5</v>
      </c>
      <c r="F136" s="113">
        <f t="shared" si="349"/>
        <v>0.5</v>
      </c>
      <c r="G136" s="113">
        <f t="shared" si="349"/>
        <v>0.7</v>
      </c>
      <c r="H136" s="113">
        <f t="shared" si="350"/>
        <v>0.19999999999999996</v>
      </c>
      <c r="I136" s="114">
        <v>0.75</v>
      </c>
      <c r="J136" s="115">
        <f t="shared" si="359"/>
        <v>46248</v>
      </c>
      <c r="K136" s="115">
        <f t="shared" si="351"/>
        <v>46248</v>
      </c>
      <c r="L136" s="116">
        <v>46248</v>
      </c>
      <c r="M136" s="115">
        <f t="shared" si="352"/>
        <v>46290</v>
      </c>
      <c r="N136" s="115">
        <f t="shared" si="353"/>
        <v>46290</v>
      </c>
      <c r="O136" s="116">
        <v>46252</v>
      </c>
      <c r="P136" s="115">
        <f t="shared" si="354"/>
        <v>46332</v>
      </c>
      <c r="Q136" s="115">
        <f t="shared" si="355"/>
        <v>46332</v>
      </c>
      <c r="R136" s="115"/>
      <c r="S136" s="115">
        <f t="shared" si="356"/>
        <v>46346</v>
      </c>
      <c r="T136" s="115">
        <f t="shared" si="357"/>
        <v>46346</v>
      </c>
      <c r="U136" s="115"/>
      <c r="W136" s="173" t="str">
        <f t="shared" ca="1" si="305"/>
        <v>Completed</v>
      </c>
      <c r="X136" s="173" t="str">
        <f t="shared" ca="1" si="306"/>
        <v>Completed</v>
      </c>
      <c r="Y136" s="173" t="str">
        <f t="shared" ca="1" si="307"/>
        <v/>
      </c>
      <c r="Z136" s="174" t="str">
        <f t="shared" ca="1" si="308"/>
        <v/>
      </c>
    </row>
    <row r="137" spans="1:26" s="70" customFormat="1" ht="11.5" x14ac:dyDescent="0.25">
      <c r="A137" s="112" t="s">
        <v>67</v>
      </c>
      <c r="B137" s="112" t="s">
        <v>34</v>
      </c>
      <c r="C137" s="112" t="s">
        <v>186</v>
      </c>
      <c r="D137" s="112" t="s">
        <v>187</v>
      </c>
      <c r="E137" s="113">
        <f t="shared" si="348"/>
        <v>0.79999999999999993</v>
      </c>
      <c r="F137" s="113">
        <f t="shared" si="349"/>
        <v>0.79999999999999993</v>
      </c>
      <c r="G137" s="113">
        <f t="shared" si="349"/>
        <v>0.7</v>
      </c>
      <c r="H137" s="113">
        <f t="shared" si="350"/>
        <v>-9.9999999999999978E-2</v>
      </c>
      <c r="I137" s="114">
        <v>1</v>
      </c>
      <c r="J137" s="115">
        <f>J93+28</f>
        <v>46171</v>
      </c>
      <c r="K137" s="115">
        <f t="shared" si="351"/>
        <v>46171</v>
      </c>
      <c r="L137" s="115">
        <v>46130</v>
      </c>
      <c r="M137" s="115">
        <f t="shared" si="352"/>
        <v>46213</v>
      </c>
      <c r="N137" s="115">
        <f t="shared" si="353"/>
        <v>46213</v>
      </c>
      <c r="O137" s="115">
        <v>46230</v>
      </c>
      <c r="P137" s="115">
        <f t="shared" si="354"/>
        <v>46255</v>
      </c>
      <c r="Q137" s="115">
        <f t="shared" si="355"/>
        <v>46255</v>
      </c>
      <c r="R137" s="115"/>
      <c r="S137" s="115">
        <f t="shared" si="356"/>
        <v>46269</v>
      </c>
      <c r="T137" s="115">
        <f t="shared" si="357"/>
        <v>46269</v>
      </c>
      <c r="U137" s="115"/>
      <c r="W137" s="173" t="str">
        <f t="shared" ca="1" si="305"/>
        <v>Completed</v>
      </c>
      <c r="X137" s="173" t="str">
        <f t="shared" ca="1" si="306"/>
        <v>Completed</v>
      </c>
      <c r="Y137" s="173" t="str">
        <f t="shared" ca="1" si="307"/>
        <v>Overdue</v>
      </c>
      <c r="Z137" s="174" t="str">
        <f t="shared" ca="1" si="308"/>
        <v>Follow-This Week</v>
      </c>
    </row>
    <row r="138" spans="1:26" s="70" customFormat="1" ht="11.5" x14ac:dyDescent="0.25">
      <c r="A138" s="112" t="s">
        <v>67</v>
      </c>
      <c r="B138" s="112" t="s">
        <v>34</v>
      </c>
      <c r="C138" s="112" t="s">
        <v>188</v>
      </c>
      <c r="D138" s="112" t="s">
        <v>189</v>
      </c>
      <c r="E138" s="113">
        <f t="shared" si="348"/>
        <v>0.5</v>
      </c>
      <c r="F138" s="113">
        <f t="shared" si="349"/>
        <v>0.5</v>
      </c>
      <c r="G138" s="113">
        <f t="shared" si="349"/>
        <v>0.7</v>
      </c>
      <c r="H138" s="113">
        <f t="shared" si="350"/>
        <v>0.19999999999999996</v>
      </c>
      <c r="I138" s="114">
        <v>0.5</v>
      </c>
      <c r="J138" s="115">
        <f>J94+28</f>
        <v>46234</v>
      </c>
      <c r="K138" s="115">
        <f t="shared" si="351"/>
        <v>46234</v>
      </c>
      <c r="L138" s="115">
        <v>46230</v>
      </c>
      <c r="M138" s="115">
        <f t="shared" si="352"/>
        <v>46276</v>
      </c>
      <c r="N138" s="115">
        <f t="shared" si="353"/>
        <v>46276</v>
      </c>
      <c r="O138" s="116">
        <v>46248</v>
      </c>
      <c r="P138" s="115">
        <f t="shared" si="354"/>
        <v>46318</v>
      </c>
      <c r="Q138" s="115">
        <f t="shared" si="355"/>
        <v>46318</v>
      </c>
      <c r="R138" s="115"/>
      <c r="S138" s="115">
        <f t="shared" si="356"/>
        <v>46332</v>
      </c>
      <c r="T138" s="115">
        <f t="shared" si="357"/>
        <v>46332</v>
      </c>
      <c r="U138" s="115"/>
      <c r="W138" s="173" t="str">
        <f t="shared" ca="1" si="305"/>
        <v>Completed</v>
      </c>
      <c r="X138" s="173" t="str">
        <f t="shared" ca="1" si="306"/>
        <v>Completed</v>
      </c>
      <c r="Y138" s="173" t="str">
        <f t="shared" ca="1" si="307"/>
        <v/>
      </c>
      <c r="Z138" s="174" t="str">
        <f t="shared" ca="1" si="308"/>
        <v/>
      </c>
    </row>
    <row r="139" spans="1:26" s="70" customFormat="1" ht="11.5" x14ac:dyDescent="0.25">
      <c r="A139" s="112" t="s">
        <v>67</v>
      </c>
      <c r="B139" s="112" t="s">
        <v>34</v>
      </c>
      <c r="C139" s="112" t="s">
        <v>190</v>
      </c>
      <c r="D139" s="112" t="s">
        <v>191</v>
      </c>
      <c r="E139" s="113">
        <f t="shared" si="348"/>
        <v>0.5</v>
      </c>
      <c r="F139" s="113">
        <f t="shared" si="349"/>
        <v>0.5</v>
      </c>
      <c r="G139" s="113">
        <f t="shared" si="349"/>
        <v>0.7</v>
      </c>
      <c r="H139" s="113">
        <f t="shared" si="350"/>
        <v>0.19999999999999996</v>
      </c>
      <c r="I139" s="114">
        <v>0.5</v>
      </c>
      <c r="J139" s="115">
        <f>J95+28</f>
        <v>46241</v>
      </c>
      <c r="K139" s="115">
        <f t="shared" si="351"/>
        <v>46241</v>
      </c>
      <c r="L139" s="115">
        <v>46230</v>
      </c>
      <c r="M139" s="115">
        <f t="shared" si="352"/>
        <v>46283</v>
      </c>
      <c r="N139" s="115">
        <f t="shared" si="353"/>
        <v>46283</v>
      </c>
      <c r="O139" s="116">
        <v>46248</v>
      </c>
      <c r="P139" s="115">
        <f t="shared" si="354"/>
        <v>46325</v>
      </c>
      <c r="Q139" s="115">
        <f t="shared" si="355"/>
        <v>46325</v>
      </c>
      <c r="R139" s="115"/>
      <c r="S139" s="115">
        <f t="shared" si="356"/>
        <v>46339</v>
      </c>
      <c r="T139" s="115">
        <f t="shared" si="357"/>
        <v>46339</v>
      </c>
      <c r="U139" s="115"/>
      <c r="W139" s="173" t="str">
        <f t="shared" ca="1" si="305"/>
        <v>Completed</v>
      </c>
      <c r="X139" s="173" t="str">
        <f t="shared" ca="1" si="306"/>
        <v>Completed</v>
      </c>
      <c r="Y139" s="173" t="str">
        <f t="shared" ca="1" si="307"/>
        <v/>
      </c>
      <c r="Z139" s="174" t="str">
        <f t="shared" ca="1" si="308"/>
        <v/>
      </c>
    </row>
    <row r="140" spans="1:26" s="70" customFormat="1" ht="11.5" x14ac:dyDescent="0.25">
      <c r="A140" s="112" t="s">
        <v>67</v>
      </c>
      <c r="B140" s="112" t="s">
        <v>34</v>
      </c>
      <c r="C140" s="112" t="s">
        <v>839</v>
      </c>
      <c r="D140" s="112" t="s">
        <v>840</v>
      </c>
      <c r="E140" s="113">
        <f t="shared" ref="E140:E141" si="360">(COUNTIFS(J140,"&lt;="&amp;$C$1)*50%)+(COUNTIFS(M140,"&lt;="&amp;$C$1)*20%)+(COUNTIFS(P140,"&lt;="&amp;$C$1)*10%)+(COUNTIFS(S140,"&lt;="&amp;$C$1)*20%)</f>
        <v>1</v>
      </c>
      <c r="F140" s="113">
        <f t="shared" ref="F140:F141" si="361">(COUNTIFS(K140,"&lt;="&amp;$C$1)*50%)+(COUNTIFS(N140,"&lt;="&amp;$C$1)*20%)+(COUNTIFS(Q140,"&lt;="&amp;$C$1)*10%)+(COUNTIFS(T140,"&lt;="&amp;$C$1)*20%)</f>
        <v>1</v>
      </c>
      <c r="G140" s="113">
        <f t="shared" ref="G140:G141" si="362">(COUNTIFS(L140,"&lt;="&amp;$C$1)*50%)+(COUNTIFS(O140,"&lt;="&amp;$C$1)*20%)+(COUNTIFS(R140,"&lt;="&amp;$C$1)*10%)+(COUNTIFS(U140,"&lt;="&amp;$C$1)*20%)</f>
        <v>0.7</v>
      </c>
      <c r="H140" s="113">
        <f t="shared" ref="H140:H141" si="363">G140-E140</f>
        <v>-0.30000000000000004</v>
      </c>
      <c r="I140" s="114">
        <v>0.4</v>
      </c>
      <c r="J140" s="115">
        <v>46122</v>
      </c>
      <c r="K140" s="115">
        <f t="shared" ref="K140:K142" si="364">J140</f>
        <v>46122</v>
      </c>
      <c r="L140" s="115">
        <v>46115</v>
      </c>
      <c r="M140" s="115">
        <f t="shared" ref="M140:M142" si="365">J140+42</f>
        <v>46164</v>
      </c>
      <c r="N140" s="115">
        <f t="shared" ref="N140:N142" si="366">M140</f>
        <v>46164</v>
      </c>
      <c r="O140" s="117">
        <v>46191</v>
      </c>
      <c r="P140" s="115">
        <f t="shared" ref="P140:P142" si="367">M140+42</f>
        <v>46206</v>
      </c>
      <c r="Q140" s="115">
        <f t="shared" ref="Q140:Q142" si="368">P140</f>
        <v>46206</v>
      </c>
      <c r="R140" s="115"/>
      <c r="S140" s="115">
        <f t="shared" ref="S140:S142" si="369">P140+14</f>
        <v>46220</v>
      </c>
      <c r="T140" s="115">
        <f t="shared" ref="T140:T142" si="370">S140</f>
        <v>46220</v>
      </c>
      <c r="U140" s="115"/>
      <c r="W140" s="173" t="str">
        <f t="shared" ca="1" si="305"/>
        <v>Completed</v>
      </c>
      <c r="X140" s="173" t="str">
        <f t="shared" ca="1" si="306"/>
        <v>Completed</v>
      </c>
      <c r="Y140" s="173" t="str">
        <f t="shared" ca="1" si="307"/>
        <v>Overdue</v>
      </c>
      <c r="Z140" s="174" t="str">
        <f t="shared" ca="1" si="308"/>
        <v>Overdue</v>
      </c>
    </row>
    <row r="141" spans="1:26" s="70" customFormat="1" ht="11.5" x14ac:dyDescent="0.25">
      <c r="A141" s="112" t="s">
        <v>67</v>
      </c>
      <c r="B141" s="112" t="s">
        <v>34</v>
      </c>
      <c r="C141" s="112" t="s">
        <v>841</v>
      </c>
      <c r="D141" s="112" t="s">
        <v>842</v>
      </c>
      <c r="E141" s="113">
        <f t="shared" si="360"/>
        <v>1</v>
      </c>
      <c r="F141" s="113">
        <f t="shared" si="361"/>
        <v>1</v>
      </c>
      <c r="G141" s="113">
        <f t="shared" si="362"/>
        <v>0.7</v>
      </c>
      <c r="H141" s="113">
        <f t="shared" si="363"/>
        <v>-0.30000000000000004</v>
      </c>
      <c r="I141" s="114">
        <v>0.4</v>
      </c>
      <c r="J141" s="115">
        <v>46129</v>
      </c>
      <c r="K141" s="115">
        <f t="shared" si="364"/>
        <v>46129</v>
      </c>
      <c r="L141" s="115">
        <v>46142</v>
      </c>
      <c r="M141" s="115">
        <f t="shared" si="365"/>
        <v>46171</v>
      </c>
      <c r="N141" s="115">
        <f t="shared" si="366"/>
        <v>46171</v>
      </c>
      <c r="O141" s="117">
        <v>46191</v>
      </c>
      <c r="P141" s="115">
        <f t="shared" si="367"/>
        <v>46213</v>
      </c>
      <c r="Q141" s="115">
        <f t="shared" si="368"/>
        <v>46213</v>
      </c>
      <c r="R141" s="115"/>
      <c r="S141" s="115">
        <f t="shared" si="369"/>
        <v>46227</v>
      </c>
      <c r="T141" s="115">
        <f t="shared" si="370"/>
        <v>46227</v>
      </c>
      <c r="U141" s="115"/>
      <c r="W141" s="173" t="str">
        <f t="shared" ca="1" si="305"/>
        <v>Completed</v>
      </c>
      <c r="X141" s="173" t="str">
        <f t="shared" ca="1" si="306"/>
        <v>Completed</v>
      </c>
      <c r="Y141" s="173" t="str">
        <f t="shared" ca="1" si="307"/>
        <v>Overdue</v>
      </c>
      <c r="Z141" s="174" t="str">
        <f t="shared" ca="1" si="308"/>
        <v>Overdue</v>
      </c>
    </row>
    <row r="142" spans="1:26" s="70" customFormat="1" ht="11.5" x14ac:dyDescent="0.25">
      <c r="A142" s="194" t="s">
        <v>67</v>
      </c>
      <c r="B142" s="194" t="s">
        <v>34</v>
      </c>
      <c r="C142" s="194" t="s">
        <v>843</v>
      </c>
      <c r="D142" s="194" t="s">
        <v>844</v>
      </c>
      <c r="E142" s="195"/>
      <c r="F142" s="195"/>
      <c r="G142" s="195"/>
      <c r="H142" s="195"/>
      <c r="I142" s="196">
        <v>0.2</v>
      </c>
      <c r="J142" s="197">
        <v>46142</v>
      </c>
      <c r="K142" s="197">
        <f t="shared" si="364"/>
        <v>46142</v>
      </c>
      <c r="L142" s="198">
        <v>46248</v>
      </c>
      <c r="M142" s="197">
        <f t="shared" si="365"/>
        <v>46184</v>
      </c>
      <c r="N142" s="197">
        <f t="shared" si="366"/>
        <v>46184</v>
      </c>
      <c r="O142" s="198">
        <v>46248</v>
      </c>
      <c r="P142" s="197">
        <f t="shared" si="367"/>
        <v>46226</v>
      </c>
      <c r="Q142" s="197">
        <f t="shared" si="368"/>
        <v>46226</v>
      </c>
      <c r="R142" s="198">
        <v>46248</v>
      </c>
      <c r="S142" s="197">
        <f t="shared" si="369"/>
        <v>46240</v>
      </c>
      <c r="T142" s="197">
        <f t="shared" si="370"/>
        <v>46240</v>
      </c>
      <c r="U142" s="198">
        <v>46248</v>
      </c>
      <c r="W142" s="173" t="str">
        <f t="shared" ca="1" si="305"/>
        <v>Completed</v>
      </c>
      <c r="X142" s="173" t="str">
        <f t="shared" ca="1" si="306"/>
        <v>Completed</v>
      </c>
      <c r="Y142" s="173" t="str">
        <f t="shared" ca="1" si="307"/>
        <v>Completed</v>
      </c>
      <c r="Z142" s="174" t="str">
        <f t="shared" ca="1" si="308"/>
        <v>Completed</v>
      </c>
    </row>
    <row r="143" spans="1:26" s="70" customFormat="1" ht="11.5" x14ac:dyDescent="0.25">
      <c r="A143" s="112" t="s">
        <v>67</v>
      </c>
      <c r="B143" s="112" t="s">
        <v>34</v>
      </c>
      <c r="C143" s="112" t="s">
        <v>843</v>
      </c>
      <c r="D143" s="112" t="s">
        <v>1142</v>
      </c>
      <c r="E143" s="113">
        <f t="shared" ref="E143" si="371">(COUNTIFS(J143,"&lt;="&amp;$C$1)*50%)+(COUNTIFS(M143,"&lt;="&amp;$C$1)*20%)+(COUNTIFS(P143,"&lt;="&amp;$C$1)*10%)+(COUNTIFS(S143,"&lt;="&amp;$C$1)*20%)</f>
        <v>1</v>
      </c>
      <c r="F143" s="113">
        <f t="shared" ref="F143" si="372">(COUNTIFS(K143,"&lt;="&amp;$C$1)*50%)+(COUNTIFS(N143,"&lt;="&amp;$C$1)*20%)+(COUNTIFS(Q143,"&lt;="&amp;$C$1)*10%)+(COUNTIFS(T143,"&lt;="&amp;$C$1)*20%)</f>
        <v>1</v>
      </c>
      <c r="G143" s="113">
        <f t="shared" ref="G143" si="373">(COUNTIFS(L143,"&lt;="&amp;$C$1)*50%)+(COUNTIFS(O143,"&lt;="&amp;$C$1)*20%)+(COUNTIFS(R143,"&lt;="&amp;$C$1)*10%)+(COUNTIFS(U143,"&lt;="&amp;$C$1)*20%)</f>
        <v>0</v>
      </c>
      <c r="H143" s="113">
        <f t="shared" ref="H143" si="374">G143-E143</f>
        <v>-1</v>
      </c>
      <c r="I143" s="114"/>
      <c r="J143" s="115">
        <v>46142</v>
      </c>
      <c r="K143" s="115">
        <f t="shared" ref="K143" si="375">J143</f>
        <v>46142</v>
      </c>
      <c r="L143" s="115"/>
      <c r="M143" s="115">
        <f t="shared" ref="M143" si="376">J143+42</f>
        <v>46184</v>
      </c>
      <c r="N143" s="115">
        <f t="shared" ref="N143" si="377">M143</f>
        <v>46184</v>
      </c>
      <c r="O143" s="115"/>
      <c r="P143" s="115">
        <f t="shared" ref="P143" si="378">M143+42</f>
        <v>46226</v>
      </c>
      <c r="Q143" s="115">
        <f t="shared" ref="Q143" si="379">P143</f>
        <v>46226</v>
      </c>
      <c r="R143" s="115"/>
      <c r="S143" s="115">
        <f t="shared" ref="S143" si="380">P143+14</f>
        <v>46240</v>
      </c>
      <c r="T143" s="115">
        <f t="shared" ref="T143" si="381">S143</f>
        <v>46240</v>
      </c>
      <c r="U143" s="115"/>
      <c r="W143" s="173" t="str">
        <f t="shared" ref="W143" ca="1" si="382">IF(OR(L143&lt;&gt;""),"Completed",
IF(K143="","",IF(K143&lt;TODAY(),"Overdue",
IF(AND(K143&gt;=TODAY()-WEEKDAY(TODAY(),2)+1,K143&lt;=TODAY()-WEEKDAY(TODAY(),2)+7),"Follow-This Week",
IF(AND(K143&gt;=TODAY()-WEEKDAY(TODAY(),2)+8,K143&lt;=TODAY()-WEEKDAY(TODAY(),2)+14),"Follow-Next Week","")))))</f>
        <v>Overdue</v>
      </c>
      <c r="X143" s="173" t="str">
        <f t="shared" ref="X143" ca="1" si="383">IF(OR(O143&lt;&gt;""),"Completed",IF(N143="","",
IF(N143&lt;TODAY(),"Overdue",
IF(AND(N143&gt;=TODAY()-WEEKDAY(TODAY(),2)+1,N143&lt;=TODAY()-WEEKDAY(TODAY(),2)+7),"Follow-This Week",
IF(AND(N143&gt;=TODAY()-WEEKDAY(TODAY(),2)+8,N143&lt;=TODAY()-WEEKDAY(TODAY(),2)+14),"Follow-Next Week","")))))</f>
        <v>Overdue</v>
      </c>
      <c r="Y143" s="173" t="str">
        <f t="shared" ref="Y143" ca="1" si="384">IF(OR(R143&lt;&gt;""),"Completed",IF(Q143="","",
IF(Q143&lt;TODAY(),"Overdue",
IF(AND(Q143&gt;=TODAY()-WEEKDAY(TODAY(),2)+1,Q143&lt;=TODAY()-WEEKDAY(TODAY(),2)+7),"Follow-This Week",
IF(AND(Q143&gt;=TODAY()-WEEKDAY(TODAY(),2)+8,Q143&lt;=TODAY()-WEEKDAY(TODAY(),2)+14),"Follow-Next Week","")))))</f>
        <v>Overdue</v>
      </c>
      <c r="Z143" s="174" t="str">
        <f t="shared" ref="Z143" ca="1" si="385">IF(OR(U143&lt;&gt;""),"Completed",IF(T143="","",
IF(T143&lt;TODAY(),"Overdue",
IF(AND(T143&gt;=TODAY()-WEEKDAY(TODAY(),2)+1,T143&lt;=TODAY()-WEEKDAY(TODAY(),2)+7),"Follow-This Week",
IF(AND(T143&gt;=TODAY()-WEEKDAY(TODAY(),2)+8,T143&lt;=TODAY()-WEEKDAY(TODAY(),2)+14),"Follow-Next Week","")))))</f>
        <v>Overdue</v>
      </c>
    </row>
    <row r="144" spans="1:26" s="70" customFormat="1" ht="11.5" x14ac:dyDescent="0.25">
      <c r="A144" s="112" t="s">
        <v>67</v>
      </c>
      <c r="B144" s="112" t="s">
        <v>34</v>
      </c>
      <c r="C144" s="139" t="s">
        <v>897</v>
      </c>
      <c r="D144" s="112" t="s">
        <v>899</v>
      </c>
      <c r="E144" s="113">
        <v>0</v>
      </c>
      <c r="F144" s="113">
        <v>0</v>
      </c>
      <c r="G144" s="113">
        <v>0.5</v>
      </c>
      <c r="H144" s="113">
        <v>0.5</v>
      </c>
      <c r="I144" s="114">
        <v>0.2</v>
      </c>
      <c r="J144" s="115">
        <v>46157</v>
      </c>
      <c r="K144" s="115">
        <v>46157</v>
      </c>
      <c r="L144" s="115">
        <v>46150</v>
      </c>
      <c r="M144" s="115">
        <v>46199</v>
      </c>
      <c r="N144" s="115">
        <v>46199</v>
      </c>
      <c r="O144" s="115">
        <v>46191</v>
      </c>
      <c r="P144" s="115">
        <v>46241</v>
      </c>
      <c r="Q144" s="115">
        <v>46241</v>
      </c>
      <c r="R144" s="115">
        <v>46227</v>
      </c>
      <c r="S144" s="115">
        <v>46255</v>
      </c>
      <c r="T144" s="115">
        <v>46255</v>
      </c>
      <c r="U144" s="115">
        <v>46239</v>
      </c>
      <c r="W144" s="173" t="str">
        <f t="shared" ca="1" si="305"/>
        <v>Completed</v>
      </c>
      <c r="X144" s="173" t="str">
        <f t="shared" ca="1" si="306"/>
        <v>Completed</v>
      </c>
      <c r="Y144" s="173" t="str">
        <f t="shared" ca="1" si="307"/>
        <v>Completed</v>
      </c>
      <c r="Z144" s="174" t="str">
        <f t="shared" ca="1" si="308"/>
        <v>Completed</v>
      </c>
    </row>
    <row r="145" spans="1:26" s="70" customFormat="1" ht="11.5" x14ac:dyDescent="0.25">
      <c r="A145" s="112" t="s">
        <v>67</v>
      </c>
      <c r="B145" s="139" t="s">
        <v>34</v>
      </c>
      <c r="C145" s="139" t="s">
        <v>898</v>
      </c>
      <c r="D145" s="112" t="s">
        <v>900</v>
      </c>
      <c r="E145" s="113">
        <v>0</v>
      </c>
      <c r="F145" s="113">
        <v>0</v>
      </c>
      <c r="G145" s="113">
        <v>0.5</v>
      </c>
      <c r="H145" s="113">
        <v>0.5</v>
      </c>
      <c r="I145" s="114">
        <v>0.2</v>
      </c>
      <c r="J145" s="115">
        <v>46157</v>
      </c>
      <c r="K145" s="115">
        <v>46157</v>
      </c>
      <c r="L145" s="115">
        <v>46150</v>
      </c>
      <c r="M145" s="115">
        <v>46199</v>
      </c>
      <c r="N145" s="115">
        <v>46199</v>
      </c>
      <c r="O145" s="115">
        <v>46191</v>
      </c>
      <c r="P145" s="115">
        <v>46241</v>
      </c>
      <c r="Q145" s="115">
        <v>46241</v>
      </c>
      <c r="R145" s="115">
        <v>46227</v>
      </c>
      <c r="S145" s="115">
        <v>46255</v>
      </c>
      <c r="T145" s="115">
        <v>46255</v>
      </c>
      <c r="U145" s="115">
        <v>46239</v>
      </c>
      <c r="W145" s="173" t="str">
        <f t="shared" ca="1" si="305"/>
        <v>Completed</v>
      </c>
      <c r="X145" s="173" t="str">
        <f t="shared" ca="1" si="306"/>
        <v>Completed</v>
      </c>
      <c r="Y145" s="173" t="str">
        <f t="shared" ca="1" si="307"/>
        <v>Completed</v>
      </c>
      <c r="Z145" s="174" t="str">
        <f t="shared" ca="1" si="308"/>
        <v>Completed</v>
      </c>
    </row>
    <row r="146" spans="1:26" s="70" customFormat="1" ht="11.5" x14ac:dyDescent="0.25">
      <c r="A146" s="112" t="s">
        <v>67</v>
      </c>
      <c r="B146" s="112" t="s">
        <v>34</v>
      </c>
      <c r="C146" s="139" t="s">
        <v>891</v>
      </c>
      <c r="D146" s="140" t="s">
        <v>893</v>
      </c>
      <c r="E146" s="141">
        <v>0.5</v>
      </c>
      <c r="F146" s="141">
        <v>0.5</v>
      </c>
      <c r="G146" s="141">
        <v>0.5</v>
      </c>
      <c r="H146" s="141">
        <v>0</v>
      </c>
      <c r="I146" s="114">
        <v>0.2</v>
      </c>
      <c r="J146" s="142">
        <v>46143</v>
      </c>
      <c r="K146" s="142">
        <v>46143</v>
      </c>
      <c r="L146" s="115">
        <v>46142</v>
      </c>
      <c r="M146" s="115">
        <v>46185</v>
      </c>
      <c r="N146" s="115">
        <v>46185</v>
      </c>
      <c r="O146" s="115">
        <v>46191</v>
      </c>
      <c r="P146" s="115">
        <v>46227</v>
      </c>
      <c r="Q146" s="115">
        <v>46227</v>
      </c>
      <c r="R146" s="116">
        <v>46202</v>
      </c>
      <c r="S146" s="115">
        <v>46241</v>
      </c>
      <c r="T146" s="115">
        <v>46241</v>
      </c>
      <c r="U146" s="142">
        <v>46209</v>
      </c>
      <c r="W146" s="173" t="str">
        <f t="shared" ca="1" si="305"/>
        <v>Completed</v>
      </c>
      <c r="X146" s="173" t="str">
        <f t="shared" ca="1" si="306"/>
        <v>Completed</v>
      </c>
      <c r="Y146" s="173" t="str">
        <f t="shared" ca="1" si="307"/>
        <v>Completed</v>
      </c>
      <c r="Z146" s="174" t="str">
        <f t="shared" ca="1" si="308"/>
        <v>Completed</v>
      </c>
    </row>
    <row r="147" spans="1:26" s="70" customFormat="1" ht="11.5" x14ac:dyDescent="0.25">
      <c r="A147" s="112" t="s">
        <v>67</v>
      </c>
      <c r="B147" s="139" t="s">
        <v>34</v>
      </c>
      <c r="C147" s="139" t="s">
        <v>892</v>
      </c>
      <c r="D147" s="140" t="s">
        <v>894</v>
      </c>
      <c r="E147" s="113">
        <v>0.5</v>
      </c>
      <c r="F147" s="113">
        <v>0.5</v>
      </c>
      <c r="G147" s="113">
        <v>0.5</v>
      </c>
      <c r="H147" s="113">
        <v>0</v>
      </c>
      <c r="I147" s="114">
        <v>0.2</v>
      </c>
      <c r="J147" s="142">
        <v>46143</v>
      </c>
      <c r="K147" s="142">
        <v>46143</v>
      </c>
      <c r="L147" s="115">
        <v>46142</v>
      </c>
      <c r="M147" s="115">
        <v>46185</v>
      </c>
      <c r="N147" s="115">
        <v>46185</v>
      </c>
      <c r="O147" s="115">
        <v>46191</v>
      </c>
      <c r="P147" s="115">
        <v>46227</v>
      </c>
      <c r="Q147" s="115">
        <v>46227</v>
      </c>
      <c r="R147" s="115">
        <v>46254</v>
      </c>
      <c r="S147" s="115">
        <v>46241</v>
      </c>
      <c r="T147" s="115">
        <v>46241</v>
      </c>
      <c r="U147" s="142"/>
      <c r="W147" s="173" t="str">
        <f t="shared" ca="1" si="305"/>
        <v>Completed</v>
      </c>
      <c r="X147" s="173" t="str">
        <f t="shared" ca="1" si="306"/>
        <v>Completed</v>
      </c>
      <c r="Y147" s="173" t="str">
        <f t="shared" ca="1" si="307"/>
        <v>Completed</v>
      </c>
      <c r="Z147" s="174" t="str">
        <f t="shared" ca="1" si="308"/>
        <v>Overdue</v>
      </c>
    </row>
    <row r="148" spans="1:26" s="70" customFormat="1" ht="11.5" x14ac:dyDescent="0.25">
      <c r="A148" s="112" t="s">
        <v>67</v>
      </c>
      <c r="B148" s="112" t="s">
        <v>34</v>
      </c>
      <c r="C148" s="139" t="s">
        <v>895</v>
      </c>
      <c r="D148" s="140" t="s">
        <v>896</v>
      </c>
      <c r="E148" s="113">
        <v>0</v>
      </c>
      <c r="F148" s="113">
        <v>0</v>
      </c>
      <c r="G148" s="113">
        <v>0.5</v>
      </c>
      <c r="H148" s="113">
        <v>0.5</v>
      </c>
      <c r="I148" s="114">
        <v>0.2</v>
      </c>
      <c r="J148" s="142">
        <v>46157</v>
      </c>
      <c r="K148" s="142">
        <v>46157</v>
      </c>
      <c r="L148" s="115">
        <v>46150</v>
      </c>
      <c r="M148" s="115">
        <v>46199</v>
      </c>
      <c r="N148" s="115">
        <v>46199</v>
      </c>
      <c r="O148" s="115">
        <v>46191</v>
      </c>
      <c r="P148" s="115">
        <v>46241</v>
      </c>
      <c r="Q148" s="115">
        <v>46241</v>
      </c>
      <c r="R148" s="116">
        <v>46204</v>
      </c>
      <c r="S148" s="115">
        <v>46255</v>
      </c>
      <c r="T148" s="115">
        <v>46255</v>
      </c>
      <c r="U148" s="142">
        <v>46223</v>
      </c>
      <c r="W148" s="173" t="str">
        <f t="shared" ca="1" si="305"/>
        <v>Completed</v>
      </c>
      <c r="X148" s="173" t="str">
        <f t="shared" ca="1" si="306"/>
        <v>Completed</v>
      </c>
      <c r="Y148" s="173" t="str">
        <f t="shared" ca="1" si="307"/>
        <v>Completed</v>
      </c>
      <c r="Z148" s="174" t="str">
        <f t="shared" ca="1" si="308"/>
        <v>Completed</v>
      </c>
    </row>
    <row r="149" spans="1:26" s="70" customFormat="1" ht="11.5" x14ac:dyDescent="0.25">
      <c r="A149" s="112" t="s">
        <v>67</v>
      </c>
      <c r="B149" s="112" t="s">
        <v>34</v>
      </c>
      <c r="C149" s="139" t="s">
        <v>911</v>
      </c>
      <c r="D149" s="140" t="s">
        <v>912</v>
      </c>
      <c r="E149" s="113">
        <v>0</v>
      </c>
      <c r="F149" s="113">
        <v>0</v>
      </c>
      <c r="G149" s="113">
        <v>0.5</v>
      </c>
      <c r="H149" s="113">
        <v>0.5</v>
      </c>
      <c r="I149" s="114">
        <v>0.5</v>
      </c>
      <c r="J149" s="142">
        <f>J105+28</f>
        <v>46241</v>
      </c>
      <c r="K149" s="142">
        <f>K105+28</f>
        <v>46241</v>
      </c>
      <c r="L149" s="115">
        <v>46171</v>
      </c>
      <c r="M149" s="115">
        <f>J149+42</f>
        <v>46283</v>
      </c>
      <c r="N149" s="115">
        <f>K149+42</f>
        <v>46283</v>
      </c>
      <c r="O149" s="165">
        <v>46262</v>
      </c>
      <c r="P149" s="115">
        <f>M149+42</f>
        <v>46325</v>
      </c>
      <c r="Q149" s="115">
        <f>N149+42</f>
        <v>46325</v>
      </c>
      <c r="R149" s="115"/>
      <c r="S149" s="115">
        <f>P149+14</f>
        <v>46339</v>
      </c>
      <c r="T149" s="115">
        <f>Q149+14</f>
        <v>46339</v>
      </c>
      <c r="U149" s="142"/>
      <c r="W149" s="173" t="str">
        <f t="shared" ca="1" si="305"/>
        <v>Completed</v>
      </c>
      <c r="X149" s="173" t="str">
        <f t="shared" ca="1" si="306"/>
        <v>Completed</v>
      </c>
      <c r="Y149" s="173" t="str">
        <f t="shared" ca="1" si="307"/>
        <v/>
      </c>
      <c r="Z149" s="174" t="str">
        <f t="shared" ca="1" si="308"/>
        <v/>
      </c>
    </row>
    <row r="150" spans="1:26" s="70" customFormat="1" ht="11.5" x14ac:dyDescent="0.25">
      <c r="A150" s="112" t="s">
        <v>67</v>
      </c>
      <c r="B150" s="112" t="s">
        <v>34</v>
      </c>
      <c r="C150" s="112" t="s">
        <v>955</v>
      </c>
      <c r="D150" s="112" t="s">
        <v>956</v>
      </c>
      <c r="E150" s="113">
        <v>0</v>
      </c>
      <c r="F150" s="113">
        <v>0</v>
      </c>
      <c r="G150" s="113">
        <v>0.5</v>
      </c>
      <c r="H150" s="113">
        <v>0.5</v>
      </c>
      <c r="I150" s="114"/>
      <c r="J150" s="142">
        <f>J106+28</f>
        <v>46358</v>
      </c>
      <c r="K150" s="142">
        <f>K106+28</f>
        <v>46358</v>
      </c>
      <c r="L150" s="115"/>
      <c r="M150" s="115">
        <f>J150+42</f>
        <v>46400</v>
      </c>
      <c r="N150" s="115">
        <f>K150+42</f>
        <v>46400</v>
      </c>
      <c r="O150" s="115"/>
      <c r="P150" s="115">
        <f>M150+42</f>
        <v>46442</v>
      </c>
      <c r="Q150" s="115">
        <f t="shared" ref="Q150" si="386">N150+14</f>
        <v>46414</v>
      </c>
      <c r="R150" s="115"/>
      <c r="S150" s="115">
        <f>P150+14</f>
        <v>46456</v>
      </c>
      <c r="T150" s="115">
        <f t="shared" ref="T150" si="387">Q150+14</f>
        <v>46428</v>
      </c>
      <c r="U150" s="142"/>
      <c r="W150" s="173" t="str">
        <f t="shared" ca="1" si="305"/>
        <v/>
      </c>
      <c r="X150" s="173" t="str">
        <f t="shared" ca="1" si="306"/>
        <v/>
      </c>
      <c r="Y150" s="173" t="str">
        <f t="shared" ca="1" si="307"/>
        <v/>
      </c>
      <c r="Z150" s="174" t="str">
        <f t="shared" ca="1" si="308"/>
        <v/>
      </c>
    </row>
    <row r="151" spans="1:26" s="70" customFormat="1" ht="11.5" x14ac:dyDescent="0.25">
      <c r="A151" s="71" t="s">
        <v>67</v>
      </c>
      <c r="B151" s="71" t="s">
        <v>34</v>
      </c>
      <c r="C151" s="71" t="s">
        <v>983</v>
      </c>
      <c r="D151" s="71" t="s">
        <v>820</v>
      </c>
      <c r="E151" s="81">
        <f t="shared" si="348"/>
        <v>0</v>
      </c>
      <c r="F151" s="81">
        <f t="shared" si="349"/>
        <v>0</v>
      </c>
      <c r="G151" s="81">
        <f t="shared" si="349"/>
        <v>0</v>
      </c>
      <c r="H151" s="81">
        <f t="shared" si="350"/>
        <v>0</v>
      </c>
      <c r="I151" s="82">
        <v>0.2</v>
      </c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W151" s="173" t="str">
        <f t="shared" ca="1" si="305"/>
        <v/>
      </c>
      <c r="X151" s="173" t="str">
        <f t="shared" ca="1" si="306"/>
        <v/>
      </c>
      <c r="Y151" s="173" t="str">
        <f t="shared" ca="1" si="307"/>
        <v/>
      </c>
      <c r="Z151" s="174" t="str">
        <f t="shared" ca="1" si="308"/>
        <v/>
      </c>
    </row>
    <row r="152" spans="1:26" s="70" customFormat="1" ht="11.5" x14ac:dyDescent="0.25">
      <c r="A152" s="71" t="s">
        <v>67</v>
      </c>
      <c r="B152" s="71" t="s">
        <v>34</v>
      </c>
      <c r="C152" s="71" t="s">
        <v>984</v>
      </c>
      <c r="D152" s="71" t="s">
        <v>821</v>
      </c>
      <c r="E152" s="81">
        <f t="shared" si="348"/>
        <v>0</v>
      </c>
      <c r="F152" s="81">
        <f t="shared" si="349"/>
        <v>0</v>
      </c>
      <c r="G152" s="81">
        <f t="shared" si="349"/>
        <v>0</v>
      </c>
      <c r="H152" s="81">
        <f t="shared" si="350"/>
        <v>0</v>
      </c>
      <c r="I152" s="82">
        <v>0.4</v>
      </c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W152" s="173" t="str">
        <f t="shared" ca="1" si="305"/>
        <v/>
      </c>
      <c r="X152" s="173" t="str">
        <f t="shared" ca="1" si="306"/>
        <v/>
      </c>
      <c r="Y152" s="173" t="str">
        <f t="shared" ca="1" si="307"/>
        <v/>
      </c>
      <c r="Z152" s="174" t="str">
        <f t="shared" ca="1" si="308"/>
        <v/>
      </c>
    </row>
    <row r="153" spans="1:26" s="70" customFormat="1" ht="11.5" x14ac:dyDescent="0.25">
      <c r="A153" s="71" t="s">
        <v>67</v>
      </c>
      <c r="B153" s="71" t="s">
        <v>34</v>
      </c>
      <c r="C153" s="71" t="s">
        <v>985</v>
      </c>
      <c r="D153" s="71" t="s">
        <v>822</v>
      </c>
      <c r="E153" s="81">
        <f t="shared" si="348"/>
        <v>0</v>
      </c>
      <c r="F153" s="81">
        <f t="shared" si="349"/>
        <v>0</v>
      </c>
      <c r="G153" s="81">
        <f t="shared" si="349"/>
        <v>0</v>
      </c>
      <c r="H153" s="81">
        <f t="shared" si="350"/>
        <v>0</v>
      </c>
      <c r="I153" s="82">
        <v>0.4</v>
      </c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W153" s="173" t="str">
        <f t="shared" ca="1" si="305"/>
        <v/>
      </c>
      <c r="X153" s="173" t="str">
        <f t="shared" ca="1" si="306"/>
        <v/>
      </c>
      <c r="Y153" s="173" t="str">
        <f t="shared" ca="1" si="307"/>
        <v/>
      </c>
      <c r="Z153" s="174" t="str">
        <f t="shared" ca="1" si="308"/>
        <v/>
      </c>
    </row>
    <row r="154" spans="1:26" s="70" customFormat="1" ht="11.5" x14ac:dyDescent="0.25">
      <c r="A154" s="73"/>
      <c r="B154" s="73"/>
      <c r="C154" s="77"/>
      <c r="D154" s="78"/>
      <c r="E154" s="79"/>
      <c r="F154" s="79"/>
      <c r="G154" s="79"/>
      <c r="H154" s="79"/>
      <c r="I154" s="75"/>
      <c r="J154" s="76"/>
      <c r="K154" s="76"/>
      <c r="L154" s="76"/>
      <c r="M154" s="80"/>
      <c r="N154" s="76"/>
      <c r="O154" s="76"/>
      <c r="P154" s="80"/>
      <c r="Q154" s="76"/>
      <c r="R154" s="76"/>
      <c r="S154" s="80"/>
      <c r="T154" s="76"/>
      <c r="U154" s="76"/>
      <c r="W154" s="173" t="str">
        <f t="shared" ref="W154:W218" ca="1" si="388">IF(OR(L154&lt;&gt;""),"Completed",
IF(K154="","",IF(K154&lt;TODAY(),"Overdue",
IF(AND(K154&gt;=TODAY()-WEEKDAY(TODAY(),2)+1,K154&lt;=TODAY()-WEEKDAY(TODAY(),2)+7),"Follow-This Week",
IF(AND(K154&gt;=TODAY()-WEEKDAY(TODAY(),2)+8,K154&lt;=TODAY()-WEEKDAY(TODAY(),2)+14),"Follow-Next Week","")))))</f>
        <v/>
      </c>
      <c r="X154" s="173" t="str">
        <f t="shared" ref="X154:X218" ca="1" si="389">IF(OR(O154&lt;&gt;""),"Completed",IF(N154="","",
IF(N154&lt;TODAY(),"Overdue",
IF(AND(N154&gt;=TODAY()-WEEKDAY(TODAY(),2)+1,N154&lt;=TODAY()-WEEKDAY(TODAY(),2)+7),"Follow-This Week",
IF(AND(N154&gt;=TODAY()-WEEKDAY(TODAY(),2)+8,N154&lt;=TODAY()-WEEKDAY(TODAY(),2)+14),"Follow-Next Week","")))))</f>
        <v/>
      </c>
      <c r="Y154" s="173" t="str">
        <f t="shared" ref="Y154:Y218" ca="1" si="390">IF(OR(R154&lt;&gt;""),"Completed",IF(Q154="","",
IF(Q154&lt;TODAY(),"Overdue",
IF(AND(Q154&gt;=TODAY()-WEEKDAY(TODAY(),2)+1,Q154&lt;=TODAY()-WEEKDAY(TODAY(),2)+7),"Follow-This Week",
IF(AND(Q154&gt;=TODAY()-WEEKDAY(TODAY(),2)+8,Q154&lt;=TODAY()-WEEKDAY(TODAY(),2)+14),"Follow-Next Week","")))))</f>
        <v/>
      </c>
      <c r="Z154" s="174" t="str">
        <f t="shared" ref="Z154:Z218" ca="1" si="391">IF(OR(U154&lt;&gt;""),"Completed",IF(T154="","",
IF(T154&lt;TODAY(),"Overdue",
IF(AND(T154&gt;=TODAY()-WEEKDAY(TODAY(),2)+1,T154&lt;=TODAY()-WEEKDAY(TODAY(),2)+7),"Follow-This Week",
IF(AND(T154&gt;=TODAY()-WEEKDAY(TODAY(),2)+8,T154&lt;=TODAY()-WEEKDAY(TODAY(),2)+14),"Follow-Next Week","")))))</f>
        <v/>
      </c>
    </row>
    <row r="155" spans="1:26" s="70" customFormat="1" ht="11.5" x14ac:dyDescent="0.25">
      <c r="A155" s="71" t="s">
        <v>65</v>
      </c>
      <c r="B155" s="87" t="s">
        <v>34</v>
      </c>
      <c r="C155" s="87" t="s">
        <v>975</v>
      </c>
      <c r="D155" s="87" t="s">
        <v>56</v>
      </c>
      <c r="E155" s="81">
        <f t="shared" ref="E155:E159" si="392">(COUNTIFS(J155,"&lt;="&amp;$C$1)*50%)+(COUNTIFS(M155,"&lt;="&amp;$C$1)*20%)+(COUNTIFS(P155,"&lt;="&amp;$C$1)*10%)+(COUNTIFS(S155,"&lt;="&amp;$C$1)*20%)</f>
        <v>1</v>
      </c>
      <c r="F155" s="81">
        <f t="shared" ref="F155:F159" si="393">(COUNTIFS(K155,"&lt;="&amp;$C$1)*50%)+(COUNTIFS(N155,"&lt;="&amp;$C$1)*20%)+(COUNTIFS(Q155,"&lt;="&amp;$C$1)*10%)+(COUNTIFS(T155,"&lt;="&amp;$C$1)*20%)</f>
        <v>1</v>
      </c>
      <c r="G155" s="81">
        <f t="shared" ref="G155:G159" si="394">(COUNTIFS(L155,"&lt;="&amp;$C$1)*50%)+(COUNTIFS(O155,"&lt;="&amp;$C$1)*20%)+(COUNTIFS(R155,"&lt;="&amp;$C$1)*10%)+(COUNTIFS(U155,"&lt;="&amp;$C$1)*20%)</f>
        <v>1</v>
      </c>
      <c r="H155" s="81">
        <f t="shared" ref="H155:H159" si="395">G155-E155</f>
        <v>0</v>
      </c>
      <c r="I155" s="82">
        <v>0.2</v>
      </c>
      <c r="J155" s="85">
        <v>46115</v>
      </c>
      <c r="K155" s="85">
        <f t="shared" si="351"/>
        <v>46115</v>
      </c>
      <c r="L155" s="85">
        <v>46115</v>
      </c>
      <c r="M155" s="85">
        <f t="shared" si="352"/>
        <v>46157</v>
      </c>
      <c r="N155" s="85">
        <f t="shared" si="353"/>
        <v>46157</v>
      </c>
      <c r="O155" s="85">
        <v>46191</v>
      </c>
      <c r="P155" s="85">
        <f t="shared" si="354"/>
        <v>46199</v>
      </c>
      <c r="Q155" s="85">
        <f t="shared" si="355"/>
        <v>46199</v>
      </c>
      <c r="R155" s="85">
        <v>46219</v>
      </c>
      <c r="S155" s="85">
        <f t="shared" si="356"/>
        <v>46213</v>
      </c>
      <c r="T155" s="85">
        <f t="shared" si="357"/>
        <v>46213</v>
      </c>
      <c r="U155" s="165">
        <v>46262</v>
      </c>
      <c r="W155" s="173" t="str">
        <f t="shared" ca="1" si="388"/>
        <v>Completed</v>
      </c>
      <c r="X155" s="173" t="str">
        <f t="shared" ca="1" si="389"/>
        <v>Completed</v>
      </c>
      <c r="Y155" s="173" t="str">
        <f t="shared" ca="1" si="390"/>
        <v>Completed</v>
      </c>
      <c r="Z155" s="174" t="str">
        <f t="shared" ca="1" si="391"/>
        <v>Completed</v>
      </c>
    </row>
    <row r="156" spans="1:26" s="70" customFormat="1" ht="11.5" x14ac:dyDescent="0.25">
      <c r="A156" s="71" t="s">
        <v>65</v>
      </c>
      <c r="B156" s="87" t="s">
        <v>34</v>
      </c>
      <c r="C156" s="87" t="s">
        <v>976</v>
      </c>
      <c r="D156" s="87" t="s">
        <v>57</v>
      </c>
      <c r="E156" s="81">
        <f t="shared" si="392"/>
        <v>1</v>
      </c>
      <c r="F156" s="81">
        <f t="shared" si="393"/>
        <v>1</v>
      </c>
      <c r="G156" s="81">
        <f t="shared" si="394"/>
        <v>1</v>
      </c>
      <c r="H156" s="81">
        <f t="shared" si="395"/>
        <v>0</v>
      </c>
      <c r="I156" s="82">
        <v>0.2</v>
      </c>
      <c r="J156" s="85">
        <v>46115</v>
      </c>
      <c r="K156" s="85">
        <f t="shared" si="351"/>
        <v>46115</v>
      </c>
      <c r="L156" s="85">
        <v>46115</v>
      </c>
      <c r="M156" s="85">
        <f t="shared" si="352"/>
        <v>46157</v>
      </c>
      <c r="N156" s="85">
        <f t="shared" si="353"/>
        <v>46157</v>
      </c>
      <c r="O156" s="146">
        <v>46171</v>
      </c>
      <c r="P156" s="85">
        <f t="shared" si="354"/>
        <v>46199</v>
      </c>
      <c r="Q156" s="85">
        <f t="shared" si="355"/>
        <v>46199</v>
      </c>
      <c r="R156" s="85">
        <v>46199</v>
      </c>
      <c r="S156" s="85">
        <f t="shared" si="356"/>
        <v>46213</v>
      </c>
      <c r="T156" s="85">
        <f t="shared" si="357"/>
        <v>46213</v>
      </c>
      <c r="U156" s="85">
        <v>46204</v>
      </c>
      <c r="W156" s="173" t="str">
        <f t="shared" ca="1" si="388"/>
        <v>Completed</v>
      </c>
      <c r="X156" s="173" t="str">
        <f t="shared" ca="1" si="389"/>
        <v>Completed</v>
      </c>
      <c r="Y156" s="173" t="str">
        <f t="shared" ca="1" si="390"/>
        <v>Completed</v>
      </c>
      <c r="Z156" s="174" t="str">
        <f t="shared" ca="1" si="391"/>
        <v>Completed</v>
      </c>
    </row>
    <row r="157" spans="1:26" s="70" customFormat="1" ht="11.5" x14ac:dyDescent="0.25">
      <c r="A157" s="71" t="s">
        <v>65</v>
      </c>
      <c r="B157" s="87" t="s">
        <v>34</v>
      </c>
      <c r="C157" s="87" t="s">
        <v>977</v>
      </c>
      <c r="D157" s="87" t="s">
        <v>58</v>
      </c>
      <c r="E157" s="81">
        <f t="shared" si="392"/>
        <v>1</v>
      </c>
      <c r="F157" s="81">
        <f t="shared" si="393"/>
        <v>1</v>
      </c>
      <c r="G157" s="81">
        <f t="shared" si="394"/>
        <v>1</v>
      </c>
      <c r="H157" s="81">
        <f t="shared" si="395"/>
        <v>0</v>
      </c>
      <c r="I157" s="82">
        <v>0.2</v>
      </c>
      <c r="J157" s="85">
        <v>46115</v>
      </c>
      <c r="K157" s="85">
        <f t="shared" si="351"/>
        <v>46115</v>
      </c>
      <c r="L157" s="85">
        <v>46115</v>
      </c>
      <c r="M157" s="85">
        <f t="shared" si="352"/>
        <v>46157</v>
      </c>
      <c r="N157" s="85">
        <f t="shared" si="353"/>
        <v>46157</v>
      </c>
      <c r="O157" s="146">
        <v>46171</v>
      </c>
      <c r="P157" s="85">
        <f t="shared" si="354"/>
        <v>46199</v>
      </c>
      <c r="Q157" s="85">
        <f t="shared" si="355"/>
        <v>46199</v>
      </c>
      <c r="R157" s="85">
        <v>46219</v>
      </c>
      <c r="S157" s="85">
        <f t="shared" si="356"/>
        <v>46213</v>
      </c>
      <c r="T157" s="85">
        <f t="shared" si="357"/>
        <v>46213</v>
      </c>
      <c r="U157" s="85">
        <v>46233</v>
      </c>
      <c r="W157" s="173" t="str">
        <f t="shared" ca="1" si="388"/>
        <v>Completed</v>
      </c>
      <c r="X157" s="173" t="str">
        <f t="shared" ca="1" si="389"/>
        <v>Completed</v>
      </c>
      <c r="Y157" s="173" t="str">
        <f t="shared" ca="1" si="390"/>
        <v>Completed</v>
      </c>
      <c r="Z157" s="174" t="str">
        <f t="shared" ca="1" si="391"/>
        <v>Completed</v>
      </c>
    </row>
    <row r="158" spans="1:26" s="70" customFormat="1" ht="11.5" x14ac:dyDescent="0.25">
      <c r="A158" s="71" t="s">
        <v>65</v>
      </c>
      <c r="B158" s="87" t="s">
        <v>34</v>
      </c>
      <c r="C158" s="87" t="s">
        <v>978</v>
      </c>
      <c r="D158" s="87" t="s">
        <v>1167</v>
      </c>
      <c r="E158" s="81">
        <f t="shared" si="392"/>
        <v>1</v>
      </c>
      <c r="F158" s="81">
        <f t="shared" si="393"/>
        <v>1</v>
      </c>
      <c r="G158" s="81">
        <f t="shared" si="394"/>
        <v>0.7</v>
      </c>
      <c r="H158" s="81">
        <f t="shared" si="395"/>
        <v>-0.30000000000000004</v>
      </c>
      <c r="I158" s="82">
        <v>0.2</v>
      </c>
      <c r="J158" s="85">
        <v>46115</v>
      </c>
      <c r="K158" s="85">
        <f t="shared" si="351"/>
        <v>46115</v>
      </c>
      <c r="L158" s="85">
        <v>46115</v>
      </c>
      <c r="M158" s="85">
        <f t="shared" si="352"/>
        <v>46157</v>
      </c>
      <c r="N158" s="85">
        <f t="shared" si="353"/>
        <v>46157</v>
      </c>
      <c r="O158" s="146">
        <v>46171</v>
      </c>
      <c r="P158" s="85">
        <f t="shared" si="354"/>
        <v>46199</v>
      </c>
      <c r="Q158" s="85">
        <f t="shared" si="355"/>
        <v>46199</v>
      </c>
      <c r="R158" s="85"/>
      <c r="S158" s="85">
        <f t="shared" si="356"/>
        <v>46213</v>
      </c>
      <c r="T158" s="85">
        <f t="shared" si="357"/>
        <v>46213</v>
      </c>
      <c r="U158" s="85"/>
      <c r="W158" s="173" t="str">
        <f t="shared" ca="1" si="388"/>
        <v>Completed</v>
      </c>
      <c r="X158" s="173" t="str">
        <f t="shared" ca="1" si="389"/>
        <v>Completed</v>
      </c>
      <c r="Y158" s="173" t="str">
        <f t="shared" ca="1" si="390"/>
        <v>Overdue</v>
      </c>
      <c r="Z158" s="174" t="str">
        <f t="shared" ca="1" si="391"/>
        <v>Overdue</v>
      </c>
    </row>
    <row r="159" spans="1:26" s="70" customFormat="1" ht="11.5" x14ac:dyDescent="0.25">
      <c r="A159" s="71" t="s">
        <v>65</v>
      </c>
      <c r="B159" s="87" t="s">
        <v>34</v>
      </c>
      <c r="C159" s="87" t="s">
        <v>979</v>
      </c>
      <c r="D159" s="87" t="s">
        <v>59</v>
      </c>
      <c r="E159" s="81">
        <f t="shared" si="392"/>
        <v>1</v>
      </c>
      <c r="F159" s="81">
        <f t="shared" si="393"/>
        <v>1</v>
      </c>
      <c r="G159" s="81">
        <f t="shared" si="394"/>
        <v>1</v>
      </c>
      <c r="H159" s="81">
        <f t="shared" si="395"/>
        <v>0</v>
      </c>
      <c r="I159" s="82">
        <v>0.2</v>
      </c>
      <c r="J159" s="85">
        <v>46115</v>
      </c>
      <c r="K159" s="85">
        <f t="shared" si="351"/>
        <v>46115</v>
      </c>
      <c r="L159" s="85">
        <v>46115</v>
      </c>
      <c r="M159" s="85">
        <f t="shared" si="352"/>
        <v>46157</v>
      </c>
      <c r="N159" s="85">
        <f t="shared" si="353"/>
        <v>46157</v>
      </c>
      <c r="O159" s="85">
        <v>46199</v>
      </c>
      <c r="P159" s="85">
        <f t="shared" si="354"/>
        <v>46199</v>
      </c>
      <c r="Q159" s="85">
        <f t="shared" si="355"/>
        <v>46199</v>
      </c>
      <c r="R159" s="85">
        <v>46204</v>
      </c>
      <c r="S159" s="85">
        <f t="shared" si="356"/>
        <v>46213</v>
      </c>
      <c r="T159" s="85">
        <f t="shared" si="357"/>
        <v>46213</v>
      </c>
      <c r="U159" s="85">
        <v>46213</v>
      </c>
      <c r="W159" s="173" t="str">
        <f t="shared" ca="1" si="388"/>
        <v>Completed</v>
      </c>
      <c r="X159" s="173" t="str">
        <f t="shared" ca="1" si="389"/>
        <v>Completed</v>
      </c>
      <c r="Y159" s="173" t="str">
        <f t="shared" ca="1" si="390"/>
        <v>Completed</v>
      </c>
      <c r="Z159" s="174" t="str">
        <f t="shared" ca="1" si="391"/>
        <v>Completed</v>
      </c>
    </row>
    <row r="160" spans="1:26" s="70" customFormat="1" ht="11.5" x14ac:dyDescent="0.25">
      <c r="A160" s="121" t="s">
        <v>65</v>
      </c>
      <c r="B160" s="122" t="s">
        <v>34</v>
      </c>
      <c r="C160" s="122" t="s">
        <v>192</v>
      </c>
      <c r="D160" s="122" t="s">
        <v>193</v>
      </c>
      <c r="E160" s="123">
        <f t="shared" si="348"/>
        <v>0.7</v>
      </c>
      <c r="F160" s="123">
        <f t="shared" si="349"/>
        <v>0.7</v>
      </c>
      <c r="G160" s="123">
        <f t="shared" si="349"/>
        <v>0.5</v>
      </c>
      <c r="H160" s="123">
        <f t="shared" si="350"/>
        <v>-0.19999999999999996</v>
      </c>
      <c r="I160" s="124">
        <v>0.5</v>
      </c>
      <c r="J160" s="125">
        <f t="shared" ref="J160:J183" si="396">K116+28</f>
        <v>46206</v>
      </c>
      <c r="K160" s="125">
        <f t="shared" si="351"/>
        <v>46206</v>
      </c>
      <c r="L160" s="145">
        <v>46162</v>
      </c>
      <c r="M160" s="125">
        <f t="shared" si="352"/>
        <v>46248</v>
      </c>
      <c r="N160" s="125">
        <f t="shared" si="353"/>
        <v>46248</v>
      </c>
      <c r="O160" s="125"/>
      <c r="P160" s="125">
        <f t="shared" si="354"/>
        <v>46290</v>
      </c>
      <c r="Q160" s="125">
        <f t="shared" si="355"/>
        <v>46290</v>
      </c>
      <c r="R160" s="125"/>
      <c r="S160" s="125">
        <f t="shared" si="356"/>
        <v>46304</v>
      </c>
      <c r="T160" s="125">
        <f t="shared" si="357"/>
        <v>46304</v>
      </c>
      <c r="U160" s="125"/>
      <c r="W160" s="173" t="str">
        <f t="shared" ca="1" si="388"/>
        <v>Completed</v>
      </c>
      <c r="X160" s="173" t="str">
        <f t="shared" ca="1" si="389"/>
        <v>Overdue</v>
      </c>
      <c r="Y160" s="173" t="str">
        <f t="shared" ca="1" si="390"/>
        <v/>
      </c>
      <c r="Z160" s="174" t="str">
        <f t="shared" ca="1" si="391"/>
        <v/>
      </c>
    </row>
    <row r="161" spans="1:26" s="70" customFormat="1" ht="11.5" x14ac:dyDescent="0.25">
      <c r="A161" s="121" t="s">
        <v>65</v>
      </c>
      <c r="B161" s="122" t="s">
        <v>34</v>
      </c>
      <c r="C161" s="122" t="s">
        <v>194</v>
      </c>
      <c r="D161" s="122" t="s">
        <v>195</v>
      </c>
      <c r="E161" s="123">
        <f t="shared" si="348"/>
        <v>0.7</v>
      </c>
      <c r="F161" s="123">
        <f t="shared" si="349"/>
        <v>0.7</v>
      </c>
      <c r="G161" s="123">
        <f t="shared" si="349"/>
        <v>0.5</v>
      </c>
      <c r="H161" s="123">
        <f t="shared" si="350"/>
        <v>-0.19999999999999996</v>
      </c>
      <c r="I161" s="124">
        <v>0.5</v>
      </c>
      <c r="J161" s="125">
        <f t="shared" si="396"/>
        <v>46220</v>
      </c>
      <c r="K161" s="125">
        <f t="shared" si="351"/>
        <v>46220</v>
      </c>
      <c r="L161" s="127">
        <v>46237</v>
      </c>
      <c r="M161" s="125">
        <f t="shared" si="352"/>
        <v>46262</v>
      </c>
      <c r="N161" s="125">
        <f t="shared" si="353"/>
        <v>46262</v>
      </c>
      <c r="O161" s="125"/>
      <c r="P161" s="125">
        <f t="shared" si="354"/>
        <v>46304</v>
      </c>
      <c r="Q161" s="125">
        <f t="shared" si="355"/>
        <v>46304</v>
      </c>
      <c r="R161" s="125"/>
      <c r="S161" s="125">
        <f t="shared" si="356"/>
        <v>46318</v>
      </c>
      <c r="T161" s="125">
        <f t="shared" si="357"/>
        <v>46318</v>
      </c>
      <c r="U161" s="125"/>
      <c r="W161" s="173" t="str">
        <f t="shared" ca="1" si="388"/>
        <v>Completed</v>
      </c>
      <c r="X161" s="173" t="str">
        <f t="shared" ca="1" si="389"/>
        <v>Overdue</v>
      </c>
      <c r="Y161" s="173" t="str">
        <f t="shared" ca="1" si="390"/>
        <v/>
      </c>
      <c r="Z161" s="174" t="str">
        <f t="shared" ca="1" si="391"/>
        <v/>
      </c>
    </row>
    <row r="162" spans="1:26" s="70" customFormat="1" ht="11.5" x14ac:dyDescent="0.25">
      <c r="A162" s="121" t="s">
        <v>65</v>
      </c>
      <c r="B162" s="121" t="s">
        <v>34</v>
      </c>
      <c r="C162" s="121" t="s">
        <v>196</v>
      </c>
      <c r="D162" s="121" t="s">
        <v>197</v>
      </c>
      <c r="E162" s="123">
        <f t="shared" si="348"/>
        <v>0.5</v>
      </c>
      <c r="F162" s="123">
        <f t="shared" si="349"/>
        <v>0.5</v>
      </c>
      <c r="G162" s="123">
        <f t="shared" si="349"/>
        <v>0.7</v>
      </c>
      <c r="H162" s="123">
        <f t="shared" si="350"/>
        <v>0.19999999999999996</v>
      </c>
      <c r="I162" s="124">
        <v>0.5</v>
      </c>
      <c r="J162" s="125">
        <f t="shared" si="396"/>
        <v>46227</v>
      </c>
      <c r="K162" s="125">
        <f t="shared" si="351"/>
        <v>46227</v>
      </c>
      <c r="L162" s="125">
        <v>46175</v>
      </c>
      <c r="M162" s="125">
        <f t="shared" si="352"/>
        <v>46269</v>
      </c>
      <c r="N162" s="125">
        <f t="shared" si="353"/>
        <v>46269</v>
      </c>
      <c r="O162" s="165">
        <v>46262</v>
      </c>
      <c r="P162" s="125">
        <f t="shared" si="354"/>
        <v>46311</v>
      </c>
      <c r="Q162" s="125">
        <f t="shared" si="355"/>
        <v>46311</v>
      </c>
      <c r="R162" s="125"/>
      <c r="S162" s="125">
        <f t="shared" si="356"/>
        <v>46325</v>
      </c>
      <c r="T162" s="125">
        <f t="shared" si="357"/>
        <v>46325</v>
      </c>
      <c r="U162" s="125"/>
      <c r="W162" s="173" t="str">
        <f t="shared" ca="1" si="388"/>
        <v>Completed</v>
      </c>
      <c r="X162" s="173" t="str">
        <f t="shared" ca="1" si="389"/>
        <v>Completed</v>
      </c>
      <c r="Y162" s="173" t="str">
        <f t="shared" ca="1" si="390"/>
        <v/>
      </c>
      <c r="Z162" s="174" t="str">
        <f t="shared" ca="1" si="391"/>
        <v/>
      </c>
    </row>
    <row r="163" spans="1:26" s="70" customFormat="1" ht="11.5" x14ac:dyDescent="0.25">
      <c r="A163" s="121" t="s">
        <v>65</v>
      </c>
      <c r="B163" s="121" t="s">
        <v>34</v>
      </c>
      <c r="C163" s="121" t="s">
        <v>198</v>
      </c>
      <c r="D163" s="121" t="s">
        <v>199</v>
      </c>
      <c r="E163" s="123">
        <f t="shared" si="348"/>
        <v>0.5</v>
      </c>
      <c r="F163" s="123">
        <f t="shared" si="349"/>
        <v>0.5</v>
      </c>
      <c r="G163" s="123">
        <f t="shared" si="349"/>
        <v>0.5</v>
      </c>
      <c r="H163" s="123">
        <f t="shared" si="350"/>
        <v>0</v>
      </c>
      <c r="I163" s="124">
        <v>0.5</v>
      </c>
      <c r="J163" s="125">
        <f t="shared" si="396"/>
        <v>46234</v>
      </c>
      <c r="K163" s="125">
        <f t="shared" si="351"/>
        <v>46234</v>
      </c>
      <c r="L163" s="125">
        <v>46175</v>
      </c>
      <c r="M163" s="125">
        <f t="shared" si="352"/>
        <v>46276</v>
      </c>
      <c r="N163" s="125">
        <f t="shared" si="353"/>
        <v>46276</v>
      </c>
      <c r="O163" s="125"/>
      <c r="P163" s="125">
        <f t="shared" si="354"/>
        <v>46318</v>
      </c>
      <c r="Q163" s="125">
        <f t="shared" si="355"/>
        <v>46318</v>
      </c>
      <c r="R163" s="125"/>
      <c r="S163" s="125">
        <f t="shared" si="356"/>
        <v>46332</v>
      </c>
      <c r="T163" s="125">
        <f t="shared" si="357"/>
        <v>46332</v>
      </c>
      <c r="U163" s="125"/>
      <c r="W163" s="173" t="str">
        <f t="shared" ca="1" si="388"/>
        <v>Completed</v>
      </c>
      <c r="X163" s="173" t="str">
        <f t="shared" ca="1" si="389"/>
        <v>Follow-Next Week</v>
      </c>
      <c r="Y163" s="173" t="str">
        <f t="shared" ca="1" si="390"/>
        <v/>
      </c>
      <c r="Z163" s="174" t="str">
        <f t="shared" ca="1" si="391"/>
        <v/>
      </c>
    </row>
    <row r="164" spans="1:26" s="70" customFormat="1" ht="11.5" x14ac:dyDescent="0.25">
      <c r="A164" s="121" t="s">
        <v>65</v>
      </c>
      <c r="B164" s="121" t="s">
        <v>34</v>
      </c>
      <c r="C164" s="121" t="s">
        <v>200</v>
      </c>
      <c r="D164" s="121" t="s">
        <v>201</v>
      </c>
      <c r="E164" s="123">
        <f t="shared" si="348"/>
        <v>0.5</v>
      </c>
      <c r="F164" s="123">
        <f t="shared" si="349"/>
        <v>0.5</v>
      </c>
      <c r="G164" s="123">
        <f t="shared" si="349"/>
        <v>0.5</v>
      </c>
      <c r="H164" s="123">
        <f t="shared" si="350"/>
        <v>0</v>
      </c>
      <c r="I164" s="124">
        <v>0.5</v>
      </c>
      <c r="J164" s="125">
        <f t="shared" si="396"/>
        <v>46248</v>
      </c>
      <c r="K164" s="125">
        <f t="shared" si="351"/>
        <v>46248</v>
      </c>
      <c r="L164" s="145">
        <v>46162</v>
      </c>
      <c r="M164" s="125">
        <f t="shared" si="352"/>
        <v>46290</v>
      </c>
      <c r="N164" s="125">
        <f t="shared" si="353"/>
        <v>46290</v>
      </c>
      <c r="O164" s="125"/>
      <c r="P164" s="125">
        <f t="shared" si="354"/>
        <v>46332</v>
      </c>
      <c r="Q164" s="125">
        <f t="shared" si="355"/>
        <v>46332</v>
      </c>
      <c r="R164" s="125"/>
      <c r="S164" s="125">
        <f t="shared" si="356"/>
        <v>46346</v>
      </c>
      <c r="T164" s="125">
        <f t="shared" si="357"/>
        <v>46346</v>
      </c>
      <c r="U164" s="125"/>
      <c r="W164" s="173" t="str">
        <f t="shared" ca="1" si="388"/>
        <v>Completed</v>
      </c>
      <c r="X164" s="173" t="str">
        <f t="shared" ca="1" si="389"/>
        <v/>
      </c>
      <c r="Y164" s="173" t="str">
        <f t="shared" ca="1" si="390"/>
        <v/>
      </c>
      <c r="Z164" s="174" t="str">
        <f t="shared" ca="1" si="391"/>
        <v/>
      </c>
    </row>
    <row r="165" spans="1:26" s="70" customFormat="1" ht="11.5" x14ac:dyDescent="0.25">
      <c r="A165" s="121" t="s">
        <v>65</v>
      </c>
      <c r="B165" s="121" t="s">
        <v>34</v>
      </c>
      <c r="C165" s="121" t="s">
        <v>202</v>
      </c>
      <c r="D165" s="121" t="s">
        <v>203</v>
      </c>
      <c r="E165" s="123">
        <f t="shared" si="348"/>
        <v>0.5</v>
      </c>
      <c r="F165" s="123">
        <f t="shared" si="349"/>
        <v>0.5</v>
      </c>
      <c r="G165" s="123">
        <f t="shared" si="349"/>
        <v>0.5</v>
      </c>
      <c r="H165" s="128">
        <f t="shared" si="350"/>
        <v>0</v>
      </c>
      <c r="I165" s="126">
        <v>0.5</v>
      </c>
      <c r="J165" s="125">
        <f t="shared" si="396"/>
        <v>46262</v>
      </c>
      <c r="K165" s="125">
        <f t="shared" si="351"/>
        <v>46262</v>
      </c>
      <c r="L165" s="125">
        <v>46254</v>
      </c>
      <c r="M165" s="125">
        <f t="shared" si="352"/>
        <v>46304</v>
      </c>
      <c r="N165" s="125">
        <f t="shared" si="353"/>
        <v>46304</v>
      </c>
      <c r="O165" s="125"/>
      <c r="P165" s="125">
        <f t="shared" si="354"/>
        <v>46346</v>
      </c>
      <c r="Q165" s="125">
        <f t="shared" si="355"/>
        <v>46346</v>
      </c>
      <c r="R165" s="125"/>
      <c r="S165" s="125">
        <f t="shared" si="356"/>
        <v>46360</v>
      </c>
      <c r="T165" s="125">
        <f t="shared" si="357"/>
        <v>46360</v>
      </c>
      <c r="U165" s="125"/>
      <c r="W165" s="173" t="str">
        <f t="shared" ca="1" si="388"/>
        <v>Completed</v>
      </c>
      <c r="X165" s="173" t="str">
        <f t="shared" ca="1" si="389"/>
        <v/>
      </c>
      <c r="Y165" s="173" t="str">
        <f t="shared" ca="1" si="390"/>
        <v/>
      </c>
      <c r="Z165" s="174" t="str">
        <f t="shared" ca="1" si="391"/>
        <v/>
      </c>
    </row>
    <row r="166" spans="1:26" s="70" customFormat="1" ht="11.5" x14ac:dyDescent="0.25">
      <c r="A166" s="121" t="s">
        <v>65</v>
      </c>
      <c r="B166" s="121" t="s">
        <v>34</v>
      </c>
      <c r="C166" s="121" t="s">
        <v>204</v>
      </c>
      <c r="D166" s="121" t="s">
        <v>205</v>
      </c>
      <c r="E166" s="123">
        <f t="shared" si="348"/>
        <v>0</v>
      </c>
      <c r="F166" s="123">
        <f t="shared" si="349"/>
        <v>0</v>
      </c>
      <c r="G166" s="123">
        <f t="shared" si="349"/>
        <v>0.5</v>
      </c>
      <c r="H166" s="128">
        <f t="shared" si="350"/>
        <v>0.5</v>
      </c>
      <c r="I166" s="126">
        <v>0.5</v>
      </c>
      <c r="J166" s="125">
        <f t="shared" si="396"/>
        <v>46276</v>
      </c>
      <c r="K166" s="125">
        <f t="shared" si="351"/>
        <v>46276</v>
      </c>
      <c r="L166" s="125">
        <v>46255</v>
      </c>
      <c r="M166" s="125">
        <f t="shared" si="352"/>
        <v>46318</v>
      </c>
      <c r="N166" s="125">
        <f t="shared" si="353"/>
        <v>46318</v>
      </c>
      <c r="O166" s="125"/>
      <c r="P166" s="125">
        <f t="shared" si="354"/>
        <v>46360</v>
      </c>
      <c r="Q166" s="125">
        <f t="shared" si="355"/>
        <v>46360</v>
      </c>
      <c r="R166" s="125"/>
      <c r="S166" s="125">
        <f t="shared" si="356"/>
        <v>46374</v>
      </c>
      <c r="T166" s="125">
        <f t="shared" si="357"/>
        <v>46374</v>
      </c>
      <c r="U166" s="125"/>
      <c r="W166" s="173" t="str">
        <f t="shared" ca="1" si="388"/>
        <v>Completed</v>
      </c>
      <c r="X166" s="173" t="str">
        <f t="shared" ca="1" si="389"/>
        <v/>
      </c>
      <c r="Y166" s="173" t="str">
        <f t="shared" ca="1" si="390"/>
        <v/>
      </c>
      <c r="Z166" s="174" t="str">
        <f t="shared" ca="1" si="391"/>
        <v/>
      </c>
    </row>
    <row r="167" spans="1:26" s="70" customFormat="1" ht="11.5" x14ac:dyDescent="0.25">
      <c r="A167" s="121" t="s">
        <v>65</v>
      </c>
      <c r="B167" s="121" t="s">
        <v>34</v>
      </c>
      <c r="C167" s="121" t="s">
        <v>206</v>
      </c>
      <c r="D167" s="121" t="s">
        <v>207</v>
      </c>
      <c r="E167" s="123">
        <f t="shared" si="348"/>
        <v>0.5</v>
      </c>
      <c r="F167" s="123">
        <f t="shared" si="349"/>
        <v>0.5</v>
      </c>
      <c r="G167" s="123">
        <f t="shared" si="349"/>
        <v>0.7</v>
      </c>
      <c r="H167" s="128">
        <f t="shared" si="350"/>
        <v>0.19999999999999996</v>
      </c>
      <c r="I167" s="126">
        <v>0.5</v>
      </c>
      <c r="J167" s="125">
        <f t="shared" si="396"/>
        <v>46241</v>
      </c>
      <c r="K167" s="125">
        <f t="shared" si="351"/>
        <v>46241</v>
      </c>
      <c r="L167" s="125">
        <v>46241</v>
      </c>
      <c r="M167" s="125">
        <f t="shared" si="352"/>
        <v>46283</v>
      </c>
      <c r="N167" s="125">
        <f t="shared" si="353"/>
        <v>46283</v>
      </c>
      <c r="O167" s="125">
        <v>46248</v>
      </c>
      <c r="P167" s="125">
        <f t="shared" si="354"/>
        <v>46325</v>
      </c>
      <c r="Q167" s="125">
        <f t="shared" si="355"/>
        <v>46325</v>
      </c>
      <c r="R167" s="125"/>
      <c r="S167" s="125">
        <f t="shared" si="356"/>
        <v>46339</v>
      </c>
      <c r="T167" s="125">
        <f t="shared" si="357"/>
        <v>46339</v>
      </c>
      <c r="U167" s="125"/>
      <c r="W167" s="173" t="str">
        <f t="shared" ca="1" si="388"/>
        <v>Completed</v>
      </c>
      <c r="X167" s="173" t="str">
        <f t="shared" ca="1" si="389"/>
        <v>Completed</v>
      </c>
      <c r="Y167" s="173" t="str">
        <f t="shared" ca="1" si="390"/>
        <v/>
      </c>
      <c r="Z167" s="174" t="str">
        <f t="shared" ca="1" si="391"/>
        <v/>
      </c>
    </row>
    <row r="168" spans="1:26" s="70" customFormat="1" ht="11.5" x14ac:dyDescent="0.25">
      <c r="A168" s="121" t="s">
        <v>65</v>
      </c>
      <c r="B168" s="121" t="s">
        <v>34</v>
      </c>
      <c r="C168" s="121" t="s">
        <v>208</v>
      </c>
      <c r="D168" s="121" t="s">
        <v>209</v>
      </c>
      <c r="E168" s="123">
        <f t="shared" si="348"/>
        <v>0</v>
      </c>
      <c r="F168" s="123">
        <f t="shared" si="349"/>
        <v>0</v>
      </c>
      <c r="G168" s="123">
        <f t="shared" si="349"/>
        <v>0.5</v>
      </c>
      <c r="H168" s="128">
        <f t="shared" si="350"/>
        <v>0.5</v>
      </c>
      <c r="I168" s="126">
        <v>0.75</v>
      </c>
      <c r="J168" s="125">
        <f t="shared" si="396"/>
        <v>46272</v>
      </c>
      <c r="K168" s="125">
        <f t="shared" si="351"/>
        <v>46272</v>
      </c>
      <c r="L168" s="125">
        <v>46241</v>
      </c>
      <c r="M168" s="125">
        <f>J168+35</f>
        <v>46307</v>
      </c>
      <c r="N168" s="125">
        <f t="shared" si="353"/>
        <v>46307</v>
      </c>
      <c r="O168" s="125"/>
      <c r="P168" s="125">
        <f t="shared" si="354"/>
        <v>46349</v>
      </c>
      <c r="Q168" s="125">
        <f t="shared" si="355"/>
        <v>46349</v>
      </c>
      <c r="R168" s="125"/>
      <c r="S168" s="125">
        <f t="shared" si="356"/>
        <v>46363</v>
      </c>
      <c r="T168" s="125">
        <f t="shared" si="357"/>
        <v>46363</v>
      </c>
      <c r="U168" s="125"/>
      <c r="W168" s="173" t="str">
        <f t="shared" ca="1" si="388"/>
        <v>Completed</v>
      </c>
      <c r="X168" s="173" t="str">
        <f t="shared" ca="1" si="389"/>
        <v/>
      </c>
      <c r="Y168" s="173" t="str">
        <f t="shared" ca="1" si="390"/>
        <v/>
      </c>
      <c r="Z168" s="174" t="str">
        <f t="shared" ca="1" si="391"/>
        <v/>
      </c>
    </row>
    <row r="169" spans="1:26" s="70" customFormat="1" ht="11.5" x14ac:dyDescent="0.25">
      <c r="A169" s="121" t="s">
        <v>65</v>
      </c>
      <c r="B169" s="121" t="s">
        <v>34</v>
      </c>
      <c r="C169" s="121" t="s">
        <v>210</v>
      </c>
      <c r="D169" s="121" t="s">
        <v>211</v>
      </c>
      <c r="E169" s="123">
        <f t="shared" si="348"/>
        <v>0</v>
      </c>
      <c r="F169" s="123">
        <f t="shared" si="349"/>
        <v>0</v>
      </c>
      <c r="G169" s="123">
        <f t="shared" si="349"/>
        <v>0</v>
      </c>
      <c r="H169" s="128">
        <f t="shared" si="350"/>
        <v>0</v>
      </c>
      <c r="I169" s="126">
        <v>0.5</v>
      </c>
      <c r="J169" s="125">
        <f t="shared" si="396"/>
        <v>46290</v>
      </c>
      <c r="K169" s="125">
        <f t="shared" si="351"/>
        <v>46290</v>
      </c>
      <c r="L169" s="125"/>
      <c r="M169" s="125">
        <f t="shared" si="352"/>
        <v>46332</v>
      </c>
      <c r="N169" s="125">
        <f t="shared" si="353"/>
        <v>46332</v>
      </c>
      <c r="O169" s="125"/>
      <c r="P169" s="125">
        <f t="shared" si="354"/>
        <v>46374</v>
      </c>
      <c r="Q169" s="125">
        <f t="shared" si="355"/>
        <v>46374</v>
      </c>
      <c r="R169" s="125"/>
      <c r="S169" s="125">
        <f t="shared" si="356"/>
        <v>46388</v>
      </c>
      <c r="T169" s="125">
        <f t="shared" si="357"/>
        <v>46388</v>
      </c>
      <c r="U169" s="125"/>
      <c r="W169" s="173" t="str">
        <f t="shared" ca="1" si="388"/>
        <v/>
      </c>
      <c r="X169" s="173" t="str">
        <f t="shared" ca="1" si="389"/>
        <v/>
      </c>
      <c r="Y169" s="173" t="str">
        <f t="shared" ca="1" si="390"/>
        <v/>
      </c>
      <c r="Z169" s="174" t="str">
        <f t="shared" ca="1" si="391"/>
        <v/>
      </c>
    </row>
    <row r="170" spans="1:26" s="70" customFormat="1" ht="11.5" x14ac:dyDescent="0.25">
      <c r="A170" s="121" t="s">
        <v>65</v>
      </c>
      <c r="B170" s="121" t="s">
        <v>34</v>
      </c>
      <c r="C170" s="121" t="s">
        <v>212</v>
      </c>
      <c r="D170" s="121" t="s">
        <v>213</v>
      </c>
      <c r="E170" s="123">
        <f t="shared" si="348"/>
        <v>0.5</v>
      </c>
      <c r="F170" s="123">
        <f t="shared" si="349"/>
        <v>0.5</v>
      </c>
      <c r="G170" s="123">
        <f t="shared" si="349"/>
        <v>0.5</v>
      </c>
      <c r="H170" s="123">
        <f t="shared" si="350"/>
        <v>0</v>
      </c>
      <c r="I170" s="126">
        <v>0.5</v>
      </c>
      <c r="J170" s="125">
        <f t="shared" si="396"/>
        <v>46234</v>
      </c>
      <c r="K170" s="125">
        <f t="shared" si="351"/>
        <v>46234</v>
      </c>
      <c r="L170" s="125">
        <v>46255</v>
      </c>
      <c r="M170" s="125">
        <f t="shared" si="352"/>
        <v>46276</v>
      </c>
      <c r="N170" s="125">
        <f t="shared" si="353"/>
        <v>46276</v>
      </c>
      <c r="O170" s="125"/>
      <c r="P170" s="125">
        <f t="shared" si="354"/>
        <v>46318</v>
      </c>
      <c r="Q170" s="125">
        <f t="shared" si="355"/>
        <v>46318</v>
      </c>
      <c r="R170" s="125"/>
      <c r="S170" s="125">
        <f t="shared" si="356"/>
        <v>46332</v>
      </c>
      <c r="T170" s="125">
        <f t="shared" si="357"/>
        <v>46332</v>
      </c>
      <c r="U170" s="125"/>
      <c r="W170" s="173" t="str">
        <f t="shared" ca="1" si="388"/>
        <v>Completed</v>
      </c>
      <c r="X170" s="173" t="str">
        <f t="shared" ca="1" si="389"/>
        <v>Follow-Next Week</v>
      </c>
      <c r="Y170" s="173" t="str">
        <f t="shared" ca="1" si="390"/>
        <v/>
      </c>
      <c r="Z170" s="174" t="str">
        <f t="shared" ca="1" si="391"/>
        <v/>
      </c>
    </row>
    <row r="171" spans="1:26" s="70" customFormat="1" ht="11.5" x14ac:dyDescent="0.25">
      <c r="A171" s="121" t="s">
        <v>65</v>
      </c>
      <c r="B171" s="121" t="s">
        <v>34</v>
      </c>
      <c r="C171" s="121" t="s">
        <v>214</v>
      </c>
      <c r="D171" s="121" t="s">
        <v>215</v>
      </c>
      <c r="E171" s="123">
        <f t="shared" si="348"/>
        <v>0.5</v>
      </c>
      <c r="F171" s="123">
        <f t="shared" si="349"/>
        <v>0.5</v>
      </c>
      <c r="G171" s="123">
        <f t="shared" si="349"/>
        <v>0.5</v>
      </c>
      <c r="H171" s="123">
        <f t="shared" si="350"/>
        <v>0</v>
      </c>
      <c r="I171" s="124">
        <v>0.5</v>
      </c>
      <c r="J171" s="125">
        <f t="shared" si="396"/>
        <v>46241</v>
      </c>
      <c r="K171" s="125">
        <f t="shared" si="351"/>
        <v>46241</v>
      </c>
      <c r="L171" s="125">
        <v>46255</v>
      </c>
      <c r="M171" s="125">
        <f t="shared" si="352"/>
        <v>46283</v>
      </c>
      <c r="N171" s="125">
        <f t="shared" si="353"/>
        <v>46283</v>
      </c>
      <c r="O171" s="125"/>
      <c r="P171" s="125">
        <f t="shared" si="354"/>
        <v>46325</v>
      </c>
      <c r="Q171" s="125">
        <f t="shared" si="355"/>
        <v>46325</v>
      </c>
      <c r="R171" s="125"/>
      <c r="S171" s="125">
        <f t="shared" si="356"/>
        <v>46339</v>
      </c>
      <c r="T171" s="125">
        <f t="shared" si="357"/>
        <v>46339</v>
      </c>
      <c r="U171" s="125"/>
      <c r="W171" s="173" t="str">
        <f t="shared" ca="1" si="388"/>
        <v>Completed</v>
      </c>
      <c r="X171" s="173" t="str">
        <f t="shared" ca="1" si="389"/>
        <v/>
      </c>
      <c r="Y171" s="173" t="str">
        <f t="shared" ca="1" si="390"/>
        <v/>
      </c>
      <c r="Z171" s="174" t="str">
        <f t="shared" ca="1" si="391"/>
        <v/>
      </c>
    </row>
    <row r="172" spans="1:26" s="70" customFormat="1" ht="11.5" x14ac:dyDescent="0.25">
      <c r="A172" s="121" t="s">
        <v>65</v>
      </c>
      <c r="B172" s="121" t="s">
        <v>34</v>
      </c>
      <c r="C172" s="121" t="s">
        <v>216</v>
      </c>
      <c r="D172" s="121" t="s">
        <v>217</v>
      </c>
      <c r="E172" s="123">
        <f t="shared" si="348"/>
        <v>0</v>
      </c>
      <c r="F172" s="123">
        <f t="shared" si="349"/>
        <v>0</v>
      </c>
      <c r="G172" s="123">
        <f t="shared" si="349"/>
        <v>0</v>
      </c>
      <c r="H172" s="123">
        <f t="shared" si="350"/>
        <v>0</v>
      </c>
      <c r="I172" s="124">
        <v>0.8</v>
      </c>
      <c r="J172" s="125">
        <f t="shared" si="396"/>
        <v>46311</v>
      </c>
      <c r="K172" s="125">
        <f t="shared" si="351"/>
        <v>46311</v>
      </c>
      <c r="L172" s="125"/>
      <c r="M172" s="125">
        <f t="shared" si="352"/>
        <v>46353</v>
      </c>
      <c r="N172" s="125">
        <f t="shared" si="353"/>
        <v>46353</v>
      </c>
      <c r="O172" s="125"/>
      <c r="P172" s="125">
        <f t="shared" si="354"/>
        <v>46395</v>
      </c>
      <c r="Q172" s="125">
        <f t="shared" si="355"/>
        <v>46395</v>
      </c>
      <c r="R172" s="125"/>
      <c r="S172" s="125">
        <f t="shared" si="356"/>
        <v>46409</v>
      </c>
      <c r="T172" s="125">
        <f t="shared" si="357"/>
        <v>46409</v>
      </c>
      <c r="U172" s="125"/>
      <c r="W172" s="173" t="str">
        <f t="shared" ca="1" si="388"/>
        <v/>
      </c>
      <c r="X172" s="173" t="str">
        <f t="shared" ca="1" si="389"/>
        <v/>
      </c>
      <c r="Y172" s="173" t="str">
        <f t="shared" ca="1" si="390"/>
        <v/>
      </c>
      <c r="Z172" s="174" t="str">
        <f t="shared" ca="1" si="391"/>
        <v/>
      </c>
    </row>
    <row r="173" spans="1:26" s="70" customFormat="1" ht="11.5" x14ac:dyDescent="0.25">
      <c r="A173" s="121" t="s">
        <v>65</v>
      </c>
      <c r="B173" s="121" t="s">
        <v>34</v>
      </c>
      <c r="C173" s="121" t="s">
        <v>218</v>
      </c>
      <c r="D173" s="121" t="s">
        <v>219</v>
      </c>
      <c r="E173" s="123">
        <f t="shared" si="348"/>
        <v>0</v>
      </c>
      <c r="F173" s="123">
        <f t="shared" si="349"/>
        <v>0</v>
      </c>
      <c r="G173" s="123">
        <f t="shared" si="349"/>
        <v>0.5</v>
      </c>
      <c r="H173" s="123">
        <f t="shared" si="350"/>
        <v>0.5</v>
      </c>
      <c r="I173" s="124">
        <v>0.8</v>
      </c>
      <c r="J173" s="125">
        <f t="shared" si="396"/>
        <v>46325</v>
      </c>
      <c r="K173" s="125">
        <f t="shared" si="351"/>
        <v>46325</v>
      </c>
      <c r="L173" s="125">
        <v>46254</v>
      </c>
      <c r="M173" s="125">
        <f t="shared" si="352"/>
        <v>46367</v>
      </c>
      <c r="N173" s="125">
        <f t="shared" si="353"/>
        <v>46367</v>
      </c>
      <c r="O173" s="127"/>
      <c r="P173" s="125">
        <f t="shared" si="354"/>
        <v>46409</v>
      </c>
      <c r="Q173" s="125">
        <f t="shared" si="355"/>
        <v>46409</v>
      </c>
      <c r="R173" s="127"/>
      <c r="S173" s="125">
        <f t="shared" si="356"/>
        <v>46423</v>
      </c>
      <c r="T173" s="125">
        <f t="shared" si="357"/>
        <v>46423</v>
      </c>
      <c r="U173" s="127"/>
      <c r="W173" s="173" t="str">
        <f t="shared" ca="1" si="388"/>
        <v>Completed</v>
      </c>
      <c r="X173" s="173" t="str">
        <f t="shared" ca="1" si="389"/>
        <v/>
      </c>
      <c r="Y173" s="173" t="str">
        <f t="shared" ca="1" si="390"/>
        <v/>
      </c>
      <c r="Z173" s="174" t="str">
        <f t="shared" ca="1" si="391"/>
        <v/>
      </c>
    </row>
    <row r="174" spans="1:26" s="70" customFormat="1" ht="11.5" x14ac:dyDescent="0.25">
      <c r="A174" s="121" t="s">
        <v>65</v>
      </c>
      <c r="B174" s="121" t="s">
        <v>34</v>
      </c>
      <c r="C174" s="121" t="s">
        <v>220</v>
      </c>
      <c r="D174" s="121" t="s">
        <v>221</v>
      </c>
      <c r="E174" s="123">
        <f t="shared" si="348"/>
        <v>0</v>
      </c>
      <c r="F174" s="123">
        <f t="shared" si="349"/>
        <v>0</v>
      </c>
      <c r="G174" s="123">
        <f t="shared" si="349"/>
        <v>0</v>
      </c>
      <c r="H174" s="123">
        <f t="shared" si="350"/>
        <v>0</v>
      </c>
      <c r="I174" s="124">
        <v>0.8</v>
      </c>
      <c r="J174" s="125">
        <f t="shared" si="396"/>
        <v>46333</v>
      </c>
      <c r="K174" s="125">
        <f t="shared" si="351"/>
        <v>46333</v>
      </c>
      <c r="L174" s="125"/>
      <c r="M174" s="125">
        <f t="shared" si="352"/>
        <v>46375</v>
      </c>
      <c r="N174" s="125">
        <f t="shared" si="353"/>
        <v>46375</v>
      </c>
      <c r="O174" s="125"/>
      <c r="P174" s="125">
        <f t="shared" si="354"/>
        <v>46417</v>
      </c>
      <c r="Q174" s="125">
        <f t="shared" si="355"/>
        <v>46417</v>
      </c>
      <c r="R174" s="125"/>
      <c r="S174" s="125">
        <f t="shared" si="356"/>
        <v>46431</v>
      </c>
      <c r="T174" s="125">
        <f t="shared" si="357"/>
        <v>46431</v>
      </c>
      <c r="U174" s="125"/>
      <c r="W174" s="173" t="str">
        <f t="shared" ca="1" si="388"/>
        <v/>
      </c>
      <c r="X174" s="173" t="str">
        <f t="shared" ca="1" si="389"/>
        <v/>
      </c>
      <c r="Y174" s="173" t="str">
        <f t="shared" ca="1" si="390"/>
        <v/>
      </c>
      <c r="Z174" s="174" t="str">
        <f t="shared" ca="1" si="391"/>
        <v/>
      </c>
    </row>
    <row r="175" spans="1:26" s="70" customFormat="1" ht="11.5" x14ac:dyDescent="0.25">
      <c r="A175" s="121" t="s">
        <v>65</v>
      </c>
      <c r="B175" s="121" t="s">
        <v>34</v>
      </c>
      <c r="C175" s="121" t="s">
        <v>222</v>
      </c>
      <c r="D175" s="121" t="s">
        <v>223</v>
      </c>
      <c r="E175" s="123">
        <f t="shared" si="348"/>
        <v>0</v>
      </c>
      <c r="F175" s="123">
        <f t="shared" si="349"/>
        <v>0</v>
      </c>
      <c r="G175" s="123">
        <f t="shared" si="349"/>
        <v>0</v>
      </c>
      <c r="H175" s="123">
        <f t="shared" si="350"/>
        <v>0</v>
      </c>
      <c r="I175" s="124">
        <v>0.5</v>
      </c>
      <c r="J175" s="125">
        <f t="shared" si="396"/>
        <v>46386</v>
      </c>
      <c r="K175" s="125">
        <f t="shared" si="351"/>
        <v>46386</v>
      </c>
      <c r="L175" s="127"/>
      <c r="M175" s="125">
        <f t="shared" si="352"/>
        <v>46428</v>
      </c>
      <c r="N175" s="125">
        <f t="shared" si="353"/>
        <v>46428</v>
      </c>
      <c r="O175" s="127"/>
      <c r="P175" s="125">
        <f t="shared" si="354"/>
        <v>46470</v>
      </c>
      <c r="Q175" s="125">
        <f t="shared" si="355"/>
        <v>46470</v>
      </c>
      <c r="R175" s="127"/>
      <c r="S175" s="125">
        <f t="shared" si="356"/>
        <v>46484</v>
      </c>
      <c r="T175" s="125">
        <f t="shared" si="357"/>
        <v>46484</v>
      </c>
      <c r="U175" s="127"/>
      <c r="W175" s="173" t="str">
        <f t="shared" ca="1" si="388"/>
        <v/>
      </c>
      <c r="X175" s="173" t="str">
        <f t="shared" ca="1" si="389"/>
        <v/>
      </c>
      <c r="Y175" s="173" t="str">
        <f t="shared" ca="1" si="390"/>
        <v/>
      </c>
      <c r="Z175" s="174" t="str">
        <f t="shared" ca="1" si="391"/>
        <v/>
      </c>
    </row>
    <row r="176" spans="1:26" s="70" customFormat="1" ht="11.5" x14ac:dyDescent="0.25">
      <c r="A176" s="121" t="s">
        <v>65</v>
      </c>
      <c r="B176" s="121" t="s">
        <v>34</v>
      </c>
      <c r="C176" s="121" t="s">
        <v>224</v>
      </c>
      <c r="D176" s="121" t="s">
        <v>225</v>
      </c>
      <c r="E176" s="123">
        <f t="shared" si="348"/>
        <v>0.5</v>
      </c>
      <c r="F176" s="123">
        <f t="shared" si="349"/>
        <v>0.5</v>
      </c>
      <c r="G176" s="123">
        <f t="shared" si="349"/>
        <v>0</v>
      </c>
      <c r="H176" s="123">
        <f t="shared" si="350"/>
        <v>-0.5</v>
      </c>
      <c r="I176" s="124">
        <v>0.5</v>
      </c>
      <c r="J176" s="125">
        <f t="shared" si="396"/>
        <v>46255</v>
      </c>
      <c r="K176" s="125">
        <f t="shared" si="351"/>
        <v>46255</v>
      </c>
      <c r="L176" s="125"/>
      <c r="M176" s="125">
        <f t="shared" si="352"/>
        <v>46297</v>
      </c>
      <c r="N176" s="125">
        <f t="shared" si="353"/>
        <v>46297</v>
      </c>
      <c r="O176" s="125"/>
      <c r="P176" s="125">
        <f t="shared" si="354"/>
        <v>46339</v>
      </c>
      <c r="Q176" s="125">
        <f t="shared" si="355"/>
        <v>46339</v>
      </c>
      <c r="R176" s="125"/>
      <c r="S176" s="125">
        <f t="shared" si="356"/>
        <v>46353</v>
      </c>
      <c r="T176" s="125">
        <f t="shared" si="357"/>
        <v>46353</v>
      </c>
      <c r="U176" s="125"/>
      <c r="W176" s="173" t="str">
        <f t="shared" ca="1" si="388"/>
        <v>Overdue</v>
      </c>
      <c r="X176" s="173" t="str">
        <f t="shared" ca="1" si="389"/>
        <v/>
      </c>
      <c r="Y176" s="173" t="str">
        <f t="shared" ca="1" si="390"/>
        <v/>
      </c>
      <c r="Z176" s="174" t="str">
        <f t="shared" ca="1" si="391"/>
        <v/>
      </c>
    </row>
    <row r="177" spans="1:26" s="70" customFormat="1" ht="11.5" x14ac:dyDescent="0.25">
      <c r="A177" s="121" t="s">
        <v>65</v>
      </c>
      <c r="B177" s="121" t="s">
        <v>34</v>
      </c>
      <c r="C177" s="121" t="s">
        <v>226</v>
      </c>
      <c r="D177" s="121" t="s">
        <v>227</v>
      </c>
      <c r="E177" s="123">
        <f>(COUNTIFS(J177,"&lt;="&amp;$C$1)*50%)+(COUNTIFS(M177,"&lt;="&amp;$C$1)*20%)+(COUNTIFS(P177,"&lt;="&amp;$C$1)*10%)+(COUNTIFS(S177,"&lt;="&amp;$C$1)*20%)</f>
        <v>0</v>
      </c>
      <c r="F177" s="123">
        <f t="shared" si="349"/>
        <v>0</v>
      </c>
      <c r="G177" s="123">
        <f t="shared" si="349"/>
        <v>0.5</v>
      </c>
      <c r="H177" s="123">
        <f t="shared" si="350"/>
        <v>0.5</v>
      </c>
      <c r="I177" s="124">
        <v>0.5</v>
      </c>
      <c r="J177" s="125">
        <f t="shared" si="396"/>
        <v>46311</v>
      </c>
      <c r="K177" s="125">
        <f t="shared" si="351"/>
        <v>46311</v>
      </c>
      <c r="L177" s="145">
        <v>46162</v>
      </c>
      <c r="M177" s="125">
        <f t="shared" si="352"/>
        <v>46353</v>
      </c>
      <c r="N177" s="125">
        <f t="shared" si="353"/>
        <v>46353</v>
      </c>
      <c r="O177" s="125"/>
      <c r="P177" s="125">
        <f t="shared" si="354"/>
        <v>46395</v>
      </c>
      <c r="Q177" s="125">
        <f t="shared" si="355"/>
        <v>46395</v>
      </c>
      <c r="R177" s="125"/>
      <c r="S177" s="125">
        <f t="shared" si="356"/>
        <v>46409</v>
      </c>
      <c r="T177" s="125">
        <f t="shared" si="357"/>
        <v>46409</v>
      </c>
      <c r="U177" s="125"/>
      <c r="W177" s="173" t="str">
        <f t="shared" ca="1" si="388"/>
        <v>Completed</v>
      </c>
      <c r="X177" s="173" t="str">
        <f t="shared" ca="1" si="389"/>
        <v/>
      </c>
      <c r="Y177" s="173" t="str">
        <f t="shared" ca="1" si="390"/>
        <v/>
      </c>
      <c r="Z177" s="174" t="str">
        <f t="shared" ca="1" si="391"/>
        <v/>
      </c>
    </row>
    <row r="178" spans="1:26" s="70" customFormat="1" ht="11.5" x14ac:dyDescent="0.25">
      <c r="A178" s="121" t="s">
        <v>65</v>
      </c>
      <c r="B178" s="121" t="s">
        <v>34</v>
      </c>
      <c r="C178" s="121" t="s">
        <v>854</v>
      </c>
      <c r="D178" s="121" t="s">
        <v>228</v>
      </c>
      <c r="E178" s="123">
        <f>(COUNTIFS(J178,"&lt;="&amp;$C$1)*50%)+(COUNTIFS(M178,"&lt;="&amp;$C$1)*20%)+(COUNTIFS(P178,"&lt;="&amp;$C$1)*10%)+(COUNTIFS(S178,"&lt;="&amp;$C$1)*20%)</f>
        <v>0.5</v>
      </c>
      <c r="F178" s="123">
        <f t="shared" si="349"/>
        <v>0.5</v>
      </c>
      <c r="G178" s="123">
        <f t="shared" si="349"/>
        <v>0</v>
      </c>
      <c r="H178" s="123">
        <f t="shared" si="350"/>
        <v>-0.5</v>
      </c>
      <c r="I178" s="124">
        <v>0.55000000000000004</v>
      </c>
      <c r="J178" s="125">
        <f t="shared" si="396"/>
        <v>46248</v>
      </c>
      <c r="K178" s="125">
        <f t="shared" si="351"/>
        <v>46248</v>
      </c>
      <c r="L178" s="125"/>
      <c r="M178" s="125">
        <f t="shared" si="352"/>
        <v>46290</v>
      </c>
      <c r="N178" s="125">
        <f t="shared" si="353"/>
        <v>46290</v>
      </c>
      <c r="O178" s="127"/>
      <c r="P178" s="125">
        <f t="shared" si="354"/>
        <v>46332</v>
      </c>
      <c r="Q178" s="125">
        <f t="shared" si="355"/>
        <v>46332</v>
      </c>
      <c r="R178" s="127"/>
      <c r="S178" s="125">
        <f t="shared" si="356"/>
        <v>46346</v>
      </c>
      <c r="T178" s="125">
        <f t="shared" si="357"/>
        <v>46346</v>
      </c>
      <c r="U178" s="127"/>
      <c r="W178" s="173" t="str">
        <f t="shared" ca="1" si="388"/>
        <v>Overdue</v>
      </c>
      <c r="X178" s="173" t="str">
        <f t="shared" ca="1" si="389"/>
        <v/>
      </c>
      <c r="Y178" s="173" t="str">
        <f t="shared" ca="1" si="390"/>
        <v/>
      </c>
      <c r="Z178" s="174" t="str">
        <f t="shared" ca="1" si="391"/>
        <v/>
      </c>
    </row>
    <row r="179" spans="1:26" s="70" customFormat="1" ht="11.5" x14ac:dyDescent="0.25">
      <c r="A179" s="121" t="s">
        <v>65</v>
      </c>
      <c r="B179" s="121" t="s">
        <v>34</v>
      </c>
      <c r="C179" s="121" t="s">
        <v>855</v>
      </c>
      <c r="D179" s="121" t="s">
        <v>229</v>
      </c>
      <c r="E179" s="123">
        <f t="shared" si="348"/>
        <v>0.5</v>
      </c>
      <c r="F179" s="123">
        <f t="shared" si="349"/>
        <v>0.5</v>
      </c>
      <c r="G179" s="123">
        <f t="shared" si="349"/>
        <v>0.5</v>
      </c>
      <c r="H179" s="123">
        <f t="shared" si="350"/>
        <v>0</v>
      </c>
      <c r="I179" s="124">
        <v>0.55000000000000004</v>
      </c>
      <c r="J179" s="125">
        <f t="shared" si="396"/>
        <v>46255</v>
      </c>
      <c r="K179" s="125">
        <f t="shared" si="351"/>
        <v>46255</v>
      </c>
      <c r="L179" s="125">
        <v>46188</v>
      </c>
      <c r="M179" s="125">
        <f t="shared" si="352"/>
        <v>46297</v>
      </c>
      <c r="N179" s="125">
        <f t="shared" si="353"/>
        <v>46297</v>
      </c>
      <c r="O179" s="127"/>
      <c r="P179" s="125">
        <f t="shared" si="354"/>
        <v>46339</v>
      </c>
      <c r="Q179" s="125">
        <f t="shared" si="355"/>
        <v>46339</v>
      </c>
      <c r="R179" s="125"/>
      <c r="S179" s="125">
        <f t="shared" si="356"/>
        <v>46353</v>
      </c>
      <c r="T179" s="125">
        <f t="shared" si="357"/>
        <v>46353</v>
      </c>
      <c r="U179" s="125"/>
      <c r="W179" s="173" t="str">
        <f t="shared" ca="1" si="388"/>
        <v>Completed</v>
      </c>
      <c r="X179" s="173" t="str">
        <f t="shared" ca="1" si="389"/>
        <v/>
      </c>
      <c r="Y179" s="173" t="str">
        <f t="shared" ca="1" si="390"/>
        <v/>
      </c>
      <c r="Z179" s="174" t="str">
        <f t="shared" ca="1" si="391"/>
        <v/>
      </c>
    </row>
    <row r="180" spans="1:26" s="70" customFormat="1" ht="11.5" x14ac:dyDescent="0.25">
      <c r="A180" s="121" t="s">
        <v>65</v>
      </c>
      <c r="B180" s="121" t="s">
        <v>34</v>
      </c>
      <c r="C180" s="121" t="s">
        <v>856</v>
      </c>
      <c r="D180" s="121" t="s">
        <v>230</v>
      </c>
      <c r="E180" s="123">
        <f t="shared" si="348"/>
        <v>0</v>
      </c>
      <c r="F180" s="123">
        <f t="shared" si="349"/>
        <v>0</v>
      </c>
      <c r="G180" s="123">
        <f t="shared" si="349"/>
        <v>0</v>
      </c>
      <c r="H180" s="123">
        <f t="shared" si="350"/>
        <v>0</v>
      </c>
      <c r="I180" s="124">
        <v>0.75</v>
      </c>
      <c r="J180" s="125">
        <f t="shared" si="396"/>
        <v>46276</v>
      </c>
      <c r="K180" s="125">
        <f t="shared" si="351"/>
        <v>46276</v>
      </c>
      <c r="L180" s="125"/>
      <c r="M180" s="125">
        <f t="shared" si="352"/>
        <v>46318</v>
      </c>
      <c r="N180" s="125">
        <f t="shared" si="353"/>
        <v>46318</v>
      </c>
      <c r="O180" s="125"/>
      <c r="P180" s="125">
        <f t="shared" si="354"/>
        <v>46360</v>
      </c>
      <c r="Q180" s="125">
        <f t="shared" si="355"/>
        <v>46360</v>
      </c>
      <c r="R180" s="125"/>
      <c r="S180" s="125">
        <f t="shared" si="356"/>
        <v>46374</v>
      </c>
      <c r="T180" s="125">
        <f t="shared" si="357"/>
        <v>46374</v>
      </c>
      <c r="U180" s="125"/>
      <c r="W180" s="173" t="str">
        <f t="shared" ca="1" si="388"/>
        <v>Follow-Next Week</v>
      </c>
      <c r="X180" s="173" t="str">
        <f t="shared" ca="1" si="389"/>
        <v/>
      </c>
      <c r="Y180" s="173" t="str">
        <f t="shared" ca="1" si="390"/>
        <v/>
      </c>
      <c r="Z180" s="174" t="str">
        <f t="shared" ca="1" si="391"/>
        <v/>
      </c>
    </row>
    <row r="181" spans="1:26" s="70" customFormat="1" ht="11.5" x14ac:dyDescent="0.25">
      <c r="A181" s="121" t="s">
        <v>65</v>
      </c>
      <c r="B181" s="121" t="s">
        <v>34</v>
      </c>
      <c r="C181" s="121" t="s">
        <v>231</v>
      </c>
      <c r="D181" s="121" t="s">
        <v>232</v>
      </c>
      <c r="E181" s="123">
        <f t="shared" si="348"/>
        <v>0.7</v>
      </c>
      <c r="F181" s="123">
        <f t="shared" si="349"/>
        <v>0.7</v>
      </c>
      <c r="G181" s="123">
        <f t="shared" si="349"/>
        <v>0.7</v>
      </c>
      <c r="H181" s="123">
        <f t="shared" si="350"/>
        <v>0</v>
      </c>
      <c r="I181" s="124">
        <v>1</v>
      </c>
      <c r="J181" s="125">
        <f t="shared" si="396"/>
        <v>46199</v>
      </c>
      <c r="K181" s="125">
        <f t="shared" si="351"/>
        <v>46199</v>
      </c>
      <c r="L181" s="125">
        <v>46130</v>
      </c>
      <c r="M181" s="125">
        <f t="shared" si="352"/>
        <v>46241</v>
      </c>
      <c r="N181" s="125">
        <f t="shared" si="353"/>
        <v>46241</v>
      </c>
      <c r="O181" s="125">
        <v>46255</v>
      </c>
      <c r="P181" s="125">
        <f t="shared" si="354"/>
        <v>46283</v>
      </c>
      <c r="Q181" s="125">
        <f t="shared" si="355"/>
        <v>46283</v>
      </c>
      <c r="R181" s="125"/>
      <c r="S181" s="125">
        <f t="shared" si="356"/>
        <v>46297</v>
      </c>
      <c r="T181" s="125">
        <f t="shared" si="357"/>
        <v>46297</v>
      </c>
      <c r="U181" s="125"/>
      <c r="W181" s="173" t="str">
        <f t="shared" ca="1" si="388"/>
        <v>Completed</v>
      </c>
      <c r="X181" s="173" t="str">
        <f t="shared" ca="1" si="389"/>
        <v>Completed</v>
      </c>
      <c r="Y181" s="173" t="str">
        <f t="shared" ca="1" si="390"/>
        <v/>
      </c>
      <c r="Z181" s="174" t="str">
        <f t="shared" ca="1" si="391"/>
        <v/>
      </c>
    </row>
    <row r="182" spans="1:26" s="70" customFormat="1" ht="11.5" x14ac:dyDescent="0.25">
      <c r="A182" s="121" t="s">
        <v>65</v>
      </c>
      <c r="B182" s="121" t="s">
        <v>34</v>
      </c>
      <c r="C182" s="121" t="s">
        <v>233</v>
      </c>
      <c r="D182" s="121" t="s">
        <v>234</v>
      </c>
      <c r="E182" s="123">
        <f t="shared" si="348"/>
        <v>0.5</v>
      </c>
      <c r="F182" s="123">
        <f t="shared" si="349"/>
        <v>0.5</v>
      </c>
      <c r="G182" s="123">
        <f t="shared" si="349"/>
        <v>0.5</v>
      </c>
      <c r="H182" s="123">
        <f t="shared" si="350"/>
        <v>0</v>
      </c>
      <c r="I182" s="124">
        <v>0.5</v>
      </c>
      <c r="J182" s="125">
        <f t="shared" si="396"/>
        <v>46262</v>
      </c>
      <c r="K182" s="125">
        <f t="shared" si="351"/>
        <v>46262</v>
      </c>
      <c r="L182" s="165">
        <v>46262</v>
      </c>
      <c r="M182" s="125">
        <f t="shared" si="352"/>
        <v>46304</v>
      </c>
      <c r="N182" s="125">
        <f t="shared" si="353"/>
        <v>46304</v>
      </c>
      <c r="O182" s="125"/>
      <c r="P182" s="125">
        <f t="shared" si="354"/>
        <v>46346</v>
      </c>
      <c r="Q182" s="125">
        <f t="shared" si="355"/>
        <v>46346</v>
      </c>
      <c r="R182" s="125"/>
      <c r="S182" s="125">
        <f t="shared" si="356"/>
        <v>46360</v>
      </c>
      <c r="T182" s="125">
        <f t="shared" si="357"/>
        <v>46360</v>
      </c>
      <c r="U182" s="125"/>
      <c r="W182" s="173" t="str">
        <f t="shared" ca="1" si="388"/>
        <v>Completed</v>
      </c>
      <c r="X182" s="173" t="str">
        <f t="shared" ca="1" si="389"/>
        <v/>
      </c>
      <c r="Y182" s="173" t="str">
        <f t="shared" ca="1" si="390"/>
        <v/>
      </c>
      <c r="Z182" s="174" t="str">
        <f t="shared" ca="1" si="391"/>
        <v/>
      </c>
    </row>
    <row r="183" spans="1:26" s="70" customFormat="1" ht="11.5" x14ac:dyDescent="0.25">
      <c r="A183" s="121" t="s">
        <v>65</v>
      </c>
      <c r="B183" s="121" t="s">
        <v>34</v>
      </c>
      <c r="C183" s="121" t="s">
        <v>235</v>
      </c>
      <c r="D183" s="121" t="s">
        <v>236</v>
      </c>
      <c r="E183" s="123">
        <f t="shared" ref="E183:E252" si="397">(COUNTIFS(J183,"&lt;="&amp;$C$1)*50%)+(COUNTIFS(M183,"&lt;="&amp;$C$1)*20%)+(COUNTIFS(P183,"&lt;="&amp;$C$1)*10%)+(COUNTIFS(S183,"&lt;="&amp;$C$1)*20%)</f>
        <v>0</v>
      </c>
      <c r="F183" s="123">
        <f t="shared" ref="F183:G252" si="398">(COUNTIFS(K183,"&lt;="&amp;$C$1)*50%)+(COUNTIFS(N183,"&lt;="&amp;$C$1)*20%)+(COUNTIFS(Q183,"&lt;="&amp;$C$1)*10%)+(COUNTIFS(T183,"&lt;="&amp;$C$1)*20%)</f>
        <v>0</v>
      </c>
      <c r="G183" s="123">
        <f t="shared" si="398"/>
        <v>0.5</v>
      </c>
      <c r="H183" s="123">
        <f t="shared" ref="H183:H252" si="399">G183-E183</f>
        <v>0.5</v>
      </c>
      <c r="I183" s="124">
        <v>0.5</v>
      </c>
      <c r="J183" s="125">
        <f t="shared" si="396"/>
        <v>46269</v>
      </c>
      <c r="K183" s="125">
        <f t="shared" si="351"/>
        <v>46269</v>
      </c>
      <c r="L183" s="165">
        <v>46262</v>
      </c>
      <c r="M183" s="125">
        <f t="shared" si="352"/>
        <v>46311</v>
      </c>
      <c r="N183" s="125">
        <f t="shared" si="353"/>
        <v>46311</v>
      </c>
      <c r="O183" s="125"/>
      <c r="P183" s="125">
        <f t="shared" si="354"/>
        <v>46353</v>
      </c>
      <c r="Q183" s="125">
        <f t="shared" si="355"/>
        <v>46353</v>
      </c>
      <c r="R183" s="125"/>
      <c r="S183" s="125">
        <f t="shared" si="356"/>
        <v>46367</v>
      </c>
      <c r="T183" s="125">
        <f t="shared" si="357"/>
        <v>46367</v>
      </c>
      <c r="U183" s="125"/>
      <c r="W183" s="173" t="str">
        <f t="shared" ca="1" si="388"/>
        <v>Completed</v>
      </c>
      <c r="X183" s="173" t="str">
        <f t="shared" ca="1" si="389"/>
        <v/>
      </c>
      <c r="Y183" s="173" t="str">
        <f t="shared" ca="1" si="390"/>
        <v/>
      </c>
      <c r="Z183" s="174" t="str">
        <f t="shared" ca="1" si="391"/>
        <v/>
      </c>
    </row>
    <row r="184" spans="1:26" s="70" customFormat="1" ht="11.5" x14ac:dyDescent="0.25">
      <c r="A184" s="121" t="s">
        <v>65</v>
      </c>
      <c r="B184" s="121" t="s">
        <v>34</v>
      </c>
      <c r="C184" s="121" t="s">
        <v>827</v>
      </c>
      <c r="D184" s="121" t="s">
        <v>828</v>
      </c>
      <c r="E184" s="123">
        <f t="shared" si="397"/>
        <v>1</v>
      </c>
      <c r="F184" s="123">
        <f t="shared" si="398"/>
        <v>1</v>
      </c>
      <c r="G184" s="123">
        <f t="shared" si="398"/>
        <v>0.5</v>
      </c>
      <c r="H184" s="123">
        <f t="shared" si="399"/>
        <v>-0.5</v>
      </c>
      <c r="I184" s="124">
        <v>0.4</v>
      </c>
      <c r="J184" s="125">
        <v>46122</v>
      </c>
      <c r="K184" s="125">
        <f t="shared" ref="K184:K186" si="400">J184</f>
        <v>46122</v>
      </c>
      <c r="L184" s="125">
        <v>46115</v>
      </c>
      <c r="M184" s="125">
        <f t="shared" ref="M184:M186" si="401">J184+42</f>
        <v>46164</v>
      </c>
      <c r="N184" s="125">
        <f t="shared" ref="N184:N186" si="402">M184</f>
        <v>46164</v>
      </c>
      <c r="O184" s="125"/>
      <c r="P184" s="125">
        <f t="shared" ref="P184:P186" si="403">M184+42</f>
        <v>46206</v>
      </c>
      <c r="Q184" s="125">
        <f t="shared" ref="Q184:Q186" si="404">P184</f>
        <v>46206</v>
      </c>
      <c r="R184" s="125"/>
      <c r="S184" s="125">
        <f t="shared" ref="S184:S186" si="405">P184+14</f>
        <v>46220</v>
      </c>
      <c r="T184" s="125">
        <f t="shared" ref="T184:T186" si="406">S184</f>
        <v>46220</v>
      </c>
      <c r="U184" s="125"/>
      <c r="W184" s="173" t="str">
        <f t="shared" ca="1" si="388"/>
        <v>Completed</v>
      </c>
      <c r="X184" s="173" t="str">
        <f t="shared" ca="1" si="389"/>
        <v>Overdue</v>
      </c>
      <c r="Y184" s="173" t="str">
        <f t="shared" ca="1" si="390"/>
        <v>Overdue</v>
      </c>
      <c r="Z184" s="174" t="str">
        <f t="shared" ca="1" si="391"/>
        <v>Overdue</v>
      </c>
    </row>
    <row r="185" spans="1:26" s="70" customFormat="1" ht="11.5" x14ac:dyDescent="0.25">
      <c r="A185" s="121" t="s">
        <v>65</v>
      </c>
      <c r="B185" s="121" t="s">
        <v>34</v>
      </c>
      <c r="C185" s="121" t="s">
        <v>829</v>
      </c>
      <c r="D185" s="121" t="s">
        <v>830</v>
      </c>
      <c r="E185" s="123">
        <f t="shared" ref="E185" si="407">(COUNTIFS(J185,"&lt;="&amp;$C$1)*50%)+(COUNTIFS(M185,"&lt;="&amp;$C$1)*20%)+(COUNTIFS(P185,"&lt;="&amp;$C$1)*10%)+(COUNTIFS(S185,"&lt;="&amp;$C$1)*20%)</f>
        <v>1</v>
      </c>
      <c r="F185" s="123">
        <f t="shared" ref="F185" si="408">(COUNTIFS(K185,"&lt;="&amp;$C$1)*50%)+(COUNTIFS(N185,"&lt;="&amp;$C$1)*20%)+(COUNTIFS(Q185,"&lt;="&amp;$C$1)*10%)+(COUNTIFS(T185,"&lt;="&amp;$C$1)*20%)</f>
        <v>1</v>
      </c>
      <c r="G185" s="123">
        <f t="shared" ref="G185" si="409">(COUNTIFS(L185,"&lt;="&amp;$C$1)*50%)+(COUNTIFS(O185,"&lt;="&amp;$C$1)*20%)+(COUNTIFS(R185,"&lt;="&amp;$C$1)*10%)+(COUNTIFS(U185,"&lt;="&amp;$C$1)*20%)</f>
        <v>0.7</v>
      </c>
      <c r="H185" s="123">
        <f t="shared" ref="H185" si="410">G185-E185</f>
        <v>-0.30000000000000004</v>
      </c>
      <c r="I185" s="124">
        <v>0.4</v>
      </c>
      <c r="J185" s="125">
        <v>46129</v>
      </c>
      <c r="K185" s="125">
        <f t="shared" si="400"/>
        <v>46129</v>
      </c>
      <c r="L185" s="125">
        <v>46142</v>
      </c>
      <c r="M185" s="125">
        <f t="shared" si="401"/>
        <v>46171</v>
      </c>
      <c r="N185" s="125">
        <f t="shared" si="402"/>
        <v>46171</v>
      </c>
      <c r="O185" s="129">
        <v>46191</v>
      </c>
      <c r="P185" s="125">
        <f t="shared" si="403"/>
        <v>46213</v>
      </c>
      <c r="Q185" s="125">
        <f t="shared" si="404"/>
        <v>46213</v>
      </c>
      <c r="R185" s="125"/>
      <c r="S185" s="125">
        <f t="shared" si="405"/>
        <v>46227</v>
      </c>
      <c r="T185" s="125">
        <f t="shared" si="406"/>
        <v>46227</v>
      </c>
      <c r="U185" s="125"/>
      <c r="W185" s="173" t="str">
        <f t="shared" ca="1" si="388"/>
        <v>Completed</v>
      </c>
      <c r="X185" s="173" t="str">
        <f t="shared" ca="1" si="389"/>
        <v>Completed</v>
      </c>
      <c r="Y185" s="173" t="str">
        <f t="shared" ca="1" si="390"/>
        <v>Overdue</v>
      </c>
      <c r="Z185" s="174" t="str">
        <f t="shared" ca="1" si="391"/>
        <v>Overdue</v>
      </c>
    </row>
    <row r="186" spans="1:26" s="70" customFormat="1" ht="11.5" x14ac:dyDescent="0.25">
      <c r="A186" s="199" t="s">
        <v>65</v>
      </c>
      <c r="B186" s="199" t="s">
        <v>34</v>
      </c>
      <c r="C186" s="199" t="s">
        <v>831</v>
      </c>
      <c r="D186" s="199" t="s">
        <v>832</v>
      </c>
      <c r="E186" s="200"/>
      <c r="F186" s="200"/>
      <c r="G186" s="200"/>
      <c r="H186" s="200"/>
      <c r="I186" s="201">
        <v>0.2</v>
      </c>
      <c r="J186" s="202">
        <v>46142</v>
      </c>
      <c r="K186" s="202">
        <f t="shared" si="400"/>
        <v>46142</v>
      </c>
      <c r="L186" s="203">
        <v>46248</v>
      </c>
      <c r="M186" s="202">
        <f t="shared" si="401"/>
        <v>46184</v>
      </c>
      <c r="N186" s="202">
        <f t="shared" si="402"/>
        <v>46184</v>
      </c>
      <c r="O186" s="203">
        <v>46248</v>
      </c>
      <c r="P186" s="202">
        <f t="shared" si="403"/>
        <v>46226</v>
      </c>
      <c r="Q186" s="202">
        <f t="shared" si="404"/>
        <v>46226</v>
      </c>
      <c r="R186" s="203">
        <v>46248</v>
      </c>
      <c r="S186" s="202">
        <f t="shared" si="405"/>
        <v>46240</v>
      </c>
      <c r="T186" s="202">
        <f t="shared" si="406"/>
        <v>46240</v>
      </c>
      <c r="U186" s="203">
        <v>46248</v>
      </c>
      <c r="W186" s="173" t="str">
        <f t="shared" ca="1" si="388"/>
        <v>Completed</v>
      </c>
      <c r="X186" s="173" t="str">
        <f t="shared" ca="1" si="389"/>
        <v>Completed</v>
      </c>
      <c r="Y186" s="173" t="str">
        <f t="shared" ca="1" si="390"/>
        <v>Completed</v>
      </c>
      <c r="Z186" s="174" t="str">
        <f t="shared" ca="1" si="391"/>
        <v>Completed</v>
      </c>
    </row>
    <row r="187" spans="1:26" s="70" customFormat="1" ht="11.5" x14ac:dyDescent="0.25">
      <c r="A187" s="121" t="s">
        <v>65</v>
      </c>
      <c r="B187" s="121" t="s">
        <v>34</v>
      </c>
      <c r="C187" s="121" t="s">
        <v>831</v>
      </c>
      <c r="D187" s="121" t="s">
        <v>1143</v>
      </c>
      <c r="E187" s="123">
        <f t="shared" ref="E187" si="411">(COUNTIFS(J187,"&lt;="&amp;$C$1)*50%)+(COUNTIFS(M187,"&lt;="&amp;$C$1)*20%)+(COUNTIFS(P187,"&lt;="&amp;$C$1)*10%)+(COUNTIFS(S187,"&lt;="&amp;$C$1)*20%)</f>
        <v>1</v>
      </c>
      <c r="F187" s="123">
        <f t="shared" ref="F187" si="412">(COUNTIFS(K187,"&lt;="&amp;$C$1)*50%)+(COUNTIFS(N187,"&lt;="&amp;$C$1)*20%)+(COUNTIFS(Q187,"&lt;="&amp;$C$1)*10%)+(COUNTIFS(T187,"&lt;="&amp;$C$1)*20%)</f>
        <v>1</v>
      </c>
      <c r="G187" s="123">
        <f t="shared" ref="G187" si="413">(COUNTIFS(L187,"&lt;="&amp;$C$1)*50%)+(COUNTIFS(O187,"&lt;="&amp;$C$1)*20%)+(COUNTIFS(R187,"&lt;="&amp;$C$1)*10%)+(COUNTIFS(U187,"&lt;="&amp;$C$1)*20%)</f>
        <v>0</v>
      </c>
      <c r="H187" s="123">
        <f t="shared" ref="H187" si="414">G187-E187</f>
        <v>-1</v>
      </c>
      <c r="I187" s="124"/>
      <c r="J187" s="125">
        <v>46142</v>
      </c>
      <c r="K187" s="125">
        <f t="shared" ref="K187" si="415">J187</f>
        <v>46142</v>
      </c>
      <c r="L187" s="125"/>
      <c r="M187" s="125">
        <f t="shared" ref="M187" si="416">J187+42</f>
        <v>46184</v>
      </c>
      <c r="N187" s="125">
        <f t="shared" ref="N187" si="417">M187</f>
        <v>46184</v>
      </c>
      <c r="O187" s="125"/>
      <c r="P187" s="125">
        <f t="shared" ref="P187" si="418">M187+42</f>
        <v>46226</v>
      </c>
      <c r="Q187" s="125">
        <f t="shared" ref="Q187" si="419">P187</f>
        <v>46226</v>
      </c>
      <c r="R187" s="125"/>
      <c r="S187" s="125">
        <f t="shared" ref="S187" si="420">P187+14</f>
        <v>46240</v>
      </c>
      <c r="T187" s="125">
        <f t="shared" ref="T187" si="421">S187</f>
        <v>46240</v>
      </c>
      <c r="U187" s="125"/>
      <c r="W187" s="173" t="str">
        <f t="shared" ref="W187" ca="1" si="422">IF(OR(L187&lt;&gt;""),"Completed",
IF(K187="","",IF(K187&lt;TODAY(),"Overdue",
IF(AND(K187&gt;=TODAY()-WEEKDAY(TODAY(),2)+1,K187&lt;=TODAY()-WEEKDAY(TODAY(),2)+7),"Follow-This Week",
IF(AND(K187&gt;=TODAY()-WEEKDAY(TODAY(),2)+8,K187&lt;=TODAY()-WEEKDAY(TODAY(),2)+14),"Follow-Next Week","")))))</f>
        <v>Overdue</v>
      </c>
      <c r="X187" s="173" t="str">
        <f t="shared" ref="X187" ca="1" si="423">IF(OR(O187&lt;&gt;""),"Completed",IF(N187="","",
IF(N187&lt;TODAY(),"Overdue",
IF(AND(N187&gt;=TODAY()-WEEKDAY(TODAY(),2)+1,N187&lt;=TODAY()-WEEKDAY(TODAY(),2)+7),"Follow-This Week",
IF(AND(N187&gt;=TODAY()-WEEKDAY(TODAY(),2)+8,N187&lt;=TODAY()-WEEKDAY(TODAY(),2)+14),"Follow-Next Week","")))))</f>
        <v>Overdue</v>
      </c>
      <c r="Y187" s="173" t="str">
        <f t="shared" ref="Y187" ca="1" si="424">IF(OR(R187&lt;&gt;""),"Completed",IF(Q187="","",
IF(Q187&lt;TODAY(),"Overdue",
IF(AND(Q187&gt;=TODAY()-WEEKDAY(TODAY(),2)+1,Q187&lt;=TODAY()-WEEKDAY(TODAY(),2)+7),"Follow-This Week",
IF(AND(Q187&gt;=TODAY()-WEEKDAY(TODAY(),2)+8,Q187&lt;=TODAY()-WEEKDAY(TODAY(),2)+14),"Follow-Next Week","")))))</f>
        <v>Overdue</v>
      </c>
      <c r="Z187" s="174" t="str">
        <f t="shared" ref="Z187" ca="1" si="425">IF(OR(U187&lt;&gt;""),"Completed",IF(T187="","",
IF(T187&lt;TODAY(),"Overdue",
IF(AND(T187&gt;=TODAY()-WEEKDAY(TODAY(),2)+1,T187&lt;=TODAY()-WEEKDAY(TODAY(),2)+7),"Follow-This Week",
IF(AND(T187&gt;=TODAY()-WEEKDAY(TODAY(),2)+8,T187&lt;=TODAY()-WEEKDAY(TODAY(),2)+14),"Follow-Next Week","")))))</f>
        <v>Overdue</v>
      </c>
    </row>
    <row r="188" spans="1:26" s="70" customFormat="1" ht="11.5" x14ac:dyDescent="0.25">
      <c r="A188" s="121" t="s">
        <v>65</v>
      </c>
      <c r="B188" s="121" t="s">
        <v>34</v>
      </c>
      <c r="C188" s="131" t="s">
        <v>897</v>
      </c>
      <c r="D188" s="121" t="s">
        <v>899</v>
      </c>
      <c r="E188" s="123">
        <v>0</v>
      </c>
      <c r="F188" s="123">
        <v>0</v>
      </c>
      <c r="G188" s="123">
        <v>0.5</v>
      </c>
      <c r="H188" s="123">
        <v>0.5</v>
      </c>
      <c r="I188" s="124">
        <v>0.2</v>
      </c>
      <c r="J188" s="125">
        <v>46157</v>
      </c>
      <c r="K188" s="125">
        <v>46157</v>
      </c>
      <c r="L188" s="125">
        <v>46150</v>
      </c>
      <c r="M188" s="125">
        <v>46199</v>
      </c>
      <c r="N188" s="125">
        <v>46199</v>
      </c>
      <c r="O188" s="125">
        <v>46191</v>
      </c>
      <c r="P188" s="125">
        <v>46241</v>
      </c>
      <c r="Q188" s="125">
        <v>46241</v>
      </c>
      <c r="R188" s="125">
        <v>46227</v>
      </c>
      <c r="S188" s="125">
        <v>46255</v>
      </c>
      <c r="T188" s="125">
        <v>46255</v>
      </c>
      <c r="U188" s="125">
        <v>46239</v>
      </c>
      <c r="W188" s="173" t="str">
        <f t="shared" ca="1" si="388"/>
        <v>Completed</v>
      </c>
      <c r="X188" s="173" t="str">
        <f t="shared" ca="1" si="389"/>
        <v>Completed</v>
      </c>
      <c r="Y188" s="173" t="str">
        <f t="shared" ca="1" si="390"/>
        <v>Completed</v>
      </c>
      <c r="Z188" s="174" t="str">
        <f t="shared" ca="1" si="391"/>
        <v>Completed</v>
      </c>
    </row>
    <row r="189" spans="1:26" s="70" customFormat="1" ht="11.5" x14ac:dyDescent="0.25">
      <c r="A189" s="121" t="s">
        <v>65</v>
      </c>
      <c r="B189" s="131" t="s">
        <v>34</v>
      </c>
      <c r="C189" s="131" t="s">
        <v>898</v>
      </c>
      <c r="D189" s="121" t="s">
        <v>900</v>
      </c>
      <c r="E189" s="123">
        <v>0</v>
      </c>
      <c r="F189" s="123">
        <v>0</v>
      </c>
      <c r="G189" s="123">
        <v>0.5</v>
      </c>
      <c r="H189" s="123">
        <v>0.5</v>
      </c>
      <c r="I189" s="124">
        <v>0.2</v>
      </c>
      <c r="J189" s="125">
        <v>46157</v>
      </c>
      <c r="K189" s="125">
        <v>46157</v>
      </c>
      <c r="L189" s="125">
        <v>46150</v>
      </c>
      <c r="M189" s="125">
        <v>46199</v>
      </c>
      <c r="N189" s="125">
        <v>46199</v>
      </c>
      <c r="O189" s="125">
        <v>46191</v>
      </c>
      <c r="P189" s="125">
        <v>46241</v>
      </c>
      <c r="Q189" s="125">
        <v>46241</v>
      </c>
      <c r="R189" s="125">
        <v>46227</v>
      </c>
      <c r="S189" s="125">
        <v>46255</v>
      </c>
      <c r="T189" s="125">
        <v>46255</v>
      </c>
      <c r="U189" s="125">
        <v>46239</v>
      </c>
      <c r="W189" s="173" t="str">
        <f t="shared" ca="1" si="388"/>
        <v>Completed</v>
      </c>
      <c r="X189" s="173" t="str">
        <f t="shared" ca="1" si="389"/>
        <v>Completed</v>
      </c>
      <c r="Y189" s="173" t="str">
        <f t="shared" ca="1" si="390"/>
        <v>Completed</v>
      </c>
      <c r="Z189" s="174" t="str">
        <f t="shared" ca="1" si="391"/>
        <v>Completed</v>
      </c>
    </row>
    <row r="190" spans="1:26" s="70" customFormat="1" ht="11.5" x14ac:dyDescent="0.25">
      <c r="A190" s="121" t="s">
        <v>65</v>
      </c>
      <c r="B190" s="121" t="s">
        <v>34</v>
      </c>
      <c r="C190" s="131" t="s">
        <v>891</v>
      </c>
      <c r="D190" s="132" t="s">
        <v>893</v>
      </c>
      <c r="E190" s="133">
        <v>0.5</v>
      </c>
      <c r="F190" s="133">
        <v>0.5</v>
      </c>
      <c r="G190" s="133">
        <v>0.5</v>
      </c>
      <c r="H190" s="133">
        <v>0</v>
      </c>
      <c r="I190" s="124">
        <v>0.2</v>
      </c>
      <c r="J190" s="134">
        <v>46143</v>
      </c>
      <c r="K190" s="134">
        <v>46143</v>
      </c>
      <c r="L190" s="125">
        <v>46142</v>
      </c>
      <c r="M190" s="125">
        <v>46185</v>
      </c>
      <c r="N190" s="125">
        <v>46185</v>
      </c>
      <c r="O190" s="125">
        <v>46191</v>
      </c>
      <c r="P190" s="125">
        <v>46227</v>
      </c>
      <c r="Q190" s="125">
        <v>46227</v>
      </c>
      <c r="R190" s="127">
        <v>46202</v>
      </c>
      <c r="S190" s="125">
        <v>46241</v>
      </c>
      <c r="T190" s="125">
        <v>46241</v>
      </c>
      <c r="U190" s="134">
        <v>46209</v>
      </c>
      <c r="W190" s="173" t="str">
        <f t="shared" ca="1" si="388"/>
        <v>Completed</v>
      </c>
      <c r="X190" s="173" t="str">
        <f t="shared" ca="1" si="389"/>
        <v>Completed</v>
      </c>
      <c r="Y190" s="173" t="str">
        <f t="shared" ca="1" si="390"/>
        <v>Completed</v>
      </c>
      <c r="Z190" s="174" t="str">
        <f t="shared" ca="1" si="391"/>
        <v>Completed</v>
      </c>
    </row>
    <row r="191" spans="1:26" s="70" customFormat="1" ht="11.5" x14ac:dyDescent="0.25">
      <c r="A191" s="121" t="s">
        <v>65</v>
      </c>
      <c r="B191" s="131" t="s">
        <v>34</v>
      </c>
      <c r="C191" s="131" t="s">
        <v>892</v>
      </c>
      <c r="D191" s="132" t="s">
        <v>894</v>
      </c>
      <c r="E191" s="123">
        <v>0.5</v>
      </c>
      <c r="F191" s="123">
        <v>0.5</v>
      </c>
      <c r="G191" s="123">
        <v>0.5</v>
      </c>
      <c r="H191" s="123">
        <v>0</v>
      </c>
      <c r="I191" s="124">
        <v>0.2</v>
      </c>
      <c r="J191" s="134">
        <v>46143</v>
      </c>
      <c r="K191" s="134">
        <v>46143</v>
      </c>
      <c r="L191" s="125">
        <v>46142</v>
      </c>
      <c r="M191" s="125">
        <v>46185</v>
      </c>
      <c r="N191" s="125">
        <v>46185</v>
      </c>
      <c r="O191" s="125">
        <v>46191</v>
      </c>
      <c r="P191" s="125">
        <v>46227</v>
      </c>
      <c r="Q191" s="125">
        <v>46227</v>
      </c>
      <c r="R191" s="125">
        <v>46254</v>
      </c>
      <c r="S191" s="125">
        <v>46241</v>
      </c>
      <c r="T191" s="125">
        <v>46241</v>
      </c>
      <c r="U191" s="134"/>
      <c r="W191" s="173" t="str">
        <f t="shared" ca="1" si="388"/>
        <v>Completed</v>
      </c>
      <c r="X191" s="173" t="str">
        <f t="shared" ca="1" si="389"/>
        <v>Completed</v>
      </c>
      <c r="Y191" s="173" t="str">
        <f t="shared" ca="1" si="390"/>
        <v>Completed</v>
      </c>
      <c r="Z191" s="174" t="str">
        <f t="shared" ca="1" si="391"/>
        <v>Overdue</v>
      </c>
    </row>
    <row r="192" spans="1:26" s="70" customFormat="1" ht="11.5" x14ac:dyDescent="0.25">
      <c r="A192" s="121" t="s">
        <v>65</v>
      </c>
      <c r="B192" s="121" t="s">
        <v>34</v>
      </c>
      <c r="C192" s="131" t="s">
        <v>895</v>
      </c>
      <c r="D192" s="132" t="s">
        <v>896</v>
      </c>
      <c r="E192" s="123">
        <v>0</v>
      </c>
      <c r="F192" s="123">
        <v>0</v>
      </c>
      <c r="G192" s="123">
        <v>0.5</v>
      </c>
      <c r="H192" s="123">
        <v>0.5</v>
      </c>
      <c r="I192" s="124">
        <v>0.2</v>
      </c>
      <c r="J192" s="134">
        <v>46157</v>
      </c>
      <c r="K192" s="134">
        <v>46157</v>
      </c>
      <c r="L192" s="125">
        <v>46150</v>
      </c>
      <c r="M192" s="125">
        <v>46199</v>
      </c>
      <c r="N192" s="125">
        <v>46199</v>
      </c>
      <c r="O192" s="125">
        <v>46191</v>
      </c>
      <c r="P192" s="125">
        <v>46241</v>
      </c>
      <c r="Q192" s="125">
        <v>46241</v>
      </c>
      <c r="R192" s="127">
        <v>46204</v>
      </c>
      <c r="S192" s="125">
        <v>46255</v>
      </c>
      <c r="T192" s="125">
        <v>46255</v>
      </c>
      <c r="U192" s="134">
        <v>46223</v>
      </c>
      <c r="W192" s="173" t="str">
        <f t="shared" ca="1" si="388"/>
        <v>Completed</v>
      </c>
      <c r="X192" s="173" t="str">
        <f t="shared" ca="1" si="389"/>
        <v>Completed</v>
      </c>
      <c r="Y192" s="173" t="str">
        <f t="shared" ca="1" si="390"/>
        <v>Completed</v>
      </c>
      <c r="Z192" s="174" t="str">
        <f t="shared" ca="1" si="391"/>
        <v>Completed</v>
      </c>
    </row>
    <row r="193" spans="1:26" s="70" customFormat="1" ht="11.5" x14ac:dyDescent="0.25">
      <c r="A193" s="121" t="s">
        <v>65</v>
      </c>
      <c r="B193" s="121" t="s">
        <v>34</v>
      </c>
      <c r="C193" s="131" t="s">
        <v>913</v>
      </c>
      <c r="D193" s="132" t="s">
        <v>914</v>
      </c>
      <c r="E193" s="123">
        <v>0</v>
      </c>
      <c r="F193" s="123">
        <v>0</v>
      </c>
      <c r="G193" s="123">
        <v>0.5</v>
      </c>
      <c r="H193" s="123">
        <v>0.5</v>
      </c>
      <c r="I193" s="124">
        <v>0.5</v>
      </c>
      <c r="J193" s="134">
        <f>J149+28</f>
        <v>46269</v>
      </c>
      <c r="K193" s="134">
        <f>K149+28</f>
        <v>46269</v>
      </c>
      <c r="L193" s="125">
        <v>46171</v>
      </c>
      <c r="M193" s="125">
        <f>J193+42</f>
        <v>46311</v>
      </c>
      <c r="N193" s="125">
        <f>K193+42</f>
        <v>46311</v>
      </c>
      <c r="O193" s="165">
        <v>46262</v>
      </c>
      <c r="P193" s="125">
        <f>M193+42</f>
        <v>46353</v>
      </c>
      <c r="Q193" s="125">
        <f>N193+42</f>
        <v>46353</v>
      </c>
      <c r="R193" s="125"/>
      <c r="S193" s="125">
        <f>P193+14</f>
        <v>46367</v>
      </c>
      <c r="T193" s="125">
        <f>Q193+14</f>
        <v>46367</v>
      </c>
      <c r="U193" s="134"/>
      <c r="W193" s="173" t="str">
        <f t="shared" ca="1" si="388"/>
        <v>Completed</v>
      </c>
      <c r="X193" s="173" t="str">
        <f t="shared" ca="1" si="389"/>
        <v>Completed</v>
      </c>
      <c r="Y193" s="173" t="str">
        <f t="shared" ca="1" si="390"/>
        <v/>
      </c>
      <c r="Z193" s="174" t="str">
        <f t="shared" ca="1" si="391"/>
        <v/>
      </c>
    </row>
    <row r="194" spans="1:26" s="70" customFormat="1" ht="11.5" x14ac:dyDescent="0.25">
      <c r="A194" s="121" t="s">
        <v>65</v>
      </c>
      <c r="B194" s="121" t="s">
        <v>34</v>
      </c>
      <c r="C194" s="121" t="s">
        <v>957</v>
      </c>
      <c r="D194" s="121" t="s">
        <v>958</v>
      </c>
      <c r="E194" s="123">
        <v>0</v>
      </c>
      <c r="F194" s="123">
        <v>0</v>
      </c>
      <c r="G194" s="123">
        <v>0.5</v>
      </c>
      <c r="H194" s="123">
        <v>0.5</v>
      </c>
      <c r="I194" s="124"/>
      <c r="J194" s="134">
        <f>J150+28</f>
        <v>46386</v>
      </c>
      <c r="K194" s="134">
        <f>K150+28</f>
        <v>46386</v>
      </c>
      <c r="L194" s="125"/>
      <c r="M194" s="125">
        <f>J194+42</f>
        <v>46428</v>
      </c>
      <c r="N194" s="125">
        <f>K194+42</f>
        <v>46428</v>
      </c>
      <c r="O194" s="125"/>
      <c r="P194" s="125">
        <f>M194+42</f>
        <v>46470</v>
      </c>
      <c r="Q194" s="125">
        <f>N194+42</f>
        <v>46470</v>
      </c>
      <c r="R194" s="125"/>
      <c r="S194" s="125">
        <f>P194+14</f>
        <v>46484</v>
      </c>
      <c r="T194" s="125">
        <f>Q194+14</f>
        <v>46484</v>
      </c>
      <c r="U194" s="134"/>
      <c r="W194" s="173" t="str">
        <f t="shared" ca="1" si="388"/>
        <v/>
      </c>
      <c r="X194" s="173" t="str">
        <f t="shared" ca="1" si="389"/>
        <v/>
      </c>
      <c r="Y194" s="173" t="str">
        <f t="shared" ca="1" si="390"/>
        <v/>
      </c>
      <c r="Z194" s="174" t="str">
        <f t="shared" ca="1" si="391"/>
        <v/>
      </c>
    </row>
    <row r="195" spans="1:26" s="70" customFormat="1" ht="11.5" x14ac:dyDescent="0.25">
      <c r="A195" s="71" t="s">
        <v>65</v>
      </c>
      <c r="B195" s="71" t="s">
        <v>34</v>
      </c>
      <c r="C195" s="71" t="s">
        <v>986</v>
      </c>
      <c r="D195" s="71" t="s">
        <v>817</v>
      </c>
      <c r="E195" s="81">
        <f t="shared" si="397"/>
        <v>0</v>
      </c>
      <c r="F195" s="81">
        <f t="shared" si="398"/>
        <v>0</v>
      </c>
      <c r="G195" s="81">
        <f t="shared" si="398"/>
        <v>0</v>
      </c>
      <c r="H195" s="81">
        <f t="shared" si="399"/>
        <v>0</v>
      </c>
      <c r="I195" s="82">
        <v>0.2</v>
      </c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W195" s="173" t="str">
        <f t="shared" ca="1" si="388"/>
        <v/>
      </c>
      <c r="X195" s="173" t="str">
        <f t="shared" ca="1" si="389"/>
        <v/>
      </c>
      <c r="Y195" s="173" t="str">
        <f t="shared" ca="1" si="390"/>
        <v/>
      </c>
      <c r="Z195" s="174" t="str">
        <f t="shared" ca="1" si="391"/>
        <v/>
      </c>
    </row>
    <row r="196" spans="1:26" s="70" customFormat="1" ht="11.5" x14ac:dyDescent="0.25">
      <c r="A196" s="71" t="s">
        <v>65</v>
      </c>
      <c r="B196" s="71" t="s">
        <v>34</v>
      </c>
      <c r="C196" s="71" t="s">
        <v>987</v>
      </c>
      <c r="D196" s="71" t="s">
        <v>818</v>
      </c>
      <c r="E196" s="81">
        <f t="shared" si="397"/>
        <v>0</v>
      </c>
      <c r="F196" s="81">
        <f t="shared" si="398"/>
        <v>0</v>
      </c>
      <c r="G196" s="81">
        <f t="shared" si="398"/>
        <v>0</v>
      </c>
      <c r="H196" s="81">
        <f t="shared" si="399"/>
        <v>0</v>
      </c>
      <c r="I196" s="82">
        <v>0.4</v>
      </c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W196" s="173" t="str">
        <f t="shared" ca="1" si="388"/>
        <v/>
      </c>
      <c r="X196" s="173" t="str">
        <f t="shared" ca="1" si="389"/>
        <v/>
      </c>
      <c r="Y196" s="173" t="str">
        <f t="shared" ca="1" si="390"/>
        <v/>
      </c>
      <c r="Z196" s="174" t="str">
        <f t="shared" ca="1" si="391"/>
        <v/>
      </c>
    </row>
    <row r="197" spans="1:26" s="70" customFormat="1" ht="11.5" x14ac:dyDescent="0.25">
      <c r="A197" s="71" t="s">
        <v>65</v>
      </c>
      <c r="B197" s="71" t="s">
        <v>34</v>
      </c>
      <c r="C197" s="71" t="s">
        <v>988</v>
      </c>
      <c r="D197" s="71" t="s">
        <v>819</v>
      </c>
      <c r="E197" s="81">
        <f t="shared" si="397"/>
        <v>0</v>
      </c>
      <c r="F197" s="81">
        <f t="shared" si="398"/>
        <v>0</v>
      </c>
      <c r="G197" s="81">
        <f t="shared" si="398"/>
        <v>0</v>
      </c>
      <c r="H197" s="81">
        <f t="shared" si="399"/>
        <v>0</v>
      </c>
      <c r="I197" s="82">
        <v>0.4</v>
      </c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W197" s="173" t="str">
        <f t="shared" ca="1" si="388"/>
        <v/>
      </c>
      <c r="X197" s="173" t="str">
        <f t="shared" ca="1" si="389"/>
        <v/>
      </c>
      <c r="Y197" s="173" t="str">
        <f t="shared" ca="1" si="390"/>
        <v/>
      </c>
      <c r="Z197" s="174" t="str">
        <f t="shared" ca="1" si="391"/>
        <v/>
      </c>
    </row>
    <row r="198" spans="1:26" s="70" customFormat="1" ht="11.5" x14ac:dyDescent="0.25">
      <c r="A198" s="77"/>
      <c r="B198" s="77"/>
      <c r="C198" s="77"/>
      <c r="D198" s="78"/>
      <c r="E198" s="79"/>
      <c r="F198" s="79"/>
      <c r="G198" s="79"/>
      <c r="H198" s="79"/>
      <c r="I198" s="75"/>
      <c r="J198" s="76"/>
      <c r="K198" s="76"/>
      <c r="L198" s="76"/>
      <c r="M198" s="80"/>
      <c r="N198" s="76"/>
      <c r="O198" s="76"/>
      <c r="P198" s="80"/>
      <c r="Q198" s="76"/>
      <c r="R198" s="76"/>
      <c r="S198" s="80"/>
      <c r="T198" s="76"/>
      <c r="U198" s="76"/>
      <c r="W198" s="173" t="str">
        <f t="shared" ca="1" si="388"/>
        <v/>
      </c>
      <c r="X198" s="173" t="str">
        <f t="shared" ca="1" si="389"/>
        <v/>
      </c>
      <c r="Y198" s="173" t="str">
        <f t="shared" ca="1" si="390"/>
        <v/>
      </c>
      <c r="Z198" s="174" t="str">
        <f t="shared" ca="1" si="391"/>
        <v/>
      </c>
    </row>
    <row r="199" spans="1:26" s="70" customFormat="1" ht="11.5" x14ac:dyDescent="0.25">
      <c r="A199" s="93" t="s">
        <v>66</v>
      </c>
      <c r="B199" s="93" t="s">
        <v>14</v>
      </c>
      <c r="C199" s="93" t="s">
        <v>874</v>
      </c>
      <c r="D199" s="93" t="s">
        <v>870</v>
      </c>
      <c r="E199" s="95">
        <f t="shared" si="397"/>
        <v>1</v>
      </c>
      <c r="F199" s="95">
        <f>(COUNTIFS(K199,"&lt;="&amp;$C$1)*50%)+(COUNTIFS(N199,"&lt;="&amp;$C$1)*20%)+(COUNTIFS(Q199,"&lt;="&amp;$C$1)*10%)+(COUNTIFS(T199,"&lt;="&amp;$C$1)*20%)</f>
        <v>1</v>
      </c>
      <c r="G199" s="95">
        <f t="shared" si="398"/>
        <v>1</v>
      </c>
      <c r="H199" s="95">
        <f t="shared" si="399"/>
        <v>0</v>
      </c>
      <c r="I199" s="96">
        <v>8.9999999999999993E-3</v>
      </c>
      <c r="J199" s="90">
        <v>46150</v>
      </c>
      <c r="K199" s="90">
        <f t="shared" ref="K199:K259" si="426">J199</f>
        <v>46150</v>
      </c>
      <c r="L199" s="90">
        <v>46175</v>
      </c>
      <c r="M199" s="90">
        <f t="shared" ref="M199:M259" si="427">J199+42</f>
        <v>46192</v>
      </c>
      <c r="N199" s="90">
        <f t="shared" ref="N199:N259" si="428">M199</f>
        <v>46192</v>
      </c>
      <c r="O199" s="90">
        <v>46191</v>
      </c>
      <c r="P199" s="90">
        <f t="shared" ref="P199:P259" si="429">M199+42</f>
        <v>46234</v>
      </c>
      <c r="Q199" s="90">
        <f t="shared" ref="Q199:Q259" si="430">P199</f>
        <v>46234</v>
      </c>
      <c r="R199" s="90">
        <v>46245</v>
      </c>
      <c r="S199" s="90">
        <f t="shared" ref="S199:S260" si="431">P199+14</f>
        <v>46248</v>
      </c>
      <c r="T199" s="90">
        <f t="shared" ref="T199:T259" si="432">S199</f>
        <v>46248</v>
      </c>
      <c r="U199" s="90">
        <v>46255</v>
      </c>
      <c r="W199" s="173" t="str">
        <f t="shared" ca="1" si="388"/>
        <v>Completed</v>
      </c>
      <c r="X199" s="173" t="str">
        <f t="shared" ca="1" si="389"/>
        <v>Completed</v>
      </c>
      <c r="Y199" s="173" t="str">
        <f t="shared" ca="1" si="390"/>
        <v>Completed</v>
      </c>
      <c r="Z199" s="174" t="str">
        <f t="shared" ca="1" si="391"/>
        <v>Completed</v>
      </c>
    </row>
    <row r="200" spans="1:26" s="70" customFormat="1" ht="11.5" x14ac:dyDescent="0.25">
      <c r="A200" s="93" t="s">
        <v>66</v>
      </c>
      <c r="B200" s="93" t="s">
        <v>14</v>
      </c>
      <c r="C200" s="93" t="s">
        <v>875</v>
      </c>
      <c r="D200" s="93" t="s">
        <v>871</v>
      </c>
      <c r="E200" s="95">
        <f t="shared" si="397"/>
        <v>1</v>
      </c>
      <c r="F200" s="95">
        <f>(COUNTIFS(K200,"&lt;="&amp;$C$1)*50%)+(COUNTIFS(N200,"&lt;="&amp;$C$1)*20%)+(COUNTIFS(Q200,"&lt;="&amp;$C$1)*10%)+(COUNTIFS(T200,"&lt;="&amp;$C$1)*20%)</f>
        <v>1</v>
      </c>
      <c r="G200" s="95">
        <f t="shared" si="398"/>
        <v>1</v>
      </c>
      <c r="H200" s="95">
        <f t="shared" si="399"/>
        <v>0</v>
      </c>
      <c r="I200" s="96">
        <v>8.9999999999999993E-3</v>
      </c>
      <c r="J200" s="90">
        <v>46150</v>
      </c>
      <c r="K200" s="90">
        <f t="shared" si="426"/>
        <v>46150</v>
      </c>
      <c r="L200" s="90">
        <v>46175</v>
      </c>
      <c r="M200" s="90">
        <f t="shared" si="427"/>
        <v>46192</v>
      </c>
      <c r="N200" s="90">
        <f t="shared" si="428"/>
        <v>46192</v>
      </c>
      <c r="O200" s="90">
        <v>46191</v>
      </c>
      <c r="P200" s="90">
        <f t="shared" si="429"/>
        <v>46234</v>
      </c>
      <c r="Q200" s="90">
        <f t="shared" si="430"/>
        <v>46234</v>
      </c>
      <c r="R200" s="90">
        <v>46245</v>
      </c>
      <c r="S200" s="90">
        <f t="shared" si="431"/>
        <v>46248</v>
      </c>
      <c r="T200" s="90">
        <f t="shared" si="432"/>
        <v>46248</v>
      </c>
      <c r="U200" s="90">
        <v>46255</v>
      </c>
      <c r="W200" s="173" t="str">
        <f t="shared" ca="1" si="388"/>
        <v>Completed</v>
      </c>
      <c r="X200" s="173" t="str">
        <f t="shared" ca="1" si="389"/>
        <v>Completed</v>
      </c>
      <c r="Y200" s="173" t="str">
        <f t="shared" ca="1" si="390"/>
        <v>Completed</v>
      </c>
      <c r="Z200" s="174" t="str">
        <f t="shared" ca="1" si="391"/>
        <v>Completed</v>
      </c>
    </row>
    <row r="201" spans="1:26" s="70" customFormat="1" ht="11.5" x14ac:dyDescent="0.25">
      <c r="A201" s="93" t="s">
        <v>66</v>
      </c>
      <c r="B201" s="93" t="s">
        <v>14</v>
      </c>
      <c r="C201" s="93" t="s">
        <v>876</v>
      </c>
      <c r="D201" s="93" t="s">
        <v>872</v>
      </c>
      <c r="E201" s="95">
        <f t="shared" si="397"/>
        <v>1</v>
      </c>
      <c r="F201" s="95">
        <f>(COUNTIFS(K201,"&lt;="&amp;$C$1)*50%)+(COUNTIFS(N201,"&lt;="&amp;$C$1)*20%)+(COUNTIFS(Q201,"&lt;="&amp;$C$1)*10%)+(COUNTIFS(T201,"&lt;="&amp;$C$1)*20%)</f>
        <v>1</v>
      </c>
      <c r="G201" s="95">
        <f t="shared" si="398"/>
        <v>1</v>
      </c>
      <c r="H201" s="95">
        <f t="shared" si="399"/>
        <v>0</v>
      </c>
      <c r="I201" s="96">
        <v>4.7E-2</v>
      </c>
      <c r="J201" s="90">
        <v>46150</v>
      </c>
      <c r="K201" s="90">
        <f t="shared" si="426"/>
        <v>46150</v>
      </c>
      <c r="L201" s="90">
        <v>46175</v>
      </c>
      <c r="M201" s="90">
        <f t="shared" si="427"/>
        <v>46192</v>
      </c>
      <c r="N201" s="90">
        <f t="shared" si="428"/>
        <v>46192</v>
      </c>
      <c r="O201" s="90">
        <v>46191</v>
      </c>
      <c r="P201" s="90">
        <f t="shared" si="429"/>
        <v>46234</v>
      </c>
      <c r="Q201" s="90">
        <f t="shared" si="430"/>
        <v>46234</v>
      </c>
      <c r="R201" s="90">
        <v>46245</v>
      </c>
      <c r="S201" s="90">
        <f t="shared" si="431"/>
        <v>46248</v>
      </c>
      <c r="T201" s="90">
        <f t="shared" si="432"/>
        <v>46248</v>
      </c>
      <c r="U201" s="90">
        <v>46255</v>
      </c>
      <c r="W201" s="173" t="str">
        <f t="shared" ca="1" si="388"/>
        <v>Completed</v>
      </c>
      <c r="X201" s="173" t="str">
        <f t="shared" ca="1" si="389"/>
        <v>Completed</v>
      </c>
      <c r="Y201" s="173" t="str">
        <f t="shared" ca="1" si="390"/>
        <v>Completed</v>
      </c>
      <c r="Z201" s="174" t="str">
        <f t="shared" ca="1" si="391"/>
        <v>Completed</v>
      </c>
    </row>
    <row r="202" spans="1:26" s="70" customFormat="1" ht="11.5" x14ac:dyDescent="0.25">
      <c r="A202" s="93" t="s">
        <v>66</v>
      </c>
      <c r="B202" s="93" t="s">
        <v>14</v>
      </c>
      <c r="C202" s="93" t="s">
        <v>877</v>
      </c>
      <c r="D202" s="93" t="s">
        <v>873</v>
      </c>
      <c r="E202" s="95">
        <f t="shared" si="397"/>
        <v>1</v>
      </c>
      <c r="F202" s="95">
        <f t="shared" si="398"/>
        <v>1</v>
      </c>
      <c r="G202" s="95">
        <f>(COUNTIFS(L202,"&lt;="&amp;$C$1)*50%)+(COUNTIFS(O202,"&lt;="&amp;$C$1)*20%)+(COUNTIFS(R202,"&lt;="&amp;$C$1)*10%)+(COUNTIFS(U202,"&lt;="&amp;$C$1)*20%)</f>
        <v>1</v>
      </c>
      <c r="H202" s="95">
        <f t="shared" si="399"/>
        <v>0</v>
      </c>
      <c r="I202" s="96">
        <v>4.7E-2</v>
      </c>
      <c r="J202" s="90">
        <v>46150</v>
      </c>
      <c r="K202" s="90">
        <f t="shared" si="426"/>
        <v>46150</v>
      </c>
      <c r="L202" s="90">
        <v>46175</v>
      </c>
      <c r="M202" s="90">
        <f t="shared" si="427"/>
        <v>46192</v>
      </c>
      <c r="N202" s="90">
        <f t="shared" si="428"/>
        <v>46192</v>
      </c>
      <c r="O202" s="90">
        <v>46191</v>
      </c>
      <c r="P202" s="90">
        <f t="shared" si="429"/>
        <v>46234</v>
      </c>
      <c r="Q202" s="90">
        <f t="shared" si="430"/>
        <v>46234</v>
      </c>
      <c r="R202" s="90">
        <v>46245</v>
      </c>
      <c r="S202" s="90">
        <f t="shared" si="431"/>
        <v>46248</v>
      </c>
      <c r="T202" s="90">
        <f t="shared" si="432"/>
        <v>46248</v>
      </c>
      <c r="U202" s="90">
        <v>46255</v>
      </c>
      <c r="W202" s="173" t="str">
        <f t="shared" ca="1" si="388"/>
        <v>Completed</v>
      </c>
      <c r="X202" s="173" t="str">
        <f t="shared" ca="1" si="389"/>
        <v>Completed</v>
      </c>
      <c r="Y202" s="173" t="str">
        <f t="shared" ca="1" si="390"/>
        <v>Completed</v>
      </c>
      <c r="Z202" s="174" t="str">
        <f t="shared" ca="1" si="391"/>
        <v>Completed</v>
      </c>
    </row>
    <row r="203" spans="1:26" s="70" customFormat="1" ht="11.5" x14ac:dyDescent="0.25">
      <c r="A203" s="93" t="s">
        <v>66</v>
      </c>
      <c r="B203" s="93" t="s">
        <v>14</v>
      </c>
      <c r="C203" s="93" t="s">
        <v>237</v>
      </c>
      <c r="D203" s="92" t="s">
        <v>238</v>
      </c>
      <c r="E203" s="94">
        <f t="shared" si="397"/>
        <v>1</v>
      </c>
      <c r="F203" s="94">
        <f t="shared" si="398"/>
        <v>1</v>
      </c>
      <c r="G203" s="94">
        <f>(COUNTIFS(L203,"&lt;="&amp;$C$1)*50%)+(COUNTIFS(O203,"&lt;="&amp;$C$1)*20%)+(COUNTIFS(R203,"&lt;="&amp;$C$1)*10%)+(COUNTIFS(U203,"&lt;="&amp;$C$1)*20%)</f>
        <v>1</v>
      </c>
      <c r="H203" s="94">
        <f t="shared" si="399"/>
        <v>0</v>
      </c>
      <c r="I203" s="130">
        <v>4.7E-2</v>
      </c>
      <c r="J203" s="90">
        <v>46150</v>
      </c>
      <c r="K203" s="90">
        <f t="shared" si="426"/>
        <v>46150</v>
      </c>
      <c r="L203" s="161">
        <v>46199</v>
      </c>
      <c r="M203" s="90">
        <f t="shared" si="427"/>
        <v>46192</v>
      </c>
      <c r="N203" s="90">
        <f t="shared" si="428"/>
        <v>46192</v>
      </c>
      <c r="O203" s="161">
        <v>46199</v>
      </c>
      <c r="P203" s="90">
        <f t="shared" si="429"/>
        <v>46234</v>
      </c>
      <c r="Q203" s="90">
        <f t="shared" si="430"/>
        <v>46234</v>
      </c>
      <c r="R203" s="161">
        <v>46234</v>
      </c>
      <c r="S203" s="90">
        <f t="shared" si="431"/>
        <v>46248</v>
      </c>
      <c r="T203" s="90">
        <f t="shared" si="432"/>
        <v>46248</v>
      </c>
      <c r="U203" s="161">
        <v>46248</v>
      </c>
      <c r="W203" s="173" t="str">
        <f t="shared" ca="1" si="388"/>
        <v>Completed</v>
      </c>
      <c r="X203" s="173" t="str">
        <f t="shared" ca="1" si="389"/>
        <v>Completed</v>
      </c>
      <c r="Y203" s="173" t="str">
        <f t="shared" ca="1" si="390"/>
        <v>Completed</v>
      </c>
      <c r="Z203" s="174" t="str">
        <f t="shared" ca="1" si="391"/>
        <v>Completed</v>
      </c>
    </row>
    <row r="204" spans="1:26" s="70" customFormat="1" ht="11.5" x14ac:dyDescent="0.25">
      <c r="A204" s="93" t="s">
        <v>66</v>
      </c>
      <c r="B204" s="93" t="s">
        <v>14</v>
      </c>
      <c r="C204" s="93" t="s">
        <v>239</v>
      </c>
      <c r="D204" s="92" t="s">
        <v>240</v>
      </c>
      <c r="E204" s="94">
        <f t="shared" si="397"/>
        <v>1</v>
      </c>
      <c r="F204" s="94">
        <f t="shared" si="398"/>
        <v>1</v>
      </c>
      <c r="G204" s="94">
        <f t="shared" si="398"/>
        <v>1</v>
      </c>
      <c r="H204" s="94">
        <f t="shared" si="399"/>
        <v>0</v>
      </c>
      <c r="I204" s="130">
        <v>4.7E-2</v>
      </c>
      <c r="J204" s="90">
        <v>46150</v>
      </c>
      <c r="K204" s="90">
        <f t="shared" si="426"/>
        <v>46150</v>
      </c>
      <c r="L204" s="161">
        <v>46199</v>
      </c>
      <c r="M204" s="90">
        <f t="shared" si="427"/>
        <v>46192</v>
      </c>
      <c r="N204" s="90">
        <f t="shared" si="428"/>
        <v>46192</v>
      </c>
      <c r="O204" s="161">
        <v>46199</v>
      </c>
      <c r="P204" s="90">
        <f t="shared" si="429"/>
        <v>46234</v>
      </c>
      <c r="Q204" s="90">
        <f t="shared" si="430"/>
        <v>46234</v>
      </c>
      <c r="R204" s="161">
        <v>46234</v>
      </c>
      <c r="S204" s="90">
        <f t="shared" si="431"/>
        <v>46248</v>
      </c>
      <c r="T204" s="90">
        <f t="shared" si="432"/>
        <v>46248</v>
      </c>
      <c r="U204" s="161">
        <v>46248</v>
      </c>
      <c r="W204" s="173" t="str">
        <f t="shared" ca="1" si="388"/>
        <v>Completed</v>
      </c>
      <c r="X204" s="173" t="str">
        <f t="shared" ca="1" si="389"/>
        <v>Completed</v>
      </c>
      <c r="Y204" s="173" t="str">
        <f t="shared" ca="1" si="390"/>
        <v>Completed</v>
      </c>
      <c r="Z204" s="174" t="str">
        <f t="shared" ca="1" si="391"/>
        <v>Completed</v>
      </c>
    </row>
    <row r="205" spans="1:26" s="70" customFormat="1" ht="11.5" x14ac:dyDescent="0.25">
      <c r="A205" s="93" t="s">
        <v>66</v>
      </c>
      <c r="B205" s="93" t="s">
        <v>14</v>
      </c>
      <c r="C205" s="93" t="s">
        <v>241</v>
      </c>
      <c r="D205" s="92" t="s">
        <v>242</v>
      </c>
      <c r="E205" s="94">
        <f t="shared" si="397"/>
        <v>1</v>
      </c>
      <c r="F205" s="94">
        <f t="shared" si="398"/>
        <v>1</v>
      </c>
      <c r="G205" s="94">
        <f t="shared" si="398"/>
        <v>0.79999999999999993</v>
      </c>
      <c r="H205" s="94">
        <f t="shared" si="399"/>
        <v>-0.20000000000000007</v>
      </c>
      <c r="I205" s="130">
        <v>4.7E-2</v>
      </c>
      <c r="J205" s="90">
        <v>46150</v>
      </c>
      <c r="K205" s="90">
        <f t="shared" si="426"/>
        <v>46150</v>
      </c>
      <c r="L205" s="90">
        <v>46130</v>
      </c>
      <c r="M205" s="90">
        <f t="shared" si="427"/>
        <v>46192</v>
      </c>
      <c r="N205" s="90">
        <f t="shared" si="428"/>
        <v>46192</v>
      </c>
      <c r="O205" s="90">
        <v>46198</v>
      </c>
      <c r="P205" s="90">
        <f t="shared" si="429"/>
        <v>46234</v>
      </c>
      <c r="Q205" s="90">
        <f t="shared" si="430"/>
        <v>46234</v>
      </c>
      <c r="R205" s="90">
        <v>46234</v>
      </c>
      <c r="S205" s="90">
        <f t="shared" si="431"/>
        <v>46248</v>
      </c>
      <c r="T205" s="90">
        <f t="shared" si="432"/>
        <v>46248</v>
      </c>
      <c r="U205" s="90"/>
      <c r="W205" s="173" t="str">
        <f t="shared" ca="1" si="388"/>
        <v>Completed</v>
      </c>
      <c r="X205" s="173" t="str">
        <f t="shared" ca="1" si="389"/>
        <v>Completed</v>
      </c>
      <c r="Y205" s="173" t="str">
        <f t="shared" ca="1" si="390"/>
        <v>Completed</v>
      </c>
      <c r="Z205" s="174" t="str">
        <f t="shared" ca="1" si="391"/>
        <v>Overdue</v>
      </c>
    </row>
    <row r="206" spans="1:26" s="70" customFormat="1" ht="11.5" x14ac:dyDescent="0.25">
      <c r="A206" s="93" t="s">
        <v>66</v>
      </c>
      <c r="B206" s="93" t="s">
        <v>14</v>
      </c>
      <c r="C206" s="93" t="s">
        <v>243</v>
      </c>
      <c r="D206" s="92" t="s">
        <v>244</v>
      </c>
      <c r="E206" s="94">
        <f t="shared" si="397"/>
        <v>1</v>
      </c>
      <c r="F206" s="94">
        <f t="shared" si="398"/>
        <v>1</v>
      </c>
      <c r="G206" s="94">
        <f t="shared" si="398"/>
        <v>0.79999999999999993</v>
      </c>
      <c r="H206" s="94">
        <f t="shared" si="399"/>
        <v>-0.20000000000000007</v>
      </c>
      <c r="I206" s="130">
        <v>4.7E-2</v>
      </c>
      <c r="J206" s="90">
        <v>46150</v>
      </c>
      <c r="K206" s="90">
        <f t="shared" si="426"/>
        <v>46150</v>
      </c>
      <c r="L206" s="90">
        <v>46130</v>
      </c>
      <c r="M206" s="90">
        <f t="shared" si="427"/>
        <v>46192</v>
      </c>
      <c r="N206" s="90">
        <f t="shared" si="428"/>
        <v>46192</v>
      </c>
      <c r="O206" s="90">
        <v>46198</v>
      </c>
      <c r="P206" s="90">
        <f t="shared" si="429"/>
        <v>46234</v>
      </c>
      <c r="Q206" s="90">
        <f t="shared" si="430"/>
        <v>46234</v>
      </c>
      <c r="R206" s="90">
        <v>46234</v>
      </c>
      <c r="S206" s="90">
        <f t="shared" si="431"/>
        <v>46248</v>
      </c>
      <c r="T206" s="90">
        <f t="shared" si="432"/>
        <v>46248</v>
      </c>
      <c r="U206" s="90"/>
      <c r="W206" s="173" t="str">
        <f t="shared" ca="1" si="388"/>
        <v>Completed</v>
      </c>
      <c r="X206" s="173" t="str">
        <f t="shared" ca="1" si="389"/>
        <v>Completed</v>
      </c>
      <c r="Y206" s="173" t="str">
        <f t="shared" ca="1" si="390"/>
        <v>Completed</v>
      </c>
      <c r="Z206" s="174" t="str">
        <f t="shared" ca="1" si="391"/>
        <v>Overdue</v>
      </c>
    </row>
    <row r="207" spans="1:26" s="70" customFormat="1" ht="11.5" x14ac:dyDescent="0.25">
      <c r="A207" s="93" t="s">
        <v>66</v>
      </c>
      <c r="B207" s="93" t="s">
        <v>14</v>
      </c>
      <c r="C207" s="93" t="s">
        <v>245</v>
      </c>
      <c r="D207" s="92" t="s">
        <v>246</v>
      </c>
      <c r="E207" s="94">
        <f t="shared" si="397"/>
        <v>1</v>
      </c>
      <c r="F207" s="94">
        <f t="shared" si="398"/>
        <v>1</v>
      </c>
      <c r="G207" s="94">
        <f t="shared" si="398"/>
        <v>0.79999999999999993</v>
      </c>
      <c r="H207" s="94">
        <f t="shared" si="399"/>
        <v>-0.20000000000000007</v>
      </c>
      <c r="I207" s="130">
        <v>4.7E-2</v>
      </c>
      <c r="J207" s="90">
        <v>46150</v>
      </c>
      <c r="K207" s="90">
        <f t="shared" si="426"/>
        <v>46150</v>
      </c>
      <c r="L207" s="90">
        <v>46130</v>
      </c>
      <c r="M207" s="90">
        <f t="shared" si="427"/>
        <v>46192</v>
      </c>
      <c r="N207" s="90">
        <f t="shared" si="428"/>
        <v>46192</v>
      </c>
      <c r="O207" s="90">
        <v>46198</v>
      </c>
      <c r="P207" s="90">
        <f t="shared" si="429"/>
        <v>46234</v>
      </c>
      <c r="Q207" s="90">
        <f t="shared" si="430"/>
        <v>46234</v>
      </c>
      <c r="R207" s="90">
        <v>46234</v>
      </c>
      <c r="S207" s="90">
        <f t="shared" si="431"/>
        <v>46248</v>
      </c>
      <c r="T207" s="90">
        <f t="shared" si="432"/>
        <v>46248</v>
      </c>
      <c r="U207" s="90"/>
      <c r="W207" s="173" t="str">
        <f t="shared" ca="1" si="388"/>
        <v>Completed</v>
      </c>
      <c r="X207" s="173" t="str">
        <f t="shared" ca="1" si="389"/>
        <v>Completed</v>
      </c>
      <c r="Y207" s="173" t="str">
        <f t="shared" ca="1" si="390"/>
        <v>Completed</v>
      </c>
      <c r="Z207" s="174" t="str">
        <f t="shared" ca="1" si="391"/>
        <v>Overdue</v>
      </c>
    </row>
    <row r="208" spans="1:26" s="70" customFormat="1" ht="11.5" x14ac:dyDescent="0.25">
      <c r="A208" s="93" t="s">
        <v>66</v>
      </c>
      <c r="B208" s="93" t="s">
        <v>14</v>
      </c>
      <c r="C208" s="93" t="s">
        <v>247</v>
      </c>
      <c r="D208" s="92" t="s">
        <v>248</v>
      </c>
      <c r="E208" s="94">
        <f t="shared" si="397"/>
        <v>1</v>
      </c>
      <c r="F208" s="94">
        <f t="shared" si="398"/>
        <v>1</v>
      </c>
      <c r="G208" s="94">
        <f t="shared" si="398"/>
        <v>0.79999999999999993</v>
      </c>
      <c r="H208" s="94">
        <f t="shared" si="399"/>
        <v>-0.20000000000000007</v>
      </c>
      <c r="I208" s="130">
        <v>4.7E-2</v>
      </c>
      <c r="J208" s="90">
        <v>46150</v>
      </c>
      <c r="K208" s="90">
        <f t="shared" si="426"/>
        <v>46150</v>
      </c>
      <c r="L208" s="90">
        <v>46130</v>
      </c>
      <c r="M208" s="90">
        <f t="shared" si="427"/>
        <v>46192</v>
      </c>
      <c r="N208" s="90">
        <f t="shared" si="428"/>
        <v>46192</v>
      </c>
      <c r="O208" s="90">
        <v>46198</v>
      </c>
      <c r="P208" s="90">
        <f t="shared" si="429"/>
        <v>46234</v>
      </c>
      <c r="Q208" s="90">
        <f t="shared" si="430"/>
        <v>46234</v>
      </c>
      <c r="R208" s="90">
        <v>46234</v>
      </c>
      <c r="S208" s="90">
        <f t="shared" si="431"/>
        <v>46248</v>
      </c>
      <c r="T208" s="90">
        <f t="shared" si="432"/>
        <v>46248</v>
      </c>
      <c r="U208" s="90"/>
      <c r="W208" s="173" t="str">
        <f t="shared" ca="1" si="388"/>
        <v>Completed</v>
      </c>
      <c r="X208" s="173" t="str">
        <f t="shared" ca="1" si="389"/>
        <v>Completed</v>
      </c>
      <c r="Y208" s="173" t="str">
        <f t="shared" ca="1" si="390"/>
        <v>Completed</v>
      </c>
      <c r="Z208" s="174" t="str">
        <f t="shared" ca="1" si="391"/>
        <v>Overdue</v>
      </c>
    </row>
    <row r="209" spans="1:26" s="70" customFormat="1" ht="11.5" x14ac:dyDescent="0.25">
      <c r="A209" s="93" t="s">
        <v>66</v>
      </c>
      <c r="B209" s="93" t="s">
        <v>14</v>
      </c>
      <c r="C209" s="93" t="s">
        <v>249</v>
      </c>
      <c r="D209" s="92" t="s">
        <v>250</v>
      </c>
      <c r="E209" s="94">
        <f t="shared" si="397"/>
        <v>1</v>
      </c>
      <c r="F209" s="94">
        <f t="shared" si="398"/>
        <v>1</v>
      </c>
      <c r="G209" s="94">
        <f t="shared" si="398"/>
        <v>0.79999999999999993</v>
      </c>
      <c r="H209" s="94">
        <f t="shared" si="399"/>
        <v>-0.20000000000000007</v>
      </c>
      <c r="I209" s="130">
        <v>4.7E-2</v>
      </c>
      <c r="J209" s="90">
        <v>46150</v>
      </c>
      <c r="K209" s="90">
        <f t="shared" si="426"/>
        <v>46150</v>
      </c>
      <c r="L209" s="90">
        <v>46130</v>
      </c>
      <c r="M209" s="90">
        <f t="shared" si="427"/>
        <v>46192</v>
      </c>
      <c r="N209" s="90">
        <f t="shared" si="428"/>
        <v>46192</v>
      </c>
      <c r="O209" s="90">
        <v>46198</v>
      </c>
      <c r="P209" s="90">
        <f t="shared" si="429"/>
        <v>46234</v>
      </c>
      <c r="Q209" s="90">
        <f t="shared" si="430"/>
        <v>46234</v>
      </c>
      <c r="R209" s="90">
        <v>46234</v>
      </c>
      <c r="S209" s="90">
        <f t="shared" si="431"/>
        <v>46248</v>
      </c>
      <c r="T209" s="90">
        <f t="shared" si="432"/>
        <v>46248</v>
      </c>
      <c r="U209" s="90"/>
      <c r="W209" s="173" t="str">
        <f t="shared" ca="1" si="388"/>
        <v>Completed</v>
      </c>
      <c r="X209" s="173" t="str">
        <f t="shared" ca="1" si="389"/>
        <v>Completed</v>
      </c>
      <c r="Y209" s="173" t="str">
        <f t="shared" ca="1" si="390"/>
        <v>Completed</v>
      </c>
      <c r="Z209" s="174" t="str">
        <f t="shared" ca="1" si="391"/>
        <v>Overdue</v>
      </c>
    </row>
    <row r="210" spans="1:26" s="70" customFormat="1" ht="11.5" x14ac:dyDescent="0.25">
      <c r="A210" s="93" t="s">
        <v>66</v>
      </c>
      <c r="B210" s="93" t="s">
        <v>14</v>
      </c>
      <c r="C210" s="93" t="s">
        <v>251</v>
      </c>
      <c r="D210" s="92" t="s">
        <v>252</v>
      </c>
      <c r="E210" s="94">
        <f t="shared" si="397"/>
        <v>1</v>
      </c>
      <c r="F210" s="94">
        <f t="shared" si="398"/>
        <v>1</v>
      </c>
      <c r="G210" s="94">
        <f t="shared" si="398"/>
        <v>0.79999999999999993</v>
      </c>
      <c r="H210" s="94">
        <f t="shared" si="399"/>
        <v>-0.20000000000000007</v>
      </c>
      <c r="I210" s="130">
        <v>4.7E-2</v>
      </c>
      <c r="J210" s="90">
        <v>46150</v>
      </c>
      <c r="K210" s="90">
        <f t="shared" si="426"/>
        <v>46150</v>
      </c>
      <c r="L210" s="90">
        <v>46130</v>
      </c>
      <c r="M210" s="90">
        <f t="shared" si="427"/>
        <v>46192</v>
      </c>
      <c r="N210" s="90">
        <f t="shared" si="428"/>
        <v>46192</v>
      </c>
      <c r="O210" s="90">
        <v>46198</v>
      </c>
      <c r="P210" s="90">
        <f t="shared" si="429"/>
        <v>46234</v>
      </c>
      <c r="Q210" s="90">
        <f t="shared" si="430"/>
        <v>46234</v>
      </c>
      <c r="R210" s="90">
        <v>46234</v>
      </c>
      <c r="S210" s="90">
        <f t="shared" si="431"/>
        <v>46248</v>
      </c>
      <c r="T210" s="90">
        <f t="shared" si="432"/>
        <v>46248</v>
      </c>
      <c r="U210" s="90"/>
      <c r="W210" s="173" t="str">
        <f t="shared" ca="1" si="388"/>
        <v>Completed</v>
      </c>
      <c r="X210" s="173" t="str">
        <f t="shared" ca="1" si="389"/>
        <v>Completed</v>
      </c>
      <c r="Y210" s="173" t="str">
        <f t="shared" ca="1" si="390"/>
        <v>Completed</v>
      </c>
      <c r="Z210" s="174" t="str">
        <f t="shared" ca="1" si="391"/>
        <v>Overdue</v>
      </c>
    </row>
    <row r="211" spans="1:26" s="70" customFormat="1" ht="11.5" x14ac:dyDescent="0.25">
      <c r="A211" s="93" t="s">
        <v>66</v>
      </c>
      <c r="B211" s="93" t="s">
        <v>14</v>
      </c>
      <c r="C211" s="93" t="s">
        <v>253</v>
      </c>
      <c r="D211" s="92" t="s">
        <v>254</v>
      </c>
      <c r="E211" s="94">
        <f t="shared" si="397"/>
        <v>1</v>
      </c>
      <c r="F211" s="94">
        <f t="shared" si="398"/>
        <v>1</v>
      </c>
      <c r="G211" s="94">
        <f t="shared" si="398"/>
        <v>0.79999999999999993</v>
      </c>
      <c r="H211" s="94">
        <f t="shared" si="399"/>
        <v>-0.20000000000000007</v>
      </c>
      <c r="I211" s="130">
        <v>4.7E-2</v>
      </c>
      <c r="J211" s="90">
        <v>46150</v>
      </c>
      <c r="K211" s="90">
        <f t="shared" si="426"/>
        <v>46150</v>
      </c>
      <c r="L211" s="90">
        <v>46130</v>
      </c>
      <c r="M211" s="90">
        <f t="shared" si="427"/>
        <v>46192</v>
      </c>
      <c r="N211" s="90">
        <f t="shared" si="428"/>
        <v>46192</v>
      </c>
      <c r="O211" s="90">
        <v>46198</v>
      </c>
      <c r="P211" s="90">
        <f t="shared" si="429"/>
        <v>46234</v>
      </c>
      <c r="Q211" s="90">
        <f t="shared" si="430"/>
        <v>46234</v>
      </c>
      <c r="R211" s="90">
        <v>46234</v>
      </c>
      <c r="S211" s="90">
        <f t="shared" si="431"/>
        <v>46248</v>
      </c>
      <c r="T211" s="90">
        <f t="shared" si="432"/>
        <v>46248</v>
      </c>
      <c r="U211" s="90"/>
      <c r="W211" s="173" t="str">
        <f t="shared" ca="1" si="388"/>
        <v>Completed</v>
      </c>
      <c r="X211" s="173" t="str">
        <f t="shared" ca="1" si="389"/>
        <v>Completed</v>
      </c>
      <c r="Y211" s="173" t="str">
        <f t="shared" ca="1" si="390"/>
        <v>Completed</v>
      </c>
      <c r="Z211" s="174" t="str">
        <f t="shared" ca="1" si="391"/>
        <v>Overdue</v>
      </c>
    </row>
    <row r="212" spans="1:26" s="70" customFormat="1" ht="11.5" x14ac:dyDescent="0.25">
      <c r="A212" s="93" t="s">
        <v>66</v>
      </c>
      <c r="B212" s="93" t="s">
        <v>14</v>
      </c>
      <c r="C212" s="93" t="s">
        <v>255</v>
      </c>
      <c r="D212" s="92" t="s">
        <v>256</v>
      </c>
      <c r="E212" s="94">
        <f t="shared" si="397"/>
        <v>1</v>
      </c>
      <c r="F212" s="94">
        <f t="shared" si="398"/>
        <v>1</v>
      </c>
      <c r="G212" s="94">
        <f t="shared" si="398"/>
        <v>0.79999999999999993</v>
      </c>
      <c r="H212" s="94">
        <f t="shared" si="399"/>
        <v>-0.20000000000000007</v>
      </c>
      <c r="I212" s="130">
        <v>4.7E-2</v>
      </c>
      <c r="J212" s="90">
        <v>46150</v>
      </c>
      <c r="K212" s="90">
        <f t="shared" si="426"/>
        <v>46150</v>
      </c>
      <c r="L212" s="90">
        <v>46130</v>
      </c>
      <c r="M212" s="90">
        <f t="shared" si="427"/>
        <v>46192</v>
      </c>
      <c r="N212" s="90">
        <f t="shared" si="428"/>
        <v>46192</v>
      </c>
      <c r="O212" s="90">
        <v>46198</v>
      </c>
      <c r="P212" s="90">
        <f t="shared" si="429"/>
        <v>46234</v>
      </c>
      <c r="Q212" s="90">
        <f t="shared" si="430"/>
        <v>46234</v>
      </c>
      <c r="R212" s="90">
        <v>46234</v>
      </c>
      <c r="S212" s="90">
        <f t="shared" si="431"/>
        <v>46248</v>
      </c>
      <c r="T212" s="90">
        <f t="shared" si="432"/>
        <v>46248</v>
      </c>
      <c r="U212" s="90"/>
      <c r="W212" s="173" t="str">
        <f t="shared" ca="1" si="388"/>
        <v>Completed</v>
      </c>
      <c r="X212" s="173" t="str">
        <f t="shared" ca="1" si="389"/>
        <v>Completed</v>
      </c>
      <c r="Y212" s="173" t="str">
        <f t="shared" ca="1" si="390"/>
        <v>Completed</v>
      </c>
      <c r="Z212" s="174" t="str">
        <f t="shared" ca="1" si="391"/>
        <v>Overdue</v>
      </c>
    </row>
    <row r="213" spans="1:26" s="70" customFormat="1" ht="11.5" x14ac:dyDescent="0.25">
      <c r="A213" s="93" t="s">
        <v>66</v>
      </c>
      <c r="B213" s="93" t="s">
        <v>14</v>
      </c>
      <c r="C213" s="93" t="s">
        <v>257</v>
      </c>
      <c r="D213" s="92" t="s">
        <v>258</v>
      </c>
      <c r="E213" s="94">
        <f t="shared" si="397"/>
        <v>1</v>
      </c>
      <c r="F213" s="94">
        <f t="shared" si="398"/>
        <v>1</v>
      </c>
      <c r="G213" s="94">
        <f t="shared" si="398"/>
        <v>0.79999999999999993</v>
      </c>
      <c r="H213" s="94">
        <f t="shared" si="399"/>
        <v>-0.20000000000000007</v>
      </c>
      <c r="I213" s="130">
        <v>4.7E-2</v>
      </c>
      <c r="J213" s="90">
        <v>46150</v>
      </c>
      <c r="K213" s="90">
        <f t="shared" si="426"/>
        <v>46150</v>
      </c>
      <c r="L213" s="90">
        <v>46130</v>
      </c>
      <c r="M213" s="90">
        <f t="shared" si="427"/>
        <v>46192</v>
      </c>
      <c r="N213" s="90">
        <f t="shared" si="428"/>
        <v>46192</v>
      </c>
      <c r="O213" s="90">
        <v>46198</v>
      </c>
      <c r="P213" s="90">
        <f t="shared" si="429"/>
        <v>46234</v>
      </c>
      <c r="Q213" s="90">
        <f t="shared" si="430"/>
        <v>46234</v>
      </c>
      <c r="R213" s="90">
        <v>46234</v>
      </c>
      <c r="S213" s="90">
        <f t="shared" si="431"/>
        <v>46248</v>
      </c>
      <c r="T213" s="90">
        <f t="shared" si="432"/>
        <v>46248</v>
      </c>
      <c r="U213" s="90"/>
      <c r="W213" s="173" t="str">
        <f t="shared" ca="1" si="388"/>
        <v>Completed</v>
      </c>
      <c r="X213" s="173" t="str">
        <f t="shared" ca="1" si="389"/>
        <v>Completed</v>
      </c>
      <c r="Y213" s="173" t="str">
        <f t="shared" ca="1" si="390"/>
        <v>Completed</v>
      </c>
      <c r="Z213" s="174" t="str">
        <f t="shared" ca="1" si="391"/>
        <v>Overdue</v>
      </c>
    </row>
    <row r="214" spans="1:26" s="70" customFormat="1" ht="11.5" x14ac:dyDescent="0.25">
      <c r="A214" s="93" t="s">
        <v>66</v>
      </c>
      <c r="B214" s="93" t="s">
        <v>14</v>
      </c>
      <c r="C214" s="93" t="s">
        <v>259</v>
      </c>
      <c r="D214" s="92" t="s">
        <v>260</v>
      </c>
      <c r="E214" s="94">
        <f t="shared" si="397"/>
        <v>1</v>
      </c>
      <c r="F214" s="94">
        <f t="shared" si="398"/>
        <v>1</v>
      </c>
      <c r="G214" s="94">
        <f t="shared" si="398"/>
        <v>0.79999999999999993</v>
      </c>
      <c r="H214" s="94">
        <f t="shared" si="399"/>
        <v>-0.20000000000000007</v>
      </c>
      <c r="I214" s="130">
        <v>4.7E-2</v>
      </c>
      <c r="J214" s="90">
        <v>46150</v>
      </c>
      <c r="K214" s="90">
        <f t="shared" si="426"/>
        <v>46150</v>
      </c>
      <c r="L214" s="90">
        <v>46130</v>
      </c>
      <c r="M214" s="90">
        <f t="shared" si="427"/>
        <v>46192</v>
      </c>
      <c r="N214" s="90">
        <f t="shared" si="428"/>
        <v>46192</v>
      </c>
      <c r="O214" s="90">
        <v>46198</v>
      </c>
      <c r="P214" s="90">
        <f t="shared" si="429"/>
        <v>46234</v>
      </c>
      <c r="Q214" s="90">
        <f t="shared" si="430"/>
        <v>46234</v>
      </c>
      <c r="R214" s="90">
        <v>46234</v>
      </c>
      <c r="S214" s="90">
        <f t="shared" si="431"/>
        <v>46248</v>
      </c>
      <c r="T214" s="90">
        <f t="shared" si="432"/>
        <v>46248</v>
      </c>
      <c r="U214" s="90"/>
      <c r="W214" s="173" t="str">
        <f t="shared" ca="1" si="388"/>
        <v>Completed</v>
      </c>
      <c r="X214" s="173" t="str">
        <f t="shared" ca="1" si="389"/>
        <v>Completed</v>
      </c>
      <c r="Y214" s="173" t="str">
        <f t="shared" ca="1" si="390"/>
        <v>Completed</v>
      </c>
      <c r="Z214" s="174" t="str">
        <f t="shared" ca="1" si="391"/>
        <v>Overdue</v>
      </c>
    </row>
    <row r="215" spans="1:26" s="70" customFormat="1" ht="11.5" x14ac:dyDescent="0.25">
      <c r="A215" s="93" t="s">
        <v>66</v>
      </c>
      <c r="B215" s="93" t="s">
        <v>14</v>
      </c>
      <c r="C215" s="93" t="s">
        <v>261</v>
      </c>
      <c r="D215" s="92" t="s">
        <v>262</v>
      </c>
      <c r="E215" s="94">
        <f t="shared" si="397"/>
        <v>1</v>
      </c>
      <c r="F215" s="94">
        <f t="shared" si="398"/>
        <v>1</v>
      </c>
      <c r="G215" s="94">
        <f t="shared" si="398"/>
        <v>0.79999999999999993</v>
      </c>
      <c r="H215" s="94">
        <f t="shared" si="399"/>
        <v>-0.20000000000000007</v>
      </c>
      <c r="I215" s="130">
        <v>4.7E-2</v>
      </c>
      <c r="J215" s="90">
        <v>46150</v>
      </c>
      <c r="K215" s="90">
        <f t="shared" si="426"/>
        <v>46150</v>
      </c>
      <c r="L215" s="90">
        <v>46130</v>
      </c>
      <c r="M215" s="90">
        <f t="shared" si="427"/>
        <v>46192</v>
      </c>
      <c r="N215" s="90">
        <f t="shared" si="428"/>
        <v>46192</v>
      </c>
      <c r="O215" s="90">
        <v>46198</v>
      </c>
      <c r="P215" s="90">
        <f t="shared" si="429"/>
        <v>46234</v>
      </c>
      <c r="Q215" s="90">
        <f t="shared" si="430"/>
        <v>46234</v>
      </c>
      <c r="R215" s="90">
        <v>46234</v>
      </c>
      <c r="S215" s="90">
        <f t="shared" si="431"/>
        <v>46248</v>
      </c>
      <c r="T215" s="90">
        <f t="shared" si="432"/>
        <v>46248</v>
      </c>
      <c r="U215" s="90"/>
      <c r="W215" s="173" t="str">
        <f t="shared" ca="1" si="388"/>
        <v>Completed</v>
      </c>
      <c r="X215" s="173" t="str">
        <f t="shared" ca="1" si="389"/>
        <v>Completed</v>
      </c>
      <c r="Y215" s="173" t="str">
        <f t="shared" ca="1" si="390"/>
        <v>Completed</v>
      </c>
      <c r="Z215" s="174" t="str">
        <f t="shared" ca="1" si="391"/>
        <v>Overdue</v>
      </c>
    </row>
    <row r="216" spans="1:26" s="70" customFormat="1" ht="11.5" x14ac:dyDescent="0.25">
      <c r="A216" s="93" t="s">
        <v>66</v>
      </c>
      <c r="B216" s="93" t="s">
        <v>14</v>
      </c>
      <c r="C216" s="93" t="s">
        <v>263</v>
      </c>
      <c r="D216" s="92" t="s">
        <v>264</v>
      </c>
      <c r="E216" s="94">
        <f t="shared" si="397"/>
        <v>1</v>
      </c>
      <c r="F216" s="94">
        <f t="shared" si="398"/>
        <v>1</v>
      </c>
      <c r="G216" s="94">
        <f t="shared" si="398"/>
        <v>0.79999999999999993</v>
      </c>
      <c r="H216" s="94">
        <f t="shared" si="399"/>
        <v>-0.20000000000000007</v>
      </c>
      <c r="I216" s="130">
        <v>4.7E-2</v>
      </c>
      <c r="J216" s="90">
        <v>46150</v>
      </c>
      <c r="K216" s="90">
        <f t="shared" si="426"/>
        <v>46150</v>
      </c>
      <c r="L216" s="90">
        <v>46130</v>
      </c>
      <c r="M216" s="90">
        <f t="shared" si="427"/>
        <v>46192</v>
      </c>
      <c r="N216" s="90">
        <f t="shared" si="428"/>
        <v>46192</v>
      </c>
      <c r="O216" s="90">
        <v>46198</v>
      </c>
      <c r="P216" s="90">
        <f t="shared" si="429"/>
        <v>46234</v>
      </c>
      <c r="Q216" s="90">
        <f t="shared" si="430"/>
        <v>46234</v>
      </c>
      <c r="R216" s="90">
        <v>46234</v>
      </c>
      <c r="S216" s="90">
        <f t="shared" si="431"/>
        <v>46248</v>
      </c>
      <c r="T216" s="90">
        <f t="shared" si="432"/>
        <v>46248</v>
      </c>
      <c r="U216" s="90"/>
      <c r="W216" s="173" t="str">
        <f t="shared" ca="1" si="388"/>
        <v>Completed</v>
      </c>
      <c r="X216" s="173" t="str">
        <f t="shared" ca="1" si="389"/>
        <v>Completed</v>
      </c>
      <c r="Y216" s="173" t="str">
        <f t="shared" ca="1" si="390"/>
        <v>Completed</v>
      </c>
      <c r="Z216" s="174" t="str">
        <f t="shared" ca="1" si="391"/>
        <v>Overdue</v>
      </c>
    </row>
    <row r="217" spans="1:26" s="70" customFormat="1" ht="11.5" x14ac:dyDescent="0.25">
      <c r="A217" s="93" t="s">
        <v>66</v>
      </c>
      <c r="B217" s="93" t="s">
        <v>14</v>
      </c>
      <c r="C217" s="93" t="s">
        <v>265</v>
      </c>
      <c r="D217" s="92" t="s">
        <v>266</v>
      </c>
      <c r="E217" s="94">
        <f t="shared" si="397"/>
        <v>1</v>
      </c>
      <c r="F217" s="94">
        <f t="shared" si="398"/>
        <v>1</v>
      </c>
      <c r="G217" s="94">
        <f t="shared" si="398"/>
        <v>0.79999999999999993</v>
      </c>
      <c r="H217" s="94">
        <f t="shared" si="399"/>
        <v>-0.20000000000000007</v>
      </c>
      <c r="I217" s="130">
        <v>4.7E-2</v>
      </c>
      <c r="J217" s="90">
        <v>46150</v>
      </c>
      <c r="K217" s="90">
        <f t="shared" si="426"/>
        <v>46150</v>
      </c>
      <c r="L217" s="90">
        <v>46130</v>
      </c>
      <c r="M217" s="90">
        <f t="shared" si="427"/>
        <v>46192</v>
      </c>
      <c r="N217" s="90">
        <f t="shared" si="428"/>
        <v>46192</v>
      </c>
      <c r="O217" s="90">
        <v>46198</v>
      </c>
      <c r="P217" s="90">
        <f t="shared" si="429"/>
        <v>46234</v>
      </c>
      <c r="Q217" s="90">
        <f t="shared" si="430"/>
        <v>46234</v>
      </c>
      <c r="R217" s="90">
        <v>46234</v>
      </c>
      <c r="S217" s="90">
        <f t="shared" si="431"/>
        <v>46248</v>
      </c>
      <c r="T217" s="90">
        <f t="shared" si="432"/>
        <v>46248</v>
      </c>
      <c r="U217" s="90"/>
      <c r="W217" s="173" t="str">
        <f t="shared" ca="1" si="388"/>
        <v>Completed</v>
      </c>
      <c r="X217" s="173" t="str">
        <f t="shared" ca="1" si="389"/>
        <v>Completed</v>
      </c>
      <c r="Y217" s="173" t="str">
        <f t="shared" ca="1" si="390"/>
        <v>Completed</v>
      </c>
      <c r="Z217" s="174" t="str">
        <f t="shared" ca="1" si="391"/>
        <v>Overdue</v>
      </c>
    </row>
    <row r="218" spans="1:26" s="70" customFormat="1" ht="11.5" x14ac:dyDescent="0.25">
      <c r="A218" s="93" t="s">
        <v>66</v>
      </c>
      <c r="B218" s="93" t="s">
        <v>14</v>
      </c>
      <c r="C218" s="93" t="s">
        <v>267</v>
      </c>
      <c r="D218" s="92" t="s">
        <v>268</v>
      </c>
      <c r="E218" s="94">
        <f t="shared" si="397"/>
        <v>1</v>
      </c>
      <c r="F218" s="94">
        <f t="shared" si="398"/>
        <v>1</v>
      </c>
      <c r="G218" s="94">
        <f t="shared" si="398"/>
        <v>0.79999999999999993</v>
      </c>
      <c r="H218" s="94">
        <f t="shared" si="399"/>
        <v>-0.20000000000000007</v>
      </c>
      <c r="I218" s="130">
        <v>4.7E-2</v>
      </c>
      <c r="J218" s="90">
        <v>46150</v>
      </c>
      <c r="K218" s="90">
        <f t="shared" si="426"/>
        <v>46150</v>
      </c>
      <c r="L218" s="90">
        <v>46130</v>
      </c>
      <c r="M218" s="90">
        <f t="shared" si="427"/>
        <v>46192</v>
      </c>
      <c r="N218" s="90">
        <f t="shared" si="428"/>
        <v>46192</v>
      </c>
      <c r="O218" s="90">
        <v>46198</v>
      </c>
      <c r="P218" s="90">
        <f t="shared" si="429"/>
        <v>46234</v>
      </c>
      <c r="Q218" s="90">
        <f t="shared" si="430"/>
        <v>46234</v>
      </c>
      <c r="R218" s="90">
        <v>46234</v>
      </c>
      <c r="S218" s="90">
        <f t="shared" si="431"/>
        <v>46248</v>
      </c>
      <c r="T218" s="90">
        <f t="shared" si="432"/>
        <v>46248</v>
      </c>
      <c r="U218" s="90"/>
      <c r="W218" s="173" t="str">
        <f t="shared" ca="1" si="388"/>
        <v>Completed</v>
      </c>
      <c r="X218" s="173" t="str">
        <f t="shared" ca="1" si="389"/>
        <v>Completed</v>
      </c>
      <c r="Y218" s="173" t="str">
        <f t="shared" ca="1" si="390"/>
        <v>Completed</v>
      </c>
      <c r="Z218" s="174" t="str">
        <f t="shared" ca="1" si="391"/>
        <v>Overdue</v>
      </c>
    </row>
    <row r="219" spans="1:26" s="70" customFormat="1" ht="11.5" x14ac:dyDescent="0.25">
      <c r="A219" s="93" t="s">
        <v>66</v>
      </c>
      <c r="B219" s="93" t="s">
        <v>14</v>
      </c>
      <c r="C219" s="93" t="s">
        <v>269</v>
      </c>
      <c r="D219" s="92" t="s">
        <v>270</v>
      </c>
      <c r="E219" s="94">
        <f t="shared" si="397"/>
        <v>1</v>
      </c>
      <c r="F219" s="94">
        <f t="shared" si="398"/>
        <v>1</v>
      </c>
      <c r="G219" s="94">
        <f t="shared" si="398"/>
        <v>0.79999999999999993</v>
      </c>
      <c r="H219" s="94">
        <f t="shared" si="399"/>
        <v>-0.20000000000000007</v>
      </c>
      <c r="I219" s="130">
        <v>4.7E-2</v>
      </c>
      <c r="J219" s="90">
        <v>46150</v>
      </c>
      <c r="K219" s="90">
        <f t="shared" si="426"/>
        <v>46150</v>
      </c>
      <c r="L219" s="90">
        <v>46130</v>
      </c>
      <c r="M219" s="90">
        <f t="shared" si="427"/>
        <v>46192</v>
      </c>
      <c r="N219" s="90">
        <f t="shared" si="428"/>
        <v>46192</v>
      </c>
      <c r="O219" s="90">
        <v>46198</v>
      </c>
      <c r="P219" s="90">
        <f t="shared" si="429"/>
        <v>46234</v>
      </c>
      <c r="Q219" s="90">
        <f t="shared" si="430"/>
        <v>46234</v>
      </c>
      <c r="R219" s="90">
        <v>46234</v>
      </c>
      <c r="S219" s="90">
        <f t="shared" si="431"/>
        <v>46248</v>
      </c>
      <c r="T219" s="90">
        <f t="shared" si="432"/>
        <v>46248</v>
      </c>
      <c r="U219" s="90"/>
      <c r="W219" s="173" t="str">
        <f t="shared" ref="W219:W282" ca="1" si="433">IF(OR(L219&lt;&gt;""),"Completed",
IF(K219="","",IF(K219&lt;TODAY(),"Overdue",
IF(AND(K219&gt;=TODAY()-WEEKDAY(TODAY(),2)+1,K219&lt;=TODAY()-WEEKDAY(TODAY(),2)+7),"Follow-This Week",
IF(AND(K219&gt;=TODAY()-WEEKDAY(TODAY(),2)+8,K219&lt;=TODAY()-WEEKDAY(TODAY(),2)+14),"Follow-Next Week","")))))</f>
        <v>Completed</v>
      </c>
      <c r="X219" s="173" t="str">
        <f t="shared" ref="X219:X282" ca="1" si="434">IF(OR(O219&lt;&gt;""),"Completed",IF(N219="","",
IF(N219&lt;TODAY(),"Overdue",
IF(AND(N219&gt;=TODAY()-WEEKDAY(TODAY(),2)+1,N219&lt;=TODAY()-WEEKDAY(TODAY(),2)+7),"Follow-This Week",
IF(AND(N219&gt;=TODAY()-WEEKDAY(TODAY(),2)+8,N219&lt;=TODAY()-WEEKDAY(TODAY(),2)+14),"Follow-Next Week","")))))</f>
        <v>Completed</v>
      </c>
      <c r="Y219" s="173" t="str">
        <f t="shared" ref="Y219:Y282" ca="1" si="435">IF(OR(R219&lt;&gt;""),"Completed",IF(Q219="","",
IF(Q219&lt;TODAY(),"Overdue",
IF(AND(Q219&gt;=TODAY()-WEEKDAY(TODAY(),2)+1,Q219&lt;=TODAY()-WEEKDAY(TODAY(),2)+7),"Follow-This Week",
IF(AND(Q219&gt;=TODAY()-WEEKDAY(TODAY(),2)+8,Q219&lt;=TODAY()-WEEKDAY(TODAY(),2)+14),"Follow-Next Week","")))))</f>
        <v>Completed</v>
      </c>
      <c r="Z219" s="174" t="str">
        <f t="shared" ref="Z219:Z282" ca="1" si="436">IF(OR(U219&lt;&gt;""),"Completed",IF(T219="","",
IF(T219&lt;TODAY(),"Overdue",
IF(AND(T219&gt;=TODAY()-WEEKDAY(TODAY(),2)+1,T219&lt;=TODAY()-WEEKDAY(TODAY(),2)+7),"Follow-This Week",
IF(AND(T219&gt;=TODAY()-WEEKDAY(TODAY(),2)+8,T219&lt;=TODAY()-WEEKDAY(TODAY(),2)+14),"Follow-Next Week","")))))</f>
        <v>Overdue</v>
      </c>
    </row>
    <row r="220" spans="1:26" s="70" customFormat="1" ht="11.5" x14ac:dyDescent="0.25">
      <c r="A220" s="93" t="s">
        <v>66</v>
      </c>
      <c r="B220" s="93" t="s">
        <v>14</v>
      </c>
      <c r="C220" s="93" t="s">
        <v>271</v>
      </c>
      <c r="D220" s="92" t="s">
        <v>272</v>
      </c>
      <c r="E220" s="94">
        <f t="shared" si="397"/>
        <v>1</v>
      </c>
      <c r="F220" s="94">
        <f t="shared" si="398"/>
        <v>1</v>
      </c>
      <c r="G220" s="94">
        <f t="shared" si="398"/>
        <v>0.79999999999999993</v>
      </c>
      <c r="H220" s="94">
        <f t="shared" si="399"/>
        <v>-0.20000000000000007</v>
      </c>
      <c r="I220" s="130">
        <v>4.7E-2</v>
      </c>
      <c r="J220" s="90">
        <v>46150</v>
      </c>
      <c r="K220" s="90">
        <f t="shared" si="426"/>
        <v>46150</v>
      </c>
      <c r="L220" s="90">
        <v>46130</v>
      </c>
      <c r="M220" s="90">
        <f t="shared" si="427"/>
        <v>46192</v>
      </c>
      <c r="N220" s="90">
        <f t="shared" si="428"/>
        <v>46192</v>
      </c>
      <c r="O220" s="90">
        <v>46198</v>
      </c>
      <c r="P220" s="90">
        <f t="shared" si="429"/>
        <v>46234</v>
      </c>
      <c r="Q220" s="90">
        <f t="shared" si="430"/>
        <v>46234</v>
      </c>
      <c r="R220" s="90">
        <v>46234</v>
      </c>
      <c r="S220" s="90">
        <f t="shared" si="431"/>
        <v>46248</v>
      </c>
      <c r="T220" s="90">
        <f t="shared" si="432"/>
        <v>46248</v>
      </c>
      <c r="U220" s="90"/>
      <c r="W220" s="173" t="str">
        <f t="shared" ca="1" si="433"/>
        <v>Completed</v>
      </c>
      <c r="X220" s="173" t="str">
        <f t="shared" ca="1" si="434"/>
        <v>Completed</v>
      </c>
      <c r="Y220" s="173" t="str">
        <f t="shared" ca="1" si="435"/>
        <v>Completed</v>
      </c>
      <c r="Z220" s="174" t="str">
        <f t="shared" ca="1" si="436"/>
        <v>Overdue</v>
      </c>
    </row>
    <row r="221" spans="1:26" s="70" customFormat="1" ht="11.5" x14ac:dyDescent="0.25">
      <c r="A221" s="93" t="s">
        <v>66</v>
      </c>
      <c r="B221" s="93" t="s">
        <v>14</v>
      </c>
      <c r="C221" s="93" t="s">
        <v>273</v>
      </c>
      <c r="D221" s="92" t="s">
        <v>274</v>
      </c>
      <c r="E221" s="94">
        <f t="shared" si="397"/>
        <v>1</v>
      </c>
      <c r="F221" s="94">
        <f t="shared" si="398"/>
        <v>1</v>
      </c>
      <c r="G221" s="94">
        <f t="shared" si="398"/>
        <v>0.79999999999999993</v>
      </c>
      <c r="H221" s="94">
        <f t="shared" si="399"/>
        <v>-0.20000000000000007</v>
      </c>
      <c r="I221" s="130">
        <v>4.7E-2</v>
      </c>
      <c r="J221" s="90">
        <v>46150</v>
      </c>
      <c r="K221" s="90">
        <f t="shared" si="426"/>
        <v>46150</v>
      </c>
      <c r="L221" s="90">
        <v>46130</v>
      </c>
      <c r="M221" s="90">
        <f t="shared" si="427"/>
        <v>46192</v>
      </c>
      <c r="N221" s="90">
        <f t="shared" si="428"/>
        <v>46192</v>
      </c>
      <c r="O221" s="90">
        <v>46198</v>
      </c>
      <c r="P221" s="90">
        <f t="shared" si="429"/>
        <v>46234</v>
      </c>
      <c r="Q221" s="90">
        <f t="shared" si="430"/>
        <v>46234</v>
      </c>
      <c r="R221" s="90">
        <v>46234</v>
      </c>
      <c r="S221" s="90">
        <f t="shared" si="431"/>
        <v>46248</v>
      </c>
      <c r="T221" s="90">
        <f t="shared" si="432"/>
        <v>46248</v>
      </c>
      <c r="U221" s="90"/>
      <c r="W221" s="173" t="str">
        <f t="shared" ca="1" si="433"/>
        <v>Completed</v>
      </c>
      <c r="X221" s="173" t="str">
        <f t="shared" ca="1" si="434"/>
        <v>Completed</v>
      </c>
      <c r="Y221" s="173" t="str">
        <f t="shared" ca="1" si="435"/>
        <v>Completed</v>
      </c>
      <c r="Z221" s="174" t="str">
        <f t="shared" ca="1" si="436"/>
        <v>Overdue</v>
      </c>
    </row>
    <row r="222" spans="1:26" s="70" customFormat="1" ht="11.5" x14ac:dyDescent="0.25">
      <c r="A222" s="93" t="s">
        <v>66</v>
      </c>
      <c r="B222" s="93" t="s">
        <v>14</v>
      </c>
      <c r="C222" s="93" t="s">
        <v>275</v>
      </c>
      <c r="D222" s="92" t="s">
        <v>276</v>
      </c>
      <c r="E222" s="94">
        <f t="shared" si="397"/>
        <v>1</v>
      </c>
      <c r="F222" s="94">
        <f t="shared" si="398"/>
        <v>1</v>
      </c>
      <c r="G222" s="94">
        <f t="shared" si="398"/>
        <v>0.79999999999999993</v>
      </c>
      <c r="H222" s="94">
        <f t="shared" si="399"/>
        <v>-0.20000000000000007</v>
      </c>
      <c r="I222" s="130">
        <v>4.7E-2</v>
      </c>
      <c r="J222" s="90">
        <v>46150</v>
      </c>
      <c r="K222" s="90">
        <f t="shared" si="426"/>
        <v>46150</v>
      </c>
      <c r="L222" s="90">
        <v>46130</v>
      </c>
      <c r="M222" s="90">
        <f t="shared" si="427"/>
        <v>46192</v>
      </c>
      <c r="N222" s="90">
        <f t="shared" si="428"/>
        <v>46192</v>
      </c>
      <c r="O222" s="90">
        <v>46198</v>
      </c>
      <c r="P222" s="90">
        <f t="shared" si="429"/>
        <v>46234</v>
      </c>
      <c r="Q222" s="90">
        <f t="shared" si="430"/>
        <v>46234</v>
      </c>
      <c r="R222" s="90">
        <v>46234</v>
      </c>
      <c r="S222" s="90">
        <f t="shared" si="431"/>
        <v>46248</v>
      </c>
      <c r="T222" s="90">
        <f t="shared" si="432"/>
        <v>46248</v>
      </c>
      <c r="U222" s="90"/>
      <c r="W222" s="173" t="str">
        <f t="shared" ca="1" si="433"/>
        <v>Completed</v>
      </c>
      <c r="X222" s="173" t="str">
        <f t="shared" ca="1" si="434"/>
        <v>Completed</v>
      </c>
      <c r="Y222" s="173" t="str">
        <f t="shared" ca="1" si="435"/>
        <v>Completed</v>
      </c>
      <c r="Z222" s="174" t="str">
        <f t="shared" ca="1" si="436"/>
        <v>Overdue</v>
      </c>
    </row>
    <row r="223" spans="1:26" s="70" customFormat="1" ht="11.5" x14ac:dyDescent="0.25">
      <c r="A223" s="93" t="s">
        <v>66</v>
      </c>
      <c r="B223" s="93" t="s">
        <v>14</v>
      </c>
      <c r="C223" s="93" t="s">
        <v>277</v>
      </c>
      <c r="D223" s="150" t="s">
        <v>959</v>
      </c>
      <c r="E223" s="94">
        <f t="shared" si="397"/>
        <v>1</v>
      </c>
      <c r="F223" s="94">
        <f t="shared" si="398"/>
        <v>1</v>
      </c>
      <c r="G223" s="94">
        <f t="shared" si="398"/>
        <v>1</v>
      </c>
      <c r="H223" s="94">
        <f t="shared" si="399"/>
        <v>0</v>
      </c>
      <c r="I223" s="130">
        <v>4.7E-2</v>
      </c>
      <c r="J223" s="90">
        <v>46150</v>
      </c>
      <c r="K223" s="90">
        <f t="shared" si="426"/>
        <v>46150</v>
      </c>
      <c r="L223" s="90">
        <v>46130</v>
      </c>
      <c r="M223" s="90">
        <f t="shared" si="427"/>
        <v>46192</v>
      </c>
      <c r="N223" s="90">
        <f t="shared" si="428"/>
        <v>46192</v>
      </c>
      <c r="O223" s="90">
        <v>46198</v>
      </c>
      <c r="P223" s="90">
        <f t="shared" si="429"/>
        <v>46234</v>
      </c>
      <c r="Q223" s="90">
        <f t="shared" si="430"/>
        <v>46234</v>
      </c>
      <c r="R223" s="90">
        <v>46234</v>
      </c>
      <c r="S223" s="90">
        <f t="shared" si="431"/>
        <v>46248</v>
      </c>
      <c r="T223" s="90">
        <f t="shared" si="432"/>
        <v>46248</v>
      </c>
      <c r="U223" s="165">
        <v>46262</v>
      </c>
      <c r="W223" s="173" t="str">
        <f t="shared" ca="1" si="433"/>
        <v>Completed</v>
      </c>
      <c r="X223" s="173" t="str">
        <f t="shared" ca="1" si="434"/>
        <v>Completed</v>
      </c>
      <c r="Y223" s="173" t="str">
        <f t="shared" ca="1" si="435"/>
        <v>Completed</v>
      </c>
      <c r="Z223" s="174" t="str">
        <f t="shared" ca="1" si="436"/>
        <v>Completed</v>
      </c>
    </row>
    <row r="224" spans="1:26" s="70" customFormat="1" ht="11.5" x14ac:dyDescent="0.25">
      <c r="A224" s="93" t="s">
        <v>66</v>
      </c>
      <c r="B224" s="93" t="s">
        <v>14</v>
      </c>
      <c r="C224" s="93" t="s">
        <v>278</v>
      </c>
      <c r="D224" s="92" t="s">
        <v>279</v>
      </c>
      <c r="E224" s="94">
        <f t="shared" si="397"/>
        <v>1</v>
      </c>
      <c r="F224" s="94">
        <f t="shared" si="398"/>
        <v>1</v>
      </c>
      <c r="G224" s="94">
        <f t="shared" si="398"/>
        <v>1</v>
      </c>
      <c r="H224" s="94">
        <f t="shared" si="399"/>
        <v>0</v>
      </c>
      <c r="I224" s="130">
        <v>4.7E-2</v>
      </c>
      <c r="J224" s="90">
        <v>46150</v>
      </c>
      <c r="K224" s="90">
        <f t="shared" si="426"/>
        <v>46150</v>
      </c>
      <c r="L224" s="90">
        <v>46130</v>
      </c>
      <c r="M224" s="90">
        <f t="shared" si="427"/>
        <v>46192</v>
      </c>
      <c r="N224" s="90">
        <f t="shared" si="428"/>
        <v>46192</v>
      </c>
      <c r="O224" s="91">
        <v>46223</v>
      </c>
      <c r="P224" s="90">
        <f t="shared" si="429"/>
        <v>46234</v>
      </c>
      <c r="Q224" s="90">
        <f t="shared" si="430"/>
        <v>46234</v>
      </c>
      <c r="R224" s="90">
        <v>46247</v>
      </c>
      <c r="S224" s="90">
        <f t="shared" si="431"/>
        <v>46248</v>
      </c>
      <c r="T224" s="90">
        <f t="shared" si="432"/>
        <v>46248</v>
      </c>
      <c r="U224" s="90">
        <v>46255</v>
      </c>
      <c r="W224" s="173" t="str">
        <f t="shared" ca="1" si="433"/>
        <v>Completed</v>
      </c>
      <c r="X224" s="173" t="str">
        <f t="shared" ca="1" si="434"/>
        <v>Completed</v>
      </c>
      <c r="Y224" s="173" t="str">
        <f t="shared" ca="1" si="435"/>
        <v>Completed</v>
      </c>
      <c r="Z224" s="174" t="str">
        <f t="shared" ca="1" si="436"/>
        <v>Completed</v>
      </c>
    </row>
    <row r="225" spans="1:26" s="70" customFormat="1" ht="11.5" x14ac:dyDescent="0.25">
      <c r="A225" s="93" t="s">
        <v>66</v>
      </c>
      <c r="B225" s="93" t="s">
        <v>14</v>
      </c>
      <c r="C225" s="93" t="s">
        <v>280</v>
      </c>
      <c r="D225" s="92" t="s">
        <v>281</v>
      </c>
      <c r="E225" s="94">
        <f t="shared" si="397"/>
        <v>1</v>
      </c>
      <c r="F225" s="94">
        <f t="shared" si="398"/>
        <v>1</v>
      </c>
      <c r="G225" s="94">
        <f t="shared" si="398"/>
        <v>1</v>
      </c>
      <c r="H225" s="94">
        <f t="shared" si="399"/>
        <v>0</v>
      </c>
      <c r="I225" s="130">
        <v>4.7E-2</v>
      </c>
      <c r="J225" s="90">
        <v>46150</v>
      </c>
      <c r="K225" s="90">
        <f t="shared" si="426"/>
        <v>46150</v>
      </c>
      <c r="L225" s="90">
        <v>46142</v>
      </c>
      <c r="M225" s="90">
        <f t="shared" si="427"/>
        <v>46192</v>
      </c>
      <c r="N225" s="90">
        <f t="shared" si="428"/>
        <v>46192</v>
      </c>
      <c r="O225" s="90">
        <v>46199</v>
      </c>
      <c r="P225" s="90">
        <f t="shared" si="429"/>
        <v>46234</v>
      </c>
      <c r="Q225" s="90">
        <f t="shared" si="430"/>
        <v>46234</v>
      </c>
      <c r="R225" s="90">
        <v>46247</v>
      </c>
      <c r="S225" s="90">
        <f t="shared" si="431"/>
        <v>46248</v>
      </c>
      <c r="T225" s="90">
        <f t="shared" si="432"/>
        <v>46248</v>
      </c>
      <c r="U225" s="90">
        <v>46255</v>
      </c>
      <c r="W225" s="173" t="str">
        <f t="shared" ca="1" si="433"/>
        <v>Completed</v>
      </c>
      <c r="X225" s="173" t="str">
        <f t="shared" ca="1" si="434"/>
        <v>Completed</v>
      </c>
      <c r="Y225" s="173" t="str">
        <f t="shared" ca="1" si="435"/>
        <v>Completed</v>
      </c>
      <c r="Z225" s="174" t="str">
        <f t="shared" ca="1" si="436"/>
        <v>Completed</v>
      </c>
    </row>
    <row r="226" spans="1:26" s="70" customFormat="1" ht="11.5" x14ac:dyDescent="0.25">
      <c r="A226" s="93" t="s">
        <v>66</v>
      </c>
      <c r="B226" s="93" t="s">
        <v>14</v>
      </c>
      <c r="C226" s="93" t="s">
        <v>282</v>
      </c>
      <c r="D226" s="92" t="s">
        <v>283</v>
      </c>
      <c r="E226" s="94">
        <f t="shared" si="397"/>
        <v>1</v>
      </c>
      <c r="F226" s="94">
        <f t="shared" si="398"/>
        <v>1</v>
      </c>
      <c r="G226" s="94">
        <f t="shared" si="398"/>
        <v>1</v>
      </c>
      <c r="H226" s="94">
        <f t="shared" si="399"/>
        <v>0</v>
      </c>
      <c r="I226" s="130">
        <v>4.7E-2</v>
      </c>
      <c r="J226" s="90">
        <v>46150</v>
      </c>
      <c r="K226" s="90">
        <f t="shared" si="426"/>
        <v>46150</v>
      </c>
      <c r="L226" s="90">
        <v>46142</v>
      </c>
      <c r="M226" s="90">
        <f t="shared" si="427"/>
        <v>46192</v>
      </c>
      <c r="N226" s="90">
        <f t="shared" si="428"/>
        <v>46192</v>
      </c>
      <c r="O226" s="90">
        <v>46199</v>
      </c>
      <c r="P226" s="90">
        <f t="shared" si="429"/>
        <v>46234</v>
      </c>
      <c r="Q226" s="90">
        <f t="shared" si="430"/>
        <v>46234</v>
      </c>
      <c r="R226" s="90">
        <v>46247</v>
      </c>
      <c r="S226" s="90">
        <f t="shared" si="431"/>
        <v>46248</v>
      </c>
      <c r="T226" s="90">
        <f t="shared" si="432"/>
        <v>46248</v>
      </c>
      <c r="U226" s="90">
        <v>46255</v>
      </c>
      <c r="W226" s="173" t="str">
        <f t="shared" ca="1" si="433"/>
        <v>Completed</v>
      </c>
      <c r="X226" s="173" t="str">
        <f t="shared" ca="1" si="434"/>
        <v>Completed</v>
      </c>
      <c r="Y226" s="173" t="str">
        <f t="shared" ca="1" si="435"/>
        <v>Completed</v>
      </c>
      <c r="Z226" s="174" t="str">
        <f t="shared" ca="1" si="436"/>
        <v>Completed</v>
      </c>
    </row>
    <row r="227" spans="1:26" s="70" customFormat="1" ht="11.5" x14ac:dyDescent="0.25">
      <c r="A227" s="93" t="s">
        <v>66</v>
      </c>
      <c r="B227" s="93" t="s">
        <v>14</v>
      </c>
      <c r="C227" s="93" t="s">
        <v>284</v>
      </c>
      <c r="D227" s="92" t="s">
        <v>285</v>
      </c>
      <c r="E227" s="94">
        <f t="shared" ref="E227:E243" si="437">(COUNTIFS(J227,"&lt;="&amp;$C$1)*50%)+(COUNTIFS(M227,"&lt;="&amp;$C$1)*20%)+(COUNTIFS(P227,"&lt;="&amp;$C$1)*10%)+(COUNTIFS(S227,"&lt;="&amp;$C$1)*20%)</f>
        <v>1</v>
      </c>
      <c r="F227" s="94">
        <f t="shared" ref="F227:F243" si="438">(COUNTIFS(K227,"&lt;="&amp;$C$1)*50%)+(COUNTIFS(N227,"&lt;="&amp;$C$1)*20%)+(COUNTIFS(Q227,"&lt;="&amp;$C$1)*10%)+(COUNTIFS(T227,"&lt;="&amp;$C$1)*20%)</f>
        <v>1</v>
      </c>
      <c r="G227" s="94">
        <f t="shared" ref="G227:G243" si="439">(COUNTIFS(L227,"&lt;="&amp;$C$1)*50%)+(COUNTIFS(O227,"&lt;="&amp;$C$1)*20%)+(COUNTIFS(R227,"&lt;="&amp;$C$1)*10%)+(COUNTIFS(U227,"&lt;="&amp;$C$1)*20%)</f>
        <v>0.79999999999999993</v>
      </c>
      <c r="H227" s="94">
        <f t="shared" ref="H227:H243" si="440">G227-E227</f>
        <v>-0.20000000000000007</v>
      </c>
      <c r="I227" s="130">
        <v>4.7E-2</v>
      </c>
      <c r="J227" s="90">
        <v>46150</v>
      </c>
      <c r="K227" s="90">
        <f t="shared" si="426"/>
        <v>46150</v>
      </c>
      <c r="L227" s="90">
        <v>46142</v>
      </c>
      <c r="M227" s="90">
        <f t="shared" si="427"/>
        <v>46192</v>
      </c>
      <c r="N227" s="90">
        <f t="shared" si="428"/>
        <v>46192</v>
      </c>
      <c r="O227" s="90">
        <v>46199</v>
      </c>
      <c r="P227" s="90">
        <f t="shared" si="429"/>
        <v>46234</v>
      </c>
      <c r="Q227" s="90">
        <f t="shared" si="430"/>
        <v>46234</v>
      </c>
      <c r="R227" s="90">
        <v>46247</v>
      </c>
      <c r="S227" s="90">
        <f t="shared" si="431"/>
        <v>46248</v>
      </c>
      <c r="T227" s="90">
        <f t="shared" si="432"/>
        <v>46248</v>
      </c>
      <c r="U227" s="90"/>
      <c r="W227" s="173" t="str">
        <f t="shared" ca="1" si="433"/>
        <v>Completed</v>
      </c>
      <c r="X227" s="173" t="str">
        <f t="shared" ca="1" si="434"/>
        <v>Completed</v>
      </c>
      <c r="Y227" s="173" t="str">
        <f t="shared" ca="1" si="435"/>
        <v>Completed</v>
      </c>
      <c r="Z227" s="174" t="str">
        <f t="shared" ca="1" si="436"/>
        <v>Overdue</v>
      </c>
    </row>
    <row r="228" spans="1:26" s="70" customFormat="1" ht="11.5" x14ac:dyDescent="0.25">
      <c r="A228" s="93" t="s">
        <v>66</v>
      </c>
      <c r="B228" s="93" t="s">
        <v>14</v>
      </c>
      <c r="C228" s="93" t="s">
        <v>286</v>
      </c>
      <c r="D228" s="92" t="s">
        <v>287</v>
      </c>
      <c r="E228" s="94">
        <f t="shared" si="437"/>
        <v>1</v>
      </c>
      <c r="F228" s="94">
        <f>(COUNTIFS(K228,"&lt;="&amp;$C$1)*50%)+(COUNTIFS(N228,"&lt;="&amp;$C$1)*20%)+(COUNTIFS(Q228,"&lt;="&amp;$C$1)*10%)+(COUNTIFS(T228,"&lt;="&amp;$C$1)*20%)</f>
        <v>1</v>
      </c>
      <c r="G228" s="94">
        <f t="shared" si="439"/>
        <v>0.79999999999999993</v>
      </c>
      <c r="H228" s="94">
        <f t="shared" si="440"/>
        <v>-0.20000000000000007</v>
      </c>
      <c r="I228" s="130">
        <v>4.7E-2</v>
      </c>
      <c r="J228" s="90">
        <v>46150</v>
      </c>
      <c r="K228" s="90">
        <f t="shared" si="426"/>
        <v>46150</v>
      </c>
      <c r="L228" s="90">
        <v>46142</v>
      </c>
      <c r="M228" s="90">
        <f t="shared" si="427"/>
        <v>46192</v>
      </c>
      <c r="N228" s="90">
        <f t="shared" si="428"/>
        <v>46192</v>
      </c>
      <c r="O228" s="90">
        <v>46185</v>
      </c>
      <c r="P228" s="90">
        <f t="shared" si="429"/>
        <v>46234</v>
      </c>
      <c r="Q228" s="90">
        <f t="shared" si="430"/>
        <v>46234</v>
      </c>
      <c r="R228" s="90">
        <v>46247</v>
      </c>
      <c r="S228" s="90">
        <f t="shared" si="431"/>
        <v>46248</v>
      </c>
      <c r="T228" s="90">
        <f t="shared" si="432"/>
        <v>46248</v>
      </c>
      <c r="U228" s="90"/>
      <c r="W228" s="173" t="str">
        <f t="shared" ca="1" si="433"/>
        <v>Completed</v>
      </c>
      <c r="X228" s="173" t="str">
        <f t="shared" ca="1" si="434"/>
        <v>Completed</v>
      </c>
      <c r="Y228" s="173" t="str">
        <f t="shared" ca="1" si="435"/>
        <v>Completed</v>
      </c>
      <c r="Z228" s="174" t="str">
        <f t="shared" ca="1" si="436"/>
        <v>Overdue</v>
      </c>
    </row>
    <row r="229" spans="1:26" s="70" customFormat="1" ht="11.5" x14ac:dyDescent="0.25">
      <c r="A229" s="93" t="s">
        <v>66</v>
      </c>
      <c r="B229" s="93" t="s">
        <v>14</v>
      </c>
      <c r="C229" s="93" t="s">
        <v>288</v>
      </c>
      <c r="D229" s="92" t="s">
        <v>289</v>
      </c>
      <c r="E229" s="94">
        <f t="shared" si="437"/>
        <v>1</v>
      </c>
      <c r="F229" s="94">
        <f>(COUNTIFS(K229,"&lt;="&amp;$C$1)*50%)+(COUNTIFS(N229,"&lt;="&amp;$C$1)*20%)+(COUNTIFS(Q229,"&lt;="&amp;$C$1)*10%)+(COUNTIFS(T229,"&lt;="&amp;$C$1)*20%)</f>
        <v>1</v>
      </c>
      <c r="G229" s="94">
        <f t="shared" si="439"/>
        <v>0.79999999999999993</v>
      </c>
      <c r="H229" s="94">
        <f t="shared" si="440"/>
        <v>-0.20000000000000007</v>
      </c>
      <c r="I229" s="130">
        <v>4.7E-2</v>
      </c>
      <c r="J229" s="90">
        <v>46150</v>
      </c>
      <c r="K229" s="90">
        <f t="shared" si="426"/>
        <v>46150</v>
      </c>
      <c r="L229" s="90">
        <v>46142</v>
      </c>
      <c r="M229" s="90">
        <f t="shared" si="427"/>
        <v>46192</v>
      </c>
      <c r="N229" s="90">
        <f t="shared" si="428"/>
        <v>46192</v>
      </c>
      <c r="O229" s="90">
        <v>46185</v>
      </c>
      <c r="P229" s="90">
        <f t="shared" si="429"/>
        <v>46234</v>
      </c>
      <c r="Q229" s="90">
        <f t="shared" si="430"/>
        <v>46234</v>
      </c>
      <c r="R229" s="90">
        <v>46247</v>
      </c>
      <c r="S229" s="90">
        <f t="shared" si="431"/>
        <v>46248</v>
      </c>
      <c r="T229" s="90">
        <f t="shared" si="432"/>
        <v>46248</v>
      </c>
      <c r="U229" s="90"/>
      <c r="W229" s="173" t="str">
        <f t="shared" ca="1" si="433"/>
        <v>Completed</v>
      </c>
      <c r="X229" s="173" t="str">
        <f t="shared" ca="1" si="434"/>
        <v>Completed</v>
      </c>
      <c r="Y229" s="173" t="str">
        <f t="shared" ca="1" si="435"/>
        <v>Completed</v>
      </c>
      <c r="Z229" s="174" t="str">
        <f t="shared" ca="1" si="436"/>
        <v>Overdue</v>
      </c>
    </row>
    <row r="230" spans="1:26" s="70" customFormat="1" ht="11.5" x14ac:dyDescent="0.25">
      <c r="A230" s="93" t="s">
        <v>66</v>
      </c>
      <c r="B230" s="93" t="s">
        <v>14</v>
      </c>
      <c r="C230" s="93" t="s">
        <v>290</v>
      </c>
      <c r="D230" s="92" t="s">
        <v>291</v>
      </c>
      <c r="E230" s="94">
        <f t="shared" si="437"/>
        <v>1</v>
      </c>
      <c r="F230" s="94">
        <f t="shared" si="438"/>
        <v>1</v>
      </c>
      <c r="G230" s="94">
        <f t="shared" si="439"/>
        <v>0.79999999999999993</v>
      </c>
      <c r="H230" s="94">
        <f t="shared" si="440"/>
        <v>-0.20000000000000007</v>
      </c>
      <c r="I230" s="130">
        <v>4.7E-2</v>
      </c>
      <c r="J230" s="90">
        <v>46150</v>
      </c>
      <c r="K230" s="90">
        <f t="shared" si="426"/>
        <v>46150</v>
      </c>
      <c r="L230" s="90">
        <v>46142</v>
      </c>
      <c r="M230" s="90">
        <f t="shared" si="427"/>
        <v>46192</v>
      </c>
      <c r="N230" s="90">
        <f t="shared" si="428"/>
        <v>46192</v>
      </c>
      <c r="O230" s="90">
        <v>46185</v>
      </c>
      <c r="P230" s="90">
        <f t="shared" si="429"/>
        <v>46234</v>
      </c>
      <c r="Q230" s="90">
        <f t="shared" si="430"/>
        <v>46234</v>
      </c>
      <c r="R230" s="90">
        <v>46247</v>
      </c>
      <c r="S230" s="90">
        <f t="shared" si="431"/>
        <v>46248</v>
      </c>
      <c r="T230" s="90">
        <f t="shared" si="432"/>
        <v>46248</v>
      </c>
      <c r="U230" s="90"/>
      <c r="W230" s="173" t="str">
        <f t="shared" ca="1" si="433"/>
        <v>Completed</v>
      </c>
      <c r="X230" s="173" t="str">
        <f t="shared" ca="1" si="434"/>
        <v>Completed</v>
      </c>
      <c r="Y230" s="173" t="str">
        <f t="shared" ca="1" si="435"/>
        <v>Completed</v>
      </c>
      <c r="Z230" s="174" t="str">
        <f t="shared" ca="1" si="436"/>
        <v>Overdue</v>
      </c>
    </row>
    <row r="231" spans="1:26" s="70" customFormat="1" ht="11.5" x14ac:dyDescent="0.25">
      <c r="A231" s="93" t="s">
        <v>66</v>
      </c>
      <c r="B231" s="93" t="s">
        <v>14</v>
      </c>
      <c r="C231" s="93" t="s">
        <v>292</v>
      </c>
      <c r="D231" s="92" t="s">
        <v>293</v>
      </c>
      <c r="E231" s="94">
        <f t="shared" si="437"/>
        <v>1</v>
      </c>
      <c r="F231" s="94">
        <f t="shared" si="438"/>
        <v>1</v>
      </c>
      <c r="G231" s="94">
        <f t="shared" si="439"/>
        <v>0.79999999999999993</v>
      </c>
      <c r="H231" s="94">
        <f t="shared" si="440"/>
        <v>-0.20000000000000007</v>
      </c>
      <c r="I231" s="130">
        <v>4.7E-2</v>
      </c>
      <c r="J231" s="90">
        <v>46150</v>
      </c>
      <c r="K231" s="90">
        <f t="shared" si="426"/>
        <v>46150</v>
      </c>
      <c r="L231" s="90">
        <v>46142</v>
      </c>
      <c r="M231" s="90">
        <f t="shared" si="427"/>
        <v>46192</v>
      </c>
      <c r="N231" s="90">
        <f t="shared" si="428"/>
        <v>46192</v>
      </c>
      <c r="O231" s="90">
        <v>46185</v>
      </c>
      <c r="P231" s="90">
        <f t="shared" si="429"/>
        <v>46234</v>
      </c>
      <c r="Q231" s="90">
        <f t="shared" si="430"/>
        <v>46234</v>
      </c>
      <c r="R231" s="90">
        <v>46247</v>
      </c>
      <c r="S231" s="90">
        <f t="shared" si="431"/>
        <v>46248</v>
      </c>
      <c r="T231" s="90">
        <f t="shared" si="432"/>
        <v>46248</v>
      </c>
      <c r="U231" s="90"/>
      <c r="W231" s="173" t="str">
        <f t="shared" ca="1" si="433"/>
        <v>Completed</v>
      </c>
      <c r="X231" s="173" t="str">
        <f t="shared" ca="1" si="434"/>
        <v>Completed</v>
      </c>
      <c r="Y231" s="173" t="str">
        <f t="shared" ca="1" si="435"/>
        <v>Completed</v>
      </c>
      <c r="Z231" s="174" t="str">
        <f t="shared" ca="1" si="436"/>
        <v>Overdue</v>
      </c>
    </row>
    <row r="232" spans="1:26" s="70" customFormat="1" ht="11.5" x14ac:dyDescent="0.25">
      <c r="A232" s="93" t="s">
        <v>66</v>
      </c>
      <c r="B232" s="93" t="s">
        <v>14</v>
      </c>
      <c r="C232" s="93" t="s">
        <v>294</v>
      </c>
      <c r="D232" s="92" t="s">
        <v>295</v>
      </c>
      <c r="E232" s="94">
        <f t="shared" si="437"/>
        <v>0.79999999999999993</v>
      </c>
      <c r="F232" s="94">
        <f t="shared" si="438"/>
        <v>0.79999999999999993</v>
      </c>
      <c r="G232" s="94">
        <f t="shared" si="439"/>
        <v>0.7</v>
      </c>
      <c r="H232" s="94">
        <f t="shared" si="440"/>
        <v>-9.9999999999999978E-2</v>
      </c>
      <c r="I232" s="130">
        <v>4.7E-2</v>
      </c>
      <c r="J232" s="90">
        <v>46171</v>
      </c>
      <c r="K232" s="90">
        <f t="shared" si="426"/>
        <v>46171</v>
      </c>
      <c r="L232" s="90">
        <v>46156</v>
      </c>
      <c r="M232" s="90">
        <f t="shared" si="427"/>
        <v>46213</v>
      </c>
      <c r="N232" s="90">
        <f t="shared" si="428"/>
        <v>46213</v>
      </c>
      <c r="O232" s="147">
        <v>46248</v>
      </c>
      <c r="P232" s="90">
        <f t="shared" si="429"/>
        <v>46255</v>
      </c>
      <c r="Q232" s="90">
        <f t="shared" si="430"/>
        <v>46255</v>
      </c>
      <c r="R232" s="90"/>
      <c r="S232" s="90">
        <f t="shared" si="431"/>
        <v>46269</v>
      </c>
      <c r="T232" s="90">
        <f t="shared" si="432"/>
        <v>46269</v>
      </c>
      <c r="U232" s="90"/>
      <c r="W232" s="173" t="str">
        <f t="shared" ca="1" si="433"/>
        <v>Completed</v>
      </c>
      <c r="X232" s="173" t="str">
        <f t="shared" ca="1" si="434"/>
        <v>Completed</v>
      </c>
      <c r="Y232" s="173" t="str">
        <f t="shared" ca="1" si="435"/>
        <v>Overdue</v>
      </c>
      <c r="Z232" s="174" t="str">
        <f t="shared" ca="1" si="436"/>
        <v>Follow-This Week</v>
      </c>
    </row>
    <row r="233" spans="1:26" s="70" customFormat="1" ht="11.5" x14ac:dyDescent="0.25">
      <c r="A233" s="93" t="s">
        <v>66</v>
      </c>
      <c r="B233" s="93" t="s">
        <v>14</v>
      </c>
      <c r="C233" s="93" t="s">
        <v>296</v>
      </c>
      <c r="D233" s="92" t="s">
        <v>297</v>
      </c>
      <c r="E233" s="94">
        <f t="shared" si="437"/>
        <v>0.79999999999999993</v>
      </c>
      <c r="F233" s="94">
        <f t="shared" si="438"/>
        <v>0.79999999999999993</v>
      </c>
      <c r="G233" s="94">
        <f t="shared" si="439"/>
        <v>0.7</v>
      </c>
      <c r="H233" s="94">
        <f t="shared" si="440"/>
        <v>-9.9999999999999978E-2</v>
      </c>
      <c r="I233" s="130">
        <v>4.7E-2</v>
      </c>
      <c r="J233" s="90">
        <v>46171</v>
      </c>
      <c r="K233" s="90">
        <f t="shared" si="426"/>
        <v>46171</v>
      </c>
      <c r="L233" s="90">
        <v>46156</v>
      </c>
      <c r="M233" s="90">
        <f t="shared" si="427"/>
        <v>46213</v>
      </c>
      <c r="N233" s="90">
        <f t="shared" si="428"/>
        <v>46213</v>
      </c>
      <c r="O233" s="147">
        <v>46248</v>
      </c>
      <c r="P233" s="90">
        <f t="shared" si="429"/>
        <v>46255</v>
      </c>
      <c r="Q233" s="90">
        <f t="shared" si="430"/>
        <v>46255</v>
      </c>
      <c r="R233" s="90"/>
      <c r="S233" s="90">
        <f t="shared" si="431"/>
        <v>46269</v>
      </c>
      <c r="T233" s="90">
        <f t="shared" si="432"/>
        <v>46269</v>
      </c>
      <c r="U233" s="90"/>
      <c r="W233" s="173" t="str">
        <f t="shared" ca="1" si="433"/>
        <v>Completed</v>
      </c>
      <c r="X233" s="173" t="str">
        <f t="shared" ca="1" si="434"/>
        <v>Completed</v>
      </c>
      <c r="Y233" s="173" t="str">
        <f t="shared" ca="1" si="435"/>
        <v>Overdue</v>
      </c>
      <c r="Z233" s="174" t="str">
        <f t="shared" ca="1" si="436"/>
        <v>Follow-This Week</v>
      </c>
    </row>
    <row r="234" spans="1:26" s="70" customFormat="1" ht="11.5" x14ac:dyDescent="0.25">
      <c r="A234" s="93" t="s">
        <v>66</v>
      </c>
      <c r="B234" s="93" t="s">
        <v>14</v>
      </c>
      <c r="C234" s="93" t="s">
        <v>298</v>
      </c>
      <c r="D234" s="92" t="s">
        <v>299</v>
      </c>
      <c r="E234" s="94">
        <f t="shared" si="437"/>
        <v>0.79999999999999993</v>
      </c>
      <c r="F234" s="94">
        <f t="shared" si="438"/>
        <v>0.79999999999999993</v>
      </c>
      <c r="G234" s="94">
        <f t="shared" si="439"/>
        <v>1</v>
      </c>
      <c r="H234" s="94">
        <f t="shared" si="440"/>
        <v>0.20000000000000007</v>
      </c>
      <c r="I234" s="130">
        <v>4.7E-2</v>
      </c>
      <c r="J234" s="90">
        <v>46171</v>
      </c>
      <c r="K234" s="90">
        <f t="shared" si="426"/>
        <v>46171</v>
      </c>
      <c r="L234" s="90">
        <v>46156</v>
      </c>
      <c r="M234" s="90">
        <f t="shared" si="427"/>
        <v>46213</v>
      </c>
      <c r="N234" s="90">
        <f t="shared" si="428"/>
        <v>46213</v>
      </c>
      <c r="O234" s="90">
        <v>46191</v>
      </c>
      <c r="P234" s="90">
        <f t="shared" si="429"/>
        <v>46255</v>
      </c>
      <c r="Q234" s="90">
        <f t="shared" si="430"/>
        <v>46255</v>
      </c>
      <c r="R234" s="147">
        <v>46249</v>
      </c>
      <c r="S234" s="90">
        <f t="shared" si="431"/>
        <v>46269</v>
      </c>
      <c r="T234" s="90">
        <f t="shared" si="432"/>
        <v>46269</v>
      </c>
      <c r="U234" s="165">
        <v>46262</v>
      </c>
      <c r="W234" s="173" t="str">
        <f t="shared" ca="1" si="433"/>
        <v>Completed</v>
      </c>
      <c r="X234" s="173" t="str">
        <f t="shared" ca="1" si="434"/>
        <v>Completed</v>
      </c>
      <c r="Y234" s="173" t="str">
        <f t="shared" ca="1" si="435"/>
        <v>Completed</v>
      </c>
      <c r="Z234" s="174" t="str">
        <f t="shared" ca="1" si="436"/>
        <v>Completed</v>
      </c>
    </row>
    <row r="235" spans="1:26" s="84" customFormat="1" ht="11.5" x14ac:dyDescent="0.25">
      <c r="A235" s="93" t="s">
        <v>66</v>
      </c>
      <c r="B235" s="93" t="s">
        <v>14</v>
      </c>
      <c r="C235" s="93" t="s">
        <v>300</v>
      </c>
      <c r="D235" s="92" t="s">
        <v>301</v>
      </c>
      <c r="E235" s="94">
        <f t="shared" si="437"/>
        <v>1</v>
      </c>
      <c r="F235" s="94">
        <f t="shared" si="438"/>
        <v>1</v>
      </c>
      <c r="G235" s="94">
        <f>(COUNTIFS(L235,"&lt;="&amp;$C$1)*50%)+(COUNTIFS(O235,"&lt;="&amp;$C$1)*20%)+(COUNTIFS(R235,"&lt;="&amp;$C$1)*10%)+(COUNTIFS(U235,"&lt;="&amp;$C$1)*20%)</f>
        <v>0.7</v>
      </c>
      <c r="H235" s="94">
        <f t="shared" si="440"/>
        <v>-0.30000000000000004</v>
      </c>
      <c r="I235" s="130">
        <v>4.7E-2</v>
      </c>
      <c r="J235" s="90">
        <v>46164</v>
      </c>
      <c r="K235" s="90">
        <f t="shared" si="426"/>
        <v>46164</v>
      </c>
      <c r="L235" s="90">
        <v>46142</v>
      </c>
      <c r="M235" s="90">
        <f t="shared" si="427"/>
        <v>46206</v>
      </c>
      <c r="N235" s="90">
        <f t="shared" si="428"/>
        <v>46206</v>
      </c>
      <c r="O235" s="147">
        <v>46248</v>
      </c>
      <c r="P235" s="90">
        <f t="shared" si="429"/>
        <v>46248</v>
      </c>
      <c r="Q235" s="90">
        <f t="shared" si="430"/>
        <v>46248</v>
      </c>
      <c r="R235" s="90"/>
      <c r="S235" s="90">
        <f t="shared" si="431"/>
        <v>46262</v>
      </c>
      <c r="T235" s="90">
        <f t="shared" si="432"/>
        <v>46262</v>
      </c>
      <c r="U235" s="90"/>
      <c r="W235" s="173" t="str">
        <f t="shared" ca="1" si="433"/>
        <v>Completed</v>
      </c>
      <c r="X235" s="173" t="str">
        <f t="shared" ca="1" si="434"/>
        <v>Completed</v>
      </c>
      <c r="Y235" s="173" t="str">
        <f t="shared" ca="1" si="435"/>
        <v>Overdue</v>
      </c>
      <c r="Z235" s="174" t="str">
        <f t="shared" ca="1" si="436"/>
        <v>Overdue</v>
      </c>
    </row>
    <row r="236" spans="1:26" s="70" customFormat="1" ht="11.5" x14ac:dyDescent="0.25">
      <c r="A236" s="93" t="s">
        <v>66</v>
      </c>
      <c r="B236" s="93" t="s">
        <v>14</v>
      </c>
      <c r="C236" s="93" t="s">
        <v>302</v>
      </c>
      <c r="D236" s="92" t="s">
        <v>303</v>
      </c>
      <c r="E236" s="94">
        <f t="shared" si="437"/>
        <v>0.79999999999999993</v>
      </c>
      <c r="F236" s="94">
        <f t="shared" si="438"/>
        <v>0.79999999999999993</v>
      </c>
      <c r="G236" s="94">
        <f>(COUNTIFS(L236,"&lt;="&amp;$C$1)*50%)+(COUNTIFS(O236,"&lt;="&amp;$C$1)*20%)+(COUNTIFS(R236,"&lt;="&amp;$C$1)*10%)+(COUNTIFS(U236,"&lt;="&amp;$C$1)*20%)</f>
        <v>0.7</v>
      </c>
      <c r="H236" s="94">
        <f t="shared" si="440"/>
        <v>-9.9999999999999978E-2</v>
      </c>
      <c r="I236" s="130">
        <v>4.7E-2</v>
      </c>
      <c r="J236" s="90">
        <v>46171</v>
      </c>
      <c r="K236" s="90">
        <f t="shared" si="426"/>
        <v>46171</v>
      </c>
      <c r="L236" s="147">
        <v>46248</v>
      </c>
      <c r="M236" s="90">
        <f t="shared" si="427"/>
        <v>46213</v>
      </c>
      <c r="N236" s="90">
        <f t="shared" si="428"/>
        <v>46213</v>
      </c>
      <c r="O236" s="165">
        <v>46262</v>
      </c>
      <c r="P236" s="90">
        <f t="shared" si="429"/>
        <v>46255</v>
      </c>
      <c r="Q236" s="90">
        <f t="shared" si="430"/>
        <v>46255</v>
      </c>
      <c r="R236" s="90"/>
      <c r="S236" s="90">
        <f t="shared" si="431"/>
        <v>46269</v>
      </c>
      <c r="T236" s="90">
        <f t="shared" si="432"/>
        <v>46269</v>
      </c>
      <c r="U236" s="90"/>
      <c r="W236" s="173" t="str">
        <f t="shared" ca="1" si="433"/>
        <v>Completed</v>
      </c>
      <c r="X236" s="173" t="str">
        <f t="shared" ca="1" si="434"/>
        <v>Completed</v>
      </c>
      <c r="Y236" s="173" t="str">
        <f t="shared" ca="1" si="435"/>
        <v>Overdue</v>
      </c>
      <c r="Z236" s="174" t="str">
        <f t="shared" ca="1" si="436"/>
        <v>Follow-This Week</v>
      </c>
    </row>
    <row r="237" spans="1:26" s="70" customFormat="1" ht="11.5" x14ac:dyDescent="0.25">
      <c r="A237" s="93" t="s">
        <v>66</v>
      </c>
      <c r="B237" s="93" t="s">
        <v>14</v>
      </c>
      <c r="C237" s="93" t="s">
        <v>304</v>
      </c>
      <c r="D237" s="92" t="s">
        <v>305</v>
      </c>
      <c r="E237" s="94">
        <f t="shared" si="437"/>
        <v>1</v>
      </c>
      <c r="F237" s="94">
        <f t="shared" si="438"/>
        <v>1</v>
      </c>
      <c r="G237" s="94">
        <f t="shared" si="439"/>
        <v>0.79999999999999993</v>
      </c>
      <c r="H237" s="94">
        <f t="shared" si="440"/>
        <v>-0.20000000000000007</v>
      </c>
      <c r="I237" s="130">
        <v>4.7E-2</v>
      </c>
      <c r="J237" s="90">
        <v>46164</v>
      </c>
      <c r="K237" s="90">
        <f t="shared" si="426"/>
        <v>46164</v>
      </c>
      <c r="L237" s="90">
        <v>46156</v>
      </c>
      <c r="M237" s="90">
        <f t="shared" si="427"/>
        <v>46206</v>
      </c>
      <c r="N237" s="90">
        <f t="shared" si="428"/>
        <v>46206</v>
      </c>
      <c r="O237" s="90">
        <v>46185</v>
      </c>
      <c r="P237" s="90">
        <f t="shared" si="429"/>
        <v>46248</v>
      </c>
      <c r="Q237" s="90">
        <f t="shared" si="430"/>
        <v>46248</v>
      </c>
      <c r="R237" s="147">
        <v>46249</v>
      </c>
      <c r="S237" s="90">
        <f t="shared" si="431"/>
        <v>46262</v>
      </c>
      <c r="T237" s="90">
        <f t="shared" si="432"/>
        <v>46262</v>
      </c>
      <c r="U237" s="90"/>
      <c r="W237" s="173" t="str">
        <f t="shared" ca="1" si="433"/>
        <v>Completed</v>
      </c>
      <c r="X237" s="173" t="str">
        <f t="shared" ca="1" si="434"/>
        <v>Completed</v>
      </c>
      <c r="Y237" s="173" t="str">
        <f t="shared" ca="1" si="435"/>
        <v>Completed</v>
      </c>
      <c r="Z237" s="174" t="str">
        <f t="shared" ca="1" si="436"/>
        <v>Overdue</v>
      </c>
    </row>
    <row r="238" spans="1:26" s="70" customFormat="1" ht="11.5" x14ac:dyDescent="0.25">
      <c r="A238" s="93" t="s">
        <v>66</v>
      </c>
      <c r="B238" s="93" t="s">
        <v>14</v>
      </c>
      <c r="C238" s="93" t="s">
        <v>306</v>
      </c>
      <c r="D238" s="92" t="s">
        <v>307</v>
      </c>
      <c r="E238" s="94">
        <f t="shared" si="437"/>
        <v>1</v>
      </c>
      <c r="F238" s="94">
        <f t="shared" si="438"/>
        <v>1</v>
      </c>
      <c r="G238" s="94">
        <f t="shared" si="439"/>
        <v>0.79999999999999993</v>
      </c>
      <c r="H238" s="94">
        <f t="shared" si="440"/>
        <v>-0.20000000000000007</v>
      </c>
      <c r="I238" s="130">
        <v>4.7E-2</v>
      </c>
      <c r="J238" s="90">
        <v>46164</v>
      </c>
      <c r="K238" s="90">
        <f t="shared" si="426"/>
        <v>46164</v>
      </c>
      <c r="L238" s="90">
        <v>46156</v>
      </c>
      <c r="M238" s="90">
        <f t="shared" si="427"/>
        <v>46206</v>
      </c>
      <c r="N238" s="90">
        <f t="shared" si="428"/>
        <v>46206</v>
      </c>
      <c r="O238" s="90">
        <v>46185</v>
      </c>
      <c r="P238" s="90">
        <f t="shared" si="429"/>
        <v>46248</v>
      </c>
      <c r="Q238" s="90">
        <f t="shared" si="430"/>
        <v>46248</v>
      </c>
      <c r="R238" s="147">
        <v>46249</v>
      </c>
      <c r="S238" s="90">
        <f t="shared" si="431"/>
        <v>46262</v>
      </c>
      <c r="T238" s="90">
        <f t="shared" si="432"/>
        <v>46262</v>
      </c>
      <c r="U238" s="90"/>
      <c r="W238" s="173" t="str">
        <f t="shared" ca="1" si="433"/>
        <v>Completed</v>
      </c>
      <c r="X238" s="173" t="str">
        <f t="shared" ca="1" si="434"/>
        <v>Completed</v>
      </c>
      <c r="Y238" s="173" t="str">
        <f t="shared" ca="1" si="435"/>
        <v>Completed</v>
      </c>
      <c r="Z238" s="174" t="str">
        <f t="shared" ca="1" si="436"/>
        <v>Overdue</v>
      </c>
    </row>
    <row r="239" spans="1:26" s="70" customFormat="1" ht="11.5" x14ac:dyDescent="0.25">
      <c r="A239" s="93" t="s">
        <v>66</v>
      </c>
      <c r="B239" s="93" t="s">
        <v>14</v>
      </c>
      <c r="C239" s="93" t="s">
        <v>878</v>
      </c>
      <c r="D239" s="92" t="s">
        <v>857</v>
      </c>
      <c r="E239" s="94">
        <f t="shared" si="437"/>
        <v>0.79999999999999993</v>
      </c>
      <c r="F239" s="94">
        <f t="shared" si="438"/>
        <v>0.79999999999999993</v>
      </c>
      <c r="G239" s="94">
        <f t="shared" si="439"/>
        <v>1</v>
      </c>
      <c r="H239" s="94">
        <f t="shared" si="440"/>
        <v>0.20000000000000007</v>
      </c>
      <c r="I239" s="130">
        <v>4.7E-2</v>
      </c>
      <c r="J239" s="90">
        <v>46178</v>
      </c>
      <c r="K239" s="90">
        <f t="shared" si="426"/>
        <v>46178</v>
      </c>
      <c r="L239" s="90">
        <v>46182</v>
      </c>
      <c r="M239" s="90">
        <f t="shared" si="427"/>
        <v>46220</v>
      </c>
      <c r="N239" s="90">
        <f t="shared" si="428"/>
        <v>46220</v>
      </c>
      <c r="O239" s="90">
        <v>46191</v>
      </c>
      <c r="P239" s="90">
        <f t="shared" si="429"/>
        <v>46262</v>
      </c>
      <c r="Q239" s="90">
        <f t="shared" si="430"/>
        <v>46262</v>
      </c>
      <c r="R239" s="147">
        <v>46252</v>
      </c>
      <c r="S239" s="90">
        <f t="shared" si="431"/>
        <v>46276</v>
      </c>
      <c r="T239" s="90">
        <f t="shared" si="432"/>
        <v>46276</v>
      </c>
      <c r="U239" s="165">
        <v>46262</v>
      </c>
      <c r="W239" s="173" t="str">
        <f t="shared" ca="1" si="433"/>
        <v>Completed</v>
      </c>
      <c r="X239" s="173" t="str">
        <f t="shared" ca="1" si="434"/>
        <v>Completed</v>
      </c>
      <c r="Y239" s="173" t="str">
        <f t="shared" ca="1" si="435"/>
        <v>Completed</v>
      </c>
      <c r="Z239" s="174" t="str">
        <f t="shared" ca="1" si="436"/>
        <v>Completed</v>
      </c>
    </row>
    <row r="240" spans="1:26" s="70" customFormat="1" ht="11.5" x14ac:dyDescent="0.25">
      <c r="A240" s="93" t="s">
        <v>66</v>
      </c>
      <c r="B240" s="93" t="s">
        <v>14</v>
      </c>
      <c r="C240" s="93" t="s">
        <v>879</v>
      </c>
      <c r="D240" s="92" t="s">
        <v>858</v>
      </c>
      <c r="E240" s="94">
        <f t="shared" si="437"/>
        <v>0.79999999999999993</v>
      </c>
      <c r="F240" s="94">
        <f t="shared" si="438"/>
        <v>0.79999999999999993</v>
      </c>
      <c r="G240" s="94">
        <f t="shared" si="439"/>
        <v>1</v>
      </c>
      <c r="H240" s="94">
        <f t="shared" si="440"/>
        <v>0.20000000000000007</v>
      </c>
      <c r="I240" s="130">
        <v>4.7E-2</v>
      </c>
      <c r="J240" s="90">
        <v>46178</v>
      </c>
      <c r="K240" s="90">
        <f t="shared" si="426"/>
        <v>46178</v>
      </c>
      <c r="L240" s="90">
        <v>46182</v>
      </c>
      <c r="M240" s="90">
        <f t="shared" si="427"/>
        <v>46220</v>
      </c>
      <c r="N240" s="90">
        <f t="shared" si="428"/>
        <v>46220</v>
      </c>
      <c r="O240" s="90">
        <v>46191</v>
      </c>
      <c r="P240" s="90">
        <f t="shared" si="429"/>
        <v>46262</v>
      </c>
      <c r="Q240" s="90">
        <f t="shared" si="430"/>
        <v>46262</v>
      </c>
      <c r="R240" s="147">
        <v>46252</v>
      </c>
      <c r="S240" s="90">
        <f t="shared" si="431"/>
        <v>46276</v>
      </c>
      <c r="T240" s="90">
        <f t="shared" si="432"/>
        <v>46276</v>
      </c>
      <c r="U240" s="165">
        <v>46262</v>
      </c>
      <c r="W240" s="173" t="str">
        <f t="shared" ca="1" si="433"/>
        <v>Completed</v>
      </c>
      <c r="X240" s="173" t="str">
        <f t="shared" ca="1" si="434"/>
        <v>Completed</v>
      </c>
      <c r="Y240" s="173" t="str">
        <f t="shared" ca="1" si="435"/>
        <v>Completed</v>
      </c>
      <c r="Z240" s="174" t="str">
        <f t="shared" ca="1" si="436"/>
        <v>Completed</v>
      </c>
    </row>
    <row r="241" spans="1:26" s="70" customFormat="1" ht="11.5" x14ac:dyDescent="0.25">
      <c r="A241" s="93" t="s">
        <v>66</v>
      </c>
      <c r="B241" s="93" t="s">
        <v>14</v>
      </c>
      <c r="C241" s="93" t="s">
        <v>880</v>
      </c>
      <c r="D241" s="92" t="s">
        <v>859</v>
      </c>
      <c r="E241" s="94">
        <f t="shared" si="437"/>
        <v>0.79999999999999993</v>
      </c>
      <c r="F241" s="94">
        <f t="shared" si="438"/>
        <v>0.79999999999999993</v>
      </c>
      <c r="G241" s="94">
        <f t="shared" si="439"/>
        <v>1</v>
      </c>
      <c r="H241" s="94">
        <f t="shared" si="440"/>
        <v>0.20000000000000007</v>
      </c>
      <c r="I241" s="130">
        <v>4.7E-2</v>
      </c>
      <c r="J241" s="90">
        <v>46178</v>
      </c>
      <c r="K241" s="90">
        <f t="shared" si="426"/>
        <v>46178</v>
      </c>
      <c r="L241" s="90">
        <v>46182</v>
      </c>
      <c r="M241" s="90">
        <f t="shared" si="427"/>
        <v>46220</v>
      </c>
      <c r="N241" s="90">
        <f t="shared" si="428"/>
        <v>46220</v>
      </c>
      <c r="O241" s="90">
        <v>46191</v>
      </c>
      <c r="P241" s="90">
        <f t="shared" si="429"/>
        <v>46262</v>
      </c>
      <c r="Q241" s="90">
        <f t="shared" si="430"/>
        <v>46262</v>
      </c>
      <c r="R241" s="147">
        <v>46252</v>
      </c>
      <c r="S241" s="90">
        <f t="shared" si="431"/>
        <v>46276</v>
      </c>
      <c r="T241" s="90">
        <f t="shared" si="432"/>
        <v>46276</v>
      </c>
      <c r="U241" s="165">
        <v>46262</v>
      </c>
      <c r="W241" s="173" t="str">
        <f t="shared" ca="1" si="433"/>
        <v>Completed</v>
      </c>
      <c r="X241" s="173" t="str">
        <f t="shared" ca="1" si="434"/>
        <v>Completed</v>
      </c>
      <c r="Y241" s="173" t="str">
        <f t="shared" ca="1" si="435"/>
        <v>Completed</v>
      </c>
      <c r="Z241" s="174" t="str">
        <f t="shared" ca="1" si="436"/>
        <v>Completed</v>
      </c>
    </row>
    <row r="242" spans="1:26" s="70" customFormat="1" ht="11.5" x14ac:dyDescent="0.25">
      <c r="A242" s="93" t="s">
        <v>66</v>
      </c>
      <c r="B242" s="93" t="s">
        <v>14</v>
      </c>
      <c r="C242" s="93" t="s">
        <v>881</v>
      </c>
      <c r="D242" s="92" t="s">
        <v>860</v>
      </c>
      <c r="E242" s="94">
        <f t="shared" si="437"/>
        <v>0.79999999999999993</v>
      </c>
      <c r="F242" s="94">
        <f t="shared" si="438"/>
        <v>0.79999999999999993</v>
      </c>
      <c r="G242" s="94">
        <f t="shared" si="439"/>
        <v>1</v>
      </c>
      <c r="H242" s="94">
        <f t="shared" si="440"/>
        <v>0.20000000000000007</v>
      </c>
      <c r="I242" s="130">
        <v>4.7E-2</v>
      </c>
      <c r="J242" s="90">
        <v>46178</v>
      </c>
      <c r="K242" s="90">
        <f t="shared" si="426"/>
        <v>46178</v>
      </c>
      <c r="L242" s="90">
        <v>46182</v>
      </c>
      <c r="M242" s="90">
        <f t="shared" si="427"/>
        <v>46220</v>
      </c>
      <c r="N242" s="90">
        <f t="shared" si="428"/>
        <v>46220</v>
      </c>
      <c r="O242" s="90">
        <v>46191</v>
      </c>
      <c r="P242" s="90">
        <f t="shared" si="429"/>
        <v>46262</v>
      </c>
      <c r="Q242" s="90">
        <f t="shared" si="430"/>
        <v>46262</v>
      </c>
      <c r="R242" s="147">
        <v>46252</v>
      </c>
      <c r="S242" s="90">
        <f t="shared" si="431"/>
        <v>46276</v>
      </c>
      <c r="T242" s="90">
        <f t="shared" si="432"/>
        <v>46276</v>
      </c>
      <c r="U242" s="165">
        <v>46262</v>
      </c>
      <c r="W242" s="173" t="str">
        <f t="shared" ca="1" si="433"/>
        <v>Completed</v>
      </c>
      <c r="X242" s="173" t="str">
        <f t="shared" ca="1" si="434"/>
        <v>Completed</v>
      </c>
      <c r="Y242" s="173" t="str">
        <f t="shared" ca="1" si="435"/>
        <v>Completed</v>
      </c>
      <c r="Z242" s="174" t="str">
        <f t="shared" ca="1" si="436"/>
        <v>Completed</v>
      </c>
    </row>
    <row r="243" spans="1:26" s="70" customFormat="1" ht="11.5" x14ac:dyDescent="0.25">
      <c r="A243" s="93" t="s">
        <v>66</v>
      </c>
      <c r="B243" s="93" t="s">
        <v>14</v>
      </c>
      <c r="C243" s="93" t="s">
        <v>882</v>
      </c>
      <c r="D243" s="92" t="s">
        <v>861</v>
      </c>
      <c r="E243" s="94">
        <f t="shared" si="437"/>
        <v>0.79999999999999993</v>
      </c>
      <c r="F243" s="94">
        <f t="shared" si="438"/>
        <v>0.79999999999999993</v>
      </c>
      <c r="G243" s="94">
        <f t="shared" si="439"/>
        <v>1</v>
      </c>
      <c r="H243" s="94">
        <f t="shared" si="440"/>
        <v>0.20000000000000007</v>
      </c>
      <c r="I243" s="130">
        <v>4.7E-2</v>
      </c>
      <c r="J243" s="90">
        <v>46178</v>
      </c>
      <c r="K243" s="90">
        <f t="shared" si="426"/>
        <v>46178</v>
      </c>
      <c r="L243" s="90">
        <v>46182</v>
      </c>
      <c r="M243" s="90">
        <f t="shared" si="427"/>
        <v>46220</v>
      </c>
      <c r="N243" s="90">
        <f t="shared" si="428"/>
        <v>46220</v>
      </c>
      <c r="O243" s="90">
        <v>46191</v>
      </c>
      <c r="P243" s="90">
        <f t="shared" si="429"/>
        <v>46262</v>
      </c>
      <c r="Q243" s="90">
        <f t="shared" si="430"/>
        <v>46262</v>
      </c>
      <c r="R243" s="147">
        <v>46252</v>
      </c>
      <c r="S243" s="90">
        <f t="shared" si="431"/>
        <v>46276</v>
      </c>
      <c r="T243" s="90">
        <f t="shared" si="432"/>
        <v>46276</v>
      </c>
      <c r="U243" s="165">
        <v>46262</v>
      </c>
      <c r="W243" s="173" t="str">
        <f t="shared" ca="1" si="433"/>
        <v>Completed</v>
      </c>
      <c r="X243" s="173" t="str">
        <f t="shared" ca="1" si="434"/>
        <v>Completed</v>
      </c>
      <c r="Y243" s="173" t="str">
        <f t="shared" ca="1" si="435"/>
        <v>Completed</v>
      </c>
      <c r="Z243" s="174" t="str">
        <f t="shared" ca="1" si="436"/>
        <v>Completed</v>
      </c>
    </row>
    <row r="244" spans="1:26" s="70" customFormat="1" ht="11.5" x14ac:dyDescent="0.25">
      <c r="A244" s="93" t="s">
        <v>66</v>
      </c>
      <c r="B244" s="93" t="s">
        <v>14</v>
      </c>
      <c r="C244" s="93" t="s">
        <v>883</v>
      </c>
      <c r="D244" s="92" t="s">
        <v>862</v>
      </c>
      <c r="E244" s="94">
        <f t="shared" si="397"/>
        <v>0.79999999999999993</v>
      </c>
      <c r="F244" s="94">
        <f t="shared" si="398"/>
        <v>0.79999999999999993</v>
      </c>
      <c r="G244" s="94">
        <f>(COUNTIFS(L244,"&lt;="&amp;$C$1)*50%)+(COUNTIFS(O244,"&lt;="&amp;$C$1)*20%)+(COUNTIFS(R244,"&lt;="&amp;$C$1)*10%)+(COUNTIFS(U244,"&lt;="&amp;$C$1)*20%)</f>
        <v>1</v>
      </c>
      <c r="H244" s="94">
        <f t="shared" si="399"/>
        <v>0.20000000000000007</v>
      </c>
      <c r="I244" s="130">
        <v>4.7E-2</v>
      </c>
      <c r="J244" s="90">
        <v>46178</v>
      </c>
      <c r="K244" s="90">
        <f t="shared" si="426"/>
        <v>46178</v>
      </c>
      <c r="L244" s="98">
        <v>46162</v>
      </c>
      <c r="M244" s="90">
        <f t="shared" si="427"/>
        <v>46220</v>
      </c>
      <c r="N244" s="90">
        <f t="shared" si="428"/>
        <v>46220</v>
      </c>
      <c r="O244" s="90">
        <v>46191</v>
      </c>
      <c r="P244" s="90">
        <f t="shared" si="429"/>
        <v>46262</v>
      </c>
      <c r="Q244" s="90">
        <f t="shared" si="430"/>
        <v>46262</v>
      </c>
      <c r="R244" s="147">
        <v>46252</v>
      </c>
      <c r="S244" s="90">
        <f t="shared" si="431"/>
        <v>46276</v>
      </c>
      <c r="T244" s="90">
        <f t="shared" si="432"/>
        <v>46276</v>
      </c>
      <c r="U244" s="165">
        <v>46262</v>
      </c>
      <c r="W244" s="173" t="str">
        <f t="shared" ca="1" si="433"/>
        <v>Completed</v>
      </c>
      <c r="X244" s="173" t="str">
        <f t="shared" ca="1" si="434"/>
        <v>Completed</v>
      </c>
      <c r="Y244" s="173" t="str">
        <f t="shared" ca="1" si="435"/>
        <v>Completed</v>
      </c>
      <c r="Z244" s="174" t="str">
        <f t="shared" ca="1" si="436"/>
        <v>Completed</v>
      </c>
    </row>
    <row r="245" spans="1:26" s="70" customFormat="1" ht="11.5" x14ac:dyDescent="0.25">
      <c r="A245" s="93" t="s">
        <v>66</v>
      </c>
      <c r="B245" s="93" t="s">
        <v>14</v>
      </c>
      <c r="C245" s="93" t="s">
        <v>884</v>
      </c>
      <c r="D245" s="92" t="s">
        <v>863</v>
      </c>
      <c r="E245" s="94">
        <f t="shared" si="397"/>
        <v>0.79999999999999993</v>
      </c>
      <c r="F245" s="94">
        <f t="shared" si="398"/>
        <v>0.79999999999999993</v>
      </c>
      <c r="G245" s="94">
        <f>(COUNTIFS(L245,"&lt;="&amp;$C$1)*50%)+(COUNTIFS(O245,"&lt;="&amp;$C$1)*20%)+(COUNTIFS(R245,"&lt;="&amp;$C$1)*10%)+(COUNTIFS(U245,"&lt;="&amp;$C$1)*20%)</f>
        <v>1</v>
      </c>
      <c r="H245" s="94">
        <f t="shared" si="399"/>
        <v>0.20000000000000007</v>
      </c>
      <c r="I245" s="130">
        <v>4.7E-2</v>
      </c>
      <c r="J245" s="90">
        <v>46178</v>
      </c>
      <c r="K245" s="90">
        <f t="shared" si="426"/>
        <v>46178</v>
      </c>
      <c r="L245" s="98">
        <v>46162</v>
      </c>
      <c r="M245" s="90">
        <f t="shared" si="427"/>
        <v>46220</v>
      </c>
      <c r="N245" s="90">
        <f t="shared" si="428"/>
        <v>46220</v>
      </c>
      <c r="O245" s="90">
        <v>46191</v>
      </c>
      <c r="P245" s="90">
        <f t="shared" si="429"/>
        <v>46262</v>
      </c>
      <c r="Q245" s="90">
        <f t="shared" si="430"/>
        <v>46262</v>
      </c>
      <c r="R245" s="147">
        <v>46252</v>
      </c>
      <c r="S245" s="90">
        <f t="shared" si="431"/>
        <v>46276</v>
      </c>
      <c r="T245" s="90">
        <f t="shared" si="432"/>
        <v>46276</v>
      </c>
      <c r="U245" s="165">
        <v>46262</v>
      </c>
      <c r="W245" s="173" t="str">
        <f t="shared" ca="1" si="433"/>
        <v>Completed</v>
      </c>
      <c r="X245" s="173" t="str">
        <f t="shared" ca="1" si="434"/>
        <v>Completed</v>
      </c>
      <c r="Y245" s="173" t="str">
        <f t="shared" ca="1" si="435"/>
        <v>Completed</v>
      </c>
      <c r="Z245" s="174" t="str">
        <f t="shared" ca="1" si="436"/>
        <v>Completed</v>
      </c>
    </row>
    <row r="246" spans="1:26" s="70" customFormat="1" ht="11.5" x14ac:dyDescent="0.25">
      <c r="A246" s="93" t="s">
        <v>66</v>
      </c>
      <c r="B246" s="93" t="s">
        <v>14</v>
      </c>
      <c r="C246" s="93" t="s">
        <v>885</v>
      </c>
      <c r="D246" s="92" t="s">
        <v>864</v>
      </c>
      <c r="E246" s="94">
        <f t="shared" si="397"/>
        <v>0.79999999999999993</v>
      </c>
      <c r="F246" s="94">
        <f t="shared" si="398"/>
        <v>0.79999999999999993</v>
      </c>
      <c r="G246" s="94">
        <f t="shared" si="398"/>
        <v>1</v>
      </c>
      <c r="H246" s="94">
        <f t="shared" si="399"/>
        <v>0.20000000000000007</v>
      </c>
      <c r="I246" s="130">
        <v>4.7E-2</v>
      </c>
      <c r="J246" s="90">
        <v>46178</v>
      </c>
      <c r="K246" s="90">
        <f t="shared" si="426"/>
        <v>46178</v>
      </c>
      <c r="L246" s="98">
        <v>46162</v>
      </c>
      <c r="M246" s="90">
        <f t="shared" si="427"/>
        <v>46220</v>
      </c>
      <c r="N246" s="90">
        <f t="shared" si="428"/>
        <v>46220</v>
      </c>
      <c r="O246" s="90">
        <v>46191</v>
      </c>
      <c r="P246" s="90">
        <f t="shared" si="429"/>
        <v>46262</v>
      </c>
      <c r="Q246" s="90">
        <f t="shared" si="430"/>
        <v>46262</v>
      </c>
      <c r="R246" s="147">
        <v>46252</v>
      </c>
      <c r="S246" s="90">
        <f t="shared" si="431"/>
        <v>46276</v>
      </c>
      <c r="T246" s="90">
        <f t="shared" si="432"/>
        <v>46276</v>
      </c>
      <c r="U246" s="165">
        <v>46262</v>
      </c>
      <c r="W246" s="173" t="str">
        <f t="shared" ca="1" si="433"/>
        <v>Completed</v>
      </c>
      <c r="X246" s="173" t="str">
        <f t="shared" ca="1" si="434"/>
        <v>Completed</v>
      </c>
      <c r="Y246" s="173" t="str">
        <f t="shared" ca="1" si="435"/>
        <v>Completed</v>
      </c>
      <c r="Z246" s="174" t="str">
        <f t="shared" ca="1" si="436"/>
        <v>Completed</v>
      </c>
    </row>
    <row r="247" spans="1:26" s="70" customFormat="1" ht="11.5" x14ac:dyDescent="0.25">
      <c r="A247" s="93" t="s">
        <v>66</v>
      </c>
      <c r="B247" s="93" t="s">
        <v>14</v>
      </c>
      <c r="C247" s="93" t="s">
        <v>886</v>
      </c>
      <c r="D247" s="92" t="s">
        <v>865</v>
      </c>
      <c r="E247" s="94">
        <f t="shared" si="397"/>
        <v>0.79999999999999993</v>
      </c>
      <c r="F247" s="94">
        <f t="shared" si="398"/>
        <v>0.79999999999999993</v>
      </c>
      <c r="G247" s="94">
        <f t="shared" si="398"/>
        <v>1</v>
      </c>
      <c r="H247" s="94">
        <f t="shared" si="399"/>
        <v>0.20000000000000007</v>
      </c>
      <c r="I247" s="130">
        <v>4.7E-2</v>
      </c>
      <c r="J247" s="90">
        <v>46178</v>
      </c>
      <c r="K247" s="90">
        <f t="shared" si="426"/>
        <v>46178</v>
      </c>
      <c r="L247" s="98">
        <v>46162</v>
      </c>
      <c r="M247" s="90">
        <f t="shared" si="427"/>
        <v>46220</v>
      </c>
      <c r="N247" s="90">
        <f t="shared" si="428"/>
        <v>46220</v>
      </c>
      <c r="O247" s="90">
        <v>46191</v>
      </c>
      <c r="P247" s="90">
        <f t="shared" si="429"/>
        <v>46262</v>
      </c>
      <c r="Q247" s="90">
        <f t="shared" si="430"/>
        <v>46262</v>
      </c>
      <c r="R247" s="147">
        <v>46252</v>
      </c>
      <c r="S247" s="90">
        <f t="shared" si="431"/>
        <v>46276</v>
      </c>
      <c r="T247" s="90">
        <f t="shared" si="432"/>
        <v>46276</v>
      </c>
      <c r="U247" s="165">
        <v>46262</v>
      </c>
      <c r="W247" s="173" t="str">
        <f t="shared" ca="1" si="433"/>
        <v>Completed</v>
      </c>
      <c r="X247" s="173" t="str">
        <f t="shared" ca="1" si="434"/>
        <v>Completed</v>
      </c>
      <c r="Y247" s="173" t="str">
        <f t="shared" ca="1" si="435"/>
        <v>Completed</v>
      </c>
      <c r="Z247" s="174" t="str">
        <f t="shared" ca="1" si="436"/>
        <v>Completed</v>
      </c>
    </row>
    <row r="248" spans="1:26" s="70" customFormat="1" ht="11.5" x14ac:dyDescent="0.25">
      <c r="A248" s="93" t="s">
        <v>66</v>
      </c>
      <c r="B248" s="93" t="s">
        <v>14</v>
      </c>
      <c r="C248" s="93" t="s">
        <v>887</v>
      </c>
      <c r="D248" s="92" t="s">
        <v>866</v>
      </c>
      <c r="E248" s="94">
        <f t="shared" si="397"/>
        <v>0.79999999999999993</v>
      </c>
      <c r="F248" s="94">
        <f t="shared" si="398"/>
        <v>0.79999999999999993</v>
      </c>
      <c r="G248" s="94">
        <f t="shared" si="398"/>
        <v>1</v>
      </c>
      <c r="H248" s="94">
        <f t="shared" si="399"/>
        <v>0.20000000000000007</v>
      </c>
      <c r="I248" s="130">
        <v>4.7E-2</v>
      </c>
      <c r="J248" s="90">
        <v>46178</v>
      </c>
      <c r="K248" s="90">
        <f t="shared" si="426"/>
        <v>46178</v>
      </c>
      <c r="L248" s="98">
        <v>46162</v>
      </c>
      <c r="M248" s="90">
        <f t="shared" si="427"/>
        <v>46220</v>
      </c>
      <c r="N248" s="90">
        <f t="shared" si="428"/>
        <v>46220</v>
      </c>
      <c r="O248" s="90">
        <v>46191</v>
      </c>
      <c r="P248" s="90">
        <f t="shared" si="429"/>
        <v>46262</v>
      </c>
      <c r="Q248" s="90">
        <f t="shared" si="430"/>
        <v>46262</v>
      </c>
      <c r="R248" s="147">
        <v>46252</v>
      </c>
      <c r="S248" s="90">
        <f t="shared" si="431"/>
        <v>46276</v>
      </c>
      <c r="T248" s="90">
        <f t="shared" si="432"/>
        <v>46276</v>
      </c>
      <c r="U248" s="165">
        <v>46262</v>
      </c>
      <c r="W248" s="173" t="str">
        <f t="shared" ca="1" si="433"/>
        <v>Completed</v>
      </c>
      <c r="X248" s="173" t="str">
        <f t="shared" ca="1" si="434"/>
        <v>Completed</v>
      </c>
      <c r="Y248" s="173" t="str">
        <f t="shared" ca="1" si="435"/>
        <v>Completed</v>
      </c>
      <c r="Z248" s="174" t="str">
        <f t="shared" ca="1" si="436"/>
        <v>Completed</v>
      </c>
    </row>
    <row r="249" spans="1:26" s="70" customFormat="1" ht="11.5" x14ac:dyDescent="0.25">
      <c r="A249" s="93" t="s">
        <v>66</v>
      </c>
      <c r="B249" s="93" t="s">
        <v>14</v>
      </c>
      <c r="C249" s="93" t="s">
        <v>888</v>
      </c>
      <c r="D249" s="92" t="s">
        <v>867</v>
      </c>
      <c r="E249" s="94">
        <f t="shared" si="397"/>
        <v>0.79999999999999993</v>
      </c>
      <c r="F249" s="94">
        <f t="shared" si="398"/>
        <v>0.79999999999999993</v>
      </c>
      <c r="G249" s="94">
        <f t="shared" si="398"/>
        <v>1</v>
      </c>
      <c r="H249" s="94">
        <f t="shared" si="399"/>
        <v>0.20000000000000007</v>
      </c>
      <c r="I249" s="130">
        <v>4.7E-2</v>
      </c>
      <c r="J249" s="90">
        <v>46178</v>
      </c>
      <c r="K249" s="90">
        <f t="shared" si="426"/>
        <v>46178</v>
      </c>
      <c r="L249" s="98">
        <v>46162</v>
      </c>
      <c r="M249" s="90">
        <f t="shared" si="427"/>
        <v>46220</v>
      </c>
      <c r="N249" s="90">
        <f t="shared" si="428"/>
        <v>46220</v>
      </c>
      <c r="O249" s="90">
        <v>46191</v>
      </c>
      <c r="P249" s="90">
        <f t="shared" si="429"/>
        <v>46262</v>
      </c>
      <c r="Q249" s="90">
        <f t="shared" si="430"/>
        <v>46262</v>
      </c>
      <c r="R249" s="147">
        <v>46252</v>
      </c>
      <c r="S249" s="90">
        <f t="shared" si="431"/>
        <v>46276</v>
      </c>
      <c r="T249" s="90">
        <f t="shared" si="432"/>
        <v>46276</v>
      </c>
      <c r="U249" s="165">
        <v>46262</v>
      </c>
      <c r="W249" s="173" t="str">
        <f t="shared" ca="1" si="433"/>
        <v>Completed</v>
      </c>
      <c r="X249" s="173" t="str">
        <f t="shared" ca="1" si="434"/>
        <v>Completed</v>
      </c>
      <c r="Y249" s="173" t="str">
        <f t="shared" ca="1" si="435"/>
        <v>Completed</v>
      </c>
      <c r="Z249" s="174" t="str">
        <f t="shared" ca="1" si="436"/>
        <v>Completed</v>
      </c>
    </row>
    <row r="250" spans="1:26" s="70" customFormat="1" ht="11.5" x14ac:dyDescent="0.25">
      <c r="A250" s="93" t="s">
        <v>66</v>
      </c>
      <c r="B250" s="93" t="s">
        <v>14</v>
      </c>
      <c r="C250" s="93" t="s">
        <v>889</v>
      </c>
      <c r="D250" s="92" t="s">
        <v>868</v>
      </c>
      <c r="E250" s="94">
        <f t="shared" si="397"/>
        <v>0.79999999999999993</v>
      </c>
      <c r="F250" s="94">
        <f t="shared" si="398"/>
        <v>0.79999999999999993</v>
      </c>
      <c r="G250" s="94">
        <f t="shared" si="398"/>
        <v>1</v>
      </c>
      <c r="H250" s="94">
        <f t="shared" si="399"/>
        <v>0.20000000000000007</v>
      </c>
      <c r="I250" s="130">
        <v>4.7E-2</v>
      </c>
      <c r="J250" s="90">
        <v>46178</v>
      </c>
      <c r="K250" s="90">
        <f t="shared" si="426"/>
        <v>46178</v>
      </c>
      <c r="L250" s="98">
        <v>46162</v>
      </c>
      <c r="M250" s="90">
        <f t="shared" si="427"/>
        <v>46220</v>
      </c>
      <c r="N250" s="90">
        <f t="shared" si="428"/>
        <v>46220</v>
      </c>
      <c r="O250" s="90">
        <v>46191</v>
      </c>
      <c r="P250" s="90">
        <f t="shared" si="429"/>
        <v>46262</v>
      </c>
      <c r="Q250" s="90">
        <f t="shared" si="430"/>
        <v>46262</v>
      </c>
      <c r="R250" s="147">
        <v>46252</v>
      </c>
      <c r="S250" s="90">
        <f t="shared" si="431"/>
        <v>46276</v>
      </c>
      <c r="T250" s="90">
        <f t="shared" si="432"/>
        <v>46276</v>
      </c>
      <c r="U250" s="165">
        <v>46262</v>
      </c>
      <c r="W250" s="173" t="str">
        <f t="shared" ca="1" si="433"/>
        <v>Completed</v>
      </c>
      <c r="X250" s="173" t="str">
        <f t="shared" ca="1" si="434"/>
        <v>Completed</v>
      </c>
      <c r="Y250" s="173" t="str">
        <f t="shared" ca="1" si="435"/>
        <v>Completed</v>
      </c>
      <c r="Z250" s="174" t="str">
        <f t="shared" ca="1" si="436"/>
        <v>Completed</v>
      </c>
    </row>
    <row r="251" spans="1:26" s="70" customFormat="1" ht="11.5" x14ac:dyDescent="0.25">
      <c r="A251" s="93" t="s">
        <v>66</v>
      </c>
      <c r="B251" s="93" t="s">
        <v>14</v>
      </c>
      <c r="C251" s="93" t="s">
        <v>890</v>
      </c>
      <c r="D251" s="92" t="s">
        <v>869</v>
      </c>
      <c r="E251" s="94">
        <f t="shared" si="397"/>
        <v>0.79999999999999993</v>
      </c>
      <c r="F251" s="94">
        <f t="shared" si="398"/>
        <v>0.79999999999999993</v>
      </c>
      <c r="G251" s="94">
        <f t="shared" si="398"/>
        <v>1</v>
      </c>
      <c r="H251" s="94">
        <f t="shared" si="399"/>
        <v>0.20000000000000007</v>
      </c>
      <c r="I251" s="130">
        <v>4.7E-2</v>
      </c>
      <c r="J251" s="90">
        <v>46178</v>
      </c>
      <c r="K251" s="90">
        <f t="shared" si="426"/>
        <v>46178</v>
      </c>
      <c r="L251" s="98">
        <v>46162</v>
      </c>
      <c r="M251" s="90">
        <f t="shared" si="427"/>
        <v>46220</v>
      </c>
      <c r="N251" s="90">
        <f t="shared" si="428"/>
        <v>46220</v>
      </c>
      <c r="O251" s="90">
        <v>46191</v>
      </c>
      <c r="P251" s="90">
        <f t="shared" si="429"/>
        <v>46262</v>
      </c>
      <c r="Q251" s="90">
        <f t="shared" si="430"/>
        <v>46262</v>
      </c>
      <c r="R251" s="147">
        <v>46252</v>
      </c>
      <c r="S251" s="90">
        <f t="shared" si="431"/>
        <v>46276</v>
      </c>
      <c r="T251" s="90">
        <f t="shared" si="432"/>
        <v>46276</v>
      </c>
      <c r="U251" s="165">
        <v>46262</v>
      </c>
      <c r="W251" s="173" t="str">
        <f t="shared" ca="1" si="433"/>
        <v>Completed</v>
      </c>
      <c r="X251" s="173" t="str">
        <f t="shared" ca="1" si="434"/>
        <v>Completed</v>
      </c>
      <c r="Y251" s="173" t="str">
        <f t="shared" ca="1" si="435"/>
        <v>Completed</v>
      </c>
      <c r="Z251" s="174" t="str">
        <f t="shared" ca="1" si="436"/>
        <v>Completed</v>
      </c>
    </row>
    <row r="252" spans="1:26" s="70" customFormat="1" ht="11.5" x14ac:dyDescent="0.25">
      <c r="A252" s="93" t="s">
        <v>66</v>
      </c>
      <c r="B252" s="93" t="s">
        <v>14</v>
      </c>
      <c r="C252" s="93" t="s">
        <v>308</v>
      </c>
      <c r="D252" s="92" t="s">
        <v>309</v>
      </c>
      <c r="E252" s="94">
        <f t="shared" si="397"/>
        <v>1</v>
      </c>
      <c r="F252" s="94">
        <f t="shared" si="398"/>
        <v>1</v>
      </c>
      <c r="G252" s="94">
        <f t="shared" si="398"/>
        <v>0.79999999999999993</v>
      </c>
      <c r="H252" s="94">
        <f t="shared" si="399"/>
        <v>-0.20000000000000007</v>
      </c>
      <c r="I252" s="130">
        <v>4.7E-2</v>
      </c>
      <c r="J252" s="90">
        <v>46164</v>
      </c>
      <c r="K252" s="90">
        <f t="shared" si="426"/>
        <v>46164</v>
      </c>
      <c r="L252" s="147">
        <v>46184</v>
      </c>
      <c r="M252" s="90">
        <f t="shared" si="427"/>
        <v>46206</v>
      </c>
      <c r="N252" s="90">
        <f t="shared" si="428"/>
        <v>46206</v>
      </c>
      <c r="O252" s="90">
        <v>46192</v>
      </c>
      <c r="P252" s="90">
        <f t="shared" si="429"/>
        <v>46248</v>
      </c>
      <c r="Q252" s="90">
        <f t="shared" si="430"/>
        <v>46248</v>
      </c>
      <c r="R252" s="90">
        <v>46254</v>
      </c>
      <c r="S252" s="90">
        <f t="shared" si="431"/>
        <v>46262</v>
      </c>
      <c r="T252" s="90">
        <f t="shared" si="432"/>
        <v>46262</v>
      </c>
      <c r="U252" s="90"/>
      <c r="W252" s="173" t="str">
        <f t="shared" ca="1" si="433"/>
        <v>Completed</v>
      </c>
      <c r="X252" s="173" t="str">
        <f t="shared" ca="1" si="434"/>
        <v>Completed</v>
      </c>
      <c r="Y252" s="173" t="str">
        <f t="shared" ca="1" si="435"/>
        <v>Completed</v>
      </c>
      <c r="Z252" s="174" t="str">
        <f t="shared" ca="1" si="436"/>
        <v>Overdue</v>
      </c>
    </row>
    <row r="253" spans="1:26" s="70" customFormat="1" ht="11.5" x14ac:dyDescent="0.25">
      <c r="A253" s="178" t="s">
        <v>66</v>
      </c>
      <c r="B253" s="178" t="s">
        <v>14</v>
      </c>
      <c r="C253" s="178" t="s">
        <v>310</v>
      </c>
      <c r="D253" s="162" t="s">
        <v>1153</v>
      </c>
      <c r="E253" s="163"/>
      <c r="F253" s="163"/>
      <c r="G253" s="163"/>
      <c r="H253" s="163"/>
      <c r="I253" s="130">
        <v>4.7E-2</v>
      </c>
      <c r="J253" s="159">
        <v>46164</v>
      </c>
      <c r="K253" s="159">
        <f t="shared" si="426"/>
        <v>46164</v>
      </c>
      <c r="L253" s="159">
        <v>46184</v>
      </c>
      <c r="M253" s="159">
        <f t="shared" si="427"/>
        <v>46206</v>
      </c>
      <c r="N253" s="159">
        <f t="shared" si="428"/>
        <v>46206</v>
      </c>
      <c r="O253" s="159">
        <v>46192</v>
      </c>
      <c r="P253" s="159">
        <f t="shared" si="429"/>
        <v>46248</v>
      </c>
      <c r="Q253" s="159">
        <f t="shared" si="430"/>
        <v>46248</v>
      </c>
      <c r="R253" s="159">
        <v>46262</v>
      </c>
      <c r="S253" s="159">
        <f t="shared" si="431"/>
        <v>46262</v>
      </c>
      <c r="T253" s="159">
        <f t="shared" si="432"/>
        <v>46262</v>
      </c>
      <c r="U253" s="159">
        <v>46262</v>
      </c>
      <c r="W253" s="173" t="str">
        <f t="shared" ca="1" si="433"/>
        <v>Completed</v>
      </c>
      <c r="X253" s="173" t="str">
        <f t="shared" ca="1" si="434"/>
        <v>Completed</v>
      </c>
      <c r="Y253" s="173" t="str">
        <f t="shared" ca="1" si="435"/>
        <v>Completed</v>
      </c>
      <c r="Z253" s="174" t="str">
        <f t="shared" ca="1" si="436"/>
        <v>Completed</v>
      </c>
    </row>
    <row r="254" spans="1:26" s="70" customFormat="1" ht="11.5" x14ac:dyDescent="0.25">
      <c r="A254" s="93" t="s">
        <v>66</v>
      </c>
      <c r="B254" s="93" t="s">
        <v>14</v>
      </c>
      <c r="C254" s="93" t="s">
        <v>311</v>
      </c>
      <c r="D254" s="92" t="s">
        <v>312</v>
      </c>
      <c r="E254" s="94">
        <f t="shared" ref="E254:E326" si="441">(COUNTIFS(J254,"&lt;="&amp;$C$1)*50%)+(COUNTIFS(M254,"&lt;="&amp;$C$1)*20%)+(COUNTIFS(P254,"&lt;="&amp;$C$1)*10%)+(COUNTIFS(S254,"&lt;="&amp;$C$1)*20%)</f>
        <v>1</v>
      </c>
      <c r="F254" s="94">
        <f t="shared" ref="F254:G326" si="442">(COUNTIFS(K254,"&lt;="&amp;$C$1)*50%)+(COUNTIFS(N254,"&lt;="&amp;$C$1)*20%)+(COUNTIFS(Q254,"&lt;="&amp;$C$1)*10%)+(COUNTIFS(T254,"&lt;="&amp;$C$1)*20%)</f>
        <v>1</v>
      </c>
      <c r="G254" s="94">
        <f t="shared" si="442"/>
        <v>0.79999999999999993</v>
      </c>
      <c r="H254" s="94">
        <f t="shared" ref="H254:H326" si="443">G254-E254</f>
        <v>-0.20000000000000007</v>
      </c>
      <c r="I254" s="130">
        <v>4.7E-2</v>
      </c>
      <c r="J254" s="90">
        <v>46164</v>
      </c>
      <c r="K254" s="90">
        <f t="shared" si="426"/>
        <v>46164</v>
      </c>
      <c r="L254" s="147">
        <v>46184</v>
      </c>
      <c r="M254" s="90">
        <f t="shared" si="427"/>
        <v>46206</v>
      </c>
      <c r="N254" s="90">
        <f t="shared" si="428"/>
        <v>46206</v>
      </c>
      <c r="O254" s="90">
        <v>46192</v>
      </c>
      <c r="P254" s="90">
        <f t="shared" si="429"/>
        <v>46248</v>
      </c>
      <c r="Q254" s="90">
        <f t="shared" si="430"/>
        <v>46248</v>
      </c>
      <c r="R254" s="90">
        <v>46254</v>
      </c>
      <c r="S254" s="90">
        <f t="shared" si="431"/>
        <v>46262</v>
      </c>
      <c r="T254" s="90">
        <f t="shared" si="432"/>
        <v>46262</v>
      </c>
      <c r="U254" s="90"/>
      <c r="W254" s="173" t="str">
        <f t="shared" ca="1" si="433"/>
        <v>Completed</v>
      </c>
      <c r="X254" s="173" t="str">
        <f t="shared" ca="1" si="434"/>
        <v>Completed</v>
      </c>
      <c r="Y254" s="173" t="str">
        <f t="shared" ca="1" si="435"/>
        <v>Completed</v>
      </c>
      <c r="Z254" s="174" t="str">
        <f t="shared" ca="1" si="436"/>
        <v>Overdue</v>
      </c>
    </row>
    <row r="255" spans="1:26" s="70" customFormat="1" ht="11.5" x14ac:dyDescent="0.25">
      <c r="A255" s="92" t="s">
        <v>66</v>
      </c>
      <c r="B255" s="92" t="s">
        <v>14</v>
      </c>
      <c r="C255" s="92" t="s">
        <v>313</v>
      </c>
      <c r="D255" s="92" t="s">
        <v>314</v>
      </c>
      <c r="E255" s="94">
        <f t="shared" si="441"/>
        <v>1</v>
      </c>
      <c r="F255" s="94">
        <f t="shared" si="442"/>
        <v>1</v>
      </c>
      <c r="G255" s="94">
        <f t="shared" si="442"/>
        <v>0.79999999999999993</v>
      </c>
      <c r="H255" s="94">
        <f t="shared" si="443"/>
        <v>-0.20000000000000007</v>
      </c>
      <c r="I255" s="130">
        <v>4.7E-2</v>
      </c>
      <c r="J255" s="90">
        <v>46164</v>
      </c>
      <c r="K255" s="90">
        <f t="shared" si="426"/>
        <v>46164</v>
      </c>
      <c r="L255" s="147">
        <v>46184</v>
      </c>
      <c r="M255" s="90">
        <f t="shared" si="427"/>
        <v>46206</v>
      </c>
      <c r="N255" s="90">
        <f t="shared" si="428"/>
        <v>46206</v>
      </c>
      <c r="O255" s="90">
        <v>46192</v>
      </c>
      <c r="P255" s="90">
        <f t="shared" si="429"/>
        <v>46248</v>
      </c>
      <c r="Q255" s="90">
        <f t="shared" si="430"/>
        <v>46248</v>
      </c>
      <c r="R255" s="90">
        <v>46254</v>
      </c>
      <c r="S255" s="90">
        <f t="shared" si="431"/>
        <v>46262</v>
      </c>
      <c r="T255" s="90">
        <f t="shared" si="432"/>
        <v>46262</v>
      </c>
      <c r="U255" s="90"/>
      <c r="W255" s="173" t="str">
        <f t="shared" ca="1" si="433"/>
        <v>Completed</v>
      </c>
      <c r="X255" s="173" t="str">
        <f t="shared" ca="1" si="434"/>
        <v>Completed</v>
      </c>
      <c r="Y255" s="173" t="str">
        <f t="shared" ca="1" si="435"/>
        <v>Completed</v>
      </c>
      <c r="Z255" s="174" t="str">
        <f t="shared" ca="1" si="436"/>
        <v>Overdue</v>
      </c>
    </row>
    <row r="256" spans="1:26" s="70" customFormat="1" ht="11.5" x14ac:dyDescent="0.25">
      <c r="A256" s="92" t="s">
        <v>66</v>
      </c>
      <c r="B256" s="92" t="s">
        <v>14</v>
      </c>
      <c r="C256" s="92" t="s">
        <v>315</v>
      </c>
      <c r="D256" s="92" t="s">
        <v>316</v>
      </c>
      <c r="E256" s="94">
        <f t="shared" si="441"/>
        <v>0.7</v>
      </c>
      <c r="F256" s="94">
        <f t="shared" si="442"/>
        <v>0.7</v>
      </c>
      <c r="G256" s="94">
        <f t="shared" si="442"/>
        <v>0.7</v>
      </c>
      <c r="H256" s="94">
        <f t="shared" si="443"/>
        <v>0</v>
      </c>
      <c r="I256" s="130">
        <v>4.7E-2</v>
      </c>
      <c r="J256" s="90">
        <v>46185</v>
      </c>
      <c r="K256" s="90">
        <f t="shared" si="426"/>
        <v>46185</v>
      </c>
      <c r="L256" s="90">
        <v>46136</v>
      </c>
      <c r="M256" s="90">
        <f t="shared" si="427"/>
        <v>46227</v>
      </c>
      <c r="N256" s="90">
        <f t="shared" si="428"/>
        <v>46227</v>
      </c>
      <c r="O256" s="90">
        <v>46240</v>
      </c>
      <c r="P256" s="90">
        <f t="shared" si="429"/>
        <v>46269</v>
      </c>
      <c r="Q256" s="90">
        <f t="shared" si="430"/>
        <v>46269</v>
      </c>
      <c r="R256" s="90"/>
      <c r="S256" s="90">
        <f t="shared" si="431"/>
        <v>46283</v>
      </c>
      <c r="T256" s="90">
        <f t="shared" si="432"/>
        <v>46283</v>
      </c>
      <c r="U256" s="90"/>
      <c r="W256" s="173" t="str">
        <f t="shared" ca="1" si="433"/>
        <v>Completed</v>
      </c>
      <c r="X256" s="173" t="str">
        <f t="shared" ca="1" si="434"/>
        <v>Completed</v>
      </c>
      <c r="Y256" s="173" t="str">
        <f t="shared" ca="1" si="435"/>
        <v>Follow-This Week</v>
      </c>
      <c r="Z256" s="174" t="str">
        <f t="shared" ca="1" si="436"/>
        <v/>
      </c>
    </row>
    <row r="257" spans="1:26" s="70" customFormat="1" ht="11.5" x14ac:dyDescent="0.25">
      <c r="A257" s="92" t="s">
        <v>66</v>
      </c>
      <c r="B257" s="92" t="s">
        <v>14</v>
      </c>
      <c r="C257" s="92" t="s">
        <v>989</v>
      </c>
      <c r="D257" s="92" t="s">
        <v>317</v>
      </c>
      <c r="E257" s="94">
        <f t="shared" si="441"/>
        <v>0.7</v>
      </c>
      <c r="F257" s="94">
        <f t="shared" si="442"/>
        <v>0.7</v>
      </c>
      <c r="G257" s="94">
        <f t="shared" si="442"/>
        <v>0.7</v>
      </c>
      <c r="H257" s="94">
        <f t="shared" si="443"/>
        <v>0</v>
      </c>
      <c r="I257" s="130">
        <v>4.7E-2</v>
      </c>
      <c r="J257" s="90">
        <v>46185</v>
      </c>
      <c r="K257" s="90">
        <f t="shared" si="426"/>
        <v>46185</v>
      </c>
      <c r="L257" s="90">
        <v>46136</v>
      </c>
      <c r="M257" s="90">
        <f t="shared" si="427"/>
        <v>46227</v>
      </c>
      <c r="N257" s="90">
        <f t="shared" si="428"/>
        <v>46227</v>
      </c>
      <c r="O257" s="90">
        <v>46240</v>
      </c>
      <c r="P257" s="90">
        <f t="shared" si="429"/>
        <v>46269</v>
      </c>
      <c r="Q257" s="90">
        <f t="shared" si="430"/>
        <v>46269</v>
      </c>
      <c r="R257" s="90"/>
      <c r="S257" s="90">
        <f t="shared" si="431"/>
        <v>46283</v>
      </c>
      <c r="T257" s="90">
        <f t="shared" si="432"/>
        <v>46283</v>
      </c>
      <c r="U257" s="90"/>
      <c r="W257" s="173" t="str">
        <f t="shared" ca="1" si="433"/>
        <v>Completed</v>
      </c>
      <c r="X257" s="173" t="str">
        <f t="shared" ca="1" si="434"/>
        <v>Completed</v>
      </c>
      <c r="Y257" s="173" t="str">
        <f t="shared" ca="1" si="435"/>
        <v>Follow-This Week</v>
      </c>
      <c r="Z257" s="174" t="str">
        <f t="shared" ca="1" si="436"/>
        <v/>
      </c>
    </row>
    <row r="258" spans="1:26" s="70" customFormat="1" ht="11.5" x14ac:dyDescent="0.25">
      <c r="A258" s="92" t="s">
        <v>66</v>
      </c>
      <c r="B258" s="92" t="s">
        <v>14</v>
      </c>
      <c r="C258" s="92" t="s">
        <v>990</v>
      </c>
      <c r="D258" s="92" t="s">
        <v>318</v>
      </c>
      <c r="E258" s="94">
        <f t="shared" si="441"/>
        <v>0.7</v>
      </c>
      <c r="F258" s="94">
        <f t="shared" si="442"/>
        <v>0.7</v>
      </c>
      <c r="G258" s="94">
        <f t="shared" si="442"/>
        <v>0.7</v>
      </c>
      <c r="H258" s="94">
        <f t="shared" si="443"/>
        <v>0</v>
      </c>
      <c r="I258" s="130">
        <v>4.7E-2</v>
      </c>
      <c r="J258" s="90">
        <v>46185</v>
      </c>
      <c r="K258" s="90">
        <f t="shared" si="426"/>
        <v>46185</v>
      </c>
      <c r="L258" s="90">
        <v>46136</v>
      </c>
      <c r="M258" s="90">
        <f t="shared" si="427"/>
        <v>46227</v>
      </c>
      <c r="N258" s="90">
        <f t="shared" si="428"/>
        <v>46227</v>
      </c>
      <c r="O258" s="90">
        <v>46240</v>
      </c>
      <c r="P258" s="90">
        <f t="shared" si="429"/>
        <v>46269</v>
      </c>
      <c r="Q258" s="90">
        <f t="shared" si="430"/>
        <v>46269</v>
      </c>
      <c r="R258" s="90"/>
      <c r="S258" s="90">
        <f t="shared" si="431"/>
        <v>46283</v>
      </c>
      <c r="T258" s="90">
        <f t="shared" si="432"/>
        <v>46283</v>
      </c>
      <c r="U258" s="90"/>
      <c r="W258" s="173" t="str">
        <f t="shared" ca="1" si="433"/>
        <v>Completed</v>
      </c>
      <c r="X258" s="173" t="str">
        <f t="shared" ca="1" si="434"/>
        <v>Completed</v>
      </c>
      <c r="Y258" s="173" t="str">
        <f t="shared" ca="1" si="435"/>
        <v>Follow-This Week</v>
      </c>
      <c r="Z258" s="174" t="str">
        <f t="shared" ca="1" si="436"/>
        <v/>
      </c>
    </row>
    <row r="259" spans="1:26" s="70" customFormat="1" ht="11.5" x14ac:dyDescent="0.25">
      <c r="A259" s="92" t="s">
        <v>66</v>
      </c>
      <c r="B259" s="92" t="s">
        <v>14</v>
      </c>
      <c r="C259" s="92" t="s">
        <v>991</v>
      </c>
      <c r="D259" s="92" t="s">
        <v>319</v>
      </c>
      <c r="E259" s="94">
        <f t="shared" si="441"/>
        <v>0.7</v>
      </c>
      <c r="F259" s="94">
        <f t="shared" si="442"/>
        <v>0.7</v>
      </c>
      <c r="G259" s="94">
        <f t="shared" si="442"/>
        <v>0.7</v>
      </c>
      <c r="H259" s="94">
        <f t="shared" si="443"/>
        <v>0</v>
      </c>
      <c r="I259" s="130">
        <v>4.7E-2</v>
      </c>
      <c r="J259" s="90">
        <v>46185</v>
      </c>
      <c r="K259" s="90">
        <f t="shared" si="426"/>
        <v>46185</v>
      </c>
      <c r="L259" s="90">
        <v>46136</v>
      </c>
      <c r="M259" s="90">
        <f t="shared" si="427"/>
        <v>46227</v>
      </c>
      <c r="N259" s="90">
        <f t="shared" si="428"/>
        <v>46227</v>
      </c>
      <c r="O259" s="90">
        <v>46240</v>
      </c>
      <c r="P259" s="90">
        <f t="shared" si="429"/>
        <v>46269</v>
      </c>
      <c r="Q259" s="90">
        <f t="shared" si="430"/>
        <v>46269</v>
      </c>
      <c r="R259" s="90"/>
      <c r="S259" s="90">
        <f t="shared" si="431"/>
        <v>46283</v>
      </c>
      <c r="T259" s="90">
        <f t="shared" si="432"/>
        <v>46283</v>
      </c>
      <c r="U259" s="90"/>
      <c r="W259" s="173" t="str">
        <f t="shared" ca="1" si="433"/>
        <v>Completed</v>
      </c>
      <c r="X259" s="173" t="str">
        <f t="shared" ca="1" si="434"/>
        <v>Completed</v>
      </c>
      <c r="Y259" s="173" t="str">
        <f t="shared" ca="1" si="435"/>
        <v>Follow-This Week</v>
      </c>
      <c r="Z259" s="174" t="str">
        <f t="shared" ca="1" si="436"/>
        <v/>
      </c>
    </row>
    <row r="260" spans="1:26" s="70" customFormat="1" ht="11.5" x14ac:dyDescent="0.25">
      <c r="A260" s="92" t="s">
        <v>66</v>
      </c>
      <c r="B260" s="92" t="s">
        <v>14</v>
      </c>
      <c r="C260" s="92" t="s">
        <v>992</v>
      </c>
      <c r="D260" s="92" t="s">
        <v>320</v>
      </c>
      <c r="E260" s="94">
        <f t="shared" si="441"/>
        <v>0.7</v>
      </c>
      <c r="F260" s="94">
        <f t="shared" si="442"/>
        <v>0.7</v>
      </c>
      <c r="G260" s="94">
        <f t="shared" si="442"/>
        <v>0.7</v>
      </c>
      <c r="H260" s="94">
        <f t="shared" si="443"/>
        <v>0</v>
      </c>
      <c r="I260" s="130">
        <v>4.7E-2</v>
      </c>
      <c r="J260" s="90">
        <v>46185</v>
      </c>
      <c r="K260" s="90">
        <f t="shared" ref="K260:K336" si="444">J260</f>
        <v>46185</v>
      </c>
      <c r="L260" s="90">
        <v>46136</v>
      </c>
      <c r="M260" s="90">
        <f t="shared" ref="M260:M336" si="445">J260+42</f>
        <v>46227</v>
      </c>
      <c r="N260" s="90">
        <f t="shared" ref="N260:N336" si="446">M260</f>
        <v>46227</v>
      </c>
      <c r="O260" s="90">
        <v>46240</v>
      </c>
      <c r="P260" s="90">
        <f t="shared" ref="P260:P327" si="447">M260+42</f>
        <v>46269</v>
      </c>
      <c r="Q260" s="90">
        <f t="shared" ref="Q260:Q336" si="448">P260</f>
        <v>46269</v>
      </c>
      <c r="R260" s="90"/>
      <c r="S260" s="90">
        <f t="shared" si="431"/>
        <v>46283</v>
      </c>
      <c r="T260" s="90">
        <f t="shared" ref="T260:T336" si="449">S260</f>
        <v>46283</v>
      </c>
      <c r="U260" s="90"/>
      <c r="W260" s="173" t="str">
        <f t="shared" ca="1" si="433"/>
        <v>Completed</v>
      </c>
      <c r="X260" s="173" t="str">
        <f t="shared" ca="1" si="434"/>
        <v>Completed</v>
      </c>
      <c r="Y260" s="173" t="str">
        <f t="shared" ca="1" si="435"/>
        <v>Follow-This Week</v>
      </c>
      <c r="Z260" s="174" t="str">
        <f t="shared" ca="1" si="436"/>
        <v/>
      </c>
    </row>
    <row r="261" spans="1:26" s="70" customFormat="1" ht="11.5" x14ac:dyDescent="0.25">
      <c r="A261" s="92" t="s">
        <v>66</v>
      </c>
      <c r="B261" s="92" t="s">
        <v>14</v>
      </c>
      <c r="C261" s="92" t="s">
        <v>993</v>
      </c>
      <c r="D261" s="92" t="s">
        <v>321</v>
      </c>
      <c r="E261" s="94">
        <f t="shared" ref="E261" si="450">(COUNTIFS(J261,"&lt;="&amp;$C$1)*50%)+(COUNTIFS(M261,"&lt;="&amp;$C$1)*20%)+(COUNTIFS(P261,"&lt;="&amp;$C$1)*10%)+(COUNTIFS(S261,"&lt;="&amp;$C$1)*20%)</f>
        <v>0.7</v>
      </c>
      <c r="F261" s="94">
        <f t="shared" ref="F261" si="451">(COUNTIFS(K261,"&lt;="&amp;$C$1)*50%)+(COUNTIFS(N261,"&lt;="&amp;$C$1)*20%)+(COUNTIFS(Q261,"&lt;="&amp;$C$1)*10%)+(COUNTIFS(T261,"&lt;="&amp;$C$1)*20%)</f>
        <v>0.7</v>
      </c>
      <c r="G261" s="94">
        <f t="shared" ref="G261" si="452">(COUNTIFS(L261,"&lt;="&amp;$C$1)*50%)+(COUNTIFS(O261,"&lt;="&amp;$C$1)*20%)+(COUNTIFS(R261,"&lt;="&amp;$C$1)*10%)+(COUNTIFS(U261,"&lt;="&amp;$C$1)*20%)</f>
        <v>0.7</v>
      </c>
      <c r="H261" s="94">
        <f t="shared" ref="H261" si="453">G261-E261</f>
        <v>0</v>
      </c>
      <c r="I261" s="130">
        <v>4.7E-2</v>
      </c>
      <c r="J261" s="90">
        <v>46185</v>
      </c>
      <c r="K261" s="90">
        <f t="shared" si="444"/>
        <v>46185</v>
      </c>
      <c r="L261" s="90">
        <v>46136</v>
      </c>
      <c r="M261" s="90">
        <f t="shared" si="445"/>
        <v>46227</v>
      </c>
      <c r="N261" s="90">
        <f t="shared" si="446"/>
        <v>46227</v>
      </c>
      <c r="O261" s="90">
        <v>46240</v>
      </c>
      <c r="P261" s="90">
        <f t="shared" si="447"/>
        <v>46269</v>
      </c>
      <c r="Q261" s="90">
        <f t="shared" si="448"/>
        <v>46269</v>
      </c>
      <c r="R261" s="90"/>
      <c r="S261" s="90">
        <f t="shared" ref="S261:S337" si="454">P261+14</f>
        <v>46283</v>
      </c>
      <c r="T261" s="90">
        <f t="shared" si="449"/>
        <v>46283</v>
      </c>
      <c r="U261" s="90"/>
      <c r="W261" s="173" t="str">
        <f t="shared" ca="1" si="433"/>
        <v>Completed</v>
      </c>
      <c r="X261" s="173" t="str">
        <f t="shared" ca="1" si="434"/>
        <v>Completed</v>
      </c>
      <c r="Y261" s="173" t="str">
        <f t="shared" ca="1" si="435"/>
        <v>Follow-This Week</v>
      </c>
      <c r="Z261" s="174" t="str">
        <f t="shared" ca="1" si="436"/>
        <v/>
      </c>
    </row>
    <row r="262" spans="1:26" s="70" customFormat="1" ht="11.5" x14ac:dyDescent="0.25">
      <c r="A262" s="92" t="s">
        <v>66</v>
      </c>
      <c r="B262" s="92" t="s">
        <v>14</v>
      </c>
      <c r="C262" s="92" t="s">
        <v>994</v>
      </c>
      <c r="D262" s="92" t="s">
        <v>322</v>
      </c>
      <c r="E262" s="94">
        <f t="shared" si="441"/>
        <v>0.7</v>
      </c>
      <c r="F262" s="94">
        <f t="shared" si="442"/>
        <v>0.7</v>
      </c>
      <c r="G262" s="94">
        <f t="shared" si="442"/>
        <v>0.7</v>
      </c>
      <c r="H262" s="94">
        <f t="shared" si="443"/>
        <v>0</v>
      </c>
      <c r="I262" s="130">
        <v>4.7E-2</v>
      </c>
      <c r="J262" s="90">
        <v>46185</v>
      </c>
      <c r="K262" s="90">
        <f t="shared" si="444"/>
        <v>46185</v>
      </c>
      <c r="L262" s="90">
        <v>46136</v>
      </c>
      <c r="M262" s="90">
        <f t="shared" si="445"/>
        <v>46227</v>
      </c>
      <c r="N262" s="90">
        <f t="shared" si="446"/>
        <v>46227</v>
      </c>
      <c r="O262" s="90">
        <v>46240</v>
      </c>
      <c r="P262" s="90">
        <f t="shared" si="447"/>
        <v>46269</v>
      </c>
      <c r="Q262" s="90">
        <f t="shared" si="448"/>
        <v>46269</v>
      </c>
      <c r="R262" s="90"/>
      <c r="S262" s="90">
        <f t="shared" si="454"/>
        <v>46283</v>
      </c>
      <c r="T262" s="90">
        <f t="shared" si="449"/>
        <v>46283</v>
      </c>
      <c r="U262" s="90"/>
      <c r="W262" s="173" t="str">
        <f t="shared" ca="1" si="433"/>
        <v>Completed</v>
      </c>
      <c r="X262" s="173" t="str">
        <f t="shared" ca="1" si="434"/>
        <v>Completed</v>
      </c>
      <c r="Y262" s="173" t="str">
        <f t="shared" ca="1" si="435"/>
        <v>Follow-This Week</v>
      </c>
      <c r="Z262" s="174" t="str">
        <f t="shared" ca="1" si="436"/>
        <v/>
      </c>
    </row>
    <row r="263" spans="1:26" s="70" customFormat="1" ht="11.5" x14ac:dyDescent="0.25">
      <c r="A263" s="92" t="s">
        <v>66</v>
      </c>
      <c r="B263" s="92" t="s">
        <v>14</v>
      </c>
      <c r="C263" s="92" t="s">
        <v>995</v>
      </c>
      <c r="D263" s="92" t="s">
        <v>323</v>
      </c>
      <c r="E263" s="94">
        <f t="shared" si="441"/>
        <v>0.7</v>
      </c>
      <c r="F263" s="94">
        <f t="shared" si="442"/>
        <v>0.7</v>
      </c>
      <c r="G263" s="94">
        <f t="shared" si="442"/>
        <v>0.7</v>
      </c>
      <c r="H263" s="94">
        <f t="shared" si="443"/>
        <v>0</v>
      </c>
      <c r="I263" s="130">
        <v>4.7E-2</v>
      </c>
      <c r="J263" s="90">
        <v>46185</v>
      </c>
      <c r="K263" s="90">
        <f t="shared" si="444"/>
        <v>46185</v>
      </c>
      <c r="L263" s="90">
        <v>46136</v>
      </c>
      <c r="M263" s="90">
        <f t="shared" si="445"/>
        <v>46227</v>
      </c>
      <c r="N263" s="90">
        <f t="shared" si="446"/>
        <v>46227</v>
      </c>
      <c r="O263" s="90">
        <v>46240</v>
      </c>
      <c r="P263" s="90">
        <f t="shared" si="447"/>
        <v>46269</v>
      </c>
      <c r="Q263" s="90">
        <f t="shared" si="448"/>
        <v>46269</v>
      </c>
      <c r="R263" s="90"/>
      <c r="S263" s="90">
        <f t="shared" si="454"/>
        <v>46283</v>
      </c>
      <c r="T263" s="90">
        <f t="shared" si="449"/>
        <v>46283</v>
      </c>
      <c r="U263" s="90"/>
      <c r="W263" s="173" t="str">
        <f t="shared" ca="1" si="433"/>
        <v>Completed</v>
      </c>
      <c r="X263" s="173" t="str">
        <f t="shared" ca="1" si="434"/>
        <v>Completed</v>
      </c>
      <c r="Y263" s="173" t="str">
        <f t="shared" ca="1" si="435"/>
        <v>Follow-This Week</v>
      </c>
      <c r="Z263" s="174" t="str">
        <f t="shared" ca="1" si="436"/>
        <v/>
      </c>
    </row>
    <row r="264" spans="1:26" s="70" customFormat="1" ht="11.5" x14ac:dyDescent="0.25">
      <c r="A264" s="92" t="s">
        <v>66</v>
      </c>
      <c r="B264" s="92" t="s">
        <v>14</v>
      </c>
      <c r="C264" s="92" t="s">
        <v>996</v>
      </c>
      <c r="D264" s="92" t="s">
        <v>324</v>
      </c>
      <c r="E264" s="94">
        <f t="shared" si="441"/>
        <v>0.7</v>
      </c>
      <c r="F264" s="94">
        <f t="shared" si="442"/>
        <v>0.7</v>
      </c>
      <c r="G264" s="94">
        <f t="shared" si="442"/>
        <v>0.7</v>
      </c>
      <c r="H264" s="94">
        <f t="shared" si="443"/>
        <v>0</v>
      </c>
      <c r="I264" s="130">
        <v>4.7E-2</v>
      </c>
      <c r="J264" s="90">
        <v>46185</v>
      </c>
      <c r="K264" s="90">
        <f t="shared" si="444"/>
        <v>46185</v>
      </c>
      <c r="L264" s="90">
        <v>46136</v>
      </c>
      <c r="M264" s="90">
        <f t="shared" si="445"/>
        <v>46227</v>
      </c>
      <c r="N264" s="90">
        <f t="shared" si="446"/>
        <v>46227</v>
      </c>
      <c r="O264" s="90">
        <v>46240</v>
      </c>
      <c r="P264" s="90">
        <f t="shared" si="447"/>
        <v>46269</v>
      </c>
      <c r="Q264" s="90">
        <f t="shared" si="448"/>
        <v>46269</v>
      </c>
      <c r="R264" s="90"/>
      <c r="S264" s="90">
        <f t="shared" si="454"/>
        <v>46283</v>
      </c>
      <c r="T264" s="90">
        <f t="shared" si="449"/>
        <v>46283</v>
      </c>
      <c r="U264" s="90"/>
      <c r="W264" s="173" t="str">
        <f t="shared" ca="1" si="433"/>
        <v>Completed</v>
      </c>
      <c r="X264" s="173" t="str">
        <f t="shared" ca="1" si="434"/>
        <v>Completed</v>
      </c>
      <c r="Y264" s="173" t="str">
        <f t="shared" ca="1" si="435"/>
        <v>Follow-This Week</v>
      </c>
      <c r="Z264" s="174" t="str">
        <f t="shared" ca="1" si="436"/>
        <v/>
      </c>
    </row>
    <row r="265" spans="1:26" s="70" customFormat="1" ht="11.5" x14ac:dyDescent="0.25">
      <c r="A265" s="92" t="s">
        <v>66</v>
      </c>
      <c r="B265" s="92" t="s">
        <v>14</v>
      </c>
      <c r="C265" s="92" t="s">
        <v>997</v>
      </c>
      <c r="D265" s="92" t="s">
        <v>325</v>
      </c>
      <c r="E265" s="94">
        <f t="shared" si="441"/>
        <v>0.7</v>
      </c>
      <c r="F265" s="94">
        <f t="shared" si="442"/>
        <v>0.7</v>
      </c>
      <c r="G265" s="94">
        <f t="shared" si="442"/>
        <v>0.7</v>
      </c>
      <c r="H265" s="94">
        <f t="shared" si="443"/>
        <v>0</v>
      </c>
      <c r="I265" s="130">
        <v>4.7E-2</v>
      </c>
      <c r="J265" s="90">
        <v>46185</v>
      </c>
      <c r="K265" s="90">
        <f t="shared" si="444"/>
        <v>46185</v>
      </c>
      <c r="L265" s="90">
        <v>46136</v>
      </c>
      <c r="M265" s="90">
        <f t="shared" si="445"/>
        <v>46227</v>
      </c>
      <c r="N265" s="90">
        <f t="shared" si="446"/>
        <v>46227</v>
      </c>
      <c r="O265" s="90">
        <v>46240</v>
      </c>
      <c r="P265" s="90">
        <f t="shared" si="447"/>
        <v>46269</v>
      </c>
      <c r="Q265" s="90">
        <f t="shared" si="448"/>
        <v>46269</v>
      </c>
      <c r="R265" s="90"/>
      <c r="S265" s="90">
        <f t="shared" si="454"/>
        <v>46283</v>
      </c>
      <c r="T265" s="90">
        <f t="shared" si="449"/>
        <v>46283</v>
      </c>
      <c r="U265" s="90"/>
      <c r="W265" s="173" t="str">
        <f t="shared" ca="1" si="433"/>
        <v>Completed</v>
      </c>
      <c r="X265" s="173" t="str">
        <f t="shared" ca="1" si="434"/>
        <v>Completed</v>
      </c>
      <c r="Y265" s="173" t="str">
        <f t="shared" ca="1" si="435"/>
        <v>Follow-This Week</v>
      </c>
      <c r="Z265" s="174" t="str">
        <f t="shared" ca="1" si="436"/>
        <v/>
      </c>
    </row>
    <row r="266" spans="1:26" s="70" customFormat="1" ht="11.5" x14ac:dyDescent="0.25">
      <c r="A266" s="92" t="s">
        <v>66</v>
      </c>
      <c r="B266" s="92" t="s">
        <v>14</v>
      </c>
      <c r="C266" s="92" t="s">
        <v>998</v>
      </c>
      <c r="D266" s="92" t="s">
        <v>326</v>
      </c>
      <c r="E266" s="94">
        <f t="shared" si="441"/>
        <v>0.7</v>
      </c>
      <c r="F266" s="94">
        <f t="shared" si="442"/>
        <v>0.7</v>
      </c>
      <c r="G266" s="94">
        <f t="shared" si="442"/>
        <v>0.7</v>
      </c>
      <c r="H266" s="94">
        <f t="shared" si="443"/>
        <v>0</v>
      </c>
      <c r="I266" s="130">
        <v>4.7E-2</v>
      </c>
      <c r="J266" s="90">
        <v>46185</v>
      </c>
      <c r="K266" s="90">
        <f t="shared" si="444"/>
        <v>46185</v>
      </c>
      <c r="L266" s="90">
        <v>46136</v>
      </c>
      <c r="M266" s="90">
        <f t="shared" si="445"/>
        <v>46227</v>
      </c>
      <c r="N266" s="90">
        <f t="shared" si="446"/>
        <v>46227</v>
      </c>
      <c r="O266" s="90">
        <v>46240</v>
      </c>
      <c r="P266" s="90">
        <f t="shared" si="447"/>
        <v>46269</v>
      </c>
      <c r="Q266" s="90">
        <f t="shared" si="448"/>
        <v>46269</v>
      </c>
      <c r="R266" s="90"/>
      <c r="S266" s="90">
        <f t="shared" si="454"/>
        <v>46283</v>
      </c>
      <c r="T266" s="90">
        <f t="shared" si="449"/>
        <v>46283</v>
      </c>
      <c r="U266" s="90"/>
      <c r="W266" s="173" t="str">
        <f t="shared" ca="1" si="433"/>
        <v>Completed</v>
      </c>
      <c r="X266" s="173" t="str">
        <f t="shared" ca="1" si="434"/>
        <v>Completed</v>
      </c>
      <c r="Y266" s="173" t="str">
        <f t="shared" ca="1" si="435"/>
        <v>Follow-This Week</v>
      </c>
      <c r="Z266" s="174" t="str">
        <f t="shared" ca="1" si="436"/>
        <v/>
      </c>
    </row>
    <row r="267" spans="1:26" s="70" customFormat="1" ht="11.5" x14ac:dyDescent="0.25">
      <c r="A267" s="93" t="s">
        <v>66</v>
      </c>
      <c r="B267" s="93" t="s">
        <v>14</v>
      </c>
      <c r="C267" s="93" t="s">
        <v>999</v>
      </c>
      <c r="D267" s="92" t="s">
        <v>327</v>
      </c>
      <c r="E267" s="94">
        <f t="shared" si="441"/>
        <v>0.7</v>
      </c>
      <c r="F267" s="94">
        <f t="shared" si="442"/>
        <v>0.7</v>
      </c>
      <c r="G267" s="94">
        <f t="shared" si="442"/>
        <v>0.7</v>
      </c>
      <c r="H267" s="94">
        <f t="shared" si="443"/>
        <v>0</v>
      </c>
      <c r="I267" s="130">
        <v>4.7E-2</v>
      </c>
      <c r="J267" s="90">
        <v>46185</v>
      </c>
      <c r="K267" s="90">
        <f t="shared" si="444"/>
        <v>46185</v>
      </c>
      <c r="L267" s="90">
        <v>46136</v>
      </c>
      <c r="M267" s="90">
        <f t="shared" si="445"/>
        <v>46227</v>
      </c>
      <c r="N267" s="90">
        <f t="shared" si="446"/>
        <v>46227</v>
      </c>
      <c r="O267" s="90">
        <v>46240</v>
      </c>
      <c r="P267" s="90">
        <f t="shared" si="447"/>
        <v>46269</v>
      </c>
      <c r="Q267" s="90">
        <f t="shared" si="448"/>
        <v>46269</v>
      </c>
      <c r="R267" s="90"/>
      <c r="S267" s="90">
        <f t="shared" si="454"/>
        <v>46283</v>
      </c>
      <c r="T267" s="90">
        <f t="shared" si="449"/>
        <v>46283</v>
      </c>
      <c r="U267" s="90"/>
      <c r="W267" s="173" t="str">
        <f t="shared" ca="1" si="433"/>
        <v>Completed</v>
      </c>
      <c r="X267" s="173" t="str">
        <f t="shared" ca="1" si="434"/>
        <v>Completed</v>
      </c>
      <c r="Y267" s="173" t="str">
        <f t="shared" ca="1" si="435"/>
        <v>Follow-This Week</v>
      </c>
      <c r="Z267" s="174" t="str">
        <f t="shared" ca="1" si="436"/>
        <v/>
      </c>
    </row>
    <row r="268" spans="1:26" s="70" customFormat="1" ht="11.5" x14ac:dyDescent="0.25">
      <c r="A268" s="93" t="s">
        <v>66</v>
      </c>
      <c r="B268" s="93" t="s">
        <v>14</v>
      </c>
      <c r="C268" s="93" t="s">
        <v>1000</v>
      </c>
      <c r="D268" s="92" t="s">
        <v>328</v>
      </c>
      <c r="E268" s="94">
        <f t="shared" si="441"/>
        <v>0.7</v>
      </c>
      <c r="F268" s="94">
        <f t="shared" si="442"/>
        <v>0.7</v>
      </c>
      <c r="G268" s="94">
        <f t="shared" si="442"/>
        <v>0.7</v>
      </c>
      <c r="H268" s="94">
        <f t="shared" si="443"/>
        <v>0</v>
      </c>
      <c r="I268" s="130">
        <v>4.7E-2</v>
      </c>
      <c r="J268" s="90">
        <v>46185</v>
      </c>
      <c r="K268" s="90">
        <f t="shared" si="444"/>
        <v>46185</v>
      </c>
      <c r="L268" s="90">
        <v>46136</v>
      </c>
      <c r="M268" s="90">
        <f t="shared" si="445"/>
        <v>46227</v>
      </c>
      <c r="N268" s="90">
        <f t="shared" si="446"/>
        <v>46227</v>
      </c>
      <c r="O268" s="90">
        <v>46240</v>
      </c>
      <c r="P268" s="90">
        <f t="shared" si="447"/>
        <v>46269</v>
      </c>
      <c r="Q268" s="90">
        <f t="shared" si="448"/>
        <v>46269</v>
      </c>
      <c r="R268" s="90"/>
      <c r="S268" s="90">
        <f t="shared" si="454"/>
        <v>46283</v>
      </c>
      <c r="T268" s="90">
        <f t="shared" si="449"/>
        <v>46283</v>
      </c>
      <c r="U268" s="90"/>
      <c r="W268" s="173" t="str">
        <f t="shared" ca="1" si="433"/>
        <v>Completed</v>
      </c>
      <c r="X268" s="173" t="str">
        <f t="shared" ca="1" si="434"/>
        <v>Completed</v>
      </c>
      <c r="Y268" s="173" t="str">
        <f t="shared" ca="1" si="435"/>
        <v>Follow-This Week</v>
      </c>
      <c r="Z268" s="174" t="str">
        <f t="shared" ca="1" si="436"/>
        <v/>
      </c>
    </row>
    <row r="269" spans="1:26" s="70" customFormat="1" ht="11.5" x14ac:dyDescent="0.25">
      <c r="A269" s="93" t="s">
        <v>66</v>
      </c>
      <c r="B269" s="93" t="s">
        <v>14</v>
      </c>
      <c r="C269" s="93" t="s">
        <v>1001</v>
      </c>
      <c r="D269" s="92" t="s">
        <v>329</v>
      </c>
      <c r="E269" s="94">
        <f t="shared" si="441"/>
        <v>0.7</v>
      </c>
      <c r="F269" s="94">
        <f t="shared" si="442"/>
        <v>0.7</v>
      </c>
      <c r="G269" s="94">
        <f t="shared" si="442"/>
        <v>0.7</v>
      </c>
      <c r="H269" s="94">
        <f t="shared" si="443"/>
        <v>0</v>
      </c>
      <c r="I269" s="130">
        <v>4.7E-2</v>
      </c>
      <c r="J269" s="90">
        <v>46185</v>
      </c>
      <c r="K269" s="90">
        <f t="shared" si="444"/>
        <v>46185</v>
      </c>
      <c r="L269" s="90">
        <v>46136</v>
      </c>
      <c r="M269" s="90">
        <f t="shared" si="445"/>
        <v>46227</v>
      </c>
      <c r="N269" s="90">
        <f t="shared" si="446"/>
        <v>46227</v>
      </c>
      <c r="O269" s="90">
        <v>46240</v>
      </c>
      <c r="P269" s="90">
        <f t="shared" si="447"/>
        <v>46269</v>
      </c>
      <c r="Q269" s="90">
        <f t="shared" si="448"/>
        <v>46269</v>
      </c>
      <c r="R269" s="90"/>
      <c r="S269" s="90">
        <f t="shared" si="454"/>
        <v>46283</v>
      </c>
      <c r="T269" s="90">
        <f t="shared" si="449"/>
        <v>46283</v>
      </c>
      <c r="U269" s="90"/>
      <c r="W269" s="173" t="str">
        <f t="shared" ca="1" si="433"/>
        <v>Completed</v>
      </c>
      <c r="X269" s="173" t="str">
        <f t="shared" ca="1" si="434"/>
        <v>Completed</v>
      </c>
      <c r="Y269" s="173" t="str">
        <f t="shared" ca="1" si="435"/>
        <v>Follow-This Week</v>
      </c>
      <c r="Z269" s="174" t="str">
        <f t="shared" ca="1" si="436"/>
        <v/>
      </c>
    </row>
    <row r="270" spans="1:26" s="70" customFormat="1" ht="11.5" x14ac:dyDescent="0.25">
      <c r="A270" s="93" t="s">
        <v>66</v>
      </c>
      <c r="B270" s="93" t="s">
        <v>14</v>
      </c>
      <c r="C270" s="93" t="s">
        <v>1002</v>
      </c>
      <c r="D270" s="92" t="s">
        <v>330</v>
      </c>
      <c r="E270" s="94">
        <f t="shared" si="441"/>
        <v>0.7</v>
      </c>
      <c r="F270" s="94">
        <f t="shared" si="442"/>
        <v>0.7</v>
      </c>
      <c r="G270" s="94">
        <f t="shared" si="442"/>
        <v>0.7</v>
      </c>
      <c r="H270" s="94">
        <f t="shared" si="443"/>
        <v>0</v>
      </c>
      <c r="I270" s="130">
        <v>4.7E-2</v>
      </c>
      <c r="J270" s="90">
        <v>46185</v>
      </c>
      <c r="K270" s="90">
        <f t="shared" si="444"/>
        <v>46185</v>
      </c>
      <c r="L270" s="90">
        <v>46136</v>
      </c>
      <c r="M270" s="90">
        <f t="shared" si="445"/>
        <v>46227</v>
      </c>
      <c r="N270" s="90">
        <f t="shared" si="446"/>
        <v>46227</v>
      </c>
      <c r="O270" s="90">
        <v>46240</v>
      </c>
      <c r="P270" s="90">
        <f t="shared" si="447"/>
        <v>46269</v>
      </c>
      <c r="Q270" s="90">
        <f t="shared" si="448"/>
        <v>46269</v>
      </c>
      <c r="R270" s="90"/>
      <c r="S270" s="90">
        <f t="shared" si="454"/>
        <v>46283</v>
      </c>
      <c r="T270" s="90">
        <f t="shared" si="449"/>
        <v>46283</v>
      </c>
      <c r="U270" s="90"/>
      <c r="W270" s="173" t="str">
        <f t="shared" ca="1" si="433"/>
        <v>Completed</v>
      </c>
      <c r="X270" s="173" t="str">
        <f t="shared" ca="1" si="434"/>
        <v>Completed</v>
      </c>
      <c r="Y270" s="173" t="str">
        <f t="shared" ca="1" si="435"/>
        <v>Follow-This Week</v>
      </c>
      <c r="Z270" s="174" t="str">
        <f t="shared" ca="1" si="436"/>
        <v/>
      </c>
    </row>
    <row r="271" spans="1:26" s="70" customFormat="1" ht="11.5" x14ac:dyDescent="0.25">
      <c r="A271" s="93" t="s">
        <v>66</v>
      </c>
      <c r="B271" s="93" t="s">
        <v>14</v>
      </c>
      <c r="C271" s="93" t="s">
        <v>1003</v>
      </c>
      <c r="D271" s="92" t="s">
        <v>331</v>
      </c>
      <c r="E271" s="94">
        <f t="shared" si="441"/>
        <v>0.7</v>
      </c>
      <c r="F271" s="94">
        <f t="shared" si="442"/>
        <v>0.7</v>
      </c>
      <c r="G271" s="94">
        <f t="shared" si="442"/>
        <v>0.7</v>
      </c>
      <c r="H271" s="94">
        <f t="shared" si="443"/>
        <v>0</v>
      </c>
      <c r="I271" s="130">
        <v>4.7E-2</v>
      </c>
      <c r="J271" s="90">
        <v>46185</v>
      </c>
      <c r="K271" s="90">
        <f t="shared" si="444"/>
        <v>46185</v>
      </c>
      <c r="L271" s="90">
        <v>46136</v>
      </c>
      <c r="M271" s="90">
        <f t="shared" si="445"/>
        <v>46227</v>
      </c>
      <c r="N271" s="90">
        <f t="shared" si="446"/>
        <v>46227</v>
      </c>
      <c r="O271" s="90">
        <v>46240</v>
      </c>
      <c r="P271" s="90">
        <f t="shared" si="447"/>
        <v>46269</v>
      </c>
      <c r="Q271" s="90">
        <f t="shared" si="448"/>
        <v>46269</v>
      </c>
      <c r="R271" s="90"/>
      <c r="S271" s="90">
        <f t="shared" si="454"/>
        <v>46283</v>
      </c>
      <c r="T271" s="90">
        <f t="shared" si="449"/>
        <v>46283</v>
      </c>
      <c r="U271" s="90"/>
      <c r="W271" s="173" t="str">
        <f t="shared" ca="1" si="433"/>
        <v>Completed</v>
      </c>
      <c r="X271" s="173" t="str">
        <f t="shared" ca="1" si="434"/>
        <v>Completed</v>
      </c>
      <c r="Y271" s="173" t="str">
        <f t="shared" ca="1" si="435"/>
        <v>Follow-This Week</v>
      </c>
      <c r="Z271" s="174" t="str">
        <f t="shared" ca="1" si="436"/>
        <v/>
      </c>
    </row>
    <row r="272" spans="1:26" s="70" customFormat="1" ht="11.5" x14ac:dyDescent="0.25">
      <c r="A272" s="93" t="s">
        <v>66</v>
      </c>
      <c r="B272" s="93" t="s">
        <v>14</v>
      </c>
      <c r="C272" s="93" t="s">
        <v>1004</v>
      </c>
      <c r="D272" s="92" t="s">
        <v>332</v>
      </c>
      <c r="E272" s="94">
        <f t="shared" si="441"/>
        <v>0.7</v>
      </c>
      <c r="F272" s="94">
        <f t="shared" si="442"/>
        <v>0.7</v>
      </c>
      <c r="G272" s="94">
        <f t="shared" si="442"/>
        <v>0.7</v>
      </c>
      <c r="H272" s="94">
        <f t="shared" si="443"/>
        <v>0</v>
      </c>
      <c r="I272" s="130">
        <v>4.7E-2</v>
      </c>
      <c r="J272" s="90">
        <v>46185</v>
      </c>
      <c r="K272" s="90">
        <f t="shared" si="444"/>
        <v>46185</v>
      </c>
      <c r="L272" s="90">
        <v>46136</v>
      </c>
      <c r="M272" s="90">
        <f t="shared" si="445"/>
        <v>46227</v>
      </c>
      <c r="N272" s="90">
        <f t="shared" si="446"/>
        <v>46227</v>
      </c>
      <c r="O272" s="90">
        <v>46240</v>
      </c>
      <c r="P272" s="90">
        <f t="shared" si="447"/>
        <v>46269</v>
      </c>
      <c r="Q272" s="90">
        <f t="shared" si="448"/>
        <v>46269</v>
      </c>
      <c r="R272" s="90"/>
      <c r="S272" s="90">
        <f t="shared" si="454"/>
        <v>46283</v>
      </c>
      <c r="T272" s="90">
        <f t="shared" si="449"/>
        <v>46283</v>
      </c>
      <c r="U272" s="90"/>
      <c r="W272" s="173" t="str">
        <f t="shared" ca="1" si="433"/>
        <v>Completed</v>
      </c>
      <c r="X272" s="173" t="str">
        <f t="shared" ca="1" si="434"/>
        <v>Completed</v>
      </c>
      <c r="Y272" s="173" t="str">
        <f t="shared" ca="1" si="435"/>
        <v>Follow-This Week</v>
      </c>
      <c r="Z272" s="174" t="str">
        <f t="shared" ca="1" si="436"/>
        <v/>
      </c>
    </row>
    <row r="273" spans="1:26" s="70" customFormat="1" ht="11.5" x14ac:dyDescent="0.25">
      <c r="A273" s="93" t="s">
        <v>66</v>
      </c>
      <c r="B273" s="93" t="s">
        <v>14</v>
      </c>
      <c r="C273" s="93" t="s">
        <v>1005</v>
      </c>
      <c r="D273" s="150" t="s">
        <v>1149</v>
      </c>
      <c r="E273" s="94">
        <f t="shared" si="441"/>
        <v>0.7</v>
      </c>
      <c r="F273" s="94">
        <f t="shared" si="442"/>
        <v>0.7</v>
      </c>
      <c r="G273" s="94">
        <f t="shared" si="442"/>
        <v>0.7</v>
      </c>
      <c r="H273" s="94">
        <f t="shared" si="443"/>
        <v>0</v>
      </c>
      <c r="I273" s="130">
        <v>4.7E-2</v>
      </c>
      <c r="J273" s="90">
        <v>46185</v>
      </c>
      <c r="K273" s="90">
        <f t="shared" si="444"/>
        <v>46185</v>
      </c>
      <c r="L273" s="90">
        <v>46136</v>
      </c>
      <c r="M273" s="90">
        <f t="shared" si="445"/>
        <v>46227</v>
      </c>
      <c r="N273" s="90">
        <f t="shared" si="446"/>
        <v>46227</v>
      </c>
      <c r="O273" s="90">
        <v>46240</v>
      </c>
      <c r="P273" s="90">
        <f t="shared" si="447"/>
        <v>46269</v>
      </c>
      <c r="Q273" s="90">
        <f t="shared" si="448"/>
        <v>46269</v>
      </c>
      <c r="R273" s="90"/>
      <c r="S273" s="90">
        <f t="shared" si="454"/>
        <v>46283</v>
      </c>
      <c r="T273" s="90">
        <f t="shared" si="449"/>
        <v>46283</v>
      </c>
      <c r="U273" s="90"/>
      <c r="W273" s="173" t="str">
        <f t="shared" ca="1" si="433"/>
        <v>Completed</v>
      </c>
      <c r="X273" s="173" t="str">
        <f t="shared" ca="1" si="434"/>
        <v>Completed</v>
      </c>
      <c r="Y273" s="173" t="str">
        <f t="shared" ca="1" si="435"/>
        <v>Follow-This Week</v>
      </c>
      <c r="Z273" s="174" t="str">
        <f t="shared" ca="1" si="436"/>
        <v/>
      </c>
    </row>
    <row r="274" spans="1:26" s="70" customFormat="1" ht="11.5" x14ac:dyDescent="0.25">
      <c r="A274" s="93" t="s">
        <v>66</v>
      </c>
      <c r="B274" s="93" t="s">
        <v>14</v>
      </c>
      <c r="C274" s="93" t="s">
        <v>1006</v>
      </c>
      <c r="D274" s="92" t="s">
        <v>333</v>
      </c>
      <c r="E274" s="94">
        <f t="shared" si="441"/>
        <v>0.7</v>
      </c>
      <c r="F274" s="94">
        <f t="shared" si="442"/>
        <v>0.7</v>
      </c>
      <c r="G274" s="94">
        <f t="shared" si="442"/>
        <v>0.7</v>
      </c>
      <c r="H274" s="94">
        <f t="shared" si="443"/>
        <v>0</v>
      </c>
      <c r="I274" s="130">
        <v>4.7E-2</v>
      </c>
      <c r="J274" s="90">
        <v>46185</v>
      </c>
      <c r="K274" s="90">
        <f t="shared" si="444"/>
        <v>46185</v>
      </c>
      <c r="L274" s="90">
        <v>46136</v>
      </c>
      <c r="M274" s="90">
        <f t="shared" si="445"/>
        <v>46227</v>
      </c>
      <c r="N274" s="90">
        <f t="shared" si="446"/>
        <v>46227</v>
      </c>
      <c r="O274" s="90">
        <v>46240</v>
      </c>
      <c r="P274" s="90">
        <f t="shared" si="447"/>
        <v>46269</v>
      </c>
      <c r="Q274" s="90">
        <f t="shared" si="448"/>
        <v>46269</v>
      </c>
      <c r="R274" s="90"/>
      <c r="S274" s="90">
        <f t="shared" si="454"/>
        <v>46283</v>
      </c>
      <c r="T274" s="90">
        <f t="shared" si="449"/>
        <v>46283</v>
      </c>
      <c r="U274" s="90"/>
      <c r="W274" s="173" t="str">
        <f t="shared" ca="1" si="433"/>
        <v>Completed</v>
      </c>
      <c r="X274" s="173" t="str">
        <f t="shared" ca="1" si="434"/>
        <v>Completed</v>
      </c>
      <c r="Y274" s="173" t="str">
        <f t="shared" ca="1" si="435"/>
        <v>Follow-This Week</v>
      </c>
      <c r="Z274" s="174" t="str">
        <f t="shared" ca="1" si="436"/>
        <v/>
      </c>
    </row>
    <row r="275" spans="1:26" s="70" customFormat="1" ht="11.5" x14ac:dyDescent="0.25">
      <c r="A275" s="162" t="s">
        <v>66</v>
      </c>
      <c r="B275" s="162" t="s">
        <v>14</v>
      </c>
      <c r="C275" s="162" t="s">
        <v>334</v>
      </c>
      <c r="D275" s="162" t="s">
        <v>335</v>
      </c>
      <c r="E275" s="163"/>
      <c r="F275" s="163"/>
      <c r="G275" s="163"/>
      <c r="H275" s="163"/>
      <c r="I275" s="164">
        <v>4.7E-2</v>
      </c>
      <c r="J275" s="159">
        <v>46192</v>
      </c>
      <c r="K275" s="159">
        <f t="shared" si="444"/>
        <v>46192</v>
      </c>
      <c r="L275" s="160">
        <v>46199</v>
      </c>
      <c r="M275" s="159">
        <f t="shared" si="445"/>
        <v>46234</v>
      </c>
      <c r="N275" s="159">
        <f t="shared" si="446"/>
        <v>46234</v>
      </c>
      <c r="O275" s="160">
        <v>46234</v>
      </c>
      <c r="P275" s="159">
        <f t="shared" si="447"/>
        <v>46276</v>
      </c>
      <c r="Q275" s="159">
        <f t="shared" si="448"/>
        <v>46276</v>
      </c>
      <c r="R275" s="160">
        <v>46276</v>
      </c>
      <c r="S275" s="159">
        <f t="shared" si="454"/>
        <v>46290</v>
      </c>
      <c r="T275" s="159">
        <f t="shared" si="449"/>
        <v>46290</v>
      </c>
      <c r="U275" s="160">
        <v>46290</v>
      </c>
      <c r="W275" s="173" t="str">
        <f t="shared" ca="1" si="433"/>
        <v>Completed</v>
      </c>
      <c r="X275" s="173" t="str">
        <f t="shared" ca="1" si="434"/>
        <v>Completed</v>
      </c>
      <c r="Y275" s="173" t="str">
        <f t="shared" ca="1" si="435"/>
        <v>Completed</v>
      </c>
      <c r="Z275" s="174" t="str">
        <f t="shared" ca="1" si="436"/>
        <v>Completed</v>
      </c>
    </row>
    <row r="276" spans="1:26" s="70" customFormat="1" ht="11.5" x14ac:dyDescent="0.25">
      <c r="A276" s="162" t="s">
        <v>66</v>
      </c>
      <c r="B276" s="162" t="s">
        <v>14</v>
      </c>
      <c r="C276" s="162" t="s">
        <v>336</v>
      </c>
      <c r="D276" s="162" t="s">
        <v>337</v>
      </c>
      <c r="E276" s="163"/>
      <c r="F276" s="163"/>
      <c r="G276" s="163"/>
      <c r="H276" s="163"/>
      <c r="I276" s="164">
        <v>4.7E-2</v>
      </c>
      <c r="J276" s="159">
        <v>46192</v>
      </c>
      <c r="K276" s="159">
        <f t="shared" si="444"/>
        <v>46192</v>
      </c>
      <c r="L276" s="160">
        <v>46199</v>
      </c>
      <c r="M276" s="159">
        <f t="shared" si="445"/>
        <v>46234</v>
      </c>
      <c r="N276" s="159">
        <f t="shared" si="446"/>
        <v>46234</v>
      </c>
      <c r="O276" s="160">
        <v>46234</v>
      </c>
      <c r="P276" s="159">
        <f t="shared" si="447"/>
        <v>46276</v>
      </c>
      <c r="Q276" s="159">
        <f t="shared" si="448"/>
        <v>46276</v>
      </c>
      <c r="R276" s="160">
        <v>46276</v>
      </c>
      <c r="S276" s="159">
        <f t="shared" si="454"/>
        <v>46290</v>
      </c>
      <c r="T276" s="159">
        <f t="shared" si="449"/>
        <v>46290</v>
      </c>
      <c r="U276" s="160">
        <v>46290</v>
      </c>
      <c r="W276" s="173" t="str">
        <f t="shared" ca="1" si="433"/>
        <v>Completed</v>
      </c>
      <c r="X276" s="173" t="str">
        <f t="shared" ca="1" si="434"/>
        <v>Completed</v>
      </c>
      <c r="Y276" s="173" t="str">
        <f t="shared" ca="1" si="435"/>
        <v>Completed</v>
      </c>
      <c r="Z276" s="174" t="str">
        <f t="shared" ca="1" si="436"/>
        <v>Completed</v>
      </c>
    </row>
    <row r="277" spans="1:26" s="70" customFormat="1" ht="11.5" x14ac:dyDescent="0.25">
      <c r="A277" s="92" t="s">
        <v>66</v>
      </c>
      <c r="B277" s="92" t="s">
        <v>14</v>
      </c>
      <c r="C277" s="92" t="s">
        <v>963</v>
      </c>
      <c r="D277" s="92" t="s">
        <v>964</v>
      </c>
      <c r="E277" s="94">
        <f t="shared" ref="E277:E281" si="455">(COUNTIFS(J277,"&lt;="&amp;$C$1)*50%)+(COUNTIFS(M277,"&lt;="&amp;$C$1)*20%)+(COUNTIFS(P277,"&lt;="&amp;$C$1)*10%)+(COUNTIFS(S277,"&lt;="&amp;$C$1)*20%)</f>
        <v>0</v>
      </c>
      <c r="F277" s="94">
        <f t="shared" ref="F277:F281" si="456">(COUNTIFS(K277,"&lt;="&amp;$C$1)*50%)+(COUNTIFS(N277,"&lt;="&amp;$C$1)*20%)+(COUNTIFS(Q277,"&lt;="&amp;$C$1)*10%)+(COUNTIFS(T277,"&lt;="&amp;$C$1)*20%)</f>
        <v>0</v>
      </c>
      <c r="G277" s="94">
        <f t="shared" ref="G277:G281" si="457">(COUNTIFS(L277,"&lt;="&amp;$C$1)*50%)+(COUNTIFS(O277,"&lt;="&amp;$C$1)*20%)+(COUNTIFS(R277,"&lt;="&amp;$C$1)*10%)+(COUNTIFS(U277,"&lt;="&amp;$C$1)*20%)</f>
        <v>0</v>
      </c>
      <c r="H277" s="94">
        <f t="shared" ref="H277:H281" si="458">G277-E277</f>
        <v>0</v>
      </c>
      <c r="I277" s="130"/>
      <c r="J277" s="90">
        <v>46304</v>
      </c>
      <c r="K277" s="90">
        <f t="shared" ref="K277" si="459">J277</f>
        <v>46304</v>
      </c>
      <c r="L277" s="161"/>
      <c r="M277" s="90">
        <f t="shared" ref="M277:M278" si="460">J277+42</f>
        <v>46346</v>
      </c>
      <c r="N277" s="90">
        <f t="shared" ref="N277:N278" si="461">M277</f>
        <v>46346</v>
      </c>
      <c r="O277" s="90"/>
      <c r="P277" s="90">
        <f t="shared" ref="P277:P278" si="462">M277+42</f>
        <v>46388</v>
      </c>
      <c r="Q277" s="90">
        <f t="shared" ref="Q277:Q278" si="463">P277</f>
        <v>46388</v>
      </c>
      <c r="R277" s="90"/>
      <c r="S277" s="90">
        <f t="shared" ref="S277:S278" si="464">P277+14</f>
        <v>46402</v>
      </c>
      <c r="T277" s="90">
        <f t="shared" ref="T277:T278" si="465">S277</f>
        <v>46402</v>
      </c>
      <c r="U277" s="90"/>
      <c r="W277" s="173" t="str">
        <f t="shared" ca="1" si="433"/>
        <v/>
      </c>
      <c r="X277" s="173" t="str">
        <f t="shared" ca="1" si="434"/>
        <v/>
      </c>
      <c r="Y277" s="173" t="str">
        <f t="shared" ca="1" si="435"/>
        <v/>
      </c>
      <c r="Z277" s="174" t="str">
        <f t="shared" ca="1" si="436"/>
        <v/>
      </c>
    </row>
    <row r="278" spans="1:26" s="70" customFormat="1" ht="11.5" x14ac:dyDescent="0.25">
      <c r="A278" s="92" t="s">
        <v>66</v>
      </c>
      <c r="B278" s="92" t="s">
        <v>14</v>
      </c>
      <c r="C278" s="92" t="s">
        <v>963</v>
      </c>
      <c r="D278" s="92" t="s">
        <v>965</v>
      </c>
      <c r="E278" s="94">
        <f t="shared" si="455"/>
        <v>0</v>
      </c>
      <c r="F278" s="94">
        <f t="shared" si="456"/>
        <v>0</v>
      </c>
      <c r="G278" s="94">
        <f t="shared" si="457"/>
        <v>0</v>
      </c>
      <c r="H278" s="94">
        <f t="shared" si="458"/>
        <v>0</v>
      </c>
      <c r="I278" s="130"/>
      <c r="J278" s="90">
        <v>46304</v>
      </c>
      <c r="K278" s="90">
        <f t="shared" ref="K278" si="466">J278</f>
        <v>46304</v>
      </c>
      <c r="L278" s="161"/>
      <c r="M278" s="90">
        <f t="shared" si="460"/>
        <v>46346</v>
      </c>
      <c r="N278" s="90">
        <f t="shared" si="461"/>
        <v>46346</v>
      </c>
      <c r="O278" s="90"/>
      <c r="P278" s="90">
        <f t="shared" si="462"/>
        <v>46388</v>
      </c>
      <c r="Q278" s="90">
        <f t="shared" si="463"/>
        <v>46388</v>
      </c>
      <c r="R278" s="90"/>
      <c r="S278" s="90">
        <f t="shared" si="464"/>
        <v>46402</v>
      </c>
      <c r="T278" s="90">
        <f t="shared" si="465"/>
        <v>46402</v>
      </c>
      <c r="U278" s="90"/>
      <c r="W278" s="173" t="str">
        <f t="shared" ca="1" si="433"/>
        <v/>
      </c>
      <c r="X278" s="173" t="str">
        <f t="shared" ca="1" si="434"/>
        <v/>
      </c>
      <c r="Y278" s="173" t="str">
        <f t="shared" ca="1" si="435"/>
        <v/>
      </c>
      <c r="Z278" s="174" t="str">
        <f t="shared" ca="1" si="436"/>
        <v/>
      </c>
    </row>
    <row r="279" spans="1:26" s="70" customFormat="1" ht="11.5" x14ac:dyDescent="0.25">
      <c r="A279" s="93" t="s">
        <v>66</v>
      </c>
      <c r="B279" s="93" t="s">
        <v>14</v>
      </c>
      <c r="C279" s="92" t="s">
        <v>915</v>
      </c>
      <c r="D279" s="92" t="s">
        <v>920</v>
      </c>
      <c r="E279" s="94">
        <f t="shared" si="455"/>
        <v>0.7</v>
      </c>
      <c r="F279" s="94">
        <f t="shared" si="456"/>
        <v>0.7</v>
      </c>
      <c r="G279" s="94">
        <f t="shared" si="457"/>
        <v>0.7</v>
      </c>
      <c r="H279" s="94">
        <f t="shared" si="458"/>
        <v>0</v>
      </c>
      <c r="I279" s="130"/>
      <c r="J279" s="90">
        <v>46199</v>
      </c>
      <c r="K279" s="90">
        <f t="shared" si="444"/>
        <v>46199</v>
      </c>
      <c r="L279" s="90">
        <v>46190</v>
      </c>
      <c r="M279" s="90">
        <f t="shared" ref="M279:M289" si="467">J279+42</f>
        <v>46241</v>
      </c>
      <c r="N279" s="90">
        <f t="shared" ref="N279:N289" si="468">M279</f>
        <v>46241</v>
      </c>
      <c r="O279" s="90">
        <v>46255</v>
      </c>
      <c r="P279" s="90">
        <f t="shared" ref="P279:P289" si="469">M279+42</f>
        <v>46283</v>
      </c>
      <c r="Q279" s="90">
        <f t="shared" ref="Q279:Q289" si="470">P279</f>
        <v>46283</v>
      </c>
      <c r="R279" s="90"/>
      <c r="S279" s="90">
        <f t="shared" ref="S279:S289" si="471">P279+14</f>
        <v>46297</v>
      </c>
      <c r="T279" s="90">
        <f t="shared" ref="T279:T289" si="472">S279</f>
        <v>46297</v>
      </c>
      <c r="U279" s="90"/>
      <c r="W279" s="173" t="str">
        <f t="shared" ca="1" si="433"/>
        <v>Completed</v>
      </c>
      <c r="X279" s="173" t="str">
        <f t="shared" ca="1" si="434"/>
        <v>Completed</v>
      </c>
      <c r="Y279" s="173" t="str">
        <f t="shared" ca="1" si="435"/>
        <v/>
      </c>
      <c r="Z279" s="174" t="str">
        <f t="shared" ca="1" si="436"/>
        <v/>
      </c>
    </row>
    <row r="280" spans="1:26" s="70" customFormat="1" ht="11.5" x14ac:dyDescent="0.25">
      <c r="A280" s="92" t="s">
        <v>66</v>
      </c>
      <c r="B280" s="92" t="s">
        <v>14</v>
      </c>
      <c r="C280" s="92" t="s">
        <v>916</v>
      </c>
      <c r="D280" s="92" t="s">
        <v>1168</v>
      </c>
      <c r="E280" s="94">
        <f t="shared" si="455"/>
        <v>0</v>
      </c>
      <c r="F280" s="94">
        <f t="shared" si="456"/>
        <v>0</v>
      </c>
      <c r="G280" s="94">
        <f t="shared" si="457"/>
        <v>0.5</v>
      </c>
      <c r="H280" s="94">
        <f t="shared" si="458"/>
        <v>0.5</v>
      </c>
      <c r="I280" s="130"/>
      <c r="J280" s="90">
        <v>46265</v>
      </c>
      <c r="K280" s="90">
        <f t="shared" si="444"/>
        <v>46265</v>
      </c>
      <c r="L280" s="90">
        <v>46255</v>
      </c>
      <c r="M280" s="90">
        <f t="shared" si="467"/>
        <v>46307</v>
      </c>
      <c r="N280" s="90">
        <f t="shared" si="468"/>
        <v>46307</v>
      </c>
      <c r="O280" s="90"/>
      <c r="P280" s="90">
        <f t="shared" si="469"/>
        <v>46349</v>
      </c>
      <c r="Q280" s="90">
        <f t="shared" si="470"/>
        <v>46349</v>
      </c>
      <c r="R280" s="90"/>
      <c r="S280" s="90">
        <f t="shared" si="471"/>
        <v>46363</v>
      </c>
      <c r="T280" s="90">
        <f t="shared" si="472"/>
        <v>46363</v>
      </c>
      <c r="U280" s="90"/>
      <c r="W280" s="173" t="str">
        <f t="shared" ca="1" si="433"/>
        <v>Completed</v>
      </c>
      <c r="X280" s="173" t="str">
        <f t="shared" ca="1" si="434"/>
        <v/>
      </c>
      <c r="Y280" s="173" t="str">
        <f t="shared" ca="1" si="435"/>
        <v/>
      </c>
      <c r="Z280" s="174" t="str">
        <f t="shared" ca="1" si="436"/>
        <v/>
      </c>
    </row>
    <row r="281" spans="1:26" s="70" customFormat="1" ht="11.5" x14ac:dyDescent="0.25">
      <c r="A281" s="92" t="s">
        <v>66</v>
      </c>
      <c r="B281" s="92" t="s">
        <v>14</v>
      </c>
      <c r="C281" s="92" t="s">
        <v>917</v>
      </c>
      <c r="D281" s="92" t="s">
        <v>1169</v>
      </c>
      <c r="E281" s="94">
        <f t="shared" si="455"/>
        <v>0</v>
      </c>
      <c r="F281" s="94">
        <f t="shared" si="456"/>
        <v>0</v>
      </c>
      <c r="G281" s="94">
        <f t="shared" si="457"/>
        <v>0.5</v>
      </c>
      <c r="H281" s="94">
        <f t="shared" si="458"/>
        <v>0.5</v>
      </c>
      <c r="I281" s="130"/>
      <c r="J281" s="90">
        <v>46265</v>
      </c>
      <c r="K281" s="90">
        <f t="shared" si="444"/>
        <v>46265</v>
      </c>
      <c r="L281" s="90">
        <v>46255</v>
      </c>
      <c r="M281" s="90">
        <f t="shared" si="467"/>
        <v>46307</v>
      </c>
      <c r="N281" s="90">
        <f t="shared" si="468"/>
        <v>46307</v>
      </c>
      <c r="O281" s="90"/>
      <c r="P281" s="90">
        <f t="shared" si="469"/>
        <v>46349</v>
      </c>
      <c r="Q281" s="90">
        <f t="shared" si="470"/>
        <v>46349</v>
      </c>
      <c r="R281" s="90"/>
      <c r="S281" s="90">
        <f t="shared" si="471"/>
        <v>46363</v>
      </c>
      <c r="T281" s="90">
        <f t="shared" si="472"/>
        <v>46363</v>
      </c>
      <c r="U281" s="90"/>
      <c r="W281" s="173" t="str">
        <f t="shared" ca="1" si="433"/>
        <v>Completed</v>
      </c>
      <c r="X281" s="173" t="str">
        <f t="shared" ca="1" si="434"/>
        <v/>
      </c>
      <c r="Y281" s="173" t="str">
        <f t="shared" ca="1" si="435"/>
        <v/>
      </c>
      <c r="Z281" s="174" t="str">
        <f t="shared" ca="1" si="436"/>
        <v/>
      </c>
    </row>
    <row r="282" spans="1:26" s="70" customFormat="1" ht="11.5" x14ac:dyDescent="0.25">
      <c r="A282" s="93" t="s">
        <v>66</v>
      </c>
      <c r="B282" s="93" t="s">
        <v>14</v>
      </c>
      <c r="C282" s="92" t="s">
        <v>918</v>
      </c>
      <c r="D282" s="92" t="s">
        <v>1170</v>
      </c>
      <c r="E282" s="94">
        <f t="shared" ref="E282:E289" si="473">(COUNTIFS(J282,"&lt;="&amp;$C$1)*50%)+(COUNTIFS(M282,"&lt;="&amp;$C$1)*20%)+(COUNTIFS(P282,"&lt;="&amp;$C$1)*10%)+(COUNTIFS(S282,"&lt;="&amp;$C$1)*20%)</f>
        <v>0</v>
      </c>
      <c r="F282" s="94">
        <f t="shared" ref="F282:F289" si="474">(COUNTIFS(K282,"&lt;="&amp;$C$1)*50%)+(COUNTIFS(N282,"&lt;="&amp;$C$1)*20%)+(COUNTIFS(Q282,"&lt;="&amp;$C$1)*10%)+(COUNTIFS(T282,"&lt;="&amp;$C$1)*20%)</f>
        <v>0</v>
      </c>
      <c r="G282" s="94">
        <f t="shared" ref="G282:G289" si="475">(COUNTIFS(L282,"&lt;="&amp;$C$1)*50%)+(COUNTIFS(O282,"&lt;="&amp;$C$1)*20%)+(COUNTIFS(R282,"&lt;="&amp;$C$1)*10%)+(COUNTIFS(U282,"&lt;="&amp;$C$1)*20%)</f>
        <v>0.5</v>
      </c>
      <c r="H282" s="94">
        <f t="shared" ref="H282:H289" si="476">G282-E282</f>
        <v>0.5</v>
      </c>
      <c r="I282" s="130"/>
      <c r="J282" s="90">
        <v>46265</v>
      </c>
      <c r="K282" s="90">
        <f t="shared" si="444"/>
        <v>46265</v>
      </c>
      <c r="L282" s="90">
        <v>46255</v>
      </c>
      <c r="M282" s="90">
        <f t="shared" si="467"/>
        <v>46307</v>
      </c>
      <c r="N282" s="90">
        <f t="shared" si="468"/>
        <v>46307</v>
      </c>
      <c r="O282" s="90"/>
      <c r="P282" s="90">
        <f t="shared" si="469"/>
        <v>46349</v>
      </c>
      <c r="Q282" s="90">
        <f t="shared" si="470"/>
        <v>46349</v>
      </c>
      <c r="R282" s="90"/>
      <c r="S282" s="90">
        <f t="shared" si="471"/>
        <v>46363</v>
      </c>
      <c r="T282" s="90">
        <f t="shared" si="472"/>
        <v>46363</v>
      </c>
      <c r="U282" s="90"/>
      <c r="W282" s="173" t="str">
        <f t="shared" ca="1" si="433"/>
        <v>Completed</v>
      </c>
      <c r="X282" s="173" t="str">
        <f t="shared" ca="1" si="434"/>
        <v/>
      </c>
      <c r="Y282" s="173" t="str">
        <f t="shared" ca="1" si="435"/>
        <v/>
      </c>
      <c r="Z282" s="174" t="str">
        <f t="shared" ca="1" si="436"/>
        <v/>
      </c>
    </row>
    <row r="283" spans="1:26" s="70" customFormat="1" ht="11.5" x14ac:dyDescent="0.25">
      <c r="A283" s="92" t="s">
        <v>66</v>
      </c>
      <c r="B283" s="92" t="s">
        <v>14</v>
      </c>
      <c r="C283" s="92" t="s">
        <v>919</v>
      </c>
      <c r="D283" s="92" t="s">
        <v>1171</v>
      </c>
      <c r="E283" s="94">
        <f t="shared" si="473"/>
        <v>0</v>
      </c>
      <c r="F283" s="94">
        <f t="shared" si="474"/>
        <v>0</v>
      </c>
      <c r="G283" s="94">
        <f t="shared" si="475"/>
        <v>0.5</v>
      </c>
      <c r="H283" s="94">
        <f t="shared" si="476"/>
        <v>0.5</v>
      </c>
      <c r="I283" s="130"/>
      <c r="J283" s="90">
        <v>46265</v>
      </c>
      <c r="K283" s="90">
        <f t="shared" si="444"/>
        <v>46265</v>
      </c>
      <c r="L283" s="90">
        <v>46255</v>
      </c>
      <c r="M283" s="90">
        <f t="shared" si="467"/>
        <v>46307</v>
      </c>
      <c r="N283" s="90">
        <f t="shared" si="468"/>
        <v>46307</v>
      </c>
      <c r="O283" s="90"/>
      <c r="P283" s="90">
        <f t="shared" si="469"/>
        <v>46349</v>
      </c>
      <c r="Q283" s="90">
        <f t="shared" si="470"/>
        <v>46349</v>
      </c>
      <c r="R283" s="90"/>
      <c r="S283" s="90">
        <f t="shared" si="471"/>
        <v>46363</v>
      </c>
      <c r="T283" s="90">
        <f t="shared" si="472"/>
        <v>46363</v>
      </c>
      <c r="U283" s="90"/>
      <c r="W283" s="173" t="str">
        <f t="shared" ref="W283:W346" ca="1" si="477">IF(OR(L283&lt;&gt;""),"Completed",
IF(K283="","",IF(K283&lt;TODAY(),"Overdue",
IF(AND(K283&gt;=TODAY()-WEEKDAY(TODAY(),2)+1,K283&lt;=TODAY()-WEEKDAY(TODAY(),2)+7),"Follow-This Week",
IF(AND(K283&gt;=TODAY()-WEEKDAY(TODAY(),2)+8,K283&lt;=TODAY()-WEEKDAY(TODAY(),2)+14),"Follow-Next Week","")))))</f>
        <v>Completed</v>
      </c>
      <c r="X283" s="173" t="str">
        <f t="shared" ref="X283:X346" ca="1" si="478">IF(OR(O283&lt;&gt;""),"Completed",IF(N283="","",
IF(N283&lt;TODAY(),"Overdue",
IF(AND(N283&gt;=TODAY()-WEEKDAY(TODAY(),2)+1,N283&lt;=TODAY()-WEEKDAY(TODAY(),2)+7),"Follow-This Week",
IF(AND(N283&gt;=TODAY()-WEEKDAY(TODAY(),2)+8,N283&lt;=TODAY()-WEEKDAY(TODAY(),2)+14),"Follow-Next Week","")))))</f>
        <v/>
      </c>
      <c r="Y283" s="173" t="str">
        <f t="shared" ref="Y283:Y346" ca="1" si="479">IF(OR(R283&lt;&gt;""),"Completed",IF(Q283="","",
IF(Q283&lt;TODAY(),"Overdue",
IF(AND(Q283&gt;=TODAY()-WEEKDAY(TODAY(),2)+1,Q283&lt;=TODAY()-WEEKDAY(TODAY(),2)+7),"Follow-This Week",
IF(AND(Q283&gt;=TODAY()-WEEKDAY(TODAY(),2)+8,Q283&lt;=TODAY()-WEEKDAY(TODAY(),2)+14),"Follow-Next Week","")))))</f>
        <v/>
      </c>
      <c r="Z283" s="174" t="str">
        <f t="shared" ref="Z283:Z346" ca="1" si="480">IF(OR(U283&lt;&gt;""),"Completed",IF(T283="","",
IF(T283&lt;TODAY(),"Overdue",
IF(AND(T283&gt;=TODAY()-WEEKDAY(TODAY(),2)+1,T283&lt;=TODAY()-WEEKDAY(TODAY(),2)+7),"Follow-This Week",
IF(AND(T283&gt;=TODAY()-WEEKDAY(TODAY(),2)+8,T283&lt;=TODAY()-WEEKDAY(TODAY(),2)+14),"Follow-Next Week","")))))</f>
        <v/>
      </c>
    </row>
    <row r="284" spans="1:26" s="70" customFormat="1" ht="11.5" x14ac:dyDescent="0.25">
      <c r="A284" s="92" t="s">
        <v>66</v>
      </c>
      <c r="B284" s="92" t="s">
        <v>14</v>
      </c>
      <c r="C284" s="92" t="s">
        <v>921</v>
      </c>
      <c r="D284" s="92" t="s">
        <v>1172</v>
      </c>
      <c r="E284" s="94">
        <f t="shared" si="473"/>
        <v>0</v>
      </c>
      <c r="F284" s="94">
        <f t="shared" si="474"/>
        <v>0</v>
      </c>
      <c r="G284" s="94">
        <f t="shared" si="475"/>
        <v>0.5</v>
      </c>
      <c r="H284" s="94">
        <f t="shared" si="476"/>
        <v>0.5</v>
      </c>
      <c r="I284" s="130"/>
      <c r="J284" s="90">
        <v>46265</v>
      </c>
      <c r="K284" s="90">
        <f t="shared" si="444"/>
        <v>46265</v>
      </c>
      <c r="L284" s="90">
        <v>46255</v>
      </c>
      <c r="M284" s="90">
        <f t="shared" si="467"/>
        <v>46307</v>
      </c>
      <c r="N284" s="90">
        <f t="shared" si="468"/>
        <v>46307</v>
      </c>
      <c r="O284" s="90"/>
      <c r="P284" s="90">
        <f t="shared" si="469"/>
        <v>46349</v>
      </c>
      <c r="Q284" s="90">
        <f t="shared" si="470"/>
        <v>46349</v>
      </c>
      <c r="R284" s="90"/>
      <c r="S284" s="90">
        <f t="shared" si="471"/>
        <v>46363</v>
      </c>
      <c r="T284" s="90">
        <f t="shared" si="472"/>
        <v>46363</v>
      </c>
      <c r="U284" s="90"/>
      <c r="W284" s="173" t="str">
        <f t="shared" ca="1" si="477"/>
        <v>Completed</v>
      </c>
      <c r="X284" s="173" t="str">
        <f t="shared" ca="1" si="478"/>
        <v/>
      </c>
      <c r="Y284" s="173" t="str">
        <f t="shared" ca="1" si="479"/>
        <v/>
      </c>
      <c r="Z284" s="174" t="str">
        <f t="shared" ca="1" si="480"/>
        <v/>
      </c>
    </row>
    <row r="285" spans="1:26" s="70" customFormat="1" ht="11.5" x14ac:dyDescent="0.25">
      <c r="A285" s="93" t="s">
        <v>66</v>
      </c>
      <c r="B285" s="93" t="s">
        <v>14</v>
      </c>
      <c r="C285" s="92" t="s">
        <v>922</v>
      </c>
      <c r="D285" s="92" t="s">
        <v>1173</v>
      </c>
      <c r="E285" s="94">
        <f t="shared" si="473"/>
        <v>0</v>
      </c>
      <c r="F285" s="94">
        <f t="shared" si="474"/>
        <v>0</v>
      </c>
      <c r="G285" s="94">
        <f t="shared" si="475"/>
        <v>0.5</v>
      </c>
      <c r="H285" s="94">
        <f t="shared" si="476"/>
        <v>0.5</v>
      </c>
      <c r="I285" s="130"/>
      <c r="J285" s="90">
        <v>46265</v>
      </c>
      <c r="K285" s="90">
        <f t="shared" si="444"/>
        <v>46265</v>
      </c>
      <c r="L285" s="90">
        <v>46255</v>
      </c>
      <c r="M285" s="90">
        <f t="shared" si="467"/>
        <v>46307</v>
      </c>
      <c r="N285" s="90">
        <f t="shared" si="468"/>
        <v>46307</v>
      </c>
      <c r="O285" s="90"/>
      <c r="P285" s="90">
        <f t="shared" si="469"/>
        <v>46349</v>
      </c>
      <c r="Q285" s="90">
        <f t="shared" si="470"/>
        <v>46349</v>
      </c>
      <c r="R285" s="90"/>
      <c r="S285" s="90">
        <f t="shared" si="471"/>
        <v>46363</v>
      </c>
      <c r="T285" s="90">
        <f t="shared" si="472"/>
        <v>46363</v>
      </c>
      <c r="U285" s="90"/>
      <c r="W285" s="173" t="str">
        <f t="shared" ca="1" si="477"/>
        <v>Completed</v>
      </c>
      <c r="X285" s="173" t="str">
        <f t="shared" ca="1" si="478"/>
        <v/>
      </c>
      <c r="Y285" s="173" t="str">
        <f t="shared" ca="1" si="479"/>
        <v/>
      </c>
      <c r="Z285" s="174" t="str">
        <f t="shared" ca="1" si="480"/>
        <v/>
      </c>
    </row>
    <row r="286" spans="1:26" s="70" customFormat="1" ht="11.5" x14ac:dyDescent="0.25">
      <c r="A286" s="92" t="s">
        <v>66</v>
      </c>
      <c r="B286" s="92" t="s">
        <v>14</v>
      </c>
      <c r="C286" s="92" t="s">
        <v>923</v>
      </c>
      <c r="D286" s="92" t="s">
        <v>1174</v>
      </c>
      <c r="E286" s="94">
        <f t="shared" si="473"/>
        <v>0</v>
      </c>
      <c r="F286" s="94">
        <f t="shared" si="474"/>
        <v>0</v>
      </c>
      <c r="G286" s="94">
        <f t="shared" si="475"/>
        <v>0.5</v>
      </c>
      <c r="H286" s="94">
        <f t="shared" si="476"/>
        <v>0.5</v>
      </c>
      <c r="I286" s="130"/>
      <c r="J286" s="90">
        <v>46265</v>
      </c>
      <c r="K286" s="90">
        <f t="shared" si="444"/>
        <v>46265</v>
      </c>
      <c r="L286" s="90">
        <v>46255</v>
      </c>
      <c r="M286" s="90">
        <f t="shared" si="467"/>
        <v>46307</v>
      </c>
      <c r="N286" s="90">
        <f t="shared" si="468"/>
        <v>46307</v>
      </c>
      <c r="O286" s="90"/>
      <c r="P286" s="90">
        <f t="shared" si="469"/>
        <v>46349</v>
      </c>
      <c r="Q286" s="90">
        <f t="shared" si="470"/>
        <v>46349</v>
      </c>
      <c r="R286" s="90"/>
      <c r="S286" s="90">
        <f t="shared" si="471"/>
        <v>46363</v>
      </c>
      <c r="T286" s="90">
        <f t="shared" si="472"/>
        <v>46363</v>
      </c>
      <c r="U286" s="90"/>
      <c r="W286" s="173" t="str">
        <f t="shared" ca="1" si="477"/>
        <v>Completed</v>
      </c>
      <c r="X286" s="173" t="str">
        <f t="shared" ca="1" si="478"/>
        <v/>
      </c>
      <c r="Y286" s="173" t="str">
        <f t="shared" ca="1" si="479"/>
        <v/>
      </c>
      <c r="Z286" s="174" t="str">
        <f t="shared" ca="1" si="480"/>
        <v/>
      </c>
    </row>
    <row r="287" spans="1:26" s="70" customFormat="1" ht="11.5" x14ac:dyDescent="0.25">
      <c r="A287" s="92" t="s">
        <v>66</v>
      </c>
      <c r="B287" s="92" t="s">
        <v>14</v>
      </c>
      <c r="C287" s="92" t="s">
        <v>924</v>
      </c>
      <c r="D287" s="92" t="s">
        <v>1175</v>
      </c>
      <c r="E287" s="94">
        <f t="shared" si="473"/>
        <v>0</v>
      </c>
      <c r="F287" s="94">
        <f t="shared" si="474"/>
        <v>0</v>
      </c>
      <c r="G287" s="94">
        <f t="shared" si="475"/>
        <v>0.5</v>
      </c>
      <c r="H287" s="94">
        <f t="shared" si="476"/>
        <v>0.5</v>
      </c>
      <c r="I287" s="130"/>
      <c r="J287" s="90">
        <v>46265</v>
      </c>
      <c r="K287" s="90">
        <f t="shared" si="444"/>
        <v>46265</v>
      </c>
      <c r="L287" s="90">
        <v>46255</v>
      </c>
      <c r="M287" s="90">
        <f t="shared" si="467"/>
        <v>46307</v>
      </c>
      <c r="N287" s="90">
        <f t="shared" si="468"/>
        <v>46307</v>
      </c>
      <c r="O287" s="90"/>
      <c r="P287" s="90">
        <f t="shared" si="469"/>
        <v>46349</v>
      </c>
      <c r="Q287" s="90">
        <f t="shared" si="470"/>
        <v>46349</v>
      </c>
      <c r="R287" s="90"/>
      <c r="S287" s="90">
        <f t="shared" si="471"/>
        <v>46363</v>
      </c>
      <c r="T287" s="90">
        <f t="shared" si="472"/>
        <v>46363</v>
      </c>
      <c r="U287" s="90"/>
      <c r="W287" s="173" t="str">
        <f t="shared" ca="1" si="477"/>
        <v>Completed</v>
      </c>
      <c r="X287" s="173" t="str">
        <f t="shared" ca="1" si="478"/>
        <v/>
      </c>
      <c r="Y287" s="173" t="str">
        <f t="shared" ca="1" si="479"/>
        <v/>
      </c>
      <c r="Z287" s="174" t="str">
        <f t="shared" ca="1" si="480"/>
        <v/>
      </c>
    </row>
    <row r="288" spans="1:26" s="70" customFormat="1" ht="11.5" x14ac:dyDescent="0.25">
      <c r="A288" s="93" t="s">
        <v>66</v>
      </c>
      <c r="B288" s="93" t="s">
        <v>14</v>
      </c>
      <c r="C288" s="92" t="s">
        <v>925</v>
      </c>
      <c r="D288" s="92" t="s">
        <v>1176</v>
      </c>
      <c r="E288" s="94">
        <f t="shared" si="473"/>
        <v>0</v>
      </c>
      <c r="F288" s="94">
        <f t="shared" si="474"/>
        <v>0</v>
      </c>
      <c r="G288" s="94">
        <f t="shared" si="475"/>
        <v>0</v>
      </c>
      <c r="H288" s="94">
        <f t="shared" si="476"/>
        <v>0</v>
      </c>
      <c r="I288" s="130"/>
      <c r="J288" s="90">
        <v>46265</v>
      </c>
      <c r="K288" s="90">
        <f t="shared" si="444"/>
        <v>46265</v>
      </c>
      <c r="L288" s="90"/>
      <c r="M288" s="90">
        <f t="shared" si="467"/>
        <v>46307</v>
      </c>
      <c r="N288" s="90">
        <f t="shared" si="468"/>
        <v>46307</v>
      </c>
      <c r="O288" s="90"/>
      <c r="P288" s="90">
        <f t="shared" si="469"/>
        <v>46349</v>
      </c>
      <c r="Q288" s="90">
        <f t="shared" si="470"/>
        <v>46349</v>
      </c>
      <c r="R288" s="90"/>
      <c r="S288" s="90">
        <f t="shared" si="471"/>
        <v>46363</v>
      </c>
      <c r="T288" s="90">
        <f t="shared" si="472"/>
        <v>46363</v>
      </c>
      <c r="U288" s="90"/>
      <c r="W288" s="173" t="str">
        <f t="shared" ca="1" si="477"/>
        <v>Follow-This Week</v>
      </c>
      <c r="X288" s="173" t="str">
        <f t="shared" ca="1" si="478"/>
        <v/>
      </c>
      <c r="Y288" s="173" t="str">
        <f t="shared" ca="1" si="479"/>
        <v/>
      </c>
      <c r="Z288" s="174" t="str">
        <f t="shared" ca="1" si="480"/>
        <v/>
      </c>
    </row>
    <row r="289" spans="1:26" s="70" customFormat="1" ht="11.5" x14ac:dyDescent="0.25">
      <c r="A289" s="92" t="s">
        <v>66</v>
      </c>
      <c r="B289" s="92" t="s">
        <v>14</v>
      </c>
      <c r="C289" s="92" t="s">
        <v>926</v>
      </c>
      <c r="D289" s="92" t="s">
        <v>1177</v>
      </c>
      <c r="E289" s="94">
        <f t="shared" si="473"/>
        <v>0</v>
      </c>
      <c r="F289" s="94">
        <f t="shared" si="474"/>
        <v>0</v>
      </c>
      <c r="G289" s="94">
        <f t="shared" si="475"/>
        <v>0</v>
      </c>
      <c r="H289" s="94">
        <f t="shared" si="476"/>
        <v>0</v>
      </c>
      <c r="I289" s="130"/>
      <c r="J289" s="90">
        <v>46265</v>
      </c>
      <c r="K289" s="90">
        <f t="shared" si="444"/>
        <v>46265</v>
      </c>
      <c r="L289" s="90"/>
      <c r="M289" s="90">
        <f t="shared" si="467"/>
        <v>46307</v>
      </c>
      <c r="N289" s="90">
        <f t="shared" si="468"/>
        <v>46307</v>
      </c>
      <c r="O289" s="90"/>
      <c r="P289" s="90">
        <f t="shared" si="469"/>
        <v>46349</v>
      </c>
      <c r="Q289" s="90">
        <f t="shared" si="470"/>
        <v>46349</v>
      </c>
      <c r="R289" s="90"/>
      <c r="S289" s="90">
        <f t="shared" si="471"/>
        <v>46363</v>
      </c>
      <c r="T289" s="90">
        <f t="shared" si="472"/>
        <v>46363</v>
      </c>
      <c r="U289" s="90"/>
      <c r="W289" s="173" t="str">
        <f t="shared" ca="1" si="477"/>
        <v>Follow-This Week</v>
      </c>
      <c r="X289" s="173" t="str">
        <f t="shared" ca="1" si="478"/>
        <v/>
      </c>
      <c r="Y289" s="173" t="str">
        <f t="shared" ca="1" si="479"/>
        <v/>
      </c>
      <c r="Z289" s="174" t="str">
        <f t="shared" ca="1" si="480"/>
        <v/>
      </c>
    </row>
    <row r="290" spans="1:26" s="70" customFormat="1" ht="11.5" x14ac:dyDescent="0.25">
      <c r="A290" s="92" t="s">
        <v>66</v>
      </c>
      <c r="B290" s="92" t="s">
        <v>14</v>
      </c>
      <c r="C290" s="92" t="s">
        <v>338</v>
      </c>
      <c r="D290" s="92" t="s">
        <v>339</v>
      </c>
      <c r="E290" s="94">
        <f t="shared" ref="E290:E293" si="481">(COUNTIFS(J290,"&lt;="&amp;$C$1)*50%)+(COUNTIFS(M290,"&lt;="&amp;$C$1)*20%)+(COUNTIFS(P290,"&lt;="&amp;$C$1)*10%)+(COUNTIFS(S290,"&lt;="&amp;$C$1)*20%)</f>
        <v>0.7</v>
      </c>
      <c r="F290" s="94">
        <f t="shared" ref="F290:F293" si="482">(COUNTIFS(K290,"&lt;="&amp;$C$1)*50%)+(COUNTIFS(N290,"&lt;="&amp;$C$1)*20%)+(COUNTIFS(Q290,"&lt;="&amp;$C$1)*10%)+(COUNTIFS(T290,"&lt;="&amp;$C$1)*20%)</f>
        <v>0.7</v>
      </c>
      <c r="G290" s="94">
        <f t="shared" ref="G290:G293" si="483">(COUNTIFS(L290,"&lt;="&amp;$C$1)*50%)+(COUNTIFS(O290,"&lt;="&amp;$C$1)*20%)+(COUNTIFS(R290,"&lt;="&amp;$C$1)*10%)+(COUNTIFS(U290,"&lt;="&amp;$C$1)*20%)</f>
        <v>0.5</v>
      </c>
      <c r="H290" s="94">
        <f t="shared" ref="H290:H293" si="484">G290-E290</f>
        <v>-0.19999999999999996</v>
      </c>
      <c r="I290" s="96">
        <v>4.7E-2</v>
      </c>
      <c r="J290" s="90">
        <v>46192</v>
      </c>
      <c r="K290" s="90">
        <f t="shared" si="444"/>
        <v>46192</v>
      </c>
      <c r="L290" s="147">
        <v>46184</v>
      </c>
      <c r="M290" s="90">
        <f t="shared" si="445"/>
        <v>46234</v>
      </c>
      <c r="N290" s="90">
        <f t="shared" si="446"/>
        <v>46234</v>
      </c>
      <c r="O290" s="90"/>
      <c r="P290" s="90">
        <f t="shared" si="447"/>
        <v>46276</v>
      </c>
      <c r="Q290" s="90">
        <f t="shared" si="448"/>
        <v>46276</v>
      </c>
      <c r="R290" s="90"/>
      <c r="S290" s="90">
        <f t="shared" si="454"/>
        <v>46290</v>
      </c>
      <c r="T290" s="90">
        <f t="shared" si="449"/>
        <v>46290</v>
      </c>
      <c r="U290" s="90"/>
      <c r="W290" s="173" t="str">
        <f t="shared" ca="1" si="477"/>
        <v>Completed</v>
      </c>
      <c r="X290" s="173" t="str">
        <f t="shared" ca="1" si="478"/>
        <v>Overdue</v>
      </c>
      <c r="Y290" s="173" t="str">
        <f t="shared" ca="1" si="479"/>
        <v>Follow-Next Week</v>
      </c>
      <c r="Z290" s="174" t="str">
        <f t="shared" ca="1" si="480"/>
        <v/>
      </c>
    </row>
    <row r="291" spans="1:26" s="70" customFormat="1" ht="11.5" x14ac:dyDescent="0.25">
      <c r="A291" s="92" t="s">
        <v>66</v>
      </c>
      <c r="B291" s="92" t="s">
        <v>14</v>
      </c>
      <c r="C291" s="92" t="s">
        <v>340</v>
      </c>
      <c r="D291" s="92" t="s">
        <v>341</v>
      </c>
      <c r="E291" s="94">
        <f t="shared" si="481"/>
        <v>0.7</v>
      </c>
      <c r="F291" s="94">
        <f t="shared" si="482"/>
        <v>0.7</v>
      </c>
      <c r="G291" s="94">
        <f t="shared" si="483"/>
        <v>0.5</v>
      </c>
      <c r="H291" s="94">
        <f t="shared" si="484"/>
        <v>-0.19999999999999996</v>
      </c>
      <c r="I291" s="96">
        <v>4.7E-2</v>
      </c>
      <c r="J291" s="90">
        <v>46192</v>
      </c>
      <c r="K291" s="90">
        <f t="shared" si="444"/>
        <v>46192</v>
      </c>
      <c r="L291" s="147">
        <v>46184</v>
      </c>
      <c r="M291" s="90">
        <f t="shared" si="445"/>
        <v>46234</v>
      </c>
      <c r="N291" s="90">
        <f t="shared" si="446"/>
        <v>46234</v>
      </c>
      <c r="O291" s="90"/>
      <c r="P291" s="90">
        <f t="shared" si="447"/>
        <v>46276</v>
      </c>
      <c r="Q291" s="90">
        <f t="shared" si="448"/>
        <v>46276</v>
      </c>
      <c r="R291" s="90"/>
      <c r="S291" s="90">
        <f t="shared" si="454"/>
        <v>46290</v>
      </c>
      <c r="T291" s="90">
        <f t="shared" si="449"/>
        <v>46290</v>
      </c>
      <c r="U291" s="90"/>
      <c r="W291" s="173" t="str">
        <f t="shared" ca="1" si="477"/>
        <v>Completed</v>
      </c>
      <c r="X291" s="173" t="str">
        <f t="shared" ca="1" si="478"/>
        <v>Overdue</v>
      </c>
      <c r="Y291" s="173" t="str">
        <f t="shared" ca="1" si="479"/>
        <v>Follow-Next Week</v>
      </c>
      <c r="Z291" s="174" t="str">
        <f t="shared" ca="1" si="480"/>
        <v/>
      </c>
    </row>
    <row r="292" spans="1:26" s="70" customFormat="1" ht="11.5" x14ac:dyDescent="0.25">
      <c r="A292" s="92" t="s">
        <v>66</v>
      </c>
      <c r="B292" s="92" t="s">
        <v>14</v>
      </c>
      <c r="C292" s="92" t="s">
        <v>342</v>
      </c>
      <c r="D292" s="92" t="s">
        <v>343</v>
      </c>
      <c r="E292" s="94">
        <f t="shared" si="481"/>
        <v>0.7</v>
      </c>
      <c r="F292" s="94">
        <f t="shared" si="482"/>
        <v>0.7</v>
      </c>
      <c r="G292" s="94">
        <f t="shared" si="483"/>
        <v>0.5</v>
      </c>
      <c r="H292" s="94">
        <f t="shared" si="484"/>
        <v>-0.19999999999999996</v>
      </c>
      <c r="I292" s="96">
        <v>4.7E-2</v>
      </c>
      <c r="J292" s="90">
        <v>46192</v>
      </c>
      <c r="K292" s="90">
        <f t="shared" si="444"/>
        <v>46192</v>
      </c>
      <c r="L292" s="98">
        <v>46161</v>
      </c>
      <c r="M292" s="90">
        <f t="shared" si="445"/>
        <v>46234</v>
      </c>
      <c r="N292" s="90">
        <f t="shared" si="446"/>
        <v>46234</v>
      </c>
      <c r="O292" s="90"/>
      <c r="P292" s="90">
        <f t="shared" si="447"/>
        <v>46276</v>
      </c>
      <c r="Q292" s="90">
        <f t="shared" si="448"/>
        <v>46276</v>
      </c>
      <c r="R292" s="90"/>
      <c r="S292" s="90">
        <f t="shared" si="454"/>
        <v>46290</v>
      </c>
      <c r="T292" s="90">
        <f t="shared" si="449"/>
        <v>46290</v>
      </c>
      <c r="U292" s="90"/>
      <c r="W292" s="173" t="str">
        <f t="shared" ca="1" si="477"/>
        <v>Completed</v>
      </c>
      <c r="X292" s="173" t="str">
        <f t="shared" ca="1" si="478"/>
        <v>Overdue</v>
      </c>
      <c r="Y292" s="173" t="str">
        <f t="shared" ca="1" si="479"/>
        <v>Follow-Next Week</v>
      </c>
      <c r="Z292" s="174" t="str">
        <f t="shared" ca="1" si="480"/>
        <v/>
      </c>
    </row>
    <row r="293" spans="1:26" s="70" customFormat="1" ht="11.5" x14ac:dyDescent="0.25">
      <c r="A293" s="92" t="s">
        <v>66</v>
      </c>
      <c r="B293" s="92" t="s">
        <v>14</v>
      </c>
      <c r="C293" s="92" t="s">
        <v>344</v>
      </c>
      <c r="D293" s="92" t="s">
        <v>345</v>
      </c>
      <c r="E293" s="94">
        <f t="shared" si="481"/>
        <v>0.7</v>
      </c>
      <c r="F293" s="94">
        <f t="shared" si="482"/>
        <v>0.7</v>
      </c>
      <c r="G293" s="94">
        <f t="shared" si="483"/>
        <v>0.5</v>
      </c>
      <c r="H293" s="94">
        <f t="shared" si="484"/>
        <v>-0.19999999999999996</v>
      </c>
      <c r="I293" s="96">
        <v>4.7E-2</v>
      </c>
      <c r="J293" s="90">
        <v>46192</v>
      </c>
      <c r="K293" s="90">
        <f t="shared" si="444"/>
        <v>46192</v>
      </c>
      <c r="L293" s="147">
        <v>46184</v>
      </c>
      <c r="M293" s="90">
        <f t="shared" si="445"/>
        <v>46234</v>
      </c>
      <c r="N293" s="90">
        <f t="shared" si="446"/>
        <v>46234</v>
      </c>
      <c r="O293" s="90"/>
      <c r="P293" s="90">
        <f t="shared" si="447"/>
        <v>46276</v>
      </c>
      <c r="Q293" s="90">
        <f t="shared" si="448"/>
        <v>46276</v>
      </c>
      <c r="R293" s="90"/>
      <c r="S293" s="90">
        <f t="shared" si="454"/>
        <v>46290</v>
      </c>
      <c r="T293" s="90">
        <f t="shared" si="449"/>
        <v>46290</v>
      </c>
      <c r="U293" s="90"/>
      <c r="W293" s="173" t="str">
        <f t="shared" ca="1" si="477"/>
        <v>Completed</v>
      </c>
      <c r="X293" s="173" t="str">
        <f t="shared" ca="1" si="478"/>
        <v>Overdue</v>
      </c>
      <c r="Y293" s="173" t="str">
        <f t="shared" ca="1" si="479"/>
        <v>Follow-Next Week</v>
      </c>
      <c r="Z293" s="174" t="str">
        <f t="shared" ca="1" si="480"/>
        <v/>
      </c>
    </row>
    <row r="294" spans="1:26" s="70" customFormat="1" ht="11.5" x14ac:dyDescent="0.25">
      <c r="A294" s="92" t="s">
        <v>66</v>
      </c>
      <c r="B294" s="92" t="s">
        <v>14</v>
      </c>
      <c r="C294" s="92" t="s">
        <v>346</v>
      </c>
      <c r="D294" s="92" t="s">
        <v>347</v>
      </c>
      <c r="E294" s="94">
        <f t="shared" si="441"/>
        <v>0.7</v>
      </c>
      <c r="F294" s="94">
        <f t="shared" si="442"/>
        <v>0.7</v>
      </c>
      <c r="G294" s="94">
        <f t="shared" si="442"/>
        <v>0.7</v>
      </c>
      <c r="H294" s="94">
        <f t="shared" si="443"/>
        <v>0</v>
      </c>
      <c r="I294" s="96">
        <v>4.7E-2</v>
      </c>
      <c r="J294" s="90">
        <v>46199</v>
      </c>
      <c r="K294" s="90">
        <f t="shared" si="444"/>
        <v>46199</v>
      </c>
      <c r="L294" s="90">
        <v>46142</v>
      </c>
      <c r="M294" s="90">
        <f t="shared" si="445"/>
        <v>46241</v>
      </c>
      <c r="N294" s="90">
        <f t="shared" si="446"/>
        <v>46241</v>
      </c>
      <c r="O294" s="90">
        <v>46255</v>
      </c>
      <c r="P294" s="90">
        <f t="shared" si="447"/>
        <v>46283</v>
      </c>
      <c r="Q294" s="90">
        <f t="shared" si="448"/>
        <v>46283</v>
      </c>
      <c r="R294" s="90"/>
      <c r="S294" s="90">
        <f t="shared" si="454"/>
        <v>46297</v>
      </c>
      <c r="T294" s="90">
        <f t="shared" si="449"/>
        <v>46297</v>
      </c>
      <c r="U294" s="90"/>
      <c r="W294" s="173" t="str">
        <f t="shared" ca="1" si="477"/>
        <v>Completed</v>
      </c>
      <c r="X294" s="173" t="str">
        <f t="shared" ca="1" si="478"/>
        <v>Completed</v>
      </c>
      <c r="Y294" s="173" t="str">
        <f t="shared" ca="1" si="479"/>
        <v/>
      </c>
      <c r="Z294" s="174" t="str">
        <f t="shared" ca="1" si="480"/>
        <v/>
      </c>
    </row>
    <row r="295" spans="1:26" s="70" customFormat="1" ht="11.5" x14ac:dyDescent="0.25">
      <c r="A295" s="92" t="s">
        <v>66</v>
      </c>
      <c r="B295" s="92" t="s">
        <v>14</v>
      </c>
      <c r="C295" s="92" t="s">
        <v>348</v>
      </c>
      <c r="D295" s="92" t="s">
        <v>349</v>
      </c>
      <c r="E295" s="94">
        <f t="shared" si="441"/>
        <v>0.7</v>
      </c>
      <c r="F295" s="94">
        <f t="shared" si="442"/>
        <v>0.7</v>
      </c>
      <c r="G295" s="94">
        <f t="shared" si="442"/>
        <v>0.7</v>
      </c>
      <c r="H295" s="94">
        <f t="shared" si="443"/>
        <v>0</v>
      </c>
      <c r="I295" s="96">
        <v>4.7E-2</v>
      </c>
      <c r="J295" s="90">
        <v>46199</v>
      </c>
      <c r="K295" s="90">
        <f t="shared" si="444"/>
        <v>46199</v>
      </c>
      <c r="L295" s="90">
        <v>46142</v>
      </c>
      <c r="M295" s="90">
        <f t="shared" si="445"/>
        <v>46241</v>
      </c>
      <c r="N295" s="90">
        <f t="shared" si="446"/>
        <v>46241</v>
      </c>
      <c r="O295" s="90">
        <v>46255</v>
      </c>
      <c r="P295" s="90">
        <f t="shared" si="447"/>
        <v>46283</v>
      </c>
      <c r="Q295" s="90">
        <f t="shared" si="448"/>
        <v>46283</v>
      </c>
      <c r="R295" s="90"/>
      <c r="S295" s="90">
        <f t="shared" si="454"/>
        <v>46297</v>
      </c>
      <c r="T295" s="90">
        <f t="shared" si="449"/>
        <v>46297</v>
      </c>
      <c r="U295" s="90"/>
      <c r="W295" s="173" t="str">
        <f t="shared" ca="1" si="477"/>
        <v>Completed</v>
      </c>
      <c r="X295" s="173" t="str">
        <f t="shared" ca="1" si="478"/>
        <v>Completed</v>
      </c>
      <c r="Y295" s="173" t="str">
        <f t="shared" ca="1" si="479"/>
        <v/>
      </c>
      <c r="Z295" s="174" t="str">
        <f t="shared" ca="1" si="480"/>
        <v/>
      </c>
    </row>
    <row r="296" spans="1:26" s="70" customFormat="1" ht="11.5" x14ac:dyDescent="0.25">
      <c r="A296" s="92" t="s">
        <v>66</v>
      </c>
      <c r="B296" s="92" t="s">
        <v>14</v>
      </c>
      <c r="C296" s="92" t="s">
        <v>1007</v>
      </c>
      <c r="D296" s="92" t="s">
        <v>350</v>
      </c>
      <c r="E296" s="94">
        <f t="shared" si="441"/>
        <v>0.7</v>
      </c>
      <c r="F296" s="94">
        <f t="shared" si="442"/>
        <v>0.7</v>
      </c>
      <c r="G296" s="94">
        <f t="shared" si="442"/>
        <v>0.5</v>
      </c>
      <c r="H296" s="94">
        <f t="shared" si="443"/>
        <v>-0.19999999999999996</v>
      </c>
      <c r="I296" s="96">
        <v>4.7E-2</v>
      </c>
      <c r="J296" s="90">
        <v>46199</v>
      </c>
      <c r="K296" s="90">
        <f t="shared" si="444"/>
        <v>46199</v>
      </c>
      <c r="L296" s="90">
        <v>46191</v>
      </c>
      <c r="M296" s="90">
        <f t="shared" si="445"/>
        <v>46241</v>
      </c>
      <c r="N296" s="90">
        <f t="shared" si="446"/>
        <v>46241</v>
      </c>
      <c r="O296" s="90"/>
      <c r="P296" s="90">
        <f t="shared" si="447"/>
        <v>46283</v>
      </c>
      <c r="Q296" s="90">
        <f t="shared" si="448"/>
        <v>46283</v>
      </c>
      <c r="R296" s="90"/>
      <c r="S296" s="90">
        <f t="shared" si="454"/>
        <v>46297</v>
      </c>
      <c r="T296" s="90">
        <f t="shared" si="449"/>
        <v>46297</v>
      </c>
      <c r="U296" s="90"/>
      <c r="W296" s="173" t="str">
        <f t="shared" ca="1" si="477"/>
        <v>Completed</v>
      </c>
      <c r="X296" s="173" t="str">
        <f t="shared" ca="1" si="478"/>
        <v>Overdue</v>
      </c>
      <c r="Y296" s="173" t="str">
        <f t="shared" ca="1" si="479"/>
        <v/>
      </c>
      <c r="Z296" s="174" t="str">
        <f t="shared" ca="1" si="480"/>
        <v/>
      </c>
    </row>
    <row r="297" spans="1:26" s="70" customFormat="1" ht="11.5" x14ac:dyDescent="0.25">
      <c r="A297" s="92" t="s">
        <v>66</v>
      </c>
      <c r="B297" s="92" t="s">
        <v>14</v>
      </c>
      <c r="C297" s="92" t="s">
        <v>1008</v>
      </c>
      <c r="D297" s="92" t="s">
        <v>351</v>
      </c>
      <c r="E297" s="94">
        <f t="shared" si="441"/>
        <v>0.7</v>
      </c>
      <c r="F297" s="94">
        <f t="shared" si="442"/>
        <v>0.7</v>
      </c>
      <c r="G297" s="94">
        <f t="shared" si="442"/>
        <v>0.5</v>
      </c>
      <c r="H297" s="94">
        <f t="shared" si="443"/>
        <v>-0.19999999999999996</v>
      </c>
      <c r="I297" s="96">
        <v>4.7E-2</v>
      </c>
      <c r="J297" s="90">
        <v>46199</v>
      </c>
      <c r="K297" s="90">
        <f t="shared" si="444"/>
        <v>46199</v>
      </c>
      <c r="L297" s="90">
        <v>46191</v>
      </c>
      <c r="M297" s="90">
        <f t="shared" si="445"/>
        <v>46241</v>
      </c>
      <c r="N297" s="90">
        <f t="shared" si="446"/>
        <v>46241</v>
      </c>
      <c r="O297" s="90"/>
      <c r="P297" s="90">
        <f t="shared" si="447"/>
        <v>46283</v>
      </c>
      <c r="Q297" s="90">
        <f t="shared" si="448"/>
        <v>46283</v>
      </c>
      <c r="R297" s="90"/>
      <c r="S297" s="90">
        <f t="shared" si="454"/>
        <v>46297</v>
      </c>
      <c r="T297" s="90">
        <f t="shared" si="449"/>
        <v>46297</v>
      </c>
      <c r="U297" s="90"/>
      <c r="W297" s="173" t="str">
        <f t="shared" ca="1" si="477"/>
        <v>Completed</v>
      </c>
      <c r="X297" s="173" t="str">
        <f t="shared" ca="1" si="478"/>
        <v>Overdue</v>
      </c>
      <c r="Y297" s="173" t="str">
        <f t="shared" ca="1" si="479"/>
        <v/>
      </c>
      <c r="Z297" s="174" t="str">
        <f t="shared" ca="1" si="480"/>
        <v/>
      </c>
    </row>
    <row r="298" spans="1:26" s="70" customFormat="1" ht="11.5" x14ac:dyDescent="0.25">
      <c r="A298" s="92" t="s">
        <v>66</v>
      </c>
      <c r="B298" s="92" t="s">
        <v>14</v>
      </c>
      <c r="C298" s="92" t="s">
        <v>1009</v>
      </c>
      <c r="D298" s="92" t="s">
        <v>352</v>
      </c>
      <c r="E298" s="94">
        <f t="shared" ref="E298" si="485">(COUNTIFS(J298,"&lt;="&amp;$C$1)*50%)+(COUNTIFS(M298,"&lt;="&amp;$C$1)*20%)+(COUNTIFS(P298,"&lt;="&amp;$C$1)*10%)+(COUNTIFS(S298,"&lt;="&amp;$C$1)*20%)</f>
        <v>0.7</v>
      </c>
      <c r="F298" s="94">
        <f t="shared" ref="F298" si="486">(COUNTIFS(K298,"&lt;="&amp;$C$1)*50%)+(COUNTIFS(N298,"&lt;="&amp;$C$1)*20%)+(COUNTIFS(Q298,"&lt;="&amp;$C$1)*10%)+(COUNTIFS(T298,"&lt;="&amp;$C$1)*20%)</f>
        <v>0.7</v>
      </c>
      <c r="G298" s="94">
        <f t="shared" ref="G298" si="487">(COUNTIFS(L298,"&lt;="&amp;$C$1)*50%)+(COUNTIFS(O298,"&lt;="&amp;$C$1)*20%)+(COUNTIFS(R298,"&lt;="&amp;$C$1)*10%)+(COUNTIFS(U298,"&lt;="&amp;$C$1)*20%)</f>
        <v>0.5</v>
      </c>
      <c r="H298" s="94">
        <f t="shared" ref="H298" si="488">G298-E298</f>
        <v>-0.19999999999999996</v>
      </c>
      <c r="I298" s="96">
        <v>4.7E-2</v>
      </c>
      <c r="J298" s="90">
        <v>46199</v>
      </c>
      <c r="K298" s="90">
        <f t="shared" si="444"/>
        <v>46199</v>
      </c>
      <c r="L298" s="90">
        <v>46191</v>
      </c>
      <c r="M298" s="90">
        <f t="shared" si="445"/>
        <v>46241</v>
      </c>
      <c r="N298" s="90">
        <f t="shared" si="446"/>
        <v>46241</v>
      </c>
      <c r="O298" s="90"/>
      <c r="P298" s="90">
        <f t="shared" si="447"/>
        <v>46283</v>
      </c>
      <c r="Q298" s="90">
        <f t="shared" si="448"/>
        <v>46283</v>
      </c>
      <c r="R298" s="90"/>
      <c r="S298" s="90">
        <f t="shared" si="454"/>
        <v>46297</v>
      </c>
      <c r="T298" s="90">
        <f t="shared" si="449"/>
        <v>46297</v>
      </c>
      <c r="U298" s="90"/>
      <c r="W298" s="173" t="str">
        <f t="shared" ca="1" si="477"/>
        <v>Completed</v>
      </c>
      <c r="X298" s="173" t="str">
        <f t="shared" ca="1" si="478"/>
        <v>Overdue</v>
      </c>
      <c r="Y298" s="173" t="str">
        <f t="shared" ca="1" si="479"/>
        <v/>
      </c>
      <c r="Z298" s="174" t="str">
        <f t="shared" ca="1" si="480"/>
        <v/>
      </c>
    </row>
    <row r="299" spans="1:26" s="70" customFormat="1" ht="11.5" x14ac:dyDescent="0.25">
      <c r="A299" s="92" t="s">
        <v>66</v>
      </c>
      <c r="B299" s="92" t="s">
        <v>14</v>
      </c>
      <c r="C299" s="92" t="s">
        <v>1010</v>
      </c>
      <c r="D299" s="92" t="s">
        <v>353</v>
      </c>
      <c r="E299" s="94">
        <f t="shared" si="441"/>
        <v>0.7</v>
      </c>
      <c r="F299" s="94">
        <f t="shared" si="442"/>
        <v>0.7</v>
      </c>
      <c r="G299" s="94">
        <f t="shared" si="442"/>
        <v>0.5</v>
      </c>
      <c r="H299" s="94">
        <f t="shared" si="443"/>
        <v>-0.19999999999999996</v>
      </c>
      <c r="I299" s="96">
        <v>4.7E-2</v>
      </c>
      <c r="J299" s="90">
        <v>46199</v>
      </c>
      <c r="K299" s="90">
        <f t="shared" si="444"/>
        <v>46199</v>
      </c>
      <c r="L299" s="90">
        <v>46191</v>
      </c>
      <c r="M299" s="90">
        <f t="shared" si="445"/>
        <v>46241</v>
      </c>
      <c r="N299" s="90">
        <f t="shared" si="446"/>
        <v>46241</v>
      </c>
      <c r="O299" s="90"/>
      <c r="P299" s="90">
        <f t="shared" si="447"/>
        <v>46283</v>
      </c>
      <c r="Q299" s="90">
        <f t="shared" si="448"/>
        <v>46283</v>
      </c>
      <c r="R299" s="90"/>
      <c r="S299" s="90">
        <f t="shared" si="454"/>
        <v>46297</v>
      </c>
      <c r="T299" s="90">
        <f t="shared" si="449"/>
        <v>46297</v>
      </c>
      <c r="U299" s="90"/>
      <c r="W299" s="173" t="str">
        <f t="shared" ca="1" si="477"/>
        <v>Completed</v>
      </c>
      <c r="X299" s="173" t="str">
        <f t="shared" ca="1" si="478"/>
        <v>Overdue</v>
      </c>
      <c r="Y299" s="173" t="str">
        <f t="shared" ca="1" si="479"/>
        <v/>
      </c>
      <c r="Z299" s="174" t="str">
        <f t="shared" ca="1" si="480"/>
        <v/>
      </c>
    </row>
    <row r="300" spans="1:26" s="70" customFormat="1" ht="11.5" x14ac:dyDescent="0.25">
      <c r="A300" s="92" t="s">
        <v>66</v>
      </c>
      <c r="B300" s="92" t="s">
        <v>14</v>
      </c>
      <c r="C300" s="92" t="s">
        <v>1011</v>
      </c>
      <c r="D300" s="92" t="s">
        <v>354</v>
      </c>
      <c r="E300" s="94">
        <f t="shared" si="441"/>
        <v>0.7</v>
      </c>
      <c r="F300" s="94">
        <f t="shared" si="442"/>
        <v>0.7</v>
      </c>
      <c r="G300" s="94">
        <f t="shared" si="442"/>
        <v>0.5</v>
      </c>
      <c r="H300" s="94">
        <f t="shared" si="443"/>
        <v>-0.19999999999999996</v>
      </c>
      <c r="I300" s="96">
        <v>4.7E-2</v>
      </c>
      <c r="J300" s="90">
        <v>46199</v>
      </c>
      <c r="K300" s="90">
        <f t="shared" si="444"/>
        <v>46199</v>
      </c>
      <c r="L300" s="90">
        <v>46191</v>
      </c>
      <c r="M300" s="90">
        <f t="shared" si="445"/>
        <v>46241</v>
      </c>
      <c r="N300" s="90">
        <f t="shared" si="446"/>
        <v>46241</v>
      </c>
      <c r="O300" s="90"/>
      <c r="P300" s="90">
        <f t="shared" si="447"/>
        <v>46283</v>
      </c>
      <c r="Q300" s="90">
        <f t="shared" si="448"/>
        <v>46283</v>
      </c>
      <c r="R300" s="90"/>
      <c r="S300" s="90">
        <f t="shared" si="454"/>
        <v>46297</v>
      </c>
      <c r="T300" s="90">
        <f t="shared" si="449"/>
        <v>46297</v>
      </c>
      <c r="U300" s="90"/>
      <c r="W300" s="173" t="str">
        <f t="shared" ca="1" si="477"/>
        <v>Completed</v>
      </c>
      <c r="X300" s="173" t="str">
        <f t="shared" ca="1" si="478"/>
        <v>Overdue</v>
      </c>
      <c r="Y300" s="173" t="str">
        <f t="shared" ca="1" si="479"/>
        <v/>
      </c>
      <c r="Z300" s="174" t="str">
        <f t="shared" ca="1" si="480"/>
        <v/>
      </c>
    </row>
    <row r="301" spans="1:26" s="70" customFormat="1" ht="11.5" x14ac:dyDescent="0.25">
      <c r="A301" s="92" t="s">
        <v>66</v>
      </c>
      <c r="B301" s="92" t="s">
        <v>14</v>
      </c>
      <c r="C301" s="92" t="s">
        <v>1012</v>
      </c>
      <c r="D301" s="92" t="s">
        <v>355</v>
      </c>
      <c r="E301" s="94">
        <f t="shared" si="441"/>
        <v>0.7</v>
      </c>
      <c r="F301" s="94">
        <f t="shared" si="442"/>
        <v>0.7</v>
      </c>
      <c r="G301" s="94">
        <f t="shared" si="442"/>
        <v>0.5</v>
      </c>
      <c r="H301" s="94">
        <f t="shared" si="443"/>
        <v>-0.19999999999999996</v>
      </c>
      <c r="I301" s="96">
        <v>4.7E-2</v>
      </c>
      <c r="J301" s="90">
        <v>46199</v>
      </c>
      <c r="K301" s="90">
        <f t="shared" si="444"/>
        <v>46199</v>
      </c>
      <c r="L301" s="90">
        <v>46191</v>
      </c>
      <c r="M301" s="90">
        <f t="shared" si="445"/>
        <v>46241</v>
      </c>
      <c r="N301" s="90">
        <f t="shared" si="446"/>
        <v>46241</v>
      </c>
      <c r="O301" s="90"/>
      <c r="P301" s="90">
        <f t="shared" si="447"/>
        <v>46283</v>
      </c>
      <c r="Q301" s="90">
        <f t="shared" si="448"/>
        <v>46283</v>
      </c>
      <c r="R301" s="90"/>
      <c r="S301" s="90">
        <f t="shared" si="454"/>
        <v>46297</v>
      </c>
      <c r="T301" s="90">
        <f t="shared" si="449"/>
        <v>46297</v>
      </c>
      <c r="U301" s="90"/>
      <c r="W301" s="173" t="str">
        <f t="shared" ca="1" si="477"/>
        <v>Completed</v>
      </c>
      <c r="X301" s="173" t="str">
        <f t="shared" ca="1" si="478"/>
        <v>Overdue</v>
      </c>
      <c r="Y301" s="173" t="str">
        <f t="shared" ca="1" si="479"/>
        <v/>
      </c>
      <c r="Z301" s="174" t="str">
        <f t="shared" ca="1" si="480"/>
        <v/>
      </c>
    </row>
    <row r="302" spans="1:26" s="70" customFormat="1" ht="11.5" x14ac:dyDescent="0.25">
      <c r="A302" s="92" t="s">
        <v>66</v>
      </c>
      <c r="B302" s="92" t="s">
        <v>14</v>
      </c>
      <c r="C302" s="92" t="s">
        <v>1013</v>
      </c>
      <c r="D302" s="92" t="s">
        <v>356</v>
      </c>
      <c r="E302" s="94">
        <f t="shared" si="441"/>
        <v>0.7</v>
      </c>
      <c r="F302" s="94">
        <f t="shared" si="442"/>
        <v>0.7</v>
      </c>
      <c r="G302" s="94">
        <f t="shared" si="442"/>
        <v>0.5</v>
      </c>
      <c r="H302" s="94">
        <f t="shared" si="443"/>
        <v>-0.19999999999999996</v>
      </c>
      <c r="I302" s="96">
        <v>4.7E-2</v>
      </c>
      <c r="J302" s="90">
        <v>46199</v>
      </c>
      <c r="K302" s="90">
        <f t="shared" si="444"/>
        <v>46199</v>
      </c>
      <c r="L302" s="90">
        <v>46191</v>
      </c>
      <c r="M302" s="90">
        <f t="shared" si="445"/>
        <v>46241</v>
      </c>
      <c r="N302" s="90">
        <f t="shared" si="446"/>
        <v>46241</v>
      </c>
      <c r="O302" s="90"/>
      <c r="P302" s="90">
        <f t="shared" si="447"/>
        <v>46283</v>
      </c>
      <c r="Q302" s="90">
        <f t="shared" si="448"/>
        <v>46283</v>
      </c>
      <c r="R302" s="90"/>
      <c r="S302" s="90">
        <f t="shared" si="454"/>
        <v>46297</v>
      </c>
      <c r="T302" s="90">
        <f t="shared" si="449"/>
        <v>46297</v>
      </c>
      <c r="U302" s="90"/>
      <c r="W302" s="173" t="str">
        <f t="shared" ca="1" si="477"/>
        <v>Completed</v>
      </c>
      <c r="X302" s="173" t="str">
        <f t="shared" ca="1" si="478"/>
        <v>Overdue</v>
      </c>
      <c r="Y302" s="173" t="str">
        <f t="shared" ca="1" si="479"/>
        <v/>
      </c>
      <c r="Z302" s="174" t="str">
        <f t="shared" ca="1" si="480"/>
        <v/>
      </c>
    </row>
    <row r="303" spans="1:26" s="70" customFormat="1" ht="11.5" x14ac:dyDescent="0.25">
      <c r="A303" s="92" t="s">
        <v>66</v>
      </c>
      <c r="B303" s="92" t="s">
        <v>14</v>
      </c>
      <c r="C303" s="92" t="s">
        <v>1014</v>
      </c>
      <c r="D303" s="92" t="s">
        <v>357</v>
      </c>
      <c r="E303" s="94">
        <f t="shared" si="441"/>
        <v>0.7</v>
      </c>
      <c r="F303" s="94">
        <f t="shared" si="442"/>
        <v>0.7</v>
      </c>
      <c r="G303" s="94">
        <f t="shared" si="442"/>
        <v>0.5</v>
      </c>
      <c r="H303" s="94">
        <f t="shared" si="443"/>
        <v>-0.19999999999999996</v>
      </c>
      <c r="I303" s="96">
        <v>4.7E-2</v>
      </c>
      <c r="J303" s="90">
        <v>46199</v>
      </c>
      <c r="K303" s="90">
        <f t="shared" si="444"/>
        <v>46199</v>
      </c>
      <c r="L303" s="90">
        <v>46191</v>
      </c>
      <c r="M303" s="90">
        <f t="shared" si="445"/>
        <v>46241</v>
      </c>
      <c r="N303" s="90">
        <f t="shared" si="446"/>
        <v>46241</v>
      </c>
      <c r="O303" s="90"/>
      <c r="P303" s="90">
        <f t="shared" si="447"/>
        <v>46283</v>
      </c>
      <c r="Q303" s="90">
        <f t="shared" si="448"/>
        <v>46283</v>
      </c>
      <c r="R303" s="90"/>
      <c r="S303" s="90">
        <f t="shared" si="454"/>
        <v>46297</v>
      </c>
      <c r="T303" s="90">
        <f t="shared" si="449"/>
        <v>46297</v>
      </c>
      <c r="U303" s="90"/>
      <c r="W303" s="173" t="str">
        <f t="shared" ca="1" si="477"/>
        <v>Completed</v>
      </c>
      <c r="X303" s="173" t="str">
        <f t="shared" ca="1" si="478"/>
        <v>Overdue</v>
      </c>
      <c r="Y303" s="173" t="str">
        <f t="shared" ca="1" si="479"/>
        <v/>
      </c>
      <c r="Z303" s="174" t="str">
        <f t="shared" ca="1" si="480"/>
        <v/>
      </c>
    </row>
    <row r="304" spans="1:26" s="70" customFormat="1" ht="11.5" x14ac:dyDescent="0.25">
      <c r="A304" s="92" t="s">
        <v>66</v>
      </c>
      <c r="B304" s="92" t="s">
        <v>14</v>
      </c>
      <c r="C304" s="92" t="s">
        <v>1015</v>
      </c>
      <c r="D304" s="92" t="s">
        <v>358</v>
      </c>
      <c r="E304" s="94">
        <f t="shared" si="441"/>
        <v>0.7</v>
      </c>
      <c r="F304" s="94">
        <f t="shared" si="442"/>
        <v>0.7</v>
      </c>
      <c r="G304" s="94">
        <f t="shared" si="442"/>
        <v>0.5</v>
      </c>
      <c r="H304" s="94">
        <f t="shared" si="443"/>
        <v>-0.19999999999999996</v>
      </c>
      <c r="I304" s="96">
        <v>4.7E-2</v>
      </c>
      <c r="J304" s="90">
        <v>46199</v>
      </c>
      <c r="K304" s="90">
        <f t="shared" si="444"/>
        <v>46199</v>
      </c>
      <c r="L304" s="90">
        <v>46191</v>
      </c>
      <c r="M304" s="90">
        <f t="shared" si="445"/>
        <v>46241</v>
      </c>
      <c r="N304" s="90">
        <f t="shared" si="446"/>
        <v>46241</v>
      </c>
      <c r="O304" s="90"/>
      <c r="P304" s="90">
        <f t="shared" si="447"/>
        <v>46283</v>
      </c>
      <c r="Q304" s="90">
        <f t="shared" si="448"/>
        <v>46283</v>
      </c>
      <c r="R304" s="90"/>
      <c r="S304" s="90">
        <f t="shared" si="454"/>
        <v>46297</v>
      </c>
      <c r="T304" s="90">
        <f t="shared" si="449"/>
        <v>46297</v>
      </c>
      <c r="U304" s="90"/>
      <c r="W304" s="173" t="str">
        <f t="shared" ca="1" si="477"/>
        <v>Completed</v>
      </c>
      <c r="X304" s="173" t="str">
        <f t="shared" ca="1" si="478"/>
        <v>Overdue</v>
      </c>
      <c r="Y304" s="173" t="str">
        <f t="shared" ca="1" si="479"/>
        <v/>
      </c>
      <c r="Z304" s="174" t="str">
        <f t="shared" ca="1" si="480"/>
        <v/>
      </c>
    </row>
    <row r="305" spans="1:26" s="70" customFormat="1" ht="11.5" x14ac:dyDescent="0.25">
      <c r="A305" s="92" t="s">
        <v>66</v>
      </c>
      <c r="B305" s="92" t="s">
        <v>14</v>
      </c>
      <c r="C305" s="92" t="s">
        <v>359</v>
      </c>
      <c r="D305" s="92" t="s">
        <v>360</v>
      </c>
      <c r="E305" s="94">
        <f t="shared" si="441"/>
        <v>0.7</v>
      </c>
      <c r="F305" s="94">
        <f t="shared" si="442"/>
        <v>0.7</v>
      </c>
      <c r="G305" s="94">
        <f t="shared" si="442"/>
        <v>0</v>
      </c>
      <c r="H305" s="94">
        <f t="shared" si="443"/>
        <v>-0.7</v>
      </c>
      <c r="I305" s="96">
        <v>4.7E-2</v>
      </c>
      <c r="J305" s="90">
        <v>46206</v>
      </c>
      <c r="K305" s="90">
        <f t="shared" si="444"/>
        <v>46206</v>
      </c>
      <c r="L305" s="90"/>
      <c r="M305" s="90">
        <f t="shared" si="445"/>
        <v>46248</v>
      </c>
      <c r="N305" s="90">
        <f t="shared" si="446"/>
        <v>46248</v>
      </c>
      <c r="O305" s="90"/>
      <c r="P305" s="90">
        <f t="shared" si="447"/>
        <v>46290</v>
      </c>
      <c r="Q305" s="90">
        <f t="shared" si="448"/>
        <v>46290</v>
      </c>
      <c r="R305" s="90"/>
      <c r="S305" s="90">
        <f t="shared" si="454"/>
        <v>46304</v>
      </c>
      <c r="T305" s="90">
        <f t="shared" si="449"/>
        <v>46304</v>
      </c>
      <c r="U305" s="90"/>
      <c r="W305" s="173" t="str">
        <f t="shared" ca="1" si="477"/>
        <v>Overdue</v>
      </c>
      <c r="X305" s="173" t="str">
        <f t="shared" ca="1" si="478"/>
        <v>Overdue</v>
      </c>
      <c r="Y305" s="173" t="str">
        <f t="shared" ca="1" si="479"/>
        <v/>
      </c>
      <c r="Z305" s="174" t="str">
        <f t="shared" ca="1" si="480"/>
        <v/>
      </c>
    </row>
    <row r="306" spans="1:26" s="70" customFormat="1" ht="11.5" x14ac:dyDescent="0.25">
      <c r="A306" s="92" t="s">
        <v>66</v>
      </c>
      <c r="B306" s="92" t="s">
        <v>14</v>
      </c>
      <c r="C306" s="92" t="s">
        <v>361</v>
      </c>
      <c r="D306" s="92" t="s">
        <v>362</v>
      </c>
      <c r="E306" s="94">
        <f t="shared" si="441"/>
        <v>0.7</v>
      </c>
      <c r="F306" s="94">
        <f t="shared" si="442"/>
        <v>0.7</v>
      </c>
      <c r="G306" s="94">
        <f t="shared" si="442"/>
        <v>0</v>
      </c>
      <c r="H306" s="94">
        <f t="shared" si="443"/>
        <v>-0.7</v>
      </c>
      <c r="I306" s="96">
        <v>4.7E-2</v>
      </c>
      <c r="J306" s="90">
        <v>46206</v>
      </c>
      <c r="K306" s="90">
        <f t="shared" si="444"/>
        <v>46206</v>
      </c>
      <c r="L306" s="90"/>
      <c r="M306" s="90">
        <f t="shared" si="445"/>
        <v>46248</v>
      </c>
      <c r="N306" s="90">
        <f t="shared" si="446"/>
        <v>46248</v>
      </c>
      <c r="O306" s="90"/>
      <c r="P306" s="90">
        <f t="shared" si="447"/>
        <v>46290</v>
      </c>
      <c r="Q306" s="90">
        <f t="shared" si="448"/>
        <v>46290</v>
      </c>
      <c r="R306" s="90"/>
      <c r="S306" s="90">
        <f t="shared" si="454"/>
        <v>46304</v>
      </c>
      <c r="T306" s="90">
        <f t="shared" si="449"/>
        <v>46304</v>
      </c>
      <c r="U306" s="90"/>
      <c r="W306" s="173" t="str">
        <f t="shared" ca="1" si="477"/>
        <v>Overdue</v>
      </c>
      <c r="X306" s="173" t="str">
        <f t="shared" ca="1" si="478"/>
        <v>Overdue</v>
      </c>
      <c r="Y306" s="173" t="str">
        <f t="shared" ca="1" si="479"/>
        <v/>
      </c>
      <c r="Z306" s="174" t="str">
        <f t="shared" ca="1" si="480"/>
        <v/>
      </c>
    </row>
    <row r="307" spans="1:26" s="70" customFormat="1" ht="11.5" x14ac:dyDescent="0.25">
      <c r="A307" s="92" t="s">
        <v>66</v>
      </c>
      <c r="B307" s="92" t="s">
        <v>14</v>
      </c>
      <c r="C307" s="92" t="s">
        <v>363</v>
      </c>
      <c r="D307" s="92" t="s">
        <v>364</v>
      </c>
      <c r="E307" s="94">
        <f t="shared" si="441"/>
        <v>0.7</v>
      </c>
      <c r="F307" s="94">
        <f t="shared" si="442"/>
        <v>0.7</v>
      </c>
      <c r="G307" s="94">
        <f t="shared" si="442"/>
        <v>0</v>
      </c>
      <c r="H307" s="94">
        <f t="shared" si="443"/>
        <v>-0.7</v>
      </c>
      <c r="I307" s="96">
        <v>4.7E-2</v>
      </c>
      <c r="J307" s="90">
        <v>46206</v>
      </c>
      <c r="K307" s="90">
        <f t="shared" si="444"/>
        <v>46206</v>
      </c>
      <c r="L307" s="90"/>
      <c r="M307" s="90">
        <f t="shared" si="445"/>
        <v>46248</v>
      </c>
      <c r="N307" s="90">
        <f t="shared" si="446"/>
        <v>46248</v>
      </c>
      <c r="O307" s="90"/>
      <c r="P307" s="90">
        <f t="shared" si="447"/>
        <v>46290</v>
      </c>
      <c r="Q307" s="90">
        <f t="shared" si="448"/>
        <v>46290</v>
      </c>
      <c r="R307" s="90"/>
      <c r="S307" s="90">
        <f t="shared" si="454"/>
        <v>46304</v>
      </c>
      <c r="T307" s="90">
        <f t="shared" si="449"/>
        <v>46304</v>
      </c>
      <c r="U307" s="90"/>
      <c r="W307" s="173" t="str">
        <f t="shared" ca="1" si="477"/>
        <v>Overdue</v>
      </c>
      <c r="X307" s="173" t="str">
        <f t="shared" ca="1" si="478"/>
        <v>Overdue</v>
      </c>
      <c r="Y307" s="173" t="str">
        <f t="shared" ca="1" si="479"/>
        <v/>
      </c>
      <c r="Z307" s="174" t="str">
        <f t="shared" ca="1" si="480"/>
        <v/>
      </c>
    </row>
    <row r="308" spans="1:26" s="70" customFormat="1" ht="11.5" x14ac:dyDescent="0.25">
      <c r="A308" s="92" t="s">
        <v>66</v>
      </c>
      <c r="B308" s="92" t="s">
        <v>14</v>
      </c>
      <c r="C308" s="92" t="s">
        <v>1016</v>
      </c>
      <c r="D308" s="92" t="s">
        <v>365</v>
      </c>
      <c r="E308" s="94">
        <f t="shared" si="441"/>
        <v>0.7</v>
      </c>
      <c r="F308" s="94">
        <f t="shared" si="442"/>
        <v>0.7</v>
      </c>
      <c r="G308" s="94">
        <f t="shared" si="442"/>
        <v>0.7</v>
      </c>
      <c r="H308" s="94">
        <f t="shared" si="443"/>
        <v>0</v>
      </c>
      <c r="I308" s="96">
        <v>4.7E-2</v>
      </c>
      <c r="J308" s="90">
        <v>46206</v>
      </c>
      <c r="K308" s="90">
        <f t="shared" si="444"/>
        <v>46206</v>
      </c>
      <c r="L308" s="90">
        <v>46190</v>
      </c>
      <c r="M308" s="90">
        <f t="shared" si="445"/>
        <v>46248</v>
      </c>
      <c r="N308" s="90">
        <f t="shared" si="446"/>
        <v>46248</v>
      </c>
      <c r="O308" s="90">
        <v>46247</v>
      </c>
      <c r="P308" s="90">
        <f t="shared" si="447"/>
        <v>46290</v>
      </c>
      <c r="Q308" s="90">
        <f t="shared" si="448"/>
        <v>46290</v>
      </c>
      <c r="R308" s="90"/>
      <c r="S308" s="90">
        <f t="shared" si="454"/>
        <v>46304</v>
      </c>
      <c r="T308" s="90">
        <f t="shared" si="449"/>
        <v>46304</v>
      </c>
      <c r="U308" s="90"/>
      <c r="W308" s="173" t="str">
        <f t="shared" ca="1" si="477"/>
        <v>Completed</v>
      </c>
      <c r="X308" s="173" t="str">
        <f t="shared" ca="1" si="478"/>
        <v>Completed</v>
      </c>
      <c r="Y308" s="173" t="str">
        <f t="shared" ca="1" si="479"/>
        <v/>
      </c>
      <c r="Z308" s="174" t="str">
        <f t="shared" ca="1" si="480"/>
        <v/>
      </c>
    </row>
    <row r="309" spans="1:26" s="70" customFormat="1" ht="11.5" x14ac:dyDescent="0.25">
      <c r="A309" s="92" t="s">
        <v>66</v>
      </c>
      <c r="B309" s="92" t="s">
        <v>14</v>
      </c>
      <c r="C309" s="92" t="s">
        <v>1017</v>
      </c>
      <c r="D309" s="92" t="s">
        <v>366</v>
      </c>
      <c r="E309" s="94">
        <f t="shared" si="441"/>
        <v>0.7</v>
      </c>
      <c r="F309" s="94">
        <f t="shared" si="442"/>
        <v>0.7</v>
      </c>
      <c r="G309" s="94">
        <f t="shared" si="442"/>
        <v>0.7</v>
      </c>
      <c r="H309" s="94">
        <f t="shared" si="443"/>
        <v>0</v>
      </c>
      <c r="I309" s="96">
        <v>4.7E-2</v>
      </c>
      <c r="J309" s="90">
        <v>46206</v>
      </c>
      <c r="K309" s="90">
        <f t="shared" si="444"/>
        <v>46206</v>
      </c>
      <c r="L309" s="90">
        <v>46190</v>
      </c>
      <c r="M309" s="90">
        <f t="shared" si="445"/>
        <v>46248</v>
      </c>
      <c r="N309" s="90">
        <f t="shared" si="446"/>
        <v>46248</v>
      </c>
      <c r="O309" s="90">
        <v>46247</v>
      </c>
      <c r="P309" s="90">
        <f t="shared" si="447"/>
        <v>46290</v>
      </c>
      <c r="Q309" s="90">
        <f t="shared" si="448"/>
        <v>46290</v>
      </c>
      <c r="R309" s="90"/>
      <c r="S309" s="90">
        <f t="shared" si="454"/>
        <v>46304</v>
      </c>
      <c r="T309" s="90">
        <f t="shared" si="449"/>
        <v>46304</v>
      </c>
      <c r="U309" s="90"/>
      <c r="W309" s="173" t="str">
        <f t="shared" ca="1" si="477"/>
        <v>Completed</v>
      </c>
      <c r="X309" s="173" t="str">
        <f t="shared" ca="1" si="478"/>
        <v>Completed</v>
      </c>
      <c r="Y309" s="173" t="str">
        <f t="shared" ca="1" si="479"/>
        <v/>
      </c>
      <c r="Z309" s="174" t="str">
        <f t="shared" ca="1" si="480"/>
        <v/>
      </c>
    </row>
    <row r="310" spans="1:26" s="70" customFormat="1" ht="11.5" x14ac:dyDescent="0.25">
      <c r="A310" s="92" t="s">
        <v>66</v>
      </c>
      <c r="B310" s="92" t="s">
        <v>14</v>
      </c>
      <c r="C310" s="92" t="s">
        <v>1018</v>
      </c>
      <c r="D310" s="92" t="s">
        <v>367</v>
      </c>
      <c r="E310" s="94">
        <f t="shared" si="441"/>
        <v>0.7</v>
      </c>
      <c r="F310" s="94">
        <f t="shared" si="442"/>
        <v>0.7</v>
      </c>
      <c r="G310" s="94">
        <f t="shared" si="442"/>
        <v>0.7</v>
      </c>
      <c r="H310" s="94">
        <f t="shared" si="443"/>
        <v>0</v>
      </c>
      <c r="I310" s="96">
        <v>4.7E-2</v>
      </c>
      <c r="J310" s="90">
        <v>46206</v>
      </c>
      <c r="K310" s="90">
        <f t="shared" si="444"/>
        <v>46206</v>
      </c>
      <c r="L310" s="90">
        <v>46190</v>
      </c>
      <c r="M310" s="90">
        <f t="shared" si="445"/>
        <v>46248</v>
      </c>
      <c r="N310" s="90">
        <f t="shared" si="446"/>
        <v>46248</v>
      </c>
      <c r="O310" s="90">
        <v>46247</v>
      </c>
      <c r="P310" s="90">
        <f t="shared" si="447"/>
        <v>46290</v>
      </c>
      <c r="Q310" s="90">
        <f t="shared" si="448"/>
        <v>46290</v>
      </c>
      <c r="R310" s="90"/>
      <c r="S310" s="90">
        <f t="shared" si="454"/>
        <v>46304</v>
      </c>
      <c r="T310" s="90">
        <f t="shared" si="449"/>
        <v>46304</v>
      </c>
      <c r="U310" s="90"/>
      <c r="W310" s="173" t="str">
        <f t="shared" ca="1" si="477"/>
        <v>Completed</v>
      </c>
      <c r="X310" s="173" t="str">
        <f t="shared" ca="1" si="478"/>
        <v>Completed</v>
      </c>
      <c r="Y310" s="173" t="str">
        <f t="shared" ca="1" si="479"/>
        <v/>
      </c>
      <c r="Z310" s="174" t="str">
        <f t="shared" ca="1" si="480"/>
        <v/>
      </c>
    </row>
    <row r="311" spans="1:26" s="70" customFormat="1" ht="11.5" x14ac:dyDescent="0.25">
      <c r="A311" s="92" t="s">
        <v>66</v>
      </c>
      <c r="B311" s="92" t="s">
        <v>14</v>
      </c>
      <c r="C311" s="92" t="s">
        <v>1019</v>
      </c>
      <c r="D311" s="92" t="s">
        <v>368</v>
      </c>
      <c r="E311" s="94">
        <f t="shared" si="441"/>
        <v>0.7</v>
      </c>
      <c r="F311" s="94">
        <f t="shared" si="442"/>
        <v>0.7</v>
      </c>
      <c r="G311" s="94">
        <f t="shared" si="442"/>
        <v>0.7</v>
      </c>
      <c r="H311" s="94">
        <f t="shared" si="443"/>
        <v>0</v>
      </c>
      <c r="I311" s="96">
        <v>4.7E-2</v>
      </c>
      <c r="J311" s="90">
        <v>46206</v>
      </c>
      <c r="K311" s="90">
        <f t="shared" si="444"/>
        <v>46206</v>
      </c>
      <c r="L311" s="90">
        <v>46190</v>
      </c>
      <c r="M311" s="90">
        <f t="shared" si="445"/>
        <v>46248</v>
      </c>
      <c r="N311" s="90">
        <f t="shared" si="446"/>
        <v>46248</v>
      </c>
      <c r="O311" s="90">
        <v>46247</v>
      </c>
      <c r="P311" s="90">
        <f t="shared" si="447"/>
        <v>46290</v>
      </c>
      <c r="Q311" s="90">
        <f t="shared" si="448"/>
        <v>46290</v>
      </c>
      <c r="R311" s="90"/>
      <c r="S311" s="90">
        <f t="shared" si="454"/>
        <v>46304</v>
      </c>
      <c r="T311" s="90">
        <f t="shared" si="449"/>
        <v>46304</v>
      </c>
      <c r="U311" s="90"/>
      <c r="W311" s="173" t="str">
        <f t="shared" ca="1" si="477"/>
        <v>Completed</v>
      </c>
      <c r="X311" s="173" t="str">
        <f t="shared" ca="1" si="478"/>
        <v>Completed</v>
      </c>
      <c r="Y311" s="173" t="str">
        <f t="shared" ca="1" si="479"/>
        <v/>
      </c>
      <c r="Z311" s="174" t="str">
        <f t="shared" ca="1" si="480"/>
        <v/>
      </c>
    </row>
    <row r="312" spans="1:26" s="70" customFormat="1" ht="11.5" x14ac:dyDescent="0.25">
      <c r="A312" s="92" t="s">
        <v>66</v>
      </c>
      <c r="B312" s="92" t="s">
        <v>14</v>
      </c>
      <c r="C312" s="92" t="s">
        <v>1020</v>
      </c>
      <c r="D312" s="92" t="s">
        <v>369</v>
      </c>
      <c r="E312" s="94">
        <f t="shared" si="441"/>
        <v>0.7</v>
      </c>
      <c r="F312" s="94">
        <f t="shared" si="442"/>
        <v>0.7</v>
      </c>
      <c r="G312" s="94">
        <f t="shared" si="442"/>
        <v>0.7</v>
      </c>
      <c r="H312" s="94">
        <f t="shared" si="443"/>
        <v>0</v>
      </c>
      <c r="I312" s="96">
        <v>4.7E-2</v>
      </c>
      <c r="J312" s="90">
        <v>46206</v>
      </c>
      <c r="K312" s="90">
        <f t="shared" si="444"/>
        <v>46206</v>
      </c>
      <c r="L312" s="90">
        <v>46190</v>
      </c>
      <c r="M312" s="90">
        <f t="shared" si="445"/>
        <v>46248</v>
      </c>
      <c r="N312" s="90">
        <f t="shared" si="446"/>
        <v>46248</v>
      </c>
      <c r="O312" s="90">
        <v>46247</v>
      </c>
      <c r="P312" s="90">
        <f t="shared" si="447"/>
        <v>46290</v>
      </c>
      <c r="Q312" s="90">
        <f t="shared" si="448"/>
        <v>46290</v>
      </c>
      <c r="R312" s="90"/>
      <c r="S312" s="90">
        <f t="shared" si="454"/>
        <v>46304</v>
      </c>
      <c r="T312" s="90">
        <f t="shared" si="449"/>
        <v>46304</v>
      </c>
      <c r="U312" s="90"/>
      <c r="W312" s="173" t="str">
        <f t="shared" ca="1" si="477"/>
        <v>Completed</v>
      </c>
      <c r="X312" s="173" t="str">
        <f t="shared" ca="1" si="478"/>
        <v>Completed</v>
      </c>
      <c r="Y312" s="173" t="str">
        <f t="shared" ca="1" si="479"/>
        <v/>
      </c>
      <c r="Z312" s="174" t="str">
        <f t="shared" ca="1" si="480"/>
        <v/>
      </c>
    </row>
    <row r="313" spans="1:26" s="70" customFormat="1" ht="11.5" x14ac:dyDescent="0.25">
      <c r="A313" s="92" t="s">
        <v>66</v>
      </c>
      <c r="B313" s="92" t="s">
        <v>14</v>
      </c>
      <c r="C313" s="92" t="s">
        <v>1021</v>
      </c>
      <c r="D313" s="92" t="s">
        <v>370</v>
      </c>
      <c r="E313" s="94">
        <f t="shared" si="441"/>
        <v>0.7</v>
      </c>
      <c r="F313" s="94">
        <f t="shared" si="442"/>
        <v>0.7</v>
      </c>
      <c r="G313" s="94">
        <f t="shared" si="442"/>
        <v>0.7</v>
      </c>
      <c r="H313" s="94">
        <f t="shared" si="443"/>
        <v>0</v>
      </c>
      <c r="I313" s="96">
        <v>4.7E-2</v>
      </c>
      <c r="J313" s="90">
        <v>46206</v>
      </c>
      <c r="K313" s="90">
        <f t="shared" si="444"/>
        <v>46206</v>
      </c>
      <c r="L313" s="90">
        <v>46190</v>
      </c>
      <c r="M313" s="90">
        <f t="shared" si="445"/>
        <v>46248</v>
      </c>
      <c r="N313" s="90">
        <f t="shared" si="446"/>
        <v>46248</v>
      </c>
      <c r="O313" s="90">
        <v>46247</v>
      </c>
      <c r="P313" s="90">
        <f t="shared" si="447"/>
        <v>46290</v>
      </c>
      <c r="Q313" s="90">
        <f t="shared" si="448"/>
        <v>46290</v>
      </c>
      <c r="R313" s="90"/>
      <c r="S313" s="90">
        <f t="shared" si="454"/>
        <v>46304</v>
      </c>
      <c r="T313" s="90">
        <f t="shared" si="449"/>
        <v>46304</v>
      </c>
      <c r="U313" s="90"/>
      <c r="W313" s="173" t="str">
        <f t="shared" ca="1" si="477"/>
        <v>Completed</v>
      </c>
      <c r="X313" s="173" t="str">
        <f t="shared" ca="1" si="478"/>
        <v>Completed</v>
      </c>
      <c r="Y313" s="173" t="str">
        <f t="shared" ca="1" si="479"/>
        <v/>
      </c>
      <c r="Z313" s="174" t="str">
        <f t="shared" ca="1" si="480"/>
        <v/>
      </c>
    </row>
    <row r="314" spans="1:26" s="70" customFormat="1" ht="11.5" x14ac:dyDescent="0.25">
      <c r="A314" s="93" t="s">
        <v>66</v>
      </c>
      <c r="B314" s="93" t="s">
        <v>14</v>
      </c>
      <c r="C314" s="93" t="s">
        <v>371</v>
      </c>
      <c r="D314" s="93" t="s">
        <v>372</v>
      </c>
      <c r="E314" s="95">
        <f t="shared" si="441"/>
        <v>0.7</v>
      </c>
      <c r="F314" s="95">
        <f t="shared" si="442"/>
        <v>0.7</v>
      </c>
      <c r="G314" s="95">
        <f t="shared" si="442"/>
        <v>0.79999999999999993</v>
      </c>
      <c r="H314" s="95">
        <f t="shared" si="443"/>
        <v>9.9999999999999978E-2</v>
      </c>
      <c r="I314" s="96">
        <v>4.7E-2</v>
      </c>
      <c r="J314" s="90">
        <v>46206</v>
      </c>
      <c r="K314" s="90">
        <f t="shared" si="444"/>
        <v>46206</v>
      </c>
      <c r="L314" s="90">
        <v>46220</v>
      </c>
      <c r="M314" s="90">
        <f t="shared" si="445"/>
        <v>46248</v>
      </c>
      <c r="N314" s="90">
        <f t="shared" si="446"/>
        <v>46248</v>
      </c>
      <c r="O314" s="90">
        <v>46233</v>
      </c>
      <c r="P314" s="90">
        <f t="shared" si="447"/>
        <v>46290</v>
      </c>
      <c r="Q314" s="90">
        <f t="shared" si="448"/>
        <v>46290</v>
      </c>
      <c r="R314" s="90">
        <v>46254</v>
      </c>
      <c r="S314" s="90">
        <f t="shared" si="454"/>
        <v>46304</v>
      </c>
      <c r="T314" s="90">
        <f t="shared" si="449"/>
        <v>46304</v>
      </c>
      <c r="U314" s="90"/>
      <c r="W314" s="173" t="str">
        <f t="shared" ca="1" si="477"/>
        <v>Completed</v>
      </c>
      <c r="X314" s="173" t="str">
        <f t="shared" ca="1" si="478"/>
        <v>Completed</v>
      </c>
      <c r="Y314" s="173" t="str">
        <f t="shared" ca="1" si="479"/>
        <v>Completed</v>
      </c>
      <c r="Z314" s="174" t="str">
        <f t="shared" ca="1" si="480"/>
        <v/>
      </c>
    </row>
    <row r="315" spans="1:26" s="70" customFormat="1" ht="11.5" x14ac:dyDescent="0.25">
      <c r="A315" s="93" t="s">
        <v>66</v>
      </c>
      <c r="B315" s="93" t="s">
        <v>14</v>
      </c>
      <c r="C315" s="93" t="s">
        <v>373</v>
      </c>
      <c r="D315" s="93" t="s">
        <v>374</v>
      </c>
      <c r="E315" s="95">
        <f t="shared" si="441"/>
        <v>0.7</v>
      </c>
      <c r="F315" s="95">
        <f t="shared" si="442"/>
        <v>0.7</v>
      </c>
      <c r="G315" s="95">
        <f t="shared" si="442"/>
        <v>0.79999999999999993</v>
      </c>
      <c r="H315" s="95">
        <f t="shared" si="443"/>
        <v>9.9999999999999978E-2</v>
      </c>
      <c r="I315" s="96">
        <v>4.7E-2</v>
      </c>
      <c r="J315" s="90">
        <v>46206</v>
      </c>
      <c r="K315" s="90">
        <f t="shared" si="444"/>
        <v>46206</v>
      </c>
      <c r="L315" s="90">
        <v>46220</v>
      </c>
      <c r="M315" s="90">
        <f t="shared" si="445"/>
        <v>46248</v>
      </c>
      <c r="N315" s="90">
        <f t="shared" si="446"/>
        <v>46248</v>
      </c>
      <c r="O315" s="90">
        <v>46233</v>
      </c>
      <c r="P315" s="90">
        <f t="shared" si="447"/>
        <v>46290</v>
      </c>
      <c r="Q315" s="90">
        <f t="shared" si="448"/>
        <v>46290</v>
      </c>
      <c r="R315" s="90">
        <v>46254</v>
      </c>
      <c r="S315" s="90">
        <f t="shared" si="454"/>
        <v>46304</v>
      </c>
      <c r="T315" s="90">
        <f t="shared" si="449"/>
        <v>46304</v>
      </c>
      <c r="U315" s="90"/>
      <c r="W315" s="173" t="str">
        <f t="shared" ca="1" si="477"/>
        <v>Completed</v>
      </c>
      <c r="X315" s="173" t="str">
        <f t="shared" ca="1" si="478"/>
        <v>Completed</v>
      </c>
      <c r="Y315" s="173" t="str">
        <f t="shared" ca="1" si="479"/>
        <v>Completed</v>
      </c>
      <c r="Z315" s="174" t="str">
        <f t="shared" ca="1" si="480"/>
        <v/>
      </c>
    </row>
    <row r="316" spans="1:26" s="70" customFormat="1" ht="11.5" x14ac:dyDescent="0.25">
      <c r="A316" s="177" t="s">
        <v>66</v>
      </c>
      <c r="B316" s="177" t="s">
        <v>14</v>
      </c>
      <c r="C316" s="177" t="s">
        <v>375</v>
      </c>
      <c r="D316" s="177" t="s">
        <v>1126</v>
      </c>
      <c r="E316" s="156"/>
      <c r="F316" s="156"/>
      <c r="G316" s="156"/>
      <c r="H316" s="156"/>
      <c r="I316" s="164">
        <v>4.7E-2</v>
      </c>
      <c r="J316" s="159">
        <v>46206</v>
      </c>
      <c r="K316" s="159">
        <f t="shared" si="444"/>
        <v>46206</v>
      </c>
      <c r="L316" s="160">
        <v>46227</v>
      </c>
      <c r="M316" s="159">
        <f t="shared" si="445"/>
        <v>46248</v>
      </c>
      <c r="N316" s="159">
        <f t="shared" si="446"/>
        <v>46248</v>
      </c>
      <c r="O316" s="160">
        <v>46227</v>
      </c>
      <c r="P316" s="159">
        <f t="shared" si="447"/>
        <v>46290</v>
      </c>
      <c r="Q316" s="159">
        <f t="shared" si="448"/>
        <v>46290</v>
      </c>
      <c r="R316" s="160">
        <v>46227</v>
      </c>
      <c r="S316" s="159">
        <f t="shared" si="454"/>
        <v>46304</v>
      </c>
      <c r="T316" s="159">
        <f t="shared" si="449"/>
        <v>46304</v>
      </c>
      <c r="U316" s="160">
        <v>46227</v>
      </c>
      <c r="W316" s="173"/>
      <c r="X316" s="173"/>
      <c r="Y316" s="173"/>
      <c r="Z316" s="174"/>
    </row>
    <row r="317" spans="1:26" s="70" customFormat="1" ht="11.5" x14ac:dyDescent="0.25">
      <c r="A317" s="92" t="s">
        <v>66</v>
      </c>
      <c r="B317" s="92" t="s">
        <v>14</v>
      </c>
      <c r="C317" s="92" t="s">
        <v>1022</v>
      </c>
      <c r="D317" s="92" t="s">
        <v>376</v>
      </c>
      <c r="E317" s="95">
        <f t="shared" ref="E317:G317" si="489">(COUNTIFS(J317,"&lt;="&amp;$C$1)*50%)+(COUNTIFS(M317,"&lt;="&amp;$C$1)*20%)+(COUNTIFS(P317,"&lt;="&amp;$C$1)*10%)+(COUNTIFS(S317,"&lt;="&amp;$C$1)*20%)</f>
        <v>0.7</v>
      </c>
      <c r="F317" s="95">
        <f t="shared" si="489"/>
        <v>0.7</v>
      </c>
      <c r="G317" s="95">
        <f t="shared" si="489"/>
        <v>0.79999999999999993</v>
      </c>
      <c r="H317" s="95">
        <f>G317-E317</f>
        <v>9.9999999999999978E-2</v>
      </c>
      <c r="I317" s="96">
        <v>4.7E-2</v>
      </c>
      <c r="J317" s="90">
        <v>46206</v>
      </c>
      <c r="K317" s="90">
        <f t="shared" si="444"/>
        <v>46206</v>
      </c>
      <c r="L317" s="90">
        <v>46220</v>
      </c>
      <c r="M317" s="90">
        <f t="shared" si="445"/>
        <v>46248</v>
      </c>
      <c r="N317" s="90">
        <f t="shared" si="446"/>
        <v>46248</v>
      </c>
      <c r="O317" s="90">
        <v>46233</v>
      </c>
      <c r="P317" s="90">
        <f t="shared" si="447"/>
        <v>46290</v>
      </c>
      <c r="Q317" s="90">
        <f t="shared" si="448"/>
        <v>46290</v>
      </c>
      <c r="R317" s="90">
        <v>46254</v>
      </c>
      <c r="S317" s="90">
        <f t="shared" si="454"/>
        <v>46304</v>
      </c>
      <c r="T317" s="90">
        <f t="shared" si="449"/>
        <v>46304</v>
      </c>
      <c r="U317" s="90"/>
      <c r="W317" s="173" t="str">
        <f t="shared" ca="1" si="477"/>
        <v>Completed</v>
      </c>
      <c r="X317" s="173" t="str">
        <f t="shared" ca="1" si="478"/>
        <v>Completed</v>
      </c>
      <c r="Y317" s="173" t="str">
        <f t="shared" ca="1" si="479"/>
        <v>Completed</v>
      </c>
      <c r="Z317" s="174" t="str">
        <f t="shared" ca="1" si="480"/>
        <v/>
      </c>
    </row>
    <row r="318" spans="1:26" s="70" customFormat="1" ht="11.5" x14ac:dyDescent="0.25">
      <c r="A318" s="93" t="s">
        <v>66</v>
      </c>
      <c r="B318" s="93" t="s">
        <v>14</v>
      </c>
      <c r="C318" s="93" t="s">
        <v>377</v>
      </c>
      <c r="D318" s="93" t="s">
        <v>378</v>
      </c>
      <c r="E318" s="95">
        <f t="shared" si="441"/>
        <v>0.7</v>
      </c>
      <c r="F318" s="95">
        <f t="shared" si="442"/>
        <v>0.7</v>
      </c>
      <c r="G318" s="95">
        <f t="shared" si="442"/>
        <v>0.7</v>
      </c>
      <c r="H318" s="95">
        <f t="shared" si="443"/>
        <v>0</v>
      </c>
      <c r="I318" s="96">
        <v>4.7E-2</v>
      </c>
      <c r="J318" s="90">
        <v>46206</v>
      </c>
      <c r="K318" s="90">
        <f t="shared" si="444"/>
        <v>46206</v>
      </c>
      <c r="L318" s="147">
        <v>46248</v>
      </c>
      <c r="M318" s="90">
        <f t="shared" si="445"/>
        <v>46248</v>
      </c>
      <c r="N318" s="90">
        <f t="shared" si="446"/>
        <v>46248</v>
      </c>
      <c r="O318" s="90">
        <v>46255</v>
      </c>
      <c r="P318" s="90">
        <f t="shared" si="447"/>
        <v>46290</v>
      </c>
      <c r="Q318" s="90">
        <f t="shared" si="448"/>
        <v>46290</v>
      </c>
      <c r="R318" s="90"/>
      <c r="S318" s="90">
        <f t="shared" si="454"/>
        <v>46304</v>
      </c>
      <c r="T318" s="90">
        <f t="shared" si="449"/>
        <v>46304</v>
      </c>
      <c r="U318" s="90"/>
      <c r="W318" s="173" t="str">
        <f t="shared" ca="1" si="477"/>
        <v>Completed</v>
      </c>
      <c r="X318" s="173" t="str">
        <f t="shared" ca="1" si="478"/>
        <v>Completed</v>
      </c>
      <c r="Y318" s="173" t="str">
        <f t="shared" ca="1" si="479"/>
        <v/>
      </c>
      <c r="Z318" s="174" t="str">
        <f t="shared" ca="1" si="480"/>
        <v/>
      </c>
    </row>
    <row r="319" spans="1:26" s="70" customFormat="1" ht="11.5" x14ac:dyDescent="0.25">
      <c r="A319" s="93" t="s">
        <v>66</v>
      </c>
      <c r="B319" s="93" t="s">
        <v>14</v>
      </c>
      <c r="C319" s="93" t="s">
        <v>379</v>
      </c>
      <c r="D319" s="93" t="s">
        <v>380</v>
      </c>
      <c r="E319" s="95">
        <f t="shared" si="441"/>
        <v>0.7</v>
      </c>
      <c r="F319" s="95">
        <f t="shared" si="442"/>
        <v>0.7</v>
      </c>
      <c r="G319" s="95">
        <f t="shared" si="442"/>
        <v>0.7</v>
      </c>
      <c r="H319" s="95">
        <f t="shared" si="443"/>
        <v>0</v>
      </c>
      <c r="I319" s="96">
        <v>4.7E-2</v>
      </c>
      <c r="J319" s="90">
        <v>46206</v>
      </c>
      <c r="K319" s="90">
        <f t="shared" si="444"/>
        <v>46206</v>
      </c>
      <c r="L319" s="147">
        <v>46248</v>
      </c>
      <c r="M319" s="90">
        <f t="shared" si="445"/>
        <v>46248</v>
      </c>
      <c r="N319" s="90">
        <f t="shared" si="446"/>
        <v>46248</v>
      </c>
      <c r="O319" s="90">
        <v>46255</v>
      </c>
      <c r="P319" s="90">
        <f t="shared" si="447"/>
        <v>46290</v>
      </c>
      <c r="Q319" s="90">
        <f t="shared" si="448"/>
        <v>46290</v>
      </c>
      <c r="R319" s="90"/>
      <c r="S319" s="90">
        <f t="shared" si="454"/>
        <v>46304</v>
      </c>
      <c r="T319" s="90">
        <f t="shared" si="449"/>
        <v>46304</v>
      </c>
      <c r="U319" s="90"/>
      <c r="W319" s="173" t="str">
        <f t="shared" ca="1" si="477"/>
        <v>Completed</v>
      </c>
      <c r="X319" s="173" t="str">
        <f t="shared" ca="1" si="478"/>
        <v>Completed</v>
      </c>
      <c r="Y319" s="173" t="str">
        <f t="shared" ca="1" si="479"/>
        <v/>
      </c>
      <c r="Z319" s="174" t="str">
        <f t="shared" ca="1" si="480"/>
        <v/>
      </c>
    </row>
    <row r="320" spans="1:26" s="70" customFormat="1" ht="11.5" x14ac:dyDescent="0.25">
      <c r="A320" s="93" t="s">
        <v>66</v>
      </c>
      <c r="B320" s="93" t="s">
        <v>14</v>
      </c>
      <c r="C320" s="93" t="s">
        <v>42</v>
      </c>
      <c r="D320" s="93" t="s">
        <v>381</v>
      </c>
      <c r="E320" s="95">
        <f t="shared" si="441"/>
        <v>0</v>
      </c>
      <c r="F320" s="95">
        <f t="shared" si="442"/>
        <v>0</v>
      </c>
      <c r="G320" s="95">
        <f t="shared" si="442"/>
        <v>0</v>
      </c>
      <c r="H320" s="95">
        <f t="shared" si="443"/>
        <v>0</v>
      </c>
      <c r="I320" s="130">
        <v>1.5</v>
      </c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W320" s="173" t="str">
        <f t="shared" ca="1" si="477"/>
        <v/>
      </c>
      <c r="X320" s="173" t="str">
        <f t="shared" ca="1" si="478"/>
        <v/>
      </c>
      <c r="Y320" s="173" t="str">
        <f t="shared" ca="1" si="479"/>
        <v/>
      </c>
      <c r="Z320" s="174" t="str">
        <f t="shared" ca="1" si="480"/>
        <v/>
      </c>
    </row>
    <row r="321" spans="1:26" s="70" customFormat="1" ht="11.5" x14ac:dyDescent="0.25">
      <c r="A321" s="73"/>
      <c r="B321" s="73"/>
      <c r="C321" s="73"/>
      <c r="D321" s="73"/>
      <c r="E321" s="74"/>
      <c r="F321" s="74"/>
      <c r="G321" s="74"/>
      <c r="H321" s="74"/>
      <c r="I321" s="75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W321" s="173" t="str">
        <f t="shared" ca="1" si="477"/>
        <v/>
      </c>
      <c r="X321" s="173" t="str">
        <f t="shared" ca="1" si="478"/>
        <v/>
      </c>
      <c r="Y321" s="173" t="str">
        <f t="shared" ca="1" si="479"/>
        <v/>
      </c>
      <c r="Z321" s="174" t="str">
        <f t="shared" ca="1" si="480"/>
        <v/>
      </c>
    </row>
    <row r="322" spans="1:26" s="70" customFormat="1" ht="11.5" x14ac:dyDescent="0.25">
      <c r="A322" s="102" t="s">
        <v>64</v>
      </c>
      <c r="B322" s="102" t="s">
        <v>14</v>
      </c>
      <c r="C322" s="102" t="s">
        <v>874</v>
      </c>
      <c r="D322" s="102" t="s">
        <v>870</v>
      </c>
      <c r="E322" s="105">
        <f t="shared" si="441"/>
        <v>0.79999999999999993</v>
      </c>
      <c r="F322" s="105">
        <f t="shared" si="442"/>
        <v>0.79999999999999993</v>
      </c>
      <c r="G322" s="105">
        <f t="shared" si="442"/>
        <v>1</v>
      </c>
      <c r="H322" s="105">
        <f t="shared" si="443"/>
        <v>0.20000000000000007</v>
      </c>
      <c r="I322" s="106">
        <v>8.9999999999999993E-3</v>
      </c>
      <c r="J322" s="107">
        <f t="shared" ref="J322:J353" si="490">J199+28</f>
        <v>46178</v>
      </c>
      <c r="K322" s="107">
        <f t="shared" si="444"/>
        <v>46178</v>
      </c>
      <c r="L322" s="107">
        <v>46175</v>
      </c>
      <c r="M322" s="108">
        <f t="shared" si="445"/>
        <v>46220</v>
      </c>
      <c r="N322" s="107">
        <f t="shared" si="446"/>
        <v>46220</v>
      </c>
      <c r="O322" s="107">
        <v>46191</v>
      </c>
      <c r="P322" s="108">
        <f t="shared" si="447"/>
        <v>46262</v>
      </c>
      <c r="Q322" s="107">
        <f t="shared" si="448"/>
        <v>46262</v>
      </c>
      <c r="R322" s="107">
        <v>46245</v>
      </c>
      <c r="S322" s="107">
        <f t="shared" si="454"/>
        <v>46276</v>
      </c>
      <c r="T322" s="107">
        <f t="shared" si="449"/>
        <v>46276</v>
      </c>
      <c r="U322" s="107">
        <v>46255</v>
      </c>
      <c r="W322" s="173" t="str">
        <f t="shared" ca="1" si="477"/>
        <v>Completed</v>
      </c>
      <c r="X322" s="173" t="str">
        <f t="shared" ca="1" si="478"/>
        <v>Completed</v>
      </c>
      <c r="Y322" s="173" t="str">
        <f t="shared" ca="1" si="479"/>
        <v>Completed</v>
      </c>
      <c r="Z322" s="174" t="str">
        <f t="shared" ca="1" si="480"/>
        <v>Completed</v>
      </c>
    </row>
    <row r="323" spans="1:26" s="70" customFormat="1" ht="11.5" x14ac:dyDescent="0.25">
      <c r="A323" s="102" t="s">
        <v>64</v>
      </c>
      <c r="B323" s="102" t="s">
        <v>14</v>
      </c>
      <c r="C323" s="102" t="s">
        <v>875</v>
      </c>
      <c r="D323" s="102" t="s">
        <v>871</v>
      </c>
      <c r="E323" s="105">
        <f t="shared" si="441"/>
        <v>0.79999999999999993</v>
      </c>
      <c r="F323" s="105">
        <f t="shared" si="442"/>
        <v>0.79999999999999993</v>
      </c>
      <c r="G323" s="105">
        <f t="shared" si="442"/>
        <v>1</v>
      </c>
      <c r="H323" s="105">
        <f t="shared" si="443"/>
        <v>0.20000000000000007</v>
      </c>
      <c r="I323" s="106">
        <v>8.9999999999999993E-3</v>
      </c>
      <c r="J323" s="107">
        <f t="shared" si="490"/>
        <v>46178</v>
      </c>
      <c r="K323" s="107">
        <f t="shared" si="444"/>
        <v>46178</v>
      </c>
      <c r="L323" s="107">
        <v>46175</v>
      </c>
      <c r="M323" s="108">
        <f t="shared" si="445"/>
        <v>46220</v>
      </c>
      <c r="N323" s="107">
        <f t="shared" si="446"/>
        <v>46220</v>
      </c>
      <c r="O323" s="107">
        <v>46191</v>
      </c>
      <c r="P323" s="108">
        <f t="shared" si="447"/>
        <v>46262</v>
      </c>
      <c r="Q323" s="107">
        <f t="shared" si="448"/>
        <v>46262</v>
      </c>
      <c r="R323" s="107">
        <v>46245</v>
      </c>
      <c r="S323" s="107">
        <f t="shared" si="454"/>
        <v>46276</v>
      </c>
      <c r="T323" s="107">
        <f t="shared" si="449"/>
        <v>46276</v>
      </c>
      <c r="U323" s="107">
        <v>46255</v>
      </c>
      <c r="W323" s="173" t="str">
        <f t="shared" ca="1" si="477"/>
        <v>Completed</v>
      </c>
      <c r="X323" s="173" t="str">
        <f t="shared" ca="1" si="478"/>
        <v>Completed</v>
      </c>
      <c r="Y323" s="173" t="str">
        <f t="shared" ca="1" si="479"/>
        <v>Completed</v>
      </c>
      <c r="Z323" s="174" t="str">
        <f t="shared" ca="1" si="480"/>
        <v>Completed</v>
      </c>
    </row>
    <row r="324" spans="1:26" s="70" customFormat="1" ht="11.5" x14ac:dyDescent="0.25">
      <c r="A324" s="102" t="s">
        <v>64</v>
      </c>
      <c r="B324" s="102" t="s">
        <v>14</v>
      </c>
      <c r="C324" s="102" t="s">
        <v>876</v>
      </c>
      <c r="D324" s="102" t="s">
        <v>872</v>
      </c>
      <c r="E324" s="105">
        <f t="shared" si="441"/>
        <v>0.79999999999999993</v>
      </c>
      <c r="F324" s="105">
        <f t="shared" si="442"/>
        <v>0.79999999999999993</v>
      </c>
      <c r="G324" s="105">
        <f t="shared" si="442"/>
        <v>1</v>
      </c>
      <c r="H324" s="104">
        <f t="shared" si="443"/>
        <v>0.20000000000000007</v>
      </c>
      <c r="I324" s="110">
        <v>4.7E-2</v>
      </c>
      <c r="J324" s="107">
        <f t="shared" si="490"/>
        <v>46178</v>
      </c>
      <c r="K324" s="107">
        <f t="shared" si="444"/>
        <v>46178</v>
      </c>
      <c r="L324" s="107">
        <v>46175</v>
      </c>
      <c r="M324" s="108">
        <f t="shared" si="445"/>
        <v>46220</v>
      </c>
      <c r="N324" s="107">
        <f t="shared" si="446"/>
        <v>46220</v>
      </c>
      <c r="O324" s="107">
        <v>46191</v>
      </c>
      <c r="P324" s="108">
        <f t="shared" si="447"/>
        <v>46262</v>
      </c>
      <c r="Q324" s="107">
        <f t="shared" si="448"/>
        <v>46262</v>
      </c>
      <c r="R324" s="107">
        <v>46245</v>
      </c>
      <c r="S324" s="107">
        <f t="shared" si="454"/>
        <v>46276</v>
      </c>
      <c r="T324" s="107">
        <f t="shared" si="449"/>
        <v>46276</v>
      </c>
      <c r="U324" s="107">
        <v>46255</v>
      </c>
      <c r="W324" s="173" t="str">
        <f t="shared" ca="1" si="477"/>
        <v>Completed</v>
      </c>
      <c r="X324" s="173" t="str">
        <f t="shared" ca="1" si="478"/>
        <v>Completed</v>
      </c>
      <c r="Y324" s="173" t="str">
        <f t="shared" ca="1" si="479"/>
        <v>Completed</v>
      </c>
      <c r="Z324" s="174" t="str">
        <f t="shared" ca="1" si="480"/>
        <v>Completed</v>
      </c>
    </row>
    <row r="325" spans="1:26" s="70" customFormat="1" ht="11.5" x14ac:dyDescent="0.25">
      <c r="A325" s="102" t="s">
        <v>64</v>
      </c>
      <c r="B325" s="102" t="s">
        <v>14</v>
      </c>
      <c r="C325" s="102" t="s">
        <v>877</v>
      </c>
      <c r="D325" s="102" t="s">
        <v>873</v>
      </c>
      <c r="E325" s="105">
        <f t="shared" si="441"/>
        <v>0.79999999999999993</v>
      </c>
      <c r="F325" s="105">
        <f t="shared" si="442"/>
        <v>0.79999999999999993</v>
      </c>
      <c r="G325" s="105">
        <f t="shared" si="442"/>
        <v>1</v>
      </c>
      <c r="H325" s="104">
        <f t="shared" si="443"/>
        <v>0.20000000000000007</v>
      </c>
      <c r="I325" s="110">
        <v>4.7E-2</v>
      </c>
      <c r="J325" s="107">
        <f t="shared" si="490"/>
        <v>46178</v>
      </c>
      <c r="K325" s="107">
        <f t="shared" si="444"/>
        <v>46178</v>
      </c>
      <c r="L325" s="107">
        <v>46175</v>
      </c>
      <c r="M325" s="108">
        <f t="shared" si="445"/>
        <v>46220</v>
      </c>
      <c r="N325" s="107">
        <f t="shared" si="446"/>
        <v>46220</v>
      </c>
      <c r="O325" s="107">
        <v>46191</v>
      </c>
      <c r="P325" s="108">
        <f t="shared" si="447"/>
        <v>46262</v>
      </c>
      <c r="Q325" s="107">
        <f t="shared" si="448"/>
        <v>46262</v>
      </c>
      <c r="R325" s="107">
        <v>46245</v>
      </c>
      <c r="S325" s="107">
        <f t="shared" si="454"/>
        <v>46276</v>
      </c>
      <c r="T325" s="107">
        <f t="shared" si="449"/>
        <v>46276</v>
      </c>
      <c r="U325" s="107">
        <v>46255</v>
      </c>
      <c r="W325" s="173" t="str">
        <f t="shared" ca="1" si="477"/>
        <v>Completed</v>
      </c>
      <c r="X325" s="173" t="str">
        <f t="shared" ca="1" si="478"/>
        <v>Completed</v>
      </c>
      <c r="Y325" s="173" t="str">
        <f t="shared" ca="1" si="479"/>
        <v>Completed</v>
      </c>
      <c r="Z325" s="174" t="str">
        <f t="shared" ca="1" si="480"/>
        <v>Completed</v>
      </c>
    </row>
    <row r="326" spans="1:26" s="70" customFormat="1" ht="11.5" x14ac:dyDescent="0.25">
      <c r="A326" s="102" t="s">
        <v>64</v>
      </c>
      <c r="B326" s="102" t="s">
        <v>14</v>
      </c>
      <c r="C326" s="102" t="s">
        <v>382</v>
      </c>
      <c r="D326" s="102" t="s">
        <v>383</v>
      </c>
      <c r="E326" s="105">
        <f t="shared" si="441"/>
        <v>0.79999999999999993</v>
      </c>
      <c r="F326" s="105">
        <f t="shared" si="442"/>
        <v>0.79999999999999993</v>
      </c>
      <c r="G326" s="105">
        <f t="shared" si="442"/>
        <v>0</v>
      </c>
      <c r="H326" s="104">
        <f t="shared" si="443"/>
        <v>-0.79999999999999993</v>
      </c>
      <c r="I326" s="110">
        <v>4.7E-2</v>
      </c>
      <c r="J326" s="107">
        <f t="shared" si="490"/>
        <v>46178</v>
      </c>
      <c r="K326" s="108">
        <f t="shared" si="444"/>
        <v>46178</v>
      </c>
      <c r="L326" s="108"/>
      <c r="M326" s="108">
        <f t="shared" si="445"/>
        <v>46220</v>
      </c>
      <c r="N326" s="108">
        <f t="shared" si="446"/>
        <v>46220</v>
      </c>
      <c r="O326" s="108"/>
      <c r="P326" s="108">
        <f t="shared" si="447"/>
        <v>46262</v>
      </c>
      <c r="Q326" s="108">
        <f t="shared" si="448"/>
        <v>46262</v>
      </c>
      <c r="R326" s="108"/>
      <c r="S326" s="107">
        <f t="shared" si="454"/>
        <v>46276</v>
      </c>
      <c r="T326" s="108">
        <f t="shared" si="449"/>
        <v>46276</v>
      </c>
      <c r="U326" s="108"/>
      <c r="W326" s="173" t="str">
        <f t="shared" ca="1" si="477"/>
        <v>Overdue</v>
      </c>
      <c r="X326" s="173" t="str">
        <f t="shared" ca="1" si="478"/>
        <v>Overdue</v>
      </c>
      <c r="Y326" s="173" t="str">
        <f t="shared" ca="1" si="479"/>
        <v>Overdue</v>
      </c>
      <c r="Z326" s="174" t="str">
        <f t="shared" ca="1" si="480"/>
        <v>Follow-Next Week</v>
      </c>
    </row>
    <row r="327" spans="1:26" s="70" customFormat="1" ht="11.5" x14ac:dyDescent="0.25">
      <c r="A327" s="102" t="s">
        <v>64</v>
      </c>
      <c r="B327" s="102" t="s">
        <v>14</v>
      </c>
      <c r="C327" s="102" t="s">
        <v>384</v>
      </c>
      <c r="D327" s="102" t="s">
        <v>385</v>
      </c>
      <c r="E327" s="105">
        <f t="shared" ref="E327:E383" si="491">(COUNTIFS(J327,"&lt;="&amp;$C$1)*50%)+(COUNTIFS(M327,"&lt;="&amp;$C$1)*20%)+(COUNTIFS(P327,"&lt;="&amp;$C$1)*10%)+(COUNTIFS(S327,"&lt;="&amp;$C$1)*20%)</f>
        <v>0.79999999999999993</v>
      </c>
      <c r="F327" s="105">
        <f t="shared" ref="F327:G383" si="492">(COUNTIFS(K327,"&lt;="&amp;$C$1)*50%)+(COUNTIFS(N327,"&lt;="&amp;$C$1)*20%)+(COUNTIFS(Q327,"&lt;="&amp;$C$1)*10%)+(COUNTIFS(T327,"&lt;="&amp;$C$1)*20%)</f>
        <v>0.79999999999999993</v>
      </c>
      <c r="G327" s="105">
        <f t="shared" si="492"/>
        <v>0</v>
      </c>
      <c r="H327" s="104">
        <f t="shared" ref="H327:H383" si="493">G327-E327</f>
        <v>-0.79999999999999993</v>
      </c>
      <c r="I327" s="110">
        <v>4.7E-2</v>
      </c>
      <c r="J327" s="107">
        <f t="shared" si="490"/>
        <v>46178</v>
      </c>
      <c r="K327" s="108">
        <f t="shared" si="444"/>
        <v>46178</v>
      </c>
      <c r="L327" s="108"/>
      <c r="M327" s="108">
        <f t="shared" si="445"/>
        <v>46220</v>
      </c>
      <c r="N327" s="108">
        <f t="shared" si="446"/>
        <v>46220</v>
      </c>
      <c r="O327" s="108"/>
      <c r="P327" s="108">
        <f t="shared" si="447"/>
        <v>46262</v>
      </c>
      <c r="Q327" s="108">
        <f t="shared" si="448"/>
        <v>46262</v>
      </c>
      <c r="R327" s="108"/>
      <c r="S327" s="107">
        <f t="shared" si="454"/>
        <v>46276</v>
      </c>
      <c r="T327" s="108">
        <f t="shared" si="449"/>
        <v>46276</v>
      </c>
      <c r="U327" s="108"/>
      <c r="W327" s="173" t="str">
        <f t="shared" ca="1" si="477"/>
        <v>Overdue</v>
      </c>
      <c r="X327" s="173" t="str">
        <f t="shared" ca="1" si="478"/>
        <v>Overdue</v>
      </c>
      <c r="Y327" s="173" t="str">
        <f t="shared" ca="1" si="479"/>
        <v>Overdue</v>
      </c>
      <c r="Z327" s="174" t="str">
        <f t="shared" ca="1" si="480"/>
        <v>Follow-Next Week</v>
      </c>
    </row>
    <row r="328" spans="1:26" s="70" customFormat="1" ht="11.5" x14ac:dyDescent="0.25">
      <c r="A328" s="102" t="s">
        <v>64</v>
      </c>
      <c r="B328" s="102" t="s">
        <v>14</v>
      </c>
      <c r="C328" s="102" t="s">
        <v>386</v>
      </c>
      <c r="D328" s="102" t="s">
        <v>387</v>
      </c>
      <c r="E328" s="105">
        <f t="shared" si="491"/>
        <v>0.79999999999999993</v>
      </c>
      <c r="F328" s="105">
        <f t="shared" si="492"/>
        <v>0.79999999999999993</v>
      </c>
      <c r="G328" s="105">
        <f t="shared" si="492"/>
        <v>0.7</v>
      </c>
      <c r="H328" s="104">
        <f t="shared" si="493"/>
        <v>-9.9999999999999978E-2</v>
      </c>
      <c r="I328" s="110">
        <v>4.7E-2</v>
      </c>
      <c r="J328" s="107">
        <f t="shared" si="490"/>
        <v>46178</v>
      </c>
      <c r="K328" s="108">
        <f t="shared" si="444"/>
        <v>46178</v>
      </c>
      <c r="L328" s="107">
        <v>46130</v>
      </c>
      <c r="M328" s="108">
        <f t="shared" si="445"/>
        <v>46220</v>
      </c>
      <c r="N328" s="108">
        <f t="shared" si="446"/>
        <v>46220</v>
      </c>
      <c r="O328" s="108">
        <v>46217</v>
      </c>
      <c r="P328" s="108">
        <f>M328+38</f>
        <v>46258</v>
      </c>
      <c r="Q328" s="108">
        <f t="shared" si="448"/>
        <v>46258</v>
      </c>
      <c r="R328" s="108"/>
      <c r="S328" s="107">
        <f t="shared" si="454"/>
        <v>46272</v>
      </c>
      <c r="T328" s="108">
        <f t="shared" si="449"/>
        <v>46272</v>
      </c>
      <c r="U328" s="108"/>
      <c r="W328" s="173" t="str">
        <f t="shared" ca="1" si="477"/>
        <v>Completed</v>
      </c>
      <c r="X328" s="173" t="str">
        <f t="shared" ca="1" si="478"/>
        <v>Completed</v>
      </c>
      <c r="Y328" s="173" t="str">
        <f t="shared" ca="1" si="479"/>
        <v>Overdue</v>
      </c>
      <c r="Z328" s="174" t="str">
        <f t="shared" ca="1" si="480"/>
        <v>Follow-Next Week</v>
      </c>
    </row>
    <row r="329" spans="1:26" s="70" customFormat="1" ht="11.5" x14ac:dyDescent="0.25">
      <c r="A329" s="102" t="s">
        <v>64</v>
      </c>
      <c r="B329" s="102" t="s">
        <v>14</v>
      </c>
      <c r="C329" s="102" t="s">
        <v>388</v>
      </c>
      <c r="D329" s="102" t="s">
        <v>389</v>
      </c>
      <c r="E329" s="105">
        <f t="shared" si="491"/>
        <v>0.79999999999999993</v>
      </c>
      <c r="F329" s="105">
        <f t="shared" si="492"/>
        <v>0.79999999999999993</v>
      </c>
      <c r="G329" s="105">
        <f t="shared" si="492"/>
        <v>0.7</v>
      </c>
      <c r="H329" s="104">
        <f t="shared" si="493"/>
        <v>-9.9999999999999978E-2</v>
      </c>
      <c r="I329" s="110">
        <v>4.7E-2</v>
      </c>
      <c r="J329" s="107">
        <f t="shared" si="490"/>
        <v>46178</v>
      </c>
      <c r="K329" s="108">
        <f t="shared" si="444"/>
        <v>46178</v>
      </c>
      <c r="L329" s="107">
        <v>46130</v>
      </c>
      <c r="M329" s="108">
        <f t="shared" si="445"/>
        <v>46220</v>
      </c>
      <c r="N329" s="108">
        <f t="shared" si="446"/>
        <v>46220</v>
      </c>
      <c r="O329" s="108">
        <v>46217</v>
      </c>
      <c r="P329" s="108">
        <f t="shared" ref="P329:P354" si="494">M329+38</f>
        <v>46258</v>
      </c>
      <c r="Q329" s="108">
        <f t="shared" si="448"/>
        <v>46258</v>
      </c>
      <c r="R329" s="108"/>
      <c r="S329" s="107">
        <f t="shared" si="454"/>
        <v>46272</v>
      </c>
      <c r="T329" s="108">
        <f t="shared" si="449"/>
        <v>46272</v>
      </c>
      <c r="U329" s="108"/>
      <c r="W329" s="173" t="str">
        <f t="shared" ca="1" si="477"/>
        <v>Completed</v>
      </c>
      <c r="X329" s="173" t="str">
        <f t="shared" ca="1" si="478"/>
        <v>Completed</v>
      </c>
      <c r="Y329" s="173" t="str">
        <f t="shared" ca="1" si="479"/>
        <v>Overdue</v>
      </c>
      <c r="Z329" s="174" t="str">
        <f t="shared" ca="1" si="480"/>
        <v>Follow-Next Week</v>
      </c>
    </row>
    <row r="330" spans="1:26" s="70" customFormat="1" ht="11.5" x14ac:dyDescent="0.25">
      <c r="A330" s="102" t="s">
        <v>64</v>
      </c>
      <c r="B330" s="102" t="s">
        <v>14</v>
      </c>
      <c r="C330" s="102" t="s">
        <v>390</v>
      </c>
      <c r="D330" s="102" t="s">
        <v>391</v>
      </c>
      <c r="E330" s="105">
        <f t="shared" si="491"/>
        <v>0.79999999999999993</v>
      </c>
      <c r="F330" s="105">
        <f t="shared" si="492"/>
        <v>0.79999999999999993</v>
      </c>
      <c r="G330" s="105">
        <f t="shared" si="492"/>
        <v>0.7</v>
      </c>
      <c r="H330" s="104">
        <f t="shared" si="493"/>
        <v>-9.9999999999999978E-2</v>
      </c>
      <c r="I330" s="110">
        <v>4.7E-2</v>
      </c>
      <c r="J330" s="107">
        <f t="shared" si="490"/>
        <v>46178</v>
      </c>
      <c r="K330" s="108">
        <f t="shared" si="444"/>
        <v>46178</v>
      </c>
      <c r="L330" s="107">
        <v>46130</v>
      </c>
      <c r="M330" s="108">
        <f t="shared" si="445"/>
        <v>46220</v>
      </c>
      <c r="N330" s="108">
        <f t="shared" si="446"/>
        <v>46220</v>
      </c>
      <c r="O330" s="108">
        <v>46217</v>
      </c>
      <c r="P330" s="108">
        <f t="shared" si="494"/>
        <v>46258</v>
      </c>
      <c r="Q330" s="108">
        <f t="shared" si="448"/>
        <v>46258</v>
      </c>
      <c r="R330" s="108"/>
      <c r="S330" s="107">
        <f t="shared" si="454"/>
        <v>46272</v>
      </c>
      <c r="T330" s="108">
        <f t="shared" si="449"/>
        <v>46272</v>
      </c>
      <c r="U330" s="108"/>
      <c r="W330" s="173" t="str">
        <f t="shared" ca="1" si="477"/>
        <v>Completed</v>
      </c>
      <c r="X330" s="173" t="str">
        <f t="shared" ca="1" si="478"/>
        <v>Completed</v>
      </c>
      <c r="Y330" s="173" t="str">
        <f t="shared" ca="1" si="479"/>
        <v>Overdue</v>
      </c>
      <c r="Z330" s="174" t="str">
        <f t="shared" ca="1" si="480"/>
        <v>Follow-Next Week</v>
      </c>
    </row>
    <row r="331" spans="1:26" s="70" customFormat="1" ht="11.5" x14ac:dyDescent="0.25">
      <c r="A331" s="102" t="s">
        <v>64</v>
      </c>
      <c r="B331" s="102" t="s">
        <v>14</v>
      </c>
      <c r="C331" s="102" t="s">
        <v>392</v>
      </c>
      <c r="D331" s="102" t="s">
        <v>393</v>
      </c>
      <c r="E331" s="105">
        <f t="shared" si="491"/>
        <v>0.79999999999999993</v>
      </c>
      <c r="F331" s="105">
        <f t="shared" si="492"/>
        <v>0.79999999999999993</v>
      </c>
      <c r="G331" s="105">
        <f t="shared" si="492"/>
        <v>0.7</v>
      </c>
      <c r="H331" s="104">
        <f t="shared" si="493"/>
        <v>-9.9999999999999978E-2</v>
      </c>
      <c r="I331" s="110">
        <v>4.7E-2</v>
      </c>
      <c r="J331" s="107">
        <f t="shared" si="490"/>
        <v>46178</v>
      </c>
      <c r="K331" s="108">
        <f t="shared" si="444"/>
        <v>46178</v>
      </c>
      <c r="L331" s="107">
        <v>46130</v>
      </c>
      <c r="M331" s="108">
        <f t="shared" si="445"/>
        <v>46220</v>
      </c>
      <c r="N331" s="108">
        <f t="shared" si="446"/>
        <v>46220</v>
      </c>
      <c r="O331" s="108">
        <v>46217</v>
      </c>
      <c r="P331" s="108">
        <f t="shared" si="494"/>
        <v>46258</v>
      </c>
      <c r="Q331" s="108">
        <f t="shared" si="448"/>
        <v>46258</v>
      </c>
      <c r="R331" s="108"/>
      <c r="S331" s="107">
        <f t="shared" si="454"/>
        <v>46272</v>
      </c>
      <c r="T331" s="108">
        <f t="shared" si="449"/>
        <v>46272</v>
      </c>
      <c r="U331" s="108"/>
      <c r="W331" s="173" t="str">
        <f t="shared" ca="1" si="477"/>
        <v>Completed</v>
      </c>
      <c r="X331" s="173" t="str">
        <f t="shared" ca="1" si="478"/>
        <v>Completed</v>
      </c>
      <c r="Y331" s="173" t="str">
        <f t="shared" ca="1" si="479"/>
        <v>Overdue</v>
      </c>
      <c r="Z331" s="174" t="str">
        <f t="shared" ca="1" si="480"/>
        <v>Follow-Next Week</v>
      </c>
    </row>
    <row r="332" spans="1:26" s="70" customFormat="1" ht="11.5" x14ac:dyDescent="0.25">
      <c r="A332" s="102" t="s">
        <v>64</v>
      </c>
      <c r="B332" s="102" t="s">
        <v>14</v>
      </c>
      <c r="C332" s="102" t="s">
        <v>394</v>
      </c>
      <c r="D332" s="102" t="s">
        <v>395</v>
      </c>
      <c r="E332" s="105">
        <f t="shared" si="491"/>
        <v>0.79999999999999993</v>
      </c>
      <c r="F332" s="105">
        <f t="shared" si="492"/>
        <v>0.79999999999999993</v>
      </c>
      <c r="G332" s="105">
        <f t="shared" si="492"/>
        <v>0.7</v>
      </c>
      <c r="H332" s="104">
        <f t="shared" si="493"/>
        <v>-9.9999999999999978E-2</v>
      </c>
      <c r="I332" s="110">
        <v>4.7E-2</v>
      </c>
      <c r="J332" s="107">
        <f t="shared" si="490"/>
        <v>46178</v>
      </c>
      <c r="K332" s="108">
        <f t="shared" si="444"/>
        <v>46178</v>
      </c>
      <c r="L332" s="107">
        <v>46130</v>
      </c>
      <c r="M332" s="108">
        <f t="shared" si="445"/>
        <v>46220</v>
      </c>
      <c r="N332" s="108">
        <f t="shared" si="446"/>
        <v>46220</v>
      </c>
      <c r="O332" s="108">
        <v>46217</v>
      </c>
      <c r="P332" s="108">
        <f t="shared" si="494"/>
        <v>46258</v>
      </c>
      <c r="Q332" s="108">
        <f t="shared" si="448"/>
        <v>46258</v>
      </c>
      <c r="R332" s="108"/>
      <c r="S332" s="107">
        <f t="shared" si="454"/>
        <v>46272</v>
      </c>
      <c r="T332" s="108">
        <f t="shared" si="449"/>
        <v>46272</v>
      </c>
      <c r="U332" s="108"/>
      <c r="W332" s="173" t="str">
        <f t="shared" ca="1" si="477"/>
        <v>Completed</v>
      </c>
      <c r="X332" s="173" t="str">
        <f t="shared" ca="1" si="478"/>
        <v>Completed</v>
      </c>
      <c r="Y332" s="173" t="str">
        <f t="shared" ca="1" si="479"/>
        <v>Overdue</v>
      </c>
      <c r="Z332" s="174" t="str">
        <f t="shared" ca="1" si="480"/>
        <v>Follow-Next Week</v>
      </c>
    </row>
    <row r="333" spans="1:26" s="70" customFormat="1" ht="11.5" x14ac:dyDescent="0.25">
      <c r="A333" s="102" t="s">
        <v>64</v>
      </c>
      <c r="B333" s="102" t="s">
        <v>14</v>
      </c>
      <c r="C333" s="102" t="s">
        <v>396</v>
      </c>
      <c r="D333" s="102" t="s">
        <v>397</v>
      </c>
      <c r="E333" s="105">
        <f t="shared" si="491"/>
        <v>0.79999999999999993</v>
      </c>
      <c r="F333" s="105">
        <f t="shared" si="492"/>
        <v>0.79999999999999993</v>
      </c>
      <c r="G333" s="105">
        <f t="shared" si="492"/>
        <v>0.7</v>
      </c>
      <c r="H333" s="104">
        <f t="shared" si="493"/>
        <v>-9.9999999999999978E-2</v>
      </c>
      <c r="I333" s="110">
        <v>4.7E-2</v>
      </c>
      <c r="J333" s="107">
        <f t="shared" si="490"/>
        <v>46178</v>
      </c>
      <c r="K333" s="108">
        <f t="shared" si="444"/>
        <v>46178</v>
      </c>
      <c r="L333" s="107">
        <v>46130</v>
      </c>
      <c r="M333" s="108">
        <f t="shared" si="445"/>
        <v>46220</v>
      </c>
      <c r="N333" s="108">
        <f t="shared" si="446"/>
        <v>46220</v>
      </c>
      <c r="O333" s="108">
        <v>46217</v>
      </c>
      <c r="P333" s="108">
        <f t="shared" si="494"/>
        <v>46258</v>
      </c>
      <c r="Q333" s="108">
        <f t="shared" si="448"/>
        <v>46258</v>
      </c>
      <c r="R333" s="108"/>
      <c r="S333" s="107">
        <f t="shared" si="454"/>
        <v>46272</v>
      </c>
      <c r="T333" s="108">
        <f t="shared" si="449"/>
        <v>46272</v>
      </c>
      <c r="U333" s="108"/>
      <c r="W333" s="173" t="str">
        <f t="shared" ca="1" si="477"/>
        <v>Completed</v>
      </c>
      <c r="X333" s="173" t="str">
        <f t="shared" ca="1" si="478"/>
        <v>Completed</v>
      </c>
      <c r="Y333" s="173" t="str">
        <f t="shared" ca="1" si="479"/>
        <v>Overdue</v>
      </c>
      <c r="Z333" s="174" t="str">
        <f t="shared" ca="1" si="480"/>
        <v>Follow-Next Week</v>
      </c>
    </row>
    <row r="334" spans="1:26" s="70" customFormat="1" ht="11.5" x14ac:dyDescent="0.25">
      <c r="A334" s="102" t="s">
        <v>64</v>
      </c>
      <c r="B334" s="102" t="s">
        <v>14</v>
      </c>
      <c r="C334" s="102" t="s">
        <v>398</v>
      </c>
      <c r="D334" s="102" t="s">
        <v>399</v>
      </c>
      <c r="E334" s="105">
        <f t="shared" si="491"/>
        <v>0.79999999999999993</v>
      </c>
      <c r="F334" s="105">
        <f t="shared" si="492"/>
        <v>0.79999999999999993</v>
      </c>
      <c r="G334" s="105">
        <f t="shared" si="492"/>
        <v>0.7</v>
      </c>
      <c r="H334" s="104">
        <f t="shared" si="493"/>
        <v>-9.9999999999999978E-2</v>
      </c>
      <c r="I334" s="110">
        <v>4.7E-2</v>
      </c>
      <c r="J334" s="107">
        <f t="shared" si="490"/>
        <v>46178</v>
      </c>
      <c r="K334" s="108">
        <f t="shared" si="444"/>
        <v>46178</v>
      </c>
      <c r="L334" s="107">
        <v>46130</v>
      </c>
      <c r="M334" s="108">
        <f t="shared" si="445"/>
        <v>46220</v>
      </c>
      <c r="N334" s="108">
        <f t="shared" si="446"/>
        <v>46220</v>
      </c>
      <c r="O334" s="108">
        <v>46217</v>
      </c>
      <c r="P334" s="108">
        <f t="shared" si="494"/>
        <v>46258</v>
      </c>
      <c r="Q334" s="108">
        <f t="shared" si="448"/>
        <v>46258</v>
      </c>
      <c r="R334" s="108"/>
      <c r="S334" s="107">
        <f t="shared" si="454"/>
        <v>46272</v>
      </c>
      <c r="T334" s="108">
        <f t="shared" si="449"/>
        <v>46272</v>
      </c>
      <c r="U334" s="108"/>
      <c r="W334" s="173" t="str">
        <f t="shared" ca="1" si="477"/>
        <v>Completed</v>
      </c>
      <c r="X334" s="173" t="str">
        <f t="shared" ca="1" si="478"/>
        <v>Completed</v>
      </c>
      <c r="Y334" s="173" t="str">
        <f t="shared" ca="1" si="479"/>
        <v>Overdue</v>
      </c>
      <c r="Z334" s="174" t="str">
        <f t="shared" ca="1" si="480"/>
        <v>Follow-Next Week</v>
      </c>
    </row>
    <row r="335" spans="1:26" s="70" customFormat="1" ht="11.5" x14ac:dyDescent="0.25">
      <c r="A335" s="102" t="s">
        <v>64</v>
      </c>
      <c r="B335" s="102" t="s">
        <v>14</v>
      </c>
      <c r="C335" s="102" t="s">
        <v>400</v>
      </c>
      <c r="D335" s="102" t="s">
        <v>401</v>
      </c>
      <c r="E335" s="105">
        <f t="shared" si="491"/>
        <v>0.79999999999999993</v>
      </c>
      <c r="F335" s="105">
        <f t="shared" si="492"/>
        <v>0.79999999999999993</v>
      </c>
      <c r="G335" s="105">
        <f t="shared" si="492"/>
        <v>0.7</v>
      </c>
      <c r="H335" s="104">
        <f t="shared" si="493"/>
        <v>-9.9999999999999978E-2</v>
      </c>
      <c r="I335" s="110">
        <v>4.7E-2</v>
      </c>
      <c r="J335" s="107">
        <f t="shared" si="490"/>
        <v>46178</v>
      </c>
      <c r="K335" s="108">
        <f t="shared" si="444"/>
        <v>46178</v>
      </c>
      <c r="L335" s="107">
        <v>46130</v>
      </c>
      <c r="M335" s="108">
        <f t="shared" si="445"/>
        <v>46220</v>
      </c>
      <c r="N335" s="108">
        <f t="shared" si="446"/>
        <v>46220</v>
      </c>
      <c r="O335" s="108">
        <v>46217</v>
      </c>
      <c r="P335" s="108">
        <f t="shared" si="494"/>
        <v>46258</v>
      </c>
      <c r="Q335" s="108">
        <f t="shared" si="448"/>
        <v>46258</v>
      </c>
      <c r="R335" s="108"/>
      <c r="S335" s="107">
        <f t="shared" si="454"/>
        <v>46272</v>
      </c>
      <c r="T335" s="108">
        <f t="shared" si="449"/>
        <v>46272</v>
      </c>
      <c r="U335" s="108"/>
      <c r="W335" s="173" t="str">
        <f t="shared" ca="1" si="477"/>
        <v>Completed</v>
      </c>
      <c r="X335" s="173" t="str">
        <f t="shared" ca="1" si="478"/>
        <v>Completed</v>
      </c>
      <c r="Y335" s="173" t="str">
        <f t="shared" ca="1" si="479"/>
        <v>Overdue</v>
      </c>
      <c r="Z335" s="174" t="str">
        <f t="shared" ca="1" si="480"/>
        <v>Follow-Next Week</v>
      </c>
    </row>
    <row r="336" spans="1:26" s="70" customFormat="1" ht="11.5" x14ac:dyDescent="0.25">
      <c r="A336" s="102" t="s">
        <v>64</v>
      </c>
      <c r="B336" s="102" t="s">
        <v>14</v>
      </c>
      <c r="C336" s="102" t="s">
        <v>402</v>
      </c>
      <c r="D336" s="102" t="s">
        <v>403</v>
      </c>
      <c r="E336" s="105">
        <f t="shared" si="491"/>
        <v>0.79999999999999993</v>
      </c>
      <c r="F336" s="105">
        <f t="shared" si="492"/>
        <v>0.79999999999999993</v>
      </c>
      <c r="G336" s="105">
        <f t="shared" si="492"/>
        <v>0.7</v>
      </c>
      <c r="H336" s="104">
        <f t="shared" si="493"/>
        <v>-9.9999999999999978E-2</v>
      </c>
      <c r="I336" s="110">
        <v>4.7E-2</v>
      </c>
      <c r="J336" s="107">
        <f t="shared" si="490"/>
        <v>46178</v>
      </c>
      <c r="K336" s="108">
        <f t="shared" si="444"/>
        <v>46178</v>
      </c>
      <c r="L336" s="107">
        <v>46130</v>
      </c>
      <c r="M336" s="108">
        <f t="shared" si="445"/>
        <v>46220</v>
      </c>
      <c r="N336" s="108">
        <f t="shared" si="446"/>
        <v>46220</v>
      </c>
      <c r="O336" s="108">
        <v>46217</v>
      </c>
      <c r="P336" s="108">
        <f t="shared" si="494"/>
        <v>46258</v>
      </c>
      <c r="Q336" s="108">
        <f t="shared" si="448"/>
        <v>46258</v>
      </c>
      <c r="R336" s="108"/>
      <c r="S336" s="107">
        <f t="shared" si="454"/>
        <v>46272</v>
      </c>
      <c r="T336" s="108">
        <f t="shared" si="449"/>
        <v>46272</v>
      </c>
      <c r="U336" s="108"/>
      <c r="W336" s="173" t="str">
        <f t="shared" ca="1" si="477"/>
        <v>Completed</v>
      </c>
      <c r="X336" s="173" t="str">
        <f t="shared" ca="1" si="478"/>
        <v>Completed</v>
      </c>
      <c r="Y336" s="173" t="str">
        <f t="shared" ca="1" si="479"/>
        <v>Overdue</v>
      </c>
      <c r="Z336" s="174" t="str">
        <f t="shared" ca="1" si="480"/>
        <v>Follow-Next Week</v>
      </c>
    </row>
    <row r="337" spans="1:26" s="70" customFormat="1" ht="11.5" x14ac:dyDescent="0.25">
      <c r="A337" s="102" t="s">
        <v>64</v>
      </c>
      <c r="B337" s="102" t="s">
        <v>14</v>
      </c>
      <c r="C337" s="102" t="s">
        <v>404</v>
      </c>
      <c r="D337" s="102" t="s">
        <v>405</v>
      </c>
      <c r="E337" s="105">
        <f t="shared" si="491"/>
        <v>0.79999999999999993</v>
      </c>
      <c r="F337" s="105">
        <f t="shared" si="492"/>
        <v>0.79999999999999993</v>
      </c>
      <c r="G337" s="105">
        <f t="shared" si="492"/>
        <v>0.7</v>
      </c>
      <c r="H337" s="104">
        <f t="shared" si="493"/>
        <v>-9.9999999999999978E-2</v>
      </c>
      <c r="I337" s="110">
        <v>4.7E-2</v>
      </c>
      <c r="J337" s="107">
        <f t="shared" si="490"/>
        <v>46178</v>
      </c>
      <c r="K337" s="108">
        <f t="shared" ref="K337:K407" si="495">J337</f>
        <v>46178</v>
      </c>
      <c r="L337" s="107">
        <v>46130</v>
      </c>
      <c r="M337" s="108">
        <f t="shared" ref="M337:M407" si="496">J337+42</f>
        <v>46220</v>
      </c>
      <c r="N337" s="108">
        <f t="shared" ref="N337:N407" si="497">M337</f>
        <v>46220</v>
      </c>
      <c r="O337" s="108">
        <v>46217</v>
      </c>
      <c r="P337" s="108">
        <f t="shared" si="494"/>
        <v>46258</v>
      </c>
      <c r="Q337" s="108">
        <f t="shared" ref="Q337:Q407" si="498">P337</f>
        <v>46258</v>
      </c>
      <c r="R337" s="108"/>
      <c r="S337" s="107">
        <f t="shared" si="454"/>
        <v>46272</v>
      </c>
      <c r="T337" s="108">
        <f t="shared" ref="T337:T407" si="499">S337</f>
        <v>46272</v>
      </c>
      <c r="U337" s="108"/>
      <c r="W337" s="173" t="str">
        <f t="shared" ca="1" si="477"/>
        <v>Completed</v>
      </c>
      <c r="X337" s="173" t="str">
        <f t="shared" ca="1" si="478"/>
        <v>Completed</v>
      </c>
      <c r="Y337" s="173" t="str">
        <f t="shared" ca="1" si="479"/>
        <v>Overdue</v>
      </c>
      <c r="Z337" s="174" t="str">
        <f t="shared" ca="1" si="480"/>
        <v>Follow-Next Week</v>
      </c>
    </row>
    <row r="338" spans="1:26" s="70" customFormat="1" ht="11.5" x14ac:dyDescent="0.25">
      <c r="A338" s="102" t="s">
        <v>64</v>
      </c>
      <c r="B338" s="102" t="s">
        <v>14</v>
      </c>
      <c r="C338" s="102" t="s">
        <v>406</v>
      </c>
      <c r="D338" s="102" t="s">
        <v>407</v>
      </c>
      <c r="E338" s="105">
        <f t="shared" si="491"/>
        <v>0.79999999999999993</v>
      </c>
      <c r="F338" s="105">
        <f t="shared" si="492"/>
        <v>0.79999999999999993</v>
      </c>
      <c r="G338" s="105">
        <f t="shared" si="492"/>
        <v>0.7</v>
      </c>
      <c r="H338" s="104">
        <f t="shared" si="493"/>
        <v>-9.9999999999999978E-2</v>
      </c>
      <c r="I338" s="110">
        <v>4.7E-2</v>
      </c>
      <c r="J338" s="107">
        <f t="shared" si="490"/>
        <v>46178</v>
      </c>
      <c r="K338" s="108">
        <f t="shared" si="495"/>
        <v>46178</v>
      </c>
      <c r="L338" s="107">
        <v>46130</v>
      </c>
      <c r="M338" s="108">
        <f t="shared" si="496"/>
        <v>46220</v>
      </c>
      <c r="N338" s="108">
        <f t="shared" si="497"/>
        <v>46220</v>
      </c>
      <c r="O338" s="108">
        <v>46217</v>
      </c>
      <c r="P338" s="108">
        <f t="shared" si="494"/>
        <v>46258</v>
      </c>
      <c r="Q338" s="108">
        <f t="shared" si="498"/>
        <v>46258</v>
      </c>
      <c r="R338" s="108"/>
      <c r="S338" s="107">
        <f t="shared" ref="S338:S408" si="500">P338+14</f>
        <v>46272</v>
      </c>
      <c r="T338" s="108">
        <f t="shared" si="499"/>
        <v>46272</v>
      </c>
      <c r="U338" s="108"/>
      <c r="W338" s="173" t="str">
        <f t="shared" ca="1" si="477"/>
        <v>Completed</v>
      </c>
      <c r="X338" s="173" t="str">
        <f t="shared" ca="1" si="478"/>
        <v>Completed</v>
      </c>
      <c r="Y338" s="173" t="str">
        <f t="shared" ca="1" si="479"/>
        <v>Overdue</v>
      </c>
      <c r="Z338" s="174" t="str">
        <f t="shared" ca="1" si="480"/>
        <v>Follow-Next Week</v>
      </c>
    </row>
    <row r="339" spans="1:26" s="70" customFormat="1" ht="11.5" x14ac:dyDescent="0.25">
      <c r="A339" s="102" t="s">
        <v>64</v>
      </c>
      <c r="B339" s="102" t="s">
        <v>14</v>
      </c>
      <c r="C339" s="102" t="s">
        <v>408</v>
      </c>
      <c r="D339" s="102" t="s">
        <v>409</v>
      </c>
      <c r="E339" s="105">
        <f t="shared" si="491"/>
        <v>0.79999999999999993</v>
      </c>
      <c r="F339" s="105">
        <f t="shared" si="492"/>
        <v>0.79999999999999993</v>
      </c>
      <c r="G339" s="105">
        <f t="shared" si="492"/>
        <v>0.7</v>
      </c>
      <c r="H339" s="104">
        <f t="shared" si="493"/>
        <v>-9.9999999999999978E-2</v>
      </c>
      <c r="I339" s="110">
        <v>4.7E-2</v>
      </c>
      <c r="J339" s="107">
        <f t="shared" si="490"/>
        <v>46178</v>
      </c>
      <c r="K339" s="108">
        <f t="shared" si="495"/>
        <v>46178</v>
      </c>
      <c r="L339" s="107">
        <v>46130</v>
      </c>
      <c r="M339" s="108">
        <f t="shared" si="496"/>
        <v>46220</v>
      </c>
      <c r="N339" s="108">
        <f t="shared" si="497"/>
        <v>46220</v>
      </c>
      <c r="O339" s="108">
        <v>46217</v>
      </c>
      <c r="P339" s="108">
        <f t="shared" si="494"/>
        <v>46258</v>
      </c>
      <c r="Q339" s="108">
        <f t="shared" si="498"/>
        <v>46258</v>
      </c>
      <c r="R339" s="108"/>
      <c r="S339" s="107">
        <f t="shared" si="500"/>
        <v>46272</v>
      </c>
      <c r="T339" s="108">
        <f t="shared" si="499"/>
        <v>46272</v>
      </c>
      <c r="U339" s="108"/>
      <c r="W339" s="173" t="str">
        <f t="shared" ca="1" si="477"/>
        <v>Completed</v>
      </c>
      <c r="X339" s="173" t="str">
        <f t="shared" ca="1" si="478"/>
        <v>Completed</v>
      </c>
      <c r="Y339" s="173" t="str">
        <f t="shared" ca="1" si="479"/>
        <v>Overdue</v>
      </c>
      <c r="Z339" s="174" t="str">
        <f t="shared" ca="1" si="480"/>
        <v>Follow-Next Week</v>
      </c>
    </row>
    <row r="340" spans="1:26" s="70" customFormat="1" ht="11.5" x14ac:dyDescent="0.25">
      <c r="A340" s="102" t="s">
        <v>64</v>
      </c>
      <c r="B340" s="102" t="s">
        <v>14</v>
      </c>
      <c r="C340" s="102" t="s">
        <v>410</v>
      </c>
      <c r="D340" s="102" t="s">
        <v>411</v>
      </c>
      <c r="E340" s="105">
        <f t="shared" si="491"/>
        <v>0.79999999999999993</v>
      </c>
      <c r="F340" s="105">
        <f t="shared" si="492"/>
        <v>0.79999999999999993</v>
      </c>
      <c r="G340" s="105">
        <f t="shared" si="492"/>
        <v>0.7</v>
      </c>
      <c r="H340" s="104">
        <f t="shared" si="493"/>
        <v>-9.9999999999999978E-2</v>
      </c>
      <c r="I340" s="110">
        <v>4.7E-2</v>
      </c>
      <c r="J340" s="107">
        <f t="shared" si="490"/>
        <v>46178</v>
      </c>
      <c r="K340" s="108">
        <f t="shared" si="495"/>
        <v>46178</v>
      </c>
      <c r="L340" s="107">
        <v>46130</v>
      </c>
      <c r="M340" s="108">
        <f t="shared" si="496"/>
        <v>46220</v>
      </c>
      <c r="N340" s="108">
        <f t="shared" si="497"/>
        <v>46220</v>
      </c>
      <c r="O340" s="108">
        <v>46217</v>
      </c>
      <c r="P340" s="108">
        <f t="shared" si="494"/>
        <v>46258</v>
      </c>
      <c r="Q340" s="108">
        <f t="shared" si="498"/>
        <v>46258</v>
      </c>
      <c r="R340" s="108"/>
      <c r="S340" s="107">
        <f t="shared" si="500"/>
        <v>46272</v>
      </c>
      <c r="T340" s="108">
        <f t="shared" si="499"/>
        <v>46272</v>
      </c>
      <c r="U340" s="108"/>
      <c r="W340" s="173" t="str">
        <f t="shared" ca="1" si="477"/>
        <v>Completed</v>
      </c>
      <c r="X340" s="173" t="str">
        <f t="shared" ca="1" si="478"/>
        <v>Completed</v>
      </c>
      <c r="Y340" s="173" t="str">
        <f t="shared" ca="1" si="479"/>
        <v>Overdue</v>
      </c>
      <c r="Z340" s="174" t="str">
        <f t="shared" ca="1" si="480"/>
        <v>Follow-Next Week</v>
      </c>
    </row>
    <row r="341" spans="1:26" s="70" customFormat="1" ht="11.5" x14ac:dyDescent="0.25">
      <c r="A341" s="102" t="s">
        <v>64</v>
      </c>
      <c r="B341" s="102" t="s">
        <v>14</v>
      </c>
      <c r="C341" s="102" t="s">
        <v>412</v>
      </c>
      <c r="D341" s="102" t="s">
        <v>413</v>
      </c>
      <c r="E341" s="105">
        <f t="shared" si="491"/>
        <v>0.79999999999999993</v>
      </c>
      <c r="F341" s="105">
        <f t="shared" si="492"/>
        <v>0.79999999999999993</v>
      </c>
      <c r="G341" s="105">
        <f t="shared" si="492"/>
        <v>0.7</v>
      </c>
      <c r="H341" s="104">
        <f t="shared" si="493"/>
        <v>-9.9999999999999978E-2</v>
      </c>
      <c r="I341" s="110">
        <v>4.7E-2</v>
      </c>
      <c r="J341" s="107">
        <f t="shared" si="490"/>
        <v>46178</v>
      </c>
      <c r="K341" s="108">
        <f t="shared" si="495"/>
        <v>46178</v>
      </c>
      <c r="L341" s="107">
        <v>46130</v>
      </c>
      <c r="M341" s="108">
        <f t="shared" si="496"/>
        <v>46220</v>
      </c>
      <c r="N341" s="108">
        <f t="shared" si="497"/>
        <v>46220</v>
      </c>
      <c r="O341" s="108">
        <v>46217</v>
      </c>
      <c r="P341" s="108">
        <f t="shared" si="494"/>
        <v>46258</v>
      </c>
      <c r="Q341" s="108">
        <f t="shared" si="498"/>
        <v>46258</v>
      </c>
      <c r="R341" s="108"/>
      <c r="S341" s="107">
        <f t="shared" si="500"/>
        <v>46272</v>
      </c>
      <c r="T341" s="108">
        <f t="shared" si="499"/>
        <v>46272</v>
      </c>
      <c r="U341" s="108"/>
      <c r="W341" s="173" t="str">
        <f t="shared" ca="1" si="477"/>
        <v>Completed</v>
      </c>
      <c r="X341" s="173" t="str">
        <f t="shared" ca="1" si="478"/>
        <v>Completed</v>
      </c>
      <c r="Y341" s="173" t="str">
        <f t="shared" ca="1" si="479"/>
        <v>Overdue</v>
      </c>
      <c r="Z341" s="174" t="str">
        <f t="shared" ca="1" si="480"/>
        <v>Follow-Next Week</v>
      </c>
    </row>
    <row r="342" spans="1:26" s="70" customFormat="1" ht="11.5" x14ac:dyDescent="0.25">
      <c r="A342" s="102" t="s">
        <v>64</v>
      </c>
      <c r="B342" s="102" t="s">
        <v>14</v>
      </c>
      <c r="C342" s="102" t="s">
        <v>414</v>
      </c>
      <c r="D342" s="102" t="s">
        <v>415</v>
      </c>
      <c r="E342" s="105">
        <f t="shared" si="491"/>
        <v>0.79999999999999993</v>
      </c>
      <c r="F342" s="105">
        <f t="shared" si="492"/>
        <v>0.79999999999999993</v>
      </c>
      <c r="G342" s="105">
        <f t="shared" si="492"/>
        <v>0.7</v>
      </c>
      <c r="H342" s="104">
        <f t="shared" si="493"/>
        <v>-9.9999999999999978E-2</v>
      </c>
      <c r="I342" s="110">
        <v>4.7E-2</v>
      </c>
      <c r="J342" s="107">
        <f t="shared" si="490"/>
        <v>46178</v>
      </c>
      <c r="K342" s="108">
        <f t="shared" si="495"/>
        <v>46178</v>
      </c>
      <c r="L342" s="107">
        <v>46130</v>
      </c>
      <c r="M342" s="108">
        <f t="shared" si="496"/>
        <v>46220</v>
      </c>
      <c r="N342" s="108">
        <f t="shared" si="497"/>
        <v>46220</v>
      </c>
      <c r="O342" s="108">
        <v>46217</v>
      </c>
      <c r="P342" s="108">
        <f t="shared" si="494"/>
        <v>46258</v>
      </c>
      <c r="Q342" s="108">
        <f t="shared" si="498"/>
        <v>46258</v>
      </c>
      <c r="R342" s="108"/>
      <c r="S342" s="107">
        <f t="shared" si="500"/>
        <v>46272</v>
      </c>
      <c r="T342" s="108">
        <f t="shared" si="499"/>
        <v>46272</v>
      </c>
      <c r="U342" s="108"/>
      <c r="W342" s="173" t="str">
        <f t="shared" ca="1" si="477"/>
        <v>Completed</v>
      </c>
      <c r="X342" s="173" t="str">
        <f t="shared" ca="1" si="478"/>
        <v>Completed</v>
      </c>
      <c r="Y342" s="173" t="str">
        <f t="shared" ca="1" si="479"/>
        <v>Overdue</v>
      </c>
      <c r="Z342" s="174" t="str">
        <f t="shared" ca="1" si="480"/>
        <v>Follow-Next Week</v>
      </c>
    </row>
    <row r="343" spans="1:26" s="70" customFormat="1" ht="11.5" x14ac:dyDescent="0.25">
      <c r="A343" s="102" t="s">
        <v>64</v>
      </c>
      <c r="B343" s="102" t="s">
        <v>14</v>
      </c>
      <c r="C343" s="102" t="s">
        <v>416</v>
      </c>
      <c r="D343" s="102" t="s">
        <v>417</v>
      </c>
      <c r="E343" s="105">
        <f t="shared" si="491"/>
        <v>0.79999999999999993</v>
      </c>
      <c r="F343" s="105">
        <f t="shared" si="492"/>
        <v>0.79999999999999993</v>
      </c>
      <c r="G343" s="105">
        <f t="shared" si="492"/>
        <v>0.7</v>
      </c>
      <c r="H343" s="104">
        <f t="shared" si="493"/>
        <v>-9.9999999999999978E-2</v>
      </c>
      <c r="I343" s="110">
        <v>4.7E-2</v>
      </c>
      <c r="J343" s="107">
        <f t="shared" si="490"/>
        <v>46178</v>
      </c>
      <c r="K343" s="108">
        <f t="shared" si="495"/>
        <v>46178</v>
      </c>
      <c r="L343" s="107">
        <v>46130</v>
      </c>
      <c r="M343" s="108">
        <f t="shared" si="496"/>
        <v>46220</v>
      </c>
      <c r="N343" s="108">
        <f t="shared" si="497"/>
        <v>46220</v>
      </c>
      <c r="O343" s="108">
        <v>46217</v>
      </c>
      <c r="P343" s="108">
        <f t="shared" si="494"/>
        <v>46258</v>
      </c>
      <c r="Q343" s="108">
        <f t="shared" si="498"/>
        <v>46258</v>
      </c>
      <c r="R343" s="108"/>
      <c r="S343" s="107">
        <f t="shared" si="500"/>
        <v>46272</v>
      </c>
      <c r="T343" s="108">
        <f t="shared" si="499"/>
        <v>46272</v>
      </c>
      <c r="U343" s="108"/>
      <c r="W343" s="173" t="str">
        <f t="shared" ca="1" si="477"/>
        <v>Completed</v>
      </c>
      <c r="X343" s="173" t="str">
        <f t="shared" ca="1" si="478"/>
        <v>Completed</v>
      </c>
      <c r="Y343" s="173" t="str">
        <f t="shared" ca="1" si="479"/>
        <v>Overdue</v>
      </c>
      <c r="Z343" s="174" t="str">
        <f t="shared" ca="1" si="480"/>
        <v>Follow-Next Week</v>
      </c>
    </row>
    <row r="344" spans="1:26" s="70" customFormat="1" ht="11.5" x14ac:dyDescent="0.25">
      <c r="A344" s="102" t="s">
        <v>64</v>
      </c>
      <c r="B344" s="102" t="s">
        <v>14</v>
      </c>
      <c r="C344" s="102" t="s">
        <v>418</v>
      </c>
      <c r="D344" s="102" t="s">
        <v>419</v>
      </c>
      <c r="E344" s="105">
        <f t="shared" si="491"/>
        <v>0.79999999999999993</v>
      </c>
      <c r="F344" s="105">
        <f t="shared" si="492"/>
        <v>0.79999999999999993</v>
      </c>
      <c r="G344" s="105">
        <f t="shared" si="492"/>
        <v>0.7</v>
      </c>
      <c r="H344" s="104">
        <f t="shared" si="493"/>
        <v>-9.9999999999999978E-2</v>
      </c>
      <c r="I344" s="110">
        <v>4.7E-2</v>
      </c>
      <c r="J344" s="107">
        <f t="shared" si="490"/>
        <v>46178</v>
      </c>
      <c r="K344" s="108">
        <f t="shared" si="495"/>
        <v>46178</v>
      </c>
      <c r="L344" s="107">
        <v>46130</v>
      </c>
      <c r="M344" s="108">
        <f t="shared" si="496"/>
        <v>46220</v>
      </c>
      <c r="N344" s="108">
        <f t="shared" si="497"/>
        <v>46220</v>
      </c>
      <c r="O344" s="108">
        <v>46217</v>
      </c>
      <c r="P344" s="108">
        <f t="shared" si="494"/>
        <v>46258</v>
      </c>
      <c r="Q344" s="108">
        <f t="shared" si="498"/>
        <v>46258</v>
      </c>
      <c r="R344" s="108"/>
      <c r="S344" s="107">
        <f t="shared" si="500"/>
        <v>46272</v>
      </c>
      <c r="T344" s="108">
        <f t="shared" si="499"/>
        <v>46272</v>
      </c>
      <c r="U344" s="108"/>
      <c r="W344" s="173" t="str">
        <f t="shared" ca="1" si="477"/>
        <v>Completed</v>
      </c>
      <c r="X344" s="173" t="str">
        <f t="shared" ca="1" si="478"/>
        <v>Completed</v>
      </c>
      <c r="Y344" s="173" t="str">
        <f t="shared" ca="1" si="479"/>
        <v>Overdue</v>
      </c>
      <c r="Z344" s="174" t="str">
        <f t="shared" ca="1" si="480"/>
        <v>Follow-Next Week</v>
      </c>
    </row>
    <row r="345" spans="1:26" s="70" customFormat="1" ht="11.5" x14ac:dyDescent="0.25">
      <c r="A345" s="102" t="s">
        <v>64</v>
      </c>
      <c r="B345" s="102" t="s">
        <v>14</v>
      </c>
      <c r="C345" s="102" t="s">
        <v>420</v>
      </c>
      <c r="D345" s="102" t="s">
        <v>421</v>
      </c>
      <c r="E345" s="105">
        <f t="shared" si="491"/>
        <v>0.79999999999999993</v>
      </c>
      <c r="F345" s="105">
        <f>(COUNTIFS(K345,"&lt;="&amp;$C$1)*50%)+(COUNTIFS(N345,"&lt;="&amp;$C$1)*20%)+(COUNTIFS(Q345,"&lt;="&amp;$C$1)*10%)+(COUNTIFS(T345,"&lt;="&amp;$C$1)*20%)</f>
        <v>0.79999999999999993</v>
      </c>
      <c r="G345" s="105">
        <f t="shared" si="492"/>
        <v>0.7</v>
      </c>
      <c r="H345" s="104">
        <f t="shared" si="493"/>
        <v>-9.9999999999999978E-2</v>
      </c>
      <c r="I345" s="110">
        <v>4.7E-2</v>
      </c>
      <c r="J345" s="107">
        <f t="shared" si="490"/>
        <v>46178</v>
      </c>
      <c r="K345" s="108">
        <f t="shared" si="495"/>
        <v>46178</v>
      </c>
      <c r="L345" s="107">
        <v>46130</v>
      </c>
      <c r="M345" s="108">
        <f t="shared" si="496"/>
        <v>46220</v>
      </c>
      <c r="N345" s="108">
        <f t="shared" si="497"/>
        <v>46220</v>
      </c>
      <c r="O345" s="108">
        <v>46217</v>
      </c>
      <c r="P345" s="108">
        <f t="shared" si="494"/>
        <v>46258</v>
      </c>
      <c r="Q345" s="108">
        <f t="shared" si="498"/>
        <v>46258</v>
      </c>
      <c r="R345" s="108"/>
      <c r="S345" s="107">
        <f t="shared" si="500"/>
        <v>46272</v>
      </c>
      <c r="T345" s="108">
        <f t="shared" si="499"/>
        <v>46272</v>
      </c>
      <c r="U345" s="108"/>
      <c r="W345" s="173" t="str">
        <f t="shared" ca="1" si="477"/>
        <v>Completed</v>
      </c>
      <c r="X345" s="173" t="str">
        <f t="shared" ca="1" si="478"/>
        <v>Completed</v>
      </c>
      <c r="Y345" s="173" t="str">
        <f t="shared" ca="1" si="479"/>
        <v>Overdue</v>
      </c>
      <c r="Z345" s="174" t="str">
        <f t="shared" ca="1" si="480"/>
        <v>Follow-Next Week</v>
      </c>
    </row>
    <row r="346" spans="1:26" s="70" customFormat="1" ht="11.5" x14ac:dyDescent="0.25">
      <c r="A346" s="102" t="s">
        <v>64</v>
      </c>
      <c r="B346" s="102" t="s">
        <v>14</v>
      </c>
      <c r="C346" s="102" t="s">
        <v>422</v>
      </c>
      <c r="D346" s="151" t="s">
        <v>960</v>
      </c>
      <c r="E346" s="105">
        <f t="shared" si="491"/>
        <v>0.79999999999999993</v>
      </c>
      <c r="F346" s="105">
        <f>(COUNTIFS(K346,"&lt;="&amp;$C$1)*50%)+(COUNTIFS(N346,"&lt;="&amp;$C$1)*20%)+(COUNTIFS(Q346,"&lt;="&amp;$C$1)*10%)+(COUNTIFS(T346,"&lt;="&amp;$C$1)*20%)</f>
        <v>0.79999999999999993</v>
      </c>
      <c r="G346" s="105">
        <f t="shared" si="492"/>
        <v>0.7</v>
      </c>
      <c r="H346" s="104">
        <f t="shared" si="493"/>
        <v>-9.9999999999999978E-2</v>
      </c>
      <c r="I346" s="110">
        <v>4.7E-2</v>
      </c>
      <c r="J346" s="107">
        <f t="shared" si="490"/>
        <v>46178</v>
      </c>
      <c r="K346" s="107">
        <f t="shared" si="495"/>
        <v>46178</v>
      </c>
      <c r="L346" s="107">
        <v>46130</v>
      </c>
      <c r="M346" s="108">
        <f t="shared" si="496"/>
        <v>46220</v>
      </c>
      <c r="N346" s="107">
        <f t="shared" si="497"/>
        <v>46220</v>
      </c>
      <c r="O346" s="108">
        <v>46217</v>
      </c>
      <c r="P346" s="108">
        <f t="shared" si="494"/>
        <v>46258</v>
      </c>
      <c r="Q346" s="107">
        <f t="shared" si="498"/>
        <v>46258</v>
      </c>
      <c r="R346" s="108"/>
      <c r="S346" s="107">
        <f t="shared" si="500"/>
        <v>46272</v>
      </c>
      <c r="T346" s="107">
        <f t="shared" si="499"/>
        <v>46272</v>
      </c>
      <c r="U346" s="108"/>
      <c r="W346" s="173" t="str">
        <f t="shared" ca="1" si="477"/>
        <v>Completed</v>
      </c>
      <c r="X346" s="173" t="str">
        <f t="shared" ca="1" si="478"/>
        <v>Completed</v>
      </c>
      <c r="Y346" s="173" t="str">
        <f t="shared" ca="1" si="479"/>
        <v>Overdue</v>
      </c>
      <c r="Z346" s="174" t="str">
        <f t="shared" ca="1" si="480"/>
        <v>Follow-Next Week</v>
      </c>
    </row>
    <row r="347" spans="1:26" s="70" customFormat="1" ht="11.5" x14ac:dyDescent="0.25">
      <c r="A347" s="102" t="s">
        <v>64</v>
      </c>
      <c r="B347" s="102" t="s">
        <v>14</v>
      </c>
      <c r="C347" s="102" t="s">
        <v>423</v>
      </c>
      <c r="D347" s="102" t="s">
        <v>424</v>
      </c>
      <c r="E347" s="105">
        <f t="shared" si="491"/>
        <v>0.79999999999999993</v>
      </c>
      <c r="F347" s="105">
        <f t="shared" si="492"/>
        <v>0.79999999999999993</v>
      </c>
      <c r="G347" s="105">
        <f t="shared" si="492"/>
        <v>0.7</v>
      </c>
      <c r="H347" s="104">
        <f t="shared" si="493"/>
        <v>-9.9999999999999978E-2</v>
      </c>
      <c r="I347" s="110">
        <v>4.7E-2</v>
      </c>
      <c r="J347" s="107">
        <f t="shared" si="490"/>
        <v>46178</v>
      </c>
      <c r="K347" s="107">
        <f t="shared" si="495"/>
        <v>46178</v>
      </c>
      <c r="L347" s="107">
        <v>46130</v>
      </c>
      <c r="M347" s="108">
        <f t="shared" si="496"/>
        <v>46220</v>
      </c>
      <c r="N347" s="107">
        <f t="shared" si="497"/>
        <v>46220</v>
      </c>
      <c r="O347" s="108">
        <v>46224</v>
      </c>
      <c r="P347" s="108">
        <f t="shared" si="494"/>
        <v>46258</v>
      </c>
      <c r="Q347" s="107">
        <f t="shared" si="498"/>
        <v>46258</v>
      </c>
      <c r="R347" s="108"/>
      <c r="S347" s="107">
        <f t="shared" si="500"/>
        <v>46272</v>
      </c>
      <c r="T347" s="107">
        <f t="shared" si="499"/>
        <v>46272</v>
      </c>
      <c r="U347" s="108"/>
      <c r="W347" s="173" t="str">
        <f t="shared" ref="W347:W412" ca="1" si="501">IF(OR(L347&lt;&gt;""),"Completed",
IF(K347="","",IF(K347&lt;TODAY(),"Overdue",
IF(AND(K347&gt;=TODAY()-WEEKDAY(TODAY(),2)+1,K347&lt;=TODAY()-WEEKDAY(TODAY(),2)+7),"Follow-This Week",
IF(AND(K347&gt;=TODAY()-WEEKDAY(TODAY(),2)+8,K347&lt;=TODAY()-WEEKDAY(TODAY(),2)+14),"Follow-Next Week","")))))</f>
        <v>Completed</v>
      </c>
      <c r="X347" s="173" t="str">
        <f t="shared" ref="X347:X412" ca="1" si="502">IF(OR(O347&lt;&gt;""),"Completed",IF(N347="","",
IF(N347&lt;TODAY(),"Overdue",
IF(AND(N347&gt;=TODAY()-WEEKDAY(TODAY(),2)+1,N347&lt;=TODAY()-WEEKDAY(TODAY(),2)+7),"Follow-This Week",
IF(AND(N347&gt;=TODAY()-WEEKDAY(TODAY(),2)+8,N347&lt;=TODAY()-WEEKDAY(TODAY(),2)+14),"Follow-Next Week","")))))</f>
        <v>Completed</v>
      </c>
      <c r="Y347" s="173" t="str">
        <f t="shared" ref="Y347:Y412" ca="1" si="503">IF(OR(R347&lt;&gt;""),"Completed",IF(Q347="","",
IF(Q347&lt;TODAY(),"Overdue",
IF(AND(Q347&gt;=TODAY()-WEEKDAY(TODAY(),2)+1,Q347&lt;=TODAY()-WEEKDAY(TODAY(),2)+7),"Follow-This Week",
IF(AND(Q347&gt;=TODAY()-WEEKDAY(TODAY(),2)+8,Q347&lt;=TODAY()-WEEKDAY(TODAY(),2)+14),"Follow-Next Week","")))))</f>
        <v>Overdue</v>
      </c>
      <c r="Z347" s="174" t="str">
        <f t="shared" ref="Z347:Z412" ca="1" si="504">IF(OR(U347&lt;&gt;""),"Completed",IF(T347="","",
IF(T347&lt;TODAY(),"Overdue",
IF(AND(T347&gt;=TODAY()-WEEKDAY(TODAY(),2)+1,T347&lt;=TODAY()-WEEKDAY(TODAY(),2)+7),"Follow-This Week",
IF(AND(T347&gt;=TODAY()-WEEKDAY(TODAY(),2)+8,T347&lt;=TODAY()-WEEKDAY(TODAY(),2)+14),"Follow-Next Week","")))))</f>
        <v>Follow-Next Week</v>
      </c>
    </row>
    <row r="348" spans="1:26" s="70" customFormat="1" ht="11.5" x14ac:dyDescent="0.25">
      <c r="A348" s="102" t="s">
        <v>64</v>
      </c>
      <c r="B348" s="102" t="s">
        <v>14</v>
      </c>
      <c r="C348" s="102" t="s">
        <v>425</v>
      </c>
      <c r="D348" s="102" t="s">
        <v>426</v>
      </c>
      <c r="E348" s="105">
        <f t="shared" si="491"/>
        <v>0.79999999999999993</v>
      </c>
      <c r="F348" s="105">
        <f t="shared" si="492"/>
        <v>0.79999999999999993</v>
      </c>
      <c r="G348" s="105">
        <f t="shared" si="492"/>
        <v>0.7</v>
      </c>
      <c r="H348" s="104">
        <f t="shared" si="493"/>
        <v>-9.9999999999999978E-2</v>
      </c>
      <c r="I348" s="110">
        <v>4.7E-2</v>
      </c>
      <c r="J348" s="107">
        <f t="shared" si="490"/>
        <v>46178</v>
      </c>
      <c r="K348" s="107">
        <f t="shared" si="495"/>
        <v>46178</v>
      </c>
      <c r="L348" s="107">
        <v>46150</v>
      </c>
      <c r="M348" s="108">
        <f t="shared" si="496"/>
        <v>46220</v>
      </c>
      <c r="N348" s="107">
        <f t="shared" si="497"/>
        <v>46220</v>
      </c>
      <c r="O348" s="107">
        <v>46205</v>
      </c>
      <c r="P348" s="108">
        <f t="shared" si="494"/>
        <v>46258</v>
      </c>
      <c r="Q348" s="107">
        <f t="shared" si="498"/>
        <v>46258</v>
      </c>
      <c r="R348" s="108"/>
      <c r="S348" s="107">
        <f t="shared" si="500"/>
        <v>46272</v>
      </c>
      <c r="T348" s="107">
        <f t="shared" si="499"/>
        <v>46272</v>
      </c>
      <c r="U348" s="108"/>
      <c r="W348" s="173" t="str">
        <f t="shared" ca="1" si="501"/>
        <v>Completed</v>
      </c>
      <c r="X348" s="173" t="str">
        <f t="shared" ca="1" si="502"/>
        <v>Completed</v>
      </c>
      <c r="Y348" s="173" t="str">
        <f t="shared" ca="1" si="503"/>
        <v>Overdue</v>
      </c>
      <c r="Z348" s="174" t="str">
        <f t="shared" ca="1" si="504"/>
        <v>Follow-Next Week</v>
      </c>
    </row>
    <row r="349" spans="1:26" s="70" customFormat="1" ht="11.5" x14ac:dyDescent="0.25">
      <c r="A349" s="102" t="s">
        <v>64</v>
      </c>
      <c r="B349" s="102" t="s">
        <v>14</v>
      </c>
      <c r="C349" s="102" t="s">
        <v>427</v>
      </c>
      <c r="D349" s="102" t="s">
        <v>428</v>
      </c>
      <c r="E349" s="105">
        <f t="shared" si="491"/>
        <v>0.79999999999999993</v>
      </c>
      <c r="F349" s="105">
        <f t="shared" si="492"/>
        <v>0.79999999999999993</v>
      </c>
      <c r="G349" s="105">
        <f t="shared" si="492"/>
        <v>0.7</v>
      </c>
      <c r="H349" s="104">
        <f t="shared" si="493"/>
        <v>-9.9999999999999978E-2</v>
      </c>
      <c r="I349" s="110">
        <v>4.7E-2</v>
      </c>
      <c r="J349" s="107">
        <f t="shared" si="490"/>
        <v>46178</v>
      </c>
      <c r="K349" s="107">
        <f t="shared" si="495"/>
        <v>46178</v>
      </c>
      <c r="L349" s="107">
        <v>46150</v>
      </c>
      <c r="M349" s="108">
        <f t="shared" si="496"/>
        <v>46220</v>
      </c>
      <c r="N349" s="107">
        <f t="shared" si="497"/>
        <v>46220</v>
      </c>
      <c r="O349" s="107">
        <v>46205</v>
      </c>
      <c r="P349" s="108">
        <f t="shared" si="494"/>
        <v>46258</v>
      </c>
      <c r="Q349" s="107">
        <f t="shared" si="498"/>
        <v>46258</v>
      </c>
      <c r="R349" s="108"/>
      <c r="S349" s="107">
        <f t="shared" si="500"/>
        <v>46272</v>
      </c>
      <c r="T349" s="107">
        <f t="shared" si="499"/>
        <v>46272</v>
      </c>
      <c r="U349" s="108"/>
      <c r="W349" s="173" t="str">
        <f t="shared" ca="1" si="501"/>
        <v>Completed</v>
      </c>
      <c r="X349" s="173" t="str">
        <f t="shared" ca="1" si="502"/>
        <v>Completed</v>
      </c>
      <c r="Y349" s="173" t="str">
        <f t="shared" ca="1" si="503"/>
        <v>Overdue</v>
      </c>
      <c r="Z349" s="174" t="str">
        <f t="shared" ca="1" si="504"/>
        <v>Follow-Next Week</v>
      </c>
    </row>
    <row r="350" spans="1:26" s="70" customFormat="1" ht="11.5" x14ac:dyDescent="0.25">
      <c r="A350" s="102" t="s">
        <v>64</v>
      </c>
      <c r="B350" s="102" t="s">
        <v>14</v>
      </c>
      <c r="C350" s="102" t="s">
        <v>429</v>
      </c>
      <c r="D350" s="102" t="s">
        <v>430</v>
      </c>
      <c r="E350" s="105">
        <f t="shared" si="491"/>
        <v>0.79999999999999993</v>
      </c>
      <c r="F350" s="105">
        <f t="shared" si="492"/>
        <v>0.79999999999999993</v>
      </c>
      <c r="G350" s="105">
        <f t="shared" si="492"/>
        <v>1</v>
      </c>
      <c r="H350" s="104">
        <f t="shared" si="493"/>
        <v>0.20000000000000007</v>
      </c>
      <c r="I350" s="110">
        <v>4.7E-2</v>
      </c>
      <c r="J350" s="107">
        <f t="shared" si="490"/>
        <v>46178</v>
      </c>
      <c r="K350" s="107">
        <f t="shared" si="495"/>
        <v>46178</v>
      </c>
      <c r="L350" s="107">
        <v>46150</v>
      </c>
      <c r="M350" s="108">
        <f t="shared" si="496"/>
        <v>46220</v>
      </c>
      <c r="N350" s="107">
        <f t="shared" si="497"/>
        <v>46220</v>
      </c>
      <c r="O350" s="107">
        <v>46205</v>
      </c>
      <c r="P350" s="108">
        <f t="shared" si="494"/>
        <v>46258</v>
      </c>
      <c r="Q350" s="107">
        <f t="shared" si="498"/>
        <v>46258</v>
      </c>
      <c r="R350" s="108">
        <v>46248</v>
      </c>
      <c r="S350" s="107">
        <f t="shared" si="500"/>
        <v>46272</v>
      </c>
      <c r="T350" s="107">
        <f t="shared" si="499"/>
        <v>46272</v>
      </c>
      <c r="U350" s="165">
        <v>46262</v>
      </c>
      <c r="W350" s="173" t="str">
        <f t="shared" ca="1" si="501"/>
        <v>Completed</v>
      </c>
      <c r="X350" s="173" t="str">
        <f t="shared" ca="1" si="502"/>
        <v>Completed</v>
      </c>
      <c r="Y350" s="173" t="str">
        <f t="shared" ca="1" si="503"/>
        <v>Completed</v>
      </c>
      <c r="Z350" s="174" t="str">
        <f t="shared" ca="1" si="504"/>
        <v>Completed</v>
      </c>
    </row>
    <row r="351" spans="1:26" s="70" customFormat="1" ht="11.5" x14ac:dyDescent="0.25">
      <c r="A351" s="102" t="s">
        <v>64</v>
      </c>
      <c r="B351" s="102" t="s">
        <v>14</v>
      </c>
      <c r="C351" s="102" t="s">
        <v>431</v>
      </c>
      <c r="D351" s="102" t="s">
        <v>432</v>
      </c>
      <c r="E351" s="105">
        <f t="shared" si="491"/>
        <v>0.79999999999999993</v>
      </c>
      <c r="F351" s="105">
        <f t="shared" si="492"/>
        <v>0.79999999999999993</v>
      </c>
      <c r="G351" s="105">
        <f t="shared" si="492"/>
        <v>0.7</v>
      </c>
      <c r="H351" s="104">
        <f t="shared" si="493"/>
        <v>-9.9999999999999978E-2</v>
      </c>
      <c r="I351" s="110">
        <v>4.7E-2</v>
      </c>
      <c r="J351" s="107">
        <f t="shared" si="490"/>
        <v>46178</v>
      </c>
      <c r="K351" s="107">
        <f t="shared" si="495"/>
        <v>46178</v>
      </c>
      <c r="L351" s="143">
        <v>46157</v>
      </c>
      <c r="M351" s="108">
        <f t="shared" si="496"/>
        <v>46220</v>
      </c>
      <c r="N351" s="107">
        <f t="shared" si="497"/>
        <v>46220</v>
      </c>
      <c r="O351" s="107">
        <v>46190</v>
      </c>
      <c r="P351" s="108">
        <f t="shared" si="494"/>
        <v>46258</v>
      </c>
      <c r="Q351" s="107">
        <f t="shared" si="498"/>
        <v>46258</v>
      </c>
      <c r="R351" s="108"/>
      <c r="S351" s="107">
        <f t="shared" si="500"/>
        <v>46272</v>
      </c>
      <c r="T351" s="107">
        <f t="shared" si="499"/>
        <v>46272</v>
      </c>
      <c r="U351" s="108"/>
      <c r="W351" s="173" t="str">
        <f t="shared" ca="1" si="501"/>
        <v>Completed</v>
      </c>
      <c r="X351" s="173" t="str">
        <f t="shared" ca="1" si="502"/>
        <v>Completed</v>
      </c>
      <c r="Y351" s="173" t="str">
        <f t="shared" ca="1" si="503"/>
        <v>Overdue</v>
      </c>
      <c r="Z351" s="174" t="str">
        <f t="shared" ca="1" si="504"/>
        <v>Follow-Next Week</v>
      </c>
    </row>
    <row r="352" spans="1:26" s="70" customFormat="1" ht="11.5" x14ac:dyDescent="0.25">
      <c r="A352" s="102" t="s">
        <v>64</v>
      </c>
      <c r="B352" s="102" t="s">
        <v>14</v>
      </c>
      <c r="C352" s="102" t="s">
        <v>433</v>
      </c>
      <c r="D352" s="102" t="s">
        <v>434</v>
      </c>
      <c r="E352" s="105">
        <f t="shared" si="491"/>
        <v>0.79999999999999993</v>
      </c>
      <c r="F352" s="105">
        <f t="shared" si="492"/>
        <v>0.79999999999999993</v>
      </c>
      <c r="G352" s="105">
        <f t="shared" si="492"/>
        <v>0.7</v>
      </c>
      <c r="H352" s="104">
        <f t="shared" si="493"/>
        <v>-9.9999999999999978E-2</v>
      </c>
      <c r="I352" s="110">
        <v>4.7E-2</v>
      </c>
      <c r="J352" s="107">
        <f t="shared" si="490"/>
        <v>46178</v>
      </c>
      <c r="K352" s="107">
        <f t="shared" si="495"/>
        <v>46178</v>
      </c>
      <c r="L352" s="143">
        <v>46157</v>
      </c>
      <c r="M352" s="108">
        <f t="shared" si="496"/>
        <v>46220</v>
      </c>
      <c r="N352" s="107">
        <f t="shared" si="497"/>
        <v>46220</v>
      </c>
      <c r="O352" s="107">
        <v>46190</v>
      </c>
      <c r="P352" s="108">
        <f t="shared" si="494"/>
        <v>46258</v>
      </c>
      <c r="Q352" s="107">
        <f t="shared" si="498"/>
        <v>46258</v>
      </c>
      <c r="R352" s="108"/>
      <c r="S352" s="107">
        <f t="shared" si="500"/>
        <v>46272</v>
      </c>
      <c r="T352" s="107">
        <f t="shared" si="499"/>
        <v>46272</v>
      </c>
      <c r="U352" s="108"/>
      <c r="W352" s="173" t="str">
        <f t="shared" ca="1" si="501"/>
        <v>Completed</v>
      </c>
      <c r="X352" s="173" t="str">
        <f t="shared" ca="1" si="502"/>
        <v>Completed</v>
      </c>
      <c r="Y352" s="173" t="str">
        <f t="shared" ca="1" si="503"/>
        <v>Overdue</v>
      </c>
      <c r="Z352" s="174" t="str">
        <f t="shared" ca="1" si="504"/>
        <v>Follow-Next Week</v>
      </c>
    </row>
    <row r="353" spans="1:26" s="70" customFormat="1" ht="11.5" x14ac:dyDescent="0.25">
      <c r="A353" s="102" t="s">
        <v>64</v>
      </c>
      <c r="B353" s="102" t="s">
        <v>14</v>
      </c>
      <c r="C353" s="102" t="s">
        <v>435</v>
      </c>
      <c r="D353" s="102" t="s">
        <v>436</v>
      </c>
      <c r="E353" s="105">
        <f t="shared" si="491"/>
        <v>0.79999999999999993</v>
      </c>
      <c r="F353" s="105">
        <f t="shared" si="492"/>
        <v>0.79999999999999993</v>
      </c>
      <c r="G353" s="105">
        <f t="shared" si="492"/>
        <v>0.7</v>
      </c>
      <c r="H353" s="104">
        <f t="shared" si="493"/>
        <v>-9.9999999999999978E-2</v>
      </c>
      <c r="I353" s="110">
        <v>4.7E-2</v>
      </c>
      <c r="J353" s="107">
        <f t="shared" si="490"/>
        <v>46178</v>
      </c>
      <c r="K353" s="107">
        <f t="shared" si="495"/>
        <v>46178</v>
      </c>
      <c r="L353" s="143">
        <v>46157</v>
      </c>
      <c r="M353" s="108">
        <f t="shared" si="496"/>
        <v>46220</v>
      </c>
      <c r="N353" s="107">
        <f t="shared" si="497"/>
        <v>46220</v>
      </c>
      <c r="O353" s="107">
        <v>46190</v>
      </c>
      <c r="P353" s="108">
        <f t="shared" si="494"/>
        <v>46258</v>
      </c>
      <c r="Q353" s="107">
        <f t="shared" si="498"/>
        <v>46258</v>
      </c>
      <c r="R353" s="108"/>
      <c r="S353" s="107">
        <f t="shared" si="500"/>
        <v>46272</v>
      </c>
      <c r="T353" s="107">
        <f t="shared" si="499"/>
        <v>46272</v>
      </c>
      <c r="U353" s="108"/>
      <c r="W353" s="173" t="str">
        <f t="shared" ca="1" si="501"/>
        <v>Completed</v>
      </c>
      <c r="X353" s="173" t="str">
        <f t="shared" ca="1" si="502"/>
        <v>Completed</v>
      </c>
      <c r="Y353" s="173" t="str">
        <f t="shared" ca="1" si="503"/>
        <v>Overdue</v>
      </c>
      <c r="Z353" s="174" t="str">
        <f t="shared" ca="1" si="504"/>
        <v>Follow-Next Week</v>
      </c>
    </row>
    <row r="354" spans="1:26" s="70" customFormat="1" ht="11.5" x14ac:dyDescent="0.25">
      <c r="A354" s="102" t="s">
        <v>64</v>
      </c>
      <c r="B354" s="102" t="s">
        <v>14</v>
      </c>
      <c r="C354" s="102" t="s">
        <v>437</v>
      </c>
      <c r="D354" s="102" t="s">
        <v>438</v>
      </c>
      <c r="E354" s="105">
        <f t="shared" si="491"/>
        <v>0.79999999999999993</v>
      </c>
      <c r="F354" s="105">
        <f t="shared" si="492"/>
        <v>0.79999999999999993</v>
      </c>
      <c r="G354" s="105">
        <f t="shared" si="492"/>
        <v>0.7</v>
      </c>
      <c r="H354" s="104">
        <f t="shared" si="493"/>
        <v>-9.9999999999999978E-2</v>
      </c>
      <c r="I354" s="110">
        <v>4.7E-2</v>
      </c>
      <c r="J354" s="107">
        <f t="shared" ref="J354:J385" si="505">J231+28</f>
        <v>46178</v>
      </c>
      <c r="K354" s="107">
        <f t="shared" si="495"/>
        <v>46178</v>
      </c>
      <c r="L354" s="143">
        <v>46157</v>
      </c>
      <c r="M354" s="108">
        <f t="shared" si="496"/>
        <v>46220</v>
      </c>
      <c r="N354" s="107">
        <f t="shared" si="497"/>
        <v>46220</v>
      </c>
      <c r="O354" s="107">
        <v>46190</v>
      </c>
      <c r="P354" s="108">
        <f t="shared" si="494"/>
        <v>46258</v>
      </c>
      <c r="Q354" s="107">
        <f t="shared" si="498"/>
        <v>46258</v>
      </c>
      <c r="R354" s="108"/>
      <c r="S354" s="107">
        <f t="shared" si="500"/>
        <v>46272</v>
      </c>
      <c r="T354" s="107">
        <f t="shared" si="499"/>
        <v>46272</v>
      </c>
      <c r="U354" s="108"/>
      <c r="W354" s="173" t="str">
        <f t="shared" ca="1" si="501"/>
        <v>Completed</v>
      </c>
      <c r="X354" s="173" t="str">
        <f t="shared" ca="1" si="502"/>
        <v>Completed</v>
      </c>
      <c r="Y354" s="173" t="str">
        <f t="shared" ca="1" si="503"/>
        <v>Overdue</v>
      </c>
      <c r="Z354" s="174" t="str">
        <f t="shared" ca="1" si="504"/>
        <v>Follow-Next Week</v>
      </c>
    </row>
    <row r="355" spans="1:26" s="70" customFormat="1" ht="11.5" x14ac:dyDescent="0.25">
      <c r="A355" s="102" t="s">
        <v>64</v>
      </c>
      <c r="B355" s="102" t="s">
        <v>14</v>
      </c>
      <c r="C355" s="102" t="s">
        <v>439</v>
      </c>
      <c r="D355" s="102" t="s">
        <v>440</v>
      </c>
      <c r="E355" s="105">
        <f t="shared" si="491"/>
        <v>0.7</v>
      </c>
      <c r="F355" s="105">
        <f t="shared" si="492"/>
        <v>0.7</v>
      </c>
      <c r="G355" s="105">
        <f t="shared" si="492"/>
        <v>0.5</v>
      </c>
      <c r="H355" s="104">
        <f t="shared" si="493"/>
        <v>-0.19999999999999996</v>
      </c>
      <c r="I355" s="110">
        <v>4.7E-2</v>
      </c>
      <c r="J355" s="107">
        <f t="shared" si="505"/>
        <v>46199</v>
      </c>
      <c r="K355" s="107">
        <f t="shared" si="495"/>
        <v>46199</v>
      </c>
      <c r="L355" s="107">
        <v>46156</v>
      </c>
      <c r="M355" s="108">
        <f t="shared" si="496"/>
        <v>46241</v>
      </c>
      <c r="N355" s="107">
        <f t="shared" si="497"/>
        <v>46241</v>
      </c>
      <c r="O355" s="108"/>
      <c r="P355" s="108">
        <f t="shared" ref="P355:P407" si="506">M355+42</f>
        <v>46283</v>
      </c>
      <c r="Q355" s="107">
        <f t="shared" si="498"/>
        <v>46283</v>
      </c>
      <c r="R355" s="108"/>
      <c r="S355" s="107">
        <f t="shared" si="500"/>
        <v>46297</v>
      </c>
      <c r="T355" s="107">
        <f t="shared" si="499"/>
        <v>46297</v>
      </c>
      <c r="U355" s="108"/>
      <c r="W355" s="173" t="str">
        <f t="shared" ca="1" si="501"/>
        <v>Completed</v>
      </c>
      <c r="X355" s="173" t="str">
        <f t="shared" ca="1" si="502"/>
        <v>Overdue</v>
      </c>
      <c r="Y355" s="173" t="str">
        <f t="shared" ca="1" si="503"/>
        <v/>
      </c>
      <c r="Z355" s="174" t="str">
        <f t="shared" ca="1" si="504"/>
        <v/>
      </c>
    </row>
    <row r="356" spans="1:26" s="70" customFormat="1" ht="11.5" x14ac:dyDescent="0.25">
      <c r="A356" s="102" t="s">
        <v>64</v>
      </c>
      <c r="B356" s="102" t="s">
        <v>14</v>
      </c>
      <c r="C356" s="102" t="s">
        <v>441</v>
      </c>
      <c r="D356" s="102" t="s">
        <v>442</v>
      </c>
      <c r="E356" s="105">
        <f t="shared" si="491"/>
        <v>0.7</v>
      </c>
      <c r="F356" s="105">
        <f t="shared" si="492"/>
        <v>0.7</v>
      </c>
      <c r="G356" s="105">
        <f t="shared" si="492"/>
        <v>0.5</v>
      </c>
      <c r="H356" s="104">
        <f t="shared" si="493"/>
        <v>-0.19999999999999996</v>
      </c>
      <c r="I356" s="110">
        <v>4.7E-2</v>
      </c>
      <c r="J356" s="107">
        <f t="shared" si="505"/>
        <v>46199</v>
      </c>
      <c r="K356" s="107">
        <f t="shared" si="495"/>
        <v>46199</v>
      </c>
      <c r="L356" s="107">
        <v>46156</v>
      </c>
      <c r="M356" s="108">
        <f t="shared" si="496"/>
        <v>46241</v>
      </c>
      <c r="N356" s="107">
        <f t="shared" si="497"/>
        <v>46241</v>
      </c>
      <c r="O356" s="108"/>
      <c r="P356" s="108">
        <f t="shared" si="506"/>
        <v>46283</v>
      </c>
      <c r="Q356" s="107">
        <f t="shared" si="498"/>
        <v>46283</v>
      </c>
      <c r="R356" s="108"/>
      <c r="S356" s="107">
        <f t="shared" si="500"/>
        <v>46297</v>
      </c>
      <c r="T356" s="107">
        <f t="shared" si="499"/>
        <v>46297</v>
      </c>
      <c r="U356" s="108"/>
      <c r="W356" s="173" t="str">
        <f t="shared" ca="1" si="501"/>
        <v>Completed</v>
      </c>
      <c r="X356" s="173" t="str">
        <f t="shared" ca="1" si="502"/>
        <v>Overdue</v>
      </c>
      <c r="Y356" s="173" t="str">
        <f t="shared" ca="1" si="503"/>
        <v/>
      </c>
      <c r="Z356" s="174" t="str">
        <f t="shared" ca="1" si="504"/>
        <v/>
      </c>
    </row>
    <row r="357" spans="1:26" s="70" customFormat="1" ht="11.5" x14ac:dyDescent="0.25">
      <c r="A357" s="102" t="s">
        <v>64</v>
      </c>
      <c r="B357" s="102" t="s">
        <v>14</v>
      </c>
      <c r="C357" s="102" t="s">
        <v>443</v>
      </c>
      <c r="D357" s="102" t="s">
        <v>444</v>
      </c>
      <c r="E357" s="105">
        <f t="shared" si="491"/>
        <v>0.7</v>
      </c>
      <c r="F357" s="105">
        <f t="shared" si="492"/>
        <v>0.7</v>
      </c>
      <c r="G357" s="105">
        <f t="shared" si="492"/>
        <v>0.7</v>
      </c>
      <c r="H357" s="105">
        <f t="shared" si="493"/>
        <v>0</v>
      </c>
      <c r="I357" s="106">
        <v>4.7E-2</v>
      </c>
      <c r="J357" s="107">
        <f t="shared" si="505"/>
        <v>46199</v>
      </c>
      <c r="K357" s="107">
        <f t="shared" si="495"/>
        <v>46199</v>
      </c>
      <c r="L357" s="107">
        <v>46156</v>
      </c>
      <c r="M357" s="108">
        <f t="shared" si="496"/>
        <v>46241</v>
      </c>
      <c r="N357" s="107">
        <f t="shared" si="497"/>
        <v>46241</v>
      </c>
      <c r="O357" s="107">
        <v>46191</v>
      </c>
      <c r="P357" s="108">
        <f t="shared" si="506"/>
        <v>46283</v>
      </c>
      <c r="Q357" s="107">
        <f t="shared" si="498"/>
        <v>46283</v>
      </c>
      <c r="R357" s="108"/>
      <c r="S357" s="107">
        <f t="shared" si="500"/>
        <v>46297</v>
      </c>
      <c r="T357" s="107">
        <f t="shared" si="499"/>
        <v>46297</v>
      </c>
      <c r="U357" s="108"/>
      <c r="W357" s="173" t="str">
        <f t="shared" ca="1" si="501"/>
        <v>Completed</v>
      </c>
      <c r="X357" s="173" t="str">
        <f t="shared" ca="1" si="502"/>
        <v>Completed</v>
      </c>
      <c r="Y357" s="173" t="str">
        <f t="shared" ca="1" si="503"/>
        <v/>
      </c>
      <c r="Z357" s="174" t="str">
        <f t="shared" ca="1" si="504"/>
        <v/>
      </c>
    </row>
    <row r="358" spans="1:26" s="70" customFormat="1" ht="11.5" x14ac:dyDescent="0.25">
      <c r="A358" s="102" t="s">
        <v>64</v>
      </c>
      <c r="B358" s="102" t="s">
        <v>14</v>
      </c>
      <c r="C358" s="102" t="s">
        <v>445</v>
      </c>
      <c r="D358" s="102" t="s">
        <v>446</v>
      </c>
      <c r="E358" s="105">
        <f t="shared" si="491"/>
        <v>0.7</v>
      </c>
      <c r="F358" s="105">
        <f t="shared" si="492"/>
        <v>0.7</v>
      </c>
      <c r="G358" s="105">
        <f t="shared" si="492"/>
        <v>0.5</v>
      </c>
      <c r="H358" s="105">
        <f t="shared" si="493"/>
        <v>-0.19999999999999996</v>
      </c>
      <c r="I358" s="106">
        <v>4.7E-2</v>
      </c>
      <c r="J358" s="107">
        <f t="shared" si="505"/>
        <v>46192</v>
      </c>
      <c r="K358" s="107">
        <f t="shared" si="495"/>
        <v>46192</v>
      </c>
      <c r="L358" s="107">
        <v>46178</v>
      </c>
      <c r="M358" s="108">
        <f t="shared" si="496"/>
        <v>46234</v>
      </c>
      <c r="N358" s="107">
        <f t="shared" si="497"/>
        <v>46234</v>
      </c>
      <c r="O358" s="108"/>
      <c r="P358" s="108">
        <f t="shared" si="506"/>
        <v>46276</v>
      </c>
      <c r="Q358" s="107">
        <f t="shared" si="498"/>
        <v>46276</v>
      </c>
      <c r="R358" s="108"/>
      <c r="S358" s="107">
        <f t="shared" si="500"/>
        <v>46290</v>
      </c>
      <c r="T358" s="107">
        <f t="shared" si="499"/>
        <v>46290</v>
      </c>
      <c r="U358" s="108"/>
      <c r="W358" s="173" t="str">
        <f t="shared" ca="1" si="501"/>
        <v>Completed</v>
      </c>
      <c r="X358" s="173" t="str">
        <f t="shared" ca="1" si="502"/>
        <v>Overdue</v>
      </c>
      <c r="Y358" s="173" t="str">
        <f t="shared" ca="1" si="503"/>
        <v>Follow-Next Week</v>
      </c>
      <c r="Z358" s="174" t="str">
        <f t="shared" ca="1" si="504"/>
        <v/>
      </c>
    </row>
    <row r="359" spans="1:26" s="70" customFormat="1" ht="11.5" x14ac:dyDescent="0.25">
      <c r="A359" s="102" t="s">
        <v>64</v>
      </c>
      <c r="B359" s="102" t="s">
        <v>14</v>
      </c>
      <c r="C359" s="102" t="s">
        <v>447</v>
      </c>
      <c r="D359" s="102" t="s">
        <v>448</v>
      </c>
      <c r="E359" s="105">
        <f t="shared" si="491"/>
        <v>0.7</v>
      </c>
      <c r="F359" s="105">
        <f t="shared" si="492"/>
        <v>0.7</v>
      </c>
      <c r="G359" s="105">
        <f t="shared" si="492"/>
        <v>0</v>
      </c>
      <c r="H359" s="105">
        <f t="shared" si="493"/>
        <v>-0.7</v>
      </c>
      <c r="I359" s="106">
        <v>4.7E-2</v>
      </c>
      <c r="J359" s="107">
        <f t="shared" si="505"/>
        <v>46199</v>
      </c>
      <c r="K359" s="107">
        <f t="shared" si="495"/>
        <v>46199</v>
      </c>
      <c r="L359" s="108"/>
      <c r="M359" s="108">
        <f t="shared" si="496"/>
        <v>46241</v>
      </c>
      <c r="N359" s="107">
        <f t="shared" si="497"/>
        <v>46241</v>
      </c>
      <c r="O359" s="108"/>
      <c r="P359" s="108">
        <f t="shared" si="506"/>
        <v>46283</v>
      </c>
      <c r="Q359" s="107">
        <f t="shared" si="498"/>
        <v>46283</v>
      </c>
      <c r="R359" s="108"/>
      <c r="S359" s="107">
        <f t="shared" si="500"/>
        <v>46297</v>
      </c>
      <c r="T359" s="107">
        <f t="shared" si="499"/>
        <v>46297</v>
      </c>
      <c r="U359" s="108"/>
      <c r="W359" s="173" t="str">
        <f t="shared" ca="1" si="501"/>
        <v>Overdue</v>
      </c>
      <c r="X359" s="173" t="str">
        <f t="shared" ca="1" si="502"/>
        <v>Overdue</v>
      </c>
      <c r="Y359" s="173" t="str">
        <f t="shared" ca="1" si="503"/>
        <v/>
      </c>
      <c r="Z359" s="174" t="str">
        <f t="shared" ca="1" si="504"/>
        <v/>
      </c>
    </row>
    <row r="360" spans="1:26" s="70" customFormat="1" ht="11.5" x14ac:dyDescent="0.25">
      <c r="A360" s="102" t="s">
        <v>64</v>
      </c>
      <c r="B360" s="102" t="s">
        <v>14</v>
      </c>
      <c r="C360" s="102" t="s">
        <v>449</v>
      </c>
      <c r="D360" s="102" t="s">
        <v>450</v>
      </c>
      <c r="E360" s="105">
        <f t="shared" si="491"/>
        <v>0.7</v>
      </c>
      <c r="F360" s="105">
        <f t="shared" si="492"/>
        <v>0.7</v>
      </c>
      <c r="G360" s="105">
        <f t="shared" si="492"/>
        <v>0.5</v>
      </c>
      <c r="H360" s="105">
        <f t="shared" si="493"/>
        <v>-0.19999999999999996</v>
      </c>
      <c r="I360" s="106">
        <v>4.7E-2</v>
      </c>
      <c r="J360" s="107">
        <f t="shared" si="505"/>
        <v>46192</v>
      </c>
      <c r="K360" s="107">
        <f t="shared" si="495"/>
        <v>46192</v>
      </c>
      <c r="L360" s="107">
        <v>46191</v>
      </c>
      <c r="M360" s="108">
        <f t="shared" si="496"/>
        <v>46234</v>
      </c>
      <c r="N360" s="107">
        <f t="shared" si="497"/>
        <v>46234</v>
      </c>
      <c r="O360" s="108"/>
      <c r="P360" s="108">
        <f t="shared" si="506"/>
        <v>46276</v>
      </c>
      <c r="Q360" s="107">
        <f t="shared" si="498"/>
        <v>46276</v>
      </c>
      <c r="R360" s="108"/>
      <c r="S360" s="107">
        <f t="shared" si="500"/>
        <v>46290</v>
      </c>
      <c r="T360" s="107">
        <f t="shared" si="499"/>
        <v>46290</v>
      </c>
      <c r="U360" s="108"/>
      <c r="W360" s="173" t="str">
        <f t="shared" ca="1" si="501"/>
        <v>Completed</v>
      </c>
      <c r="X360" s="173" t="str">
        <f t="shared" ca="1" si="502"/>
        <v>Overdue</v>
      </c>
      <c r="Y360" s="173" t="str">
        <f t="shared" ca="1" si="503"/>
        <v>Follow-Next Week</v>
      </c>
      <c r="Z360" s="174" t="str">
        <f t="shared" ca="1" si="504"/>
        <v/>
      </c>
    </row>
    <row r="361" spans="1:26" s="70" customFormat="1" ht="11.5" x14ac:dyDescent="0.25">
      <c r="A361" s="102" t="s">
        <v>64</v>
      </c>
      <c r="B361" s="102" t="s">
        <v>14</v>
      </c>
      <c r="C361" s="102" t="s">
        <v>451</v>
      </c>
      <c r="D361" s="102" t="s">
        <v>452</v>
      </c>
      <c r="E361" s="105">
        <f t="shared" si="491"/>
        <v>0.7</v>
      </c>
      <c r="F361" s="105">
        <f t="shared" si="492"/>
        <v>0.7</v>
      </c>
      <c r="G361" s="105">
        <f t="shared" si="492"/>
        <v>0.5</v>
      </c>
      <c r="H361" s="105">
        <f t="shared" si="493"/>
        <v>-0.19999999999999996</v>
      </c>
      <c r="I361" s="106">
        <v>4.7E-2</v>
      </c>
      <c r="J361" s="107">
        <f t="shared" si="505"/>
        <v>46192</v>
      </c>
      <c r="K361" s="107">
        <f t="shared" si="495"/>
        <v>46192</v>
      </c>
      <c r="L361" s="107">
        <v>46191</v>
      </c>
      <c r="M361" s="108">
        <f t="shared" si="496"/>
        <v>46234</v>
      </c>
      <c r="N361" s="107">
        <f t="shared" si="497"/>
        <v>46234</v>
      </c>
      <c r="O361" s="108"/>
      <c r="P361" s="108">
        <f t="shared" si="506"/>
        <v>46276</v>
      </c>
      <c r="Q361" s="107">
        <f t="shared" si="498"/>
        <v>46276</v>
      </c>
      <c r="R361" s="108"/>
      <c r="S361" s="107">
        <f t="shared" si="500"/>
        <v>46290</v>
      </c>
      <c r="T361" s="107">
        <f t="shared" si="499"/>
        <v>46290</v>
      </c>
      <c r="U361" s="108"/>
      <c r="W361" s="173" t="str">
        <f t="shared" ca="1" si="501"/>
        <v>Completed</v>
      </c>
      <c r="X361" s="173" t="str">
        <f t="shared" ca="1" si="502"/>
        <v>Overdue</v>
      </c>
      <c r="Y361" s="173" t="str">
        <f t="shared" ca="1" si="503"/>
        <v>Follow-Next Week</v>
      </c>
      <c r="Z361" s="174" t="str">
        <f t="shared" ca="1" si="504"/>
        <v/>
      </c>
    </row>
    <row r="362" spans="1:26" s="70" customFormat="1" ht="11.5" x14ac:dyDescent="0.25">
      <c r="A362" s="102" t="s">
        <v>64</v>
      </c>
      <c r="B362" s="102" t="s">
        <v>14</v>
      </c>
      <c r="C362" s="102" t="s">
        <v>878</v>
      </c>
      <c r="D362" s="102" t="s">
        <v>857</v>
      </c>
      <c r="E362" s="105">
        <f t="shared" si="491"/>
        <v>0.7</v>
      </c>
      <c r="F362" s="105">
        <f t="shared" si="492"/>
        <v>0.7</v>
      </c>
      <c r="G362" s="105">
        <f t="shared" si="492"/>
        <v>1</v>
      </c>
      <c r="H362" s="105">
        <f t="shared" si="493"/>
        <v>0.30000000000000004</v>
      </c>
      <c r="I362" s="106">
        <v>4.7E-2</v>
      </c>
      <c r="J362" s="107">
        <f t="shared" si="505"/>
        <v>46206</v>
      </c>
      <c r="K362" s="107">
        <f t="shared" si="495"/>
        <v>46206</v>
      </c>
      <c r="L362" s="107">
        <v>46182</v>
      </c>
      <c r="M362" s="108">
        <f t="shared" si="496"/>
        <v>46248</v>
      </c>
      <c r="N362" s="107">
        <f t="shared" si="497"/>
        <v>46248</v>
      </c>
      <c r="O362" s="107">
        <v>46191</v>
      </c>
      <c r="P362" s="108">
        <f t="shared" si="506"/>
        <v>46290</v>
      </c>
      <c r="Q362" s="107">
        <f t="shared" si="498"/>
        <v>46290</v>
      </c>
      <c r="R362" s="108">
        <v>46252</v>
      </c>
      <c r="S362" s="107">
        <f t="shared" si="500"/>
        <v>46304</v>
      </c>
      <c r="T362" s="107">
        <f t="shared" si="499"/>
        <v>46304</v>
      </c>
      <c r="U362" s="165">
        <v>46262</v>
      </c>
      <c r="W362" s="173" t="str">
        <f t="shared" ca="1" si="501"/>
        <v>Completed</v>
      </c>
      <c r="X362" s="173" t="str">
        <f t="shared" ca="1" si="502"/>
        <v>Completed</v>
      </c>
      <c r="Y362" s="173" t="str">
        <f t="shared" ca="1" si="503"/>
        <v>Completed</v>
      </c>
      <c r="Z362" s="174" t="str">
        <f t="shared" ca="1" si="504"/>
        <v>Completed</v>
      </c>
    </row>
    <row r="363" spans="1:26" s="70" customFormat="1" ht="11.5" x14ac:dyDescent="0.25">
      <c r="A363" s="102" t="s">
        <v>64</v>
      </c>
      <c r="B363" s="102" t="s">
        <v>14</v>
      </c>
      <c r="C363" s="102" t="s">
        <v>879</v>
      </c>
      <c r="D363" s="102" t="s">
        <v>858</v>
      </c>
      <c r="E363" s="105">
        <f t="shared" si="491"/>
        <v>0.7</v>
      </c>
      <c r="F363" s="105">
        <f t="shared" si="492"/>
        <v>0.7</v>
      </c>
      <c r="G363" s="105">
        <f t="shared" si="492"/>
        <v>1</v>
      </c>
      <c r="H363" s="105">
        <f t="shared" si="493"/>
        <v>0.30000000000000004</v>
      </c>
      <c r="I363" s="106">
        <v>4.7E-2</v>
      </c>
      <c r="J363" s="107">
        <f t="shared" si="505"/>
        <v>46206</v>
      </c>
      <c r="K363" s="107">
        <f t="shared" si="495"/>
        <v>46206</v>
      </c>
      <c r="L363" s="107">
        <v>46182</v>
      </c>
      <c r="M363" s="108">
        <f t="shared" si="496"/>
        <v>46248</v>
      </c>
      <c r="N363" s="107">
        <f t="shared" si="497"/>
        <v>46248</v>
      </c>
      <c r="O363" s="107">
        <v>46191</v>
      </c>
      <c r="P363" s="108">
        <f t="shared" si="506"/>
        <v>46290</v>
      </c>
      <c r="Q363" s="107">
        <f t="shared" si="498"/>
        <v>46290</v>
      </c>
      <c r="R363" s="108">
        <v>46252</v>
      </c>
      <c r="S363" s="107">
        <f t="shared" si="500"/>
        <v>46304</v>
      </c>
      <c r="T363" s="107">
        <f t="shared" si="499"/>
        <v>46304</v>
      </c>
      <c r="U363" s="165">
        <v>46262</v>
      </c>
      <c r="W363" s="173" t="str">
        <f t="shared" ca="1" si="501"/>
        <v>Completed</v>
      </c>
      <c r="X363" s="173" t="str">
        <f t="shared" ca="1" si="502"/>
        <v>Completed</v>
      </c>
      <c r="Y363" s="173" t="str">
        <f t="shared" ca="1" si="503"/>
        <v>Completed</v>
      </c>
      <c r="Z363" s="174" t="str">
        <f t="shared" ca="1" si="504"/>
        <v>Completed</v>
      </c>
    </row>
    <row r="364" spans="1:26" s="70" customFormat="1" ht="11.5" x14ac:dyDescent="0.25">
      <c r="A364" s="102" t="s">
        <v>64</v>
      </c>
      <c r="B364" s="102" t="s">
        <v>14</v>
      </c>
      <c r="C364" s="102" t="s">
        <v>880</v>
      </c>
      <c r="D364" s="102" t="s">
        <v>859</v>
      </c>
      <c r="E364" s="105">
        <f t="shared" si="491"/>
        <v>0.7</v>
      </c>
      <c r="F364" s="105">
        <f t="shared" si="492"/>
        <v>0.7</v>
      </c>
      <c r="G364" s="105">
        <f t="shared" si="492"/>
        <v>1</v>
      </c>
      <c r="H364" s="105">
        <f t="shared" si="493"/>
        <v>0.30000000000000004</v>
      </c>
      <c r="I364" s="106">
        <v>4.7E-2</v>
      </c>
      <c r="J364" s="107">
        <f t="shared" si="505"/>
        <v>46206</v>
      </c>
      <c r="K364" s="107">
        <f t="shared" si="495"/>
        <v>46206</v>
      </c>
      <c r="L364" s="107">
        <v>46182</v>
      </c>
      <c r="M364" s="108">
        <f t="shared" si="496"/>
        <v>46248</v>
      </c>
      <c r="N364" s="107">
        <f t="shared" si="497"/>
        <v>46248</v>
      </c>
      <c r="O364" s="107">
        <v>46191</v>
      </c>
      <c r="P364" s="108">
        <f t="shared" si="506"/>
        <v>46290</v>
      </c>
      <c r="Q364" s="107">
        <f t="shared" si="498"/>
        <v>46290</v>
      </c>
      <c r="R364" s="108">
        <v>46252</v>
      </c>
      <c r="S364" s="107">
        <f t="shared" si="500"/>
        <v>46304</v>
      </c>
      <c r="T364" s="107">
        <f t="shared" si="499"/>
        <v>46304</v>
      </c>
      <c r="U364" s="165">
        <v>46262</v>
      </c>
      <c r="W364" s="173" t="str">
        <f t="shared" ca="1" si="501"/>
        <v>Completed</v>
      </c>
      <c r="X364" s="173" t="str">
        <f t="shared" ca="1" si="502"/>
        <v>Completed</v>
      </c>
      <c r="Y364" s="173" t="str">
        <f t="shared" ca="1" si="503"/>
        <v>Completed</v>
      </c>
      <c r="Z364" s="174" t="str">
        <f t="shared" ca="1" si="504"/>
        <v>Completed</v>
      </c>
    </row>
    <row r="365" spans="1:26" s="70" customFormat="1" ht="11.5" x14ac:dyDescent="0.25">
      <c r="A365" s="102" t="s">
        <v>64</v>
      </c>
      <c r="B365" s="102" t="s">
        <v>14</v>
      </c>
      <c r="C365" s="102" t="s">
        <v>881</v>
      </c>
      <c r="D365" s="102" t="s">
        <v>860</v>
      </c>
      <c r="E365" s="105">
        <f t="shared" si="491"/>
        <v>0.7</v>
      </c>
      <c r="F365" s="105">
        <f t="shared" si="492"/>
        <v>0.7</v>
      </c>
      <c r="G365" s="105">
        <f t="shared" si="492"/>
        <v>1</v>
      </c>
      <c r="H365" s="105">
        <f t="shared" si="493"/>
        <v>0.30000000000000004</v>
      </c>
      <c r="I365" s="106">
        <v>4.7E-2</v>
      </c>
      <c r="J365" s="107">
        <f t="shared" si="505"/>
        <v>46206</v>
      </c>
      <c r="K365" s="107">
        <f t="shared" si="495"/>
        <v>46206</v>
      </c>
      <c r="L365" s="107">
        <v>46182</v>
      </c>
      <c r="M365" s="108">
        <f t="shared" si="496"/>
        <v>46248</v>
      </c>
      <c r="N365" s="107">
        <f t="shared" si="497"/>
        <v>46248</v>
      </c>
      <c r="O365" s="107">
        <v>46191</v>
      </c>
      <c r="P365" s="108">
        <f t="shared" si="506"/>
        <v>46290</v>
      </c>
      <c r="Q365" s="107">
        <f t="shared" si="498"/>
        <v>46290</v>
      </c>
      <c r="R365" s="108">
        <v>46252</v>
      </c>
      <c r="S365" s="107">
        <f t="shared" si="500"/>
        <v>46304</v>
      </c>
      <c r="T365" s="107">
        <f t="shared" si="499"/>
        <v>46304</v>
      </c>
      <c r="U365" s="165">
        <v>46262</v>
      </c>
      <c r="W365" s="173" t="str">
        <f t="shared" ca="1" si="501"/>
        <v>Completed</v>
      </c>
      <c r="X365" s="173" t="str">
        <f t="shared" ca="1" si="502"/>
        <v>Completed</v>
      </c>
      <c r="Y365" s="173" t="str">
        <f t="shared" ca="1" si="503"/>
        <v>Completed</v>
      </c>
      <c r="Z365" s="174" t="str">
        <f t="shared" ca="1" si="504"/>
        <v>Completed</v>
      </c>
    </row>
    <row r="366" spans="1:26" s="70" customFormat="1" ht="11.5" x14ac:dyDescent="0.25">
      <c r="A366" s="102" t="s">
        <v>64</v>
      </c>
      <c r="B366" s="102" t="s">
        <v>14</v>
      </c>
      <c r="C366" s="102" t="s">
        <v>882</v>
      </c>
      <c r="D366" s="102" t="s">
        <v>861</v>
      </c>
      <c r="E366" s="105">
        <f t="shared" si="491"/>
        <v>0.7</v>
      </c>
      <c r="F366" s="105">
        <f t="shared" si="492"/>
        <v>0.7</v>
      </c>
      <c r="G366" s="105">
        <f t="shared" si="492"/>
        <v>1</v>
      </c>
      <c r="H366" s="105">
        <f t="shared" si="493"/>
        <v>0.30000000000000004</v>
      </c>
      <c r="I366" s="106">
        <v>4.7E-2</v>
      </c>
      <c r="J366" s="107">
        <f t="shared" si="505"/>
        <v>46206</v>
      </c>
      <c r="K366" s="107">
        <f t="shared" si="495"/>
        <v>46206</v>
      </c>
      <c r="L366" s="107">
        <v>46182</v>
      </c>
      <c r="M366" s="108">
        <f t="shared" si="496"/>
        <v>46248</v>
      </c>
      <c r="N366" s="107">
        <f t="shared" si="497"/>
        <v>46248</v>
      </c>
      <c r="O366" s="107">
        <v>46191</v>
      </c>
      <c r="P366" s="108">
        <f t="shared" si="506"/>
        <v>46290</v>
      </c>
      <c r="Q366" s="107">
        <f t="shared" si="498"/>
        <v>46290</v>
      </c>
      <c r="R366" s="108">
        <v>46252</v>
      </c>
      <c r="S366" s="107">
        <f t="shared" si="500"/>
        <v>46304</v>
      </c>
      <c r="T366" s="107">
        <f t="shared" si="499"/>
        <v>46304</v>
      </c>
      <c r="U366" s="165">
        <v>46262</v>
      </c>
      <c r="W366" s="173" t="str">
        <f t="shared" ca="1" si="501"/>
        <v>Completed</v>
      </c>
      <c r="X366" s="173" t="str">
        <f t="shared" ca="1" si="502"/>
        <v>Completed</v>
      </c>
      <c r="Y366" s="173" t="str">
        <f t="shared" ca="1" si="503"/>
        <v>Completed</v>
      </c>
      <c r="Z366" s="174" t="str">
        <f t="shared" ca="1" si="504"/>
        <v>Completed</v>
      </c>
    </row>
    <row r="367" spans="1:26" s="70" customFormat="1" ht="11.5" x14ac:dyDescent="0.25">
      <c r="A367" s="102" t="s">
        <v>64</v>
      </c>
      <c r="B367" s="102" t="s">
        <v>14</v>
      </c>
      <c r="C367" s="102" t="s">
        <v>883</v>
      </c>
      <c r="D367" s="102" t="s">
        <v>862</v>
      </c>
      <c r="E367" s="105">
        <f t="shared" si="491"/>
        <v>0.7</v>
      </c>
      <c r="F367" s="105">
        <f t="shared" si="492"/>
        <v>0.7</v>
      </c>
      <c r="G367" s="105">
        <f t="shared" si="492"/>
        <v>1</v>
      </c>
      <c r="H367" s="105">
        <f t="shared" si="493"/>
        <v>0.30000000000000004</v>
      </c>
      <c r="I367" s="106">
        <v>4.7E-2</v>
      </c>
      <c r="J367" s="107">
        <f t="shared" si="505"/>
        <v>46206</v>
      </c>
      <c r="K367" s="107">
        <f t="shared" si="495"/>
        <v>46206</v>
      </c>
      <c r="L367" s="143">
        <v>46162</v>
      </c>
      <c r="M367" s="108">
        <f t="shared" si="496"/>
        <v>46248</v>
      </c>
      <c r="N367" s="107">
        <f t="shared" si="497"/>
        <v>46248</v>
      </c>
      <c r="O367" s="107">
        <v>46191</v>
      </c>
      <c r="P367" s="108">
        <f t="shared" si="506"/>
        <v>46290</v>
      </c>
      <c r="Q367" s="107">
        <f t="shared" si="498"/>
        <v>46290</v>
      </c>
      <c r="R367" s="108">
        <v>46252</v>
      </c>
      <c r="S367" s="107">
        <f t="shared" si="500"/>
        <v>46304</v>
      </c>
      <c r="T367" s="107">
        <f t="shared" si="499"/>
        <v>46304</v>
      </c>
      <c r="U367" s="165">
        <v>46262</v>
      </c>
      <c r="W367" s="173" t="str">
        <f t="shared" ca="1" si="501"/>
        <v>Completed</v>
      </c>
      <c r="X367" s="173" t="str">
        <f t="shared" ca="1" si="502"/>
        <v>Completed</v>
      </c>
      <c r="Y367" s="173" t="str">
        <f t="shared" ca="1" si="503"/>
        <v>Completed</v>
      </c>
      <c r="Z367" s="174" t="str">
        <f t="shared" ca="1" si="504"/>
        <v>Completed</v>
      </c>
    </row>
    <row r="368" spans="1:26" s="70" customFormat="1" ht="11.5" x14ac:dyDescent="0.25">
      <c r="A368" s="102" t="s">
        <v>64</v>
      </c>
      <c r="B368" s="102" t="s">
        <v>14</v>
      </c>
      <c r="C368" s="102" t="s">
        <v>884</v>
      </c>
      <c r="D368" s="102" t="s">
        <v>863</v>
      </c>
      <c r="E368" s="105">
        <f t="shared" si="491"/>
        <v>0.7</v>
      </c>
      <c r="F368" s="105">
        <f t="shared" si="492"/>
        <v>0.7</v>
      </c>
      <c r="G368" s="105">
        <f t="shared" si="492"/>
        <v>1</v>
      </c>
      <c r="H368" s="105">
        <f t="shared" si="493"/>
        <v>0.30000000000000004</v>
      </c>
      <c r="I368" s="106">
        <v>4.7E-2</v>
      </c>
      <c r="J368" s="107">
        <f t="shared" si="505"/>
        <v>46206</v>
      </c>
      <c r="K368" s="107">
        <f t="shared" si="495"/>
        <v>46206</v>
      </c>
      <c r="L368" s="143">
        <v>46162</v>
      </c>
      <c r="M368" s="108">
        <f t="shared" si="496"/>
        <v>46248</v>
      </c>
      <c r="N368" s="107">
        <f t="shared" si="497"/>
        <v>46248</v>
      </c>
      <c r="O368" s="107">
        <v>46191</v>
      </c>
      <c r="P368" s="108">
        <f t="shared" si="506"/>
        <v>46290</v>
      </c>
      <c r="Q368" s="107">
        <f t="shared" si="498"/>
        <v>46290</v>
      </c>
      <c r="R368" s="108">
        <v>46252</v>
      </c>
      <c r="S368" s="107">
        <f t="shared" si="500"/>
        <v>46304</v>
      </c>
      <c r="T368" s="107">
        <f t="shared" si="499"/>
        <v>46304</v>
      </c>
      <c r="U368" s="165">
        <v>46262</v>
      </c>
      <c r="W368" s="173" t="str">
        <f t="shared" ca="1" si="501"/>
        <v>Completed</v>
      </c>
      <c r="X368" s="173" t="str">
        <f t="shared" ca="1" si="502"/>
        <v>Completed</v>
      </c>
      <c r="Y368" s="173" t="str">
        <f t="shared" ca="1" si="503"/>
        <v>Completed</v>
      </c>
      <c r="Z368" s="174" t="str">
        <f t="shared" ca="1" si="504"/>
        <v>Completed</v>
      </c>
    </row>
    <row r="369" spans="1:26" s="70" customFormat="1" ht="11.5" x14ac:dyDescent="0.25">
      <c r="A369" s="102" t="s">
        <v>64</v>
      </c>
      <c r="B369" s="102" t="s">
        <v>14</v>
      </c>
      <c r="C369" s="102" t="s">
        <v>885</v>
      </c>
      <c r="D369" s="102" t="s">
        <v>864</v>
      </c>
      <c r="E369" s="105">
        <f t="shared" si="491"/>
        <v>0.7</v>
      </c>
      <c r="F369" s="105">
        <f t="shared" si="492"/>
        <v>0.7</v>
      </c>
      <c r="G369" s="105">
        <f t="shared" si="492"/>
        <v>1</v>
      </c>
      <c r="H369" s="105">
        <f t="shared" si="493"/>
        <v>0.30000000000000004</v>
      </c>
      <c r="I369" s="106">
        <v>4.7E-2</v>
      </c>
      <c r="J369" s="107">
        <f t="shared" si="505"/>
        <v>46206</v>
      </c>
      <c r="K369" s="107">
        <f t="shared" si="495"/>
        <v>46206</v>
      </c>
      <c r="L369" s="143">
        <v>46162</v>
      </c>
      <c r="M369" s="108">
        <f t="shared" si="496"/>
        <v>46248</v>
      </c>
      <c r="N369" s="107">
        <f t="shared" si="497"/>
        <v>46248</v>
      </c>
      <c r="O369" s="107">
        <v>46191</v>
      </c>
      <c r="P369" s="108">
        <f t="shared" si="506"/>
        <v>46290</v>
      </c>
      <c r="Q369" s="107">
        <f t="shared" si="498"/>
        <v>46290</v>
      </c>
      <c r="R369" s="108">
        <v>46252</v>
      </c>
      <c r="S369" s="107">
        <f t="shared" si="500"/>
        <v>46304</v>
      </c>
      <c r="T369" s="107">
        <f t="shared" si="499"/>
        <v>46304</v>
      </c>
      <c r="U369" s="165">
        <v>46262</v>
      </c>
      <c r="W369" s="173" t="str">
        <f t="shared" ca="1" si="501"/>
        <v>Completed</v>
      </c>
      <c r="X369" s="173" t="str">
        <f t="shared" ca="1" si="502"/>
        <v>Completed</v>
      </c>
      <c r="Y369" s="173" t="str">
        <f t="shared" ca="1" si="503"/>
        <v>Completed</v>
      </c>
      <c r="Z369" s="174" t="str">
        <f t="shared" ca="1" si="504"/>
        <v>Completed</v>
      </c>
    </row>
    <row r="370" spans="1:26" s="70" customFormat="1" ht="11.5" x14ac:dyDescent="0.25">
      <c r="A370" s="102" t="s">
        <v>64</v>
      </c>
      <c r="B370" s="102" t="s">
        <v>14</v>
      </c>
      <c r="C370" s="102" t="s">
        <v>886</v>
      </c>
      <c r="D370" s="102" t="s">
        <v>865</v>
      </c>
      <c r="E370" s="105">
        <f t="shared" si="491"/>
        <v>0.7</v>
      </c>
      <c r="F370" s="105">
        <f t="shared" si="492"/>
        <v>0.7</v>
      </c>
      <c r="G370" s="105">
        <f t="shared" si="492"/>
        <v>1</v>
      </c>
      <c r="H370" s="105">
        <f t="shared" si="493"/>
        <v>0.30000000000000004</v>
      </c>
      <c r="I370" s="106">
        <v>4.7E-2</v>
      </c>
      <c r="J370" s="107">
        <f t="shared" si="505"/>
        <v>46206</v>
      </c>
      <c r="K370" s="107">
        <f t="shared" si="495"/>
        <v>46206</v>
      </c>
      <c r="L370" s="143">
        <v>46162</v>
      </c>
      <c r="M370" s="108">
        <f t="shared" si="496"/>
        <v>46248</v>
      </c>
      <c r="N370" s="107">
        <f t="shared" si="497"/>
        <v>46248</v>
      </c>
      <c r="O370" s="107">
        <v>46191</v>
      </c>
      <c r="P370" s="108">
        <f t="shared" si="506"/>
        <v>46290</v>
      </c>
      <c r="Q370" s="107">
        <f t="shared" si="498"/>
        <v>46290</v>
      </c>
      <c r="R370" s="108">
        <v>46252</v>
      </c>
      <c r="S370" s="107">
        <f t="shared" si="500"/>
        <v>46304</v>
      </c>
      <c r="T370" s="107">
        <f t="shared" si="499"/>
        <v>46304</v>
      </c>
      <c r="U370" s="165">
        <v>46262</v>
      </c>
      <c r="W370" s="173" t="str">
        <f t="shared" ca="1" si="501"/>
        <v>Completed</v>
      </c>
      <c r="X370" s="173" t="str">
        <f t="shared" ca="1" si="502"/>
        <v>Completed</v>
      </c>
      <c r="Y370" s="173" t="str">
        <f t="shared" ca="1" si="503"/>
        <v>Completed</v>
      </c>
      <c r="Z370" s="174" t="str">
        <f t="shared" ca="1" si="504"/>
        <v>Completed</v>
      </c>
    </row>
    <row r="371" spans="1:26" s="70" customFormat="1" ht="11.5" x14ac:dyDescent="0.25">
      <c r="A371" s="102" t="s">
        <v>64</v>
      </c>
      <c r="B371" s="102" t="s">
        <v>14</v>
      </c>
      <c r="C371" s="102" t="s">
        <v>887</v>
      </c>
      <c r="D371" s="102" t="s">
        <v>866</v>
      </c>
      <c r="E371" s="105">
        <f t="shared" si="491"/>
        <v>0.7</v>
      </c>
      <c r="F371" s="105">
        <f t="shared" si="492"/>
        <v>0.7</v>
      </c>
      <c r="G371" s="105">
        <f t="shared" si="492"/>
        <v>1</v>
      </c>
      <c r="H371" s="105">
        <f t="shared" si="493"/>
        <v>0.30000000000000004</v>
      </c>
      <c r="I371" s="106">
        <v>4.7E-2</v>
      </c>
      <c r="J371" s="107">
        <f t="shared" si="505"/>
        <v>46206</v>
      </c>
      <c r="K371" s="107">
        <f t="shared" si="495"/>
        <v>46206</v>
      </c>
      <c r="L371" s="143">
        <v>46162</v>
      </c>
      <c r="M371" s="108">
        <f t="shared" si="496"/>
        <v>46248</v>
      </c>
      <c r="N371" s="107">
        <f t="shared" si="497"/>
        <v>46248</v>
      </c>
      <c r="O371" s="107">
        <v>46191</v>
      </c>
      <c r="P371" s="108">
        <f t="shared" si="506"/>
        <v>46290</v>
      </c>
      <c r="Q371" s="107">
        <f t="shared" si="498"/>
        <v>46290</v>
      </c>
      <c r="R371" s="108">
        <v>46252</v>
      </c>
      <c r="S371" s="107">
        <f t="shared" si="500"/>
        <v>46304</v>
      </c>
      <c r="T371" s="107">
        <f t="shared" si="499"/>
        <v>46304</v>
      </c>
      <c r="U371" s="165">
        <v>46262</v>
      </c>
      <c r="W371" s="173" t="str">
        <f t="shared" ca="1" si="501"/>
        <v>Completed</v>
      </c>
      <c r="X371" s="173" t="str">
        <f t="shared" ca="1" si="502"/>
        <v>Completed</v>
      </c>
      <c r="Y371" s="173" t="str">
        <f t="shared" ca="1" si="503"/>
        <v>Completed</v>
      </c>
      <c r="Z371" s="174" t="str">
        <f t="shared" ca="1" si="504"/>
        <v>Completed</v>
      </c>
    </row>
    <row r="372" spans="1:26" s="70" customFormat="1" ht="11.5" x14ac:dyDescent="0.25">
      <c r="A372" s="102" t="s">
        <v>64</v>
      </c>
      <c r="B372" s="102" t="s">
        <v>14</v>
      </c>
      <c r="C372" s="102" t="s">
        <v>888</v>
      </c>
      <c r="D372" s="102" t="s">
        <v>867</v>
      </c>
      <c r="E372" s="105">
        <f t="shared" si="491"/>
        <v>0.7</v>
      </c>
      <c r="F372" s="105">
        <f t="shared" si="492"/>
        <v>0.7</v>
      </c>
      <c r="G372" s="105">
        <f t="shared" si="492"/>
        <v>1</v>
      </c>
      <c r="H372" s="105">
        <f t="shared" si="493"/>
        <v>0.30000000000000004</v>
      </c>
      <c r="I372" s="106">
        <v>4.7E-2</v>
      </c>
      <c r="J372" s="107">
        <f t="shared" si="505"/>
        <v>46206</v>
      </c>
      <c r="K372" s="107">
        <f t="shared" si="495"/>
        <v>46206</v>
      </c>
      <c r="L372" s="143">
        <v>46162</v>
      </c>
      <c r="M372" s="108">
        <f t="shared" si="496"/>
        <v>46248</v>
      </c>
      <c r="N372" s="107">
        <f t="shared" si="497"/>
        <v>46248</v>
      </c>
      <c r="O372" s="107">
        <v>46191</v>
      </c>
      <c r="P372" s="108">
        <f t="shared" si="506"/>
        <v>46290</v>
      </c>
      <c r="Q372" s="107">
        <f t="shared" si="498"/>
        <v>46290</v>
      </c>
      <c r="R372" s="108">
        <v>46252</v>
      </c>
      <c r="S372" s="107">
        <f t="shared" si="500"/>
        <v>46304</v>
      </c>
      <c r="T372" s="107">
        <f t="shared" si="499"/>
        <v>46304</v>
      </c>
      <c r="U372" s="165">
        <v>46262</v>
      </c>
      <c r="W372" s="173" t="str">
        <f t="shared" ca="1" si="501"/>
        <v>Completed</v>
      </c>
      <c r="X372" s="173" t="str">
        <f t="shared" ca="1" si="502"/>
        <v>Completed</v>
      </c>
      <c r="Y372" s="173" t="str">
        <f t="shared" ca="1" si="503"/>
        <v>Completed</v>
      </c>
      <c r="Z372" s="174" t="str">
        <f t="shared" ca="1" si="504"/>
        <v>Completed</v>
      </c>
    </row>
    <row r="373" spans="1:26" s="70" customFormat="1" ht="11.5" x14ac:dyDescent="0.25">
      <c r="A373" s="102" t="s">
        <v>64</v>
      </c>
      <c r="B373" s="102" t="s">
        <v>14</v>
      </c>
      <c r="C373" s="102" t="s">
        <v>889</v>
      </c>
      <c r="D373" s="102" t="s">
        <v>868</v>
      </c>
      <c r="E373" s="105">
        <f t="shared" si="491"/>
        <v>0.7</v>
      </c>
      <c r="F373" s="105">
        <f t="shared" si="492"/>
        <v>0.7</v>
      </c>
      <c r="G373" s="105">
        <f t="shared" si="492"/>
        <v>1</v>
      </c>
      <c r="H373" s="105">
        <f t="shared" si="493"/>
        <v>0.30000000000000004</v>
      </c>
      <c r="I373" s="106">
        <v>4.7E-2</v>
      </c>
      <c r="J373" s="107">
        <f t="shared" si="505"/>
        <v>46206</v>
      </c>
      <c r="K373" s="107">
        <f t="shared" si="495"/>
        <v>46206</v>
      </c>
      <c r="L373" s="143">
        <v>46162</v>
      </c>
      <c r="M373" s="108">
        <f t="shared" si="496"/>
        <v>46248</v>
      </c>
      <c r="N373" s="107">
        <f t="shared" si="497"/>
        <v>46248</v>
      </c>
      <c r="O373" s="107">
        <v>46191</v>
      </c>
      <c r="P373" s="108">
        <f t="shared" si="506"/>
        <v>46290</v>
      </c>
      <c r="Q373" s="107">
        <f t="shared" si="498"/>
        <v>46290</v>
      </c>
      <c r="R373" s="108">
        <v>46252</v>
      </c>
      <c r="S373" s="107">
        <f t="shared" si="500"/>
        <v>46304</v>
      </c>
      <c r="T373" s="107">
        <f t="shared" si="499"/>
        <v>46304</v>
      </c>
      <c r="U373" s="165">
        <v>46262</v>
      </c>
      <c r="W373" s="173" t="str">
        <f t="shared" ca="1" si="501"/>
        <v>Completed</v>
      </c>
      <c r="X373" s="173" t="str">
        <f t="shared" ca="1" si="502"/>
        <v>Completed</v>
      </c>
      <c r="Y373" s="173" t="str">
        <f t="shared" ca="1" si="503"/>
        <v>Completed</v>
      </c>
      <c r="Z373" s="174" t="str">
        <f t="shared" ca="1" si="504"/>
        <v>Completed</v>
      </c>
    </row>
    <row r="374" spans="1:26" s="70" customFormat="1" ht="11.5" x14ac:dyDescent="0.25">
      <c r="A374" s="102" t="s">
        <v>64</v>
      </c>
      <c r="B374" s="102" t="s">
        <v>14</v>
      </c>
      <c r="C374" s="102" t="s">
        <v>890</v>
      </c>
      <c r="D374" s="102" t="s">
        <v>869</v>
      </c>
      <c r="E374" s="105">
        <f t="shared" si="491"/>
        <v>0.7</v>
      </c>
      <c r="F374" s="105">
        <f t="shared" si="492"/>
        <v>0.7</v>
      </c>
      <c r="G374" s="105">
        <f t="shared" si="492"/>
        <v>1</v>
      </c>
      <c r="H374" s="105">
        <f t="shared" si="493"/>
        <v>0.30000000000000004</v>
      </c>
      <c r="I374" s="106">
        <v>4.7E-2</v>
      </c>
      <c r="J374" s="107">
        <f t="shared" si="505"/>
        <v>46206</v>
      </c>
      <c r="K374" s="107">
        <f t="shared" si="495"/>
        <v>46206</v>
      </c>
      <c r="L374" s="143">
        <v>46162</v>
      </c>
      <c r="M374" s="108">
        <f t="shared" si="496"/>
        <v>46248</v>
      </c>
      <c r="N374" s="107">
        <f t="shared" si="497"/>
        <v>46248</v>
      </c>
      <c r="O374" s="107">
        <v>46191</v>
      </c>
      <c r="P374" s="108">
        <f t="shared" si="506"/>
        <v>46290</v>
      </c>
      <c r="Q374" s="107">
        <f t="shared" si="498"/>
        <v>46290</v>
      </c>
      <c r="R374" s="108">
        <v>46252</v>
      </c>
      <c r="S374" s="107">
        <f t="shared" si="500"/>
        <v>46304</v>
      </c>
      <c r="T374" s="107">
        <f t="shared" si="499"/>
        <v>46304</v>
      </c>
      <c r="U374" s="165">
        <v>46262</v>
      </c>
      <c r="W374" s="173" t="str">
        <f t="shared" ca="1" si="501"/>
        <v>Completed</v>
      </c>
      <c r="X374" s="173" t="str">
        <f t="shared" ca="1" si="502"/>
        <v>Completed</v>
      </c>
      <c r="Y374" s="173" t="str">
        <f t="shared" ca="1" si="503"/>
        <v>Completed</v>
      </c>
      <c r="Z374" s="174" t="str">
        <f t="shared" ca="1" si="504"/>
        <v>Completed</v>
      </c>
    </row>
    <row r="375" spans="1:26" s="70" customFormat="1" ht="11.5" x14ac:dyDescent="0.25">
      <c r="A375" s="102" t="s">
        <v>64</v>
      </c>
      <c r="B375" s="102" t="s">
        <v>14</v>
      </c>
      <c r="C375" s="102" t="s">
        <v>453</v>
      </c>
      <c r="D375" s="102" t="s">
        <v>454</v>
      </c>
      <c r="E375" s="105">
        <f t="shared" si="491"/>
        <v>0.7</v>
      </c>
      <c r="F375" s="105">
        <f t="shared" si="492"/>
        <v>0.7</v>
      </c>
      <c r="G375" s="105">
        <f t="shared" si="492"/>
        <v>0.7</v>
      </c>
      <c r="H375" s="105">
        <f t="shared" si="493"/>
        <v>0</v>
      </c>
      <c r="I375" s="106">
        <v>4.7E-2</v>
      </c>
      <c r="J375" s="107">
        <f t="shared" si="505"/>
        <v>46192</v>
      </c>
      <c r="K375" s="107">
        <f t="shared" si="495"/>
        <v>46192</v>
      </c>
      <c r="L375" s="108">
        <v>46184</v>
      </c>
      <c r="M375" s="108">
        <f t="shared" si="496"/>
        <v>46234</v>
      </c>
      <c r="N375" s="107">
        <f t="shared" si="497"/>
        <v>46234</v>
      </c>
      <c r="O375" s="108">
        <v>46213</v>
      </c>
      <c r="P375" s="108">
        <f t="shared" si="506"/>
        <v>46276</v>
      </c>
      <c r="Q375" s="107">
        <f t="shared" si="498"/>
        <v>46276</v>
      </c>
      <c r="R375" s="108"/>
      <c r="S375" s="107">
        <f t="shared" si="500"/>
        <v>46290</v>
      </c>
      <c r="T375" s="107">
        <f t="shared" si="499"/>
        <v>46290</v>
      </c>
      <c r="U375" s="108"/>
      <c r="W375" s="173" t="str">
        <f t="shared" ca="1" si="501"/>
        <v>Completed</v>
      </c>
      <c r="X375" s="173" t="str">
        <f t="shared" ca="1" si="502"/>
        <v>Completed</v>
      </c>
      <c r="Y375" s="173" t="str">
        <f t="shared" ca="1" si="503"/>
        <v>Follow-Next Week</v>
      </c>
      <c r="Z375" s="174" t="str">
        <f t="shared" ca="1" si="504"/>
        <v/>
      </c>
    </row>
    <row r="376" spans="1:26" s="70" customFormat="1" ht="11.5" x14ac:dyDescent="0.25">
      <c r="A376" s="180" t="s">
        <v>64</v>
      </c>
      <c r="B376" s="180" t="s">
        <v>14</v>
      </c>
      <c r="C376" s="180" t="s">
        <v>455</v>
      </c>
      <c r="D376" s="180" t="s">
        <v>1196</v>
      </c>
      <c r="E376" s="181"/>
      <c r="F376" s="181"/>
      <c r="G376" s="181">
        <f t="shared" si="492"/>
        <v>1</v>
      </c>
      <c r="H376" s="181"/>
      <c r="I376" s="180">
        <v>4.7E-2</v>
      </c>
      <c r="J376" s="183">
        <f t="shared" si="505"/>
        <v>46192</v>
      </c>
      <c r="K376" s="183">
        <f t="shared" si="495"/>
        <v>46192</v>
      </c>
      <c r="L376" s="184">
        <v>46184</v>
      </c>
      <c r="M376" s="184">
        <f t="shared" si="496"/>
        <v>46234</v>
      </c>
      <c r="N376" s="183">
        <f t="shared" si="497"/>
        <v>46234</v>
      </c>
      <c r="O376" s="184">
        <v>46213</v>
      </c>
      <c r="P376" s="184">
        <f t="shared" si="506"/>
        <v>46276</v>
      </c>
      <c r="Q376" s="183">
        <f t="shared" si="498"/>
        <v>46276</v>
      </c>
      <c r="R376" s="184">
        <v>46262</v>
      </c>
      <c r="S376" s="183">
        <f t="shared" si="500"/>
        <v>46290</v>
      </c>
      <c r="T376" s="183">
        <f t="shared" si="499"/>
        <v>46290</v>
      </c>
      <c r="U376" s="184">
        <v>46262</v>
      </c>
      <c r="W376" s="173" t="str">
        <f t="shared" ca="1" si="501"/>
        <v>Completed</v>
      </c>
      <c r="X376" s="173" t="str">
        <f t="shared" ca="1" si="502"/>
        <v>Completed</v>
      </c>
      <c r="Y376" s="173" t="str">
        <f t="shared" ca="1" si="503"/>
        <v>Completed</v>
      </c>
      <c r="Z376" s="174" t="str">
        <f t="shared" ca="1" si="504"/>
        <v>Completed</v>
      </c>
    </row>
    <row r="377" spans="1:26" s="70" customFormat="1" ht="11.5" x14ac:dyDescent="0.25">
      <c r="A377" s="102" t="s">
        <v>64</v>
      </c>
      <c r="B377" s="102" t="s">
        <v>14</v>
      </c>
      <c r="C377" s="102" t="s">
        <v>456</v>
      </c>
      <c r="D377" s="103" t="s">
        <v>457</v>
      </c>
      <c r="E377" s="105">
        <f t="shared" si="491"/>
        <v>0.7</v>
      </c>
      <c r="F377" s="105">
        <f t="shared" si="492"/>
        <v>0.7</v>
      </c>
      <c r="G377" s="105">
        <f t="shared" si="492"/>
        <v>0</v>
      </c>
      <c r="H377" s="105">
        <f t="shared" si="493"/>
        <v>-0.7</v>
      </c>
      <c r="I377" s="106">
        <v>4.7E-2</v>
      </c>
      <c r="J377" s="107">
        <f t="shared" si="505"/>
        <v>46192</v>
      </c>
      <c r="K377" s="107">
        <f t="shared" si="495"/>
        <v>46192</v>
      </c>
      <c r="L377" s="108"/>
      <c r="M377" s="108">
        <f t="shared" si="496"/>
        <v>46234</v>
      </c>
      <c r="N377" s="107">
        <f t="shared" si="497"/>
        <v>46234</v>
      </c>
      <c r="O377" s="108"/>
      <c r="P377" s="108">
        <f t="shared" si="506"/>
        <v>46276</v>
      </c>
      <c r="Q377" s="107">
        <f t="shared" si="498"/>
        <v>46276</v>
      </c>
      <c r="R377" s="108"/>
      <c r="S377" s="107">
        <f t="shared" si="500"/>
        <v>46290</v>
      </c>
      <c r="T377" s="107">
        <f t="shared" si="499"/>
        <v>46290</v>
      </c>
      <c r="U377" s="108"/>
      <c r="W377" s="173" t="str">
        <f t="shared" ca="1" si="501"/>
        <v>Overdue</v>
      </c>
      <c r="X377" s="173" t="str">
        <f t="shared" ca="1" si="502"/>
        <v>Overdue</v>
      </c>
      <c r="Y377" s="173" t="str">
        <f t="shared" ca="1" si="503"/>
        <v>Follow-Next Week</v>
      </c>
      <c r="Z377" s="174" t="str">
        <f t="shared" ca="1" si="504"/>
        <v/>
      </c>
    </row>
    <row r="378" spans="1:26" s="70" customFormat="1" ht="11.5" x14ac:dyDescent="0.25">
      <c r="A378" s="102" t="s">
        <v>64</v>
      </c>
      <c r="B378" s="102" t="s">
        <v>14</v>
      </c>
      <c r="C378" s="102" t="s">
        <v>458</v>
      </c>
      <c r="D378" s="103" t="s">
        <v>459</v>
      </c>
      <c r="E378" s="105">
        <f t="shared" si="491"/>
        <v>0.7</v>
      </c>
      <c r="F378" s="105">
        <f t="shared" si="492"/>
        <v>0.7</v>
      </c>
      <c r="G378" s="105">
        <f t="shared" si="492"/>
        <v>0</v>
      </c>
      <c r="H378" s="105">
        <f t="shared" si="493"/>
        <v>-0.7</v>
      </c>
      <c r="I378" s="106">
        <v>4.7E-2</v>
      </c>
      <c r="J378" s="107">
        <f t="shared" si="505"/>
        <v>46192</v>
      </c>
      <c r="K378" s="107">
        <f t="shared" si="495"/>
        <v>46192</v>
      </c>
      <c r="L378" s="108"/>
      <c r="M378" s="108">
        <f t="shared" si="496"/>
        <v>46234</v>
      </c>
      <c r="N378" s="107">
        <f t="shared" si="497"/>
        <v>46234</v>
      </c>
      <c r="O378" s="108"/>
      <c r="P378" s="108">
        <f t="shared" si="506"/>
        <v>46276</v>
      </c>
      <c r="Q378" s="107">
        <f t="shared" si="498"/>
        <v>46276</v>
      </c>
      <c r="R378" s="108"/>
      <c r="S378" s="107">
        <f t="shared" si="500"/>
        <v>46290</v>
      </c>
      <c r="T378" s="107">
        <f t="shared" si="499"/>
        <v>46290</v>
      </c>
      <c r="U378" s="108"/>
      <c r="W378" s="173" t="str">
        <f t="shared" ca="1" si="501"/>
        <v>Overdue</v>
      </c>
      <c r="X378" s="173" t="str">
        <f t="shared" ca="1" si="502"/>
        <v>Overdue</v>
      </c>
      <c r="Y378" s="173" t="str">
        <f t="shared" ca="1" si="503"/>
        <v>Follow-Next Week</v>
      </c>
      <c r="Z378" s="174" t="str">
        <f t="shared" ca="1" si="504"/>
        <v/>
      </c>
    </row>
    <row r="379" spans="1:26" s="70" customFormat="1" ht="11.5" x14ac:dyDescent="0.25">
      <c r="A379" s="102" t="s">
        <v>64</v>
      </c>
      <c r="B379" s="102" t="s">
        <v>14</v>
      </c>
      <c r="C379" s="102" t="s">
        <v>460</v>
      </c>
      <c r="D379" s="103" t="s">
        <v>461</v>
      </c>
      <c r="E379" s="105">
        <f t="shared" si="491"/>
        <v>0.7</v>
      </c>
      <c r="F379" s="105">
        <f t="shared" si="492"/>
        <v>0.7</v>
      </c>
      <c r="G379" s="105">
        <f t="shared" si="492"/>
        <v>0.5</v>
      </c>
      <c r="H379" s="105">
        <f t="shared" si="493"/>
        <v>-0.19999999999999996</v>
      </c>
      <c r="I379" s="106">
        <v>4.7E-2</v>
      </c>
      <c r="J379" s="107">
        <f t="shared" si="505"/>
        <v>46213</v>
      </c>
      <c r="K379" s="107">
        <f t="shared" si="495"/>
        <v>46213</v>
      </c>
      <c r="L379" s="107">
        <v>46142</v>
      </c>
      <c r="M379" s="108">
        <f t="shared" si="496"/>
        <v>46255</v>
      </c>
      <c r="N379" s="107">
        <f t="shared" si="497"/>
        <v>46255</v>
      </c>
      <c r="O379" s="108"/>
      <c r="P379" s="108">
        <f t="shared" si="506"/>
        <v>46297</v>
      </c>
      <c r="Q379" s="107">
        <f t="shared" si="498"/>
        <v>46297</v>
      </c>
      <c r="R379" s="108"/>
      <c r="S379" s="107">
        <f t="shared" si="500"/>
        <v>46311</v>
      </c>
      <c r="T379" s="107">
        <f t="shared" si="499"/>
        <v>46311</v>
      </c>
      <c r="U379" s="108"/>
      <c r="W379" s="173" t="str">
        <f t="shared" ca="1" si="501"/>
        <v>Completed</v>
      </c>
      <c r="X379" s="173" t="str">
        <f t="shared" ca="1" si="502"/>
        <v>Overdue</v>
      </c>
      <c r="Y379" s="173" t="str">
        <f t="shared" ca="1" si="503"/>
        <v/>
      </c>
      <c r="Z379" s="174" t="str">
        <f t="shared" ca="1" si="504"/>
        <v/>
      </c>
    </row>
    <row r="380" spans="1:26" s="70" customFormat="1" ht="11.5" x14ac:dyDescent="0.25">
      <c r="A380" s="103" t="s">
        <v>64</v>
      </c>
      <c r="B380" s="103" t="s">
        <v>14</v>
      </c>
      <c r="C380" s="103" t="s">
        <v>1023</v>
      </c>
      <c r="D380" s="103" t="s">
        <v>462</v>
      </c>
      <c r="E380" s="104">
        <f t="shared" si="491"/>
        <v>0.7</v>
      </c>
      <c r="F380" s="104">
        <f t="shared" si="492"/>
        <v>0.7</v>
      </c>
      <c r="G380" s="104">
        <f t="shared" si="492"/>
        <v>0.5</v>
      </c>
      <c r="H380" s="104">
        <f t="shared" si="493"/>
        <v>-0.19999999999999996</v>
      </c>
      <c r="I380" s="110">
        <v>4.7E-2</v>
      </c>
      <c r="J380" s="107">
        <f t="shared" si="505"/>
        <v>46213</v>
      </c>
      <c r="K380" s="107">
        <f t="shared" si="495"/>
        <v>46213</v>
      </c>
      <c r="L380" s="107">
        <v>46142</v>
      </c>
      <c r="M380" s="108">
        <f t="shared" si="496"/>
        <v>46255</v>
      </c>
      <c r="N380" s="107">
        <f t="shared" si="497"/>
        <v>46255</v>
      </c>
      <c r="O380" s="108"/>
      <c r="P380" s="108">
        <f t="shared" si="506"/>
        <v>46297</v>
      </c>
      <c r="Q380" s="107">
        <f t="shared" si="498"/>
        <v>46297</v>
      </c>
      <c r="R380" s="108"/>
      <c r="S380" s="107">
        <f t="shared" si="500"/>
        <v>46311</v>
      </c>
      <c r="T380" s="107">
        <f t="shared" si="499"/>
        <v>46311</v>
      </c>
      <c r="U380" s="108"/>
      <c r="W380" s="173" t="str">
        <f t="shared" ca="1" si="501"/>
        <v>Completed</v>
      </c>
      <c r="X380" s="173" t="str">
        <f t="shared" ca="1" si="502"/>
        <v>Overdue</v>
      </c>
      <c r="Y380" s="173" t="str">
        <f t="shared" ca="1" si="503"/>
        <v/>
      </c>
      <c r="Z380" s="174" t="str">
        <f t="shared" ca="1" si="504"/>
        <v/>
      </c>
    </row>
    <row r="381" spans="1:26" s="70" customFormat="1" ht="11.5" x14ac:dyDescent="0.25">
      <c r="A381" s="103" t="s">
        <v>64</v>
      </c>
      <c r="B381" s="103" t="s">
        <v>14</v>
      </c>
      <c r="C381" s="103" t="s">
        <v>1024</v>
      </c>
      <c r="D381" s="103" t="s">
        <v>463</v>
      </c>
      <c r="E381" s="104">
        <f t="shared" si="491"/>
        <v>0.7</v>
      </c>
      <c r="F381" s="104">
        <f t="shared" si="492"/>
        <v>0.7</v>
      </c>
      <c r="G381" s="104">
        <f t="shared" si="492"/>
        <v>0.5</v>
      </c>
      <c r="H381" s="104">
        <f t="shared" si="493"/>
        <v>-0.19999999999999996</v>
      </c>
      <c r="I381" s="110">
        <v>4.7E-2</v>
      </c>
      <c r="J381" s="107">
        <f t="shared" si="505"/>
        <v>46213</v>
      </c>
      <c r="K381" s="107">
        <f t="shared" si="495"/>
        <v>46213</v>
      </c>
      <c r="L381" s="107">
        <v>46142</v>
      </c>
      <c r="M381" s="108">
        <f t="shared" si="496"/>
        <v>46255</v>
      </c>
      <c r="N381" s="107">
        <f t="shared" si="497"/>
        <v>46255</v>
      </c>
      <c r="O381" s="108"/>
      <c r="P381" s="108">
        <f t="shared" si="506"/>
        <v>46297</v>
      </c>
      <c r="Q381" s="107">
        <f t="shared" si="498"/>
        <v>46297</v>
      </c>
      <c r="R381" s="108"/>
      <c r="S381" s="107">
        <f t="shared" si="500"/>
        <v>46311</v>
      </c>
      <c r="T381" s="107">
        <f t="shared" si="499"/>
        <v>46311</v>
      </c>
      <c r="U381" s="108"/>
      <c r="W381" s="173" t="str">
        <f t="shared" ca="1" si="501"/>
        <v>Completed</v>
      </c>
      <c r="X381" s="173" t="str">
        <f t="shared" ca="1" si="502"/>
        <v>Overdue</v>
      </c>
      <c r="Y381" s="173" t="str">
        <f t="shared" ca="1" si="503"/>
        <v/>
      </c>
      <c r="Z381" s="174" t="str">
        <f t="shared" ca="1" si="504"/>
        <v/>
      </c>
    </row>
    <row r="382" spans="1:26" s="70" customFormat="1" ht="11.5" x14ac:dyDescent="0.25">
      <c r="A382" s="103" t="s">
        <v>64</v>
      </c>
      <c r="B382" s="103" t="s">
        <v>14</v>
      </c>
      <c r="C382" s="103" t="s">
        <v>1025</v>
      </c>
      <c r="D382" s="103" t="s">
        <v>464</v>
      </c>
      <c r="E382" s="104">
        <f t="shared" ref="E382" si="507">(COUNTIFS(J382,"&lt;="&amp;$C$1)*50%)+(COUNTIFS(M382,"&lt;="&amp;$C$1)*20%)+(COUNTIFS(P382,"&lt;="&amp;$C$1)*10%)+(COUNTIFS(S382,"&lt;="&amp;$C$1)*20%)</f>
        <v>0.7</v>
      </c>
      <c r="F382" s="104">
        <f t="shared" ref="F382" si="508">(COUNTIFS(K382,"&lt;="&amp;$C$1)*50%)+(COUNTIFS(N382,"&lt;="&amp;$C$1)*20%)+(COUNTIFS(Q382,"&lt;="&amp;$C$1)*10%)+(COUNTIFS(T382,"&lt;="&amp;$C$1)*20%)</f>
        <v>0.7</v>
      </c>
      <c r="G382" s="104">
        <f t="shared" ref="G382" si="509">(COUNTIFS(L382,"&lt;="&amp;$C$1)*50%)+(COUNTIFS(O382,"&lt;="&amp;$C$1)*20%)+(COUNTIFS(R382,"&lt;="&amp;$C$1)*10%)+(COUNTIFS(U382,"&lt;="&amp;$C$1)*20%)</f>
        <v>0.5</v>
      </c>
      <c r="H382" s="104">
        <f t="shared" ref="H382" si="510">G382-E382</f>
        <v>-0.19999999999999996</v>
      </c>
      <c r="I382" s="110">
        <v>4.7E-2</v>
      </c>
      <c r="J382" s="107">
        <f t="shared" si="505"/>
        <v>46213</v>
      </c>
      <c r="K382" s="107">
        <f t="shared" si="495"/>
        <v>46213</v>
      </c>
      <c r="L382" s="107">
        <v>46142</v>
      </c>
      <c r="M382" s="108">
        <f t="shared" si="496"/>
        <v>46255</v>
      </c>
      <c r="N382" s="107">
        <f t="shared" si="497"/>
        <v>46255</v>
      </c>
      <c r="O382" s="108"/>
      <c r="P382" s="108">
        <f t="shared" si="506"/>
        <v>46297</v>
      </c>
      <c r="Q382" s="107">
        <f t="shared" si="498"/>
        <v>46297</v>
      </c>
      <c r="R382" s="108"/>
      <c r="S382" s="107">
        <f t="shared" si="500"/>
        <v>46311</v>
      </c>
      <c r="T382" s="107">
        <f t="shared" si="499"/>
        <v>46311</v>
      </c>
      <c r="U382" s="108"/>
      <c r="W382" s="173" t="str">
        <f t="shared" ca="1" si="501"/>
        <v>Completed</v>
      </c>
      <c r="X382" s="173" t="str">
        <f t="shared" ca="1" si="502"/>
        <v>Overdue</v>
      </c>
      <c r="Y382" s="173" t="str">
        <f t="shared" ca="1" si="503"/>
        <v/>
      </c>
      <c r="Z382" s="174" t="str">
        <f t="shared" ca="1" si="504"/>
        <v/>
      </c>
    </row>
    <row r="383" spans="1:26" s="70" customFormat="1" ht="11.5" x14ac:dyDescent="0.25">
      <c r="A383" s="103" t="s">
        <v>64</v>
      </c>
      <c r="B383" s="103" t="s">
        <v>14</v>
      </c>
      <c r="C383" s="103" t="s">
        <v>1026</v>
      </c>
      <c r="D383" s="103" t="s">
        <v>465</v>
      </c>
      <c r="E383" s="104">
        <f t="shared" si="491"/>
        <v>0.7</v>
      </c>
      <c r="F383" s="104">
        <f t="shared" si="492"/>
        <v>0.7</v>
      </c>
      <c r="G383" s="104">
        <f t="shared" si="492"/>
        <v>0.5</v>
      </c>
      <c r="H383" s="104">
        <f t="shared" si="493"/>
        <v>-0.19999999999999996</v>
      </c>
      <c r="I383" s="110">
        <v>4.7E-2</v>
      </c>
      <c r="J383" s="107">
        <f t="shared" si="505"/>
        <v>46213</v>
      </c>
      <c r="K383" s="107">
        <f t="shared" si="495"/>
        <v>46213</v>
      </c>
      <c r="L383" s="107">
        <v>46142</v>
      </c>
      <c r="M383" s="108">
        <f t="shared" si="496"/>
        <v>46255</v>
      </c>
      <c r="N383" s="107">
        <f t="shared" si="497"/>
        <v>46255</v>
      </c>
      <c r="O383" s="108"/>
      <c r="P383" s="108">
        <f t="shared" si="506"/>
        <v>46297</v>
      </c>
      <c r="Q383" s="107">
        <f t="shared" si="498"/>
        <v>46297</v>
      </c>
      <c r="R383" s="108"/>
      <c r="S383" s="107">
        <f t="shared" si="500"/>
        <v>46311</v>
      </c>
      <c r="T383" s="107">
        <f t="shared" si="499"/>
        <v>46311</v>
      </c>
      <c r="U383" s="108"/>
      <c r="W383" s="173" t="str">
        <f t="shared" ca="1" si="501"/>
        <v>Completed</v>
      </c>
      <c r="X383" s="173" t="str">
        <f t="shared" ca="1" si="502"/>
        <v>Overdue</v>
      </c>
      <c r="Y383" s="173" t="str">
        <f t="shared" ca="1" si="503"/>
        <v/>
      </c>
      <c r="Z383" s="174" t="str">
        <f t="shared" ca="1" si="504"/>
        <v/>
      </c>
    </row>
    <row r="384" spans="1:26" s="70" customFormat="1" ht="11.5" x14ac:dyDescent="0.25">
      <c r="A384" s="103" t="s">
        <v>64</v>
      </c>
      <c r="B384" s="103" t="s">
        <v>14</v>
      </c>
      <c r="C384" s="103" t="s">
        <v>1027</v>
      </c>
      <c r="D384" s="103" t="s">
        <v>466</v>
      </c>
      <c r="E384" s="104">
        <f t="shared" ref="E384:E451" si="511">(COUNTIFS(J384,"&lt;="&amp;$C$1)*50%)+(COUNTIFS(M384,"&lt;="&amp;$C$1)*20%)+(COUNTIFS(P384,"&lt;="&amp;$C$1)*10%)+(COUNTIFS(S384,"&lt;="&amp;$C$1)*20%)</f>
        <v>0.7</v>
      </c>
      <c r="F384" s="104">
        <f t="shared" ref="F384:G451" si="512">(COUNTIFS(K384,"&lt;="&amp;$C$1)*50%)+(COUNTIFS(N384,"&lt;="&amp;$C$1)*20%)+(COUNTIFS(Q384,"&lt;="&amp;$C$1)*10%)+(COUNTIFS(T384,"&lt;="&amp;$C$1)*20%)</f>
        <v>0.7</v>
      </c>
      <c r="G384" s="104">
        <f t="shared" si="512"/>
        <v>0.5</v>
      </c>
      <c r="H384" s="104">
        <f t="shared" ref="H384:H451" si="513">G384-E384</f>
        <v>-0.19999999999999996</v>
      </c>
      <c r="I384" s="110">
        <v>4.7E-2</v>
      </c>
      <c r="J384" s="107">
        <f t="shared" si="505"/>
        <v>46213</v>
      </c>
      <c r="K384" s="107">
        <f t="shared" si="495"/>
        <v>46213</v>
      </c>
      <c r="L384" s="107">
        <v>46142</v>
      </c>
      <c r="M384" s="108">
        <f t="shared" si="496"/>
        <v>46255</v>
      </c>
      <c r="N384" s="107">
        <f t="shared" si="497"/>
        <v>46255</v>
      </c>
      <c r="O384" s="108"/>
      <c r="P384" s="108">
        <f t="shared" si="506"/>
        <v>46297</v>
      </c>
      <c r="Q384" s="107">
        <f t="shared" si="498"/>
        <v>46297</v>
      </c>
      <c r="R384" s="108"/>
      <c r="S384" s="107">
        <f t="shared" si="500"/>
        <v>46311</v>
      </c>
      <c r="T384" s="107">
        <f t="shared" si="499"/>
        <v>46311</v>
      </c>
      <c r="U384" s="108"/>
      <c r="W384" s="173" t="str">
        <f t="shared" ca="1" si="501"/>
        <v>Completed</v>
      </c>
      <c r="X384" s="173" t="str">
        <f t="shared" ca="1" si="502"/>
        <v>Overdue</v>
      </c>
      <c r="Y384" s="173" t="str">
        <f t="shared" ca="1" si="503"/>
        <v/>
      </c>
      <c r="Z384" s="174" t="str">
        <f t="shared" ca="1" si="504"/>
        <v/>
      </c>
    </row>
    <row r="385" spans="1:26" s="70" customFormat="1" ht="11.5" x14ac:dyDescent="0.25">
      <c r="A385" s="103" t="s">
        <v>64</v>
      </c>
      <c r="B385" s="103" t="s">
        <v>14</v>
      </c>
      <c r="C385" s="103" t="s">
        <v>1028</v>
      </c>
      <c r="D385" s="103" t="s">
        <v>467</v>
      </c>
      <c r="E385" s="104">
        <f t="shared" si="511"/>
        <v>0.7</v>
      </c>
      <c r="F385" s="104">
        <f t="shared" si="512"/>
        <v>0.7</v>
      </c>
      <c r="G385" s="104">
        <f t="shared" si="512"/>
        <v>0.5</v>
      </c>
      <c r="H385" s="104">
        <f t="shared" si="513"/>
        <v>-0.19999999999999996</v>
      </c>
      <c r="I385" s="110">
        <v>4.7E-2</v>
      </c>
      <c r="J385" s="107">
        <f t="shared" si="505"/>
        <v>46213</v>
      </c>
      <c r="K385" s="107">
        <f t="shared" si="495"/>
        <v>46213</v>
      </c>
      <c r="L385" s="107">
        <v>46142</v>
      </c>
      <c r="M385" s="108">
        <f t="shared" si="496"/>
        <v>46255</v>
      </c>
      <c r="N385" s="107">
        <f t="shared" si="497"/>
        <v>46255</v>
      </c>
      <c r="O385" s="108"/>
      <c r="P385" s="108">
        <f t="shared" si="506"/>
        <v>46297</v>
      </c>
      <c r="Q385" s="107">
        <f t="shared" si="498"/>
        <v>46297</v>
      </c>
      <c r="R385" s="108"/>
      <c r="S385" s="107">
        <f t="shared" si="500"/>
        <v>46311</v>
      </c>
      <c r="T385" s="107">
        <f t="shared" si="499"/>
        <v>46311</v>
      </c>
      <c r="U385" s="108"/>
      <c r="W385" s="173" t="str">
        <f t="shared" ca="1" si="501"/>
        <v>Completed</v>
      </c>
      <c r="X385" s="173" t="str">
        <f t="shared" ca="1" si="502"/>
        <v>Overdue</v>
      </c>
      <c r="Y385" s="173" t="str">
        <f t="shared" ca="1" si="503"/>
        <v/>
      </c>
      <c r="Z385" s="174" t="str">
        <f t="shared" ca="1" si="504"/>
        <v/>
      </c>
    </row>
    <row r="386" spans="1:26" s="70" customFormat="1" ht="11.5" x14ac:dyDescent="0.25">
      <c r="A386" s="103" t="s">
        <v>64</v>
      </c>
      <c r="B386" s="103" t="s">
        <v>14</v>
      </c>
      <c r="C386" s="103" t="s">
        <v>1029</v>
      </c>
      <c r="D386" s="103" t="s">
        <v>468</v>
      </c>
      <c r="E386" s="104">
        <f t="shared" si="511"/>
        <v>0.7</v>
      </c>
      <c r="F386" s="104">
        <f t="shared" si="512"/>
        <v>0.7</v>
      </c>
      <c r="G386" s="104">
        <f t="shared" si="512"/>
        <v>0.5</v>
      </c>
      <c r="H386" s="104">
        <f t="shared" si="513"/>
        <v>-0.19999999999999996</v>
      </c>
      <c r="I386" s="110">
        <v>4.7E-2</v>
      </c>
      <c r="J386" s="107">
        <f t="shared" ref="J386:J401" si="514">J263+28</f>
        <v>46213</v>
      </c>
      <c r="K386" s="107">
        <f t="shared" si="495"/>
        <v>46213</v>
      </c>
      <c r="L386" s="107">
        <v>46142</v>
      </c>
      <c r="M386" s="108">
        <f t="shared" si="496"/>
        <v>46255</v>
      </c>
      <c r="N386" s="107">
        <f t="shared" si="497"/>
        <v>46255</v>
      </c>
      <c r="O386" s="108"/>
      <c r="P386" s="108">
        <f t="shared" si="506"/>
        <v>46297</v>
      </c>
      <c r="Q386" s="107">
        <f t="shared" si="498"/>
        <v>46297</v>
      </c>
      <c r="R386" s="108"/>
      <c r="S386" s="107">
        <f t="shared" si="500"/>
        <v>46311</v>
      </c>
      <c r="T386" s="107">
        <f t="shared" si="499"/>
        <v>46311</v>
      </c>
      <c r="U386" s="108"/>
      <c r="W386" s="173" t="str">
        <f t="shared" ca="1" si="501"/>
        <v>Completed</v>
      </c>
      <c r="X386" s="173" t="str">
        <f t="shared" ca="1" si="502"/>
        <v>Overdue</v>
      </c>
      <c r="Y386" s="173" t="str">
        <f t="shared" ca="1" si="503"/>
        <v/>
      </c>
      <c r="Z386" s="174" t="str">
        <f t="shared" ca="1" si="504"/>
        <v/>
      </c>
    </row>
    <row r="387" spans="1:26" s="70" customFormat="1" ht="11.5" x14ac:dyDescent="0.25">
      <c r="A387" s="103" t="s">
        <v>64</v>
      </c>
      <c r="B387" s="103" t="s">
        <v>14</v>
      </c>
      <c r="C387" s="103" t="s">
        <v>1030</v>
      </c>
      <c r="D387" s="103" t="s">
        <v>469</v>
      </c>
      <c r="E387" s="104">
        <f t="shared" si="511"/>
        <v>0.7</v>
      </c>
      <c r="F387" s="104">
        <f t="shared" si="512"/>
        <v>0.7</v>
      </c>
      <c r="G387" s="104">
        <f t="shared" si="512"/>
        <v>0.5</v>
      </c>
      <c r="H387" s="104">
        <f t="shared" si="513"/>
        <v>-0.19999999999999996</v>
      </c>
      <c r="I387" s="110">
        <v>4.7E-2</v>
      </c>
      <c r="J387" s="107">
        <f t="shared" si="514"/>
        <v>46213</v>
      </c>
      <c r="K387" s="107">
        <f t="shared" si="495"/>
        <v>46213</v>
      </c>
      <c r="L387" s="107">
        <v>46142</v>
      </c>
      <c r="M387" s="108">
        <f t="shared" si="496"/>
        <v>46255</v>
      </c>
      <c r="N387" s="107">
        <f t="shared" si="497"/>
        <v>46255</v>
      </c>
      <c r="O387" s="108"/>
      <c r="P387" s="108">
        <f t="shared" si="506"/>
        <v>46297</v>
      </c>
      <c r="Q387" s="107">
        <f t="shared" si="498"/>
        <v>46297</v>
      </c>
      <c r="R387" s="108"/>
      <c r="S387" s="107">
        <f t="shared" si="500"/>
        <v>46311</v>
      </c>
      <c r="T387" s="107">
        <f t="shared" si="499"/>
        <v>46311</v>
      </c>
      <c r="U387" s="108"/>
      <c r="W387" s="173" t="str">
        <f t="shared" ca="1" si="501"/>
        <v>Completed</v>
      </c>
      <c r="X387" s="173" t="str">
        <f t="shared" ca="1" si="502"/>
        <v>Overdue</v>
      </c>
      <c r="Y387" s="173" t="str">
        <f t="shared" ca="1" si="503"/>
        <v/>
      </c>
      <c r="Z387" s="174" t="str">
        <f t="shared" ca="1" si="504"/>
        <v/>
      </c>
    </row>
    <row r="388" spans="1:26" s="70" customFormat="1" ht="11.5" x14ac:dyDescent="0.25">
      <c r="A388" s="103" t="s">
        <v>64</v>
      </c>
      <c r="B388" s="103" t="s">
        <v>14</v>
      </c>
      <c r="C388" s="103" t="s">
        <v>1031</v>
      </c>
      <c r="D388" s="103" t="s">
        <v>470</v>
      </c>
      <c r="E388" s="104">
        <f t="shared" si="511"/>
        <v>0.7</v>
      </c>
      <c r="F388" s="104">
        <f t="shared" si="512"/>
        <v>0.7</v>
      </c>
      <c r="G388" s="104">
        <f t="shared" si="512"/>
        <v>0.5</v>
      </c>
      <c r="H388" s="104">
        <f t="shared" si="513"/>
        <v>-0.19999999999999996</v>
      </c>
      <c r="I388" s="110">
        <v>4.7E-2</v>
      </c>
      <c r="J388" s="107">
        <f t="shared" si="514"/>
        <v>46213</v>
      </c>
      <c r="K388" s="107">
        <f t="shared" si="495"/>
        <v>46213</v>
      </c>
      <c r="L388" s="107">
        <v>46142</v>
      </c>
      <c r="M388" s="108">
        <f t="shared" si="496"/>
        <v>46255</v>
      </c>
      <c r="N388" s="107">
        <f t="shared" si="497"/>
        <v>46255</v>
      </c>
      <c r="O388" s="108"/>
      <c r="P388" s="108">
        <f t="shared" si="506"/>
        <v>46297</v>
      </c>
      <c r="Q388" s="107">
        <f t="shared" si="498"/>
        <v>46297</v>
      </c>
      <c r="R388" s="108"/>
      <c r="S388" s="107">
        <f t="shared" si="500"/>
        <v>46311</v>
      </c>
      <c r="T388" s="107">
        <f t="shared" si="499"/>
        <v>46311</v>
      </c>
      <c r="U388" s="108"/>
      <c r="W388" s="173" t="str">
        <f t="shared" ca="1" si="501"/>
        <v>Completed</v>
      </c>
      <c r="X388" s="173" t="str">
        <f t="shared" ca="1" si="502"/>
        <v>Overdue</v>
      </c>
      <c r="Y388" s="173" t="str">
        <f t="shared" ca="1" si="503"/>
        <v/>
      </c>
      <c r="Z388" s="174" t="str">
        <f t="shared" ca="1" si="504"/>
        <v/>
      </c>
    </row>
    <row r="389" spans="1:26" s="70" customFormat="1" ht="11.5" x14ac:dyDescent="0.25">
      <c r="A389" s="103" t="s">
        <v>64</v>
      </c>
      <c r="B389" s="103" t="s">
        <v>14</v>
      </c>
      <c r="C389" s="103" t="s">
        <v>1032</v>
      </c>
      <c r="D389" s="103" t="s">
        <v>471</v>
      </c>
      <c r="E389" s="104">
        <f t="shared" si="511"/>
        <v>0.7</v>
      </c>
      <c r="F389" s="104">
        <f t="shared" si="512"/>
        <v>0.7</v>
      </c>
      <c r="G389" s="104">
        <f t="shared" si="512"/>
        <v>0.5</v>
      </c>
      <c r="H389" s="104">
        <f t="shared" si="513"/>
        <v>-0.19999999999999996</v>
      </c>
      <c r="I389" s="110">
        <v>4.7E-2</v>
      </c>
      <c r="J389" s="107">
        <f t="shared" si="514"/>
        <v>46213</v>
      </c>
      <c r="K389" s="107">
        <f t="shared" si="495"/>
        <v>46213</v>
      </c>
      <c r="L389" s="107">
        <v>46142</v>
      </c>
      <c r="M389" s="108">
        <f t="shared" si="496"/>
        <v>46255</v>
      </c>
      <c r="N389" s="107">
        <f t="shared" si="497"/>
        <v>46255</v>
      </c>
      <c r="O389" s="108"/>
      <c r="P389" s="108">
        <f t="shared" si="506"/>
        <v>46297</v>
      </c>
      <c r="Q389" s="107">
        <f t="shared" si="498"/>
        <v>46297</v>
      </c>
      <c r="R389" s="108"/>
      <c r="S389" s="107">
        <f t="shared" si="500"/>
        <v>46311</v>
      </c>
      <c r="T389" s="107">
        <f t="shared" si="499"/>
        <v>46311</v>
      </c>
      <c r="U389" s="108"/>
      <c r="W389" s="173" t="str">
        <f t="shared" ca="1" si="501"/>
        <v>Completed</v>
      </c>
      <c r="X389" s="173" t="str">
        <f t="shared" ca="1" si="502"/>
        <v>Overdue</v>
      </c>
      <c r="Y389" s="173" t="str">
        <f t="shared" ca="1" si="503"/>
        <v/>
      </c>
      <c r="Z389" s="174" t="str">
        <f t="shared" ca="1" si="504"/>
        <v/>
      </c>
    </row>
    <row r="390" spans="1:26" s="70" customFormat="1" ht="11.5" x14ac:dyDescent="0.25">
      <c r="A390" s="103" t="s">
        <v>64</v>
      </c>
      <c r="B390" s="103" t="s">
        <v>14</v>
      </c>
      <c r="C390" s="103" t="s">
        <v>1033</v>
      </c>
      <c r="D390" s="103" t="s">
        <v>472</v>
      </c>
      <c r="E390" s="104">
        <f t="shared" si="511"/>
        <v>0.7</v>
      </c>
      <c r="F390" s="104">
        <f t="shared" si="512"/>
        <v>0.7</v>
      </c>
      <c r="G390" s="104">
        <f t="shared" si="512"/>
        <v>0.5</v>
      </c>
      <c r="H390" s="104">
        <f t="shared" si="513"/>
        <v>-0.19999999999999996</v>
      </c>
      <c r="I390" s="110">
        <v>4.7E-2</v>
      </c>
      <c r="J390" s="107">
        <f t="shared" si="514"/>
        <v>46213</v>
      </c>
      <c r="K390" s="107">
        <f t="shared" si="495"/>
        <v>46213</v>
      </c>
      <c r="L390" s="107">
        <v>46142</v>
      </c>
      <c r="M390" s="108">
        <f t="shared" si="496"/>
        <v>46255</v>
      </c>
      <c r="N390" s="107">
        <f t="shared" si="497"/>
        <v>46255</v>
      </c>
      <c r="O390" s="108"/>
      <c r="P390" s="108">
        <f t="shared" si="506"/>
        <v>46297</v>
      </c>
      <c r="Q390" s="107">
        <f t="shared" si="498"/>
        <v>46297</v>
      </c>
      <c r="R390" s="108"/>
      <c r="S390" s="107">
        <f t="shared" si="500"/>
        <v>46311</v>
      </c>
      <c r="T390" s="107">
        <f t="shared" si="499"/>
        <v>46311</v>
      </c>
      <c r="U390" s="108"/>
      <c r="W390" s="173" t="str">
        <f t="shared" ca="1" si="501"/>
        <v>Completed</v>
      </c>
      <c r="X390" s="173" t="str">
        <f t="shared" ca="1" si="502"/>
        <v>Overdue</v>
      </c>
      <c r="Y390" s="173" t="str">
        <f t="shared" ca="1" si="503"/>
        <v/>
      </c>
      <c r="Z390" s="174" t="str">
        <f t="shared" ca="1" si="504"/>
        <v/>
      </c>
    </row>
    <row r="391" spans="1:26" s="70" customFormat="1" ht="11.5" x14ac:dyDescent="0.25">
      <c r="A391" s="103" t="s">
        <v>64</v>
      </c>
      <c r="B391" s="103" t="s">
        <v>14</v>
      </c>
      <c r="C391" s="103" t="s">
        <v>1034</v>
      </c>
      <c r="D391" s="103" t="s">
        <v>473</v>
      </c>
      <c r="E391" s="104">
        <f t="shared" si="511"/>
        <v>0.7</v>
      </c>
      <c r="F391" s="104">
        <f t="shared" si="512"/>
        <v>0.7</v>
      </c>
      <c r="G391" s="104">
        <f t="shared" si="512"/>
        <v>0.5</v>
      </c>
      <c r="H391" s="104">
        <f t="shared" si="513"/>
        <v>-0.19999999999999996</v>
      </c>
      <c r="I391" s="110">
        <v>4.7E-2</v>
      </c>
      <c r="J391" s="107">
        <f t="shared" si="514"/>
        <v>46213</v>
      </c>
      <c r="K391" s="107">
        <f t="shared" si="495"/>
        <v>46213</v>
      </c>
      <c r="L391" s="107">
        <v>46142</v>
      </c>
      <c r="M391" s="108">
        <f t="shared" si="496"/>
        <v>46255</v>
      </c>
      <c r="N391" s="107">
        <f t="shared" si="497"/>
        <v>46255</v>
      </c>
      <c r="O391" s="108"/>
      <c r="P391" s="108">
        <f t="shared" si="506"/>
        <v>46297</v>
      </c>
      <c r="Q391" s="107">
        <f t="shared" si="498"/>
        <v>46297</v>
      </c>
      <c r="R391" s="108"/>
      <c r="S391" s="107">
        <f t="shared" si="500"/>
        <v>46311</v>
      </c>
      <c r="T391" s="107">
        <f t="shared" si="499"/>
        <v>46311</v>
      </c>
      <c r="U391" s="108"/>
      <c r="W391" s="173" t="str">
        <f t="shared" ca="1" si="501"/>
        <v>Completed</v>
      </c>
      <c r="X391" s="173" t="str">
        <f t="shared" ca="1" si="502"/>
        <v>Overdue</v>
      </c>
      <c r="Y391" s="173" t="str">
        <f t="shared" ca="1" si="503"/>
        <v/>
      </c>
      <c r="Z391" s="174" t="str">
        <f t="shared" ca="1" si="504"/>
        <v/>
      </c>
    </row>
    <row r="392" spans="1:26" s="70" customFormat="1" ht="11.5" x14ac:dyDescent="0.25">
      <c r="A392" s="103" t="s">
        <v>64</v>
      </c>
      <c r="B392" s="103" t="s">
        <v>14</v>
      </c>
      <c r="C392" s="103" t="s">
        <v>1035</v>
      </c>
      <c r="D392" s="103" t="s">
        <v>474</v>
      </c>
      <c r="E392" s="104">
        <f t="shared" si="511"/>
        <v>0.7</v>
      </c>
      <c r="F392" s="104">
        <f t="shared" si="512"/>
        <v>0.7</v>
      </c>
      <c r="G392" s="104">
        <f t="shared" si="512"/>
        <v>0.5</v>
      </c>
      <c r="H392" s="104">
        <f t="shared" si="513"/>
        <v>-0.19999999999999996</v>
      </c>
      <c r="I392" s="110">
        <v>4.7E-2</v>
      </c>
      <c r="J392" s="107">
        <f t="shared" si="514"/>
        <v>46213</v>
      </c>
      <c r="K392" s="107">
        <f t="shared" si="495"/>
        <v>46213</v>
      </c>
      <c r="L392" s="107">
        <v>46142</v>
      </c>
      <c r="M392" s="108">
        <f t="shared" si="496"/>
        <v>46255</v>
      </c>
      <c r="N392" s="107">
        <f t="shared" si="497"/>
        <v>46255</v>
      </c>
      <c r="O392" s="108"/>
      <c r="P392" s="108">
        <f t="shared" si="506"/>
        <v>46297</v>
      </c>
      <c r="Q392" s="107">
        <f t="shared" si="498"/>
        <v>46297</v>
      </c>
      <c r="R392" s="108"/>
      <c r="S392" s="107">
        <f t="shared" si="500"/>
        <v>46311</v>
      </c>
      <c r="T392" s="107">
        <f t="shared" si="499"/>
        <v>46311</v>
      </c>
      <c r="U392" s="108"/>
      <c r="W392" s="173" t="str">
        <f t="shared" ca="1" si="501"/>
        <v>Completed</v>
      </c>
      <c r="X392" s="173" t="str">
        <f t="shared" ca="1" si="502"/>
        <v>Overdue</v>
      </c>
      <c r="Y392" s="173" t="str">
        <f t="shared" ca="1" si="503"/>
        <v/>
      </c>
      <c r="Z392" s="174" t="str">
        <f t="shared" ca="1" si="504"/>
        <v/>
      </c>
    </row>
    <row r="393" spans="1:26" s="70" customFormat="1" ht="11.5" x14ac:dyDescent="0.25">
      <c r="A393" s="103" t="s">
        <v>64</v>
      </c>
      <c r="B393" s="103" t="s">
        <v>14</v>
      </c>
      <c r="C393" s="103" t="s">
        <v>1036</v>
      </c>
      <c r="D393" s="103" t="s">
        <v>475</v>
      </c>
      <c r="E393" s="104">
        <f t="shared" si="511"/>
        <v>0.7</v>
      </c>
      <c r="F393" s="104">
        <f t="shared" si="512"/>
        <v>0.7</v>
      </c>
      <c r="G393" s="104">
        <f t="shared" si="512"/>
        <v>0.5</v>
      </c>
      <c r="H393" s="104">
        <f t="shared" si="513"/>
        <v>-0.19999999999999996</v>
      </c>
      <c r="I393" s="110">
        <v>4.7E-2</v>
      </c>
      <c r="J393" s="107">
        <f t="shared" si="514"/>
        <v>46213</v>
      </c>
      <c r="K393" s="108">
        <f t="shared" si="495"/>
        <v>46213</v>
      </c>
      <c r="L393" s="107">
        <v>46142</v>
      </c>
      <c r="M393" s="108">
        <f t="shared" si="496"/>
        <v>46255</v>
      </c>
      <c r="N393" s="108">
        <f t="shared" si="497"/>
        <v>46255</v>
      </c>
      <c r="O393" s="108"/>
      <c r="P393" s="108">
        <f t="shared" si="506"/>
        <v>46297</v>
      </c>
      <c r="Q393" s="108">
        <f t="shared" si="498"/>
        <v>46297</v>
      </c>
      <c r="R393" s="108"/>
      <c r="S393" s="107">
        <f t="shared" si="500"/>
        <v>46311</v>
      </c>
      <c r="T393" s="108">
        <f t="shared" si="499"/>
        <v>46311</v>
      </c>
      <c r="U393" s="108"/>
      <c r="W393" s="173" t="str">
        <f t="shared" ca="1" si="501"/>
        <v>Completed</v>
      </c>
      <c r="X393" s="173" t="str">
        <f t="shared" ca="1" si="502"/>
        <v>Overdue</v>
      </c>
      <c r="Y393" s="173" t="str">
        <f t="shared" ca="1" si="503"/>
        <v/>
      </c>
      <c r="Z393" s="174" t="str">
        <f t="shared" ca="1" si="504"/>
        <v/>
      </c>
    </row>
    <row r="394" spans="1:26" s="70" customFormat="1" ht="11.5" x14ac:dyDescent="0.25">
      <c r="A394" s="103" t="s">
        <v>64</v>
      </c>
      <c r="B394" s="103" t="s">
        <v>14</v>
      </c>
      <c r="C394" s="103" t="s">
        <v>1037</v>
      </c>
      <c r="D394" s="103" t="s">
        <v>476</v>
      </c>
      <c r="E394" s="104">
        <f t="shared" si="511"/>
        <v>0.7</v>
      </c>
      <c r="F394" s="104">
        <f t="shared" si="512"/>
        <v>0.7</v>
      </c>
      <c r="G394" s="104">
        <f t="shared" si="512"/>
        <v>0.5</v>
      </c>
      <c r="H394" s="104">
        <f t="shared" si="513"/>
        <v>-0.19999999999999996</v>
      </c>
      <c r="I394" s="110">
        <v>4.7E-2</v>
      </c>
      <c r="J394" s="107">
        <f t="shared" si="514"/>
        <v>46213</v>
      </c>
      <c r="K394" s="108">
        <f t="shared" si="495"/>
        <v>46213</v>
      </c>
      <c r="L394" s="107">
        <v>46142</v>
      </c>
      <c r="M394" s="108">
        <f t="shared" si="496"/>
        <v>46255</v>
      </c>
      <c r="N394" s="108">
        <f t="shared" si="497"/>
        <v>46255</v>
      </c>
      <c r="O394" s="108"/>
      <c r="P394" s="108">
        <f t="shared" si="506"/>
        <v>46297</v>
      </c>
      <c r="Q394" s="108">
        <f t="shared" si="498"/>
        <v>46297</v>
      </c>
      <c r="R394" s="108"/>
      <c r="S394" s="107">
        <f t="shared" si="500"/>
        <v>46311</v>
      </c>
      <c r="T394" s="108">
        <f t="shared" si="499"/>
        <v>46311</v>
      </c>
      <c r="U394" s="108"/>
      <c r="W394" s="173" t="str">
        <f t="shared" ca="1" si="501"/>
        <v>Completed</v>
      </c>
      <c r="X394" s="173" t="str">
        <f t="shared" ca="1" si="502"/>
        <v>Overdue</v>
      </c>
      <c r="Y394" s="173" t="str">
        <f t="shared" ca="1" si="503"/>
        <v/>
      </c>
      <c r="Z394" s="174" t="str">
        <f t="shared" ca="1" si="504"/>
        <v/>
      </c>
    </row>
    <row r="395" spans="1:26" s="70" customFormat="1" ht="11.5" x14ac:dyDescent="0.25">
      <c r="A395" s="103" t="s">
        <v>64</v>
      </c>
      <c r="B395" s="103" t="s">
        <v>14</v>
      </c>
      <c r="C395" s="103" t="s">
        <v>1038</v>
      </c>
      <c r="D395" s="103" t="s">
        <v>477</v>
      </c>
      <c r="E395" s="104">
        <f t="shared" ref="E395:E397" si="515">(COUNTIFS(J395,"&lt;="&amp;$C$1)*50%)+(COUNTIFS(M395,"&lt;="&amp;$C$1)*20%)+(COUNTIFS(P395,"&lt;="&amp;$C$1)*10%)+(COUNTIFS(S395,"&lt;="&amp;$C$1)*20%)</f>
        <v>0.7</v>
      </c>
      <c r="F395" s="104">
        <f t="shared" ref="F395:F397" si="516">(COUNTIFS(K395,"&lt;="&amp;$C$1)*50%)+(COUNTIFS(N395,"&lt;="&amp;$C$1)*20%)+(COUNTIFS(Q395,"&lt;="&amp;$C$1)*10%)+(COUNTIFS(T395,"&lt;="&amp;$C$1)*20%)</f>
        <v>0.7</v>
      </c>
      <c r="G395" s="104">
        <f t="shared" ref="G395:G397" si="517">(COUNTIFS(L395,"&lt;="&amp;$C$1)*50%)+(COUNTIFS(O395,"&lt;="&amp;$C$1)*20%)+(COUNTIFS(R395,"&lt;="&amp;$C$1)*10%)+(COUNTIFS(U395,"&lt;="&amp;$C$1)*20%)</f>
        <v>0.5</v>
      </c>
      <c r="H395" s="104">
        <f t="shared" ref="H395:H397" si="518">G395-E395</f>
        <v>-0.19999999999999996</v>
      </c>
      <c r="I395" s="110">
        <v>4.7E-2</v>
      </c>
      <c r="J395" s="107">
        <f t="shared" si="514"/>
        <v>46213</v>
      </c>
      <c r="K395" s="108">
        <f t="shared" si="495"/>
        <v>46213</v>
      </c>
      <c r="L395" s="107">
        <v>46142</v>
      </c>
      <c r="M395" s="108">
        <f t="shared" si="496"/>
        <v>46255</v>
      </c>
      <c r="N395" s="108">
        <f t="shared" si="497"/>
        <v>46255</v>
      </c>
      <c r="O395" s="108"/>
      <c r="P395" s="108">
        <f t="shared" si="506"/>
        <v>46297</v>
      </c>
      <c r="Q395" s="108">
        <f t="shared" si="498"/>
        <v>46297</v>
      </c>
      <c r="R395" s="108"/>
      <c r="S395" s="107">
        <f t="shared" si="500"/>
        <v>46311</v>
      </c>
      <c r="T395" s="108">
        <f t="shared" si="499"/>
        <v>46311</v>
      </c>
      <c r="U395" s="108"/>
      <c r="W395" s="173" t="str">
        <f t="shared" ca="1" si="501"/>
        <v>Completed</v>
      </c>
      <c r="X395" s="173" t="str">
        <f t="shared" ca="1" si="502"/>
        <v>Overdue</v>
      </c>
      <c r="Y395" s="173" t="str">
        <f t="shared" ca="1" si="503"/>
        <v/>
      </c>
      <c r="Z395" s="174" t="str">
        <f t="shared" ca="1" si="504"/>
        <v/>
      </c>
    </row>
    <row r="396" spans="1:26" s="70" customFormat="1" ht="11.5" x14ac:dyDescent="0.25">
      <c r="A396" s="103" t="s">
        <v>64</v>
      </c>
      <c r="B396" s="103" t="s">
        <v>14</v>
      </c>
      <c r="C396" s="103" t="s">
        <v>1039</v>
      </c>
      <c r="D396" s="151" t="s">
        <v>1150</v>
      </c>
      <c r="E396" s="104">
        <f t="shared" si="515"/>
        <v>0.7</v>
      </c>
      <c r="F396" s="104">
        <f t="shared" si="516"/>
        <v>0.7</v>
      </c>
      <c r="G396" s="104">
        <f t="shared" si="517"/>
        <v>0.5</v>
      </c>
      <c r="H396" s="104">
        <f t="shared" si="518"/>
        <v>-0.19999999999999996</v>
      </c>
      <c r="I396" s="110">
        <v>4.7E-2</v>
      </c>
      <c r="J396" s="107">
        <f t="shared" si="514"/>
        <v>46213</v>
      </c>
      <c r="K396" s="108">
        <f t="shared" si="495"/>
        <v>46213</v>
      </c>
      <c r="L396" s="107">
        <v>46142</v>
      </c>
      <c r="M396" s="108">
        <f t="shared" si="496"/>
        <v>46255</v>
      </c>
      <c r="N396" s="108">
        <f t="shared" si="497"/>
        <v>46255</v>
      </c>
      <c r="O396" s="108"/>
      <c r="P396" s="108">
        <f t="shared" si="506"/>
        <v>46297</v>
      </c>
      <c r="Q396" s="108">
        <f t="shared" si="498"/>
        <v>46297</v>
      </c>
      <c r="R396" s="108"/>
      <c r="S396" s="107">
        <f t="shared" si="500"/>
        <v>46311</v>
      </c>
      <c r="T396" s="108">
        <f t="shared" si="499"/>
        <v>46311</v>
      </c>
      <c r="U396" s="108"/>
      <c r="W396" s="173" t="str">
        <f t="shared" ca="1" si="501"/>
        <v>Completed</v>
      </c>
      <c r="X396" s="173" t="str">
        <f t="shared" ca="1" si="502"/>
        <v>Overdue</v>
      </c>
      <c r="Y396" s="173" t="str">
        <f t="shared" ca="1" si="503"/>
        <v/>
      </c>
      <c r="Z396" s="174" t="str">
        <f t="shared" ca="1" si="504"/>
        <v/>
      </c>
    </row>
    <row r="397" spans="1:26" s="70" customFormat="1" ht="11.5" x14ac:dyDescent="0.25">
      <c r="A397" s="103" t="s">
        <v>64</v>
      </c>
      <c r="B397" s="103" t="s">
        <v>14</v>
      </c>
      <c r="C397" s="103" t="s">
        <v>1040</v>
      </c>
      <c r="D397" s="103" t="s">
        <v>478</v>
      </c>
      <c r="E397" s="104">
        <f t="shared" si="515"/>
        <v>0.7</v>
      </c>
      <c r="F397" s="104">
        <f t="shared" si="516"/>
        <v>0.7</v>
      </c>
      <c r="G397" s="104">
        <f t="shared" si="517"/>
        <v>0.5</v>
      </c>
      <c r="H397" s="104">
        <f t="shared" si="518"/>
        <v>-0.19999999999999996</v>
      </c>
      <c r="I397" s="110">
        <v>4.7E-2</v>
      </c>
      <c r="J397" s="107">
        <f t="shared" si="514"/>
        <v>46213</v>
      </c>
      <c r="K397" s="108">
        <f t="shared" si="495"/>
        <v>46213</v>
      </c>
      <c r="L397" s="107">
        <v>46142</v>
      </c>
      <c r="M397" s="108">
        <f t="shared" si="496"/>
        <v>46255</v>
      </c>
      <c r="N397" s="108">
        <f t="shared" si="497"/>
        <v>46255</v>
      </c>
      <c r="O397" s="108"/>
      <c r="P397" s="108">
        <f t="shared" si="506"/>
        <v>46297</v>
      </c>
      <c r="Q397" s="108">
        <f t="shared" si="498"/>
        <v>46297</v>
      </c>
      <c r="R397" s="108"/>
      <c r="S397" s="107">
        <f t="shared" si="500"/>
        <v>46311</v>
      </c>
      <c r="T397" s="108">
        <f t="shared" si="499"/>
        <v>46311</v>
      </c>
      <c r="U397" s="108"/>
      <c r="W397" s="173" t="str">
        <f t="shared" ca="1" si="501"/>
        <v>Completed</v>
      </c>
      <c r="X397" s="173" t="str">
        <f t="shared" ca="1" si="502"/>
        <v>Overdue</v>
      </c>
      <c r="Y397" s="173" t="str">
        <f t="shared" ca="1" si="503"/>
        <v/>
      </c>
      <c r="Z397" s="174" t="str">
        <f t="shared" ca="1" si="504"/>
        <v/>
      </c>
    </row>
    <row r="398" spans="1:26" s="70" customFormat="1" ht="11.5" x14ac:dyDescent="0.25">
      <c r="A398" s="190" t="s">
        <v>64</v>
      </c>
      <c r="B398" s="190" t="s">
        <v>14</v>
      </c>
      <c r="C398" s="190" t="s">
        <v>479</v>
      </c>
      <c r="D398" s="190" t="s">
        <v>1198</v>
      </c>
      <c r="E398" s="191"/>
      <c r="F398" s="191"/>
      <c r="G398" s="191"/>
      <c r="H398" s="191"/>
      <c r="I398" s="185">
        <v>4.7E-2</v>
      </c>
      <c r="J398" s="183">
        <f t="shared" si="514"/>
        <v>46220</v>
      </c>
      <c r="K398" s="184">
        <f t="shared" si="495"/>
        <v>46220</v>
      </c>
      <c r="L398" s="184">
        <v>46262</v>
      </c>
      <c r="M398" s="184">
        <f t="shared" si="496"/>
        <v>46262</v>
      </c>
      <c r="N398" s="184">
        <f t="shared" si="497"/>
        <v>46262</v>
      </c>
      <c r="O398" s="184">
        <v>46262</v>
      </c>
      <c r="P398" s="184">
        <f t="shared" si="506"/>
        <v>46304</v>
      </c>
      <c r="Q398" s="184">
        <f t="shared" si="498"/>
        <v>46304</v>
      </c>
      <c r="R398" s="184">
        <v>46262</v>
      </c>
      <c r="S398" s="183">
        <f t="shared" si="500"/>
        <v>46318</v>
      </c>
      <c r="T398" s="184">
        <f t="shared" si="499"/>
        <v>46318</v>
      </c>
      <c r="U398" s="184">
        <v>46262</v>
      </c>
      <c r="W398" s="173" t="str">
        <f t="shared" ca="1" si="501"/>
        <v>Completed</v>
      </c>
      <c r="X398" s="173" t="str">
        <f t="shared" ca="1" si="502"/>
        <v>Completed</v>
      </c>
      <c r="Y398" s="173" t="str">
        <f t="shared" ca="1" si="503"/>
        <v>Completed</v>
      </c>
      <c r="Z398" s="174" t="str">
        <f t="shared" ca="1" si="504"/>
        <v>Completed</v>
      </c>
    </row>
    <row r="399" spans="1:26" s="70" customFormat="1" ht="11.5" x14ac:dyDescent="0.25">
      <c r="A399" s="190" t="s">
        <v>64</v>
      </c>
      <c r="B399" s="190" t="s">
        <v>14</v>
      </c>
      <c r="C399" s="190" t="s">
        <v>480</v>
      </c>
      <c r="D399" s="190" t="s">
        <v>1199</v>
      </c>
      <c r="E399" s="191"/>
      <c r="F399" s="191"/>
      <c r="G399" s="191"/>
      <c r="H399" s="191"/>
      <c r="I399" s="185">
        <v>4.7E-2</v>
      </c>
      <c r="J399" s="183">
        <f t="shared" si="514"/>
        <v>46220</v>
      </c>
      <c r="K399" s="184">
        <f t="shared" si="495"/>
        <v>46220</v>
      </c>
      <c r="L399" s="184">
        <v>46262</v>
      </c>
      <c r="M399" s="184">
        <f t="shared" si="496"/>
        <v>46262</v>
      </c>
      <c r="N399" s="184">
        <f t="shared" si="497"/>
        <v>46262</v>
      </c>
      <c r="O399" s="184">
        <v>46262</v>
      </c>
      <c r="P399" s="184">
        <f t="shared" si="506"/>
        <v>46304</v>
      </c>
      <c r="Q399" s="184">
        <f t="shared" si="498"/>
        <v>46304</v>
      </c>
      <c r="R399" s="184">
        <v>46262</v>
      </c>
      <c r="S399" s="183">
        <f t="shared" si="500"/>
        <v>46318</v>
      </c>
      <c r="T399" s="184">
        <f t="shared" si="499"/>
        <v>46318</v>
      </c>
      <c r="U399" s="184">
        <v>46262</v>
      </c>
      <c r="W399" s="173" t="str">
        <f t="shared" ca="1" si="501"/>
        <v>Completed</v>
      </c>
      <c r="X399" s="173" t="str">
        <f t="shared" ca="1" si="502"/>
        <v>Completed</v>
      </c>
      <c r="Y399" s="173" t="str">
        <f t="shared" ca="1" si="503"/>
        <v>Completed</v>
      </c>
      <c r="Z399" s="174" t="str">
        <f t="shared" ca="1" si="504"/>
        <v>Completed</v>
      </c>
    </row>
    <row r="400" spans="1:26" s="70" customFormat="1" ht="11.5" x14ac:dyDescent="0.25">
      <c r="A400" s="103" t="s">
        <v>64</v>
      </c>
      <c r="B400" s="103" t="s">
        <v>14</v>
      </c>
      <c r="C400" s="103" t="s">
        <v>1197</v>
      </c>
      <c r="D400" s="103" t="s">
        <v>1200</v>
      </c>
      <c r="E400" s="104">
        <f t="shared" ref="E400:E401" si="519">(COUNTIFS(J400,"&lt;="&amp;$C$1)*50%)+(COUNTIFS(M400,"&lt;="&amp;$C$1)*20%)+(COUNTIFS(P400,"&lt;="&amp;$C$1)*10%)+(COUNTIFS(S400,"&lt;="&amp;$C$1)*20%)</f>
        <v>0</v>
      </c>
      <c r="F400" s="104">
        <f t="shared" ref="F400:F401" si="520">(COUNTIFS(K400,"&lt;="&amp;$C$1)*50%)+(COUNTIFS(N400,"&lt;="&amp;$C$1)*20%)+(COUNTIFS(Q400,"&lt;="&amp;$C$1)*10%)+(COUNTIFS(T400,"&lt;="&amp;$C$1)*20%)</f>
        <v>0</v>
      </c>
      <c r="G400" s="104">
        <f t="shared" ref="G400:G401" si="521">(COUNTIFS(L400,"&lt;="&amp;$C$1)*50%)+(COUNTIFS(O400,"&lt;="&amp;$C$1)*20%)+(COUNTIFS(R400,"&lt;="&amp;$C$1)*10%)+(COUNTIFS(U400,"&lt;="&amp;$C$1)*20%)</f>
        <v>0</v>
      </c>
      <c r="H400" s="104">
        <f t="shared" ref="H400:H401" si="522">G400-E400</f>
        <v>0</v>
      </c>
      <c r="I400" s="110"/>
      <c r="J400" s="107">
        <f t="shared" si="514"/>
        <v>46332</v>
      </c>
      <c r="K400" s="108">
        <f t="shared" ref="K400:K401" si="523">J400</f>
        <v>46332</v>
      </c>
      <c r="L400" s="108"/>
      <c r="M400" s="108">
        <f t="shared" ref="M400:M401" si="524">J400+42</f>
        <v>46374</v>
      </c>
      <c r="N400" s="108">
        <f t="shared" ref="N400:N401" si="525">M400</f>
        <v>46374</v>
      </c>
      <c r="O400" s="108"/>
      <c r="P400" s="108">
        <f t="shared" ref="P400:P401" si="526">M400+42</f>
        <v>46416</v>
      </c>
      <c r="Q400" s="108">
        <f t="shared" ref="Q400:Q401" si="527">P400</f>
        <v>46416</v>
      </c>
      <c r="R400" s="108"/>
      <c r="S400" s="107">
        <f t="shared" ref="S400:S401" si="528">P400+14</f>
        <v>46430</v>
      </c>
      <c r="T400" s="108">
        <f t="shared" ref="T400:T401" si="529">S400</f>
        <v>46430</v>
      </c>
      <c r="U400" s="108"/>
      <c r="W400" s="173" t="str">
        <f t="shared" ref="W400:W401" ca="1" si="530">IF(OR(L400&lt;&gt;""),"Completed",
IF(K400="","",IF(K400&lt;TODAY(),"Overdue",
IF(AND(K400&gt;=TODAY()-WEEKDAY(TODAY(),2)+1,K400&lt;=TODAY()-WEEKDAY(TODAY(),2)+7),"Follow-This Week",
IF(AND(K400&gt;=TODAY()-WEEKDAY(TODAY(),2)+8,K400&lt;=TODAY()-WEEKDAY(TODAY(),2)+14),"Follow-Next Week","")))))</f>
        <v/>
      </c>
      <c r="X400" s="173" t="str">
        <f t="shared" ref="X400:X401" ca="1" si="531">IF(OR(O400&lt;&gt;""),"Completed",IF(N400="","",
IF(N400&lt;TODAY(),"Overdue",
IF(AND(N400&gt;=TODAY()-WEEKDAY(TODAY(),2)+1,N400&lt;=TODAY()-WEEKDAY(TODAY(),2)+7),"Follow-This Week",
IF(AND(N400&gt;=TODAY()-WEEKDAY(TODAY(),2)+8,N400&lt;=TODAY()-WEEKDAY(TODAY(),2)+14),"Follow-Next Week","")))))</f>
        <v/>
      </c>
      <c r="Y400" s="173" t="str">
        <f t="shared" ref="Y400:Y401" ca="1" si="532">IF(OR(R400&lt;&gt;""),"Completed",IF(Q400="","",
IF(Q400&lt;TODAY(),"Overdue",
IF(AND(Q400&gt;=TODAY()-WEEKDAY(TODAY(),2)+1,Q400&lt;=TODAY()-WEEKDAY(TODAY(),2)+7),"Follow-This Week",
IF(AND(Q400&gt;=TODAY()-WEEKDAY(TODAY(),2)+8,Q400&lt;=TODAY()-WEEKDAY(TODAY(),2)+14),"Follow-Next Week","")))))</f>
        <v/>
      </c>
      <c r="Z400" s="174" t="str">
        <f t="shared" ref="Z400:Z401" ca="1" si="533">IF(OR(U400&lt;&gt;""),"Completed",IF(T400="","",
IF(T400&lt;TODAY(),"Overdue",
IF(AND(T400&gt;=TODAY()-WEEKDAY(TODAY(),2)+1,T400&lt;=TODAY()-WEEKDAY(TODAY(),2)+7),"Follow-This Week",
IF(AND(T400&gt;=TODAY()-WEEKDAY(TODAY(),2)+8,T400&lt;=TODAY()-WEEKDAY(TODAY(),2)+14),"Follow-Next Week","")))))</f>
        <v/>
      </c>
    </row>
    <row r="401" spans="1:26" s="70" customFormat="1" ht="11.5" x14ac:dyDescent="0.25">
      <c r="A401" s="103" t="s">
        <v>64</v>
      </c>
      <c r="B401" s="103" t="s">
        <v>14</v>
      </c>
      <c r="C401" s="103" t="s">
        <v>1197</v>
      </c>
      <c r="D401" s="103" t="s">
        <v>1201</v>
      </c>
      <c r="E401" s="104">
        <f t="shared" si="519"/>
        <v>0</v>
      </c>
      <c r="F401" s="104">
        <f t="shared" si="520"/>
        <v>0</v>
      </c>
      <c r="G401" s="104">
        <f t="shared" si="521"/>
        <v>0</v>
      </c>
      <c r="H401" s="104">
        <f t="shared" si="522"/>
        <v>0</v>
      </c>
      <c r="I401" s="110"/>
      <c r="J401" s="107">
        <f t="shared" si="514"/>
        <v>46332</v>
      </c>
      <c r="K401" s="108">
        <f t="shared" si="523"/>
        <v>46332</v>
      </c>
      <c r="L401" s="108"/>
      <c r="M401" s="108">
        <f t="shared" si="524"/>
        <v>46374</v>
      </c>
      <c r="N401" s="108">
        <f t="shared" si="525"/>
        <v>46374</v>
      </c>
      <c r="O401" s="108"/>
      <c r="P401" s="108">
        <f t="shared" si="526"/>
        <v>46416</v>
      </c>
      <c r="Q401" s="108">
        <f t="shared" si="527"/>
        <v>46416</v>
      </c>
      <c r="R401" s="108"/>
      <c r="S401" s="107">
        <f t="shared" si="528"/>
        <v>46430</v>
      </c>
      <c r="T401" s="108">
        <f t="shared" si="529"/>
        <v>46430</v>
      </c>
      <c r="U401" s="108"/>
      <c r="W401" s="173" t="str">
        <f t="shared" ca="1" si="530"/>
        <v/>
      </c>
      <c r="X401" s="173" t="str">
        <f t="shared" ca="1" si="531"/>
        <v/>
      </c>
      <c r="Y401" s="173" t="str">
        <f t="shared" ca="1" si="532"/>
        <v/>
      </c>
      <c r="Z401" s="174" t="str">
        <f t="shared" ca="1" si="533"/>
        <v/>
      </c>
    </row>
    <row r="402" spans="1:26" s="70" customFormat="1" ht="11.5" x14ac:dyDescent="0.25">
      <c r="A402" s="103" t="s">
        <v>64</v>
      </c>
      <c r="B402" s="103" t="s">
        <v>14</v>
      </c>
      <c r="C402" s="103" t="s">
        <v>927</v>
      </c>
      <c r="D402" s="103" t="s">
        <v>928</v>
      </c>
      <c r="E402" s="104">
        <f t="shared" ref="E402:E406" si="534">(COUNTIFS(J402,"&lt;="&amp;$C$1)*50%)+(COUNTIFS(M402,"&lt;="&amp;$C$1)*20%)+(COUNTIFS(P402,"&lt;="&amp;$C$1)*10%)+(COUNTIFS(S402,"&lt;="&amp;$C$1)*20%)</f>
        <v>0.5</v>
      </c>
      <c r="F402" s="104">
        <f t="shared" ref="F402:F406" si="535">(COUNTIFS(K402,"&lt;="&amp;$C$1)*50%)+(COUNTIFS(N402,"&lt;="&amp;$C$1)*20%)+(COUNTIFS(Q402,"&lt;="&amp;$C$1)*10%)+(COUNTIFS(T402,"&lt;="&amp;$C$1)*20%)</f>
        <v>0.5</v>
      </c>
      <c r="G402" s="104">
        <f t="shared" ref="G402:G406" si="536">(COUNTIFS(L402,"&lt;="&amp;$C$1)*50%)+(COUNTIFS(O402,"&lt;="&amp;$C$1)*20%)+(COUNTIFS(R402,"&lt;="&amp;$C$1)*10%)+(COUNTIFS(U402,"&lt;="&amp;$C$1)*20%)</f>
        <v>0.5</v>
      </c>
      <c r="H402" s="104">
        <f t="shared" ref="H402:H406" si="537">G402-E402</f>
        <v>0</v>
      </c>
      <c r="I402" s="110"/>
      <c r="J402" s="107">
        <f>J279+28</f>
        <v>46227</v>
      </c>
      <c r="K402" s="108">
        <f t="shared" ref="K402:K406" si="538">J402</f>
        <v>46227</v>
      </c>
      <c r="L402" s="107">
        <v>46190</v>
      </c>
      <c r="M402" s="108">
        <f t="shared" ref="M402:M406" si="539">J402+42</f>
        <v>46269</v>
      </c>
      <c r="N402" s="108">
        <f t="shared" ref="N402:N406" si="540">M402</f>
        <v>46269</v>
      </c>
      <c r="O402" s="108"/>
      <c r="P402" s="108">
        <f t="shared" ref="P402:P406" si="541">M402+42</f>
        <v>46311</v>
      </c>
      <c r="Q402" s="108">
        <f t="shared" ref="Q402:Q406" si="542">P402</f>
        <v>46311</v>
      </c>
      <c r="R402" s="108"/>
      <c r="S402" s="107">
        <f t="shared" ref="S402:S406" si="543">P402+14</f>
        <v>46325</v>
      </c>
      <c r="T402" s="108">
        <f t="shared" ref="T402:T406" si="544">S402</f>
        <v>46325</v>
      </c>
      <c r="U402" s="108"/>
      <c r="W402" s="173" t="str">
        <f t="shared" ca="1" si="501"/>
        <v>Completed</v>
      </c>
      <c r="X402" s="173" t="str">
        <f t="shared" ca="1" si="502"/>
        <v>Follow-This Week</v>
      </c>
      <c r="Y402" s="173" t="str">
        <f t="shared" ca="1" si="503"/>
        <v/>
      </c>
      <c r="Z402" s="174" t="str">
        <f t="shared" ca="1" si="504"/>
        <v/>
      </c>
    </row>
    <row r="403" spans="1:26" s="70" customFormat="1" ht="11.5" x14ac:dyDescent="0.25">
      <c r="A403" s="103" t="s">
        <v>64</v>
      </c>
      <c r="B403" s="103" t="s">
        <v>14</v>
      </c>
      <c r="C403" s="103" t="s">
        <v>929</v>
      </c>
      <c r="D403" s="103" t="s">
        <v>1178</v>
      </c>
      <c r="E403" s="104">
        <f t="shared" si="534"/>
        <v>0</v>
      </c>
      <c r="F403" s="104">
        <f t="shared" si="535"/>
        <v>0</v>
      </c>
      <c r="G403" s="104">
        <f t="shared" si="536"/>
        <v>0</v>
      </c>
      <c r="H403" s="104">
        <f t="shared" si="537"/>
        <v>0</v>
      </c>
      <c r="I403" s="110"/>
      <c r="J403" s="107">
        <f>J280+28</f>
        <v>46293</v>
      </c>
      <c r="K403" s="108">
        <f t="shared" si="538"/>
        <v>46293</v>
      </c>
      <c r="L403" s="108"/>
      <c r="M403" s="108">
        <f t="shared" si="539"/>
        <v>46335</v>
      </c>
      <c r="N403" s="108">
        <f t="shared" si="540"/>
        <v>46335</v>
      </c>
      <c r="O403" s="108"/>
      <c r="P403" s="108">
        <f t="shared" si="541"/>
        <v>46377</v>
      </c>
      <c r="Q403" s="108">
        <f t="shared" si="542"/>
        <v>46377</v>
      </c>
      <c r="R403" s="108"/>
      <c r="S403" s="107">
        <f t="shared" si="543"/>
        <v>46391</v>
      </c>
      <c r="T403" s="108">
        <f t="shared" si="544"/>
        <v>46391</v>
      </c>
      <c r="U403" s="108"/>
      <c r="W403" s="173" t="str">
        <f t="shared" ca="1" si="501"/>
        <v/>
      </c>
      <c r="X403" s="173" t="str">
        <f t="shared" ca="1" si="502"/>
        <v/>
      </c>
      <c r="Y403" s="173" t="str">
        <f t="shared" ca="1" si="503"/>
        <v/>
      </c>
      <c r="Z403" s="174" t="str">
        <f t="shared" ca="1" si="504"/>
        <v/>
      </c>
    </row>
    <row r="404" spans="1:26" s="70" customFormat="1" ht="11.5" x14ac:dyDescent="0.25">
      <c r="A404" s="103" t="s">
        <v>64</v>
      </c>
      <c r="B404" s="103" t="s">
        <v>14</v>
      </c>
      <c r="C404" s="103" t="s">
        <v>930</v>
      </c>
      <c r="D404" s="103" t="s">
        <v>1179</v>
      </c>
      <c r="E404" s="104">
        <f t="shared" si="534"/>
        <v>0</v>
      </c>
      <c r="F404" s="104">
        <f t="shared" si="535"/>
        <v>0</v>
      </c>
      <c r="G404" s="104">
        <f t="shared" si="536"/>
        <v>0</v>
      </c>
      <c r="H404" s="104">
        <f t="shared" si="537"/>
        <v>0</v>
      </c>
      <c r="I404" s="110"/>
      <c r="J404" s="107">
        <f>J281+28</f>
        <v>46293</v>
      </c>
      <c r="K404" s="108">
        <f t="shared" si="538"/>
        <v>46293</v>
      </c>
      <c r="L404" s="108"/>
      <c r="M404" s="108">
        <f t="shared" si="539"/>
        <v>46335</v>
      </c>
      <c r="N404" s="108">
        <f t="shared" si="540"/>
        <v>46335</v>
      </c>
      <c r="O404" s="108"/>
      <c r="P404" s="108">
        <f t="shared" si="541"/>
        <v>46377</v>
      </c>
      <c r="Q404" s="108">
        <f t="shared" si="542"/>
        <v>46377</v>
      </c>
      <c r="R404" s="108"/>
      <c r="S404" s="107">
        <f t="shared" si="543"/>
        <v>46391</v>
      </c>
      <c r="T404" s="108">
        <f t="shared" si="544"/>
        <v>46391</v>
      </c>
      <c r="U404" s="108"/>
      <c r="W404" s="173" t="str">
        <f t="shared" ca="1" si="501"/>
        <v/>
      </c>
      <c r="X404" s="173" t="str">
        <f t="shared" ca="1" si="502"/>
        <v/>
      </c>
      <c r="Y404" s="173" t="str">
        <f t="shared" ca="1" si="503"/>
        <v/>
      </c>
      <c r="Z404" s="174" t="str">
        <f t="shared" ca="1" si="504"/>
        <v/>
      </c>
    </row>
    <row r="405" spans="1:26" s="70" customFormat="1" ht="11.5" x14ac:dyDescent="0.25">
      <c r="A405" s="103" t="s">
        <v>64</v>
      </c>
      <c r="B405" s="103" t="s">
        <v>14</v>
      </c>
      <c r="C405" s="103" t="s">
        <v>931</v>
      </c>
      <c r="D405" s="103" t="s">
        <v>1180</v>
      </c>
      <c r="E405" s="104">
        <f t="shared" si="534"/>
        <v>0</v>
      </c>
      <c r="F405" s="104">
        <f t="shared" si="535"/>
        <v>0</v>
      </c>
      <c r="G405" s="104">
        <f t="shared" si="536"/>
        <v>0</v>
      </c>
      <c r="H405" s="104">
        <f t="shared" si="537"/>
        <v>0</v>
      </c>
      <c r="I405" s="110"/>
      <c r="J405" s="107">
        <f>J282+28</f>
        <v>46293</v>
      </c>
      <c r="K405" s="108">
        <f t="shared" si="538"/>
        <v>46293</v>
      </c>
      <c r="L405" s="108"/>
      <c r="M405" s="108">
        <f t="shared" si="539"/>
        <v>46335</v>
      </c>
      <c r="N405" s="108">
        <f t="shared" si="540"/>
        <v>46335</v>
      </c>
      <c r="O405" s="108"/>
      <c r="P405" s="108">
        <f t="shared" si="541"/>
        <v>46377</v>
      </c>
      <c r="Q405" s="108">
        <f t="shared" si="542"/>
        <v>46377</v>
      </c>
      <c r="R405" s="108"/>
      <c r="S405" s="107">
        <f t="shared" si="543"/>
        <v>46391</v>
      </c>
      <c r="T405" s="108">
        <f t="shared" si="544"/>
        <v>46391</v>
      </c>
      <c r="U405" s="108"/>
      <c r="W405" s="173" t="str">
        <f t="shared" ca="1" si="501"/>
        <v/>
      </c>
      <c r="X405" s="173" t="str">
        <f t="shared" ca="1" si="502"/>
        <v/>
      </c>
      <c r="Y405" s="173" t="str">
        <f t="shared" ca="1" si="503"/>
        <v/>
      </c>
      <c r="Z405" s="174" t="str">
        <f t="shared" ca="1" si="504"/>
        <v/>
      </c>
    </row>
    <row r="406" spans="1:26" s="70" customFormat="1" ht="11.5" x14ac:dyDescent="0.25">
      <c r="A406" s="103" t="s">
        <v>64</v>
      </c>
      <c r="B406" s="103" t="s">
        <v>14</v>
      </c>
      <c r="C406" s="103" t="s">
        <v>932</v>
      </c>
      <c r="D406" s="103" t="s">
        <v>1181</v>
      </c>
      <c r="E406" s="104">
        <f t="shared" si="534"/>
        <v>0</v>
      </c>
      <c r="F406" s="104">
        <f t="shared" si="535"/>
        <v>0</v>
      </c>
      <c r="G406" s="104">
        <f t="shared" si="536"/>
        <v>0</v>
      </c>
      <c r="H406" s="104">
        <f t="shared" si="537"/>
        <v>0</v>
      </c>
      <c r="I406" s="110"/>
      <c r="J406" s="107">
        <f>J283+28</f>
        <v>46293</v>
      </c>
      <c r="K406" s="108">
        <f t="shared" si="538"/>
        <v>46293</v>
      </c>
      <c r="L406" s="108"/>
      <c r="M406" s="108">
        <f t="shared" si="539"/>
        <v>46335</v>
      </c>
      <c r="N406" s="108">
        <f t="shared" si="540"/>
        <v>46335</v>
      </c>
      <c r="O406" s="108"/>
      <c r="P406" s="108">
        <f t="shared" si="541"/>
        <v>46377</v>
      </c>
      <c r="Q406" s="108">
        <f t="shared" si="542"/>
        <v>46377</v>
      </c>
      <c r="R406" s="108"/>
      <c r="S406" s="107">
        <f t="shared" si="543"/>
        <v>46391</v>
      </c>
      <c r="T406" s="108">
        <f t="shared" si="544"/>
        <v>46391</v>
      </c>
      <c r="U406" s="108"/>
      <c r="W406" s="173" t="str">
        <f t="shared" ca="1" si="501"/>
        <v/>
      </c>
      <c r="X406" s="173" t="str">
        <f t="shared" ca="1" si="502"/>
        <v/>
      </c>
      <c r="Y406" s="173" t="str">
        <f t="shared" ca="1" si="503"/>
        <v/>
      </c>
      <c r="Z406" s="174" t="str">
        <f t="shared" ca="1" si="504"/>
        <v/>
      </c>
    </row>
    <row r="407" spans="1:26" s="70" customFormat="1" ht="11.5" x14ac:dyDescent="0.25">
      <c r="A407" s="103" t="s">
        <v>64</v>
      </c>
      <c r="B407" s="103" t="s">
        <v>14</v>
      </c>
      <c r="C407" s="103" t="s">
        <v>481</v>
      </c>
      <c r="D407" s="103" t="s">
        <v>482</v>
      </c>
      <c r="E407" s="104">
        <f t="shared" si="511"/>
        <v>0.7</v>
      </c>
      <c r="F407" s="104">
        <f t="shared" si="512"/>
        <v>0.7</v>
      </c>
      <c r="G407" s="104">
        <f t="shared" si="512"/>
        <v>0.5</v>
      </c>
      <c r="H407" s="104">
        <f t="shared" si="513"/>
        <v>-0.19999999999999996</v>
      </c>
      <c r="I407" s="110">
        <v>4.7E-2</v>
      </c>
      <c r="J407" s="107">
        <f t="shared" ref="J407:J436" si="545">J290+28</f>
        <v>46220</v>
      </c>
      <c r="K407" s="107">
        <f t="shared" si="495"/>
        <v>46220</v>
      </c>
      <c r="L407" s="108">
        <v>46184</v>
      </c>
      <c r="M407" s="108">
        <f t="shared" si="496"/>
        <v>46262</v>
      </c>
      <c r="N407" s="107">
        <f t="shared" si="497"/>
        <v>46262</v>
      </c>
      <c r="O407" s="108"/>
      <c r="P407" s="108">
        <f t="shared" si="506"/>
        <v>46304</v>
      </c>
      <c r="Q407" s="107">
        <f t="shared" si="498"/>
        <v>46304</v>
      </c>
      <c r="R407" s="108"/>
      <c r="S407" s="107">
        <f t="shared" si="500"/>
        <v>46318</v>
      </c>
      <c r="T407" s="107">
        <f t="shared" si="499"/>
        <v>46318</v>
      </c>
      <c r="U407" s="108"/>
      <c r="W407" s="173" t="str">
        <f t="shared" ca="1" si="501"/>
        <v>Completed</v>
      </c>
      <c r="X407" s="173" t="str">
        <f t="shared" ca="1" si="502"/>
        <v>Overdue</v>
      </c>
      <c r="Y407" s="173" t="str">
        <f t="shared" ca="1" si="503"/>
        <v/>
      </c>
      <c r="Z407" s="174" t="str">
        <f t="shared" ca="1" si="504"/>
        <v/>
      </c>
    </row>
    <row r="408" spans="1:26" s="70" customFormat="1" ht="11.5" x14ac:dyDescent="0.25">
      <c r="A408" s="103" t="s">
        <v>64</v>
      </c>
      <c r="B408" s="103" t="s">
        <v>14</v>
      </c>
      <c r="C408" s="103" t="s">
        <v>483</v>
      </c>
      <c r="D408" s="103" t="s">
        <v>484</v>
      </c>
      <c r="E408" s="104">
        <f t="shared" si="511"/>
        <v>0.7</v>
      </c>
      <c r="F408" s="104">
        <f t="shared" si="512"/>
        <v>0.7</v>
      </c>
      <c r="G408" s="104">
        <f t="shared" si="512"/>
        <v>0.5</v>
      </c>
      <c r="H408" s="104">
        <f t="shared" si="513"/>
        <v>-0.19999999999999996</v>
      </c>
      <c r="I408" s="110">
        <v>4.7E-2</v>
      </c>
      <c r="J408" s="107">
        <f t="shared" si="545"/>
        <v>46220</v>
      </c>
      <c r="K408" s="107">
        <f t="shared" ref="K408:K471" si="546">J408</f>
        <v>46220</v>
      </c>
      <c r="L408" s="108">
        <v>46184</v>
      </c>
      <c r="M408" s="108">
        <f t="shared" ref="M408:M471" si="547">J408+42</f>
        <v>46262</v>
      </c>
      <c r="N408" s="107">
        <f t="shared" ref="N408:N471" si="548">M408</f>
        <v>46262</v>
      </c>
      <c r="O408" s="108"/>
      <c r="P408" s="108">
        <f t="shared" ref="P408:P444" si="549">M408+42</f>
        <v>46304</v>
      </c>
      <c r="Q408" s="107">
        <f t="shared" ref="Q408:Q471" si="550">P408</f>
        <v>46304</v>
      </c>
      <c r="R408" s="108"/>
      <c r="S408" s="107">
        <f t="shared" si="500"/>
        <v>46318</v>
      </c>
      <c r="T408" s="107">
        <f t="shared" ref="T408:T471" si="551">S408</f>
        <v>46318</v>
      </c>
      <c r="U408" s="108"/>
      <c r="W408" s="173" t="str">
        <f t="shared" ca="1" si="501"/>
        <v>Completed</v>
      </c>
      <c r="X408" s="173" t="str">
        <f t="shared" ca="1" si="502"/>
        <v>Overdue</v>
      </c>
      <c r="Y408" s="173" t="str">
        <f t="shared" ca="1" si="503"/>
        <v/>
      </c>
      <c r="Z408" s="174" t="str">
        <f t="shared" ca="1" si="504"/>
        <v/>
      </c>
    </row>
    <row r="409" spans="1:26" s="70" customFormat="1" ht="11.5" x14ac:dyDescent="0.25">
      <c r="A409" s="103" t="s">
        <v>64</v>
      </c>
      <c r="B409" s="103" t="s">
        <v>14</v>
      </c>
      <c r="C409" s="103" t="s">
        <v>485</v>
      </c>
      <c r="D409" s="103" t="s">
        <v>486</v>
      </c>
      <c r="E409" s="104">
        <f t="shared" si="511"/>
        <v>0.7</v>
      </c>
      <c r="F409" s="104">
        <f t="shared" si="512"/>
        <v>0.7</v>
      </c>
      <c r="G409" s="104">
        <f t="shared" si="512"/>
        <v>0.5</v>
      </c>
      <c r="H409" s="104">
        <f t="shared" si="513"/>
        <v>-0.19999999999999996</v>
      </c>
      <c r="I409" s="110">
        <v>4.7E-2</v>
      </c>
      <c r="J409" s="107">
        <f t="shared" si="545"/>
        <v>46220</v>
      </c>
      <c r="K409" s="107">
        <f t="shared" si="546"/>
        <v>46220</v>
      </c>
      <c r="L409" s="108">
        <v>46184</v>
      </c>
      <c r="M409" s="108">
        <f t="shared" si="547"/>
        <v>46262</v>
      </c>
      <c r="N409" s="107">
        <f t="shared" si="548"/>
        <v>46262</v>
      </c>
      <c r="O409" s="108"/>
      <c r="P409" s="108">
        <f t="shared" si="549"/>
        <v>46304</v>
      </c>
      <c r="Q409" s="107">
        <f t="shared" si="550"/>
        <v>46304</v>
      </c>
      <c r="R409" s="108"/>
      <c r="S409" s="107">
        <f t="shared" ref="S409:S472" si="552">P409+14</f>
        <v>46318</v>
      </c>
      <c r="T409" s="107">
        <f t="shared" si="551"/>
        <v>46318</v>
      </c>
      <c r="U409" s="108"/>
      <c r="W409" s="173" t="str">
        <f t="shared" ca="1" si="501"/>
        <v>Completed</v>
      </c>
      <c r="X409" s="173" t="str">
        <f t="shared" ca="1" si="502"/>
        <v>Overdue</v>
      </c>
      <c r="Y409" s="173" t="str">
        <f t="shared" ca="1" si="503"/>
        <v/>
      </c>
      <c r="Z409" s="174" t="str">
        <f t="shared" ca="1" si="504"/>
        <v/>
      </c>
    </row>
    <row r="410" spans="1:26" s="70" customFormat="1" ht="11.5" x14ac:dyDescent="0.25">
      <c r="A410" s="103" t="s">
        <v>64</v>
      </c>
      <c r="B410" s="103" t="s">
        <v>14</v>
      </c>
      <c r="C410" s="103" t="s">
        <v>487</v>
      </c>
      <c r="D410" s="103" t="s">
        <v>488</v>
      </c>
      <c r="E410" s="104">
        <f t="shared" si="511"/>
        <v>0.7</v>
      </c>
      <c r="F410" s="104">
        <f t="shared" si="512"/>
        <v>0.7</v>
      </c>
      <c r="G410" s="104">
        <f t="shared" si="512"/>
        <v>0</v>
      </c>
      <c r="H410" s="104">
        <f t="shared" si="513"/>
        <v>-0.7</v>
      </c>
      <c r="I410" s="110">
        <v>4.7E-2</v>
      </c>
      <c r="J410" s="107">
        <f t="shared" si="545"/>
        <v>46220</v>
      </c>
      <c r="K410" s="107">
        <f t="shared" si="546"/>
        <v>46220</v>
      </c>
      <c r="L410" s="108"/>
      <c r="M410" s="108">
        <f t="shared" si="547"/>
        <v>46262</v>
      </c>
      <c r="N410" s="107">
        <f t="shared" si="548"/>
        <v>46262</v>
      </c>
      <c r="O410" s="108"/>
      <c r="P410" s="108">
        <f t="shared" si="549"/>
        <v>46304</v>
      </c>
      <c r="Q410" s="107">
        <f t="shared" si="550"/>
        <v>46304</v>
      </c>
      <c r="R410" s="108"/>
      <c r="S410" s="107">
        <f t="shared" si="552"/>
        <v>46318</v>
      </c>
      <c r="T410" s="107">
        <f t="shared" si="551"/>
        <v>46318</v>
      </c>
      <c r="U410" s="108"/>
      <c r="W410" s="173" t="str">
        <f t="shared" ca="1" si="501"/>
        <v>Overdue</v>
      </c>
      <c r="X410" s="173" t="str">
        <f t="shared" ca="1" si="502"/>
        <v>Overdue</v>
      </c>
      <c r="Y410" s="173" t="str">
        <f t="shared" ca="1" si="503"/>
        <v/>
      </c>
      <c r="Z410" s="174" t="str">
        <f t="shared" ca="1" si="504"/>
        <v/>
      </c>
    </row>
    <row r="411" spans="1:26" s="70" customFormat="1" ht="11.5" x14ac:dyDescent="0.25">
      <c r="A411" s="103" t="s">
        <v>64</v>
      </c>
      <c r="B411" s="103" t="s">
        <v>14</v>
      </c>
      <c r="C411" s="103" t="s">
        <v>489</v>
      </c>
      <c r="D411" s="103" t="s">
        <v>490</v>
      </c>
      <c r="E411" s="104">
        <f t="shared" ref="E411" si="553">(COUNTIFS(J411,"&lt;="&amp;$C$1)*50%)+(COUNTIFS(M411,"&lt;="&amp;$C$1)*20%)+(COUNTIFS(P411,"&lt;="&amp;$C$1)*10%)+(COUNTIFS(S411,"&lt;="&amp;$C$1)*20%)</f>
        <v>0.5</v>
      </c>
      <c r="F411" s="104">
        <f t="shared" ref="F411" si="554">(COUNTIFS(K411,"&lt;="&amp;$C$1)*50%)+(COUNTIFS(N411,"&lt;="&amp;$C$1)*20%)+(COUNTIFS(Q411,"&lt;="&amp;$C$1)*10%)+(COUNTIFS(T411,"&lt;="&amp;$C$1)*20%)</f>
        <v>0.5</v>
      </c>
      <c r="G411" s="104">
        <f t="shared" ref="G411" si="555">(COUNTIFS(L411,"&lt;="&amp;$C$1)*50%)+(COUNTIFS(O411,"&lt;="&amp;$C$1)*20%)+(COUNTIFS(R411,"&lt;="&amp;$C$1)*10%)+(COUNTIFS(U411,"&lt;="&amp;$C$1)*20%)</f>
        <v>0.7</v>
      </c>
      <c r="H411" s="104">
        <f t="shared" ref="H411" si="556">G411-E411</f>
        <v>0.19999999999999996</v>
      </c>
      <c r="I411" s="110">
        <v>4.7E-2</v>
      </c>
      <c r="J411" s="107">
        <f t="shared" si="545"/>
        <v>46227</v>
      </c>
      <c r="K411" s="108">
        <f t="shared" si="546"/>
        <v>46227</v>
      </c>
      <c r="L411" s="107">
        <v>46142</v>
      </c>
      <c r="M411" s="108">
        <f t="shared" si="547"/>
        <v>46269</v>
      </c>
      <c r="N411" s="108">
        <f t="shared" si="548"/>
        <v>46269</v>
      </c>
      <c r="O411" s="107">
        <v>46255</v>
      </c>
      <c r="P411" s="108">
        <f t="shared" si="549"/>
        <v>46311</v>
      </c>
      <c r="Q411" s="108">
        <f t="shared" si="550"/>
        <v>46311</v>
      </c>
      <c r="R411" s="108"/>
      <c r="S411" s="107">
        <f t="shared" si="552"/>
        <v>46325</v>
      </c>
      <c r="T411" s="108">
        <f t="shared" si="551"/>
        <v>46325</v>
      </c>
      <c r="U411" s="108"/>
      <c r="W411" s="173" t="str">
        <f t="shared" ca="1" si="501"/>
        <v>Completed</v>
      </c>
      <c r="X411" s="173" t="str">
        <f t="shared" ca="1" si="502"/>
        <v>Completed</v>
      </c>
      <c r="Y411" s="173" t="str">
        <f t="shared" ca="1" si="503"/>
        <v/>
      </c>
      <c r="Z411" s="174" t="str">
        <f t="shared" ca="1" si="504"/>
        <v/>
      </c>
    </row>
    <row r="412" spans="1:26" s="70" customFormat="1" ht="11.5" x14ac:dyDescent="0.25">
      <c r="A412" s="103" t="s">
        <v>64</v>
      </c>
      <c r="B412" s="103" t="s">
        <v>14</v>
      </c>
      <c r="C412" s="103" t="s">
        <v>491</v>
      </c>
      <c r="D412" s="103" t="s">
        <v>492</v>
      </c>
      <c r="E412" s="104">
        <f t="shared" si="511"/>
        <v>0.5</v>
      </c>
      <c r="F412" s="104">
        <f t="shared" si="512"/>
        <v>0.5</v>
      </c>
      <c r="G412" s="104">
        <f t="shared" si="512"/>
        <v>0.7</v>
      </c>
      <c r="H412" s="104">
        <f t="shared" si="513"/>
        <v>0.19999999999999996</v>
      </c>
      <c r="I412" s="110">
        <v>4.7E-2</v>
      </c>
      <c r="J412" s="107">
        <f t="shared" si="545"/>
        <v>46227</v>
      </c>
      <c r="K412" s="108">
        <f t="shared" si="546"/>
        <v>46227</v>
      </c>
      <c r="L412" s="107">
        <v>46142</v>
      </c>
      <c r="M412" s="108">
        <f t="shared" si="547"/>
        <v>46269</v>
      </c>
      <c r="N412" s="108">
        <f t="shared" si="548"/>
        <v>46269</v>
      </c>
      <c r="O412" s="107">
        <v>46255</v>
      </c>
      <c r="P412" s="108">
        <f t="shared" si="549"/>
        <v>46311</v>
      </c>
      <c r="Q412" s="108">
        <f t="shared" si="550"/>
        <v>46311</v>
      </c>
      <c r="R412" s="108"/>
      <c r="S412" s="107">
        <f t="shared" si="552"/>
        <v>46325</v>
      </c>
      <c r="T412" s="108">
        <f t="shared" si="551"/>
        <v>46325</v>
      </c>
      <c r="U412" s="108"/>
      <c r="W412" s="173" t="str">
        <f t="shared" ca="1" si="501"/>
        <v>Completed</v>
      </c>
      <c r="X412" s="173" t="str">
        <f t="shared" ca="1" si="502"/>
        <v>Completed</v>
      </c>
      <c r="Y412" s="173" t="str">
        <f t="shared" ca="1" si="503"/>
        <v/>
      </c>
      <c r="Z412" s="174" t="str">
        <f t="shared" ca="1" si="504"/>
        <v/>
      </c>
    </row>
    <row r="413" spans="1:26" s="70" customFormat="1" ht="11.5" x14ac:dyDescent="0.25">
      <c r="A413" s="103" t="s">
        <v>64</v>
      </c>
      <c r="B413" s="103" t="s">
        <v>14</v>
      </c>
      <c r="C413" s="103" t="s">
        <v>1041</v>
      </c>
      <c r="D413" s="103" t="s">
        <v>493</v>
      </c>
      <c r="E413" s="104">
        <f t="shared" si="511"/>
        <v>0.5</v>
      </c>
      <c r="F413" s="104">
        <f t="shared" si="512"/>
        <v>0.5</v>
      </c>
      <c r="G413" s="104">
        <f t="shared" si="512"/>
        <v>0.7</v>
      </c>
      <c r="H413" s="104">
        <f t="shared" si="513"/>
        <v>0.19999999999999996</v>
      </c>
      <c r="I413" s="110">
        <v>4.7E-2</v>
      </c>
      <c r="J413" s="107">
        <f t="shared" si="545"/>
        <v>46227</v>
      </c>
      <c r="K413" s="108">
        <f t="shared" si="546"/>
        <v>46227</v>
      </c>
      <c r="L413" s="108">
        <v>46224</v>
      </c>
      <c r="M413" s="108">
        <f t="shared" si="547"/>
        <v>46269</v>
      </c>
      <c r="N413" s="108">
        <f t="shared" si="548"/>
        <v>46269</v>
      </c>
      <c r="O413" s="107">
        <v>46233</v>
      </c>
      <c r="P413" s="108">
        <f t="shared" si="549"/>
        <v>46311</v>
      </c>
      <c r="Q413" s="108">
        <f t="shared" si="550"/>
        <v>46311</v>
      </c>
      <c r="R413" s="108"/>
      <c r="S413" s="107">
        <f t="shared" si="552"/>
        <v>46325</v>
      </c>
      <c r="T413" s="108">
        <f t="shared" si="551"/>
        <v>46325</v>
      </c>
      <c r="U413" s="108"/>
      <c r="W413" s="173" t="str">
        <f t="shared" ref="W413:W476" ca="1" si="557">IF(OR(L413&lt;&gt;""),"Completed",
IF(K413="","",IF(K413&lt;TODAY(),"Overdue",
IF(AND(K413&gt;=TODAY()-WEEKDAY(TODAY(),2)+1,K413&lt;=TODAY()-WEEKDAY(TODAY(),2)+7),"Follow-This Week",
IF(AND(K413&gt;=TODAY()-WEEKDAY(TODAY(),2)+8,K413&lt;=TODAY()-WEEKDAY(TODAY(),2)+14),"Follow-Next Week","")))))</f>
        <v>Completed</v>
      </c>
      <c r="X413" s="173" t="str">
        <f t="shared" ref="X413:X476" ca="1" si="558">IF(OR(O413&lt;&gt;""),"Completed",IF(N413="","",
IF(N413&lt;TODAY(),"Overdue",
IF(AND(N413&gt;=TODAY()-WEEKDAY(TODAY(),2)+1,N413&lt;=TODAY()-WEEKDAY(TODAY(),2)+7),"Follow-This Week",
IF(AND(N413&gt;=TODAY()-WEEKDAY(TODAY(),2)+8,N413&lt;=TODAY()-WEEKDAY(TODAY(),2)+14),"Follow-Next Week","")))))</f>
        <v>Completed</v>
      </c>
      <c r="Y413" s="173" t="str">
        <f t="shared" ref="Y413:Y476" ca="1" si="559">IF(OR(R413&lt;&gt;""),"Completed",IF(Q413="","",
IF(Q413&lt;TODAY(),"Overdue",
IF(AND(Q413&gt;=TODAY()-WEEKDAY(TODAY(),2)+1,Q413&lt;=TODAY()-WEEKDAY(TODAY(),2)+7),"Follow-This Week",
IF(AND(Q413&gt;=TODAY()-WEEKDAY(TODAY(),2)+8,Q413&lt;=TODAY()-WEEKDAY(TODAY(),2)+14),"Follow-Next Week","")))))</f>
        <v/>
      </c>
      <c r="Z413" s="174" t="str">
        <f t="shared" ref="Z413:Z476" ca="1" si="560">IF(OR(U413&lt;&gt;""),"Completed",IF(T413="","",
IF(T413&lt;TODAY(),"Overdue",
IF(AND(T413&gt;=TODAY()-WEEKDAY(TODAY(),2)+1,T413&lt;=TODAY()-WEEKDAY(TODAY(),2)+7),"Follow-This Week",
IF(AND(T413&gt;=TODAY()-WEEKDAY(TODAY(),2)+8,T413&lt;=TODAY()-WEEKDAY(TODAY(),2)+14),"Follow-Next Week","")))))</f>
        <v/>
      </c>
    </row>
    <row r="414" spans="1:26" s="70" customFormat="1" ht="11.5" x14ac:dyDescent="0.25">
      <c r="A414" s="103" t="s">
        <v>64</v>
      </c>
      <c r="B414" s="103" t="s">
        <v>14</v>
      </c>
      <c r="C414" s="103" t="s">
        <v>1042</v>
      </c>
      <c r="D414" s="103" t="s">
        <v>494</v>
      </c>
      <c r="E414" s="104">
        <f t="shared" si="511"/>
        <v>0.5</v>
      </c>
      <c r="F414" s="104">
        <f t="shared" si="512"/>
        <v>0.5</v>
      </c>
      <c r="G414" s="104">
        <f t="shared" si="512"/>
        <v>0.7</v>
      </c>
      <c r="H414" s="104">
        <f t="shared" si="513"/>
        <v>0.19999999999999996</v>
      </c>
      <c r="I414" s="110">
        <v>4.7E-2</v>
      </c>
      <c r="J414" s="107">
        <f t="shared" si="545"/>
        <v>46227</v>
      </c>
      <c r="K414" s="108">
        <f t="shared" si="546"/>
        <v>46227</v>
      </c>
      <c r="L414" s="108">
        <v>46224</v>
      </c>
      <c r="M414" s="108">
        <f t="shared" si="547"/>
        <v>46269</v>
      </c>
      <c r="N414" s="108">
        <f t="shared" si="548"/>
        <v>46269</v>
      </c>
      <c r="O414" s="107">
        <v>46233</v>
      </c>
      <c r="P414" s="108">
        <f t="shared" si="549"/>
        <v>46311</v>
      </c>
      <c r="Q414" s="108">
        <f t="shared" si="550"/>
        <v>46311</v>
      </c>
      <c r="R414" s="108"/>
      <c r="S414" s="107">
        <f t="shared" si="552"/>
        <v>46325</v>
      </c>
      <c r="T414" s="108">
        <f t="shared" si="551"/>
        <v>46325</v>
      </c>
      <c r="U414" s="108"/>
      <c r="W414" s="173" t="str">
        <f t="shared" ca="1" si="557"/>
        <v>Completed</v>
      </c>
      <c r="X414" s="173" t="str">
        <f t="shared" ca="1" si="558"/>
        <v>Completed</v>
      </c>
      <c r="Y414" s="173" t="str">
        <f t="shared" ca="1" si="559"/>
        <v/>
      </c>
      <c r="Z414" s="174" t="str">
        <f t="shared" ca="1" si="560"/>
        <v/>
      </c>
    </row>
    <row r="415" spans="1:26" s="70" customFormat="1" ht="11.5" x14ac:dyDescent="0.25">
      <c r="A415" s="103" t="s">
        <v>64</v>
      </c>
      <c r="B415" s="103" t="s">
        <v>14</v>
      </c>
      <c r="C415" s="103" t="s">
        <v>1043</v>
      </c>
      <c r="D415" s="103" t="s">
        <v>495</v>
      </c>
      <c r="E415" s="104">
        <f t="shared" si="511"/>
        <v>0.5</v>
      </c>
      <c r="F415" s="104">
        <f t="shared" si="512"/>
        <v>0.5</v>
      </c>
      <c r="G415" s="104">
        <f t="shared" si="512"/>
        <v>0.5</v>
      </c>
      <c r="H415" s="104">
        <f t="shared" si="513"/>
        <v>0</v>
      </c>
      <c r="I415" s="110">
        <v>4.7E-2</v>
      </c>
      <c r="J415" s="107">
        <f t="shared" si="545"/>
        <v>46227</v>
      </c>
      <c r="K415" s="108">
        <f t="shared" si="546"/>
        <v>46227</v>
      </c>
      <c r="L415" s="108">
        <v>46224</v>
      </c>
      <c r="M415" s="108">
        <f t="shared" si="547"/>
        <v>46269</v>
      </c>
      <c r="N415" s="108">
        <f t="shared" si="548"/>
        <v>46269</v>
      </c>
      <c r="O415" s="108"/>
      <c r="P415" s="108">
        <f t="shared" si="549"/>
        <v>46311</v>
      </c>
      <c r="Q415" s="108">
        <f t="shared" si="550"/>
        <v>46311</v>
      </c>
      <c r="R415" s="108"/>
      <c r="S415" s="107">
        <f t="shared" si="552"/>
        <v>46325</v>
      </c>
      <c r="T415" s="108">
        <f t="shared" si="551"/>
        <v>46325</v>
      </c>
      <c r="U415" s="108"/>
      <c r="W415" s="173" t="str">
        <f t="shared" ca="1" si="557"/>
        <v>Completed</v>
      </c>
      <c r="X415" s="173" t="str">
        <f t="shared" ca="1" si="558"/>
        <v>Follow-This Week</v>
      </c>
      <c r="Y415" s="173" t="str">
        <f t="shared" ca="1" si="559"/>
        <v/>
      </c>
      <c r="Z415" s="174" t="str">
        <f t="shared" ca="1" si="560"/>
        <v/>
      </c>
    </row>
    <row r="416" spans="1:26" s="70" customFormat="1" ht="11.5" x14ac:dyDescent="0.25">
      <c r="A416" s="103" t="s">
        <v>64</v>
      </c>
      <c r="B416" s="103" t="s">
        <v>14</v>
      </c>
      <c r="C416" s="103" t="s">
        <v>1044</v>
      </c>
      <c r="D416" s="103" t="s">
        <v>496</v>
      </c>
      <c r="E416" s="104">
        <f t="shared" si="511"/>
        <v>0.5</v>
      </c>
      <c r="F416" s="104">
        <f t="shared" si="512"/>
        <v>0.5</v>
      </c>
      <c r="G416" s="104">
        <f t="shared" si="512"/>
        <v>0.5</v>
      </c>
      <c r="H416" s="104">
        <f t="shared" si="513"/>
        <v>0</v>
      </c>
      <c r="I416" s="110">
        <v>4.7E-2</v>
      </c>
      <c r="J416" s="107">
        <f t="shared" si="545"/>
        <v>46227</v>
      </c>
      <c r="K416" s="108">
        <f t="shared" si="546"/>
        <v>46227</v>
      </c>
      <c r="L416" s="108">
        <v>46224</v>
      </c>
      <c r="M416" s="108">
        <f t="shared" si="547"/>
        <v>46269</v>
      </c>
      <c r="N416" s="108">
        <f t="shared" si="548"/>
        <v>46269</v>
      </c>
      <c r="O416" s="108"/>
      <c r="P416" s="108">
        <f t="shared" si="549"/>
        <v>46311</v>
      </c>
      <c r="Q416" s="108">
        <f t="shared" si="550"/>
        <v>46311</v>
      </c>
      <c r="R416" s="108"/>
      <c r="S416" s="107">
        <f t="shared" si="552"/>
        <v>46325</v>
      </c>
      <c r="T416" s="108">
        <f t="shared" si="551"/>
        <v>46325</v>
      </c>
      <c r="U416" s="108"/>
      <c r="W416" s="173" t="str">
        <f t="shared" ca="1" si="557"/>
        <v>Completed</v>
      </c>
      <c r="X416" s="173" t="str">
        <f t="shared" ca="1" si="558"/>
        <v>Follow-This Week</v>
      </c>
      <c r="Y416" s="173" t="str">
        <f t="shared" ca="1" si="559"/>
        <v/>
      </c>
      <c r="Z416" s="174" t="str">
        <f t="shared" ca="1" si="560"/>
        <v/>
      </c>
    </row>
    <row r="417" spans="1:26" s="70" customFormat="1" ht="11.5" x14ac:dyDescent="0.25">
      <c r="A417" s="103" t="s">
        <v>64</v>
      </c>
      <c r="B417" s="103" t="s">
        <v>14</v>
      </c>
      <c r="C417" s="103" t="s">
        <v>1045</v>
      </c>
      <c r="D417" s="103" t="s">
        <v>497</v>
      </c>
      <c r="E417" s="104">
        <f t="shared" si="511"/>
        <v>0.5</v>
      </c>
      <c r="F417" s="104">
        <f t="shared" si="512"/>
        <v>0.5</v>
      </c>
      <c r="G417" s="104">
        <f t="shared" si="512"/>
        <v>0.5</v>
      </c>
      <c r="H417" s="104">
        <f t="shared" si="513"/>
        <v>0</v>
      </c>
      <c r="I417" s="110">
        <v>4.7E-2</v>
      </c>
      <c r="J417" s="107">
        <f t="shared" si="545"/>
        <v>46227</v>
      </c>
      <c r="K417" s="108">
        <f t="shared" si="546"/>
        <v>46227</v>
      </c>
      <c r="L417" s="108">
        <v>46224</v>
      </c>
      <c r="M417" s="108">
        <f t="shared" si="547"/>
        <v>46269</v>
      </c>
      <c r="N417" s="108">
        <f t="shared" si="548"/>
        <v>46269</v>
      </c>
      <c r="O417" s="108"/>
      <c r="P417" s="108">
        <f t="shared" si="549"/>
        <v>46311</v>
      </c>
      <c r="Q417" s="108">
        <f t="shared" si="550"/>
        <v>46311</v>
      </c>
      <c r="R417" s="108"/>
      <c r="S417" s="107">
        <f t="shared" si="552"/>
        <v>46325</v>
      </c>
      <c r="T417" s="108">
        <f t="shared" si="551"/>
        <v>46325</v>
      </c>
      <c r="U417" s="108"/>
      <c r="W417" s="173" t="str">
        <f t="shared" ca="1" si="557"/>
        <v>Completed</v>
      </c>
      <c r="X417" s="173" t="str">
        <f t="shared" ca="1" si="558"/>
        <v>Follow-This Week</v>
      </c>
      <c r="Y417" s="173" t="str">
        <f t="shared" ca="1" si="559"/>
        <v/>
      </c>
      <c r="Z417" s="174" t="str">
        <f t="shared" ca="1" si="560"/>
        <v/>
      </c>
    </row>
    <row r="418" spans="1:26" s="70" customFormat="1" ht="11.5" x14ac:dyDescent="0.25">
      <c r="A418" s="102" t="s">
        <v>64</v>
      </c>
      <c r="B418" s="103" t="s">
        <v>14</v>
      </c>
      <c r="C418" s="103" t="s">
        <v>1046</v>
      </c>
      <c r="D418" s="103" t="s">
        <v>498</v>
      </c>
      <c r="E418" s="105">
        <f t="shared" si="511"/>
        <v>0.5</v>
      </c>
      <c r="F418" s="105">
        <f t="shared" si="512"/>
        <v>0.5</v>
      </c>
      <c r="G418" s="105">
        <f t="shared" si="512"/>
        <v>0.5</v>
      </c>
      <c r="H418" s="105">
        <f t="shared" si="513"/>
        <v>0</v>
      </c>
      <c r="I418" s="106">
        <v>4.7E-2</v>
      </c>
      <c r="J418" s="107">
        <f t="shared" si="545"/>
        <v>46227</v>
      </c>
      <c r="K418" s="108">
        <f t="shared" si="546"/>
        <v>46227</v>
      </c>
      <c r="L418" s="108">
        <v>46224</v>
      </c>
      <c r="M418" s="108">
        <f t="shared" si="547"/>
        <v>46269</v>
      </c>
      <c r="N418" s="108">
        <f t="shared" si="548"/>
        <v>46269</v>
      </c>
      <c r="O418" s="108"/>
      <c r="P418" s="108">
        <f t="shared" si="549"/>
        <v>46311</v>
      </c>
      <c r="Q418" s="108">
        <f t="shared" si="550"/>
        <v>46311</v>
      </c>
      <c r="R418" s="108"/>
      <c r="S418" s="107">
        <f t="shared" si="552"/>
        <v>46325</v>
      </c>
      <c r="T418" s="108">
        <f t="shared" si="551"/>
        <v>46325</v>
      </c>
      <c r="U418" s="108"/>
      <c r="W418" s="173" t="str">
        <f t="shared" ca="1" si="557"/>
        <v>Completed</v>
      </c>
      <c r="X418" s="173" t="str">
        <f t="shared" ca="1" si="558"/>
        <v>Follow-This Week</v>
      </c>
      <c r="Y418" s="173" t="str">
        <f t="shared" ca="1" si="559"/>
        <v/>
      </c>
      <c r="Z418" s="174" t="str">
        <f t="shared" ca="1" si="560"/>
        <v/>
      </c>
    </row>
    <row r="419" spans="1:26" s="70" customFormat="1" ht="11.5" x14ac:dyDescent="0.25">
      <c r="A419" s="102" t="s">
        <v>64</v>
      </c>
      <c r="B419" s="103" t="s">
        <v>14</v>
      </c>
      <c r="C419" s="103" t="s">
        <v>1047</v>
      </c>
      <c r="D419" s="103" t="s">
        <v>499</v>
      </c>
      <c r="E419" s="105">
        <f t="shared" si="511"/>
        <v>0.5</v>
      </c>
      <c r="F419" s="105">
        <f t="shared" si="512"/>
        <v>0.5</v>
      </c>
      <c r="G419" s="105">
        <f t="shared" si="512"/>
        <v>0.5</v>
      </c>
      <c r="H419" s="105">
        <f t="shared" si="513"/>
        <v>0</v>
      </c>
      <c r="I419" s="106">
        <v>4.7E-2</v>
      </c>
      <c r="J419" s="107">
        <f t="shared" si="545"/>
        <v>46227</v>
      </c>
      <c r="K419" s="108">
        <f t="shared" si="546"/>
        <v>46227</v>
      </c>
      <c r="L419" s="108">
        <v>46224</v>
      </c>
      <c r="M419" s="108">
        <f t="shared" si="547"/>
        <v>46269</v>
      </c>
      <c r="N419" s="108">
        <f t="shared" si="548"/>
        <v>46269</v>
      </c>
      <c r="O419" s="108"/>
      <c r="P419" s="108">
        <f t="shared" si="549"/>
        <v>46311</v>
      </c>
      <c r="Q419" s="108">
        <f t="shared" si="550"/>
        <v>46311</v>
      </c>
      <c r="R419" s="108"/>
      <c r="S419" s="107">
        <f t="shared" si="552"/>
        <v>46325</v>
      </c>
      <c r="T419" s="108">
        <f t="shared" si="551"/>
        <v>46325</v>
      </c>
      <c r="U419" s="108"/>
      <c r="W419" s="173" t="str">
        <f t="shared" ca="1" si="557"/>
        <v>Completed</v>
      </c>
      <c r="X419" s="173" t="str">
        <f t="shared" ca="1" si="558"/>
        <v>Follow-This Week</v>
      </c>
      <c r="Y419" s="173" t="str">
        <f t="shared" ca="1" si="559"/>
        <v/>
      </c>
      <c r="Z419" s="174" t="str">
        <f t="shared" ca="1" si="560"/>
        <v/>
      </c>
    </row>
    <row r="420" spans="1:26" s="70" customFormat="1" ht="11.5" x14ac:dyDescent="0.25">
      <c r="A420" s="102" t="s">
        <v>64</v>
      </c>
      <c r="B420" s="103" t="s">
        <v>14</v>
      </c>
      <c r="C420" s="103" t="s">
        <v>1048</v>
      </c>
      <c r="D420" s="103" t="s">
        <v>500</v>
      </c>
      <c r="E420" s="105">
        <f t="shared" si="511"/>
        <v>0.5</v>
      </c>
      <c r="F420" s="105">
        <f t="shared" si="512"/>
        <v>0.5</v>
      </c>
      <c r="G420" s="105">
        <f t="shared" si="512"/>
        <v>0.5</v>
      </c>
      <c r="H420" s="105">
        <f t="shared" si="513"/>
        <v>0</v>
      </c>
      <c r="I420" s="106">
        <v>4.7E-2</v>
      </c>
      <c r="J420" s="107">
        <f t="shared" si="545"/>
        <v>46227</v>
      </c>
      <c r="K420" s="108">
        <f t="shared" si="546"/>
        <v>46227</v>
      </c>
      <c r="L420" s="108">
        <v>46224</v>
      </c>
      <c r="M420" s="108">
        <f t="shared" si="547"/>
        <v>46269</v>
      </c>
      <c r="N420" s="108">
        <f t="shared" si="548"/>
        <v>46269</v>
      </c>
      <c r="O420" s="108"/>
      <c r="P420" s="108">
        <f t="shared" si="549"/>
        <v>46311</v>
      </c>
      <c r="Q420" s="108">
        <f t="shared" si="550"/>
        <v>46311</v>
      </c>
      <c r="R420" s="108"/>
      <c r="S420" s="107">
        <f t="shared" si="552"/>
        <v>46325</v>
      </c>
      <c r="T420" s="108">
        <f t="shared" si="551"/>
        <v>46325</v>
      </c>
      <c r="U420" s="108"/>
      <c r="W420" s="173" t="str">
        <f t="shared" ca="1" si="557"/>
        <v>Completed</v>
      </c>
      <c r="X420" s="173" t="str">
        <f t="shared" ca="1" si="558"/>
        <v>Follow-This Week</v>
      </c>
      <c r="Y420" s="173" t="str">
        <f t="shared" ca="1" si="559"/>
        <v/>
      </c>
      <c r="Z420" s="174" t="str">
        <f t="shared" ca="1" si="560"/>
        <v/>
      </c>
    </row>
    <row r="421" spans="1:26" s="70" customFormat="1" ht="11.5" x14ac:dyDescent="0.25">
      <c r="A421" s="102" t="s">
        <v>64</v>
      </c>
      <c r="B421" s="103" t="s">
        <v>14</v>
      </c>
      <c r="C421" s="103" t="s">
        <v>1049</v>
      </c>
      <c r="D421" s="103" t="s">
        <v>501</v>
      </c>
      <c r="E421" s="105">
        <f t="shared" si="511"/>
        <v>0.5</v>
      </c>
      <c r="F421" s="105">
        <f t="shared" si="512"/>
        <v>0.5</v>
      </c>
      <c r="G421" s="105">
        <f t="shared" si="512"/>
        <v>0.5</v>
      </c>
      <c r="H421" s="105">
        <f t="shared" si="513"/>
        <v>0</v>
      </c>
      <c r="I421" s="106">
        <v>4.7E-2</v>
      </c>
      <c r="J421" s="107">
        <f t="shared" si="545"/>
        <v>46227</v>
      </c>
      <c r="K421" s="108">
        <f t="shared" si="546"/>
        <v>46227</v>
      </c>
      <c r="L421" s="108">
        <v>46224</v>
      </c>
      <c r="M421" s="108">
        <f t="shared" si="547"/>
        <v>46269</v>
      </c>
      <c r="N421" s="108">
        <f t="shared" si="548"/>
        <v>46269</v>
      </c>
      <c r="O421" s="108"/>
      <c r="P421" s="108">
        <f t="shared" si="549"/>
        <v>46311</v>
      </c>
      <c r="Q421" s="108">
        <f t="shared" si="550"/>
        <v>46311</v>
      </c>
      <c r="R421" s="108"/>
      <c r="S421" s="107">
        <f t="shared" si="552"/>
        <v>46325</v>
      </c>
      <c r="T421" s="108">
        <f t="shared" si="551"/>
        <v>46325</v>
      </c>
      <c r="U421" s="108"/>
      <c r="W421" s="173" t="str">
        <f t="shared" ca="1" si="557"/>
        <v>Completed</v>
      </c>
      <c r="X421" s="173" t="str">
        <f t="shared" ca="1" si="558"/>
        <v>Follow-This Week</v>
      </c>
      <c r="Y421" s="173" t="str">
        <f t="shared" ca="1" si="559"/>
        <v/>
      </c>
      <c r="Z421" s="174" t="str">
        <f t="shared" ca="1" si="560"/>
        <v/>
      </c>
    </row>
    <row r="422" spans="1:26" s="70" customFormat="1" ht="11.5" x14ac:dyDescent="0.25">
      <c r="A422" s="102" t="s">
        <v>64</v>
      </c>
      <c r="B422" s="103" t="s">
        <v>14</v>
      </c>
      <c r="C422" s="103" t="s">
        <v>502</v>
      </c>
      <c r="D422" s="103" t="s">
        <v>503</v>
      </c>
      <c r="E422" s="105">
        <f t="shared" si="511"/>
        <v>0.5</v>
      </c>
      <c r="F422" s="105">
        <f t="shared" si="512"/>
        <v>0.5</v>
      </c>
      <c r="G422" s="105">
        <f t="shared" si="512"/>
        <v>0</v>
      </c>
      <c r="H422" s="105">
        <f t="shared" si="513"/>
        <v>-0.5</v>
      </c>
      <c r="I422" s="106">
        <v>4.7E-2</v>
      </c>
      <c r="J422" s="107">
        <f t="shared" si="545"/>
        <v>46234</v>
      </c>
      <c r="K422" s="108">
        <f t="shared" si="546"/>
        <v>46234</v>
      </c>
      <c r="L422" s="108"/>
      <c r="M422" s="108">
        <f t="shared" si="547"/>
        <v>46276</v>
      </c>
      <c r="N422" s="108">
        <f t="shared" si="548"/>
        <v>46276</v>
      </c>
      <c r="O422" s="108"/>
      <c r="P422" s="108">
        <f t="shared" si="549"/>
        <v>46318</v>
      </c>
      <c r="Q422" s="108">
        <f t="shared" si="550"/>
        <v>46318</v>
      </c>
      <c r="R422" s="108"/>
      <c r="S422" s="107">
        <f t="shared" si="552"/>
        <v>46332</v>
      </c>
      <c r="T422" s="108">
        <f t="shared" si="551"/>
        <v>46332</v>
      </c>
      <c r="U422" s="108"/>
      <c r="W422" s="173" t="str">
        <f t="shared" ca="1" si="557"/>
        <v>Overdue</v>
      </c>
      <c r="X422" s="173" t="str">
        <f t="shared" ca="1" si="558"/>
        <v>Follow-Next Week</v>
      </c>
      <c r="Y422" s="173" t="str">
        <f t="shared" ca="1" si="559"/>
        <v/>
      </c>
      <c r="Z422" s="174" t="str">
        <f t="shared" ca="1" si="560"/>
        <v/>
      </c>
    </row>
    <row r="423" spans="1:26" s="70" customFormat="1" ht="11.5" x14ac:dyDescent="0.25">
      <c r="A423" s="102" t="s">
        <v>64</v>
      </c>
      <c r="B423" s="103" t="s">
        <v>14</v>
      </c>
      <c r="C423" s="103" t="s">
        <v>504</v>
      </c>
      <c r="D423" s="103" t="s">
        <v>505</v>
      </c>
      <c r="E423" s="105">
        <f t="shared" si="511"/>
        <v>0.5</v>
      </c>
      <c r="F423" s="105">
        <f t="shared" si="512"/>
        <v>0.5</v>
      </c>
      <c r="G423" s="105">
        <f t="shared" si="512"/>
        <v>0</v>
      </c>
      <c r="H423" s="105">
        <f t="shared" si="513"/>
        <v>-0.5</v>
      </c>
      <c r="I423" s="106">
        <v>4.7E-2</v>
      </c>
      <c r="J423" s="107">
        <f t="shared" si="545"/>
        <v>46234</v>
      </c>
      <c r="K423" s="108">
        <f t="shared" si="546"/>
        <v>46234</v>
      </c>
      <c r="L423" s="108"/>
      <c r="M423" s="108">
        <f t="shared" si="547"/>
        <v>46276</v>
      </c>
      <c r="N423" s="108">
        <f t="shared" si="548"/>
        <v>46276</v>
      </c>
      <c r="O423" s="108"/>
      <c r="P423" s="108">
        <f t="shared" si="549"/>
        <v>46318</v>
      </c>
      <c r="Q423" s="108">
        <f t="shared" si="550"/>
        <v>46318</v>
      </c>
      <c r="R423" s="108"/>
      <c r="S423" s="107">
        <f t="shared" si="552"/>
        <v>46332</v>
      </c>
      <c r="T423" s="108">
        <f t="shared" si="551"/>
        <v>46332</v>
      </c>
      <c r="U423" s="108"/>
      <c r="W423" s="173" t="str">
        <f t="shared" ca="1" si="557"/>
        <v>Overdue</v>
      </c>
      <c r="X423" s="173" t="str">
        <f t="shared" ca="1" si="558"/>
        <v>Follow-Next Week</v>
      </c>
      <c r="Y423" s="173" t="str">
        <f t="shared" ca="1" si="559"/>
        <v/>
      </c>
      <c r="Z423" s="174" t="str">
        <f t="shared" ca="1" si="560"/>
        <v/>
      </c>
    </row>
    <row r="424" spans="1:26" s="84" customFormat="1" ht="11.5" x14ac:dyDescent="0.25">
      <c r="A424" s="102" t="s">
        <v>64</v>
      </c>
      <c r="B424" s="103" t="s">
        <v>14</v>
      </c>
      <c r="C424" s="103" t="s">
        <v>506</v>
      </c>
      <c r="D424" s="103" t="s">
        <v>507</v>
      </c>
      <c r="E424" s="105">
        <f t="shared" si="511"/>
        <v>0.5</v>
      </c>
      <c r="F424" s="105">
        <f t="shared" si="512"/>
        <v>0.5</v>
      </c>
      <c r="G424" s="105">
        <f t="shared" si="512"/>
        <v>0</v>
      </c>
      <c r="H424" s="105">
        <f t="shared" si="513"/>
        <v>-0.5</v>
      </c>
      <c r="I424" s="106">
        <v>4.7E-2</v>
      </c>
      <c r="J424" s="107">
        <f t="shared" si="545"/>
        <v>46234</v>
      </c>
      <c r="K424" s="108">
        <f t="shared" si="546"/>
        <v>46234</v>
      </c>
      <c r="L424" s="111"/>
      <c r="M424" s="108">
        <f t="shared" si="547"/>
        <v>46276</v>
      </c>
      <c r="N424" s="108">
        <f t="shared" si="548"/>
        <v>46276</v>
      </c>
      <c r="O424" s="111"/>
      <c r="P424" s="108">
        <f t="shared" si="549"/>
        <v>46318</v>
      </c>
      <c r="Q424" s="108">
        <f t="shared" si="550"/>
        <v>46318</v>
      </c>
      <c r="R424" s="111"/>
      <c r="S424" s="107">
        <f t="shared" si="552"/>
        <v>46332</v>
      </c>
      <c r="T424" s="108">
        <f t="shared" si="551"/>
        <v>46332</v>
      </c>
      <c r="U424" s="103"/>
      <c r="W424" s="173" t="str">
        <f t="shared" ca="1" si="557"/>
        <v>Overdue</v>
      </c>
      <c r="X424" s="173" t="str">
        <f t="shared" ca="1" si="558"/>
        <v>Follow-Next Week</v>
      </c>
      <c r="Y424" s="173" t="str">
        <f t="shared" ca="1" si="559"/>
        <v/>
      </c>
      <c r="Z424" s="174" t="str">
        <f t="shared" ca="1" si="560"/>
        <v/>
      </c>
    </row>
    <row r="425" spans="1:26" s="70" customFormat="1" ht="11.5" x14ac:dyDescent="0.25">
      <c r="A425" s="102" t="s">
        <v>64</v>
      </c>
      <c r="B425" s="103" t="s">
        <v>14</v>
      </c>
      <c r="C425" s="103" t="s">
        <v>1050</v>
      </c>
      <c r="D425" s="103" t="s">
        <v>508</v>
      </c>
      <c r="E425" s="105">
        <f t="shared" si="511"/>
        <v>0.5</v>
      </c>
      <c r="F425" s="105">
        <f t="shared" si="512"/>
        <v>0.5</v>
      </c>
      <c r="G425" s="105">
        <f t="shared" si="512"/>
        <v>0.7</v>
      </c>
      <c r="H425" s="105">
        <f t="shared" si="513"/>
        <v>0.19999999999999996</v>
      </c>
      <c r="I425" s="106">
        <v>4.7E-2</v>
      </c>
      <c r="J425" s="107">
        <f t="shared" si="545"/>
        <v>46234</v>
      </c>
      <c r="K425" s="107">
        <f t="shared" si="546"/>
        <v>46234</v>
      </c>
      <c r="L425" s="107">
        <v>46247</v>
      </c>
      <c r="M425" s="108">
        <f t="shared" si="547"/>
        <v>46276</v>
      </c>
      <c r="N425" s="107">
        <f t="shared" si="548"/>
        <v>46276</v>
      </c>
      <c r="O425" s="165">
        <v>46262</v>
      </c>
      <c r="P425" s="108">
        <f t="shared" si="549"/>
        <v>46318</v>
      </c>
      <c r="Q425" s="107">
        <f t="shared" si="550"/>
        <v>46318</v>
      </c>
      <c r="R425" s="108"/>
      <c r="S425" s="107">
        <f t="shared" si="552"/>
        <v>46332</v>
      </c>
      <c r="T425" s="107">
        <f t="shared" si="551"/>
        <v>46332</v>
      </c>
      <c r="U425" s="108"/>
      <c r="W425" s="173" t="str">
        <f t="shared" ca="1" si="557"/>
        <v>Completed</v>
      </c>
      <c r="X425" s="173" t="str">
        <f t="shared" ca="1" si="558"/>
        <v>Completed</v>
      </c>
      <c r="Y425" s="173" t="str">
        <f t="shared" ca="1" si="559"/>
        <v/>
      </c>
      <c r="Z425" s="174" t="str">
        <f t="shared" ca="1" si="560"/>
        <v/>
      </c>
    </row>
    <row r="426" spans="1:26" s="70" customFormat="1" ht="11.5" x14ac:dyDescent="0.25">
      <c r="A426" s="102" t="s">
        <v>64</v>
      </c>
      <c r="B426" s="103" t="s">
        <v>14</v>
      </c>
      <c r="C426" s="103" t="s">
        <v>1051</v>
      </c>
      <c r="D426" s="103" t="s">
        <v>509</v>
      </c>
      <c r="E426" s="105">
        <f t="shared" si="511"/>
        <v>0.5</v>
      </c>
      <c r="F426" s="105">
        <f t="shared" si="512"/>
        <v>0.5</v>
      </c>
      <c r="G426" s="105">
        <f t="shared" si="512"/>
        <v>0.7</v>
      </c>
      <c r="H426" s="105">
        <f t="shared" si="513"/>
        <v>0.19999999999999996</v>
      </c>
      <c r="I426" s="106">
        <v>4.7E-2</v>
      </c>
      <c r="J426" s="107">
        <f t="shared" si="545"/>
        <v>46234</v>
      </c>
      <c r="K426" s="107">
        <f t="shared" si="546"/>
        <v>46234</v>
      </c>
      <c r="L426" s="107">
        <v>46247</v>
      </c>
      <c r="M426" s="108">
        <f t="shared" si="547"/>
        <v>46276</v>
      </c>
      <c r="N426" s="107">
        <f t="shared" si="548"/>
        <v>46276</v>
      </c>
      <c r="O426" s="165">
        <v>46262</v>
      </c>
      <c r="P426" s="108">
        <f t="shared" si="549"/>
        <v>46318</v>
      </c>
      <c r="Q426" s="107">
        <f t="shared" si="550"/>
        <v>46318</v>
      </c>
      <c r="R426" s="108"/>
      <c r="S426" s="107">
        <f t="shared" si="552"/>
        <v>46332</v>
      </c>
      <c r="T426" s="107">
        <f t="shared" si="551"/>
        <v>46332</v>
      </c>
      <c r="U426" s="108"/>
      <c r="W426" s="173" t="str">
        <f t="shared" ca="1" si="557"/>
        <v>Completed</v>
      </c>
      <c r="X426" s="173" t="str">
        <f t="shared" ca="1" si="558"/>
        <v>Completed</v>
      </c>
      <c r="Y426" s="173" t="str">
        <f t="shared" ca="1" si="559"/>
        <v/>
      </c>
      <c r="Z426" s="174" t="str">
        <f t="shared" ca="1" si="560"/>
        <v/>
      </c>
    </row>
    <row r="427" spans="1:26" s="70" customFormat="1" ht="11.5" x14ac:dyDescent="0.25">
      <c r="A427" s="102" t="s">
        <v>64</v>
      </c>
      <c r="B427" s="103" t="s">
        <v>14</v>
      </c>
      <c r="C427" s="103" t="s">
        <v>1052</v>
      </c>
      <c r="D427" s="103" t="s">
        <v>510</v>
      </c>
      <c r="E427" s="105">
        <f t="shared" si="511"/>
        <v>0.5</v>
      </c>
      <c r="F427" s="105">
        <f t="shared" si="512"/>
        <v>0.5</v>
      </c>
      <c r="G427" s="105">
        <f t="shared" si="512"/>
        <v>0.7</v>
      </c>
      <c r="H427" s="105">
        <f t="shared" si="513"/>
        <v>0.19999999999999996</v>
      </c>
      <c r="I427" s="106">
        <v>4.7E-2</v>
      </c>
      <c r="J427" s="107">
        <f t="shared" si="545"/>
        <v>46234</v>
      </c>
      <c r="K427" s="107">
        <f t="shared" si="546"/>
        <v>46234</v>
      </c>
      <c r="L427" s="107">
        <v>46247</v>
      </c>
      <c r="M427" s="108">
        <f t="shared" si="547"/>
        <v>46276</v>
      </c>
      <c r="N427" s="107">
        <f t="shared" si="548"/>
        <v>46276</v>
      </c>
      <c r="O427" s="165">
        <v>46262</v>
      </c>
      <c r="P427" s="108">
        <f t="shared" si="549"/>
        <v>46318</v>
      </c>
      <c r="Q427" s="107">
        <f t="shared" si="550"/>
        <v>46318</v>
      </c>
      <c r="R427" s="108"/>
      <c r="S427" s="107">
        <f t="shared" si="552"/>
        <v>46332</v>
      </c>
      <c r="T427" s="107">
        <f t="shared" si="551"/>
        <v>46332</v>
      </c>
      <c r="U427" s="108"/>
      <c r="W427" s="173" t="str">
        <f t="shared" ca="1" si="557"/>
        <v>Completed</v>
      </c>
      <c r="X427" s="173" t="str">
        <f t="shared" ca="1" si="558"/>
        <v>Completed</v>
      </c>
      <c r="Y427" s="173" t="str">
        <f t="shared" ca="1" si="559"/>
        <v/>
      </c>
      <c r="Z427" s="174" t="str">
        <f t="shared" ca="1" si="560"/>
        <v/>
      </c>
    </row>
    <row r="428" spans="1:26" s="70" customFormat="1" ht="11.5" x14ac:dyDescent="0.25">
      <c r="A428" s="102" t="s">
        <v>64</v>
      </c>
      <c r="B428" s="103" t="s">
        <v>14</v>
      </c>
      <c r="C428" s="103" t="s">
        <v>1053</v>
      </c>
      <c r="D428" s="103" t="s">
        <v>511</v>
      </c>
      <c r="E428" s="105">
        <f t="shared" si="511"/>
        <v>0.5</v>
      </c>
      <c r="F428" s="105">
        <f t="shared" si="512"/>
        <v>0.5</v>
      </c>
      <c r="G428" s="105">
        <f t="shared" si="512"/>
        <v>0.7</v>
      </c>
      <c r="H428" s="105">
        <f t="shared" si="513"/>
        <v>0.19999999999999996</v>
      </c>
      <c r="I428" s="106">
        <v>4.7E-2</v>
      </c>
      <c r="J428" s="107">
        <f t="shared" si="545"/>
        <v>46234</v>
      </c>
      <c r="K428" s="107">
        <f t="shared" si="546"/>
        <v>46234</v>
      </c>
      <c r="L428" s="107">
        <v>46247</v>
      </c>
      <c r="M428" s="108">
        <f t="shared" si="547"/>
        <v>46276</v>
      </c>
      <c r="N428" s="107">
        <f t="shared" si="548"/>
        <v>46276</v>
      </c>
      <c r="O428" s="165">
        <v>46262</v>
      </c>
      <c r="P428" s="108">
        <f t="shared" si="549"/>
        <v>46318</v>
      </c>
      <c r="Q428" s="107">
        <f t="shared" si="550"/>
        <v>46318</v>
      </c>
      <c r="R428" s="108"/>
      <c r="S428" s="107">
        <f t="shared" si="552"/>
        <v>46332</v>
      </c>
      <c r="T428" s="107">
        <f t="shared" si="551"/>
        <v>46332</v>
      </c>
      <c r="U428" s="108"/>
      <c r="W428" s="173" t="str">
        <f t="shared" ca="1" si="557"/>
        <v>Completed</v>
      </c>
      <c r="X428" s="173" t="str">
        <f t="shared" ca="1" si="558"/>
        <v>Completed</v>
      </c>
      <c r="Y428" s="173" t="str">
        <f t="shared" ca="1" si="559"/>
        <v/>
      </c>
      <c r="Z428" s="174" t="str">
        <f t="shared" ca="1" si="560"/>
        <v/>
      </c>
    </row>
    <row r="429" spans="1:26" s="70" customFormat="1" ht="11.5" x14ac:dyDescent="0.25">
      <c r="A429" s="102" t="s">
        <v>64</v>
      </c>
      <c r="B429" s="103" t="s">
        <v>14</v>
      </c>
      <c r="C429" s="103" t="s">
        <v>1054</v>
      </c>
      <c r="D429" s="103" t="s">
        <v>512</v>
      </c>
      <c r="E429" s="105">
        <f t="shared" ref="E429:E431" si="561">(COUNTIFS(J429,"&lt;="&amp;$C$1)*50%)+(COUNTIFS(M429,"&lt;="&amp;$C$1)*20%)+(COUNTIFS(P429,"&lt;="&amp;$C$1)*10%)+(COUNTIFS(S429,"&lt;="&amp;$C$1)*20%)</f>
        <v>0.5</v>
      </c>
      <c r="F429" s="105">
        <f t="shared" ref="F429:F431" si="562">(COUNTIFS(K429,"&lt;="&amp;$C$1)*50%)+(COUNTIFS(N429,"&lt;="&amp;$C$1)*20%)+(COUNTIFS(Q429,"&lt;="&amp;$C$1)*10%)+(COUNTIFS(T429,"&lt;="&amp;$C$1)*20%)</f>
        <v>0.5</v>
      </c>
      <c r="G429" s="105">
        <f t="shared" ref="G429:G431" si="563">(COUNTIFS(L429,"&lt;="&amp;$C$1)*50%)+(COUNTIFS(O429,"&lt;="&amp;$C$1)*20%)+(COUNTIFS(R429,"&lt;="&amp;$C$1)*10%)+(COUNTIFS(U429,"&lt;="&amp;$C$1)*20%)</f>
        <v>0.7</v>
      </c>
      <c r="H429" s="105">
        <f t="shared" ref="H429:H431" si="564">G429-E429</f>
        <v>0.19999999999999996</v>
      </c>
      <c r="I429" s="106">
        <v>4.7E-2</v>
      </c>
      <c r="J429" s="107">
        <f t="shared" si="545"/>
        <v>46234</v>
      </c>
      <c r="K429" s="107">
        <f t="shared" si="546"/>
        <v>46234</v>
      </c>
      <c r="L429" s="107">
        <v>46247</v>
      </c>
      <c r="M429" s="108">
        <f t="shared" si="547"/>
        <v>46276</v>
      </c>
      <c r="N429" s="107">
        <f t="shared" si="548"/>
        <v>46276</v>
      </c>
      <c r="O429" s="165">
        <v>46262</v>
      </c>
      <c r="P429" s="108">
        <f t="shared" si="549"/>
        <v>46318</v>
      </c>
      <c r="Q429" s="107">
        <f t="shared" si="550"/>
        <v>46318</v>
      </c>
      <c r="R429" s="108"/>
      <c r="S429" s="107">
        <f t="shared" si="552"/>
        <v>46332</v>
      </c>
      <c r="T429" s="107">
        <f t="shared" si="551"/>
        <v>46332</v>
      </c>
      <c r="U429" s="108"/>
      <c r="W429" s="173" t="str">
        <f t="shared" ca="1" si="557"/>
        <v>Completed</v>
      </c>
      <c r="X429" s="173" t="str">
        <f t="shared" ca="1" si="558"/>
        <v>Completed</v>
      </c>
      <c r="Y429" s="173" t="str">
        <f t="shared" ca="1" si="559"/>
        <v/>
      </c>
      <c r="Z429" s="174" t="str">
        <f t="shared" ca="1" si="560"/>
        <v/>
      </c>
    </row>
    <row r="430" spans="1:26" s="70" customFormat="1" ht="11.5" x14ac:dyDescent="0.25">
      <c r="A430" s="102" t="s">
        <v>64</v>
      </c>
      <c r="B430" s="102" t="s">
        <v>14</v>
      </c>
      <c r="C430" s="102" t="s">
        <v>1055</v>
      </c>
      <c r="D430" s="102" t="s">
        <v>513</v>
      </c>
      <c r="E430" s="105">
        <f t="shared" si="561"/>
        <v>0.5</v>
      </c>
      <c r="F430" s="105">
        <f t="shared" si="562"/>
        <v>0.5</v>
      </c>
      <c r="G430" s="105">
        <f t="shared" si="563"/>
        <v>0.7</v>
      </c>
      <c r="H430" s="105">
        <f t="shared" si="564"/>
        <v>0.19999999999999996</v>
      </c>
      <c r="I430" s="106">
        <v>4.7E-2</v>
      </c>
      <c r="J430" s="107">
        <f t="shared" si="545"/>
        <v>46234</v>
      </c>
      <c r="K430" s="107">
        <f t="shared" si="546"/>
        <v>46234</v>
      </c>
      <c r="L430" s="107">
        <v>46247</v>
      </c>
      <c r="M430" s="108">
        <f t="shared" si="547"/>
        <v>46276</v>
      </c>
      <c r="N430" s="107">
        <f t="shared" si="548"/>
        <v>46276</v>
      </c>
      <c r="O430" s="165">
        <v>46262</v>
      </c>
      <c r="P430" s="108">
        <f t="shared" si="549"/>
        <v>46318</v>
      </c>
      <c r="Q430" s="107">
        <f t="shared" si="550"/>
        <v>46318</v>
      </c>
      <c r="R430" s="108"/>
      <c r="S430" s="107">
        <f t="shared" si="552"/>
        <v>46332</v>
      </c>
      <c r="T430" s="107">
        <f t="shared" si="551"/>
        <v>46332</v>
      </c>
      <c r="U430" s="108"/>
      <c r="W430" s="173" t="str">
        <f t="shared" ca="1" si="557"/>
        <v>Completed</v>
      </c>
      <c r="X430" s="173" t="str">
        <f t="shared" ca="1" si="558"/>
        <v>Completed</v>
      </c>
      <c r="Y430" s="173" t="str">
        <f t="shared" ca="1" si="559"/>
        <v/>
      </c>
      <c r="Z430" s="174" t="str">
        <f t="shared" ca="1" si="560"/>
        <v/>
      </c>
    </row>
    <row r="431" spans="1:26" s="70" customFormat="1" ht="11.5" x14ac:dyDescent="0.25">
      <c r="A431" s="102" t="s">
        <v>64</v>
      </c>
      <c r="B431" s="102" t="s">
        <v>14</v>
      </c>
      <c r="C431" s="102" t="s">
        <v>514</v>
      </c>
      <c r="D431" s="102" t="s">
        <v>515</v>
      </c>
      <c r="E431" s="105">
        <f t="shared" si="561"/>
        <v>0.5</v>
      </c>
      <c r="F431" s="105">
        <f t="shared" si="562"/>
        <v>0.5</v>
      </c>
      <c r="G431" s="105">
        <f t="shared" si="563"/>
        <v>0</v>
      </c>
      <c r="H431" s="105">
        <f t="shared" si="564"/>
        <v>-0.5</v>
      </c>
      <c r="I431" s="106">
        <v>4.7E-2</v>
      </c>
      <c r="J431" s="107">
        <f t="shared" si="545"/>
        <v>46234</v>
      </c>
      <c r="K431" s="107">
        <f t="shared" si="546"/>
        <v>46234</v>
      </c>
      <c r="L431" s="108"/>
      <c r="M431" s="108">
        <f t="shared" si="547"/>
        <v>46276</v>
      </c>
      <c r="N431" s="107">
        <f t="shared" si="548"/>
        <v>46276</v>
      </c>
      <c r="O431" s="108"/>
      <c r="P431" s="108">
        <f t="shared" si="549"/>
        <v>46318</v>
      </c>
      <c r="Q431" s="107">
        <f t="shared" si="550"/>
        <v>46318</v>
      </c>
      <c r="R431" s="108"/>
      <c r="S431" s="107">
        <f t="shared" si="552"/>
        <v>46332</v>
      </c>
      <c r="T431" s="107">
        <f t="shared" si="551"/>
        <v>46332</v>
      </c>
      <c r="U431" s="108"/>
      <c r="W431" s="173" t="str">
        <f t="shared" ca="1" si="557"/>
        <v>Overdue</v>
      </c>
      <c r="X431" s="173" t="str">
        <f t="shared" ca="1" si="558"/>
        <v>Follow-Next Week</v>
      </c>
      <c r="Y431" s="173" t="str">
        <f t="shared" ca="1" si="559"/>
        <v/>
      </c>
      <c r="Z431" s="174" t="str">
        <f t="shared" ca="1" si="560"/>
        <v/>
      </c>
    </row>
    <row r="432" spans="1:26" s="70" customFormat="1" ht="11.5" x14ac:dyDescent="0.25">
      <c r="A432" s="102" t="s">
        <v>64</v>
      </c>
      <c r="B432" s="102" t="s">
        <v>14</v>
      </c>
      <c r="C432" s="102" t="s">
        <v>516</v>
      </c>
      <c r="D432" s="102" t="s">
        <v>517</v>
      </c>
      <c r="E432" s="105">
        <f t="shared" si="511"/>
        <v>0.5</v>
      </c>
      <c r="F432" s="105">
        <f t="shared" si="512"/>
        <v>0.5</v>
      </c>
      <c r="G432" s="105">
        <f t="shared" si="512"/>
        <v>0</v>
      </c>
      <c r="H432" s="105">
        <f t="shared" si="513"/>
        <v>-0.5</v>
      </c>
      <c r="I432" s="106">
        <v>4.7E-2</v>
      </c>
      <c r="J432" s="107">
        <f t="shared" si="545"/>
        <v>46234</v>
      </c>
      <c r="K432" s="108">
        <f t="shared" si="546"/>
        <v>46234</v>
      </c>
      <c r="L432" s="108"/>
      <c r="M432" s="108">
        <f t="shared" si="547"/>
        <v>46276</v>
      </c>
      <c r="N432" s="108">
        <f t="shared" si="548"/>
        <v>46276</v>
      </c>
      <c r="O432" s="108"/>
      <c r="P432" s="108">
        <f t="shared" si="549"/>
        <v>46318</v>
      </c>
      <c r="Q432" s="108">
        <f t="shared" si="550"/>
        <v>46318</v>
      </c>
      <c r="R432" s="108"/>
      <c r="S432" s="107">
        <f t="shared" si="552"/>
        <v>46332</v>
      </c>
      <c r="T432" s="108">
        <f t="shared" si="551"/>
        <v>46332</v>
      </c>
      <c r="U432" s="108"/>
      <c r="W432" s="173" t="str">
        <f t="shared" ca="1" si="557"/>
        <v>Overdue</v>
      </c>
      <c r="X432" s="173" t="str">
        <f t="shared" ca="1" si="558"/>
        <v>Follow-Next Week</v>
      </c>
      <c r="Y432" s="173" t="str">
        <f t="shared" ca="1" si="559"/>
        <v/>
      </c>
      <c r="Z432" s="174" t="str">
        <f t="shared" ca="1" si="560"/>
        <v/>
      </c>
    </row>
    <row r="433" spans="1:26" s="70" customFormat="1" ht="11.5" x14ac:dyDescent="0.25">
      <c r="A433" s="102" t="s">
        <v>64</v>
      </c>
      <c r="B433" s="102" t="s">
        <v>14</v>
      </c>
      <c r="C433" s="102" t="s">
        <v>518</v>
      </c>
      <c r="D433" s="102" t="s">
        <v>519</v>
      </c>
      <c r="E433" s="105">
        <f t="shared" si="511"/>
        <v>0.5</v>
      </c>
      <c r="F433" s="105">
        <f t="shared" si="512"/>
        <v>0.5</v>
      </c>
      <c r="G433" s="105">
        <f t="shared" si="512"/>
        <v>0.7</v>
      </c>
      <c r="H433" s="105">
        <f t="shared" si="513"/>
        <v>0.19999999999999996</v>
      </c>
      <c r="I433" s="106">
        <v>4.7E-2</v>
      </c>
      <c r="J433" s="107">
        <f t="shared" si="545"/>
        <v>46234</v>
      </c>
      <c r="K433" s="108">
        <f t="shared" si="546"/>
        <v>46234</v>
      </c>
      <c r="L433" s="108">
        <v>46220</v>
      </c>
      <c r="M433" s="108">
        <f t="shared" si="547"/>
        <v>46276</v>
      </c>
      <c r="N433" s="108">
        <f t="shared" si="548"/>
        <v>46276</v>
      </c>
      <c r="O433" s="107">
        <v>46233</v>
      </c>
      <c r="P433" s="108">
        <f t="shared" si="549"/>
        <v>46318</v>
      </c>
      <c r="Q433" s="108">
        <f t="shared" si="550"/>
        <v>46318</v>
      </c>
      <c r="R433" s="108"/>
      <c r="S433" s="107">
        <f t="shared" si="552"/>
        <v>46332</v>
      </c>
      <c r="T433" s="108">
        <f t="shared" si="551"/>
        <v>46332</v>
      </c>
      <c r="U433" s="108"/>
      <c r="W433" s="173" t="str">
        <f t="shared" ca="1" si="557"/>
        <v>Completed</v>
      </c>
      <c r="X433" s="173" t="str">
        <f t="shared" ca="1" si="558"/>
        <v>Completed</v>
      </c>
      <c r="Y433" s="173" t="str">
        <f t="shared" ca="1" si="559"/>
        <v/>
      </c>
      <c r="Z433" s="174" t="str">
        <f t="shared" ca="1" si="560"/>
        <v/>
      </c>
    </row>
    <row r="434" spans="1:26" s="70" customFormat="1" ht="11.5" x14ac:dyDescent="0.25">
      <c r="A434" s="102" t="s">
        <v>64</v>
      </c>
      <c r="B434" s="102" t="s">
        <v>14</v>
      </c>
      <c r="C434" s="102" t="s">
        <v>1056</v>
      </c>
      <c r="D434" s="102" t="s">
        <v>520</v>
      </c>
      <c r="E434" s="105">
        <f t="shared" si="511"/>
        <v>0.5</v>
      </c>
      <c r="F434" s="105">
        <f t="shared" si="512"/>
        <v>0.5</v>
      </c>
      <c r="G434" s="105">
        <f t="shared" si="512"/>
        <v>0</v>
      </c>
      <c r="H434" s="105">
        <f t="shared" si="513"/>
        <v>-0.5</v>
      </c>
      <c r="I434" s="106">
        <v>4.7E-2</v>
      </c>
      <c r="J434" s="107">
        <f t="shared" si="545"/>
        <v>46234</v>
      </c>
      <c r="K434" s="108">
        <f t="shared" si="546"/>
        <v>46234</v>
      </c>
      <c r="L434" s="108"/>
      <c r="M434" s="108">
        <f t="shared" si="547"/>
        <v>46276</v>
      </c>
      <c r="N434" s="108">
        <f t="shared" si="548"/>
        <v>46276</v>
      </c>
      <c r="O434" s="108"/>
      <c r="P434" s="108">
        <f t="shared" si="549"/>
        <v>46318</v>
      </c>
      <c r="Q434" s="108">
        <f t="shared" si="550"/>
        <v>46318</v>
      </c>
      <c r="R434" s="108"/>
      <c r="S434" s="107">
        <f t="shared" si="552"/>
        <v>46332</v>
      </c>
      <c r="T434" s="108">
        <f t="shared" si="551"/>
        <v>46332</v>
      </c>
      <c r="U434" s="108"/>
      <c r="W434" s="173" t="str">
        <f t="shared" ca="1" si="557"/>
        <v>Overdue</v>
      </c>
      <c r="X434" s="173" t="str">
        <f t="shared" ca="1" si="558"/>
        <v>Follow-Next Week</v>
      </c>
      <c r="Y434" s="173" t="str">
        <f t="shared" ca="1" si="559"/>
        <v/>
      </c>
      <c r="Z434" s="174" t="str">
        <f t="shared" ca="1" si="560"/>
        <v/>
      </c>
    </row>
    <row r="435" spans="1:26" s="70" customFormat="1" ht="11.5" x14ac:dyDescent="0.25">
      <c r="A435" s="102" t="s">
        <v>64</v>
      </c>
      <c r="B435" s="102" t="s">
        <v>14</v>
      </c>
      <c r="C435" s="102" t="s">
        <v>521</v>
      </c>
      <c r="D435" s="102" t="s">
        <v>522</v>
      </c>
      <c r="E435" s="105">
        <f t="shared" si="511"/>
        <v>0.5</v>
      </c>
      <c r="F435" s="105">
        <f t="shared" si="512"/>
        <v>0.5</v>
      </c>
      <c r="G435" s="105">
        <f t="shared" si="512"/>
        <v>0</v>
      </c>
      <c r="H435" s="105">
        <f t="shared" si="513"/>
        <v>-0.5</v>
      </c>
      <c r="I435" s="106">
        <v>4.7E-2</v>
      </c>
      <c r="J435" s="107">
        <f t="shared" si="545"/>
        <v>46234</v>
      </c>
      <c r="K435" s="108">
        <f t="shared" si="546"/>
        <v>46234</v>
      </c>
      <c r="L435" s="108"/>
      <c r="M435" s="108">
        <f t="shared" si="547"/>
        <v>46276</v>
      </c>
      <c r="N435" s="108">
        <f t="shared" si="548"/>
        <v>46276</v>
      </c>
      <c r="O435" s="108"/>
      <c r="P435" s="108">
        <f t="shared" si="549"/>
        <v>46318</v>
      </c>
      <c r="Q435" s="108">
        <f t="shared" si="550"/>
        <v>46318</v>
      </c>
      <c r="R435" s="108"/>
      <c r="S435" s="107">
        <f t="shared" si="552"/>
        <v>46332</v>
      </c>
      <c r="T435" s="108">
        <f t="shared" si="551"/>
        <v>46332</v>
      </c>
      <c r="U435" s="108"/>
      <c r="W435" s="173" t="str">
        <f t="shared" ca="1" si="557"/>
        <v>Overdue</v>
      </c>
      <c r="X435" s="173" t="str">
        <f t="shared" ca="1" si="558"/>
        <v>Follow-Next Week</v>
      </c>
      <c r="Y435" s="173" t="str">
        <f t="shared" ca="1" si="559"/>
        <v/>
      </c>
      <c r="Z435" s="174" t="str">
        <f t="shared" ca="1" si="560"/>
        <v/>
      </c>
    </row>
    <row r="436" spans="1:26" s="70" customFormat="1" ht="11.5" x14ac:dyDescent="0.25">
      <c r="A436" s="102" t="s">
        <v>64</v>
      </c>
      <c r="B436" s="102" t="s">
        <v>14</v>
      </c>
      <c r="C436" s="102" t="s">
        <v>523</v>
      </c>
      <c r="D436" s="102" t="s">
        <v>524</v>
      </c>
      <c r="E436" s="105">
        <f t="shared" si="511"/>
        <v>0.5</v>
      </c>
      <c r="F436" s="105">
        <f t="shared" si="512"/>
        <v>0.5</v>
      </c>
      <c r="G436" s="105">
        <f t="shared" si="512"/>
        <v>0</v>
      </c>
      <c r="H436" s="105">
        <f t="shared" si="513"/>
        <v>-0.5</v>
      </c>
      <c r="I436" s="106">
        <v>4.7E-2</v>
      </c>
      <c r="J436" s="107">
        <f t="shared" si="545"/>
        <v>46234</v>
      </c>
      <c r="K436" s="107">
        <f t="shared" si="546"/>
        <v>46234</v>
      </c>
      <c r="L436" s="108"/>
      <c r="M436" s="108">
        <f t="shared" si="547"/>
        <v>46276</v>
      </c>
      <c r="N436" s="107">
        <f t="shared" si="548"/>
        <v>46276</v>
      </c>
      <c r="O436" s="108"/>
      <c r="P436" s="108">
        <f t="shared" si="549"/>
        <v>46318</v>
      </c>
      <c r="Q436" s="107">
        <f t="shared" si="550"/>
        <v>46318</v>
      </c>
      <c r="R436" s="108"/>
      <c r="S436" s="107">
        <f t="shared" si="552"/>
        <v>46332</v>
      </c>
      <c r="T436" s="107">
        <f t="shared" si="551"/>
        <v>46332</v>
      </c>
      <c r="U436" s="108"/>
      <c r="W436" s="173" t="str">
        <f t="shared" ca="1" si="557"/>
        <v>Overdue</v>
      </c>
      <c r="X436" s="173" t="str">
        <f t="shared" ca="1" si="558"/>
        <v>Follow-Next Week</v>
      </c>
      <c r="Y436" s="173" t="str">
        <f t="shared" ca="1" si="559"/>
        <v/>
      </c>
      <c r="Z436" s="174" t="str">
        <f t="shared" ca="1" si="560"/>
        <v/>
      </c>
    </row>
    <row r="437" spans="1:26" s="70" customFormat="1" ht="11.5" x14ac:dyDescent="0.25">
      <c r="A437" s="102" t="s">
        <v>64</v>
      </c>
      <c r="B437" s="102" t="s">
        <v>14</v>
      </c>
      <c r="C437" s="102" t="s">
        <v>42</v>
      </c>
      <c r="D437" s="102" t="s">
        <v>525</v>
      </c>
      <c r="E437" s="105">
        <f t="shared" si="511"/>
        <v>0</v>
      </c>
      <c r="F437" s="105">
        <f t="shared" si="512"/>
        <v>0</v>
      </c>
      <c r="G437" s="105">
        <f t="shared" si="512"/>
        <v>0</v>
      </c>
      <c r="H437" s="105">
        <f t="shared" si="513"/>
        <v>0</v>
      </c>
      <c r="I437" s="110">
        <v>1.5</v>
      </c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W437" s="173" t="str">
        <f t="shared" ca="1" si="557"/>
        <v/>
      </c>
      <c r="X437" s="173" t="str">
        <f t="shared" ca="1" si="558"/>
        <v/>
      </c>
      <c r="Y437" s="173" t="str">
        <f t="shared" ca="1" si="559"/>
        <v/>
      </c>
      <c r="Z437" s="174" t="str">
        <f t="shared" ca="1" si="560"/>
        <v/>
      </c>
    </row>
    <row r="438" spans="1:26" s="70" customFormat="1" ht="11.5" x14ac:dyDescent="0.25">
      <c r="A438" s="73"/>
      <c r="B438" s="73"/>
      <c r="C438" s="73"/>
      <c r="D438" s="73"/>
      <c r="E438" s="74"/>
      <c r="F438" s="74"/>
      <c r="G438" s="74"/>
      <c r="H438" s="74"/>
      <c r="I438" s="75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W438" s="173" t="str">
        <f t="shared" ca="1" si="557"/>
        <v/>
      </c>
      <c r="X438" s="173" t="str">
        <f t="shared" ca="1" si="558"/>
        <v/>
      </c>
      <c r="Y438" s="173" t="str">
        <f t="shared" ca="1" si="559"/>
        <v/>
      </c>
      <c r="Z438" s="174" t="str">
        <f t="shared" ca="1" si="560"/>
        <v/>
      </c>
    </row>
    <row r="439" spans="1:26" s="70" customFormat="1" ht="11.5" x14ac:dyDescent="0.25">
      <c r="A439" s="112" t="s">
        <v>67</v>
      </c>
      <c r="B439" s="112" t="s">
        <v>14</v>
      </c>
      <c r="C439" s="112" t="s">
        <v>874</v>
      </c>
      <c r="D439" s="112" t="s">
        <v>870</v>
      </c>
      <c r="E439" s="113">
        <f t="shared" si="511"/>
        <v>0.7</v>
      </c>
      <c r="F439" s="113">
        <f t="shared" si="512"/>
        <v>0.7</v>
      </c>
      <c r="G439" s="113">
        <f t="shared" si="512"/>
        <v>1</v>
      </c>
      <c r="H439" s="113">
        <f t="shared" si="513"/>
        <v>0.30000000000000004</v>
      </c>
      <c r="I439" s="114">
        <v>8.9999999999999993E-3</v>
      </c>
      <c r="J439" s="115">
        <f t="shared" ref="J439:J470" si="565">J322+28</f>
        <v>46206</v>
      </c>
      <c r="K439" s="115">
        <f t="shared" si="546"/>
        <v>46206</v>
      </c>
      <c r="L439" s="115">
        <v>46175</v>
      </c>
      <c r="M439" s="116">
        <f t="shared" si="547"/>
        <v>46248</v>
      </c>
      <c r="N439" s="115">
        <f t="shared" si="548"/>
        <v>46248</v>
      </c>
      <c r="O439" s="115">
        <v>46191</v>
      </c>
      <c r="P439" s="116">
        <f t="shared" si="549"/>
        <v>46290</v>
      </c>
      <c r="Q439" s="115">
        <f t="shared" si="550"/>
        <v>46290</v>
      </c>
      <c r="R439" s="115">
        <v>46245</v>
      </c>
      <c r="S439" s="115">
        <f t="shared" si="552"/>
        <v>46304</v>
      </c>
      <c r="T439" s="115">
        <f t="shared" si="551"/>
        <v>46304</v>
      </c>
      <c r="U439" s="115">
        <v>46255</v>
      </c>
      <c r="W439" s="173" t="str">
        <f t="shared" ca="1" si="557"/>
        <v>Completed</v>
      </c>
      <c r="X439" s="173" t="str">
        <f t="shared" ca="1" si="558"/>
        <v>Completed</v>
      </c>
      <c r="Y439" s="173" t="str">
        <f t="shared" ca="1" si="559"/>
        <v>Completed</v>
      </c>
      <c r="Z439" s="174" t="str">
        <f t="shared" ca="1" si="560"/>
        <v>Completed</v>
      </c>
    </row>
    <row r="440" spans="1:26" s="70" customFormat="1" ht="11.5" x14ac:dyDescent="0.25">
      <c r="A440" s="112" t="s">
        <v>67</v>
      </c>
      <c r="B440" s="112" t="s">
        <v>14</v>
      </c>
      <c r="C440" s="112" t="s">
        <v>875</v>
      </c>
      <c r="D440" s="112" t="s">
        <v>871</v>
      </c>
      <c r="E440" s="113">
        <f t="shared" si="511"/>
        <v>0.7</v>
      </c>
      <c r="F440" s="113">
        <f t="shared" si="512"/>
        <v>0.7</v>
      </c>
      <c r="G440" s="113">
        <f t="shared" si="512"/>
        <v>1</v>
      </c>
      <c r="H440" s="113">
        <f t="shared" si="513"/>
        <v>0.30000000000000004</v>
      </c>
      <c r="I440" s="114">
        <v>8.9999999999999993E-3</v>
      </c>
      <c r="J440" s="115">
        <f t="shared" si="565"/>
        <v>46206</v>
      </c>
      <c r="K440" s="115">
        <f t="shared" si="546"/>
        <v>46206</v>
      </c>
      <c r="L440" s="115">
        <v>46175</v>
      </c>
      <c r="M440" s="116">
        <f t="shared" si="547"/>
        <v>46248</v>
      </c>
      <c r="N440" s="115">
        <f t="shared" si="548"/>
        <v>46248</v>
      </c>
      <c r="O440" s="115">
        <v>46191</v>
      </c>
      <c r="P440" s="116">
        <f t="shared" si="549"/>
        <v>46290</v>
      </c>
      <c r="Q440" s="115">
        <f t="shared" si="550"/>
        <v>46290</v>
      </c>
      <c r="R440" s="115">
        <v>46245</v>
      </c>
      <c r="S440" s="115">
        <f t="shared" si="552"/>
        <v>46304</v>
      </c>
      <c r="T440" s="115">
        <f t="shared" si="551"/>
        <v>46304</v>
      </c>
      <c r="U440" s="115">
        <v>46255</v>
      </c>
      <c r="W440" s="173" t="str">
        <f t="shared" ca="1" si="557"/>
        <v>Completed</v>
      </c>
      <c r="X440" s="173" t="str">
        <f t="shared" ca="1" si="558"/>
        <v>Completed</v>
      </c>
      <c r="Y440" s="173" t="str">
        <f t="shared" ca="1" si="559"/>
        <v>Completed</v>
      </c>
      <c r="Z440" s="174" t="str">
        <f t="shared" ca="1" si="560"/>
        <v>Completed</v>
      </c>
    </row>
    <row r="441" spans="1:26" s="70" customFormat="1" ht="11.5" x14ac:dyDescent="0.25">
      <c r="A441" s="112" t="s">
        <v>67</v>
      </c>
      <c r="B441" s="112" t="s">
        <v>14</v>
      </c>
      <c r="C441" s="112" t="s">
        <v>876</v>
      </c>
      <c r="D441" s="112" t="s">
        <v>872</v>
      </c>
      <c r="E441" s="113">
        <f t="shared" si="511"/>
        <v>0.7</v>
      </c>
      <c r="F441" s="113">
        <f t="shared" si="512"/>
        <v>0.7</v>
      </c>
      <c r="G441" s="113">
        <f t="shared" si="512"/>
        <v>1</v>
      </c>
      <c r="H441" s="113">
        <f t="shared" si="513"/>
        <v>0.30000000000000004</v>
      </c>
      <c r="I441" s="114">
        <v>4.7E-2</v>
      </c>
      <c r="J441" s="115">
        <f t="shared" si="565"/>
        <v>46206</v>
      </c>
      <c r="K441" s="115">
        <f t="shared" si="546"/>
        <v>46206</v>
      </c>
      <c r="L441" s="115">
        <v>46175</v>
      </c>
      <c r="M441" s="116">
        <f t="shared" si="547"/>
        <v>46248</v>
      </c>
      <c r="N441" s="115">
        <f t="shared" si="548"/>
        <v>46248</v>
      </c>
      <c r="O441" s="115">
        <v>46191</v>
      </c>
      <c r="P441" s="116">
        <f t="shared" si="549"/>
        <v>46290</v>
      </c>
      <c r="Q441" s="115">
        <f t="shared" si="550"/>
        <v>46290</v>
      </c>
      <c r="R441" s="115">
        <v>46245</v>
      </c>
      <c r="S441" s="115">
        <f t="shared" si="552"/>
        <v>46304</v>
      </c>
      <c r="T441" s="115">
        <f t="shared" si="551"/>
        <v>46304</v>
      </c>
      <c r="U441" s="115">
        <v>46255</v>
      </c>
      <c r="W441" s="173" t="str">
        <f t="shared" ca="1" si="557"/>
        <v>Completed</v>
      </c>
      <c r="X441" s="173" t="str">
        <f t="shared" ca="1" si="558"/>
        <v>Completed</v>
      </c>
      <c r="Y441" s="173" t="str">
        <f t="shared" ca="1" si="559"/>
        <v>Completed</v>
      </c>
      <c r="Z441" s="174" t="str">
        <f t="shared" ca="1" si="560"/>
        <v>Completed</v>
      </c>
    </row>
    <row r="442" spans="1:26" s="70" customFormat="1" ht="11.5" x14ac:dyDescent="0.25">
      <c r="A442" s="112" t="s">
        <v>67</v>
      </c>
      <c r="B442" s="112" t="s">
        <v>14</v>
      </c>
      <c r="C442" s="112" t="s">
        <v>877</v>
      </c>
      <c r="D442" s="112" t="s">
        <v>873</v>
      </c>
      <c r="E442" s="113">
        <f t="shared" si="511"/>
        <v>0.7</v>
      </c>
      <c r="F442" s="113">
        <f t="shared" si="512"/>
        <v>0.7</v>
      </c>
      <c r="G442" s="119">
        <f t="shared" si="512"/>
        <v>1</v>
      </c>
      <c r="H442" s="119">
        <f t="shared" si="513"/>
        <v>0.30000000000000004</v>
      </c>
      <c r="I442" s="120">
        <v>4.7E-2</v>
      </c>
      <c r="J442" s="115">
        <f t="shared" si="565"/>
        <v>46206</v>
      </c>
      <c r="K442" s="115">
        <f t="shared" si="546"/>
        <v>46206</v>
      </c>
      <c r="L442" s="115">
        <v>46175</v>
      </c>
      <c r="M442" s="116">
        <f t="shared" si="547"/>
        <v>46248</v>
      </c>
      <c r="N442" s="115">
        <f t="shared" si="548"/>
        <v>46248</v>
      </c>
      <c r="O442" s="115">
        <v>46191</v>
      </c>
      <c r="P442" s="116">
        <f t="shared" si="549"/>
        <v>46290</v>
      </c>
      <c r="Q442" s="115">
        <f t="shared" si="550"/>
        <v>46290</v>
      </c>
      <c r="R442" s="115">
        <v>46245</v>
      </c>
      <c r="S442" s="115">
        <f t="shared" si="552"/>
        <v>46304</v>
      </c>
      <c r="T442" s="115">
        <f t="shared" si="551"/>
        <v>46304</v>
      </c>
      <c r="U442" s="115">
        <v>46255</v>
      </c>
      <c r="W442" s="173" t="str">
        <f t="shared" ca="1" si="557"/>
        <v>Completed</v>
      </c>
      <c r="X442" s="173" t="str">
        <f t="shared" ca="1" si="558"/>
        <v>Completed</v>
      </c>
      <c r="Y442" s="173" t="str">
        <f t="shared" ca="1" si="559"/>
        <v>Completed</v>
      </c>
      <c r="Z442" s="174" t="str">
        <f t="shared" ca="1" si="560"/>
        <v>Completed</v>
      </c>
    </row>
    <row r="443" spans="1:26" s="70" customFormat="1" ht="11.5" x14ac:dyDescent="0.25">
      <c r="A443" s="112" t="s">
        <v>67</v>
      </c>
      <c r="B443" s="112" t="s">
        <v>14</v>
      </c>
      <c r="C443" s="112" t="s">
        <v>526</v>
      </c>
      <c r="D443" s="112" t="s">
        <v>527</v>
      </c>
      <c r="E443" s="113">
        <f t="shared" si="511"/>
        <v>0.7</v>
      </c>
      <c r="F443" s="113">
        <f t="shared" si="512"/>
        <v>0.7</v>
      </c>
      <c r="G443" s="119">
        <f t="shared" si="512"/>
        <v>0</v>
      </c>
      <c r="H443" s="119">
        <f t="shared" si="513"/>
        <v>-0.7</v>
      </c>
      <c r="I443" s="120">
        <v>4.7E-2</v>
      </c>
      <c r="J443" s="115">
        <f t="shared" si="565"/>
        <v>46206</v>
      </c>
      <c r="K443" s="115">
        <f t="shared" si="546"/>
        <v>46206</v>
      </c>
      <c r="L443" s="115"/>
      <c r="M443" s="116">
        <f t="shared" si="547"/>
        <v>46248</v>
      </c>
      <c r="N443" s="115">
        <f t="shared" si="548"/>
        <v>46248</v>
      </c>
      <c r="O443" s="115"/>
      <c r="P443" s="116">
        <f t="shared" si="549"/>
        <v>46290</v>
      </c>
      <c r="Q443" s="115">
        <f t="shared" si="550"/>
        <v>46290</v>
      </c>
      <c r="R443" s="115"/>
      <c r="S443" s="115">
        <f t="shared" si="552"/>
        <v>46304</v>
      </c>
      <c r="T443" s="115">
        <f t="shared" si="551"/>
        <v>46304</v>
      </c>
      <c r="U443" s="115"/>
      <c r="W443" s="173" t="str">
        <f t="shared" ca="1" si="557"/>
        <v>Overdue</v>
      </c>
      <c r="X443" s="173" t="str">
        <f t="shared" ca="1" si="558"/>
        <v>Overdue</v>
      </c>
      <c r="Y443" s="173" t="str">
        <f t="shared" ca="1" si="559"/>
        <v/>
      </c>
      <c r="Z443" s="174" t="str">
        <f t="shared" ca="1" si="560"/>
        <v/>
      </c>
    </row>
    <row r="444" spans="1:26" s="70" customFormat="1" ht="11.5" x14ac:dyDescent="0.25">
      <c r="A444" s="112" t="s">
        <v>67</v>
      </c>
      <c r="B444" s="112" t="s">
        <v>14</v>
      </c>
      <c r="C444" s="112" t="s">
        <v>528</v>
      </c>
      <c r="D444" s="112" t="s">
        <v>529</v>
      </c>
      <c r="E444" s="113">
        <f t="shared" si="511"/>
        <v>0.7</v>
      </c>
      <c r="F444" s="113">
        <f t="shared" si="512"/>
        <v>0.7</v>
      </c>
      <c r="G444" s="119">
        <f t="shared" si="512"/>
        <v>0</v>
      </c>
      <c r="H444" s="119">
        <f t="shared" si="513"/>
        <v>-0.7</v>
      </c>
      <c r="I444" s="120">
        <v>4.7E-2</v>
      </c>
      <c r="J444" s="115">
        <f t="shared" si="565"/>
        <v>46206</v>
      </c>
      <c r="K444" s="115">
        <f t="shared" si="546"/>
        <v>46206</v>
      </c>
      <c r="L444" s="115"/>
      <c r="M444" s="116">
        <f t="shared" si="547"/>
        <v>46248</v>
      </c>
      <c r="N444" s="115">
        <f t="shared" si="548"/>
        <v>46248</v>
      </c>
      <c r="O444" s="115"/>
      <c r="P444" s="116">
        <f t="shared" si="549"/>
        <v>46290</v>
      </c>
      <c r="Q444" s="115">
        <f t="shared" si="550"/>
        <v>46290</v>
      </c>
      <c r="R444" s="115"/>
      <c r="S444" s="115">
        <f t="shared" si="552"/>
        <v>46304</v>
      </c>
      <c r="T444" s="115">
        <f t="shared" si="551"/>
        <v>46304</v>
      </c>
      <c r="U444" s="115"/>
      <c r="W444" s="173" t="str">
        <f t="shared" ca="1" si="557"/>
        <v>Overdue</v>
      </c>
      <c r="X444" s="173" t="str">
        <f t="shared" ca="1" si="558"/>
        <v>Overdue</v>
      </c>
      <c r="Y444" s="173" t="str">
        <f t="shared" ca="1" si="559"/>
        <v/>
      </c>
      <c r="Z444" s="174" t="str">
        <f t="shared" ca="1" si="560"/>
        <v/>
      </c>
    </row>
    <row r="445" spans="1:26" s="70" customFormat="1" ht="11.5" x14ac:dyDescent="0.25">
      <c r="A445" s="112" t="s">
        <v>67</v>
      </c>
      <c r="B445" s="112" t="s">
        <v>14</v>
      </c>
      <c r="C445" s="112" t="s">
        <v>530</v>
      </c>
      <c r="D445" s="112" t="s">
        <v>531</v>
      </c>
      <c r="E445" s="113">
        <f t="shared" si="511"/>
        <v>0.7</v>
      </c>
      <c r="F445" s="113">
        <f t="shared" si="512"/>
        <v>0.7</v>
      </c>
      <c r="G445" s="119">
        <f t="shared" si="512"/>
        <v>0.7</v>
      </c>
      <c r="H445" s="119">
        <f t="shared" si="513"/>
        <v>0</v>
      </c>
      <c r="I445" s="120">
        <v>4.7E-2</v>
      </c>
      <c r="J445" s="115">
        <f t="shared" si="565"/>
        <v>46206</v>
      </c>
      <c r="K445" s="115">
        <f t="shared" si="546"/>
        <v>46206</v>
      </c>
      <c r="L445" s="115">
        <v>46130</v>
      </c>
      <c r="M445" s="116">
        <f t="shared" si="547"/>
        <v>46248</v>
      </c>
      <c r="N445" s="115">
        <f t="shared" si="548"/>
        <v>46248</v>
      </c>
      <c r="O445" s="115">
        <v>46225</v>
      </c>
      <c r="P445" s="116">
        <f>M445+38</f>
        <v>46286</v>
      </c>
      <c r="Q445" s="115">
        <f t="shared" si="550"/>
        <v>46286</v>
      </c>
      <c r="R445" s="115"/>
      <c r="S445" s="115">
        <f t="shared" si="552"/>
        <v>46300</v>
      </c>
      <c r="T445" s="115">
        <f t="shared" si="551"/>
        <v>46300</v>
      </c>
      <c r="U445" s="115"/>
      <c r="W445" s="173" t="str">
        <f t="shared" ca="1" si="557"/>
        <v>Completed</v>
      </c>
      <c r="X445" s="173" t="str">
        <f t="shared" ca="1" si="558"/>
        <v>Completed</v>
      </c>
      <c r="Y445" s="173" t="str">
        <f t="shared" ca="1" si="559"/>
        <v/>
      </c>
      <c r="Z445" s="174" t="str">
        <f t="shared" ca="1" si="560"/>
        <v/>
      </c>
    </row>
    <row r="446" spans="1:26" s="70" customFormat="1" ht="11.5" x14ac:dyDescent="0.25">
      <c r="A446" s="112" t="s">
        <v>67</v>
      </c>
      <c r="B446" s="112" t="s">
        <v>14</v>
      </c>
      <c r="C446" s="112" t="s">
        <v>532</v>
      </c>
      <c r="D446" s="112" t="s">
        <v>533</v>
      </c>
      <c r="E446" s="113">
        <f t="shared" si="511"/>
        <v>0.7</v>
      </c>
      <c r="F446" s="113">
        <f t="shared" si="512"/>
        <v>0.7</v>
      </c>
      <c r="G446" s="119">
        <f t="shared" si="512"/>
        <v>0.7</v>
      </c>
      <c r="H446" s="119">
        <f t="shared" si="513"/>
        <v>0</v>
      </c>
      <c r="I446" s="120">
        <v>4.7E-2</v>
      </c>
      <c r="J446" s="115">
        <f t="shared" si="565"/>
        <v>46206</v>
      </c>
      <c r="K446" s="115">
        <f t="shared" si="546"/>
        <v>46206</v>
      </c>
      <c r="L446" s="115">
        <v>46130</v>
      </c>
      <c r="M446" s="116">
        <f t="shared" si="547"/>
        <v>46248</v>
      </c>
      <c r="N446" s="115">
        <f t="shared" si="548"/>
        <v>46248</v>
      </c>
      <c r="O446" s="115">
        <v>46225</v>
      </c>
      <c r="P446" s="116">
        <f t="shared" ref="P446:P471" si="566">M446+38</f>
        <v>46286</v>
      </c>
      <c r="Q446" s="115">
        <f t="shared" si="550"/>
        <v>46286</v>
      </c>
      <c r="R446" s="115"/>
      <c r="S446" s="115">
        <f t="shared" si="552"/>
        <v>46300</v>
      </c>
      <c r="T446" s="115">
        <f t="shared" si="551"/>
        <v>46300</v>
      </c>
      <c r="U446" s="115"/>
      <c r="W446" s="173" t="str">
        <f t="shared" ca="1" si="557"/>
        <v>Completed</v>
      </c>
      <c r="X446" s="173" t="str">
        <f t="shared" ca="1" si="558"/>
        <v>Completed</v>
      </c>
      <c r="Y446" s="173" t="str">
        <f t="shared" ca="1" si="559"/>
        <v/>
      </c>
      <c r="Z446" s="174" t="str">
        <f t="shared" ca="1" si="560"/>
        <v/>
      </c>
    </row>
    <row r="447" spans="1:26" s="70" customFormat="1" ht="11.5" x14ac:dyDescent="0.25">
      <c r="A447" s="112" t="s">
        <v>67</v>
      </c>
      <c r="B447" s="112" t="s">
        <v>14</v>
      </c>
      <c r="C447" s="112" t="s">
        <v>534</v>
      </c>
      <c r="D447" s="112" t="s">
        <v>535</v>
      </c>
      <c r="E447" s="113">
        <f t="shared" si="511"/>
        <v>0.7</v>
      </c>
      <c r="F447" s="113">
        <f t="shared" si="512"/>
        <v>0.7</v>
      </c>
      <c r="G447" s="119">
        <f t="shared" si="512"/>
        <v>0.7</v>
      </c>
      <c r="H447" s="119">
        <f t="shared" si="513"/>
        <v>0</v>
      </c>
      <c r="I447" s="120">
        <v>4.7E-2</v>
      </c>
      <c r="J447" s="115">
        <f t="shared" si="565"/>
        <v>46206</v>
      </c>
      <c r="K447" s="115">
        <f t="shared" si="546"/>
        <v>46206</v>
      </c>
      <c r="L447" s="115">
        <v>46130</v>
      </c>
      <c r="M447" s="116">
        <f t="shared" si="547"/>
        <v>46248</v>
      </c>
      <c r="N447" s="115">
        <f t="shared" si="548"/>
        <v>46248</v>
      </c>
      <c r="O447" s="115">
        <v>46225</v>
      </c>
      <c r="P447" s="116">
        <f t="shared" si="566"/>
        <v>46286</v>
      </c>
      <c r="Q447" s="115">
        <f t="shared" si="550"/>
        <v>46286</v>
      </c>
      <c r="R447" s="115"/>
      <c r="S447" s="115">
        <f t="shared" si="552"/>
        <v>46300</v>
      </c>
      <c r="T447" s="115">
        <f t="shared" si="551"/>
        <v>46300</v>
      </c>
      <c r="U447" s="115"/>
      <c r="W447" s="173" t="str">
        <f t="shared" ca="1" si="557"/>
        <v>Completed</v>
      </c>
      <c r="X447" s="173" t="str">
        <f t="shared" ca="1" si="558"/>
        <v>Completed</v>
      </c>
      <c r="Y447" s="173" t="str">
        <f t="shared" ca="1" si="559"/>
        <v/>
      </c>
      <c r="Z447" s="174" t="str">
        <f t="shared" ca="1" si="560"/>
        <v/>
      </c>
    </row>
    <row r="448" spans="1:26" s="70" customFormat="1" ht="11.5" x14ac:dyDescent="0.25">
      <c r="A448" s="112" t="s">
        <v>67</v>
      </c>
      <c r="B448" s="112" t="s">
        <v>14</v>
      </c>
      <c r="C448" s="112" t="s">
        <v>536</v>
      </c>
      <c r="D448" s="112" t="s">
        <v>537</v>
      </c>
      <c r="E448" s="113">
        <f t="shared" si="511"/>
        <v>0.7</v>
      </c>
      <c r="F448" s="113">
        <f t="shared" si="512"/>
        <v>0.7</v>
      </c>
      <c r="G448" s="119">
        <f t="shared" si="512"/>
        <v>0.7</v>
      </c>
      <c r="H448" s="119">
        <f t="shared" si="513"/>
        <v>0</v>
      </c>
      <c r="I448" s="120">
        <v>4.7E-2</v>
      </c>
      <c r="J448" s="115">
        <f t="shared" si="565"/>
        <v>46206</v>
      </c>
      <c r="K448" s="115">
        <f t="shared" si="546"/>
        <v>46206</v>
      </c>
      <c r="L448" s="115">
        <v>46130</v>
      </c>
      <c r="M448" s="116">
        <f t="shared" si="547"/>
        <v>46248</v>
      </c>
      <c r="N448" s="115">
        <f t="shared" si="548"/>
        <v>46248</v>
      </c>
      <c r="O448" s="115">
        <v>46225</v>
      </c>
      <c r="P448" s="116">
        <f t="shared" si="566"/>
        <v>46286</v>
      </c>
      <c r="Q448" s="115">
        <f t="shared" si="550"/>
        <v>46286</v>
      </c>
      <c r="R448" s="115"/>
      <c r="S448" s="115">
        <f t="shared" si="552"/>
        <v>46300</v>
      </c>
      <c r="T448" s="115">
        <f t="shared" si="551"/>
        <v>46300</v>
      </c>
      <c r="U448" s="115"/>
      <c r="W448" s="173" t="str">
        <f t="shared" ca="1" si="557"/>
        <v>Completed</v>
      </c>
      <c r="X448" s="173" t="str">
        <f t="shared" ca="1" si="558"/>
        <v>Completed</v>
      </c>
      <c r="Y448" s="173" t="str">
        <f t="shared" ca="1" si="559"/>
        <v/>
      </c>
      <c r="Z448" s="174" t="str">
        <f t="shared" ca="1" si="560"/>
        <v/>
      </c>
    </row>
    <row r="449" spans="1:26" s="70" customFormat="1" ht="11.5" x14ac:dyDescent="0.25">
      <c r="A449" s="112" t="s">
        <v>67</v>
      </c>
      <c r="B449" s="112" t="s">
        <v>14</v>
      </c>
      <c r="C449" s="112" t="s">
        <v>538</v>
      </c>
      <c r="D449" s="112" t="s">
        <v>539</v>
      </c>
      <c r="E449" s="113">
        <f t="shared" si="511"/>
        <v>0.7</v>
      </c>
      <c r="F449" s="113">
        <f t="shared" si="512"/>
        <v>0.7</v>
      </c>
      <c r="G449" s="119">
        <f t="shared" si="512"/>
        <v>0.7</v>
      </c>
      <c r="H449" s="119">
        <f t="shared" si="513"/>
        <v>0</v>
      </c>
      <c r="I449" s="120">
        <v>4.7E-2</v>
      </c>
      <c r="J449" s="115">
        <f t="shared" si="565"/>
        <v>46206</v>
      </c>
      <c r="K449" s="115">
        <f t="shared" si="546"/>
        <v>46206</v>
      </c>
      <c r="L449" s="115">
        <v>46130</v>
      </c>
      <c r="M449" s="116">
        <f t="shared" si="547"/>
        <v>46248</v>
      </c>
      <c r="N449" s="115">
        <f t="shared" si="548"/>
        <v>46248</v>
      </c>
      <c r="O449" s="115">
        <v>46225</v>
      </c>
      <c r="P449" s="116">
        <f t="shared" si="566"/>
        <v>46286</v>
      </c>
      <c r="Q449" s="115">
        <f t="shared" si="550"/>
        <v>46286</v>
      </c>
      <c r="R449" s="115"/>
      <c r="S449" s="115">
        <f t="shared" si="552"/>
        <v>46300</v>
      </c>
      <c r="T449" s="115">
        <f t="shared" si="551"/>
        <v>46300</v>
      </c>
      <c r="U449" s="115"/>
      <c r="W449" s="173" t="str">
        <f t="shared" ca="1" si="557"/>
        <v>Completed</v>
      </c>
      <c r="X449" s="173" t="str">
        <f t="shared" ca="1" si="558"/>
        <v>Completed</v>
      </c>
      <c r="Y449" s="173" t="str">
        <f t="shared" ca="1" si="559"/>
        <v/>
      </c>
      <c r="Z449" s="174" t="str">
        <f t="shared" ca="1" si="560"/>
        <v/>
      </c>
    </row>
    <row r="450" spans="1:26" s="70" customFormat="1" ht="11.5" x14ac:dyDescent="0.25">
      <c r="A450" s="112" t="s">
        <v>67</v>
      </c>
      <c r="B450" s="112" t="s">
        <v>14</v>
      </c>
      <c r="C450" s="112" t="s">
        <v>540</v>
      </c>
      <c r="D450" s="112" t="s">
        <v>541</v>
      </c>
      <c r="E450" s="113">
        <f t="shared" si="511"/>
        <v>0.7</v>
      </c>
      <c r="F450" s="113">
        <f t="shared" si="512"/>
        <v>0.7</v>
      </c>
      <c r="G450" s="119">
        <f t="shared" si="512"/>
        <v>0.7</v>
      </c>
      <c r="H450" s="119">
        <f t="shared" si="513"/>
        <v>0</v>
      </c>
      <c r="I450" s="120">
        <v>4.7E-2</v>
      </c>
      <c r="J450" s="115">
        <f t="shared" si="565"/>
        <v>46206</v>
      </c>
      <c r="K450" s="115">
        <f t="shared" si="546"/>
        <v>46206</v>
      </c>
      <c r="L450" s="115">
        <v>46130</v>
      </c>
      <c r="M450" s="116">
        <f t="shared" si="547"/>
        <v>46248</v>
      </c>
      <c r="N450" s="115">
        <f t="shared" si="548"/>
        <v>46248</v>
      </c>
      <c r="O450" s="115">
        <v>46225</v>
      </c>
      <c r="P450" s="116">
        <f t="shared" si="566"/>
        <v>46286</v>
      </c>
      <c r="Q450" s="115">
        <f t="shared" si="550"/>
        <v>46286</v>
      </c>
      <c r="R450" s="115"/>
      <c r="S450" s="115">
        <f t="shared" si="552"/>
        <v>46300</v>
      </c>
      <c r="T450" s="115">
        <f t="shared" si="551"/>
        <v>46300</v>
      </c>
      <c r="U450" s="115"/>
      <c r="W450" s="173" t="str">
        <f t="shared" ca="1" si="557"/>
        <v>Completed</v>
      </c>
      <c r="X450" s="173" t="str">
        <f t="shared" ca="1" si="558"/>
        <v>Completed</v>
      </c>
      <c r="Y450" s="173" t="str">
        <f t="shared" ca="1" si="559"/>
        <v/>
      </c>
      <c r="Z450" s="174" t="str">
        <f t="shared" ca="1" si="560"/>
        <v/>
      </c>
    </row>
    <row r="451" spans="1:26" s="70" customFormat="1" ht="11.5" x14ac:dyDescent="0.25">
      <c r="A451" s="112" t="s">
        <v>67</v>
      </c>
      <c r="B451" s="112" t="s">
        <v>14</v>
      </c>
      <c r="C451" s="112" t="s">
        <v>542</v>
      </c>
      <c r="D451" s="112" t="s">
        <v>543</v>
      </c>
      <c r="E451" s="113">
        <f t="shared" si="511"/>
        <v>0.7</v>
      </c>
      <c r="F451" s="113">
        <f t="shared" si="512"/>
        <v>0.7</v>
      </c>
      <c r="G451" s="119">
        <f t="shared" si="512"/>
        <v>0.7</v>
      </c>
      <c r="H451" s="119">
        <f t="shared" si="513"/>
        <v>0</v>
      </c>
      <c r="I451" s="120">
        <v>4.7E-2</v>
      </c>
      <c r="J451" s="115">
        <f t="shared" si="565"/>
        <v>46206</v>
      </c>
      <c r="K451" s="115">
        <f t="shared" si="546"/>
        <v>46206</v>
      </c>
      <c r="L451" s="115">
        <v>46130</v>
      </c>
      <c r="M451" s="116">
        <f t="shared" si="547"/>
        <v>46248</v>
      </c>
      <c r="N451" s="115">
        <f t="shared" si="548"/>
        <v>46248</v>
      </c>
      <c r="O451" s="115">
        <v>46225</v>
      </c>
      <c r="P451" s="116">
        <f t="shared" si="566"/>
        <v>46286</v>
      </c>
      <c r="Q451" s="115">
        <f t="shared" si="550"/>
        <v>46286</v>
      </c>
      <c r="R451" s="115"/>
      <c r="S451" s="115">
        <f t="shared" si="552"/>
        <v>46300</v>
      </c>
      <c r="T451" s="115">
        <f t="shared" si="551"/>
        <v>46300</v>
      </c>
      <c r="U451" s="115"/>
      <c r="W451" s="173" t="str">
        <f t="shared" ca="1" si="557"/>
        <v>Completed</v>
      </c>
      <c r="X451" s="173" t="str">
        <f t="shared" ca="1" si="558"/>
        <v>Completed</v>
      </c>
      <c r="Y451" s="173" t="str">
        <f t="shared" ca="1" si="559"/>
        <v/>
      </c>
      <c r="Z451" s="174" t="str">
        <f t="shared" ca="1" si="560"/>
        <v/>
      </c>
    </row>
    <row r="452" spans="1:26" s="70" customFormat="1" ht="11.5" x14ac:dyDescent="0.25">
      <c r="A452" s="112" t="s">
        <v>67</v>
      </c>
      <c r="B452" s="112" t="s">
        <v>14</v>
      </c>
      <c r="C452" s="112" t="s">
        <v>544</v>
      </c>
      <c r="D452" s="112" t="s">
        <v>545</v>
      </c>
      <c r="E452" s="113">
        <f t="shared" ref="E452:E509" si="567">(COUNTIFS(J452,"&lt;="&amp;$C$1)*50%)+(COUNTIFS(M452,"&lt;="&amp;$C$1)*20%)+(COUNTIFS(P452,"&lt;="&amp;$C$1)*10%)+(COUNTIFS(S452,"&lt;="&amp;$C$1)*20%)</f>
        <v>0.7</v>
      </c>
      <c r="F452" s="113">
        <f t="shared" ref="F452:G509" si="568">(COUNTIFS(K452,"&lt;="&amp;$C$1)*50%)+(COUNTIFS(N452,"&lt;="&amp;$C$1)*20%)+(COUNTIFS(Q452,"&lt;="&amp;$C$1)*10%)+(COUNTIFS(T452,"&lt;="&amp;$C$1)*20%)</f>
        <v>0.7</v>
      </c>
      <c r="G452" s="119">
        <f t="shared" si="568"/>
        <v>0.7</v>
      </c>
      <c r="H452" s="119">
        <f t="shared" ref="H452:H509" si="569">G452-E452</f>
        <v>0</v>
      </c>
      <c r="I452" s="120">
        <v>4.7E-2</v>
      </c>
      <c r="J452" s="115">
        <f t="shared" si="565"/>
        <v>46206</v>
      </c>
      <c r="K452" s="115">
        <f t="shared" si="546"/>
        <v>46206</v>
      </c>
      <c r="L452" s="115">
        <v>46130</v>
      </c>
      <c r="M452" s="116">
        <f t="shared" si="547"/>
        <v>46248</v>
      </c>
      <c r="N452" s="115">
        <f t="shared" si="548"/>
        <v>46248</v>
      </c>
      <c r="O452" s="115">
        <v>46225</v>
      </c>
      <c r="P452" s="116">
        <f t="shared" si="566"/>
        <v>46286</v>
      </c>
      <c r="Q452" s="115">
        <f t="shared" si="550"/>
        <v>46286</v>
      </c>
      <c r="R452" s="115"/>
      <c r="S452" s="115">
        <f t="shared" si="552"/>
        <v>46300</v>
      </c>
      <c r="T452" s="115">
        <f t="shared" si="551"/>
        <v>46300</v>
      </c>
      <c r="U452" s="115"/>
      <c r="W452" s="173" t="str">
        <f t="shared" ca="1" si="557"/>
        <v>Completed</v>
      </c>
      <c r="X452" s="173" t="str">
        <f t="shared" ca="1" si="558"/>
        <v>Completed</v>
      </c>
      <c r="Y452" s="173" t="str">
        <f t="shared" ca="1" si="559"/>
        <v/>
      </c>
      <c r="Z452" s="174" t="str">
        <f t="shared" ca="1" si="560"/>
        <v/>
      </c>
    </row>
    <row r="453" spans="1:26" s="70" customFormat="1" ht="11.5" x14ac:dyDescent="0.25">
      <c r="A453" s="112" t="s">
        <v>67</v>
      </c>
      <c r="B453" s="112" t="s">
        <v>14</v>
      </c>
      <c r="C453" s="112" t="s">
        <v>546</v>
      </c>
      <c r="D453" s="112" t="s">
        <v>547</v>
      </c>
      <c r="E453" s="113">
        <f t="shared" si="567"/>
        <v>0.7</v>
      </c>
      <c r="F453" s="113">
        <f t="shared" si="568"/>
        <v>0.7</v>
      </c>
      <c r="G453" s="119">
        <f t="shared" si="568"/>
        <v>0.7</v>
      </c>
      <c r="H453" s="119">
        <f t="shared" si="569"/>
        <v>0</v>
      </c>
      <c r="I453" s="120">
        <v>4.7E-2</v>
      </c>
      <c r="J453" s="115">
        <f t="shared" si="565"/>
        <v>46206</v>
      </c>
      <c r="K453" s="115">
        <f t="shared" si="546"/>
        <v>46206</v>
      </c>
      <c r="L453" s="115">
        <v>46130</v>
      </c>
      <c r="M453" s="116">
        <f t="shared" si="547"/>
        <v>46248</v>
      </c>
      <c r="N453" s="115">
        <f t="shared" si="548"/>
        <v>46248</v>
      </c>
      <c r="O453" s="115">
        <v>46225</v>
      </c>
      <c r="P453" s="116">
        <f t="shared" si="566"/>
        <v>46286</v>
      </c>
      <c r="Q453" s="115">
        <f t="shared" si="550"/>
        <v>46286</v>
      </c>
      <c r="R453" s="115"/>
      <c r="S453" s="115">
        <f t="shared" si="552"/>
        <v>46300</v>
      </c>
      <c r="T453" s="115">
        <f t="shared" si="551"/>
        <v>46300</v>
      </c>
      <c r="U453" s="115"/>
      <c r="W453" s="173" t="str">
        <f t="shared" ca="1" si="557"/>
        <v>Completed</v>
      </c>
      <c r="X453" s="173" t="str">
        <f t="shared" ca="1" si="558"/>
        <v>Completed</v>
      </c>
      <c r="Y453" s="173" t="str">
        <f t="shared" ca="1" si="559"/>
        <v/>
      </c>
      <c r="Z453" s="174" t="str">
        <f t="shared" ca="1" si="560"/>
        <v/>
      </c>
    </row>
    <row r="454" spans="1:26" s="70" customFormat="1" ht="11.5" x14ac:dyDescent="0.25">
      <c r="A454" s="112" t="s">
        <v>67</v>
      </c>
      <c r="B454" s="112" t="s">
        <v>14</v>
      </c>
      <c r="C454" s="112" t="s">
        <v>548</v>
      </c>
      <c r="D454" s="112" t="s">
        <v>549</v>
      </c>
      <c r="E454" s="113">
        <f t="shared" si="567"/>
        <v>0.7</v>
      </c>
      <c r="F454" s="113">
        <f t="shared" si="568"/>
        <v>0.7</v>
      </c>
      <c r="G454" s="119">
        <f t="shared" si="568"/>
        <v>0.7</v>
      </c>
      <c r="H454" s="119">
        <f t="shared" si="569"/>
        <v>0</v>
      </c>
      <c r="I454" s="120">
        <v>4.7E-2</v>
      </c>
      <c r="J454" s="115">
        <f t="shared" si="565"/>
        <v>46206</v>
      </c>
      <c r="K454" s="115">
        <f t="shared" si="546"/>
        <v>46206</v>
      </c>
      <c r="L454" s="115">
        <v>46130</v>
      </c>
      <c r="M454" s="116">
        <f t="shared" si="547"/>
        <v>46248</v>
      </c>
      <c r="N454" s="115">
        <f t="shared" si="548"/>
        <v>46248</v>
      </c>
      <c r="O454" s="115">
        <v>46225</v>
      </c>
      <c r="P454" s="116">
        <f t="shared" si="566"/>
        <v>46286</v>
      </c>
      <c r="Q454" s="115">
        <f t="shared" si="550"/>
        <v>46286</v>
      </c>
      <c r="R454" s="115"/>
      <c r="S454" s="115">
        <f t="shared" si="552"/>
        <v>46300</v>
      </c>
      <c r="T454" s="115">
        <f t="shared" si="551"/>
        <v>46300</v>
      </c>
      <c r="U454" s="115"/>
      <c r="W454" s="173" t="str">
        <f t="shared" ca="1" si="557"/>
        <v>Completed</v>
      </c>
      <c r="X454" s="173" t="str">
        <f t="shared" ca="1" si="558"/>
        <v>Completed</v>
      </c>
      <c r="Y454" s="173" t="str">
        <f t="shared" ca="1" si="559"/>
        <v/>
      </c>
      <c r="Z454" s="174" t="str">
        <f t="shared" ca="1" si="560"/>
        <v/>
      </c>
    </row>
    <row r="455" spans="1:26" s="70" customFormat="1" ht="11.5" x14ac:dyDescent="0.25">
      <c r="A455" s="112" t="s">
        <v>67</v>
      </c>
      <c r="B455" s="112" t="s">
        <v>14</v>
      </c>
      <c r="C455" s="112" t="s">
        <v>550</v>
      </c>
      <c r="D455" s="112" t="s">
        <v>551</v>
      </c>
      <c r="E455" s="113">
        <f t="shared" si="567"/>
        <v>0.7</v>
      </c>
      <c r="F455" s="113">
        <f t="shared" si="568"/>
        <v>0.7</v>
      </c>
      <c r="G455" s="119">
        <f t="shared" si="568"/>
        <v>0.7</v>
      </c>
      <c r="H455" s="119">
        <f t="shared" si="569"/>
        <v>0</v>
      </c>
      <c r="I455" s="120">
        <v>4.7E-2</v>
      </c>
      <c r="J455" s="115">
        <f t="shared" si="565"/>
        <v>46206</v>
      </c>
      <c r="K455" s="115">
        <f t="shared" si="546"/>
        <v>46206</v>
      </c>
      <c r="L455" s="115">
        <v>46130</v>
      </c>
      <c r="M455" s="116">
        <f t="shared" si="547"/>
        <v>46248</v>
      </c>
      <c r="N455" s="115">
        <f t="shared" si="548"/>
        <v>46248</v>
      </c>
      <c r="O455" s="115">
        <v>46225</v>
      </c>
      <c r="P455" s="116">
        <f t="shared" si="566"/>
        <v>46286</v>
      </c>
      <c r="Q455" s="115">
        <f t="shared" si="550"/>
        <v>46286</v>
      </c>
      <c r="R455" s="115"/>
      <c r="S455" s="115">
        <f t="shared" si="552"/>
        <v>46300</v>
      </c>
      <c r="T455" s="115">
        <f t="shared" si="551"/>
        <v>46300</v>
      </c>
      <c r="U455" s="115"/>
      <c r="W455" s="173" t="str">
        <f t="shared" ca="1" si="557"/>
        <v>Completed</v>
      </c>
      <c r="X455" s="173" t="str">
        <f t="shared" ca="1" si="558"/>
        <v>Completed</v>
      </c>
      <c r="Y455" s="173" t="str">
        <f t="shared" ca="1" si="559"/>
        <v/>
      </c>
      <c r="Z455" s="174" t="str">
        <f t="shared" ca="1" si="560"/>
        <v/>
      </c>
    </row>
    <row r="456" spans="1:26" s="70" customFormat="1" ht="11.5" x14ac:dyDescent="0.25">
      <c r="A456" s="112" t="s">
        <v>67</v>
      </c>
      <c r="B456" s="112" t="s">
        <v>14</v>
      </c>
      <c r="C456" s="112" t="s">
        <v>552</v>
      </c>
      <c r="D456" s="112" t="s">
        <v>553</v>
      </c>
      <c r="E456" s="113">
        <f t="shared" si="567"/>
        <v>0.7</v>
      </c>
      <c r="F456" s="113">
        <f t="shared" si="568"/>
        <v>0.7</v>
      </c>
      <c r="G456" s="119">
        <f t="shared" si="568"/>
        <v>0.7</v>
      </c>
      <c r="H456" s="119">
        <f t="shared" si="569"/>
        <v>0</v>
      </c>
      <c r="I456" s="120">
        <v>4.7E-2</v>
      </c>
      <c r="J456" s="115">
        <f t="shared" si="565"/>
        <v>46206</v>
      </c>
      <c r="K456" s="115">
        <f t="shared" si="546"/>
        <v>46206</v>
      </c>
      <c r="L456" s="115">
        <v>46130</v>
      </c>
      <c r="M456" s="116">
        <f t="shared" si="547"/>
        <v>46248</v>
      </c>
      <c r="N456" s="115">
        <f t="shared" si="548"/>
        <v>46248</v>
      </c>
      <c r="O456" s="115">
        <v>46225</v>
      </c>
      <c r="P456" s="116">
        <f t="shared" si="566"/>
        <v>46286</v>
      </c>
      <c r="Q456" s="115">
        <f t="shared" si="550"/>
        <v>46286</v>
      </c>
      <c r="R456" s="115"/>
      <c r="S456" s="115">
        <f t="shared" si="552"/>
        <v>46300</v>
      </c>
      <c r="T456" s="115">
        <f t="shared" si="551"/>
        <v>46300</v>
      </c>
      <c r="U456" s="115"/>
      <c r="W456" s="173" t="str">
        <f t="shared" ca="1" si="557"/>
        <v>Completed</v>
      </c>
      <c r="X456" s="173" t="str">
        <f t="shared" ca="1" si="558"/>
        <v>Completed</v>
      </c>
      <c r="Y456" s="173" t="str">
        <f t="shared" ca="1" si="559"/>
        <v/>
      </c>
      <c r="Z456" s="174" t="str">
        <f t="shared" ca="1" si="560"/>
        <v/>
      </c>
    </row>
    <row r="457" spans="1:26" s="70" customFormat="1" ht="11.5" x14ac:dyDescent="0.25">
      <c r="A457" s="112" t="s">
        <v>67</v>
      </c>
      <c r="B457" s="112" t="s">
        <v>14</v>
      </c>
      <c r="C457" s="112" t="s">
        <v>554</v>
      </c>
      <c r="D457" s="112" t="s">
        <v>555</v>
      </c>
      <c r="E457" s="113">
        <f t="shared" si="567"/>
        <v>0.7</v>
      </c>
      <c r="F457" s="113">
        <f t="shared" si="568"/>
        <v>0.7</v>
      </c>
      <c r="G457" s="119">
        <f t="shared" si="568"/>
        <v>0.7</v>
      </c>
      <c r="H457" s="119">
        <f t="shared" si="569"/>
        <v>0</v>
      </c>
      <c r="I457" s="120">
        <v>4.7E-2</v>
      </c>
      <c r="J457" s="115">
        <f t="shared" si="565"/>
        <v>46206</v>
      </c>
      <c r="K457" s="115">
        <f t="shared" si="546"/>
        <v>46206</v>
      </c>
      <c r="L457" s="115">
        <v>46130</v>
      </c>
      <c r="M457" s="116">
        <f t="shared" si="547"/>
        <v>46248</v>
      </c>
      <c r="N457" s="115">
        <f t="shared" si="548"/>
        <v>46248</v>
      </c>
      <c r="O457" s="115">
        <v>46225</v>
      </c>
      <c r="P457" s="116">
        <f t="shared" si="566"/>
        <v>46286</v>
      </c>
      <c r="Q457" s="115">
        <f t="shared" si="550"/>
        <v>46286</v>
      </c>
      <c r="R457" s="115"/>
      <c r="S457" s="115">
        <f t="shared" si="552"/>
        <v>46300</v>
      </c>
      <c r="T457" s="115">
        <f t="shared" si="551"/>
        <v>46300</v>
      </c>
      <c r="U457" s="115"/>
      <c r="W457" s="173" t="str">
        <f t="shared" ca="1" si="557"/>
        <v>Completed</v>
      </c>
      <c r="X457" s="173" t="str">
        <f t="shared" ca="1" si="558"/>
        <v>Completed</v>
      </c>
      <c r="Y457" s="173" t="str">
        <f t="shared" ca="1" si="559"/>
        <v/>
      </c>
      <c r="Z457" s="174" t="str">
        <f t="shared" ca="1" si="560"/>
        <v/>
      </c>
    </row>
    <row r="458" spans="1:26" s="70" customFormat="1" ht="11.5" x14ac:dyDescent="0.25">
      <c r="A458" s="112" t="s">
        <v>67</v>
      </c>
      <c r="B458" s="112" t="s">
        <v>14</v>
      </c>
      <c r="C458" s="112" t="s">
        <v>556</v>
      </c>
      <c r="D458" s="112" t="s">
        <v>557</v>
      </c>
      <c r="E458" s="113">
        <f t="shared" si="567"/>
        <v>0.7</v>
      </c>
      <c r="F458" s="113">
        <f t="shared" si="568"/>
        <v>0.7</v>
      </c>
      <c r="G458" s="119">
        <f t="shared" si="568"/>
        <v>0.7</v>
      </c>
      <c r="H458" s="119">
        <f t="shared" si="569"/>
        <v>0</v>
      </c>
      <c r="I458" s="120">
        <v>4.7E-2</v>
      </c>
      <c r="J458" s="115">
        <f t="shared" si="565"/>
        <v>46206</v>
      </c>
      <c r="K458" s="115">
        <f t="shared" si="546"/>
        <v>46206</v>
      </c>
      <c r="L458" s="115">
        <v>46130</v>
      </c>
      <c r="M458" s="116">
        <f t="shared" si="547"/>
        <v>46248</v>
      </c>
      <c r="N458" s="115">
        <f t="shared" si="548"/>
        <v>46248</v>
      </c>
      <c r="O458" s="115">
        <v>46225</v>
      </c>
      <c r="P458" s="116">
        <f t="shared" si="566"/>
        <v>46286</v>
      </c>
      <c r="Q458" s="115">
        <f t="shared" si="550"/>
        <v>46286</v>
      </c>
      <c r="R458" s="115"/>
      <c r="S458" s="115">
        <f t="shared" si="552"/>
        <v>46300</v>
      </c>
      <c r="T458" s="115">
        <f t="shared" si="551"/>
        <v>46300</v>
      </c>
      <c r="U458" s="115"/>
      <c r="W458" s="173" t="str">
        <f t="shared" ca="1" si="557"/>
        <v>Completed</v>
      </c>
      <c r="X458" s="173" t="str">
        <f t="shared" ca="1" si="558"/>
        <v>Completed</v>
      </c>
      <c r="Y458" s="173" t="str">
        <f t="shared" ca="1" si="559"/>
        <v/>
      </c>
      <c r="Z458" s="174" t="str">
        <f t="shared" ca="1" si="560"/>
        <v/>
      </c>
    </row>
    <row r="459" spans="1:26" s="70" customFormat="1" ht="11.5" x14ac:dyDescent="0.25">
      <c r="A459" s="112" t="s">
        <v>67</v>
      </c>
      <c r="B459" s="112" t="s">
        <v>14</v>
      </c>
      <c r="C459" s="112" t="s">
        <v>558</v>
      </c>
      <c r="D459" s="112" t="s">
        <v>559</v>
      </c>
      <c r="E459" s="113">
        <f t="shared" si="567"/>
        <v>0.7</v>
      </c>
      <c r="F459" s="113">
        <f t="shared" si="568"/>
        <v>0.7</v>
      </c>
      <c r="G459" s="119">
        <f t="shared" si="568"/>
        <v>0.7</v>
      </c>
      <c r="H459" s="119">
        <f t="shared" si="569"/>
        <v>0</v>
      </c>
      <c r="I459" s="120">
        <v>4.7E-2</v>
      </c>
      <c r="J459" s="115">
        <f t="shared" si="565"/>
        <v>46206</v>
      </c>
      <c r="K459" s="115">
        <f t="shared" si="546"/>
        <v>46206</v>
      </c>
      <c r="L459" s="115">
        <v>46130</v>
      </c>
      <c r="M459" s="116">
        <f t="shared" si="547"/>
        <v>46248</v>
      </c>
      <c r="N459" s="115">
        <f t="shared" si="548"/>
        <v>46248</v>
      </c>
      <c r="O459" s="115">
        <v>46225</v>
      </c>
      <c r="P459" s="116">
        <f t="shared" si="566"/>
        <v>46286</v>
      </c>
      <c r="Q459" s="115">
        <f t="shared" si="550"/>
        <v>46286</v>
      </c>
      <c r="R459" s="115"/>
      <c r="S459" s="115">
        <f t="shared" si="552"/>
        <v>46300</v>
      </c>
      <c r="T459" s="115">
        <f t="shared" si="551"/>
        <v>46300</v>
      </c>
      <c r="U459" s="115"/>
      <c r="W459" s="173" t="str">
        <f t="shared" ca="1" si="557"/>
        <v>Completed</v>
      </c>
      <c r="X459" s="173" t="str">
        <f t="shared" ca="1" si="558"/>
        <v>Completed</v>
      </c>
      <c r="Y459" s="173" t="str">
        <f t="shared" ca="1" si="559"/>
        <v/>
      </c>
      <c r="Z459" s="174" t="str">
        <f t="shared" ca="1" si="560"/>
        <v/>
      </c>
    </row>
    <row r="460" spans="1:26" s="70" customFormat="1" ht="11.5" x14ac:dyDescent="0.25">
      <c r="A460" s="112" t="s">
        <v>67</v>
      </c>
      <c r="B460" s="112" t="s">
        <v>14</v>
      </c>
      <c r="C460" s="112" t="s">
        <v>560</v>
      </c>
      <c r="D460" s="112" t="s">
        <v>561</v>
      </c>
      <c r="E460" s="113">
        <f t="shared" si="567"/>
        <v>0.7</v>
      </c>
      <c r="F460" s="113">
        <f t="shared" si="568"/>
        <v>0.7</v>
      </c>
      <c r="G460" s="119">
        <f t="shared" si="568"/>
        <v>0.7</v>
      </c>
      <c r="H460" s="119">
        <f t="shared" si="569"/>
        <v>0</v>
      </c>
      <c r="I460" s="120">
        <v>4.7E-2</v>
      </c>
      <c r="J460" s="115">
        <f t="shared" si="565"/>
        <v>46206</v>
      </c>
      <c r="K460" s="115">
        <f t="shared" si="546"/>
        <v>46206</v>
      </c>
      <c r="L460" s="115">
        <v>46130</v>
      </c>
      <c r="M460" s="116">
        <f t="shared" si="547"/>
        <v>46248</v>
      </c>
      <c r="N460" s="115">
        <f t="shared" si="548"/>
        <v>46248</v>
      </c>
      <c r="O460" s="115">
        <v>46225</v>
      </c>
      <c r="P460" s="116">
        <f t="shared" si="566"/>
        <v>46286</v>
      </c>
      <c r="Q460" s="115">
        <f t="shared" si="550"/>
        <v>46286</v>
      </c>
      <c r="R460" s="115"/>
      <c r="S460" s="115">
        <f t="shared" si="552"/>
        <v>46300</v>
      </c>
      <c r="T460" s="115">
        <f t="shared" si="551"/>
        <v>46300</v>
      </c>
      <c r="U460" s="115"/>
      <c r="W460" s="173" t="str">
        <f t="shared" ca="1" si="557"/>
        <v>Completed</v>
      </c>
      <c r="X460" s="173" t="str">
        <f t="shared" ca="1" si="558"/>
        <v>Completed</v>
      </c>
      <c r="Y460" s="173" t="str">
        <f t="shared" ca="1" si="559"/>
        <v/>
      </c>
      <c r="Z460" s="174" t="str">
        <f t="shared" ca="1" si="560"/>
        <v/>
      </c>
    </row>
    <row r="461" spans="1:26" s="70" customFormat="1" ht="11.5" x14ac:dyDescent="0.25">
      <c r="A461" s="112" t="s">
        <v>67</v>
      </c>
      <c r="B461" s="112" t="s">
        <v>14</v>
      </c>
      <c r="C461" s="112" t="s">
        <v>562</v>
      </c>
      <c r="D461" s="112" t="s">
        <v>563</v>
      </c>
      <c r="E461" s="113">
        <f t="shared" si="567"/>
        <v>0.7</v>
      </c>
      <c r="F461" s="113">
        <f t="shared" si="568"/>
        <v>0.7</v>
      </c>
      <c r="G461" s="119">
        <f t="shared" si="568"/>
        <v>0.7</v>
      </c>
      <c r="H461" s="119">
        <f t="shared" si="569"/>
        <v>0</v>
      </c>
      <c r="I461" s="120">
        <v>4.7E-2</v>
      </c>
      <c r="J461" s="115">
        <f t="shared" si="565"/>
        <v>46206</v>
      </c>
      <c r="K461" s="115">
        <f t="shared" si="546"/>
        <v>46206</v>
      </c>
      <c r="L461" s="115">
        <v>46130</v>
      </c>
      <c r="M461" s="116">
        <f t="shared" si="547"/>
        <v>46248</v>
      </c>
      <c r="N461" s="115">
        <f t="shared" si="548"/>
        <v>46248</v>
      </c>
      <c r="O461" s="115">
        <v>46225</v>
      </c>
      <c r="P461" s="116">
        <f t="shared" si="566"/>
        <v>46286</v>
      </c>
      <c r="Q461" s="115">
        <f t="shared" si="550"/>
        <v>46286</v>
      </c>
      <c r="R461" s="115"/>
      <c r="S461" s="115">
        <f t="shared" si="552"/>
        <v>46300</v>
      </c>
      <c r="T461" s="115">
        <f t="shared" si="551"/>
        <v>46300</v>
      </c>
      <c r="U461" s="115"/>
      <c r="W461" s="173" t="str">
        <f t="shared" ca="1" si="557"/>
        <v>Completed</v>
      </c>
      <c r="X461" s="173" t="str">
        <f t="shared" ca="1" si="558"/>
        <v>Completed</v>
      </c>
      <c r="Y461" s="173" t="str">
        <f t="shared" ca="1" si="559"/>
        <v/>
      </c>
      <c r="Z461" s="174" t="str">
        <f t="shared" ca="1" si="560"/>
        <v/>
      </c>
    </row>
    <row r="462" spans="1:26" s="70" customFormat="1" ht="11.5" x14ac:dyDescent="0.25">
      <c r="A462" s="112" t="s">
        <v>67</v>
      </c>
      <c r="B462" s="112" t="s">
        <v>14</v>
      </c>
      <c r="C462" s="112" t="s">
        <v>564</v>
      </c>
      <c r="D462" s="112" t="s">
        <v>565</v>
      </c>
      <c r="E462" s="113">
        <f t="shared" si="567"/>
        <v>0.7</v>
      </c>
      <c r="F462" s="113">
        <f t="shared" si="568"/>
        <v>0.7</v>
      </c>
      <c r="G462" s="119">
        <f t="shared" si="568"/>
        <v>0.7</v>
      </c>
      <c r="H462" s="119">
        <f t="shared" si="569"/>
        <v>0</v>
      </c>
      <c r="I462" s="120">
        <v>4.7E-2</v>
      </c>
      <c r="J462" s="115">
        <f t="shared" si="565"/>
        <v>46206</v>
      </c>
      <c r="K462" s="115">
        <f t="shared" si="546"/>
        <v>46206</v>
      </c>
      <c r="L462" s="115">
        <v>46130</v>
      </c>
      <c r="M462" s="116">
        <f t="shared" si="547"/>
        <v>46248</v>
      </c>
      <c r="N462" s="115">
        <f t="shared" si="548"/>
        <v>46248</v>
      </c>
      <c r="O462" s="115">
        <v>46225</v>
      </c>
      <c r="P462" s="116">
        <f t="shared" si="566"/>
        <v>46286</v>
      </c>
      <c r="Q462" s="115">
        <f t="shared" si="550"/>
        <v>46286</v>
      </c>
      <c r="R462" s="115"/>
      <c r="S462" s="115">
        <f t="shared" si="552"/>
        <v>46300</v>
      </c>
      <c r="T462" s="115">
        <f t="shared" si="551"/>
        <v>46300</v>
      </c>
      <c r="U462" s="115"/>
      <c r="W462" s="173" t="str">
        <f t="shared" ca="1" si="557"/>
        <v>Completed</v>
      </c>
      <c r="X462" s="173" t="str">
        <f t="shared" ca="1" si="558"/>
        <v>Completed</v>
      </c>
      <c r="Y462" s="173" t="str">
        <f t="shared" ca="1" si="559"/>
        <v/>
      </c>
      <c r="Z462" s="174" t="str">
        <f t="shared" ca="1" si="560"/>
        <v/>
      </c>
    </row>
    <row r="463" spans="1:26" s="70" customFormat="1" ht="11.5" x14ac:dyDescent="0.25">
      <c r="A463" s="112" t="s">
        <v>67</v>
      </c>
      <c r="B463" s="112" t="s">
        <v>14</v>
      </c>
      <c r="C463" s="112" t="s">
        <v>566</v>
      </c>
      <c r="D463" s="152" t="s">
        <v>961</v>
      </c>
      <c r="E463" s="113">
        <f t="shared" si="567"/>
        <v>0.7</v>
      </c>
      <c r="F463" s="113">
        <f t="shared" si="568"/>
        <v>0.7</v>
      </c>
      <c r="G463" s="119">
        <f t="shared" si="568"/>
        <v>0.7</v>
      </c>
      <c r="H463" s="119">
        <f t="shared" si="569"/>
        <v>0</v>
      </c>
      <c r="I463" s="120">
        <v>4.7E-2</v>
      </c>
      <c r="J463" s="115">
        <f t="shared" si="565"/>
        <v>46206</v>
      </c>
      <c r="K463" s="115">
        <f t="shared" si="546"/>
        <v>46206</v>
      </c>
      <c r="L463" s="115">
        <v>46130</v>
      </c>
      <c r="M463" s="116">
        <f t="shared" si="547"/>
        <v>46248</v>
      </c>
      <c r="N463" s="115">
        <f t="shared" si="548"/>
        <v>46248</v>
      </c>
      <c r="O463" s="115">
        <v>46225</v>
      </c>
      <c r="P463" s="116">
        <f t="shared" si="566"/>
        <v>46286</v>
      </c>
      <c r="Q463" s="115">
        <f t="shared" si="550"/>
        <v>46286</v>
      </c>
      <c r="R463" s="115"/>
      <c r="S463" s="115">
        <f t="shared" si="552"/>
        <v>46300</v>
      </c>
      <c r="T463" s="115">
        <f t="shared" si="551"/>
        <v>46300</v>
      </c>
      <c r="U463" s="115"/>
      <c r="W463" s="173" t="str">
        <f t="shared" ca="1" si="557"/>
        <v>Completed</v>
      </c>
      <c r="X463" s="173" t="str">
        <f t="shared" ca="1" si="558"/>
        <v>Completed</v>
      </c>
      <c r="Y463" s="173" t="str">
        <f t="shared" ca="1" si="559"/>
        <v/>
      </c>
      <c r="Z463" s="174" t="str">
        <f t="shared" ca="1" si="560"/>
        <v/>
      </c>
    </row>
    <row r="464" spans="1:26" s="70" customFormat="1" ht="11.5" x14ac:dyDescent="0.25">
      <c r="A464" s="112" t="s">
        <v>67</v>
      </c>
      <c r="B464" s="112" t="s">
        <v>14</v>
      </c>
      <c r="C464" s="112" t="s">
        <v>567</v>
      </c>
      <c r="D464" s="112" t="s">
        <v>568</v>
      </c>
      <c r="E464" s="113">
        <f t="shared" si="567"/>
        <v>0.7</v>
      </c>
      <c r="F464" s="113">
        <f t="shared" si="568"/>
        <v>0.7</v>
      </c>
      <c r="G464" s="119">
        <f t="shared" si="568"/>
        <v>0.7</v>
      </c>
      <c r="H464" s="119">
        <f t="shared" si="569"/>
        <v>0</v>
      </c>
      <c r="I464" s="120">
        <v>4.7E-2</v>
      </c>
      <c r="J464" s="115">
        <f t="shared" si="565"/>
        <v>46206</v>
      </c>
      <c r="K464" s="115">
        <f t="shared" si="546"/>
        <v>46206</v>
      </c>
      <c r="L464" s="115">
        <v>46130</v>
      </c>
      <c r="M464" s="116">
        <f t="shared" si="547"/>
        <v>46248</v>
      </c>
      <c r="N464" s="115">
        <f t="shared" si="548"/>
        <v>46248</v>
      </c>
      <c r="O464" s="115">
        <v>46225</v>
      </c>
      <c r="P464" s="116">
        <f t="shared" si="566"/>
        <v>46286</v>
      </c>
      <c r="Q464" s="115">
        <f t="shared" si="550"/>
        <v>46286</v>
      </c>
      <c r="R464" s="116"/>
      <c r="S464" s="115">
        <f t="shared" si="552"/>
        <v>46300</v>
      </c>
      <c r="T464" s="115">
        <f t="shared" si="551"/>
        <v>46300</v>
      </c>
      <c r="U464" s="116"/>
      <c r="W464" s="173" t="str">
        <f t="shared" ca="1" si="557"/>
        <v>Completed</v>
      </c>
      <c r="X464" s="173" t="str">
        <f t="shared" ca="1" si="558"/>
        <v>Completed</v>
      </c>
      <c r="Y464" s="173" t="str">
        <f t="shared" ca="1" si="559"/>
        <v/>
      </c>
      <c r="Z464" s="174" t="str">
        <f t="shared" ca="1" si="560"/>
        <v/>
      </c>
    </row>
    <row r="465" spans="1:26" s="70" customFormat="1" ht="11.5" x14ac:dyDescent="0.25">
      <c r="A465" s="112" t="s">
        <v>67</v>
      </c>
      <c r="B465" s="112" t="s">
        <v>14</v>
      </c>
      <c r="C465" s="112" t="s">
        <v>569</v>
      </c>
      <c r="D465" s="112" t="s">
        <v>570</v>
      </c>
      <c r="E465" s="113">
        <f t="shared" si="567"/>
        <v>0.7</v>
      </c>
      <c r="F465" s="113">
        <f t="shared" si="568"/>
        <v>0.7</v>
      </c>
      <c r="G465" s="119">
        <f t="shared" si="568"/>
        <v>0.7</v>
      </c>
      <c r="H465" s="119">
        <f t="shared" si="569"/>
        <v>0</v>
      </c>
      <c r="I465" s="120">
        <v>4.7E-2</v>
      </c>
      <c r="J465" s="115">
        <f t="shared" si="565"/>
        <v>46206</v>
      </c>
      <c r="K465" s="115">
        <f t="shared" si="546"/>
        <v>46206</v>
      </c>
      <c r="L465" s="115">
        <v>46150</v>
      </c>
      <c r="M465" s="116">
        <f t="shared" si="547"/>
        <v>46248</v>
      </c>
      <c r="N465" s="115">
        <f t="shared" si="548"/>
        <v>46248</v>
      </c>
      <c r="O465" s="115">
        <v>46205</v>
      </c>
      <c r="P465" s="116">
        <f t="shared" si="566"/>
        <v>46286</v>
      </c>
      <c r="Q465" s="115">
        <f t="shared" si="550"/>
        <v>46286</v>
      </c>
      <c r="R465" s="116"/>
      <c r="S465" s="115">
        <f t="shared" si="552"/>
        <v>46300</v>
      </c>
      <c r="T465" s="115">
        <f t="shared" si="551"/>
        <v>46300</v>
      </c>
      <c r="U465" s="116"/>
      <c r="W465" s="173" t="str">
        <f t="shared" ca="1" si="557"/>
        <v>Completed</v>
      </c>
      <c r="X465" s="173" t="str">
        <f t="shared" ca="1" si="558"/>
        <v>Completed</v>
      </c>
      <c r="Y465" s="173" t="str">
        <f t="shared" ca="1" si="559"/>
        <v/>
      </c>
      <c r="Z465" s="174" t="str">
        <f t="shared" ca="1" si="560"/>
        <v/>
      </c>
    </row>
    <row r="466" spans="1:26" s="70" customFormat="1" ht="11.5" x14ac:dyDescent="0.25">
      <c r="A466" s="112" t="s">
        <v>67</v>
      </c>
      <c r="B466" s="112" t="s">
        <v>14</v>
      </c>
      <c r="C466" s="112" t="s">
        <v>571</v>
      </c>
      <c r="D466" s="112" t="s">
        <v>572</v>
      </c>
      <c r="E466" s="113">
        <f t="shared" si="567"/>
        <v>0.7</v>
      </c>
      <c r="F466" s="113">
        <f t="shared" si="568"/>
        <v>0.7</v>
      </c>
      <c r="G466" s="119">
        <f t="shared" si="568"/>
        <v>0.7</v>
      </c>
      <c r="H466" s="119">
        <f t="shared" si="569"/>
        <v>0</v>
      </c>
      <c r="I466" s="120">
        <v>4.7E-2</v>
      </c>
      <c r="J466" s="115">
        <f t="shared" si="565"/>
        <v>46206</v>
      </c>
      <c r="K466" s="115">
        <f t="shared" si="546"/>
        <v>46206</v>
      </c>
      <c r="L466" s="115">
        <v>46150</v>
      </c>
      <c r="M466" s="116">
        <f t="shared" si="547"/>
        <v>46248</v>
      </c>
      <c r="N466" s="115">
        <f t="shared" si="548"/>
        <v>46248</v>
      </c>
      <c r="O466" s="115">
        <v>46205</v>
      </c>
      <c r="P466" s="116">
        <f t="shared" si="566"/>
        <v>46286</v>
      </c>
      <c r="Q466" s="115">
        <f t="shared" si="550"/>
        <v>46286</v>
      </c>
      <c r="R466" s="116"/>
      <c r="S466" s="115">
        <f t="shared" si="552"/>
        <v>46300</v>
      </c>
      <c r="T466" s="115">
        <f t="shared" si="551"/>
        <v>46300</v>
      </c>
      <c r="U466" s="116"/>
      <c r="W466" s="173" t="str">
        <f t="shared" ca="1" si="557"/>
        <v>Completed</v>
      </c>
      <c r="X466" s="173" t="str">
        <f t="shared" ca="1" si="558"/>
        <v>Completed</v>
      </c>
      <c r="Y466" s="173" t="str">
        <f t="shared" ca="1" si="559"/>
        <v/>
      </c>
      <c r="Z466" s="174" t="str">
        <f t="shared" ca="1" si="560"/>
        <v/>
      </c>
    </row>
    <row r="467" spans="1:26" s="70" customFormat="1" ht="11.5" x14ac:dyDescent="0.25">
      <c r="A467" s="112" t="s">
        <v>67</v>
      </c>
      <c r="B467" s="112" t="s">
        <v>14</v>
      </c>
      <c r="C467" s="112" t="s">
        <v>573</v>
      </c>
      <c r="D467" s="112" t="s">
        <v>574</v>
      </c>
      <c r="E467" s="113">
        <f t="shared" si="567"/>
        <v>0.7</v>
      </c>
      <c r="F467" s="113">
        <f t="shared" si="568"/>
        <v>0.7</v>
      </c>
      <c r="G467" s="119">
        <f t="shared" si="568"/>
        <v>1</v>
      </c>
      <c r="H467" s="119">
        <f t="shared" si="569"/>
        <v>0.30000000000000004</v>
      </c>
      <c r="I467" s="120">
        <v>4.7E-2</v>
      </c>
      <c r="J467" s="115">
        <f t="shared" si="565"/>
        <v>46206</v>
      </c>
      <c r="K467" s="115">
        <f t="shared" si="546"/>
        <v>46206</v>
      </c>
      <c r="L467" s="115">
        <v>46150</v>
      </c>
      <c r="M467" s="116">
        <f t="shared" si="547"/>
        <v>46248</v>
      </c>
      <c r="N467" s="115">
        <f t="shared" si="548"/>
        <v>46248</v>
      </c>
      <c r="O467" s="115">
        <v>46205</v>
      </c>
      <c r="P467" s="116">
        <f t="shared" si="566"/>
        <v>46286</v>
      </c>
      <c r="Q467" s="115">
        <f t="shared" si="550"/>
        <v>46286</v>
      </c>
      <c r="R467" s="116">
        <v>46248</v>
      </c>
      <c r="S467" s="115">
        <f t="shared" si="552"/>
        <v>46300</v>
      </c>
      <c r="T467" s="115">
        <f t="shared" si="551"/>
        <v>46300</v>
      </c>
      <c r="U467" s="165">
        <v>46262</v>
      </c>
      <c r="W467" s="173" t="str">
        <f t="shared" ca="1" si="557"/>
        <v>Completed</v>
      </c>
      <c r="X467" s="173" t="str">
        <f t="shared" ca="1" si="558"/>
        <v>Completed</v>
      </c>
      <c r="Y467" s="173" t="str">
        <f t="shared" ca="1" si="559"/>
        <v>Completed</v>
      </c>
      <c r="Z467" s="174" t="str">
        <f t="shared" ca="1" si="560"/>
        <v>Completed</v>
      </c>
    </row>
    <row r="468" spans="1:26" s="70" customFormat="1" ht="11.5" x14ac:dyDescent="0.25">
      <c r="A468" s="112" t="s">
        <v>67</v>
      </c>
      <c r="B468" s="112" t="s">
        <v>14</v>
      </c>
      <c r="C468" s="112" t="s">
        <v>575</v>
      </c>
      <c r="D468" s="112" t="s">
        <v>576</v>
      </c>
      <c r="E468" s="113">
        <f t="shared" si="567"/>
        <v>0.7</v>
      </c>
      <c r="F468" s="113">
        <f t="shared" si="568"/>
        <v>0.7</v>
      </c>
      <c r="G468" s="119">
        <f t="shared" si="568"/>
        <v>0.5</v>
      </c>
      <c r="H468" s="119">
        <f t="shared" si="569"/>
        <v>-0.19999999999999996</v>
      </c>
      <c r="I468" s="120">
        <v>4.7E-2</v>
      </c>
      <c r="J468" s="115">
        <f t="shared" si="565"/>
        <v>46206</v>
      </c>
      <c r="K468" s="115">
        <f t="shared" si="546"/>
        <v>46206</v>
      </c>
      <c r="L468" s="144">
        <v>46157</v>
      </c>
      <c r="M468" s="116">
        <f t="shared" si="547"/>
        <v>46248</v>
      </c>
      <c r="N468" s="115">
        <f t="shared" si="548"/>
        <v>46248</v>
      </c>
      <c r="O468" s="115"/>
      <c r="P468" s="116">
        <f t="shared" si="566"/>
        <v>46286</v>
      </c>
      <c r="Q468" s="115">
        <f t="shared" si="550"/>
        <v>46286</v>
      </c>
      <c r="R468" s="115"/>
      <c r="S468" s="115">
        <f t="shared" si="552"/>
        <v>46300</v>
      </c>
      <c r="T468" s="115">
        <f t="shared" si="551"/>
        <v>46300</v>
      </c>
      <c r="U468" s="115"/>
      <c r="W468" s="173" t="str">
        <f t="shared" ca="1" si="557"/>
        <v>Completed</v>
      </c>
      <c r="X468" s="173" t="str">
        <f t="shared" ca="1" si="558"/>
        <v>Overdue</v>
      </c>
      <c r="Y468" s="173" t="str">
        <f t="shared" ca="1" si="559"/>
        <v/>
      </c>
      <c r="Z468" s="174" t="str">
        <f t="shared" ca="1" si="560"/>
        <v/>
      </c>
    </row>
    <row r="469" spans="1:26" s="70" customFormat="1" ht="11.5" x14ac:dyDescent="0.25">
      <c r="A469" s="112" t="s">
        <v>67</v>
      </c>
      <c r="B469" s="112" t="s">
        <v>14</v>
      </c>
      <c r="C469" s="112" t="s">
        <v>577</v>
      </c>
      <c r="D469" s="112" t="s">
        <v>578</v>
      </c>
      <c r="E469" s="113">
        <f t="shared" si="567"/>
        <v>0.7</v>
      </c>
      <c r="F469" s="113">
        <f t="shared" si="568"/>
        <v>0.7</v>
      </c>
      <c r="G469" s="119">
        <f t="shared" si="568"/>
        <v>0.5</v>
      </c>
      <c r="H469" s="119">
        <f t="shared" si="569"/>
        <v>-0.19999999999999996</v>
      </c>
      <c r="I469" s="120">
        <v>4.7E-2</v>
      </c>
      <c r="J469" s="115">
        <f t="shared" si="565"/>
        <v>46206</v>
      </c>
      <c r="K469" s="115">
        <f t="shared" si="546"/>
        <v>46206</v>
      </c>
      <c r="L469" s="144">
        <v>46157</v>
      </c>
      <c r="M469" s="116">
        <f t="shared" si="547"/>
        <v>46248</v>
      </c>
      <c r="N469" s="115">
        <f t="shared" si="548"/>
        <v>46248</v>
      </c>
      <c r="O469" s="115"/>
      <c r="P469" s="116">
        <f t="shared" si="566"/>
        <v>46286</v>
      </c>
      <c r="Q469" s="115">
        <f t="shared" si="550"/>
        <v>46286</v>
      </c>
      <c r="R469" s="115"/>
      <c r="S469" s="115">
        <f t="shared" si="552"/>
        <v>46300</v>
      </c>
      <c r="T469" s="115">
        <f t="shared" si="551"/>
        <v>46300</v>
      </c>
      <c r="U469" s="115"/>
      <c r="W469" s="173" t="str">
        <f t="shared" ca="1" si="557"/>
        <v>Completed</v>
      </c>
      <c r="X469" s="173" t="str">
        <f t="shared" ca="1" si="558"/>
        <v>Overdue</v>
      </c>
      <c r="Y469" s="173" t="str">
        <f t="shared" ca="1" si="559"/>
        <v/>
      </c>
      <c r="Z469" s="174" t="str">
        <f t="shared" ca="1" si="560"/>
        <v/>
      </c>
    </row>
    <row r="470" spans="1:26" s="70" customFormat="1" ht="11.5" x14ac:dyDescent="0.25">
      <c r="A470" s="112" t="s">
        <v>67</v>
      </c>
      <c r="B470" s="112" t="s">
        <v>14</v>
      </c>
      <c r="C470" s="112" t="s">
        <v>579</v>
      </c>
      <c r="D470" s="112" t="s">
        <v>580</v>
      </c>
      <c r="E470" s="113">
        <f t="shared" si="567"/>
        <v>0.7</v>
      </c>
      <c r="F470" s="113">
        <f t="shared" si="568"/>
        <v>0.7</v>
      </c>
      <c r="G470" s="119">
        <f t="shared" si="568"/>
        <v>0.5</v>
      </c>
      <c r="H470" s="119">
        <f t="shared" si="569"/>
        <v>-0.19999999999999996</v>
      </c>
      <c r="I470" s="120">
        <v>4.7E-2</v>
      </c>
      <c r="J470" s="115">
        <f t="shared" si="565"/>
        <v>46206</v>
      </c>
      <c r="K470" s="115">
        <f t="shared" si="546"/>
        <v>46206</v>
      </c>
      <c r="L470" s="144">
        <v>46157</v>
      </c>
      <c r="M470" s="116">
        <f t="shared" si="547"/>
        <v>46248</v>
      </c>
      <c r="N470" s="115">
        <f t="shared" si="548"/>
        <v>46248</v>
      </c>
      <c r="O470" s="115"/>
      <c r="P470" s="116">
        <f t="shared" si="566"/>
        <v>46286</v>
      </c>
      <c r="Q470" s="115">
        <f t="shared" si="550"/>
        <v>46286</v>
      </c>
      <c r="R470" s="115"/>
      <c r="S470" s="115">
        <f t="shared" si="552"/>
        <v>46300</v>
      </c>
      <c r="T470" s="115">
        <f t="shared" si="551"/>
        <v>46300</v>
      </c>
      <c r="U470" s="115"/>
      <c r="W470" s="173" t="str">
        <f t="shared" ca="1" si="557"/>
        <v>Completed</v>
      </c>
      <c r="X470" s="173" t="str">
        <f t="shared" ca="1" si="558"/>
        <v>Overdue</v>
      </c>
      <c r="Y470" s="173" t="str">
        <f t="shared" ca="1" si="559"/>
        <v/>
      </c>
      <c r="Z470" s="174" t="str">
        <f t="shared" ca="1" si="560"/>
        <v/>
      </c>
    </row>
    <row r="471" spans="1:26" s="70" customFormat="1" ht="11.5" x14ac:dyDescent="0.25">
      <c r="A471" s="112" t="s">
        <v>67</v>
      </c>
      <c r="B471" s="112" t="s">
        <v>14</v>
      </c>
      <c r="C471" s="112" t="s">
        <v>581</v>
      </c>
      <c r="D471" s="112" t="s">
        <v>582</v>
      </c>
      <c r="E471" s="113">
        <f t="shared" si="567"/>
        <v>0.7</v>
      </c>
      <c r="F471" s="113">
        <f t="shared" si="568"/>
        <v>0.7</v>
      </c>
      <c r="G471" s="119">
        <f t="shared" si="568"/>
        <v>0.7</v>
      </c>
      <c r="H471" s="119">
        <f t="shared" si="569"/>
        <v>0</v>
      </c>
      <c r="I471" s="120">
        <v>4.7E-2</v>
      </c>
      <c r="J471" s="115">
        <f t="shared" ref="J471:J502" si="570">J354+28</f>
        <v>46206</v>
      </c>
      <c r="K471" s="115">
        <f t="shared" si="546"/>
        <v>46206</v>
      </c>
      <c r="L471" s="144">
        <v>46157</v>
      </c>
      <c r="M471" s="116">
        <f t="shared" si="547"/>
        <v>46248</v>
      </c>
      <c r="N471" s="115">
        <f t="shared" si="548"/>
        <v>46248</v>
      </c>
      <c r="O471" s="115">
        <v>46205</v>
      </c>
      <c r="P471" s="116">
        <f t="shared" si="566"/>
        <v>46286</v>
      </c>
      <c r="Q471" s="115">
        <f t="shared" si="550"/>
        <v>46286</v>
      </c>
      <c r="R471" s="115"/>
      <c r="S471" s="115">
        <f t="shared" si="552"/>
        <v>46300</v>
      </c>
      <c r="T471" s="115">
        <f t="shared" si="551"/>
        <v>46300</v>
      </c>
      <c r="U471" s="115"/>
      <c r="W471" s="173" t="str">
        <f t="shared" ca="1" si="557"/>
        <v>Completed</v>
      </c>
      <c r="X471" s="173" t="str">
        <f t="shared" ca="1" si="558"/>
        <v>Completed</v>
      </c>
      <c r="Y471" s="173" t="str">
        <f t="shared" ca="1" si="559"/>
        <v/>
      </c>
      <c r="Z471" s="174" t="str">
        <f t="shared" ca="1" si="560"/>
        <v/>
      </c>
    </row>
    <row r="472" spans="1:26" s="70" customFormat="1" ht="11.5" x14ac:dyDescent="0.25">
      <c r="A472" s="112" t="s">
        <v>67</v>
      </c>
      <c r="B472" s="112" t="s">
        <v>14</v>
      </c>
      <c r="C472" s="112" t="s">
        <v>583</v>
      </c>
      <c r="D472" s="112" t="s">
        <v>584</v>
      </c>
      <c r="E472" s="113">
        <f t="shared" si="567"/>
        <v>0.5</v>
      </c>
      <c r="F472" s="113">
        <f t="shared" si="568"/>
        <v>0.5</v>
      </c>
      <c r="G472" s="119">
        <f t="shared" si="568"/>
        <v>0.5</v>
      </c>
      <c r="H472" s="119">
        <f t="shared" si="569"/>
        <v>0</v>
      </c>
      <c r="I472" s="120">
        <v>4.7E-2</v>
      </c>
      <c r="J472" s="115">
        <f t="shared" si="570"/>
        <v>46227</v>
      </c>
      <c r="K472" s="115">
        <f t="shared" ref="K472:K548" si="571">J472</f>
        <v>46227</v>
      </c>
      <c r="L472" s="115">
        <v>46156</v>
      </c>
      <c r="M472" s="116">
        <f t="shared" ref="M472:M548" si="572">J472+42</f>
        <v>46269</v>
      </c>
      <c r="N472" s="115">
        <f t="shared" ref="N472:N548" si="573">M472</f>
        <v>46269</v>
      </c>
      <c r="O472" s="115"/>
      <c r="P472" s="115">
        <f t="shared" ref="P472:P548" si="574">M472+42</f>
        <v>46311</v>
      </c>
      <c r="Q472" s="115">
        <f t="shared" ref="Q472:Q548" si="575">P472</f>
        <v>46311</v>
      </c>
      <c r="R472" s="115"/>
      <c r="S472" s="115">
        <f t="shared" si="552"/>
        <v>46325</v>
      </c>
      <c r="T472" s="115">
        <f t="shared" ref="T472:T548" si="576">S472</f>
        <v>46325</v>
      </c>
      <c r="U472" s="115"/>
      <c r="W472" s="173" t="str">
        <f t="shared" ca="1" si="557"/>
        <v>Completed</v>
      </c>
      <c r="X472" s="173" t="str">
        <f t="shared" ca="1" si="558"/>
        <v>Follow-This Week</v>
      </c>
      <c r="Y472" s="173" t="str">
        <f t="shared" ca="1" si="559"/>
        <v/>
      </c>
      <c r="Z472" s="174" t="str">
        <f t="shared" ca="1" si="560"/>
        <v/>
      </c>
    </row>
    <row r="473" spans="1:26" s="70" customFormat="1" ht="11.5" x14ac:dyDescent="0.25">
      <c r="A473" s="112" t="s">
        <v>67</v>
      </c>
      <c r="B473" s="112" t="s">
        <v>14</v>
      </c>
      <c r="C473" s="112" t="s">
        <v>585</v>
      </c>
      <c r="D473" s="112" t="s">
        <v>586</v>
      </c>
      <c r="E473" s="113">
        <f t="shared" si="567"/>
        <v>0.5</v>
      </c>
      <c r="F473" s="113">
        <f t="shared" si="568"/>
        <v>0.5</v>
      </c>
      <c r="G473" s="119">
        <f t="shared" si="568"/>
        <v>0.5</v>
      </c>
      <c r="H473" s="119">
        <f t="shared" si="569"/>
        <v>0</v>
      </c>
      <c r="I473" s="120">
        <v>4.7E-2</v>
      </c>
      <c r="J473" s="115">
        <f t="shared" si="570"/>
        <v>46227</v>
      </c>
      <c r="K473" s="115">
        <f t="shared" si="571"/>
        <v>46227</v>
      </c>
      <c r="L473" s="115">
        <v>46156</v>
      </c>
      <c r="M473" s="116">
        <f t="shared" si="572"/>
        <v>46269</v>
      </c>
      <c r="N473" s="115">
        <f t="shared" si="573"/>
        <v>46269</v>
      </c>
      <c r="O473" s="115"/>
      <c r="P473" s="115">
        <f t="shared" si="574"/>
        <v>46311</v>
      </c>
      <c r="Q473" s="115">
        <f t="shared" si="575"/>
        <v>46311</v>
      </c>
      <c r="R473" s="115"/>
      <c r="S473" s="115">
        <f t="shared" ref="S473:S549" si="577">P473+14</f>
        <v>46325</v>
      </c>
      <c r="T473" s="115">
        <f t="shared" si="576"/>
        <v>46325</v>
      </c>
      <c r="U473" s="115"/>
      <c r="W473" s="173" t="str">
        <f t="shared" ca="1" si="557"/>
        <v>Completed</v>
      </c>
      <c r="X473" s="173" t="str">
        <f t="shared" ca="1" si="558"/>
        <v>Follow-This Week</v>
      </c>
      <c r="Y473" s="173" t="str">
        <f t="shared" ca="1" si="559"/>
        <v/>
      </c>
      <c r="Z473" s="174" t="str">
        <f t="shared" ca="1" si="560"/>
        <v/>
      </c>
    </row>
    <row r="474" spans="1:26" s="70" customFormat="1" ht="11.5" x14ac:dyDescent="0.25">
      <c r="A474" s="112" t="s">
        <v>67</v>
      </c>
      <c r="B474" s="112" t="s">
        <v>14</v>
      </c>
      <c r="C474" s="112" t="s">
        <v>587</v>
      </c>
      <c r="D474" s="112" t="s">
        <v>588</v>
      </c>
      <c r="E474" s="113">
        <f t="shared" si="567"/>
        <v>0.5</v>
      </c>
      <c r="F474" s="113">
        <f t="shared" si="568"/>
        <v>0.5</v>
      </c>
      <c r="G474" s="119">
        <f t="shared" si="568"/>
        <v>0.7</v>
      </c>
      <c r="H474" s="119">
        <f t="shared" si="569"/>
        <v>0.19999999999999996</v>
      </c>
      <c r="I474" s="120">
        <v>4.7E-2</v>
      </c>
      <c r="J474" s="115">
        <f t="shared" si="570"/>
        <v>46227</v>
      </c>
      <c r="K474" s="115">
        <f t="shared" si="571"/>
        <v>46227</v>
      </c>
      <c r="L474" s="115">
        <v>46156</v>
      </c>
      <c r="M474" s="116">
        <f t="shared" si="572"/>
        <v>46269</v>
      </c>
      <c r="N474" s="115">
        <f t="shared" si="573"/>
        <v>46269</v>
      </c>
      <c r="O474" s="115">
        <v>46191</v>
      </c>
      <c r="P474" s="115">
        <f t="shared" si="574"/>
        <v>46311</v>
      </c>
      <c r="Q474" s="115">
        <f t="shared" si="575"/>
        <v>46311</v>
      </c>
      <c r="R474" s="115"/>
      <c r="S474" s="115">
        <f t="shared" si="577"/>
        <v>46325</v>
      </c>
      <c r="T474" s="115">
        <f t="shared" si="576"/>
        <v>46325</v>
      </c>
      <c r="U474" s="115"/>
      <c r="W474" s="173" t="str">
        <f t="shared" ca="1" si="557"/>
        <v>Completed</v>
      </c>
      <c r="X474" s="173" t="str">
        <f t="shared" ca="1" si="558"/>
        <v>Completed</v>
      </c>
      <c r="Y474" s="173" t="str">
        <f t="shared" ca="1" si="559"/>
        <v/>
      </c>
      <c r="Z474" s="174" t="str">
        <f t="shared" ca="1" si="560"/>
        <v/>
      </c>
    </row>
    <row r="475" spans="1:26" s="70" customFormat="1" ht="11.5" x14ac:dyDescent="0.25">
      <c r="A475" s="112" t="s">
        <v>67</v>
      </c>
      <c r="B475" s="112" t="s">
        <v>14</v>
      </c>
      <c r="C475" s="112" t="s">
        <v>589</v>
      </c>
      <c r="D475" s="112" t="s">
        <v>590</v>
      </c>
      <c r="E475" s="113">
        <f t="shared" si="567"/>
        <v>0.7</v>
      </c>
      <c r="F475" s="113">
        <f t="shared" si="568"/>
        <v>0.7</v>
      </c>
      <c r="G475" s="119">
        <f t="shared" si="568"/>
        <v>0.5</v>
      </c>
      <c r="H475" s="119">
        <f t="shared" si="569"/>
        <v>-0.19999999999999996</v>
      </c>
      <c r="I475" s="120">
        <v>4.7E-2</v>
      </c>
      <c r="J475" s="115">
        <f t="shared" si="570"/>
        <v>46220</v>
      </c>
      <c r="K475" s="115">
        <f t="shared" si="571"/>
        <v>46220</v>
      </c>
      <c r="L475" s="115">
        <v>46178</v>
      </c>
      <c r="M475" s="116">
        <f t="shared" si="572"/>
        <v>46262</v>
      </c>
      <c r="N475" s="115">
        <f t="shared" si="573"/>
        <v>46262</v>
      </c>
      <c r="O475" s="115"/>
      <c r="P475" s="115">
        <f t="shared" si="574"/>
        <v>46304</v>
      </c>
      <c r="Q475" s="115">
        <f t="shared" si="575"/>
        <v>46304</v>
      </c>
      <c r="R475" s="115"/>
      <c r="S475" s="115">
        <f t="shared" si="577"/>
        <v>46318</v>
      </c>
      <c r="T475" s="115">
        <f t="shared" si="576"/>
        <v>46318</v>
      </c>
      <c r="U475" s="115"/>
      <c r="W475" s="173" t="str">
        <f t="shared" ca="1" si="557"/>
        <v>Completed</v>
      </c>
      <c r="X475" s="173" t="str">
        <f t="shared" ca="1" si="558"/>
        <v>Overdue</v>
      </c>
      <c r="Y475" s="173" t="str">
        <f t="shared" ca="1" si="559"/>
        <v/>
      </c>
      <c r="Z475" s="174" t="str">
        <f t="shared" ca="1" si="560"/>
        <v/>
      </c>
    </row>
    <row r="476" spans="1:26" s="70" customFormat="1" ht="11.5" x14ac:dyDescent="0.25">
      <c r="A476" s="112" t="s">
        <v>67</v>
      </c>
      <c r="B476" s="112" t="s">
        <v>14</v>
      </c>
      <c r="C476" s="112" t="s">
        <v>591</v>
      </c>
      <c r="D476" s="112" t="s">
        <v>592</v>
      </c>
      <c r="E476" s="113">
        <f t="shared" si="567"/>
        <v>0.5</v>
      </c>
      <c r="F476" s="113">
        <f t="shared" si="568"/>
        <v>0.5</v>
      </c>
      <c r="G476" s="113">
        <f t="shared" si="568"/>
        <v>0</v>
      </c>
      <c r="H476" s="113">
        <f t="shared" si="569"/>
        <v>-0.5</v>
      </c>
      <c r="I476" s="114">
        <v>4.7E-2</v>
      </c>
      <c r="J476" s="117">
        <f t="shared" si="570"/>
        <v>46227</v>
      </c>
      <c r="K476" s="117">
        <f t="shared" si="571"/>
        <v>46227</v>
      </c>
      <c r="L476" s="115"/>
      <c r="M476" s="116">
        <f t="shared" si="572"/>
        <v>46269</v>
      </c>
      <c r="N476" s="117">
        <f t="shared" si="573"/>
        <v>46269</v>
      </c>
      <c r="O476" s="115"/>
      <c r="P476" s="115">
        <f t="shared" si="574"/>
        <v>46311</v>
      </c>
      <c r="Q476" s="117">
        <f t="shared" si="575"/>
        <v>46311</v>
      </c>
      <c r="R476" s="115"/>
      <c r="S476" s="115">
        <f t="shared" si="577"/>
        <v>46325</v>
      </c>
      <c r="T476" s="117">
        <f t="shared" si="576"/>
        <v>46325</v>
      </c>
      <c r="U476" s="115"/>
      <c r="W476" s="173" t="str">
        <f t="shared" ca="1" si="557"/>
        <v>Overdue</v>
      </c>
      <c r="X476" s="173" t="str">
        <f t="shared" ca="1" si="558"/>
        <v>Follow-This Week</v>
      </c>
      <c r="Y476" s="173" t="str">
        <f t="shared" ca="1" si="559"/>
        <v/>
      </c>
      <c r="Z476" s="174" t="str">
        <f t="shared" ca="1" si="560"/>
        <v/>
      </c>
    </row>
    <row r="477" spans="1:26" s="70" customFormat="1" ht="11.5" x14ac:dyDescent="0.25">
      <c r="A477" s="112" t="s">
        <v>67</v>
      </c>
      <c r="B477" s="112" t="s">
        <v>14</v>
      </c>
      <c r="C477" s="112" t="s">
        <v>593</v>
      </c>
      <c r="D477" s="112" t="s">
        <v>594</v>
      </c>
      <c r="E477" s="113">
        <f t="shared" si="567"/>
        <v>0.7</v>
      </c>
      <c r="F477" s="113">
        <f t="shared" si="568"/>
        <v>0.7</v>
      </c>
      <c r="G477" s="113">
        <f t="shared" si="568"/>
        <v>0.5</v>
      </c>
      <c r="H477" s="113">
        <f t="shared" si="569"/>
        <v>-0.19999999999999996</v>
      </c>
      <c r="I477" s="114">
        <v>4.7E-2</v>
      </c>
      <c r="J477" s="117">
        <f t="shared" si="570"/>
        <v>46220</v>
      </c>
      <c r="K477" s="117">
        <f t="shared" si="571"/>
        <v>46220</v>
      </c>
      <c r="L477" s="115">
        <v>46205</v>
      </c>
      <c r="M477" s="116">
        <f t="shared" si="572"/>
        <v>46262</v>
      </c>
      <c r="N477" s="117">
        <f t="shared" si="573"/>
        <v>46262</v>
      </c>
      <c r="O477" s="115"/>
      <c r="P477" s="115">
        <f t="shared" si="574"/>
        <v>46304</v>
      </c>
      <c r="Q477" s="117">
        <f t="shared" si="575"/>
        <v>46304</v>
      </c>
      <c r="R477" s="115"/>
      <c r="S477" s="115">
        <f t="shared" si="577"/>
        <v>46318</v>
      </c>
      <c r="T477" s="117">
        <f t="shared" si="576"/>
        <v>46318</v>
      </c>
      <c r="U477" s="115"/>
      <c r="W477" s="173" t="str">
        <f t="shared" ref="W477:W542" ca="1" si="578">IF(OR(L477&lt;&gt;""),"Completed",
IF(K477="","",IF(K477&lt;TODAY(),"Overdue",
IF(AND(K477&gt;=TODAY()-WEEKDAY(TODAY(),2)+1,K477&lt;=TODAY()-WEEKDAY(TODAY(),2)+7),"Follow-This Week",
IF(AND(K477&gt;=TODAY()-WEEKDAY(TODAY(),2)+8,K477&lt;=TODAY()-WEEKDAY(TODAY(),2)+14),"Follow-Next Week","")))))</f>
        <v>Completed</v>
      </c>
      <c r="X477" s="173" t="str">
        <f t="shared" ref="X477:X542" ca="1" si="579">IF(OR(O477&lt;&gt;""),"Completed",IF(N477="","",
IF(N477&lt;TODAY(),"Overdue",
IF(AND(N477&gt;=TODAY()-WEEKDAY(TODAY(),2)+1,N477&lt;=TODAY()-WEEKDAY(TODAY(),2)+7),"Follow-This Week",
IF(AND(N477&gt;=TODAY()-WEEKDAY(TODAY(),2)+8,N477&lt;=TODAY()-WEEKDAY(TODAY(),2)+14),"Follow-Next Week","")))))</f>
        <v>Overdue</v>
      </c>
      <c r="Y477" s="173" t="str">
        <f t="shared" ref="Y477:Y542" ca="1" si="580">IF(OR(R477&lt;&gt;""),"Completed",IF(Q477="","",
IF(Q477&lt;TODAY(),"Overdue",
IF(AND(Q477&gt;=TODAY()-WEEKDAY(TODAY(),2)+1,Q477&lt;=TODAY()-WEEKDAY(TODAY(),2)+7),"Follow-This Week",
IF(AND(Q477&gt;=TODAY()-WEEKDAY(TODAY(),2)+8,Q477&lt;=TODAY()-WEEKDAY(TODAY(),2)+14),"Follow-Next Week","")))))</f>
        <v/>
      </c>
      <c r="Z477" s="174" t="str">
        <f t="shared" ref="Z477:Z542" ca="1" si="581">IF(OR(U477&lt;&gt;""),"Completed",IF(T477="","",
IF(T477&lt;TODAY(),"Overdue",
IF(AND(T477&gt;=TODAY()-WEEKDAY(TODAY(),2)+1,T477&lt;=TODAY()-WEEKDAY(TODAY(),2)+7),"Follow-This Week",
IF(AND(T477&gt;=TODAY()-WEEKDAY(TODAY(),2)+8,T477&lt;=TODAY()-WEEKDAY(TODAY(),2)+14),"Follow-Next Week","")))))</f>
        <v/>
      </c>
    </row>
    <row r="478" spans="1:26" s="70" customFormat="1" ht="11.5" x14ac:dyDescent="0.25">
      <c r="A478" s="112" t="s">
        <v>67</v>
      </c>
      <c r="B478" s="112" t="s">
        <v>14</v>
      </c>
      <c r="C478" s="112" t="s">
        <v>595</v>
      </c>
      <c r="D478" s="112" t="s">
        <v>596</v>
      </c>
      <c r="E478" s="113">
        <f t="shared" si="567"/>
        <v>0.7</v>
      </c>
      <c r="F478" s="113">
        <f t="shared" si="568"/>
        <v>0.7</v>
      </c>
      <c r="G478" s="113">
        <f t="shared" si="568"/>
        <v>0.5</v>
      </c>
      <c r="H478" s="113">
        <f t="shared" si="569"/>
        <v>-0.19999999999999996</v>
      </c>
      <c r="I478" s="114">
        <v>4.7E-2</v>
      </c>
      <c r="J478" s="115">
        <f t="shared" si="570"/>
        <v>46220</v>
      </c>
      <c r="K478" s="115">
        <f t="shared" si="571"/>
        <v>46220</v>
      </c>
      <c r="L478" s="115">
        <v>46205</v>
      </c>
      <c r="M478" s="116">
        <f t="shared" si="572"/>
        <v>46262</v>
      </c>
      <c r="N478" s="115">
        <f t="shared" si="573"/>
        <v>46262</v>
      </c>
      <c r="O478" s="115"/>
      <c r="P478" s="115">
        <f t="shared" si="574"/>
        <v>46304</v>
      </c>
      <c r="Q478" s="115">
        <f t="shared" si="575"/>
        <v>46304</v>
      </c>
      <c r="R478" s="115"/>
      <c r="S478" s="115">
        <f t="shared" si="577"/>
        <v>46318</v>
      </c>
      <c r="T478" s="115">
        <f t="shared" si="576"/>
        <v>46318</v>
      </c>
      <c r="U478" s="115"/>
      <c r="W478" s="173" t="str">
        <f t="shared" ca="1" si="578"/>
        <v>Completed</v>
      </c>
      <c r="X478" s="173" t="str">
        <f t="shared" ca="1" si="579"/>
        <v>Overdue</v>
      </c>
      <c r="Y478" s="173" t="str">
        <f t="shared" ca="1" si="580"/>
        <v/>
      </c>
      <c r="Z478" s="174" t="str">
        <f t="shared" ca="1" si="581"/>
        <v/>
      </c>
    </row>
    <row r="479" spans="1:26" s="70" customFormat="1" ht="11.5" x14ac:dyDescent="0.25">
      <c r="A479" s="112" t="s">
        <v>67</v>
      </c>
      <c r="B479" s="112" t="s">
        <v>14</v>
      </c>
      <c r="C479" s="112" t="s">
        <v>878</v>
      </c>
      <c r="D479" s="112" t="s">
        <v>857</v>
      </c>
      <c r="E479" s="113">
        <f t="shared" si="567"/>
        <v>0.5</v>
      </c>
      <c r="F479" s="113">
        <f t="shared" si="568"/>
        <v>0.5</v>
      </c>
      <c r="G479" s="113">
        <f t="shared" si="568"/>
        <v>1</v>
      </c>
      <c r="H479" s="113">
        <f t="shared" si="569"/>
        <v>0.5</v>
      </c>
      <c r="I479" s="114">
        <v>4.7E-2</v>
      </c>
      <c r="J479" s="115">
        <f t="shared" si="570"/>
        <v>46234</v>
      </c>
      <c r="K479" s="115">
        <f t="shared" si="571"/>
        <v>46234</v>
      </c>
      <c r="L479" s="115">
        <v>46182</v>
      </c>
      <c r="M479" s="116">
        <f t="shared" si="572"/>
        <v>46276</v>
      </c>
      <c r="N479" s="115">
        <f t="shared" si="573"/>
        <v>46276</v>
      </c>
      <c r="O479" s="115">
        <v>46191</v>
      </c>
      <c r="P479" s="115">
        <f t="shared" si="574"/>
        <v>46318</v>
      </c>
      <c r="Q479" s="115">
        <f t="shared" si="575"/>
        <v>46318</v>
      </c>
      <c r="R479" s="116">
        <v>46252</v>
      </c>
      <c r="S479" s="115">
        <f t="shared" si="577"/>
        <v>46332</v>
      </c>
      <c r="T479" s="115">
        <f t="shared" si="576"/>
        <v>46332</v>
      </c>
      <c r="U479" s="165">
        <v>46262</v>
      </c>
      <c r="W479" s="173" t="str">
        <f t="shared" ca="1" si="578"/>
        <v>Completed</v>
      </c>
      <c r="X479" s="173" t="str">
        <f t="shared" ca="1" si="579"/>
        <v>Completed</v>
      </c>
      <c r="Y479" s="173" t="str">
        <f t="shared" ca="1" si="580"/>
        <v>Completed</v>
      </c>
      <c r="Z479" s="174" t="str">
        <f t="shared" ca="1" si="581"/>
        <v>Completed</v>
      </c>
    </row>
    <row r="480" spans="1:26" s="70" customFormat="1" ht="11.5" x14ac:dyDescent="0.25">
      <c r="A480" s="112" t="s">
        <v>67</v>
      </c>
      <c r="B480" s="112" t="s">
        <v>14</v>
      </c>
      <c r="C480" s="112" t="s">
        <v>879</v>
      </c>
      <c r="D480" s="112" t="s">
        <v>858</v>
      </c>
      <c r="E480" s="113">
        <f t="shared" si="567"/>
        <v>0.5</v>
      </c>
      <c r="F480" s="113">
        <f t="shared" si="568"/>
        <v>0.5</v>
      </c>
      <c r="G480" s="113">
        <f t="shared" si="568"/>
        <v>1</v>
      </c>
      <c r="H480" s="113">
        <f t="shared" si="569"/>
        <v>0.5</v>
      </c>
      <c r="I480" s="114">
        <v>4.7E-2</v>
      </c>
      <c r="J480" s="115">
        <f t="shared" si="570"/>
        <v>46234</v>
      </c>
      <c r="K480" s="115">
        <f t="shared" si="571"/>
        <v>46234</v>
      </c>
      <c r="L480" s="115">
        <v>46182</v>
      </c>
      <c r="M480" s="116">
        <f t="shared" si="572"/>
        <v>46276</v>
      </c>
      <c r="N480" s="115">
        <f t="shared" si="573"/>
        <v>46276</v>
      </c>
      <c r="O480" s="115">
        <v>46191</v>
      </c>
      <c r="P480" s="115">
        <f t="shared" si="574"/>
        <v>46318</v>
      </c>
      <c r="Q480" s="115">
        <f t="shared" si="575"/>
        <v>46318</v>
      </c>
      <c r="R480" s="116">
        <v>46252</v>
      </c>
      <c r="S480" s="115">
        <f t="shared" si="577"/>
        <v>46332</v>
      </c>
      <c r="T480" s="115">
        <f t="shared" si="576"/>
        <v>46332</v>
      </c>
      <c r="U480" s="165">
        <v>46262</v>
      </c>
      <c r="W480" s="173" t="str">
        <f t="shared" ca="1" si="578"/>
        <v>Completed</v>
      </c>
      <c r="X480" s="173" t="str">
        <f t="shared" ca="1" si="579"/>
        <v>Completed</v>
      </c>
      <c r="Y480" s="173" t="str">
        <f t="shared" ca="1" si="580"/>
        <v>Completed</v>
      </c>
      <c r="Z480" s="174" t="str">
        <f t="shared" ca="1" si="581"/>
        <v>Completed</v>
      </c>
    </row>
    <row r="481" spans="1:26" s="70" customFormat="1" ht="11.5" x14ac:dyDescent="0.25">
      <c r="A481" s="112" t="s">
        <v>67</v>
      </c>
      <c r="B481" s="112" t="s">
        <v>14</v>
      </c>
      <c r="C481" s="112" t="s">
        <v>880</v>
      </c>
      <c r="D481" s="112" t="s">
        <v>859</v>
      </c>
      <c r="E481" s="113">
        <f t="shared" si="567"/>
        <v>0.5</v>
      </c>
      <c r="F481" s="113">
        <f t="shared" si="568"/>
        <v>0.5</v>
      </c>
      <c r="G481" s="113">
        <f t="shared" si="568"/>
        <v>1</v>
      </c>
      <c r="H481" s="113">
        <f t="shared" si="569"/>
        <v>0.5</v>
      </c>
      <c r="I481" s="114">
        <v>4.7E-2</v>
      </c>
      <c r="J481" s="115">
        <f t="shared" si="570"/>
        <v>46234</v>
      </c>
      <c r="K481" s="115">
        <f t="shared" si="571"/>
        <v>46234</v>
      </c>
      <c r="L481" s="115">
        <v>46182</v>
      </c>
      <c r="M481" s="116">
        <f t="shared" si="572"/>
        <v>46276</v>
      </c>
      <c r="N481" s="115">
        <f t="shared" si="573"/>
        <v>46276</v>
      </c>
      <c r="O481" s="115">
        <v>46191</v>
      </c>
      <c r="P481" s="115">
        <f t="shared" si="574"/>
        <v>46318</v>
      </c>
      <c r="Q481" s="115">
        <f t="shared" si="575"/>
        <v>46318</v>
      </c>
      <c r="R481" s="116">
        <v>46252</v>
      </c>
      <c r="S481" s="115">
        <f t="shared" si="577"/>
        <v>46332</v>
      </c>
      <c r="T481" s="115">
        <f t="shared" si="576"/>
        <v>46332</v>
      </c>
      <c r="U481" s="165">
        <v>46262</v>
      </c>
      <c r="W481" s="173" t="str">
        <f t="shared" ca="1" si="578"/>
        <v>Completed</v>
      </c>
      <c r="X481" s="173" t="str">
        <f t="shared" ca="1" si="579"/>
        <v>Completed</v>
      </c>
      <c r="Y481" s="173" t="str">
        <f t="shared" ca="1" si="580"/>
        <v>Completed</v>
      </c>
      <c r="Z481" s="174" t="str">
        <f t="shared" ca="1" si="581"/>
        <v>Completed</v>
      </c>
    </row>
    <row r="482" spans="1:26" s="70" customFormat="1" ht="11.5" x14ac:dyDescent="0.25">
      <c r="A482" s="112" t="s">
        <v>67</v>
      </c>
      <c r="B482" s="112" t="s">
        <v>14</v>
      </c>
      <c r="C482" s="112" t="s">
        <v>881</v>
      </c>
      <c r="D482" s="112" t="s">
        <v>860</v>
      </c>
      <c r="E482" s="113">
        <f t="shared" si="567"/>
        <v>0.5</v>
      </c>
      <c r="F482" s="113">
        <f t="shared" si="568"/>
        <v>0.5</v>
      </c>
      <c r="G482" s="113">
        <f t="shared" si="568"/>
        <v>1</v>
      </c>
      <c r="H482" s="113">
        <f t="shared" si="569"/>
        <v>0.5</v>
      </c>
      <c r="I482" s="114">
        <v>4.7E-2</v>
      </c>
      <c r="J482" s="115">
        <f t="shared" si="570"/>
        <v>46234</v>
      </c>
      <c r="K482" s="115">
        <f t="shared" si="571"/>
        <v>46234</v>
      </c>
      <c r="L482" s="115">
        <v>46182</v>
      </c>
      <c r="M482" s="116">
        <f t="shared" si="572"/>
        <v>46276</v>
      </c>
      <c r="N482" s="115">
        <f t="shared" si="573"/>
        <v>46276</v>
      </c>
      <c r="O482" s="115">
        <v>46191</v>
      </c>
      <c r="P482" s="115">
        <f t="shared" si="574"/>
        <v>46318</v>
      </c>
      <c r="Q482" s="115">
        <f t="shared" si="575"/>
        <v>46318</v>
      </c>
      <c r="R482" s="116">
        <v>46252</v>
      </c>
      <c r="S482" s="115">
        <f t="shared" si="577"/>
        <v>46332</v>
      </c>
      <c r="T482" s="115">
        <f t="shared" si="576"/>
        <v>46332</v>
      </c>
      <c r="U482" s="165">
        <v>46262</v>
      </c>
      <c r="W482" s="173" t="str">
        <f t="shared" ca="1" si="578"/>
        <v>Completed</v>
      </c>
      <c r="X482" s="173" t="str">
        <f t="shared" ca="1" si="579"/>
        <v>Completed</v>
      </c>
      <c r="Y482" s="173" t="str">
        <f t="shared" ca="1" si="580"/>
        <v>Completed</v>
      </c>
      <c r="Z482" s="174" t="str">
        <f t="shared" ca="1" si="581"/>
        <v>Completed</v>
      </c>
    </row>
    <row r="483" spans="1:26" s="70" customFormat="1" ht="11.5" x14ac:dyDescent="0.25">
      <c r="A483" s="112" t="s">
        <v>67</v>
      </c>
      <c r="B483" s="112" t="s">
        <v>14</v>
      </c>
      <c r="C483" s="112" t="s">
        <v>882</v>
      </c>
      <c r="D483" s="112" t="s">
        <v>861</v>
      </c>
      <c r="E483" s="113">
        <f t="shared" si="567"/>
        <v>0.5</v>
      </c>
      <c r="F483" s="113">
        <f t="shared" si="568"/>
        <v>0.5</v>
      </c>
      <c r="G483" s="113">
        <f t="shared" si="568"/>
        <v>1</v>
      </c>
      <c r="H483" s="113">
        <f t="shared" si="569"/>
        <v>0.5</v>
      </c>
      <c r="I483" s="114">
        <v>4.7E-2</v>
      </c>
      <c r="J483" s="115">
        <f t="shared" si="570"/>
        <v>46234</v>
      </c>
      <c r="K483" s="115">
        <f t="shared" si="571"/>
        <v>46234</v>
      </c>
      <c r="L483" s="115">
        <v>46182</v>
      </c>
      <c r="M483" s="116">
        <f t="shared" si="572"/>
        <v>46276</v>
      </c>
      <c r="N483" s="115">
        <f t="shared" si="573"/>
        <v>46276</v>
      </c>
      <c r="O483" s="115">
        <v>46191</v>
      </c>
      <c r="P483" s="115">
        <f t="shared" si="574"/>
        <v>46318</v>
      </c>
      <c r="Q483" s="115">
        <f t="shared" si="575"/>
        <v>46318</v>
      </c>
      <c r="R483" s="116">
        <v>46252</v>
      </c>
      <c r="S483" s="115">
        <f t="shared" si="577"/>
        <v>46332</v>
      </c>
      <c r="T483" s="115">
        <f t="shared" si="576"/>
        <v>46332</v>
      </c>
      <c r="U483" s="165">
        <v>46262</v>
      </c>
      <c r="W483" s="173" t="str">
        <f t="shared" ca="1" si="578"/>
        <v>Completed</v>
      </c>
      <c r="X483" s="173" t="str">
        <f t="shared" ca="1" si="579"/>
        <v>Completed</v>
      </c>
      <c r="Y483" s="173" t="str">
        <f t="shared" ca="1" si="580"/>
        <v>Completed</v>
      </c>
      <c r="Z483" s="174" t="str">
        <f t="shared" ca="1" si="581"/>
        <v>Completed</v>
      </c>
    </row>
    <row r="484" spans="1:26" s="70" customFormat="1" ht="11.5" x14ac:dyDescent="0.25">
      <c r="A484" s="112" t="s">
        <v>67</v>
      </c>
      <c r="B484" s="112" t="s">
        <v>14</v>
      </c>
      <c r="C484" s="112" t="s">
        <v>883</v>
      </c>
      <c r="D484" s="112" t="s">
        <v>862</v>
      </c>
      <c r="E484" s="113">
        <f t="shared" si="567"/>
        <v>0.5</v>
      </c>
      <c r="F484" s="113">
        <f t="shared" si="568"/>
        <v>0.5</v>
      </c>
      <c r="G484" s="113">
        <f t="shared" si="568"/>
        <v>1</v>
      </c>
      <c r="H484" s="113">
        <f t="shared" si="569"/>
        <v>0.5</v>
      </c>
      <c r="I484" s="114">
        <v>4.7E-2</v>
      </c>
      <c r="J484" s="115">
        <f t="shared" si="570"/>
        <v>46234</v>
      </c>
      <c r="K484" s="115">
        <f t="shared" si="571"/>
        <v>46234</v>
      </c>
      <c r="L484" s="144">
        <v>46162</v>
      </c>
      <c r="M484" s="116">
        <f t="shared" si="572"/>
        <v>46276</v>
      </c>
      <c r="N484" s="115">
        <f t="shared" si="573"/>
        <v>46276</v>
      </c>
      <c r="O484" s="115">
        <v>46191</v>
      </c>
      <c r="P484" s="115">
        <f t="shared" si="574"/>
        <v>46318</v>
      </c>
      <c r="Q484" s="115">
        <f t="shared" si="575"/>
        <v>46318</v>
      </c>
      <c r="R484" s="116">
        <v>46252</v>
      </c>
      <c r="S484" s="115">
        <f t="shared" si="577"/>
        <v>46332</v>
      </c>
      <c r="T484" s="115">
        <f t="shared" si="576"/>
        <v>46332</v>
      </c>
      <c r="U484" s="165">
        <v>46262</v>
      </c>
      <c r="W484" s="173" t="str">
        <f t="shared" ca="1" si="578"/>
        <v>Completed</v>
      </c>
      <c r="X484" s="173" t="str">
        <f t="shared" ca="1" si="579"/>
        <v>Completed</v>
      </c>
      <c r="Y484" s="173" t="str">
        <f t="shared" ca="1" si="580"/>
        <v>Completed</v>
      </c>
      <c r="Z484" s="174" t="str">
        <f t="shared" ca="1" si="581"/>
        <v>Completed</v>
      </c>
    </row>
    <row r="485" spans="1:26" s="70" customFormat="1" ht="11.5" x14ac:dyDescent="0.25">
      <c r="A485" s="112" t="s">
        <v>67</v>
      </c>
      <c r="B485" s="112" t="s">
        <v>14</v>
      </c>
      <c r="C485" s="112" t="s">
        <v>884</v>
      </c>
      <c r="D485" s="112" t="s">
        <v>863</v>
      </c>
      <c r="E485" s="113">
        <f t="shared" si="567"/>
        <v>0.5</v>
      </c>
      <c r="F485" s="113">
        <f t="shared" si="568"/>
        <v>0.5</v>
      </c>
      <c r="G485" s="113">
        <f t="shared" si="568"/>
        <v>1</v>
      </c>
      <c r="H485" s="113">
        <f t="shared" si="569"/>
        <v>0.5</v>
      </c>
      <c r="I485" s="114">
        <v>4.7E-2</v>
      </c>
      <c r="J485" s="115">
        <f t="shared" si="570"/>
        <v>46234</v>
      </c>
      <c r="K485" s="115">
        <f t="shared" si="571"/>
        <v>46234</v>
      </c>
      <c r="L485" s="144">
        <v>46162</v>
      </c>
      <c r="M485" s="116">
        <f t="shared" si="572"/>
        <v>46276</v>
      </c>
      <c r="N485" s="115">
        <f t="shared" si="573"/>
        <v>46276</v>
      </c>
      <c r="O485" s="115">
        <v>46191</v>
      </c>
      <c r="P485" s="115">
        <f t="shared" si="574"/>
        <v>46318</v>
      </c>
      <c r="Q485" s="115">
        <f t="shared" si="575"/>
        <v>46318</v>
      </c>
      <c r="R485" s="116">
        <v>46252</v>
      </c>
      <c r="S485" s="115">
        <f t="shared" si="577"/>
        <v>46332</v>
      </c>
      <c r="T485" s="115">
        <f t="shared" si="576"/>
        <v>46332</v>
      </c>
      <c r="U485" s="165">
        <v>46262</v>
      </c>
      <c r="W485" s="173" t="str">
        <f t="shared" ca="1" si="578"/>
        <v>Completed</v>
      </c>
      <c r="X485" s="173" t="str">
        <f t="shared" ca="1" si="579"/>
        <v>Completed</v>
      </c>
      <c r="Y485" s="173" t="str">
        <f t="shared" ca="1" si="580"/>
        <v>Completed</v>
      </c>
      <c r="Z485" s="174" t="str">
        <f t="shared" ca="1" si="581"/>
        <v>Completed</v>
      </c>
    </row>
    <row r="486" spans="1:26" s="70" customFormat="1" ht="11.5" x14ac:dyDescent="0.25">
      <c r="A486" s="112" t="s">
        <v>67</v>
      </c>
      <c r="B486" s="112" t="s">
        <v>14</v>
      </c>
      <c r="C486" s="112" t="s">
        <v>885</v>
      </c>
      <c r="D486" s="112" t="s">
        <v>864</v>
      </c>
      <c r="E486" s="113">
        <f t="shared" si="567"/>
        <v>0.5</v>
      </c>
      <c r="F486" s="113">
        <f t="shared" si="568"/>
        <v>0.5</v>
      </c>
      <c r="G486" s="113">
        <f t="shared" si="568"/>
        <v>1</v>
      </c>
      <c r="H486" s="113">
        <f t="shared" si="569"/>
        <v>0.5</v>
      </c>
      <c r="I486" s="114">
        <v>4.7E-2</v>
      </c>
      <c r="J486" s="115">
        <f t="shared" si="570"/>
        <v>46234</v>
      </c>
      <c r="K486" s="115">
        <f t="shared" si="571"/>
        <v>46234</v>
      </c>
      <c r="L486" s="144">
        <v>46162</v>
      </c>
      <c r="M486" s="116">
        <f t="shared" si="572"/>
        <v>46276</v>
      </c>
      <c r="N486" s="115">
        <f t="shared" si="573"/>
        <v>46276</v>
      </c>
      <c r="O486" s="115">
        <v>46191</v>
      </c>
      <c r="P486" s="115">
        <f t="shared" si="574"/>
        <v>46318</v>
      </c>
      <c r="Q486" s="115">
        <f t="shared" si="575"/>
        <v>46318</v>
      </c>
      <c r="R486" s="116">
        <v>46252</v>
      </c>
      <c r="S486" s="115">
        <f t="shared" si="577"/>
        <v>46332</v>
      </c>
      <c r="T486" s="115">
        <f t="shared" si="576"/>
        <v>46332</v>
      </c>
      <c r="U486" s="165">
        <v>46262</v>
      </c>
      <c r="W486" s="173" t="str">
        <f t="shared" ca="1" si="578"/>
        <v>Completed</v>
      </c>
      <c r="X486" s="173" t="str">
        <f t="shared" ca="1" si="579"/>
        <v>Completed</v>
      </c>
      <c r="Y486" s="173" t="str">
        <f t="shared" ca="1" si="580"/>
        <v>Completed</v>
      </c>
      <c r="Z486" s="174" t="str">
        <f t="shared" ca="1" si="581"/>
        <v>Completed</v>
      </c>
    </row>
    <row r="487" spans="1:26" s="70" customFormat="1" ht="11.5" x14ac:dyDescent="0.25">
      <c r="A487" s="112" t="s">
        <v>67</v>
      </c>
      <c r="B487" s="112" t="s">
        <v>14</v>
      </c>
      <c r="C487" s="112" t="s">
        <v>886</v>
      </c>
      <c r="D487" s="112" t="s">
        <v>865</v>
      </c>
      <c r="E487" s="113">
        <f t="shared" si="567"/>
        <v>0.5</v>
      </c>
      <c r="F487" s="113">
        <f t="shared" si="568"/>
        <v>0.5</v>
      </c>
      <c r="G487" s="113">
        <f t="shared" si="568"/>
        <v>1</v>
      </c>
      <c r="H487" s="113">
        <f t="shared" si="569"/>
        <v>0.5</v>
      </c>
      <c r="I487" s="114">
        <v>4.7E-2</v>
      </c>
      <c r="J487" s="115">
        <f t="shared" si="570"/>
        <v>46234</v>
      </c>
      <c r="K487" s="115">
        <f t="shared" si="571"/>
        <v>46234</v>
      </c>
      <c r="L487" s="144">
        <v>46162</v>
      </c>
      <c r="M487" s="116">
        <f t="shared" si="572"/>
        <v>46276</v>
      </c>
      <c r="N487" s="115">
        <f t="shared" si="573"/>
        <v>46276</v>
      </c>
      <c r="O487" s="115">
        <v>46191</v>
      </c>
      <c r="P487" s="115">
        <f t="shared" si="574"/>
        <v>46318</v>
      </c>
      <c r="Q487" s="115">
        <f t="shared" si="575"/>
        <v>46318</v>
      </c>
      <c r="R487" s="116">
        <v>46252</v>
      </c>
      <c r="S487" s="115">
        <f t="shared" si="577"/>
        <v>46332</v>
      </c>
      <c r="T487" s="115">
        <f t="shared" si="576"/>
        <v>46332</v>
      </c>
      <c r="U487" s="165">
        <v>46262</v>
      </c>
      <c r="W487" s="173" t="str">
        <f t="shared" ca="1" si="578"/>
        <v>Completed</v>
      </c>
      <c r="X487" s="173" t="str">
        <f t="shared" ca="1" si="579"/>
        <v>Completed</v>
      </c>
      <c r="Y487" s="173" t="str">
        <f t="shared" ca="1" si="580"/>
        <v>Completed</v>
      </c>
      <c r="Z487" s="174" t="str">
        <f t="shared" ca="1" si="581"/>
        <v>Completed</v>
      </c>
    </row>
    <row r="488" spans="1:26" s="70" customFormat="1" ht="11.5" x14ac:dyDescent="0.25">
      <c r="A488" s="112" t="s">
        <v>67</v>
      </c>
      <c r="B488" s="112" t="s">
        <v>14</v>
      </c>
      <c r="C488" s="112" t="s">
        <v>887</v>
      </c>
      <c r="D488" s="112" t="s">
        <v>866</v>
      </c>
      <c r="E488" s="113">
        <f t="shared" si="567"/>
        <v>0.5</v>
      </c>
      <c r="F488" s="113">
        <f t="shared" si="568"/>
        <v>0.5</v>
      </c>
      <c r="G488" s="113">
        <f t="shared" si="568"/>
        <v>1</v>
      </c>
      <c r="H488" s="113">
        <f t="shared" si="569"/>
        <v>0.5</v>
      </c>
      <c r="I488" s="114">
        <v>4.7E-2</v>
      </c>
      <c r="J488" s="115">
        <f t="shared" si="570"/>
        <v>46234</v>
      </c>
      <c r="K488" s="115">
        <f t="shared" si="571"/>
        <v>46234</v>
      </c>
      <c r="L488" s="144">
        <v>46162</v>
      </c>
      <c r="M488" s="116">
        <f t="shared" si="572"/>
        <v>46276</v>
      </c>
      <c r="N488" s="115">
        <f t="shared" si="573"/>
        <v>46276</v>
      </c>
      <c r="O488" s="115">
        <v>46191</v>
      </c>
      <c r="P488" s="115">
        <f t="shared" si="574"/>
        <v>46318</v>
      </c>
      <c r="Q488" s="115">
        <f t="shared" si="575"/>
        <v>46318</v>
      </c>
      <c r="R488" s="116">
        <v>46252</v>
      </c>
      <c r="S488" s="115">
        <f t="shared" si="577"/>
        <v>46332</v>
      </c>
      <c r="T488" s="115">
        <f t="shared" si="576"/>
        <v>46332</v>
      </c>
      <c r="U488" s="165">
        <v>46262</v>
      </c>
      <c r="W488" s="173" t="str">
        <f t="shared" ca="1" si="578"/>
        <v>Completed</v>
      </c>
      <c r="X488" s="173" t="str">
        <f t="shared" ca="1" si="579"/>
        <v>Completed</v>
      </c>
      <c r="Y488" s="173" t="str">
        <f t="shared" ca="1" si="580"/>
        <v>Completed</v>
      </c>
      <c r="Z488" s="174" t="str">
        <f t="shared" ca="1" si="581"/>
        <v>Completed</v>
      </c>
    </row>
    <row r="489" spans="1:26" s="70" customFormat="1" ht="11.5" x14ac:dyDescent="0.25">
      <c r="A489" s="112" t="s">
        <v>67</v>
      </c>
      <c r="B489" s="112" t="s">
        <v>14</v>
      </c>
      <c r="C489" s="112" t="s">
        <v>888</v>
      </c>
      <c r="D489" s="112" t="s">
        <v>867</v>
      </c>
      <c r="E489" s="113">
        <f t="shared" si="567"/>
        <v>0.5</v>
      </c>
      <c r="F489" s="113">
        <f t="shared" si="568"/>
        <v>0.5</v>
      </c>
      <c r="G489" s="113">
        <f t="shared" si="568"/>
        <v>1</v>
      </c>
      <c r="H489" s="113">
        <f t="shared" si="569"/>
        <v>0.5</v>
      </c>
      <c r="I489" s="114">
        <v>4.7E-2</v>
      </c>
      <c r="J489" s="115">
        <f t="shared" si="570"/>
        <v>46234</v>
      </c>
      <c r="K489" s="115">
        <f t="shared" si="571"/>
        <v>46234</v>
      </c>
      <c r="L489" s="144">
        <v>46162</v>
      </c>
      <c r="M489" s="116">
        <f t="shared" si="572"/>
        <v>46276</v>
      </c>
      <c r="N489" s="115">
        <f t="shared" si="573"/>
        <v>46276</v>
      </c>
      <c r="O489" s="115">
        <v>46191</v>
      </c>
      <c r="P489" s="115">
        <f t="shared" si="574"/>
        <v>46318</v>
      </c>
      <c r="Q489" s="115">
        <f t="shared" si="575"/>
        <v>46318</v>
      </c>
      <c r="R489" s="116">
        <v>46252</v>
      </c>
      <c r="S489" s="115">
        <f t="shared" si="577"/>
        <v>46332</v>
      </c>
      <c r="T489" s="115">
        <f t="shared" si="576"/>
        <v>46332</v>
      </c>
      <c r="U489" s="165">
        <v>46262</v>
      </c>
      <c r="W489" s="173" t="str">
        <f t="shared" ca="1" si="578"/>
        <v>Completed</v>
      </c>
      <c r="X489" s="173" t="str">
        <f t="shared" ca="1" si="579"/>
        <v>Completed</v>
      </c>
      <c r="Y489" s="173" t="str">
        <f t="shared" ca="1" si="580"/>
        <v>Completed</v>
      </c>
      <c r="Z489" s="174" t="str">
        <f t="shared" ca="1" si="581"/>
        <v>Completed</v>
      </c>
    </row>
    <row r="490" spans="1:26" s="70" customFormat="1" ht="11.5" x14ac:dyDescent="0.25">
      <c r="A490" s="112" t="s">
        <v>67</v>
      </c>
      <c r="B490" s="112" t="s">
        <v>14</v>
      </c>
      <c r="C490" s="112" t="s">
        <v>889</v>
      </c>
      <c r="D490" s="112" t="s">
        <v>868</v>
      </c>
      <c r="E490" s="113">
        <f t="shared" si="567"/>
        <v>0.5</v>
      </c>
      <c r="F490" s="113">
        <f t="shared" si="568"/>
        <v>0.5</v>
      </c>
      <c r="G490" s="113">
        <f t="shared" si="568"/>
        <v>1</v>
      </c>
      <c r="H490" s="113">
        <f t="shared" si="569"/>
        <v>0.5</v>
      </c>
      <c r="I490" s="114">
        <v>4.7E-2</v>
      </c>
      <c r="J490" s="115">
        <f t="shared" si="570"/>
        <v>46234</v>
      </c>
      <c r="K490" s="115">
        <f t="shared" si="571"/>
        <v>46234</v>
      </c>
      <c r="L490" s="144">
        <v>46162</v>
      </c>
      <c r="M490" s="116">
        <f t="shared" si="572"/>
        <v>46276</v>
      </c>
      <c r="N490" s="115">
        <f t="shared" si="573"/>
        <v>46276</v>
      </c>
      <c r="O490" s="115">
        <v>46191</v>
      </c>
      <c r="P490" s="115">
        <f t="shared" si="574"/>
        <v>46318</v>
      </c>
      <c r="Q490" s="115">
        <f t="shared" si="575"/>
        <v>46318</v>
      </c>
      <c r="R490" s="116">
        <v>46252</v>
      </c>
      <c r="S490" s="115">
        <f t="shared" si="577"/>
        <v>46332</v>
      </c>
      <c r="T490" s="115">
        <f t="shared" si="576"/>
        <v>46332</v>
      </c>
      <c r="U490" s="165">
        <v>46262</v>
      </c>
      <c r="W490" s="173" t="str">
        <f t="shared" ca="1" si="578"/>
        <v>Completed</v>
      </c>
      <c r="X490" s="173" t="str">
        <f t="shared" ca="1" si="579"/>
        <v>Completed</v>
      </c>
      <c r="Y490" s="173" t="str">
        <f t="shared" ca="1" si="580"/>
        <v>Completed</v>
      </c>
      <c r="Z490" s="174" t="str">
        <f t="shared" ca="1" si="581"/>
        <v>Completed</v>
      </c>
    </row>
    <row r="491" spans="1:26" s="70" customFormat="1" ht="11.5" x14ac:dyDescent="0.25">
      <c r="A491" s="112" t="s">
        <v>67</v>
      </c>
      <c r="B491" s="112" t="s">
        <v>14</v>
      </c>
      <c r="C491" s="112" t="s">
        <v>890</v>
      </c>
      <c r="D491" s="112" t="s">
        <v>869</v>
      </c>
      <c r="E491" s="113">
        <f t="shared" si="567"/>
        <v>0.5</v>
      </c>
      <c r="F491" s="113">
        <f t="shared" si="568"/>
        <v>0.5</v>
      </c>
      <c r="G491" s="113">
        <f t="shared" si="568"/>
        <v>1</v>
      </c>
      <c r="H491" s="113">
        <f t="shared" si="569"/>
        <v>0.5</v>
      </c>
      <c r="I491" s="114">
        <v>4.7E-2</v>
      </c>
      <c r="J491" s="115">
        <f t="shared" si="570"/>
        <v>46234</v>
      </c>
      <c r="K491" s="115">
        <f t="shared" si="571"/>
        <v>46234</v>
      </c>
      <c r="L491" s="144">
        <v>46162</v>
      </c>
      <c r="M491" s="116">
        <f t="shared" si="572"/>
        <v>46276</v>
      </c>
      <c r="N491" s="115">
        <f t="shared" si="573"/>
        <v>46276</v>
      </c>
      <c r="O491" s="115">
        <v>46191</v>
      </c>
      <c r="P491" s="115">
        <f t="shared" si="574"/>
        <v>46318</v>
      </c>
      <c r="Q491" s="115">
        <f t="shared" si="575"/>
        <v>46318</v>
      </c>
      <c r="R491" s="116">
        <v>46252</v>
      </c>
      <c r="S491" s="115">
        <f t="shared" si="577"/>
        <v>46332</v>
      </c>
      <c r="T491" s="115">
        <f t="shared" si="576"/>
        <v>46332</v>
      </c>
      <c r="U491" s="165">
        <v>46262</v>
      </c>
      <c r="W491" s="173" t="str">
        <f t="shared" ca="1" si="578"/>
        <v>Completed</v>
      </c>
      <c r="X491" s="173" t="str">
        <f t="shared" ca="1" si="579"/>
        <v>Completed</v>
      </c>
      <c r="Y491" s="173" t="str">
        <f t="shared" ca="1" si="580"/>
        <v>Completed</v>
      </c>
      <c r="Z491" s="174" t="str">
        <f t="shared" ca="1" si="581"/>
        <v>Completed</v>
      </c>
    </row>
    <row r="492" spans="1:26" s="70" customFormat="1" ht="11.5" x14ac:dyDescent="0.25">
      <c r="A492" s="112" t="s">
        <v>67</v>
      </c>
      <c r="B492" s="112" t="s">
        <v>14</v>
      </c>
      <c r="C492" s="112" t="s">
        <v>597</v>
      </c>
      <c r="D492" s="112" t="s">
        <v>598</v>
      </c>
      <c r="E492" s="113">
        <f t="shared" si="567"/>
        <v>0.7</v>
      </c>
      <c r="F492" s="113">
        <f t="shared" si="568"/>
        <v>0.7</v>
      </c>
      <c r="G492" s="113">
        <f t="shared" si="568"/>
        <v>0.7</v>
      </c>
      <c r="H492" s="113">
        <f t="shared" si="569"/>
        <v>0</v>
      </c>
      <c r="I492" s="114">
        <v>4.7E-2</v>
      </c>
      <c r="J492" s="115">
        <f t="shared" si="570"/>
        <v>46220</v>
      </c>
      <c r="K492" s="115">
        <f t="shared" si="571"/>
        <v>46220</v>
      </c>
      <c r="L492" s="116">
        <v>46184</v>
      </c>
      <c r="M492" s="116">
        <f t="shared" si="572"/>
        <v>46262</v>
      </c>
      <c r="N492" s="115">
        <f t="shared" si="573"/>
        <v>46262</v>
      </c>
      <c r="O492" s="115">
        <v>46213</v>
      </c>
      <c r="P492" s="115">
        <f t="shared" si="574"/>
        <v>46304</v>
      </c>
      <c r="Q492" s="115">
        <f t="shared" si="575"/>
        <v>46304</v>
      </c>
      <c r="R492" s="115"/>
      <c r="S492" s="115">
        <f t="shared" si="577"/>
        <v>46318</v>
      </c>
      <c r="T492" s="115">
        <f t="shared" si="576"/>
        <v>46318</v>
      </c>
      <c r="U492" s="115"/>
      <c r="W492" s="173" t="str">
        <f t="shared" ca="1" si="578"/>
        <v>Completed</v>
      </c>
      <c r="X492" s="173" t="str">
        <f t="shared" ca="1" si="579"/>
        <v>Completed</v>
      </c>
      <c r="Y492" s="173" t="str">
        <f t="shared" ca="1" si="580"/>
        <v/>
      </c>
      <c r="Z492" s="174" t="str">
        <f t="shared" ca="1" si="581"/>
        <v/>
      </c>
    </row>
    <row r="493" spans="1:26" s="70" customFormat="1" ht="11.5" x14ac:dyDescent="0.25">
      <c r="A493" s="194" t="s">
        <v>67</v>
      </c>
      <c r="B493" s="194" t="s">
        <v>14</v>
      </c>
      <c r="C493" s="194" t="s">
        <v>599</v>
      </c>
      <c r="D493" s="194" t="s">
        <v>1202</v>
      </c>
      <c r="E493" s="195"/>
      <c r="F493" s="195"/>
      <c r="G493" s="195">
        <f t="shared" si="568"/>
        <v>1</v>
      </c>
      <c r="H493" s="195"/>
      <c r="I493" s="196">
        <v>4.7E-2</v>
      </c>
      <c r="J493" s="197">
        <f t="shared" si="570"/>
        <v>46220</v>
      </c>
      <c r="K493" s="197">
        <f t="shared" si="571"/>
        <v>46220</v>
      </c>
      <c r="L493" s="197">
        <v>46184</v>
      </c>
      <c r="M493" s="205">
        <f t="shared" si="572"/>
        <v>46262</v>
      </c>
      <c r="N493" s="197">
        <f t="shared" si="573"/>
        <v>46262</v>
      </c>
      <c r="O493" s="197">
        <v>46213</v>
      </c>
      <c r="P493" s="197">
        <f t="shared" si="574"/>
        <v>46304</v>
      </c>
      <c r="Q493" s="197">
        <f t="shared" si="575"/>
        <v>46304</v>
      </c>
      <c r="R493" s="197">
        <v>46262</v>
      </c>
      <c r="S493" s="197">
        <f t="shared" si="577"/>
        <v>46318</v>
      </c>
      <c r="T493" s="197">
        <f t="shared" si="576"/>
        <v>46318</v>
      </c>
      <c r="U493" s="197">
        <v>46262</v>
      </c>
      <c r="W493" s="173" t="str">
        <f t="shared" ca="1" si="578"/>
        <v>Completed</v>
      </c>
      <c r="X493" s="173" t="str">
        <f t="shared" ca="1" si="579"/>
        <v>Completed</v>
      </c>
      <c r="Y493" s="173" t="str">
        <f t="shared" ca="1" si="580"/>
        <v>Completed</v>
      </c>
      <c r="Z493" s="174" t="str">
        <f t="shared" ca="1" si="581"/>
        <v>Completed</v>
      </c>
    </row>
    <row r="494" spans="1:26" s="70" customFormat="1" ht="11.5" x14ac:dyDescent="0.25">
      <c r="A494" s="118" t="s">
        <v>67</v>
      </c>
      <c r="B494" s="118" t="s">
        <v>14</v>
      </c>
      <c r="C494" s="118" t="s">
        <v>600</v>
      </c>
      <c r="D494" s="118" t="s">
        <v>601</v>
      </c>
      <c r="E494" s="119">
        <f t="shared" si="567"/>
        <v>0.7</v>
      </c>
      <c r="F494" s="119">
        <f t="shared" si="568"/>
        <v>0.7</v>
      </c>
      <c r="G494" s="119">
        <f t="shared" si="568"/>
        <v>0</v>
      </c>
      <c r="H494" s="119">
        <f t="shared" si="569"/>
        <v>-0.7</v>
      </c>
      <c r="I494" s="120">
        <v>4.7E-2</v>
      </c>
      <c r="J494" s="115">
        <f t="shared" si="570"/>
        <v>46220</v>
      </c>
      <c r="K494" s="115">
        <f t="shared" si="571"/>
        <v>46220</v>
      </c>
      <c r="L494" s="116"/>
      <c r="M494" s="116">
        <f t="shared" si="572"/>
        <v>46262</v>
      </c>
      <c r="N494" s="115">
        <f t="shared" si="573"/>
        <v>46262</v>
      </c>
      <c r="O494" s="116"/>
      <c r="P494" s="115">
        <f t="shared" si="574"/>
        <v>46304</v>
      </c>
      <c r="Q494" s="115">
        <f t="shared" si="575"/>
        <v>46304</v>
      </c>
      <c r="R494" s="116"/>
      <c r="S494" s="115">
        <f t="shared" si="577"/>
        <v>46318</v>
      </c>
      <c r="T494" s="115">
        <f t="shared" si="576"/>
        <v>46318</v>
      </c>
      <c r="U494" s="116"/>
      <c r="W494" s="173" t="str">
        <f t="shared" ca="1" si="578"/>
        <v>Overdue</v>
      </c>
      <c r="X494" s="173" t="str">
        <f t="shared" ca="1" si="579"/>
        <v>Overdue</v>
      </c>
      <c r="Y494" s="173" t="str">
        <f t="shared" ca="1" si="580"/>
        <v/>
      </c>
      <c r="Z494" s="174" t="str">
        <f t="shared" ca="1" si="581"/>
        <v/>
      </c>
    </row>
    <row r="495" spans="1:26" s="70" customFormat="1" ht="11.5" x14ac:dyDescent="0.25">
      <c r="A495" s="118" t="s">
        <v>67</v>
      </c>
      <c r="B495" s="118" t="s">
        <v>14</v>
      </c>
      <c r="C495" s="118" t="s">
        <v>602</v>
      </c>
      <c r="D495" s="118" t="s">
        <v>603</v>
      </c>
      <c r="E495" s="119">
        <f t="shared" si="567"/>
        <v>0.7</v>
      </c>
      <c r="F495" s="119">
        <f t="shared" si="568"/>
        <v>0.7</v>
      </c>
      <c r="G495" s="119">
        <f t="shared" si="568"/>
        <v>0</v>
      </c>
      <c r="H495" s="119">
        <f t="shared" si="569"/>
        <v>-0.7</v>
      </c>
      <c r="I495" s="120">
        <v>4.7E-2</v>
      </c>
      <c r="J495" s="115">
        <f t="shared" si="570"/>
        <v>46220</v>
      </c>
      <c r="K495" s="115">
        <f t="shared" si="571"/>
        <v>46220</v>
      </c>
      <c r="L495" s="116"/>
      <c r="M495" s="116">
        <f t="shared" si="572"/>
        <v>46262</v>
      </c>
      <c r="N495" s="115">
        <f t="shared" si="573"/>
        <v>46262</v>
      </c>
      <c r="O495" s="116"/>
      <c r="P495" s="115">
        <f t="shared" si="574"/>
        <v>46304</v>
      </c>
      <c r="Q495" s="115">
        <f t="shared" si="575"/>
        <v>46304</v>
      </c>
      <c r="R495" s="116"/>
      <c r="S495" s="115">
        <f t="shared" si="577"/>
        <v>46318</v>
      </c>
      <c r="T495" s="115">
        <f t="shared" si="576"/>
        <v>46318</v>
      </c>
      <c r="U495" s="116"/>
      <c r="W495" s="173" t="str">
        <f t="shared" ca="1" si="578"/>
        <v>Overdue</v>
      </c>
      <c r="X495" s="173" t="str">
        <f t="shared" ca="1" si="579"/>
        <v>Overdue</v>
      </c>
      <c r="Y495" s="173" t="str">
        <f t="shared" ca="1" si="580"/>
        <v/>
      </c>
      <c r="Z495" s="174" t="str">
        <f t="shared" ca="1" si="581"/>
        <v/>
      </c>
    </row>
    <row r="496" spans="1:26" s="70" customFormat="1" ht="11.5" x14ac:dyDescent="0.25">
      <c r="A496" s="118" t="s">
        <v>67</v>
      </c>
      <c r="B496" s="118" t="s">
        <v>14</v>
      </c>
      <c r="C496" s="118" t="s">
        <v>604</v>
      </c>
      <c r="D496" s="118" t="s">
        <v>605</v>
      </c>
      <c r="E496" s="119">
        <f t="shared" si="567"/>
        <v>0.5</v>
      </c>
      <c r="F496" s="119">
        <f t="shared" si="568"/>
        <v>0.5</v>
      </c>
      <c r="G496" s="119">
        <f t="shared" si="568"/>
        <v>0.5</v>
      </c>
      <c r="H496" s="119">
        <f t="shared" si="569"/>
        <v>0</v>
      </c>
      <c r="I496" s="120">
        <v>4.7E-2</v>
      </c>
      <c r="J496" s="115">
        <f t="shared" si="570"/>
        <v>46241</v>
      </c>
      <c r="K496" s="115">
        <f t="shared" si="571"/>
        <v>46241</v>
      </c>
      <c r="L496" s="115">
        <v>46142</v>
      </c>
      <c r="M496" s="116">
        <f t="shared" si="572"/>
        <v>46283</v>
      </c>
      <c r="N496" s="115">
        <f t="shared" si="573"/>
        <v>46283</v>
      </c>
      <c r="O496" s="116"/>
      <c r="P496" s="115">
        <f t="shared" si="574"/>
        <v>46325</v>
      </c>
      <c r="Q496" s="115">
        <f t="shared" si="575"/>
        <v>46325</v>
      </c>
      <c r="R496" s="116"/>
      <c r="S496" s="115">
        <f t="shared" si="577"/>
        <v>46339</v>
      </c>
      <c r="T496" s="115">
        <f t="shared" si="576"/>
        <v>46339</v>
      </c>
      <c r="U496" s="116"/>
      <c r="W496" s="173" t="str">
        <f t="shared" ca="1" si="578"/>
        <v>Completed</v>
      </c>
      <c r="X496" s="173" t="str">
        <f t="shared" ca="1" si="579"/>
        <v/>
      </c>
      <c r="Y496" s="173" t="str">
        <f t="shared" ca="1" si="580"/>
        <v/>
      </c>
      <c r="Z496" s="174" t="str">
        <f t="shared" ca="1" si="581"/>
        <v/>
      </c>
    </row>
    <row r="497" spans="1:26" s="70" customFormat="1" ht="11.5" x14ac:dyDescent="0.25">
      <c r="A497" s="118" t="s">
        <v>67</v>
      </c>
      <c r="B497" s="118" t="s">
        <v>14</v>
      </c>
      <c r="C497" s="118" t="s">
        <v>1057</v>
      </c>
      <c r="D497" s="118" t="s">
        <v>606</v>
      </c>
      <c r="E497" s="119">
        <f t="shared" si="567"/>
        <v>0.5</v>
      </c>
      <c r="F497" s="119">
        <f t="shared" si="568"/>
        <v>0.5</v>
      </c>
      <c r="G497" s="119">
        <f t="shared" si="568"/>
        <v>0.5</v>
      </c>
      <c r="H497" s="119">
        <f t="shared" si="569"/>
        <v>0</v>
      </c>
      <c r="I497" s="120">
        <v>4.7E-2</v>
      </c>
      <c r="J497" s="115">
        <f t="shared" si="570"/>
        <v>46241</v>
      </c>
      <c r="K497" s="115">
        <f t="shared" si="571"/>
        <v>46241</v>
      </c>
      <c r="L497" s="115">
        <v>46142</v>
      </c>
      <c r="M497" s="116">
        <f t="shared" si="572"/>
        <v>46283</v>
      </c>
      <c r="N497" s="115">
        <f t="shared" si="573"/>
        <v>46283</v>
      </c>
      <c r="O497" s="116"/>
      <c r="P497" s="115">
        <f t="shared" si="574"/>
        <v>46325</v>
      </c>
      <c r="Q497" s="115">
        <f t="shared" si="575"/>
        <v>46325</v>
      </c>
      <c r="R497" s="116"/>
      <c r="S497" s="115">
        <f t="shared" si="577"/>
        <v>46339</v>
      </c>
      <c r="T497" s="115">
        <f t="shared" si="576"/>
        <v>46339</v>
      </c>
      <c r="U497" s="116"/>
      <c r="W497" s="173" t="str">
        <f t="shared" ca="1" si="578"/>
        <v>Completed</v>
      </c>
      <c r="X497" s="173" t="str">
        <f t="shared" ca="1" si="579"/>
        <v/>
      </c>
      <c r="Y497" s="173" t="str">
        <f t="shared" ca="1" si="580"/>
        <v/>
      </c>
      <c r="Z497" s="174" t="str">
        <f t="shared" ca="1" si="581"/>
        <v/>
      </c>
    </row>
    <row r="498" spans="1:26" s="70" customFormat="1" ht="11.5" x14ac:dyDescent="0.25">
      <c r="A498" s="118" t="s">
        <v>67</v>
      </c>
      <c r="B498" s="118" t="s">
        <v>14</v>
      </c>
      <c r="C498" s="118" t="s">
        <v>1058</v>
      </c>
      <c r="D498" s="118" t="s">
        <v>607</v>
      </c>
      <c r="E498" s="119">
        <f t="shared" si="567"/>
        <v>0.5</v>
      </c>
      <c r="F498" s="119">
        <f t="shared" si="568"/>
        <v>0.5</v>
      </c>
      <c r="G498" s="119">
        <f t="shared" si="568"/>
        <v>0.5</v>
      </c>
      <c r="H498" s="119">
        <f t="shared" si="569"/>
        <v>0</v>
      </c>
      <c r="I498" s="120">
        <v>4.7E-2</v>
      </c>
      <c r="J498" s="115">
        <f t="shared" si="570"/>
        <v>46241</v>
      </c>
      <c r="K498" s="115">
        <f t="shared" si="571"/>
        <v>46241</v>
      </c>
      <c r="L498" s="115">
        <v>46142</v>
      </c>
      <c r="M498" s="116">
        <f t="shared" si="572"/>
        <v>46283</v>
      </c>
      <c r="N498" s="115">
        <f t="shared" si="573"/>
        <v>46283</v>
      </c>
      <c r="O498" s="116"/>
      <c r="P498" s="115">
        <f t="shared" si="574"/>
        <v>46325</v>
      </c>
      <c r="Q498" s="115">
        <f t="shared" si="575"/>
        <v>46325</v>
      </c>
      <c r="R498" s="116"/>
      <c r="S498" s="115">
        <f t="shared" si="577"/>
        <v>46339</v>
      </c>
      <c r="T498" s="115">
        <f t="shared" si="576"/>
        <v>46339</v>
      </c>
      <c r="U498" s="116"/>
      <c r="W498" s="173" t="str">
        <f t="shared" ca="1" si="578"/>
        <v>Completed</v>
      </c>
      <c r="X498" s="173" t="str">
        <f t="shared" ca="1" si="579"/>
        <v/>
      </c>
      <c r="Y498" s="173" t="str">
        <f t="shared" ca="1" si="580"/>
        <v/>
      </c>
      <c r="Z498" s="174" t="str">
        <f t="shared" ca="1" si="581"/>
        <v/>
      </c>
    </row>
    <row r="499" spans="1:26" s="70" customFormat="1" ht="9" customHeight="1" x14ac:dyDescent="0.25">
      <c r="A499" s="118" t="s">
        <v>67</v>
      </c>
      <c r="B499" s="118" t="s">
        <v>14</v>
      </c>
      <c r="C499" s="118" t="s">
        <v>1059</v>
      </c>
      <c r="D499" s="118" t="s">
        <v>608</v>
      </c>
      <c r="E499" s="119">
        <f t="shared" si="567"/>
        <v>0.5</v>
      </c>
      <c r="F499" s="119">
        <f t="shared" si="568"/>
        <v>0.5</v>
      </c>
      <c r="G499" s="119">
        <f t="shared" si="568"/>
        <v>0.5</v>
      </c>
      <c r="H499" s="119">
        <f t="shared" si="569"/>
        <v>0</v>
      </c>
      <c r="I499" s="120">
        <v>4.7E-2</v>
      </c>
      <c r="J499" s="115">
        <f t="shared" si="570"/>
        <v>46241</v>
      </c>
      <c r="K499" s="115">
        <f t="shared" si="571"/>
        <v>46241</v>
      </c>
      <c r="L499" s="115">
        <v>46142</v>
      </c>
      <c r="M499" s="116">
        <f t="shared" si="572"/>
        <v>46283</v>
      </c>
      <c r="N499" s="115">
        <f t="shared" si="573"/>
        <v>46283</v>
      </c>
      <c r="O499" s="116"/>
      <c r="P499" s="115">
        <f t="shared" si="574"/>
        <v>46325</v>
      </c>
      <c r="Q499" s="115">
        <f t="shared" si="575"/>
        <v>46325</v>
      </c>
      <c r="R499" s="116"/>
      <c r="S499" s="115">
        <f t="shared" si="577"/>
        <v>46339</v>
      </c>
      <c r="T499" s="115">
        <f t="shared" si="576"/>
        <v>46339</v>
      </c>
      <c r="U499" s="116"/>
      <c r="W499" s="173" t="str">
        <f t="shared" ca="1" si="578"/>
        <v>Completed</v>
      </c>
      <c r="X499" s="173" t="str">
        <f t="shared" ca="1" si="579"/>
        <v/>
      </c>
      <c r="Y499" s="173" t="str">
        <f t="shared" ca="1" si="580"/>
        <v/>
      </c>
      <c r="Z499" s="174" t="str">
        <f t="shared" ca="1" si="581"/>
        <v/>
      </c>
    </row>
    <row r="500" spans="1:26" s="70" customFormat="1" ht="9" customHeight="1" x14ac:dyDescent="0.25">
      <c r="A500" s="118" t="s">
        <v>67</v>
      </c>
      <c r="B500" s="118" t="s">
        <v>14</v>
      </c>
      <c r="C500" s="118" t="s">
        <v>1060</v>
      </c>
      <c r="D500" s="118" t="s">
        <v>609</v>
      </c>
      <c r="E500" s="119">
        <f t="shared" ref="E500" si="582">(COUNTIFS(J500,"&lt;="&amp;$C$1)*50%)+(COUNTIFS(M500,"&lt;="&amp;$C$1)*20%)+(COUNTIFS(P500,"&lt;="&amp;$C$1)*10%)+(COUNTIFS(S500,"&lt;="&amp;$C$1)*20%)</f>
        <v>0.5</v>
      </c>
      <c r="F500" s="119">
        <f t="shared" ref="F500" si="583">(COUNTIFS(K500,"&lt;="&amp;$C$1)*50%)+(COUNTIFS(N500,"&lt;="&amp;$C$1)*20%)+(COUNTIFS(Q500,"&lt;="&amp;$C$1)*10%)+(COUNTIFS(T500,"&lt;="&amp;$C$1)*20%)</f>
        <v>0.5</v>
      </c>
      <c r="G500" s="119">
        <f t="shared" ref="G500" si="584">(COUNTIFS(L500,"&lt;="&amp;$C$1)*50%)+(COUNTIFS(O500,"&lt;="&amp;$C$1)*20%)+(COUNTIFS(R500,"&lt;="&amp;$C$1)*10%)+(COUNTIFS(U500,"&lt;="&amp;$C$1)*20%)</f>
        <v>0.5</v>
      </c>
      <c r="H500" s="119">
        <f t="shared" ref="H500" si="585">G500-E500</f>
        <v>0</v>
      </c>
      <c r="I500" s="120">
        <v>4.7E-2</v>
      </c>
      <c r="J500" s="115">
        <f t="shared" si="570"/>
        <v>46241</v>
      </c>
      <c r="K500" s="115">
        <f t="shared" si="571"/>
        <v>46241</v>
      </c>
      <c r="L500" s="115">
        <v>46142</v>
      </c>
      <c r="M500" s="116">
        <f t="shared" si="572"/>
        <v>46283</v>
      </c>
      <c r="N500" s="115">
        <f t="shared" si="573"/>
        <v>46283</v>
      </c>
      <c r="O500" s="116"/>
      <c r="P500" s="115">
        <f t="shared" si="574"/>
        <v>46325</v>
      </c>
      <c r="Q500" s="115">
        <f t="shared" si="575"/>
        <v>46325</v>
      </c>
      <c r="R500" s="116"/>
      <c r="S500" s="115">
        <f t="shared" si="577"/>
        <v>46339</v>
      </c>
      <c r="T500" s="115">
        <f t="shared" si="576"/>
        <v>46339</v>
      </c>
      <c r="U500" s="116"/>
      <c r="W500" s="173" t="str">
        <f t="shared" ca="1" si="578"/>
        <v>Completed</v>
      </c>
      <c r="X500" s="173" t="str">
        <f t="shared" ca="1" si="579"/>
        <v/>
      </c>
      <c r="Y500" s="173" t="str">
        <f t="shared" ca="1" si="580"/>
        <v/>
      </c>
      <c r="Z500" s="174" t="str">
        <f t="shared" ca="1" si="581"/>
        <v/>
      </c>
    </row>
    <row r="501" spans="1:26" s="70" customFormat="1" ht="11.5" x14ac:dyDescent="0.25">
      <c r="A501" s="118" t="s">
        <v>67</v>
      </c>
      <c r="B501" s="118" t="s">
        <v>14</v>
      </c>
      <c r="C501" s="118" t="s">
        <v>1061</v>
      </c>
      <c r="D501" s="118" t="s">
        <v>610</v>
      </c>
      <c r="E501" s="119">
        <f t="shared" si="567"/>
        <v>0.5</v>
      </c>
      <c r="F501" s="119">
        <f t="shared" si="568"/>
        <v>0.5</v>
      </c>
      <c r="G501" s="119">
        <f t="shared" si="568"/>
        <v>0.5</v>
      </c>
      <c r="H501" s="119">
        <f t="shared" si="569"/>
        <v>0</v>
      </c>
      <c r="I501" s="120">
        <v>4.7E-2</v>
      </c>
      <c r="J501" s="115">
        <f t="shared" si="570"/>
        <v>46241</v>
      </c>
      <c r="K501" s="115">
        <f t="shared" si="571"/>
        <v>46241</v>
      </c>
      <c r="L501" s="115">
        <v>46142</v>
      </c>
      <c r="M501" s="116">
        <f t="shared" si="572"/>
        <v>46283</v>
      </c>
      <c r="N501" s="115">
        <f t="shared" si="573"/>
        <v>46283</v>
      </c>
      <c r="O501" s="116"/>
      <c r="P501" s="115">
        <f t="shared" si="574"/>
        <v>46325</v>
      </c>
      <c r="Q501" s="115">
        <f t="shared" si="575"/>
        <v>46325</v>
      </c>
      <c r="R501" s="116"/>
      <c r="S501" s="115">
        <f t="shared" si="577"/>
        <v>46339</v>
      </c>
      <c r="T501" s="115">
        <f t="shared" si="576"/>
        <v>46339</v>
      </c>
      <c r="U501" s="116"/>
      <c r="W501" s="173" t="str">
        <f t="shared" ca="1" si="578"/>
        <v>Completed</v>
      </c>
      <c r="X501" s="173" t="str">
        <f t="shared" ca="1" si="579"/>
        <v/>
      </c>
      <c r="Y501" s="173" t="str">
        <f t="shared" ca="1" si="580"/>
        <v/>
      </c>
      <c r="Z501" s="174" t="str">
        <f t="shared" ca="1" si="581"/>
        <v/>
      </c>
    </row>
    <row r="502" spans="1:26" s="70" customFormat="1" ht="11.5" x14ac:dyDescent="0.25">
      <c r="A502" s="118" t="s">
        <v>67</v>
      </c>
      <c r="B502" s="118" t="s">
        <v>14</v>
      </c>
      <c r="C502" s="118" t="s">
        <v>1062</v>
      </c>
      <c r="D502" s="118" t="s">
        <v>611</v>
      </c>
      <c r="E502" s="119">
        <f t="shared" si="567"/>
        <v>0.5</v>
      </c>
      <c r="F502" s="119">
        <f t="shared" si="568"/>
        <v>0.5</v>
      </c>
      <c r="G502" s="119">
        <f t="shared" si="568"/>
        <v>0.5</v>
      </c>
      <c r="H502" s="119">
        <f t="shared" si="569"/>
        <v>0</v>
      </c>
      <c r="I502" s="120">
        <v>4.7E-2</v>
      </c>
      <c r="J502" s="115">
        <f t="shared" si="570"/>
        <v>46241</v>
      </c>
      <c r="K502" s="115">
        <f t="shared" si="571"/>
        <v>46241</v>
      </c>
      <c r="L502" s="115">
        <v>46142</v>
      </c>
      <c r="M502" s="116">
        <f t="shared" si="572"/>
        <v>46283</v>
      </c>
      <c r="N502" s="115">
        <f t="shared" si="573"/>
        <v>46283</v>
      </c>
      <c r="O502" s="116"/>
      <c r="P502" s="115">
        <f t="shared" si="574"/>
        <v>46325</v>
      </c>
      <c r="Q502" s="115">
        <f t="shared" si="575"/>
        <v>46325</v>
      </c>
      <c r="R502" s="116"/>
      <c r="S502" s="115">
        <f t="shared" si="577"/>
        <v>46339</v>
      </c>
      <c r="T502" s="115">
        <f t="shared" si="576"/>
        <v>46339</v>
      </c>
      <c r="U502" s="116"/>
      <c r="W502" s="173" t="str">
        <f t="shared" ca="1" si="578"/>
        <v>Completed</v>
      </c>
      <c r="X502" s="173" t="str">
        <f t="shared" ca="1" si="579"/>
        <v/>
      </c>
      <c r="Y502" s="173" t="str">
        <f t="shared" ca="1" si="580"/>
        <v/>
      </c>
      <c r="Z502" s="174" t="str">
        <f t="shared" ca="1" si="581"/>
        <v/>
      </c>
    </row>
    <row r="503" spans="1:26" s="70" customFormat="1" ht="11.5" x14ac:dyDescent="0.25">
      <c r="A503" s="118" t="s">
        <v>67</v>
      </c>
      <c r="B503" s="118" t="s">
        <v>14</v>
      </c>
      <c r="C503" s="118" t="s">
        <v>1063</v>
      </c>
      <c r="D503" s="118" t="s">
        <v>612</v>
      </c>
      <c r="E503" s="119">
        <f t="shared" si="567"/>
        <v>0.5</v>
      </c>
      <c r="F503" s="119">
        <f t="shared" si="568"/>
        <v>0.5</v>
      </c>
      <c r="G503" s="119">
        <f t="shared" si="568"/>
        <v>0.5</v>
      </c>
      <c r="H503" s="119">
        <f t="shared" si="569"/>
        <v>0</v>
      </c>
      <c r="I503" s="120">
        <v>4.7E-2</v>
      </c>
      <c r="J503" s="115">
        <f t="shared" ref="J503:J523" si="586">J386+28</f>
        <v>46241</v>
      </c>
      <c r="K503" s="115">
        <f t="shared" si="571"/>
        <v>46241</v>
      </c>
      <c r="L503" s="115">
        <v>46142</v>
      </c>
      <c r="M503" s="116">
        <f t="shared" si="572"/>
        <v>46283</v>
      </c>
      <c r="N503" s="115">
        <f t="shared" si="573"/>
        <v>46283</v>
      </c>
      <c r="O503" s="116"/>
      <c r="P503" s="115">
        <f t="shared" si="574"/>
        <v>46325</v>
      </c>
      <c r="Q503" s="115">
        <f t="shared" si="575"/>
        <v>46325</v>
      </c>
      <c r="R503" s="116"/>
      <c r="S503" s="115">
        <f t="shared" si="577"/>
        <v>46339</v>
      </c>
      <c r="T503" s="115">
        <f t="shared" si="576"/>
        <v>46339</v>
      </c>
      <c r="U503" s="116"/>
      <c r="W503" s="173" t="str">
        <f t="shared" ca="1" si="578"/>
        <v>Completed</v>
      </c>
      <c r="X503" s="173" t="str">
        <f t="shared" ca="1" si="579"/>
        <v/>
      </c>
      <c r="Y503" s="173" t="str">
        <f t="shared" ca="1" si="580"/>
        <v/>
      </c>
      <c r="Z503" s="174" t="str">
        <f t="shared" ca="1" si="581"/>
        <v/>
      </c>
    </row>
    <row r="504" spans="1:26" s="70" customFormat="1" ht="11.5" x14ac:dyDescent="0.25">
      <c r="A504" s="118" t="s">
        <v>67</v>
      </c>
      <c r="B504" s="118" t="s">
        <v>14</v>
      </c>
      <c r="C504" s="118" t="s">
        <v>1064</v>
      </c>
      <c r="D504" s="118" t="s">
        <v>613</v>
      </c>
      <c r="E504" s="119">
        <f t="shared" si="567"/>
        <v>0.5</v>
      </c>
      <c r="F504" s="119">
        <f t="shared" si="568"/>
        <v>0.5</v>
      </c>
      <c r="G504" s="119">
        <f t="shared" si="568"/>
        <v>0.5</v>
      </c>
      <c r="H504" s="119">
        <f t="shared" si="569"/>
        <v>0</v>
      </c>
      <c r="I504" s="120">
        <v>4.7E-2</v>
      </c>
      <c r="J504" s="115">
        <f t="shared" si="586"/>
        <v>46241</v>
      </c>
      <c r="K504" s="115">
        <f t="shared" si="571"/>
        <v>46241</v>
      </c>
      <c r="L504" s="115">
        <v>46142</v>
      </c>
      <c r="M504" s="116">
        <f t="shared" si="572"/>
        <v>46283</v>
      </c>
      <c r="N504" s="115">
        <f t="shared" si="573"/>
        <v>46283</v>
      </c>
      <c r="O504" s="116"/>
      <c r="P504" s="115">
        <f t="shared" si="574"/>
        <v>46325</v>
      </c>
      <c r="Q504" s="115">
        <f t="shared" si="575"/>
        <v>46325</v>
      </c>
      <c r="R504" s="116"/>
      <c r="S504" s="115">
        <f t="shared" si="577"/>
        <v>46339</v>
      </c>
      <c r="T504" s="115">
        <f t="shared" si="576"/>
        <v>46339</v>
      </c>
      <c r="U504" s="116"/>
      <c r="W504" s="173" t="str">
        <f t="shared" ca="1" si="578"/>
        <v>Completed</v>
      </c>
      <c r="X504" s="173" t="str">
        <f t="shared" ca="1" si="579"/>
        <v/>
      </c>
      <c r="Y504" s="173" t="str">
        <f t="shared" ca="1" si="580"/>
        <v/>
      </c>
      <c r="Z504" s="174" t="str">
        <f t="shared" ca="1" si="581"/>
        <v/>
      </c>
    </row>
    <row r="505" spans="1:26" s="70" customFormat="1" ht="11.5" x14ac:dyDescent="0.25">
      <c r="A505" s="118" t="s">
        <v>67</v>
      </c>
      <c r="B505" s="118" t="s">
        <v>14</v>
      </c>
      <c r="C505" s="118" t="s">
        <v>1065</v>
      </c>
      <c r="D505" s="118" t="s">
        <v>614</v>
      </c>
      <c r="E505" s="119">
        <f t="shared" si="567"/>
        <v>0.5</v>
      </c>
      <c r="F505" s="119">
        <f t="shared" si="568"/>
        <v>0.5</v>
      </c>
      <c r="G505" s="119">
        <f t="shared" si="568"/>
        <v>0.5</v>
      </c>
      <c r="H505" s="119">
        <f t="shared" si="569"/>
        <v>0</v>
      </c>
      <c r="I505" s="120">
        <v>4.7E-2</v>
      </c>
      <c r="J505" s="115">
        <f t="shared" si="586"/>
        <v>46241</v>
      </c>
      <c r="K505" s="115">
        <f t="shared" si="571"/>
        <v>46241</v>
      </c>
      <c r="L505" s="115">
        <v>46142</v>
      </c>
      <c r="M505" s="116">
        <f t="shared" si="572"/>
        <v>46283</v>
      </c>
      <c r="N505" s="115">
        <f t="shared" si="573"/>
        <v>46283</v>
      </c>
      <c r="O505" s="116"/>
      <c r="P505" s="115">
        <f t="shared" si="574"/>
        <v>46325</v>
      </c>
      <c r="Q505" s="115">
        <f t="shared" si="575"/>
        <v>46325</v>
      </c>
      <c r="R505" s="116"/>
      <c r="S505" s="115">
        <f t="shared" si="577"/>
        <v>46339</v>
      </c>
      <c r="T505" s="115">
        <f t="shared" si="576"/>
        <v>46339</v>
      </c>
      <c r="U505" s="116"/>
      <c r="W505" s="173" t="str">
        <f t="shared" ca="1" si="578"/>
        <v>Completed</v>
      </c>
      <c r="X505" s="173" t="str">
        <f t="shared" ca="1" si="579"/>
        <v/>
      </c>
      <c r="Y505" s="173" t="str">
        <f t="shared" ca="1" si="580"/>
        <v/>
      </c>
      <c r="Z505" s="174" t="str">
        <f t="shared" ca="1" si="581"/>
        <v/>
      </c>
    </row>
    <row r="506" spans="1:26" s="70" customFormat="1" ht="11.5" x14ac:dyDescent="0.25">
      <c r="A506" s="118" t="s">
        <v>67</v>
      </c>
      <c r="B506" s="118" t="s">
        <v>14</v>
      </c>
      <c r="C506" s="118" t="s">
        <v>1066</v>
      </c>
      <c r="D506" s="118" t="s">
        <v>615</v>
      </c>
      <c r="E506" s="119">
        <f t="shared" si="567"/>
        <v>0.5</v>
      </c>
      <c r="F506" s="119">
        <f t="shared" si="568"/>
        <v>0.5</v>
      </c>
      <c r="G506" s="119">
        <f t="shared" si="568"/>
        <v>0.5</v>
      </c>
      <c r="H506" s="119">
        <f t="shared" si="569"/>
        <v>0</v>
      </c>
      <c r="I506" s="120">
        <v>4.7E-2</v>
      </c>
      <c r="J506" s="115">
        <f t="shared" si="586"/>
        <v>46241</v>
      </c>
      <c r="K506" s="115">
        <f t="shared" si="571"/>
        <v>46241</v>
      </c>
      <c r="L506" s="115">
        <v>46142</v>
      </c>
      <c r="M506" s="116">
        <f t="shared" si="572"/>
        <v>46283</v>
      </c>
      <c r="N506" s="115">
        <f t="shared" si="573"/>
        <v>46283</v>
      </c>
      <c r="O506" s="116"/>
      <c r="P506" s="115">
        <f t="shared" si="574"/>
        <v>46325</v>
      </c>
      <c r="Q506" s="115">
        <f t="shared" si="575"/>
        <v>46325</v>
      </c>
      <c r="R506" s="116"/>
      <c r="S506" s="115">
        <f t="shared" si="577"/>
        <v>46339</v>
      </c>
      <c r="T506" s="115">
        <f t="shared" si="576"/>
        <v>46339</v>
      </c>
      <c r="U506" s="116"/>
      <c r="W506" s="173" t="str">
        <f t="shared" ca="1" si="578"/>
        <v>Completed</v>
      </c>
      <c r="X506" s="173" t="str">
        <f t="shared" ca="1" si="579"/>
        <v/>
      </c>
      <c r="Y506" s="173" t="str">
        <f t="shared" ca="1" si="580"/>
        <v/>
      </c>
      <c r="Z506" s="174" t="str">
        <f t="shared" ca="1" si="581"/>
        <v/>
      </c>
    </row>
    <row r="507" spans="1:26" s="70" customFormat="1" ht="11.5" x14ac:dyDescent="0.25">
      <c r="A507" s="118" t="s">
        <v>67</v>
      </c>
      <c r="B507" s="118" t="s">
        <v>14</v>
      </c>
      <c r="C507" s="118" t="s">
        <v>1067</v>
      </c>
      <c r="D507" s="118" t="s">
        <v>616</v>
      </c>
      <c r="E507" s="119">
        <f t="shared" si="567"/>
        <v>0.5</v>
      </c>
      <c r="F507" s="119">
        <f t="shared" si="568"/>
        <v>0.5</v>
      </c>
      <c r="G507" s="119">
        <f t="shared" si="568"/>
        <v>0.5</v>
      </c>
      <c r="H507" s="119">
        <f t="shared" si="569"/>
        <v>0</v>
      </c>
      <c r="I507" s="120">
        <v>4.7E-2</v>
      </c>
      <c r="J507" s="115">
        <f t="shared" si="586"/>
        <v>46241</v>
      </c>
      <c r="K507" s="115">
        <f t="shared" si="571"/>
        <v>46241</v>
      </c>
      <c r="L507" s="115">
        <v>46142</v>
      </c>
      <c r="M507" s="116">
        <f t="shared" si="572"/>
        <v>46283</v>
      </c>
      <c r="N507" s="115">
        <f t="shared" si="573"/>
        <v>46283</v>
      </c>
      <c r="O507" s="116"/>
      <c r="P507" s="115">
        <f t="shared" si="574"/>
        <v>46325</v>
      </c>
      <c r="Q507" s="115">
        <f t="shared" si="575"/>
        <v>46325</v>
      </c>
      <c r="R507" s="116"/>
      <c r="S507" s="115">
        <f t="shared" si="577"/>
        <v>46339</v>
      </c>
      <c r="T507" s="115">
        <f t="shared" si="576"/>
        <v>46339</v>
      </c>
      <c r="U507" s="116"/>
      <c r="W507" s="173" t="str">
        <f t="shared" ca="1" si="578"/>
        <v>Completed</v>
      </c>
      <c r="X507" s="173" t="str">
        <f t="shared" ca="1" si="579"/>
        <v/>
      </c>
      <c r="Y507" s="173" t="str">
        <f t="shared" ca="1" si="580"/>
        <v/>
      </c>
      <c r="Z507" s="174" t="str">
        <f t="shared" ca="1" si="581"/>
        <v/>
      </c>
    </row>
    <row r="508" spans="1:26" s="70" customFormat="1" ht="11.5" x14ac:dyDescent="0.25">
      <c r="A508" s="118" t="s">
        <v>67</v>
      </c>
      <c r="B508" s="118" t="s">
        <v>14</v>
      </c>
      <c r="C508" s="118" t="s">
        <v>1068</v>
      </c>
      <c r="D508" s="118" t="s">
        <v>617</v>
      </c>
      <c r="E508" s="119">
        <f t="shared" si="567"/>
        <v>0.5</v>
      </c>
      <c r="F508" s="119">
        <f t="shared" si="568"/>
        <v>0.5</v>
      </c>
      <c r="G508" s="119">
        <f t="shared" si="568"/>
        <v>0.5</v>
      </c>
      <c r="H508" s="119">
        <f t="shared" si="569"/>
        <v>0</v>
      </c>
      <c r="I508" s="120">
        <v>4.7E-2</v>
      </c>
      <c r="J508" s="115">
        <f t="shared" si="586"/>
        <v>46241</v>
      </c>
      <c r="K508" s="115">
        <f t="shared" si="571"/>
        <v>46241</v>
      </c>
      <c r="L508" s="115">
        <v>46142</v>
      </c>
      <c r="M508" s="116">
        <f t="shared" si="572"/>
        <v>46283</v>
      </c>
      <c r="N508" s="115">
        <f t="shared" si="573"/>
        <v>46283</v>
      </c>
      <c r="O508" s="116"/>
      <c r="P508" s="115">
        <f t="shared" si="574"/>
        <v>46325</v>
      </c>
      <c r="Q508" s="115">
        <f t="shared" si="575"/>
        <v>46325</v>
      </c>
      <c r="R508" s="116"/>
      <c r="S508" s="115">
        <f t="shared" si="577"/>
        <v>46339</v>
      </c>
      <c r="T508" s="115">
        <f t="shared" si="576"/>
        <v>46339</v>
      </c>
      <c r="U508" s="116"/>
      <c r="W508" s="173" t="str">
        <f t="shared" ca="1" si="578"/>
        <v>Completed</v>
      </c>
      <c r="X508" s="173" t="str">
        <f t="shared" ca="1" si="579"/>
        <v/>
      </c>
      <c r="Y508" s="173" t="str">
        <f t="shared" ca="1" si="580"/>
        <v/>
      </c>
      <c r="Z508" s="174" t="str">
        <f t="shared" ca="1" si="581"/>
        <v/>
      </c>
    </row>
    <row r="509" spans="1:26" s="70" customFormat="1" ht="11.5" x14ac:dyDescent="0.25">
      <c r="A509" s="118" t="s">
        <v>67</v>
      </c>
      <c r="B509" s="118" t="s">
        <v>14</v>
      </c>
      <c r="C509" s="118" t="s">
        <v>1069</v>
      </c>
      <c r="D509" s="118" t="s">
        <v>618</v>
      </c>
      <c r="E509" s="119">
        <f t="shared" si="567"/>
        <v>0.5</v>
      </c>
      <c r="F509" s="119">
        <f t="shared" si="568"/>
        <v>0.5</v>
      </c>
      <c r="G509" s="119">
        <f t="shared" si="568"/>
        <v>0.5</v>
      </c>
      <c r="H509" s="119">
        <f t="shared" si="569"/>
        <v>0</v>
      </c>
      <c r="I509" s="120">
        <v>4.7E-2</v>
      </c>
      <c r="J509" s="115">
        <f t="shared" si="586"/>
        <v>46241</v>
      </c>
      <c r="K509" s="115">
        <f t="shared" si="571"/>
        <v>46241</v>
      </c>
      <c r="L509" s="115">
        <v>46142</v>
      </c>
      <c r="M509" s="116">
        <f t="shared" si="572"/>
        <v>46283</v>
      </c>
      <c r="N509" s="115">
        <f t="shared" si="573"/>
        <v>46283</v>
      </c>
      <c r="O509" s="116"/>
      <c r="P509" s="115">
        <f t="shared" si="574"/>
        <v>46325</v>
      </c>
      <c r="Q509" s="115">
        <f t="shared" si="575"/>
        <v>46325</v>
      </c>
      <c r="R509" s="116"/>
      <c r="S509" s="115">
        <f t="shared" si="577"/>
        <v>46339</v>
      </c>
      <c r="T509" s="115">
        <f t="shared" si="576"/>
        <v>46339</v>
      </c>
      <c r="U509" s="116"/>
      <c r="W509" s="173" t="str">
        <f t="shared" ca="1" si="578"/>
        <v>Completed</v>
      </c>
      <c r="X509" s="173" t="str">
        <f t="shared" ca="1" si="579"/>
        <v/>
      </c>
      <c r="Y509" s="173" t="str">
        <f t="shared" ca="1" si="580"/>
        <v/>
      </c>
      <c r="Z509" s="174" t="str">
        <f t="shared" ca="1" si="581"/>
        <v/>
      </c>
    </row>
    <row r="510" spans="1:26" s="70" customFormat="1" ht="11.5" x14ac:dyDescent="0.25">
      <c r="A510" s="118" t="s">
        <v>67</v>
      </c>
      <c r="B510" s="118" t="s">
        <v>14</v>
      </c>
      <c r="C510" s="118" t="s">
        <v>1070</v>
      </c>
      <c r="D510" s="118" t="s">
        <v>619</v>
      </c>
      <c r="E510" s="119">
        <f t="shared" ref="E510:E582" si="587">(COUNTIFS(J510,"&lt;="&amp;$C$1)*50%)+(COUNTIFS(M510,"&lt;="&amp;$C$1)*20%)+(COUNTIFS(P510,"&lt;="&amp;$C$1)*10%)+(COUNTIFS(S510,"&lt;="&amp;$C$1)*20%)</f>
        <v>0.5</v>
      </c>
      <c r="F510" s="119">
        <f t="shared" ref="F510:G582" si="588">(COUNTIFS(K510,"&lt;="&amp;$C$1)*50%)+(COUNTIFS(N510,"&lt;="&amp;$C$1)*20%)+(COUNTIFS(Q510,"&lt;="&amp;$C$1)*10%)+(COUNTIFS(T510,"&lt;="&amp;$C$1)*20%)</f>
        <v>0.5</v>
      </c>
      <c r="G510" s="119">
        <f t="shared" si="588"/>
        <v>0.5</v>
      </c>
      <c r="H510" s="119">
        <f t="shared" ref="H510:H582" si="589">G510-E510</f>
        <v>0</v>
      </c>
      <c r="I510" s="120">
        <v>4.7E-2</v>
      </c>
      <c r="J510" s="115">
        <f t="shared" si="586"/>
        <v>46241</v>
      </c>
      <c r="K510" s="115">
        <f t="shared" si="571"/>
        <v>46241</v>
      </c>
      <c r="L510" s="115">
        <v>46142</v>
      </c>
      <c r="M510" s="116">
        <f t="shared" si="572"/>
        <v>46283</v>
      </c>
      <c r="N510" s="115">
        <f t="shared" si="573"/>
        <v>46283</v>
      </c>
      <c r="O510" s="116"/>
      <c r="P510" s="115">
        <f t="shared" si="574"/>
        <v>46325</v>
      </c>
      <c r="Q510" s="115">
        <f t="shared" si="575"/>
        <v>46325</v>
      </c>
      <c r="R510" s="116"/>
      <c r="S510" s="115">
        <f t="shared" si="577"/>
        <v>46339</v>
      </c>
      <c r="T510" s="115">
        <f t="shared" si="576"/>
        <v>46339</v>
      </c>
      <c r="U510" s="116"/>
      <c r="W510" s="173" t="str">
        <f t="shared" ca="1" si="578"/>
        <v>Completed</v>
      </c>
      <c r="X510" s="173" t="str">
        <f t="shared" ca="1" si="579"/>
        <v/>
      </c>
      <c r="Y510" s="173" t="str">
        <f t="shared" ca="1" si="580"/>
        <v/>
      </c>
      <c r="Z510" s="174" t="str">
        <f t="shared" ca="1" si="581"/>
        <v/>
      </c>
    </row>
    <row r="511" spans="1:26" s="70" customFormat="1" ht="11.5" x14ac:dyDescent="0.25">
      <c r="A511" s="118" t="s">
        <v>67</v>
      </c>
      <c r="B511" s="118" t="s">
        <v>14</v>
      </c>
      <c r="C511" s="118" t="s">
        <v>1071</v>
      </c>
      <c r="D511" s="118" t="s">
        <v>620</v>
      </c>
      <c r="E511" s="119">
        <f t="shared" si="587"/>
        <v>0.5</v>
      </c>
      <c r="F511" s="119">
        <f t="shared" si="588"/>
        <v>0.5</v>
      </c>
      <c r="G511" s="119">
        <f t="shared" si="588"/>
        <v>0.5</v>
      </c>
      <c r="H511" s="119">
        <f t="shared" si="589"/>
        <v>0</v>
      </c>
      <c r="I511" s="120">
        <v>4.7E-2</v>
      </c>
      <c r="J511" s="115">
        <f t="shared" si="586"/>
        <v>46241</v>
      </c>
      <c r="K511" s="115">
        <f t="shared" si="571"/>
        <v>46241</v>
      </c>
      <c r="L511" s="115">
        <v>46142</v>
      </c>
      <c r="M511" s="116">
        <f t="shared" si="572"/>
        <v>46283</v>
      </c>
      <c r="N511" s="115">
        <f t="shared" si="573"/>
        <v>46283</v>
      </c>
      <c r="O511" s="116"/>
      <c r="P511" s="115">
        <f t="shared" si="574"/>
        <v>46325</v>
      </c>
      <c r="Q511" s="115">
        <f t="shared" si="575"/>
        <v>46325</v>
      </c>
      <c r="R511" s="116"/>
      <c r="S511" s="115">
        <f t="shared" si="577"/>
        <v>46339</v>
      </c>
      <c r="T511" s="115">
        <f t="shared" si="576"/>
        <v>46339</v>
      </c>
      <c r="U511" s="116"/>
      <c r="W511" s="173" t="str">
        <f t="shared" ca="1" si="578"/>
        <v>Completed</v>
      </c>
      <c r="X511" s="173" t="str">
        <f t="shared" ca="1" si="579"/>
        <v/>
      </c>
      <c r="Y511" s="173" t="str">
        <f t="shared" ca="1" si="580"/>
        <v/>
      </c>
      <c r="Z511" s="174" t="str">
        <f t="shared" ca="1" si="581"/>
        <v/>
      </c>
    </row>
    <row r="512" spans="1:26" s="70" customFormat="1" ht="11.5" x14ac:dyDescent="0.25">
      <c r="A512" s="118" t="s">
        <v>67</v>
      </c>
      <c r="B512" s="118" t="s">
        <v>14</v>
      </c>
      <c r="C512" s="118" t="s">
        <v>1072</v>
      </c>
      <c r="D512" s="118" t="s">
        <v>621</v>
      </c>
      <c r="E512" s="119">
        <f t="shared" si="587"/>
        <v>0.5</v>
      </c>
      <c r="F512" s="119">
        <f t="shared" si="588"/>
        <v>0.5</v>
      </c>
      <c r="G512" s="119">
        <f t="shared" si="588"/>
        <v>0.5</v>
      </c>
      <c r="H512" s="119">
        <f t="shared" si="589"/>
        <v>0</v>
      </c>
      <c r="I512" s="120">
        <v>4.7E-2</v>
      </c>
      <c r="J512" s="115">
        <f t="shared" si="586"/>
        <v>46241</v>
      </c>
      <c r="K512" s="115">
        <f t="shared" si="571"/>
        <v>46241</v>
      </c>
      <c r="L512" s="115">
        <v>46142</v>
      </c>
      <c r="M512" s="116">
        <f t="shared" si="572"/>
        <v>46283</v>
      </c>
      <c r="N512" s="115">
        <f t="shared" si="573"/>
        <v>46283</v>
      </c>
      <c r="O512" s="116"/>
      <c r="P512" s="115">
        <f t="shared" si="574"/>
        <v>46325</v>
      </c>
      <c r="Q512" s="115">
        <f t="shared" si="575"/>
        <v>46325</v>
      </c>
      <c r="R512" s="115"/>
      <c r="S512" s="115">
        <f t="shared" si="577"/>
        <v>46339</v>
      </c>
      <c r="T512" s="115">
        <f t="shared" si="576"/>
        <v>46339</v>
      </c>
      <c r="U512" s="115"/>
      <c r="W512" s="173" t="str">
        <f t="shared" ca="1" si="578"/>
        <v>Completed</v>
      </c>
      <c r="X512" s="173" t="str">
        <f t="shared" ca="1" si="579"/>
        <v/>
      </c>
      <c r="Y512" s="173" t="str">
        <f t="shared" ca="1" si="580"/>
        <v/>
      </c>
      <c r="Z512" s="174" t="str">
        <f t="shared" ca="1" si="581"/>
        <v/>
      </c>
    </row>
    <row r="513" spans="1:26" s="70" customFormat="1" ht="11.5" x14ac:dyDescent="0.25">
      <c r="A513" s="118" t="s">
        <v>67</v>
      </c>
      <c r="B513" s="118" t="s">
        <v>14</v>
      </c>
      <c r="C513" s="118" t="s">
        <v>1073</v>
      </c>
      <c r="D513" s="152" t="s">
        <v>1151</v>
      </c>
      <c r="E513" s="119">
        <f t="shared" si="587"/>
        <v>0.5</v>
      </c>
      <c r="F513" s="119">
        <f t="shared" si="588"/>
        <v>0.5</v>
      </c>
      <c r="G513" s="119">
        <f t="shared" si="588"/>
        <v>0.5</v>
      </c>
      <c r="H513" s="119">
        <f t="shared" si="589"/>
        <v>0</v>
      </c>
      <c r="I513" s="120">
        <v>4.7E-2</v>
      </c>
      <c r="J513" s="115">
        <f t="shared" si="586"/>
        <v>46241</v>
      </c>
      <c r="K513" s="115">
        <f t="shared" si="571"/>
        <v>46241</v>
      </c>
      <c r="L513" s="115">
        <v>46142</v>
      </c>
      <c r="M513" s="116">
        <f t="shared" si="572"/>
        <v>46283</v>
      </c>
      <c r="N513" s="115">
        <f t="shared" si="573"/>
        <v>46283</v>
      </c>
      <c r="O513" s="116"/>
      <c r="P513" s="115">
        <f t="shared" si="574"/>
        <v>46325</v>
      </c>
      <c r="Q513" s="115">
        <f t="shared" si="575"/>
        <v>46325</v>
      </c>
      <c r="R513" s="115"/>
      <c r="S513" s="115">
        <f t="shared" si="577"/>
        <v>46339</v>
      </c>
      <c r="T513" s="115">
        <f t="shared" si="576"/>
        <v>46339</v>
      </c>
      <c r="U513" s="115"/>
      <c r="W513" s="173" t="str">
        <f t="shared" ca="1" si="578"/>
        <v>Completed</v>
      </c>
      <c r="X513" s="173" t="str">
        <f t="shared" ca="1" si="579"/>
        <v/>
      </c>
      <c r="Y513" s="173" t="str">
        <f t="shared" ca="1" si="580"/>
        <v/>
      </c>
      <c r="Z513" s="174" t="str">
        <f t="shared" ca="1" si="581"/>
        <v/>
      </c>
    </row>
    <row r="514" spans="1:26" s="70" customFormat="1" ht="11.5" x14ac:dyDescent="0.25">
      <c r="A514" s="118" t="s">
        <v>67</v>
      </c>
      <c r="B514" s="118" t="s">
        <v>14</v>
      </c>
      <c r="C514" s="118" t="s">
        <v>1074</v>
      </c>
      <c r="D514" s="118" t="s">
        <v>622</v>
      </c>
      <c r="E514" s="119">
        <f t="shared" si="587"/>
        <v>0.5</v>
      </c>
      <c r="F514" s="119">
        <f t="shared" si="588"/>
        <v>0.5</v>
      </c>
      <c r="G514" s="119">
        <f t="shared" si="588"/>
        <v>0.5</v>
      </c>
      <c r="H514" s="119">
        <f t="shared" si="589"/>
        <v>0</v>
      </c>
      <c r="I514" s="120">
        <v>4.7E-2</v>
      </c>
      <c r="J514" s="116">
        <f t="shared" si="586"/>
        <v>46241</v>
      </c>
      <c r="K514" s="116">
        <f t="shared" si="571"/>
        <v>46241</v>
      </c>
      <c r="L514" s="115">
        <v>46142</v>
      </c>
      <c r="M514" s="116">
        <f t="shared" si="572"/>
        <v>46283</v>
      </c>
      <c r="N514" s="116">
        <f t="shared" si="573"/>
        <v>46283</v>
      </c>
      <c r="O514" s="116"/>
      <c r="P514" s="116">
        <f t="shared" si="574"/>
        <v>46325</v>
      </c>
      <c r="Q514" s="116">
        <f t="shared" si="575"/>
        <v>46325</v>
      </c>
      <c r="R514" s="116"/>
      <c r="S514" s="115">
        <f t="shared" si="577"/>
        <v>46339</v>
      </c>
      <c r="T514" s="116">
        <f t="shared" si="576"/>
        <v>46339</v>
      </c>
      <c r="U514" s="116"/>
      <c r="W514" s="173" t="str">
        <f t="shared" ca="1" si="578"/>
        <v>Completed</v>
      </c>
      <c r="X514" s="173" t="str">
        <f t="shared" ca="1" si="579"/>
        <v/>
      </c>
      <c r="Y514" s="173" t="str">
        <f t="shared" ca="1" si="580"/>
        <v/>
      </c>
      <c r="Z514" s="174" t="str">
        <f t="shared" ca="1" si="581"/>
        <v/>
      </c>
    </row>
    <row r="515" spans="1:26" s="70" customFormat="1" ht="11.5" x14ac:dyDescent="0.25">
      <c r="A515" s="206" t="s">
        <v>67</v>
      </c>
      <c r="B515" s="206" t="s">
        <v>14</v>
      </c>
      <c r="C515" s="206" t="s">
        <v>623</v>
      </c>
      <c r="D515" s="206" t="s">
        <v>1204</v>
      </c>
      <c r="E515" s="207">
        <f t="shared" si="587"/>
        <v>0.5</v>
      </c>
      <c r="F515" s="207">
        <f t="shared" si="588"/>
        <v>0.5</v>
      </c>
      <c r="G515" s="207">
        <f t="shared" si="588"/>
        <v>1</v>
      </c>
      <c r="H515" s="207">
        <f t="shared" si="589"/>
        <v>0.5</v>
      </c>
      <c r="I515" s="208">
        <v>4.7E-2</v>
      </c>
      <c r="J515" s="205">
        <f t="shared" si="586"/>
        <v>46248</v>
      </c>
      <c r="K515" s="205">
        <f t="shared" si="571"/>
        <v>46248</v>
      </c>
      <c r="L515" s="205">
        <v>46262</v>
      </c>
      <c r="M515" s="205">
        <f t="shared" si="572"/>
        <v>46290</v>
      </c>
      <c r="N515" s="205">
        <f t="shared" si="573"/>
        <v>46290</v>
      </c>
      <c r="O515" s="205">
        <v>46262</v>
      </c>
      <c r="P515" s="205">
        <f t="shared" si="574"/>
        <v>46332</v>
      </c>
      <c r="Q515" s="205">
        <f t="shared" si="575"/>
        <v>46332</v>
      </c>
      <c r="R515" s="205">
        <v>46262</v>
      </c>
      <c r="S515" s="197">
        <f t="shared" si="577"/>
        <v>46346</v>
      </c>
      <c r="T515" s="205">
        <f t="shared" si="576"/>
        <v>46346</v>
      </c>
      <c r="U515" s="205">
        <v>46262</v>
      </c>
      <c r="W515" s="173" t="str">
        <f t="shared" ca="1" si="578"/>
        <v>Completed</v>
      </c>
      <c r="X515" s="173" t="str">
        <f t="shared" ca="1" si="579"/>
        <v>Completed</v>
      </c>
      <c r="Y515" s="173" t="str">
        <f t="shared" ca="1" si="580"/>
        <v>Completed</v>
      </c>
      <c r="Z515" s="174" t="str">
        <f t="shared" ca="1" si="581"/>
        <v>Completed</v>
      </c>
    </row>
    <row r="516" spans="1:26" s="70" customFormat="1" ht="11.5" x14ac:dyDescent="0.25">
      <c r="A516" s="206" t="s">
        <v>67</v>
      </c>
      <c r="B516" s="206" t="s">
        <v>14</v>
      </c>
      <c r="C516" s="206" t="s">
        <v>624</v>
      </c>
      <c r="D516" s="206" t="s">
        <v>1205</v>
      </c>
      <c r="E516" s="207">
        <f t="shared" si="587"/>
        <v>0.5</v>
      </c>
      <c r="F516" s="207">
        <f t="shared" si="588"/>
        <v>0.5</v>
      </c>
      <c r="G516" s="207">
        <f t="shared" si="588"/>
        <v>1</v>
      </c>
      <c r="H516" s="207">
        <f t="shared" si="589"/>
        <v>0.5</v>
      </c>
      <c r="I516" s="208">
        <v>4.7E-2</v>
      </c>
      <c r="J516" s="205">
        <f t="shared" si="586"/>
        <v>46248</v>
      </c>
      <c r="K516" s="205">
        <f t="shared" si="571"/>
        <v>46248</v>
      </c>
      <c r="L516" s="205">
        <v>46262</v>
      </c>
      <c r="M516" s="205">
        <f t="shared" si="572"/>
        <v>46290</v>
      </c>
      <c r="N516" s="205">
        <f t="shared" si="573"/>
        <v>46290</v>
      </c>
      <c r="O516" s="205">
        <v>46262</v>
      </c>
      <c r="P516" s="205">
        <f t="shared" si="574"/>
        <v>46332</v>
      </c>
      <c r="Q516" s="205">
        <f t="shared" si="575"/>
        <v>46332</v>
      </c>
      <c r="R516" s="205">
        <v>46262</v>
      </c>
      <c r="S516" s="197">
        <f t="shared" si="577"/>
        <v>46346</v>
      </c>
      <c r="T516" s="205">
        <f t="shared" si="576"/>
        <v>46346</v>
      </c>
      <c r="U516" s="205">
        <v>46262</v>
      </c>
      <c r="W516" s="173" t="str">
        <f t="shared" ca="1" si="578"/>
        <v>Completed</v>
      </c>
      <c r="X516" s="173" t="str">
        <f t="shared" ca="1" si="579"/>
        <v>Completed</v>
      </c>
      <c r="Y516" s="173" t="str">
        <f t="shared" ca="1" si="580"/>
        <v>Completed</v>
      </c>
      <c r="Z516" s="174" t="str">
        <f t="shared" ca="1" si="581"/>
        <v>Completed</v>
      </c>
    </row>
    <row r="517" spans="1:26" s="70" customFormat="1" ht="11.5" x14ac:dyDescent="0.25">
      <c r="A517" s="118" t="s">
        <v>67</v>
      </c>
      <c r="B517" s="118" t="s">
        <v>14</v>
      </c>
      <c r="C517" s="118" t="s">
        <v>1203</v>
      </c>
      <c r="D517" s="118" t="s">
        <v>1206</v>
      </c>
      <c r="E517" s="119">
        <f t="shared" ref="E517:E518" si="590">(COUNTIFS(J517,"&lt;="&amp;$C$1)*50%)+(COUNTIFS(M517,"&lt;="&amp;$C$1)*20%)+(COUNTIFS(P517,"&lt;="&amp;$C$1)*10%)+(COUNTIFS(S517,"&lt;="&amp;$C$1)*20%)</f>
        <v>0</v>
      </c>
      <c r="F517" s="119">
        <f t="shared" ref="F517:F518" si="591">(COUNTIFS(K517,"&lt;="&amp;$C$1)*50%)+(COUNTIFS(N517,"&lt;="&amp;$C$1)*20%)+(COUNTIFS(Q517,"&lt;="&amp;$C$1)*10%)+(COUNTIFS(T517,"&lt;="&amp;$C$1)*20%)</f>
        <v>0</v>
      </c>
      <c r="G517" s="119">
        <f t="shared" ref="G517:G518" si="592">(COUNTIFS(L517,"&lt;="&amp;$C$1)*50%)+(COUNTIFS(O517,"&lt;="&amp;$C$1)*20%)+(COUNTIFS(R517,"&lt;="&amp;$C$1)*10%)+(COUNTIFS(U517,"&lt;="&amp;$C$1)*20%)</f>
        <v>0</v>
      </c>
      <c r="H517" s="119">
        <f t="shared" ref="H517:H518" si="593">G517-E517</f>
        <v>0</v>
      </c>
      <c r="I517" s="120"/>
      <c r="J517" s="116">
        <f t="shared" si="586"/>
        <v>46360</v>
      </c>
      <c r="K517" s="116">
        <f t="shared" ref="K517:K518" si="594">J517</f>
        <v>46360</v>
      </c>
      <c r="L517" s="116"/>
      <c r="M517" s="116">
        <f t="shared" ref="M517:M518" si="595">J517+42</f>
        <v>46402</v>
      </c>
      <c r="N517" s="116">
        <f t="shared" ref="N517:N518" si="596">M517</f>
        <v>46402</v>
      </c>
      <c r="O517" s="116"/>
      <c r="P517" s="116">
        <f t="shared" ref="P517:P518" si="597">M517+42</f>
        <v>46444</v>
      </c>
      <c r="Q517" s="116">
        <f t="shared" ref="Q517:Q518" si="598">P517</f>
        <v>46444</v>
      </c>
      <c r="R517" s="116"/>
      <c r="S517" s="115">
        <f t="shared" ref="S517:S518" si="599">P517+14</f>
        <v>46458</v>
      </c>
      <c r="T517" s="116">
        <f t="shared" ref="T517:T518" si="600">S517</f>
        <v>46458</v>
      </c>
      <c r="U517" s="116"/>
      <c r="W517" s="173" t="str">
        <f t="shared" ref="W517:W518" ca="1" si="601">IF(OR(L517&lt;&gt;""),"Completed",
IF(K517="","",IF(K517&lt;TODAY(),"Overdue",
IF(AND(K517&gt;=TODAY()-WEEKDAY(TODAY(),2)+1,K517&lt;=TODAY()-WEEKDAY(TODAY(),2)+7),"Follow-This Week",
IF(AND(K517&gt;=TODAY()-WEEKDAY(TODAY(),2)+8,K517&lt;=TODAY()-WEEKDAY(TODAY(),2)+14),"Follow-Next Week","")))))</f>
        <v/>
      </c>
      <c r="X517" s="173" t="str">
        <f t="shared" ref="X517:X518" ca="1" si="602">IF(OR(O517&lt;&gt;""),"Completed",IF(N517="","",
IF(N517&lt;TODAY(),"Overdue",
IF(AND(N517&gt;=TODAY()-WEEKDAY(TODAY(),2)+1,N517&lt;=TODAY()-WEEKDAY(TODAY(),2)+7),"Follow-This Week",
IF(AND(N517&gt;=TODAY()-WEEKDAY(TODAY(),2)+8,N517&lt;=TODAY()-WEEKDAY(TODAY(),2)+14),"Follow-Next Week","")))))</f>
        <v/>
      </c>
      <c r="Y517" s="173" t="str">
        <f t="shared" ref="Y517:Y518" ca="1" si="603">IF(OR(R517&lt;&gt;""),"Completed",IF(Q517="","",
IF(Q517&lt;TODAY(),"Overdue",
IF(AND(Q517&gt;=TODAY()-WEEKDAY(TODAY(),2)+1,Q517&lt;=TODAY()-WEEKDAY(TODAY(),2)+7),"Follow-This Week",
IF(AND(Q517&gt;=TODAY()-WEEKDAY(TODAY(),2)+8,Q517&lt;=TODAY()-WEEKDAY(TODAY(),2)+14),"Follow-Next Week","")))))</f>
        <v/>
      </c>
      <c r="Z517" s="174" t="str">
        <f t="shared" ref="Z517:Z518" ca="1" si="604">IF(OR(U517&lt;&gt;""),"Completed",IF(T517="","",
IF(T517&lt;TODAY(),"Overdue",
IF(AND(T517&gt;=TODAY()-WEEKDAY(TODAY(),2)+1,T517&lt;=TODAY()-WEEKDAY(TODAY(),2)+7),"Follow-This Week",
IF(AND(T517&gt;=TODAY()-WEEKDAY(TODAY(),2)+8,T517&lt;=TODAY()-WEEKDAY(TODAY(),2)+14),"Follow-Next Week","")))))</f>
        <v/>
      </c>
    </row>
    <row r="518" spans="1:26" s="70" customFormat="1" ht="11.5" x14ac:dyDescent="0.25">
      <c r="A518" s="118" t="s">
        <v>67</v>
      </c>
      <c r="B518" s="118" t="s">
        <v>14</v>
      </c>
      <c r="C518" s="118" t="s">
        <v>1203</v>
      </c>
      <c r="D518" s="118" t="s">
        <v>1207</v>
      </c>
      <c r="E518" s="119">
        <f t="shared" si="590"/>
        <v>0</v>
      </c>
      <c r="F518" s="119">
        <f t="shared" si="591"/>
        <v>0</v>
      </c>
      <c r="G518" s="119">
        <f t="shared" si="592"/>
        <v>0</v>
      </c>
      <c r="H518" s="119">
        <f t="shared" si="593"/>
        <v>0</v>
      </c>
      <c r="I518" s="120"/>
      <c r="J518" s="116">
        <f t="shared" si="586"/>
        <v>46360</v>
      </c>
      <c r="K518" s="116">
        <f t="shared" si="594"/>
        <v>46360</v>
      </c>
      <c r="L518" s="116"/>
      <c r="M518" s="116">
        <f t="shared" si="595"/>
        <v>46402</v>
      </c>
      <c r="N518" s="116">
        <f t="shared" si="596"/>
        <v>46402</v>
      </c>
      <c r="O518" s="116"/>
      <c r="P518" s="116">
        <f t="shared" si="597"/>
        <v>46444</v>
      </c>
      <c r="Q518" s="116">
        <f t="shared" si="598"/>
        <v>46444</v>
      </c>
      <c r="R518" s="116"/>
      <c r="S518" s="115">
        <f t="shared" si="599"/>
        <v>46458</v>
      </c>
      <c r="T518" s="116">
        <f t="shared" si="600"/>
        <v>46458</v>
      </c>
      <c r="U518" s="116"/>
      <c r="W518" s="173" t="str">
        <f t="shared" ca="1" si="601"/>
        <v/>
      </c>
      <c r="X518" s="173" t="str">
        <f t="shared" ca="1" si="602"/>
        <v/>
      </c>
      <c r="Y518" s="173" t="str">
        <f t="shared" ca="1" si="603"/>
        <v/>
      </c>
      <c r="Z518" s="174" t="str">
        <f t="shared" ca="1" si="604"/>
        <v/>
      </c>
    </row>
    <row r="519" spans="1:26" s="70" customFormat="1" ht="11.5" x14ac:dyDescent="0.25">
      <c r="A519" s="118" t="s">
        <v>67</v>
      </c>
      <c r="B519" s="118" t="s">
        <v>14</v>
      </c>
      <c r="C519" s="118" t="s">
        <v>933</v>
      </c>
      <c r="D519" s="118" t="s">
        <v>934</v>
      </c>
      <c r="E519" s="119">
        <f t="shared" ref="E519:E529" si="605">(COUNTIFS(J519,"&lt;="&amp;$C$1)*50%)+(COUNTIFS(M519,"&lt;="&amp;$C$1)*20%)+(COUNTIFS(P519,"&lt;="&amp;$C$1)*10%)+(COUNTIFS(S519,"&lt;="&amp;$C$1)*20%)</f>
        <v>0.5</v>
      </c>
      <c r="F519" s="119">
        <f t="shared" ref="F519:F529" si="606">(COUNTIFS(K519,"&lt;="&amp;$C$1)*50%)+(COUNTIFS(N519,"&lt;="&amp;$C$1)*20%)+(COUNTIFS(Q519,"&lt;="&amp;$C$1)*10%)+(COUNTIFS(T519,"&lt;="&amp;$C$1)*20%)</f>
        <v>0.5</v>
      </c>
      <c r="G519" s="119">
        <f t="shared" ref="G519:G529" si="607">(COUNTIFS(L519,"&lt;="&amp;$C$1)*50%)+(COUNTIFS(O519,"&lt;="&amp;$C$1)*20%)+(COUNTIFS(R519,"&lt;="&amp;$C$1)*10%)+(COUNTIFS(U519,"&lt;="&amp;$C$1)*20%)</f>
        <v>0.5</v>
      </c>
      <c r="H519" s="119">
        <f t="shared" ref="H519:H529" si="608">G519-E519</f>
        <v>0</v>
      </c>
      <c r="I519" s="120"/>
      <c r="J519" s="116">
        <f t="shared" si="586"/>
        <v>46255</v>
      </c>
      <c r="K519" s="116">
        <f t="shared" ref="K519:K525" si="609">J519</f>
        <v>46255</v>
      </c>
      <c r="L519" s="115">
        <v>46190</v>
      </c>
      <c r="M519" s="116">
        <f t="shared" ref="M519:M525" si="610">J519+42</f>
        <v>46297</v>
      </c>
      <c r="N519" s="116">
        <f t="shared" ref="N519:N525" si="611">M519</f>
        <v>46297</v>
      </c>
      <c r="O519" s="116"/>
      <c r="P519" s="116">
        <f t="shared" ref="P519:P525" si="612">M519+42</f>
        <v>46339</v>
      </c>
      <c r="Q519" s="116">
        <f t="shared" ref="Q519:Q525" si="613">P519</f>
        <v>46339</v>
      </c>
      <c r="R519" s="116"/>
      <c r="S519" s="115">
        <f t="shared" ref="S519:S525" si="614">P519+14</f>
        <v>46353</v>
      </c>
      <c r="T519" s="116">
        <f t="shared" ref="T519:T525" si="615">S519</f>
        <v>46353</v>
      </c>
      <c r="U519" s="116"/>
      <c r="W519" s="173" t="str">
        <f t="shared" ca="1" si="578"/>
        <v>Completed</v>
      </c>
      <c r="X519" s="173" t="str">
        <f t="shared" ca="1" si="579"/>
        <v/>
      </c>
      <c r="Y519" s="173" t="str">
        <f t="shared" ca="1" si="580"/>
        <v/>
      </c>
      <c r="Z519" s="174" t="str">
        <f t="shared" ca="1" si="581"/>
        <v/>
      </c>
    </row>
    <row r="520" spans="1:26" s="70" customFormat="1" ht="11.5" x14ac:dyDescent="0.25">
      <c r="A520" s="118" t="s">
        <v>67</v>
      </c>
      <c r="B520" s="118" t="s">
        <v>14</v>
      </c>
      <c r="C520" s="118" t="s">
        <v>935</v>
      </c>
      <c r="D520" s="118" t="s">
        <v>1182</v>
      </c>
      <c r="E520" s="119">
        <f t="shared" si="605"/>
        <v>0</v>
      </c>
      <c r="F520" s="119">
        <f t="shared" si="606"/>
        <v>0</v>
      </c>
      <c r="G520" s="119">
        <f t="shared" si="607"/>
        <v>0</v>
      </c>
      <c r="H520" s="119">
        <f t="shared" si="608"/>
        <v>0</v>
      </c>
      <c r="I520" s="120"/>
      <c r="J520" s="116">
        <f t="shared" si="586"/>
        <v>46321</v>
      </c>
      <c r="K520" s="116">
        <f t="shared" si="609"/>
        <v>46321</v>
      </c>
      <c r="L520" s="116"/>
      <c r="M520" s="116">
        <f t="shared" si="610"/>
        <v>46363</v>
      </c>
      <c r="N520" s="116">
        <f t="shared" si="611"/>
        <v>46363</v>
      </c>
      <c r="O520" s="116"/>
      <c r="P520" s="116">
        <f t="shared" si="612"/>
        <v>46405</v>
      </c>
      <c r="Q520" s="116">
        <f t="shared" si="613"/>
        <v>46405</v>
      </c>
      <c r="R520" s="116"/>
      <c r="S520" s="115">
        <f t="shared" si="614"/>
        <v>46419</v>
      </c>
      <c r="T520" s="116">
        <f t="shared" si="615"/>
        <v>46419</v>
      </c>
      <c r="U520" s="116"/>
      <c r="W520" s="173" t="str">
        <f t="shared" ca="1" si="578"/>
        <v/>
      </c>
      <c r="X520" s="173" t="str">
        <f t="shared" ca="1" si="579"/>
        <v/>
      </c>
      <c r="Y520" s="173" t="str">
        <f t="shared" ca="1" si="580"/>
        <v/>
      </c>
      <c r="Z520" s="174" t="str">
        <f t="shared" ca="1" si="581"/>
        <v/>
      </c>
    </row>
    <row r="521" spans="1:26" s="70" customFormat="1" ht="11.5" x14ac:dyDescent="0.25">
      <c r="A521" s="118" t="s">
        <v>67</v>
      </c>
      <c r="B521" s="118" t="s">
        <v>14</v>
      </c>
      <c r="C521" s="118" t="s">
        <v>936</v>
      </c>
      <c r="D521" s="118" t="s">
        <v>1183</v>
      </c>
      <c r="E521" s="119">
        <f t="shared" si="605"/>
        <v>0</v>
      </c>
      <c r="F521" s="119">
        <f t="shared" si="606"/>
        <v>0</v>
      </c>
      <c r="G521" s="119">
        <f t="shared" si="607"/>
        <v>0</v>
      </c>
      <c r="H521" s="119">
        <f t="shared" si="608"/>
        <v>0</v>
      </c>
      <c r="I521" s="120"/>
      <c r="J521" s="116">
        <f t="shared" si="586"/>
        <v>46321</v>
      </c>
      <c r="K521" s="116">
        <f t="shared" si="609"/>
        <v>46321</v>
      </c>
      <c r="L521" s="116"/>
      <c r="M521" s="116">
        <f t="shared" si="610"/>
        <v>46363</v>
      </c>
      <c r="N521" s="116">
        <f t="shared" si="611"/>
        <v>46363</v>
      </c>
      <c r="O521" s="116"/>
      <c r="P521" s="116">
        <f t="shared" si="612"/>
        <v>46405</v>
      </c>
      <c r="Q521" s="116">
        <f t="shared" si="613"/>
        <v>46405</v>
      </c>
      <c r="R521" s="116"/>
      <c r="S521" s="115">
        <f t="shared" si="614"/>
        <v>46419</v>
      </c>
      <c r="T521" s="116">
        <f t="shared" si="615"/>
        <v>46419</v>
      </c>
      <c r="U521" s="116"/>
      <c r="W521" s="173" t="str">
        <f t="shared" ca="1" si="578"/>
        <v/>
      </c>
      <c r="X521" s="173" t="str">
        <f t="shared" ca="1" si="579"/>
        <v/>
      </c>
      <c r="Y521" s="173" t="str">
        <f t="shared" ca="1" si="580"/>
        <v/>
      </c>
      <c r="Z521" s="174" t="str">
        <f t="shared" ca="1" si="581"/>
        <v/>
      </c>
    </row>
    <row r="522" spans="1:26" s="70" customFormat="1" ht="11.5" x14ac:dyDescent="0.25">
      <c r="A522" s="118" t="s">
        <v>67</v>
      </c>
      <c r="B522" s="118" t="s">
        <v>14</v>
      </c>
      <c r="C522" s="118" t="s">
        <v>937</v>
      </c>
      <c r="D522" s="118" t="s">
        <v>1184</v>
      </c>
      <c r="E522" s="119">
        <f t="shared" si="605"/>
        <v>0</v>
      </c>
      <c r="F522" s="119">
        <f t="shared" si="606"/>
        <v>0</v>
      </c>
      <c r="G522" s="119">
        <f t="shared" si="607"/>
        <v>0</v>
      </c>
      <c r="H522" s="119">
        <f t="shared" si="608"/>
        <v>0</v>
      </c>
      <c r="I522" s="120"/>
      <c r="J522" s="116">
        <f t="shared" si="586"/>
        <v>46321</v>
      </c>
      <c r="K522" s="116">
        <f t="shared" si="609"/>
        <v>46321</v>
      </c>
      <c r="L522" s="116"/>
      <c r="M522" s="116">
        <f t="shared" si="610"/>
        <v>46363</v>
      </c>
      <c r="N522" s="116">
        <f t="shared" si="611"/>
        <v>46363</v>
      </c>
      <c r="O522" s="116"/>
      <c r="P522" s="116">
        <f t="shared" si="612"/>
        <v>46405</v>
      </c>
      <c r="Q522" s="116">
        <f t="shared" si="613"/>
        <v>46405</v>
      </c>
      <c r="R522" s="116"/>
      <c r="S522" s="115">
        <f t="shared" si="614"/>
        <v>46419</v>
      </c>
      <c r="T522" s="116">
        <f t="shared" si="615"/>
        <v>46419</v>
      </c>
      <c r="U522" s="116"/>
      <c r="W522" s="173" t="str">
        <f t="shared" ca="1" si="578"/>
        <v/>
      </c>
      <c r="X522" s="173" t="str">
        <f t="shared" ca="1" si="579"/>
        <v/>
      </c>
      <c r="Y522" s="173" t="str">
        <f t="shared" ca="1" si="580"/>
        <v/>
      </c>
      <c r="Z522" s="174" t="str">
        <f t="shared" ca="1" si="581"/>
        <v/>
      </c>
    </row>
    <row r="523" spans="1:26" s="70" customFormat="1" ht="11.5" x14ac:dyDescent="0.25">
      <c r="A523" s="118" t="s">
        <v>67</v>
      </c>
      <c r="B523" s="118" t="s">
        <v>14</v>
      </c>
      <c r="C523" s="118" t="s">
        <v>938</v>
      </c>
      <c r="D523" s="118" t="s">
        <v>1185</v>
      </c>
      <c r="E523" s="119">
        <f t="shared" si="605"/>
        <v>0</v>
      </c>
      <c r="F523" s="119">
        <f t="shared" si="606"/>
        <v>0</v>
      </c>
      <c r="G523" s="119">
        <f t="shared" si="607"/>
        <v>0</v>
      </c>
      <c r="H523" s="119">
        <f t="shared" si="608"/>
        <v>0</v>
      </c>
      <c r="I523" s="120"/>
      <c r="J523" s="116">
        <f t="shared" si="586"/>
        <v>46321</v>
      </c>
      <c r="K523" s="116">
        <f t="shared" si="609"/>
        <v>46321</v>
      </c>
      <c r="L523" s="116"/>
      <c r="M523" s="116">
        <f t="shared" si="610"/>
        <v>46363</v>
      </c>
      <c r="N523" s="116">
        <f t="shared" si="611"/>
        <v>46363</v>
      </c>
      <c r="O523" s="116"/>
      <c r="P523" s="116">
        <f t="shared" si="612"/>
        <v>46405</v>
      </c>
      <c r="Q523" s="116">
        <f t="shared" si="613"/>
        <v>46405</v>
      </c>
      <c r="R523" s="116"/>
      <c r="S523" s="115">
        <f t="shared" si="614"/>
        <v>46419</v>
      </c>
      <c r="T523" s="116">
        <f t="shared" si="615"/>
        <v>46419</v>
      </c>
      <c r="U523" s="116"/>
      <c r="W523" s="173" t="str">
        <f t="shared" ca="1" si="578"/>
        <v/>
      </c>
      <c r="X523" s="173" t="str">
        <f t="shared" ca="1" si="579"/>
        <v/>
      </c>
      <c r="Y523" s="173" t="str">
        <f t="shared" ca="1" si="580"/>
        <v/>
      </c>
      <c r="Z523" s="174" t="str">
        <f t="shared" ca="1" si="581"/>
        <v/>
      </c>
    </row>
    <row r="524" spans="1:26" s="70" customFormat="1" ht="11.5" x14ac:dyDescent="0.25">
      <c r="A524" s="118" t="s">
        <v>67</v>
      </c>
      <c r="B524" s="118" t="s">
        <v>14</v>
      </c>
      <c r="C524" s="118" t="s">
        <v>939</v>
      </c>
      <c r="D524" s="118" t="s">
        <v>1186</v>
      </c>
      <c r="E524" s="119">
        <f t="shared" si="605"/>
        <v>0</v>
      </c>
      <c r="F524" s="119">
        <f t="shared" si="606"/>
        <v>0</v>
      </c>
      <c r="G524" s="119">
        <f t="shared" si="607"/>
        <v>0</v>
      </c>
      <c r="H524" s="119">
        <f t="shared" si="608"/>
        <v>0</v>
      </c>
      <c r="I524" s="120"/>
      <c r="J524" s="116">
        <f t="shared" ref="J524:J529" si="616">J523</f>
        <v>46321</v>
      </c>
      <c r="K524" s="116">
        <f t="shared" si="609"/>
        <v>46321</v>
      </c>
      <c r="L524" s="116"/>
      <c r="M524" s="116">
        <f t="shared" si="610"/>
        <v>46363</v>
      </c>
      <c r="N524" s="116">
        <f t="shared" si="611"/>
        <v>46363</v>
      </c>
      <c r="O524" s="116"/>
      <c r="P524" s="116">
        <f t="shared" si="612"/>
        <v>46405</v>
      </c>
      <c r="Q524" s="116">
        <f t="shared" si="613"/>
        <v>46405</v>
      </c>
      <c r="R524" s="116"/>
      <c r="S524" s="115">
        <f t="shared" si="614"/>
        <v>46419</v>
      </c>
      <c r="T524" s="116">
        <f t="shared" si="615"/>
        <v>46419</v>
      </c>
      <c r="U524" s="116"/>
      <c r="W524" s="173" t="str">
        <f t="shared" ca="1" si="578"/>
        <v/>
      </c>
      <c r="X524" s="173" t="str">
        <f t="shared" ca="1" si="579"/>
        <v/>
      </c>
      <c r="Y524" s="173" t="str">
        <f t="shared" ca="1" si="580"/>
        <v/>
      </c>
      <c r="Z524" s="174" t="str">
        <f t="shared" ca="1" si="581"/>
        <v/>
      </c>
    </row>
    <row r="525" spans="1:26" s="70" customFormat="1" ht="11.5" x14ac:dyDescent="0.25">
      <c r="A525" s="118" t="s">
        <v>67</v>
      </c>
      <c r="B525" s="118" t="s">
        <v>14</v>
      </c>
      <c r="C525" s="118" t="s">
        <v>940</v>
      </c>
      <c r="D525" s="118" t="s">
        <v>1187</v>
      </c>
      <c r="E525" s="119">
        <f t="shared" si="605"/>
        <v>0</v>
      </c>
      <c r="F525" s="119">
        <f t="shared" si="606"/>
        <v>0</v>
      </c>
      <c r="G525" s="119">
        <f t="shared" si="607"/>
        <v>0</v>
      </c>
      <c r="H525" s="119">
        <f t="shared" si="608"/>
        <v>0</v>
      </c>
      <c r="I525" s="120"/>
      <c r="J525" s="116">
        <f t="shared" si="616"/>
        <v>46321</v>
      </c>
      <c r="K525" s="116">
        <f t="shared" si="609"/>
        <v>46321</v>
      </c>
      <c r="L525" s="116"/>
      <c r="M525" s="116">
        <f t="shared" si="610"/>
        <v>46363</v>
      </c>
      <c r="N525" s="116">
        <f t="shared" si="611"/>
        <v>46363</v>
      </c>
      <c r="O525" s="116"/>
      <c r="P525" s="116">
        <f t="shared" si="612"/>
        <v>46405</v>
      </c>
      <c r="Q525" s="116">
        <f t="shared" si="613"/>
        <v>46405</v>
      </c>
      <c r="R525" s="116"/>
      <c r="S525" s="115">
        <f t="shared" si="614"/>
        <v>46419</v>
      </c>
      <c r="T525" s="116">
        <f t="shared" si="615"/>
        <v>46419</v>
      </c>
      <c r="U525" s="116"/>
      <c r="W525" s="173" t="str">
        <f t="shared" ca="1" si="578"/>
        <v/>
      </c>
      <c r="X525" s="173" t="str">
        <f t="shared" ca="1" si="579"/>
        <v/>
      </c>
      <c r="Y525" s="173" t="str">
        <f t="shared" ca="1" si="580"/>
        <v/>
      </c>
      <c r="Z525" s="174" t="str">
        <f t="shared" ca="1" si="581"/>
        <v/>
      </c>
    </row>
    <row r="526" spans="1:26" s="70" customFormat="1" ht="11.5" x14ac:dyDescent="0.25">
      <c r="A526" s="118" t="s">
        <v>67</v>
      </c>
      <c r="B526" s="118" t="s">
        <v>14</v>
      </c>
      <c r="C526" s="118" t="s">
        <v>941</v>
      </c>
      <c r="D526" s="118" t="s">
        <v>1188</v>
      </c>
      <c r="E526" s="119">
        <f t="shared" si="605"/>
        <v>0</v>
      </c>
      <c r="F526" s="119">
        <f t="shared" si="606"/>
        <v>0</v>
      </c>
      <c r="G526" s="119">
        <f t="shared" si="607"/>
        <v>0</v>
      </c>
      <c r="H526" s="119">
        <f t="shared" si="608"/>
        <v>0</v>
      </c>
      <c r="I526" s="120"/>
      <c r="J526" s="116">
        <f t="shared" si="616"/>
        <v>46321</v>
      </c>
      <c r="K526" s="116">
        <f t="shared" ref="K526:K529" si="617">J526</f>
        <v>46321</v>
      </c>
      <c r="L526" s="116"/>
      <c r="M526" s="116">
        <f t="shared" ref="M526:M529" si="618">J526+42</f>
        <v>46363</v>
      </c>
      <c r="N526" s="116">
        <f t="shared" ref="N526:N529" si="619">M526</f>
        <v>46363</v>
      </c>
      <c r="O526" s="116"/>
      <c r="P526" s="116">
        <f t="shared" ref="P526:P529" si="620">M526+42</f>
        <v>46405</v>
      </c>
      <c r="Q526" s="116">
        <f t="shared" ref="Q526:Q529" si="621">P526</f>
        <v>46405</v>
      </c>
      <c r="R526" s="116"/>
      <c r="S526" s="115">
        <f t="shared" ref="S526:S529" si="622">P526+14</f>
        <v>46419</v>
      </c>
      <c r="T526" s="116">
        <f t="shared" ref="T526:T529" si="623">S526</f>
        <v>46419</v>
      </c>
      <c r="U526" s="116"/>
      <c r="W526" s="173" t="str">
        <f t="shared" ca="1" si="578"/>
        <v/>
      </c>
      <c r="X526" s="173" t="str">
        <f t="shared" ca="1" si="579"/>
        <v/>
      </c>
      <c r="Y526" s="173" t="str">
        <f t="shared" ca="1" si="580"/>
        <v/>
      </c>
      <c r="Z526" s="174" t="str">
        <f t="shared" ca="1" si="581"/>
        <v/>
      </c>
    </row>
    <row r="527" spans="1:26" s="70" customFormat="1" ht="11.5" x14ac:dyDescent="0.25">
      <c r="A527" s="118" t="s">
        <v>67</v>
      </c>
      <c r="B527" s="118" t="s">
        <v>14</v>
      </c>
      <c r="C527" s="118" t="s">
        <v>942</v>
      </c>
      <c r="D527" s="118" t="s">
        <v>1189</v>
      </c>
      <c r="E527" s="119">
        <f t="shared" si="605"/>
        <v>0</v>
      </c>
      <c r="F527" s="119">
        <f t="shared" si="606"/>
        <v>0</v>
      </c>
      <c r="G527" s="119">
        <f t="shared" si="607"/>
        <v>0</v>
      </c>
      <c r="H527" s="119">
        <f t="shared" si="608"/>
        <v>0</v>
      </c>
      <c r="I527" s="120"/>
      <c r="J527" s="116">
        <f t="shared" si="616"/>
        <v>46321</v>
      </c>
      <c r="K527" s="116">
        <f t="shared" si="617"/>
        <v>46321</v>
      </c>
      <c r="L527" s="116"/>
      <c r="M527" s="116">
        <f t="shared" si="618"/>
        <v>46363</v>
      </c>
      <c r="N527" s="116">
        <f t="shared" si="619"/>
        <v>46363</v>
      </c>
      <c r="O527" s="116"/>
      <c r="P527" s="116">
        <f t="shared" si="620"/>
        <v>46405</v>
      </c>
      <c r="Q527" s="116">
        <f t="shared" si="621"/>
        <v>46405</v>
      </c>
      <c r="R527" s="116"/>
      <c r="S527" s="115">
        <f t="shared" si="622"/>
        <v>46419</v>
      </c>
      <c r="T527" s="116">
        <f t="shared" si="623"/>
        <v>46419</v>
      </c>
      <c r="U527" s="116"/>
      <c r="W527" s="173" t="str">
        <f t="shared" ca="1" si="578"/>
        <v/>
      </c>
      <c r="X527" s="173" t="str">
        <f t="shared" ca="1" si="579"/>
        <v/>
      </c>
      <c r="Y527" s="173" t="str">
        <f t="shared" ca="1" si="580"/>
        <v/>
      </c>
      <c r="Z527" s="174" t="str">
        <f t="shared" ca="1" si="581"/>
        <v/>
      </c>
    </row>
    <row r="528" spans="1:26" s="70" customFormat="1" ht="11.5" x14ac:dyDescent="0.25">
      <c r="A528" s="118" t="s">
        <v>67</v>
      </c>
      <c r="B528" s="118" t="s">
        <v>14</v>
      </c>
      <c r="C528" s="118" t="s">
        <v>943</v>
      </c>
      <c r="D528" s="118" t="s">
        <v>1190</v>
      </c>
      <c r="E528" s="119">
        <f t="shared" si="605"/>
        <v>0</v>
      </c>
      <c r="F528" s="119">
        <f t="shared" si="606"/>
        <v>0</v>
      </c>
      <c r="G528" s="119">
        <f t="shared" si="607"/>
        <v>0</v>
      </c>
      <c r="H528" s="119">
        <f t="shared" si="608"/>
        <v>0</v>
      </c>
      <c r="I528" s="120"/>
      <c r="J528" s="116">
        <f t="shared" si="616"/>
        <v>46321</v>
      </c>
      <c r="K528" s="116">
        <f t="shared" si="617"/>
        <v>46321</v>
      </c>
      <c r="L528" s="116"/>
      <c r="M528" s="116">
        <f t="shared" si="618"/>
        <v>46363</v>
      </c>
      <c r="N528" s="116">
        <f t="shared" si="619"/>
        <v>46363</v>
      </c>
      <c r="O528" s="116"/>
      <c r="P528" s="116">
        <f t="shared" si="620"/>
        <v>46405</v>
      </c>
      <c r="Q528" s="116">
        <f t="shared" si="621"/>
        <v>46405</v>
      </c>
      <c r="R528" s="116"/>
      <c r="S528" s="115">
        <f t="shared" si="622"/>
        <v>46419</v>
      </c>
      <c r="T528" s="116">
        <f t="shared" si="623"/>
        <v>46419</v>
      </c>
      <c r="U528" s="116"/>
      <c r="W528" s="173" t="str">
        <f t="shared" ca="1" si="578"/>
        <v/>
      </c>
      <c r="X528" s="173" t="str">
        <f t="shared" ca="1" si="579"/>
        <v/>
      </c>
      <c r="Y528" s="173" t="str">
        <f t="shared" ca="1" si="580"/>
        <v/>
      </c>
      <c r="Z528" s="174" t="str">
        <f t="shared" ca="1" si="581"/>
        <v/>
      </c>
    </row>
    <row r="529" spans="1:26" s="70" customFormat="1" ht="11.5" x14ac:dyDescent="0.25">
      <c r="A529" s="118" t="s">
        <v>67</v>
      </c>
      <c r="B529" s="118" t="s">
        <v>14</v>
      </c>
      <c r="C529" s="118" t="s">
        <v>944</v>
      </c>
      <c r="D529" s="118" t="s">
        <v>1191</v>
      </c>
      <c r="E529" s="119">
        <f t="shared" si="605"/>
        <v>0</v>
      </c>
      <c r="F529" s="119">
        <f t="shared" si="606"/>
        <v>0</v>
      </c>
      <c r="G529" s="119">
        <f t="shared" si="607"/>
        <v>0</v>
      </c>
      <c r="H529" s="119">
        <f t="shared" si="608"/>
        <v>0</v>
      </c>
      <c r="I529" s="120"/>
      <c r="J529" s="116">
        <f t="shared" si="616"/>
        <v>46321</v>
      </c>
      <c r="K529" s="116">
        <f t="shared" si="617"/>
        <v>46321</v>
      </c>
      <c r="L529" s="116"/>
      <c r="M529" s="116">
        <f t="shared" si="618"/>
        <v>46363</v>
      </c>
      <c r="N529" s="116">
        <f t="shared" si="619"/>
        <v>46363</v>
      </c>
      <c r="O529" s="116"/>
      <c r="P529" s="116">
        <f t="shared" si="620"/>
        <v>46405</v>
      </c>
      <c r="Q529" s="116">
        <f t="shared" si="621"/>
        <v>46405</v>
      </c>
      <c r="R529" s="116"/>
      <c r="S529" s="115">
        <f t="shared" si="622"/>
        <v>46419</v>
      </c>
      <c r="T529" s="116">
        <f t="shared" si="623"/>
        <v>46419</v>
      </c>
      <c r="U529" s="116"/>
      <c r="W529" s="173" t="str">
        <f t="shared" ca="1" si="578"/>
        <v/>
      </c>
      <c r="X529" s="173" t="str">
        <f t="shared" ca="1" si="579"/>
        <v/>
      </c>
      <c r="Y529" s="173" t="str">
        <f t="shared" ca="1" si="580"/>
        <v/>
      </c>
      <c r="Z529" s="174" t="str">
        <f t="shared" ca="1" si="581"/>
        <v/>
      </c>
    </row>
    <row r="530" spans="1:26" s="70" customFormat="1" ht="11.5" x14ac:dyDescent="0.25">
      <c r="A530" s="118" t="s">
        <v>67</v>
      </c>
      <c r="B530" s="118" t="s">
        <v>14</v>
      </c>
      <c r="C530" s="118" t="s">
        <v>625</v>
      </c>
      <c r="D530" s="118" t="s">
        <v>626</v>
      </c>
      <c r="E530" s="119">
        <f t="shared" si="587"/>
        <v>0.5</v>
      </c>
      <c r="F530" s="119">
        <f t="shared" si="588"/>
        <v>0.5</v>
      </c>
      <c r="G530" s="119">
        <f t="shared" si="588"/>
        <v>0.5</v>
      </c>
      <c r="H530" s="119">
        <f t="shared" si="589"/>
        <v>0</v>
      </c>
      <c r="I530" s="120">
        <v>4.7E-2</v>
      </c>
      <c r="J530" s="116">
        <f t="shared" ref="J530:J559" si="624">J407+28</f>
        <v>46248</v>
      </c>
      <c r="K530" s="116">
        <f t="shared" si="571"/>
        <v>46248</v>
      </c>
      <c r="L530" s="116">
        <v>46184</v>
      </c>
      <c r="M530" s="116">
        <f t="shared" si="572"/>
        <v>46290</v>
      </c>
      <c r="N530" s="116">
        <f t="shared" si="573"/>
        <v>46290</v>
      </c>
      <c r="O530" s="116"/>
      <c r="P530" s="116">
        <f t="shared" si="574"/>
        <v>46332</v>
      </c>
      <c r="Q530" s="116">
        <f t="shared" si="575"/>
        <v>46332</v>
      </c>
      <c r="R530" s="116"/>
      <c r="S530" s="115">
        <f t="shared" si="577"/>
        <v>46346</v>
      </c>
      <c r="T530" s="116">
        <f t="shared" si="576"/>
        <v>46346</v>
      </c>
      <c r="U530" s="116"/>
      <c r="W530" s="173" t="str">
        <f t="shared" ca="1" si="578"/>
        <v>Completed</v>
      </c>
      <c r="X530" s="173" t="str">
        <f t="shared" ca="1" si="579"/>
        <v/>
      </c>
      <c r="Y530" s="173" t="str">
        <f t="shared" ca="1" si="580"/>
        <v/>
      </c>
      <c r="Z530" s="174" t="str">
        <f t="shared" ca="1" si="581"/>
        <v/>
      </c>
    </row>
    <row r="531" spans="1:26" s="70" customFormat="1" ht="11.5" x14ac:dyDescent="0.25">
      <c r="A531" s="118" t="s">
        <v>67</v>
      </c>
      <c r="B531" s="118" t="s">
        <v>14</v>
      </c>
      <c r="C531" s="118" t="s">
        <v>627</v>
      </c>
      <c r="D531" s="118" t="s">
        <v>628</v>
      </c>
      <c r="E531" s="119">
        <f t="shared" si="587"/>
        <v>0.5</v>
      </c>
      <c r="F531" s="119">
        <f t="shared" si="588"/>
        <v>0.5</v>
      </c>
      <c r="G531" s="119">
        <f t="shared" si="588"/>
        <v>0.5</v>
      </c>
      <c r="H531" s="119">
        <f t="shared" si="589"/>
        <v>0</v>
      </c>
      <c r="I531" s="120">
        <v>4.7E-2</v>
      </c>
      <c r="J531" s="116">
        <f t="shared" si="624"/>
        <v>46248</v>
      </c>
      <c r="K531" s="116">
        <f t="shared" si="571"/>
        <v>46248</v>
      </c>
      <c r="L531" s="116">
        <v>46184</v>
      </c>
      <c r="M531" s="116">
        <f t="shared" si="572"/>
        <v>46290</v>
      </c>
      <c r="N531" s="116">
        <f t="shared" si="573"/>
        <v>46290</v>
      </c>
      <c r="O531" s="116"/>
      <c r="P531" s="116">
        <f t="shared" si="574"/>
        <v>46332</v>
      </c>
      <c r="Q531" s="116">
        <f t="shared" si="575"/>
        <v>46332</v>
      </c>
      <c r="R531" s="116"/>
      <c r="S531" s="115">
        <f t="shared" si="577"/>
        <v>46346</v>
      </c>
      <c r="T531" s="116">
        <f t="shared" si="576"/>
        <v>46346</v>
      </c>
      <c r="U531" s="116"/>
      <c r="W531" s="173" t="str">
        <f t="shared" ca="1" si="578"/>
        <v>Completed</v>
      </c>
      <c r="X531" s="173" t="str">
        <f t="shared" ca="1" si="579"/>
        <v/>
      </c>
      <c r="Y531" s="173" t="str">
        <f t="shared" ca="1" si="580"/>
        <v/>
      </c>
      <c r="Z531" s="174" t="str">
        <f t="shared" ca="1" si="581"/>
        <v/>
      </c>
    </row>
    <row r="532" spans="1:26" s="70" customFormat="1" ht="11.5" x14ac:dyDescent="0.25">
      <c r="A532" s="112" t="s">
        <v>67</v>
      </c>
      <c r="B532" s="112" t="s">
        <v>14</v>
      </c>
      <c r="C532" s="112" t="s">
        <v>629</v>
      </c>
      <c r="D532" s="112" t="s">
        <v>630</v>
      </c>
      <c r="E532" s="113">
        <f t="shared" si="587"/>
        <v>0.5</v>
      </c>
      <c r="F532" s="113">
        <f t="shared" si="588"/>
        <v>0.5</v>
      </c>
      <c r="G532" s="113">
        <f t="shared" si="588"/>
        <v>0.5</v>
      </c>
      <c r="H532" s="113">
        <f t="shared" si="589"/>
        <v>0</v>
      </c>
      <c r="I532" s="114">
        <v>4.7E-2</v>
      </c>
      <c r="J532" s="115">
        <f t="shared" si="624"/>
        <v>46248</v>
      </c>
      <c r="K532" s="115">
        <f t="shared" si="571"/>
        <v>46248</v>
      </c>
      <c r="L532" s="116">
        <v>46184</v>
      </c>
      <c r="M532" s="116">
        <f t="shared" si="572"/>
        <v>46290</v>
      </c>
      <c r="N532" s="115">
        <f t="shared" si="573"/>
        <v>46290</v>
      </c>
      <c r="O532" s="115"/>
      <c r="P532" s="115">
        <f t="shared" si="574"/>
        <v>46332</v>
      </c>
      <c r="Q532" s="115">
        <f t="shared" si="575"/>
        <v>46332</v>
      </c>
      <c r="R532" s="115"/>
      <c r="S532" s="115">
        <f t="shared" si="577"/>
        <v>46346</v>
      </c>
      <c r="T532" s="115">
        <f t="shared" si="576"/>
        <v>46346</v>
      </c>
      <c r="U532" s="115"/>
      <c r="W532" s="173" t="str">
        <f t="shared" ca="1" si="578"/>
        <v>Completed</v>
      </c>
      <c r="X532" s="173" t="str">
        <f t="shared" ca="1" si="579"/>
        <v/>
      </c>
      <c r="Y532" s="173" t="str">
        <f t="shared" ca="1" si="580"/>
        <v/>
      </c>
      <c r="Z532" s="174" t="str">
        <f t="shared" ca="1" si="581"/>
        <v/>
      </c>
    </row>
    <row r="533" spans="1:26" s="70" customFormat="1" ht="11.5" x14ac:dyDescent="0.25">
      <c r="A533" s="112" t="s">
        <v>67</v>
      </c>
      <c r="B533" s="112" t="s">
        <v>14</v>
      </c>
      <c r="C533" s="112" t="s">
        <v>631</v>
      </c>
      <c r="D533" s="112" t="s">
        <v>632</v>
      </c>
      <c r="E533" s="113">
        <f t="shared" si="587"/>
        <v>0.5</v>
      </c>
      <c r="F533" s="113">
        <f t="shared" si="588"/>
        <v>0.5</v>
      </c>
      <c r="G533" s="113">
        <f t="shared" si="588"/>
        <v>0</v>
      </c>
      <c r="H533" s="113">
        <f t="shared" si="589"/>
        <v>-0.5</v>
      </c>
      <c r="I533" s="114">
        <v>4.7E-2</v>
      </c>
      <c r="J533" s="115">
        <f t="shared" si="624"/>
        <v>46248</v>
      </c>
      <c r="K533" s="115">
        <f t="shared" si="571"/>
        <v>46248</v>
      </c>
      <c r="L533" s="115"/>
      <c r="M533" s="116">
        <f t="shared" si="572"/>
        <v>46290</v>
      </c>
      <c r="N533" s="115">
        <f t="shared" si="573"/>
        <v>46290</v>
      </c>
      <c r="O533" s="115"/>
      <c r="P533" s="115">
        <f t="shared" si="574"/>
        <v>46332</v>
      </c>
      <c r="Q533" s="115">
        <f t="shared" si="575"/>
        <v>46332</v>
      </c>
      <c r="R533" s="115"/>
      <c r="S533" s="115">
        <f t="shared" si="577"/>
        <v>46346</v>
      </c>
      <c r="T533" s="115">
        <f t="shared" si="576"/>
        <v>46346</v>
      </c>
      <c r="U533" s="115"/>
      <c r="W533" s="173" t="str">
        <f t="shared" ca="1" si="578"/>
        <v>Overdue</v>
      </c>
      <c r="X533" s="173" t="str">
        <f t="shared" ca="1" si="579"/>
        <v/>
      </c>
      <c r="Y533" s="173" t="str">
        <f t="shared" ca="1" si="580"/>
        <v/>
      </c>
      <c r="Z533" s="174" t="str">
        <f t="shared" ca="1" si="581"/>
        <v/>
      </c>
    </row>
    <row r="534" spans="1:26" s="70" customFormat="1" ht="11.5" x14ac:dyDescent="0.25">
      <c r="A534" s="112" t="s">
        <v>67</v>
      </c>
      <c r="B534" s="112" t="s">
        <v>14</v>
      </c>
      <c r="C534" s="118" t="s">
        <v>633</v>
      </c>
      <c r="D534" s="118" t="s">
        <v>634</v>
      </c>
      <c r="E534" s="113">
        <f t="shared" si="587"/>
        <v>0.5</v>
      </c>
      <c r="F534" s="113">
        <f t="shared" si="588"/>
        <v>0.5</v>
      </c>
      <c r="G534" s="113">
        <f t="shared" si="588"/>
        <v>0.7</v>
      </c>
      <c r="H534" s="113">
        <f t="shared" si="589"/>
        <v>0.19999999999999996</v>
      </c>
      <c r="I534" s="114">
        <v>4.7E-2</v>
      </c>
      <c r="J534" s="115">
        <f t="shared" si="624"/>
        <v>46255</v>
      </c>
      <c r="K534" s="115">
        <f t="shared" si="571"/>
        <v>46255</v>
      </c>
      <c r="L534" s="115">
        <v>46142</v>
      </c>
      <c r="M534" s="116">
        <f t="shared" si="572"/>
        <v>46297</v>
      </c>
      <c r="N534" s="115">
        <f t="shared" si="573"/>
        <v>46297</v>
      </c>
      <c r="O534" s="115">
        <v>46255</v>
      </c>
      <c r="P534" s="115">
        <f t="shared" si="574"/>
        <v>46339</v>
      </c>
      <c r="Q534" s="115">
        <f t="shared" si="575"/>
        <v>46339</v>
      </c>
      <c r="R534" s="115"/>
      <c r="S534" s="115">
        <f t="shared" si="577"/>
        <v>46353</v>
      </c>
      <c r="T534" s="115">
        <f t="shared" si="576"/>
        <v>46353</v>
      </c>
      <c r="U534" s="115"/>
      <c r="W534" s="173" t="str">
        <f t="shared" ca="1" si="578"/>
        <v>Completed</v>
      </c>
      <c r="X534" s="173" t="str">
        <f t="shared" ca="1" si="579"/>
        <v>Completed</v>
      </c>
      <c r="Y534" s="173" t="str">
        <f t="shared" ca="1" si="580"/>
        <v/>
      </c>
      <c r="Z534" s="174" t="str">
        <f t="shared" ca="1" si="581"/>
        <v/>
      </c>
    </row>
    <row r="535" spans="1:26" s="70" customFormat="1" ht="11.5" x14ac:dyDescent="0.25">
      <c r="A535" s="112" t="s">
        <v>67</v>
      </c>
      <c r="B535" s="112" t="s">
        <v>14</v>
      </c>
      <c r="C535" s="118" t="s">
        <v>635</v>
      </c>
      <c r="D535" s="118" t="s">
        <v>636</v>
      </c>
      <c r="E535" s="113">
        <f t="shared" si="587"/>
        <v>0.5</v>
      </c>
      <c r="F535" s="113">
        <f t="shared" si="588"/>
        <v>0.5</v>
      </c>
      <c r="G535" s="113">
        <f t="shared" si="588"/>
        <v>0.7</v>
      </c>
      <c r="H535" s="113">
        <f t="shared" si="589"/>
        <v>0.19999999999999996</v>
      </c>
      <c r="I535" s="114">
        <v>4.7E-2</v>
      </c>
      <c r="J535" s="115">
        <f t="shared" si="624"/>
        <v>46255</v>
      </c>
      <c r="K535" s="115">
        <f t="shared" si="571"/>
        <v>46255</v>
      </c>
      <c r="L535" s="115">
        <v>46142</v>
      </c>
      <c r="M535" s="116">
        <f t="shared" si="572"/>
        <v>46297</v>
      </c>
      <c r="N535" s="115">
        <f t="shared" si="573"/>
        <v>46297</v>
      </c>
      <c r="O535" s="115">
        <v>46255</v>
      </c>
      <c r="P535" s="115">
        <f t="shared" si="574"/>
        <v>46339</v>
      </c>
      <c r="Q535" s="115">
        <f t="shared" si="575"/>
        <v>46339</v>
      </c>
      <c r="R535" s="115"/>
      <c r="S535" s="115">
        <f t="shared" si="577"/>
        <v>46353</v>
      </c>
      <c r="T535" s="115">
        <f t="shared" si="576"/>
        <v>46353</v>
      </c>
      <c r="U535" s="115"/>
      <c r="W535" s="173" t="str">
        <f t="shared" ca="1" si="578"/>
        <v>Completed</v>
      </c>
      <c r="X535" s="173" t="str">
        <f t="shared" ca="1" si="579"/>
        <v>Completed</v>
      </c>
      <c r="Y535" s="173" t="str">
        <f t="shared" ca="1" si="580"/>
        <v/>
      </c>
      <c r="Z535" s="174" t="str">
        <f t="shared" ca="1" si="581"/>
        <v/>
      </c>
    </row>
    <row r="536" spans="1:26" s="70" customFormat="1" ht="11.5" x14ac:dyDescent="0.25">
      <c r="A536" s="118" t="s">
        <v>67</v>
      </c>
      <c r="B536" s="118" t="s">
        <v>14</v>
      </c>
      <c r="C536" s="118" t="s">
        <v>1075</v>
      </c>
      <c r="D536" s="118" t="s">
        <v>637</v>
      </c>
      <c r="E536" s="113">
        <f t="shared" ref="E536" si="625">(COUNTIFS(J536,"&lt;="&amp;$C$1)*50%)+(COUNTIFS(M536,"&lt;="&amp;$C$1)*20%)+(COUNTIFS(P536,"&lt;="&amp;$C$1)*10%)+(COUNTIFS(S536,"&lt;="&amp;$C$1)*20%)</f>
        <v>0.5</v>
      </c>
      <c r="F536" s="113">
        <f t="shared" ref="F536" si="626">(COUNTIFS(K536,"&lt;="&amp;$C$1)*50%)+(COUNTIFS(N536,"&lt;="&amp;$C$1)*20%)+(COUNTIFS(Q536,"&lt;="&amp;$C$1)*10%)+(COUNTIFS(T536,"&lt;="&amp;$C$1)*20%)</f>
        <v>0.5</v>
      </c>
      <c r="G536" s="113">
        <f t="shared" ref="G536" si="627">(COUNTIFS(L536,"&lt;="&amp;$C$1)*50%)+(COUNTIFS(O536,"&lt;="&amp;$C$1)*20%)+(COUNTIFS(R536,"&lt;="&amp;$C$1)*10%)+(COUNTIFS(U536,"&lt;="&amp;$C$1)*20%)</f>
        <v>0</v>
      </c>
      <c r="H536" s="113">
        <f t="shared" ref="H536" si="628">G536-E536</f>
        <v>-0.5</v>
      </c>
      <c r="I536" s="114">
        <v>4.7E-2</v>
      </c>
      <c r="J536" s="115">
        <f t="shared" si="624"/>
        <v>46255</v>
      </c>
      <c r="K536" s="115">
        <f t="shared" si="571"/>
        <v>46255</v>
      </c>
      <c r="L536" s="115"/>
      <c r="M536" s="116">
        <f t="shared" si="572"/>
        <v>46297</v>
      </c>
      <c r="N536" s="115">
        <f t="shared" si="573"/>
        <v>46297</v>
      </c>
      <c r="O536" s="115"/>
      <c r="P536" s="115">
        <f t="shared" si="574"/>
        <v>46339</v>
      </c>
      <c r="Q536" s="115">
        <f t="shared" si="575"/>
        <v>46339</v>
      </c>
      <c r="R536" s="115"/>
      <c r="S536" s="115">
        <f t="shared" si="577"/>
        <v>46353</v>
      </c>
      <c r="T536" s="115">
        <f t="shared" si="576"/>
        <v>46353</v>
      </c>
      <c r="U536" s="115"/>
      <c r="W536" s="173" t="str">
        <f t="shared" ca="1" si="578"/>
        <v>Overdue</v>
      </c>
      <c r="X536" s="173" t="str">
        <f t="shared" ca="1" si="579"/>
        <v/>
      </c>
      <c r="Y536" s="173" t="str">
        <f t="shared" ca="1" si="580"/>
        <v/>
      </c>
      <c r="Z536" s="174" t="str">
        <f t="shared" ca="1" si="581"/>
        <v/>
      </c>
    </row>
    <row r="537" spans="1:26" s="70" customFormat="1" ht="11.5" x14ac:dyDescent="0.25">
      <c r="A537" s="112" t="s">
        <v>67</v>
      </c>
      <c r="B537" s="112" t="s">
        <v>14</v>
      </c>
      <c r="C537" s="118" t="s">
        <v>1076</v>
      </c>
      <c r="D537" s="118" t="s">
        <v>638</v>
      </c>
      <c r="E537" s="113">
        <f t="shared" si="587"/>
        <v>0.5</v>
      </c>
      <c r="F537" s="113">
        <f t="shared" si="588"/>
        <v>0.5</v>
      </c>
      <c r="G537" s="113">
        <f t="shared" si="588"/>
        <v>0</v>
      </c>
      <c r="H537" s="113">
        <f t="shared" si="589"/>
        <v>-0.5</v>
      </c>
      <c r="I537" s="114">
        <v>4.7E-2</v>
      </c>
      <c r="J537" s="115">
        <f t="shared" si="624"/>
        <v>46255</v>
      </c>
      <c r="K537" s="115">
        <f t="shared" si="571"/>
        <v>46255</v>
      </c>
      <c r="L537" s="115"/>
      <c r="M537" s="116">
        <f t="shared" si="572"/>
        <v>46297</v>
      </c>
      <c r="N537" s="115">
        <f t="shared" si="573"/>
        <v>46297</v>
      </c>
      <c r="O537" s="115"/>
      <c r="P537" s="115">
        <f t="shared" si="574"/>
        <v>46339</v>
      </c>
      <c r="Q537" s="115">
        <f t="shared" si="575"/>
        <v>46339</v>
      </c>
      <c r="R537" s="115"/>
      <c r="S537" s="115">
        <f t="shared" si="577"/>
        <v>46353</v>
      </c>
      <c r="T537" s="115">
        <f t="shared" si="576"/>
        <v>46353</v>
      </c>
      <c r="U537" s="115"/>
      <c r="W537" s="173" t="str">
        <f t="shared" ca="1" si="578"/>
        <v>Overdue</v>
      </c>
      <c r="X537" s="173" t="str">
        <f t="shared" ca="1" si="579"/>
        <v/>
      </c>
      <c r="Y537" s="173" t="str">
        <f t="shared" ca="1" si="580"/>
        <v/>
      </c>
      <c r="Z537" s="174" t="str">
        <f t="shared" ca="1" si="581"/>
        <v/>
      </c>
    </row>
    <row r="538" spans="1:26" s="70" customFormat="1" ht="11.5" x14ac:dyDescent="0.25">
      <c r="A538" s="112" t="s">
        <v>67</v>
      </c>
      <c r="B538" s="112" t="s">
        <v>14</v>
      </c>
      <c r="C538" s="118" t="s">
        <v>1077</v>
      </c>
      <c r="D538" s="118" t="s">
        <v>639</v>
      </c>
      <c r="E538" s="113">
        <f t="shared" si="587"/>
        <v>0.5</v>
      </c>
      <c r="F538" s="113">
        <f t="shared" si="588"/>
        <v>0.5</v>
      </c>
      <c r="G538" s="113">
        <f t="shared" si="588"/>
        <v>0</v>
      </c>
      <c r="H538" s="113">
        <f t="shared" si="589"/>
        <v>-0.5</v>
      </c>
      <c r="I538" s="114">
        <v>4.7E-2</v>
      </c>
      <c r="J538" s="115">
        <f t="shared" si="624"/>
        <v>46255</v>
      </c>
      <c r="K538" s="115">
        <f t="shared" si="571"/>
        <v>46255</v>
      </c>
      <c r="L538" s="115"/>
      <c r="M538" s="116">
        <f t="shared" si="572"/>
        <v>46297</v>
      </c>
      <c r="N538" s="115">
        <f t="shared" si="573"/>
        <v>46297</v>
      </c>
      <c r="O538" s="115"/>
      <c r="P538" s="115">
        <f t="shared" si="574"/>
        <v>46339</v>
      </c>
      <c r="Q538" s="115">
        <f t="shared" si="575"/>
        <v>46339</v>
      </c>
      <c r="R538" s="115"/>
      <c r="S538" s="115">
        <f t="shared" si="577"/>
        <v>46353</v>
      </c>
      <c r="T538" s="115">
        <f t="shared" si="576"/>
        <v>46353</v>
      </c>
      <c r="U538" s="115"/>
      <c r="W538" s="173" t="str">
        <f t="shared" ca="1" si="578"/>
        <v>Overdue</v>
      </c>
      <c r="X538" s="173" t="str">
        <f t="shared" ca="1" si="579"/>
        <v/>
      </c>
      <c r="Y538" s="173" t="str">
        <f t="shared" ca="1" si="580"/>
        <v/>
      </c>
      <c r="Z538" s="174" t="str">
        <f t="shared" ca="1" si="581"/>
        <v/>
      </c>
    </row>
    <row r="539" spans="1:26" s="70" customFormat="1" ht="11.5" x14ac:dyDescent="0.25">
      <c r="A539" s="112" t="s">
        <v>67</v>
      </c>
      <c r="B539" s="112" t="s">
        <v>14</v>
      </c>
      <c r="C539" s="118" t="s">
        <v>1078</v>
      </c>
      <c r="D539" s="118" t="s">
        <v>640</v>
      </c>
      <c r="E539" s="113">
        <f t="shared" si="587"/>
        <v>0.5</v>
      </c>
      <c r="F539" s="113">
        <f t="shared" si="588"/>
        <v>0.5</v>
      </c>
      <c r="G539" s="113">
        <f t="shared" si="588"/>
        <v>0</v>
      </c>
      <c r="H539" s="113">
        <f t="shared" si="589"/>
        <v>-0.5</v>
      </c>
      <c r="I539" s="114">
        <v>4.7E-2</v>
      </c>
      <c r="J539" s="115">
        <f t="shared" si="624"/>
        <v>46255</v>
      </c>
      <c r="K539" s="115">
        <f t="shared" si="571"/>
        <v>46255</v>
      </c>
      <c r="L539" s="115"/>
      <c r="M539" s="116">
        <f t="shared" si="572"/>
        <v>46297</v>
      </c>
      <c r="N539" s="115">
        <f t="shared" si="573"/>
        <v>46297</v>
      </c>
      <c r="O539" s="115"/>
      <c r="P539" s="115">
        <f t="shared" si="574"/>
        <v>46339</v>
      </c>
      <c r="Q539" s="115">
        <f t="shared" si="575"/>
        <v>46339</v>
      </c>
      <c r="R539" s="115"/>
      <c r="S539" s="115">
        <f t="shared" si="577"/>
        <v>46353</v>
      </c>
      <c r="T539" s="115">
        <f t="shared" si="576"/>
        <v>46353</v>
      </c>
      <c r="U539" s="115"/>
      <c r="W539" s="173" t="str">
        <f t="shared" ca="1" si="578"/>
        <v>Overdue</v>
      </c>
      <c r="X539" s="173" t="str">
        <f t="shared" ca="1" si="579"/>
        <v/>
      </c>
      <c r="Y539" s="173" t="str">
        <f t="shared" ca="1" si="580"/>
        <v/>
      </c>
      <c r="Z539" s="174" t="str">
        <f t="shared" ca="1" si="581"/>
        <v/>
      </c>
    </row>
    <row r="540" spans="1:26" s="70" customFormat="1" ht="11.5" x14ac:dyDescent="0.25">
      <c r="A540" s="112" t="s">
        <v>67</v>
      </c>
      <c r="B540" s="112" t="s">
        <v>14</v>
      </c>
      <c r="C540" s="118" t="s">
        <v>1079</v>
      </c>
      <c r="D540" s="118" t="s">
        <v>641</v>
      </c>
      <c r="E540" s="113">
        <f t="shared" si="587"/>
        <v>0.5</v>
      </c>
      <c r="F540" s="113">
        <f t="shared" si="588"/>
        <v>0.5</v>
      </c>
      <c r="G540" s="113">
        <f t="shared" si="588"/>
        <v>0</v>
      </c>
      <c r="H540" s="113">
        <f t="shared" si="589"/>
        <v>-0.5</v>
      </c>
      <c r="I540" s="114">
        <v>4.7E-2</v>
      </c>
      <c r="J540" s="115">
        <f t="shared" si="624"/>
        <v>46255</v>
      </c>
      <c r="K540" s="115">
        <f t="shared" si="571"/>
        <v>46255</v>
      </c>
      <c r="L540" s="115"/>
      <c r="M540" s="116">
        <f t="shared" si="572"/>
        <v>46297</v>
      </c>
      <c r="N540" s="115">
        <f t="shared" si="573"/>
        <v>46297</v>
      </c>
      <c r="O540" s="115"/>
      <c r="P540" s="115">
        <f t="shared" si="574"/>
        <v>46339</v>
      </c>
      <c r="Q540" s="115">
        <f t="shared" si="575"/>
        <v>46339</v>
      </c>
      <c r="R540" s="115"/>
      <c r="S540" s="115">
        <f t="shared" si="577"/>
        <v>46353</v>
      </c>
      <c r="T540" s="115">
        <f t="shared" si="576"/>
        <v>46353</v>
      </c>
      <c r="U540" s="115"/>
      <c r="W540" s="173" t="str">
        <f t="shared" ca="1" si="578"/>
        <v>Overdue</v>
      </c>
      <c r="X540" s="173" t="str">
        <f t="shared" ca="1" si="579"/>
        <v/>
      </c>
      <c r="Y540" s="173" t="str">
        <f t="shared" ca="1" si="580"/>
        <v/>
      </c>
      <c r="Z540" s="174" t="str">
        <f t="shared" ca="1" si="581"/>
        <v/>
      </c>
    </row>
    <row r="541" spans="1:26" s="70" customFormat="1" ht="11.5" x14ac:dyDescent="0.25">
      <c r="A541" s="112" t="s">
        <v>67</v>
      </c>
      <c r="B541" s="112" t="s">
        <v>14</v>
      </c>
      <c r="C541" s="118" t="s">
        <v>1080</v>
      </c>
      <c r="D541" s="118" t="s">
        <v>642</v>
      </c>
      <c r="E541" s="113">
        <f t="shared" si="587"/>
        <v>0.5</v>
      </c>
      <c r="F541" s="113">
        <f t="shared" si="588"/>
        <v>0.5</v>
      </c>
      <c r="G541" s="113">
        <f t="shared" si="588"/>
        <v>0</v>
      </c>
      <c r="H541" s="113">
        <f t="shared" si="589"/>
        <v>-0.5</v>
      </c>
      <c r="I541" s="114">
        <v>4.7E-2</v>
      </c>
      <c r="J541" s="115">
        <f t="shared" si="624"/>
        <v>46255</v>
      </c>
      <c r="K541" s="115">
        <f t="shared" si="571"/>
        <v>46255</v>
      </c>
      <c r="L541" s="115"/>
      <c r="M541" s="116">
        <f t="shared" si="572"/>
        <v>46297</v>
      </c>
      <c r="N541" s="115">
        <f t="shared" si="573"/>
        <v>46297</v>
      </c>
      <c r="O541" s="115"/>
      <c r="P541" s="115">
        <f t="shared" si="574"/>
        <v>46339</v>
      </c>
      <c r="Q541" s="115">
        <f t="shared" si="575"/>
        <v>46339</v>
      </c>
      <c r="R541" s="115"/>
      <c r="S541" s="115">
        <f t="shared" si="577"/>
        <v>46353</v>
      </c>
      <c r="T541" s="115">
        <f t="shared" si="576"/>
        <v>46353</v>
      </c>
      <c r="U541" s="115"/>
      <c r="W541" s="173" t="str">
        <f t="shared" ca="1" si="578"/>
        <v>Overdue</v>
      </c>
      <c r="X541" s="173" t="str">
        <f t="shared" ca="1" si="579"/>
        <v/>
      </c>
      <c r="Y541" s="173" t="str">
        <f t="shared" ca="1" si="580"/>
        <v/>
      </c>
      <c r="Z541" s="174" t="str">
        <f t="shared" ca="1" si="581"/>
        <v/>
      </c>
    </row>
    <row r="542" spans="1:26" s="70" customFormat="1" ht="11.5" x14ac:dyDescent="0.25">
      <c r="A542" s="112" t="s">
        <v>67</v>
      </c>
      <c r="B542" s="112" t="s">
        <v>14</v>
      </c>
      <c r="C542" s="118" t="s">
        <v>1081</v>
      </c>
      <c r="D542" s="118" t="s">
        <v>643</v>
      </c>
      <c r="E542" s="113">
        <f t="shared" si="587"/>
        <v>0.5</v>
      </c>
      <c r="F542" s="113">
        <f t="shared" si="588"/>
        <v>0.5</v>
      </c>
      <c r="G542" s="113">
        <f t="shared" si="588"/>
        <v>0</v>
      </c>
      <c r="H542" s="113">
        <f t="shared" si="589"/>
        <v>-0.5</v>
      </c>
      <c r="I542" s="114">
        <v>4.7E-2</v>
      </c>
      <c r="J542" s="115">
        <f t="shared" si="624"/>
        <v>46255</v>
      </c>
      <c r="K542" s="115">
        <f t="shared" si="571"/>
        <v>46255</v>
      </c>
      <c r="L542" s="115"/>
      <c r="M542" s="116">
        <f t="shared" si="572"/>
        <v>46297</v>
      </c>
      <c r="N542" s="115">
        <f t="shared" si="573"/>
        <v>46297</v>
      </c>
      <c r="O542" s="115"/>
      <c r="P542" s="115">
        <f t="shared" si="574"/>
        <v>46339</v>
      </c>
      <c r="Q542" s="115">
        <f t="shared" si="575"/>
        <v>46339</v>
      </c>
      <c r="R542" s="115"/>
      <c r="S542" s="115">
        <f t="shared" si="577"/>
        <v>46353</v>
      </c>
      <c r="T542" s="115">
        <f t="shared" si="576"/>
        <v>46353</v>
      </c>
      <c r="U542" s="115"/>
      <c r="W542" s="173" t="str">
        <f t="shared" ca="1" si="578"/>
        <v>Overdue</v>
      </c>
      <c r="X542" s="173" t="str">
        <f t="shared" ca="1" si="579"/>
        <v/>
      </c>
      <c r="Y542" s="173" t="str">
        <f t="shared" ca="1" si="580"/>
        <v/>
      </c>
      <c r="Z542" s="174" t="str">
        <f t="shared" ca="1" si="581"/>
        <v/>
      </c>
    </row>
    <row r="543" spans="1:26" s="70" customFormat="1" ht="11.5" x14ac:dyDescent="0.25">
      <c r="A543" s="112" t="s">
        <v>67</v>
      </c>
      <c r="B543" s="112" t="s">
        <v>14</v>
      </c>
      <c r="C543" s="118" t="s">
        <v>1082</v>
      </c>
      <c r="D543" s="118" t="s">
        <v>644</v>
      </c>
      <c r="E543" s="113">
        <f t="shared" si="587"/>
        <v>0.5</v>
      </c>
      <c r="F543" s="113">
        <f t="shared" si="588"/>
        <v>0.5</v>
      </c>
      <c r="G543" s="113">
        <f t="shared" si="588"/>
        <v>0</v>
      </c>
      <c r="H543" s="113">
        <f t="shared" si="589"/>
        <v>-0.5</v>
      </c>
      <c r="I543" s="114">
        <v>4.7E-2</v>
      </c>
      <c r="J543" s="115">
        <f t="shared" si="624"/>
        <v>46255</v>
      </c>
      <c r="K543" s="115">
        <f t="shared" si="571"/>
        <v>46255</v>
      </c>
      <c r="L543" s="115"/>
      <c r="M543" s="116">
        <f t="shared" si="572"/>
        <v>46297</v>
      </c>
      <c r="N543" s="115">
        <f t="shared" si="573"/>
        <v>46297</v>
      </c>
      <c r="O543" s="115"/>
      <c r="P543" s="115">
        <f t="shared" si="574"/>
        <v>46339</v>
      </c>
      <c r="Q543" s="115">
        <f t="shared" si="575"/>
        <v>46339</v>
      </c>
      <c r="R543" s="115"/>
      <c r="S543" s="115">
        <f t="shared" si="577"/>
        <v>46353</v>
      </c>
      <c r="T543" s="115">
        <f t="shared" si="576"/>
        <v>46353</v>
      </c>
      <c r="U543" s="115"/>
      <c r="W543" s="173" t="str">
        <f t="shared" ref="W543:W606" ca="1" si="629">IF(OR(L543&lt;&gt;""),"Completed",
IF(K543="","",IF(K543&lt;TODAY(),"Overdue",
IF(AND(K543&gt;=TODAY()-WEEKDAY(TODAY(),2)+1,K543&lt;=TODAY()-WEEKDAY(TODAY(),2)+7),"Follow-This Week",
IF(AND(K543&gt;=TODAY()-WEEKDAY(TODAY(),2)+8,K543&lt;=TODAY()-WEEKDAY(TODAY(),2)+14),"Follow-Next Week","")))))</f>
        <v>Overdue</v>
      </c>
      <c r="X543" s="173" t="str">
        <f t="shared" ref="X543:X606" ca="1" si="630">IF(OR(O543&lt;&gt;""),"Completed",IF(N543="","",
IF(N543&lt;TODAY(),"Overdue",
IF(AND(N543&gt;=TODAY()-WEEKDAY(TODAY(),2)+1,N543&lt;=TODAY()-WEEKDAY(TODAY(),2)+7),"Follow-This Week",
IF(AND(N543&gt;=TODAY()-WEEKDAY(TODAY(),2)+8,N543&lt;=TODAY()-WEEKDAY(TODAY(),2)+14),"Follow-Next Week","")))))</f>
        <v/>
      </c>
      <c r="Y543" s="173" t="str">
        <f t="shared" ref="Y543:Y606" ca="1" si="631">IF(OR(R543&lt;&gt;""),"Completed",IF(Q543="","",
IF(Q543&lt;TODAY(),"Overdue",
IF(AND(Q543&gt;=TODAY()-WEEKDAY(TODAY(),2)+1,Q543&lt;=TODAY()-WEEKDAY(TODAY(),2)+7),"Follow-This Week",
IF(AND(Q543&gt;=TODAY()-WEEKDAY(TODAY(),2)+8,Q543&lt;=TODAY()-WEEKDAY(TODAY(),2)+14),"Follow-Next Week","")))))</f>
        <v/>
      </c>
      <c r="Z543" s="174" t="str">
        <f t="shared" ref="Z543:Z606" ca="1" si="632">IF(OR(U543&lt;&gt;""),"Completed",IF(T543="","",
IF(T543&lt;TODAY(),"Overdue",
IF(AND(T543&gt;=TODAY()-WEEKDAY(TODAY(),2)+1,T543&lt;=TODAY()-WEEKDAY(TODAY(),2)+7),"Follow-This Week",
IF(AND(T543&gt;=TODAY()-WEEKDAY(TODAY(),2)+8,T543&lt;=TODAY()-WEEKDAY(TODAY(),2)+14),"Follow-Next Week","")))))</f>
        <v/>
      </c>
    </row>
    <row r="544" spans="1:26" s="70" customFormat="1" ht="11.5" x14ac:dyDescent="0.25">
      <c r="A544" s="112" t="s">
        <v>67</v>
      </c>
      <c r="B544" s="112" t="s">
        <v>14</v>
      </c>
      <c r="C544" s="118" t="s">
        <v>1083</v>
      </c>
      <c r="D544" s="118" t="s">
        <v>645</v>
      </c>
      <c r="E544" s="113">
        <f t="shared" si="587"/>
        <v>0.5</v>
      </c>
      <c r="F544" s="113">
        <f t="shared" si="588"/>
        <v>0.5</v>
      </c>
      <c r="G544" s="113">
        <f t="shared" si="588"/>
        <v>0</v>
      </c>
      <c r="H544" s="113">
        <f t="shared" si="589"/>
        <v>-0.5</v>
      </c>
      <c r="I544" s="114">
        <v>4.7E-2</v>
      </c>
      <c r="J544" s="115">
        <f t="shared" si="624"/>
        <v>46255</v>
      </c>
      <c r="K544" s="115">
        <f t="shared" si="571"/>
        <v>46255</v>
      </c>
      <c r="L544" s="115"/>
      <c r="M544" s="116">
        <f t="shared" si="572"/>
        <v>46297</v>
      </c>
      <c r="N544" s="115">
        <f t="shared" si="573"/>
        <v>46297</v>
      </c>
      <c r="O544" s="115"/>
      <c r="P544" s="115">
        <f t="shared" si="574"/>
        <v>46339</v>
      </c>
      <c r="Q544" s="115">
        <f t="shared" si="575"/>
        <v>46339</v>
      </c>
      <c r="R544" s="115"/>
      <c r="S544" s="115">
        <f t="shared" si="577"/>
        <v>46353</v>
      </c>
      <c r="T544" s="115">
        <f t="shared" si="576"/>
        <v>46353</v>
      </c>
      <c r="U544" s="115"/>
      <c r="W544" s="173" t="str">
        <f t="shared" ca="1" si="629"/>
        <v>Overdue</v>
      </c>
      <c r="X544" s="173" t="str">
        <f t="shared" ca="1" si="630"/>
        <v/>
      </c>
      <c r="Y544" s="173" t="str">
        <f t="shared" ca="1" si="631"/>
        <v/>
      </c>
      <c r="Z544" s="174" t="str">
        <f t="shared" ca="1" si="632"/>
        <v/>
      </c>
    </row>
    <row r="545" spans="1:26" s="70" customFormat="1" ht="11.5" x14ac:dyDescent="0.25">
      <c r="A545" s="112" t="s">
        <v>67</v>
      </c>
      <c r="B545" s="112" t="s">
        <v>14</v>
      </c>
      <c r="C545" s="118" t="s">
        <v>646</v>
      </c>
      <c r="D545" s="118" t="s">
        <v>647</v>
      </c>
      <c r="E545" s="113">
        <f t="shared" si="587"/>
        <v>0.5</v>
      </c>
      <c r="F545" s="113">
        <f t="shared" si="588"/>
        <v>0.5</v>
      </c>
      <c r="G545" s="113">
        <f t="shared" si="588"/>
        <v>0</v>
      </c>
      <c r="H545" s="113">
        <f t="shared" si="589"/>
        <v>-0.5</v>
      </c>
      <c r="I545" s="114">
        <v>4.7E-2</v>
      </c>
      <c r="J545" s="115">
        <f t="shared" si="624"/>
        <v>46262</v>
      </c>
      <c r="K545" s="115">
        <f t="shared" si="571"/>
        <v>46262</v>
      </c>
      <c r="L545" s="115"/>
      <c r="M545" s="116">
        <f t="shared" si="572"/>
        <v>46304</v>
      </c>
      <c r="N545" s="115">
        <f t="shared" si="573"/>
        <v>46304</v>
      </c>
      <c r="O545" s="115"/>
      <c r="P545" s="115">
        <f t="shared" si="574"/>
        <v>46346</v>
      </c>
      <c r="Q545" s="115">
        <f t="shared" si="575"/>
        <v>46346</v>
      </c>
      <c r="R545" s="115"/>
      <c r="S545" s="115">
        <f t="shared" si="577"/>
        <v>46360</v>
      </c>
      <c r="T545" s="115">
        <f t="shared" si="576"/>
        <v>46360</v>
      </c>
      <c r="U545" s="115"/>
      <c r="W545" s="173" t="str">
        <f t="shared" ca="1" si="629"/>
        <v>Overdue</v>
      </c>
      <c r="X545" s="173" t="str">
        <f t="shared" ca="1" si="630"/>
        <v/>
      </c>
      <c r="Y545" s="173" t="str">
        <f t="shared" ca="1" si="631"/>
        <v/>
      </c>
      <c r="Z545" s="174" t="str">
        <f t="shared" ca="1" si="632"/>
        <v/>
      </c>
    </row>
    <row r="546" spans="1:26" s="70" customFormat="1" ht="11.5" x14ac:dyDescent="0.25">
      <c r="A546" s="112" t="s">
        <v>67</v>
      </c>
      <c r="B546" s="112" t="s">
        <v>14</v>
      </c>
      <c r="C546" s="118" t="s">
        <v>648</v>
      </c>
      <c r="D546" s="118" t="s">
        <v>649</v>
      </c>
      <c r="E546" s="113">
        <f t="shared" si="587"/>
        <v>0.5</v>
      </c>
      <c r="F546" s="113">
        <f t="shared" si="588"/>
        <v>0.5</v>
      </c>
      <c r="G546" s="113">
        <f t="shared" si="588"/>
        <v>0</v>
      </c>
      <c r="H546" s="113">
        <f t="shared" si="589"/>
        <v>-0.5</v>
      </c>
      <c r="I546" s="114">
        <v>4.7E-2</v>
      </c>
      <c r="J546" s="115">
        <f t="shared" si="624"/>
        <v>46262</v>
      </c>
      <c r="K546" s="115">
        <f t="shared" si="571"/>
        <v>46262</v>
      </c>
      <c r="L546" s="115"/>
      <c r="M546" s="116">
        <f t="shared" si="572"/>
        <v>46304</v>
      </c>
      <c r="N546" s="115">
        <f t="shared" si="573"/>
        <v>46304</v>
      </c>
      <c r="O546" s="115"/>
      <c r="P546" s="115">
        <f t="shared" si="574"/>
        <v>46346</v>
      </c>
      <c r="Q546" s="115">
        <f t="shared" si="575"/>
        <v>46346</v>
      </c>
      <c r="R546" s="115"/>
      <c r="S546" s="115">
        <f t="shared" si="577"/>
        <v>46360</v>
      </c>
      <c r="T546" s="115">
        <f t="shared" si="576"/>
        <v>46360</v>
      </c>
      <c r="U546" s="115"/>
      <c r="W546" s="173" t="str">
        <f t="shared" ca="1" si="629"/>
        <v>Overdue</v>
      </c>
      <c r="X546" s="173" t="str">
        <f t="shared" ca="1" si="630"/>
        <v/>
      </c>
      <c r="Y546" s="173" t="str">
        <f t="shared" ca="1" si="631"/>
        <v/>
      </c>
      <c r="Z546" s="174" t="str">
        <f t="shared" ca="1" si="632"/>
        <v/>
      </c>
    </row>
    <row r="547" spans="1:26" s="70" customFormat="1" ht="11.5" x14ac:dyDescent="0.25">
      <c r="A547" s="112" t="s">
        <v>67</v>
      </c>
      <c r="B547" s="112" t="s">
        <v>14</v>
      </c>
      <c r="C547" s="118" t="s">
        <v>650</v>
      </c>
      <c r="D547" s="118" t="s">
        <v>651</v>
      </c>
      <c r="E547" s="113">
        <f t="shared" si="587"/>
        <v>0.5</v>
      </c>
      <c r="F547" s="113">
        <f t="shared" si="588"/>
        <v>0.5</v>
      </c>
      <c r="G547" s="113">
        <f t="shared" si="588"/>
        <v>0</v>
      </c>
      <c r="H547" s="113">
        <f t="shared" si="589"/>
        <v>-0.5</v>
      </c>
      <c r="I547" s="114">
        <v>4.7E-2</v>
      </c>
      <c r="J547" s="115">
        <f t="shared" si="624"/>
        <v>46262</v>
      </c>
      <c r="K547" s="115">
        <f t="shared" si="571"/>
        <v>46262</v>
      </c>
      <c r="L547" s="115"/>
      <c r="M547" s="116">
        <f t="shared" si="572"/>
        <v>46304</v>
      </c>
      <c r="N547" s="115">
        <f t="shared" si="573"/>
        <v>46304</v>
      </c>
      <c r="O547" s="115"/>
      <c r="P547" s="115">
        <f t="shared" si="574"/>
        <v>46346</v>
      </c>
      <c r="Q547" s="115">
        <f t="shared" si="575"/>
        <v>46346</v>
      </c>
      <c r="R547" s="115"/>
      <c r="S547" s="115">
        <f t="shared" si="577"/>
        <v>46360</v>
      </c>
      <c r="T547" s="115">
        <f t="shared" si="576"/>
        <v>46360</v>
      </c>
      <c r="U547" s="115"/>
      <c r="W547" s="173" t="str">
        <f t="shared" ca="1" si="629"/>
        <v>Overdue</v>
      </c>
      <c r="X547" s="173" t="str">
        <f t="shared" ca="1" si="630"/>
        <v/>
      </c>
      <c r="Y547" s="173" t="str">
        <f t="shared" ca="1" si="631"/>
        <v/>
      </c>
      <c r="Z547" s="174" t="str">
        <f t="shared" ca="1" si="632"/>
        <v/>
      </c>
    </row>
    <row r="548" spans="1:26" s="70" customFormat="1" ht="11.5" x14ac:dyDescent="0.25">
      <c r="A548" s="112" t="s">
        <v>67</v>
      </c>
      <c r="B548" s="112" t="s">
        <v>14</v>
      </c>
      <c r="C548" s="118" t="s">
        <v>1084</v>
      </c>
      <c r="D548" s="118" t="s">
        <v>652</v>
      </c>
      <c r="E548" s="113">
        <f t="shared" si="587"/>
        <v>0.5</v>
      </c>
      <c r="F548" s="113">
        <f t="shared" si="588"/>
        <v>0.5</v>
      </c>
      <c r="G548" s="113">
        <f t="shared" si="588"/>
        <v>0</v>
      </c>
      <c r="H548" s="113">
        <f t="shared" si="589"/>
        <v>-0.5</v>
      </c>
      <c r="I548" s="114">
        <v>4.7E-2</v>
      </c>
      <c r="J548" s="115">
        <f t="shared" si="624"/>
        <v>46262</v>
      </c>
      <c r="K548" s="115">
        <f t="shared" si="571"/>
        <v>46262</v>
      </c>
      <c r="L548" s="115"/>
      <c r="M548" s="116">
        <f t="shared" si="572"/>
        <v>46304</v>
      </c>
      <c r="N548" s="115">
        <f t="shared" si="573"/>
        <v>46304</v>
      </c>
      <c r="O548" s="115"/>
      <c r="P548" s="115">
        <f t="shared" si="574"/>
        <v>46346</v>
      </c>
      <c r="Q548" s="115">
        <f t="shared" si="575"/>
        <v>46346</v>
      </c>
      <c r="R548" s="115"/>
      <c r="S548" s="115">
        <f t="shared" si="577"/>
        <v>46360</v>
      </c>
      <c r="T548" s="115">
        <f t="shared" si="576"/>
        <v>46360</v>
      </c>
      <c r="U548" s="115"/>
      <c r="W548" s="173" t="str">
        <f t="shared" ca="1" si="629"/>
        <v>Overdue</v>
      </c>
      <c r="X548" s="173" t="str">
        <f t="shared" ca="1" si="630"/>
        <v/>
      </c>
      <c r="Y548" s="173" t="str">
        <f t="shared" ca="1" si="631"/>
        <v/>
      </c>
      <c r="Z548" s="174" t="str">
        <f t="shared" ca="1" si="632"/>
        <v/>
      </c>
    </row>
    <row r="549" spans="1:26" s="70" customFormat="1" ht="11.5" x14ac:dyDescent="0.25">
      <c r="A549" s="112" t="s">
        <v>67</v>
      </c>
      <c r="B549" s="112" t="s">
        <v>14</v>
      </c>
      <c r="C549" s="118" t="s">
        <v>1085</v>
      </c>
      <c r="D549" s="118" t="s">
        <v>653</v>
      </c>
      <c r="E549" s="113">
        <f t="shared" si="587"/>
        <v>0.5</v>
      </c>
      <c r="F549" s="113">
        <f t="shared" si="588"/>
        <v>0.5</v>
      </c>
      <c r="G549" s="113">
        <f t="shared" si="588"/>
        <v>0</v>
      </c>
      <c r="H549" s="113">
        <f t="shared" si="589"/>
        <v>-0.5</v>
      </c>
      <c r="I549" s="114">
        <v>4.7E-2</v>
      </c>
      <c r="J549" s="115">
        <f t="shared" si="624"/>
        <v>46262</v>
      </c>
      <c r="K549" s="115">
        <f t="shared" ref="K549:K612" si="633">J549</f>
        <v>46262</v>
      </c>
      <c r="L549" s="115"/>
      <c r="M549" s="116">
        <f t="shared" ref="M549:M612" si="634">J549+42</f>
        <v>46304</v>
      </c>
      <c r="N549" s="115">
        <f t="shared" ref="N549:N612" si="635">M549</f>
        <v>46304</v>
      </c>
      <c r="O549" s="115"/>
      <c r="P549" s="115">
        <f t="shared" ref="P549:P612" si="636">M549+42</f>
        <v>46346</v>
      </c>
      <c r="Q549" s="115">
        <f t="shared" ref="Q549:Q612" si="637">P549</f>
        <v>46346</v>
      </c>
      <c r="R549" s="115"/>
      <c r="S549" s="115">
        <f t="shared" si="577"/>
        <v>46360</v>
      </c>
      <c r="T549" s="115">
        <f t="shared" ref="T549:T612" si="638">S549</f>
        <v>46360</v>
      </c>
      <c r="U549" s="115"/>
      <c r="W549" s="173" t="str">
        <f t="shared" ca="1" si="629"/>
        <v>Overdue</v>
      </c>
      <c r="X549" s="173" t="str">
        <f t="shared" ca="1" si="630"/>
        <v/>
      </c>
      <c r="Y549" s="173" t="str">
        <f t="shared" ca="1" si="631"/>
        <v/>
      </c>
      <c r="Z549" s="174" t="str">
        <f t="shared" ca="1" si="632"/>
        <v/>
      </c>
    </row>
    <row r="550" spans="1:26" s="70" customFormat="1" ht="11.5" x14ac:dyDescent="0.25">
      <c r="A550" s="112" t="s">
        <v>67</v>
      </c>
      <c r="B550" s="112" t="s">
        <v>14</v>
      </c>
      <c r="C550" s="118" t="s">
        <v>1086</v>
      </c>
      <c r="D550" s="118" t="s">
        <v>654</v>
      </c>
      <c r="E550" s="113">
        <f t="shared" si="587"/>
        <v>0.5</v>
      </c>
      <c r="F550" s="113">
        <f t="shared" si="588"/>
        <v>0.5</v>
      </c>
      <c r="G550" s="113">
        <f t="shared" si="588"/>
        <v>0</v>
      </c>
      <c r="H550" s="113">
        <f t="shared" si="589"/>
        <v>-0.5</v>
      </c>
      <c r="I550" s="114">
        <v>4.7E-2</v>
      </c>
      <c r="J550" s="115">
        <f t="shared" si="624"/>
        <v>46262</v>
      </c>
      <c r="K550" s="115">
        <f t="shared" si="633"/>
        <v>46262</v>
      </c>
      <c r="L550" s="115"/>
      <c r="M550" s="115">
        <f t="shared" si="634"/>
        <v>46304</v>
      </c>
      <c r="N550" s="115">
        <f t="shared" si="635"/>
        <v>46304</v>
      </c>
      <c r="O550" s="115"/>
      <c r="P550" s="115">
        <f t="shared" si="636"/>
        <v>46346</v>
      </c>
      <c r="Q550" s="115">
        <f t="shared" si="637"/>
        <v>46346</v>
      </c>
      <c r="R550" s="115"/>
      <c r="S550" s="115">
        <f t="shared" ref="S550:S613" si="639">P550+14</f>
        <v>46360</v>
      </c>
      <c r="T550" s="115">
        <f t="shared" si="638"/>
        <v>46360</v>
      </c>
      <c r="U550" s="115"/>
      <c r="W550" s="173" t="str">
        <f t="shared" ca="1" si="629"/>
        <v>Overdue</v>
      </c>
      <c r="X550" s="173" t="str">
        <f t="shared" ca="1" si="630"/>
        <v/>
      </c>
      <c r="Y550" s="173" t="str">
        <f t="shared" ca="1" si="631"/>
        <v/>
      </c>
      <c r="Z550" s="174" t="str">
        <f t="shared" ca="1" si="632"/>
        <v/>
      </c>
    </row>
    <row r="551" spans="1:26" s="70" customFormat="1" ht="11.5" x14ac:dyDescent="0.25">
      <c r="A551" s="112" t="s">
        <v>67</v>
      </c>
      <c r="B551" s="112" t="s">
        <v>14</v>
      </c>
      <c r="C551" s="118" t="s">
        <v>1087</v>
      </c>
      <c r="D551" s="118" t="s">
        <v>655</v>
      </c>
      <c r="E551" s="113">
        <f t="shared" si="587"/>
        <v>0.5</v>
      </c>
      <c r="F551" s="113">
        <f t="shared" si="588"/>
        <v>0.5</v>
      </c>
      <c r="G551" s="113">
        <f t="shared" si="588"/>
        <v>0</v>
      </c>
      <c r="H551" s="113">
        <f t="shared" si="589"/>
        <v>-0.5</v>
      </c>
      <c r="I551" s="114">
        <v>4.7E-2</v>
      </c>
      <c r="J551" s="115">
        <f t="shared" si="624"/>
        <v>46262</v>
      </c>
      <c r="K551" s="115">
        <f t="shared" si="633"/>
        <v>46262</v>
      </c>
      <c r="L551" s="115"/>
      <c r="M551" s="115">
        <f t="shared" si="634"/>
        <v>46304</v>
      </c>
      <c r="N551" s="115">
        <f t="shared" si="635"/>
        <v>46304</v>
      </c>
      <c r="O551" s="115"/>
      <c r="P551" s="115">
        <f t="shared" si="636"/>
        <v>46346</v>
      </c>
      <c r="Q551" s="115">
        <f t="shared" si="637"/>
        <v>46346</v>
      </c>
      <c r="R551" s="115"/>
      <c r="S551" s="115">
        <f t="shared" si="639"/>
        <v>46360</v>
      </c>
      <c r="T551" s="115">
        <f t="shared" si="638"/>
        <v>46360</v>
      </c>
      <c r="U551" s="115"/>
      <c r="W551" s="173" t="str">
        <f t="shared" ca="1" si="629"/>
        <v>Overdue</v>
      </c>
      <c r="X551" s="173" t="str">
        <f t="shared" ca="1" si="630"/>
        <v/>
      </c>
      <c r="Y551" s="173" t="str">
        <f t="shared" ca="1" si="631"/>
        <v/>
      </c>
      <c r="Z551" s="174" t="str">
        <f t="shared" ca="1" si="632"/>
        <v/>
      </c>
    </row>
    <row r="552" spans="1:26" s="70" customFormat="1" ht="11.5" x14ac:dyDescent="0.25">
      <c r="A552" s="112" t="s">
        <v>67</v>
      </c>
      <c r="B552" s="112" t="s">
        <v>14</v>
      </c>
      <c r="C552" s="112" t="s">
        <v>1088</v>
      </c>
      <c r="D552" s="112" t="s">
        <v>656</v>
      </c>
      <c r="E552" s="113">
        <f t="shared" si="587"/>
        <v>0.5</v>
      </c>
      <c r="F552" s="113">
        <f t="shared" si="588"/>
        <v>0.5</v>
      </c>
      <c r="G552" s="113">
        <f t="shared" si="588"/>
        <v>0</v>
      </c>
      <c r="H552" s="113">
        <f t="shared" si="589"/>
        <v>-0.5</v>
      </c>
      <c r="I552" s="114">
        <v>4.7E-2</v>
      </c>
      <c r="J552" s="115">
        <f t="shared" si="624"/>
        <v>46262</v>
      </c>
      <c r="K552" s="115">
        <f t="shared" si="633"/>
        <v>46262</v>
      </c>
      <c r="L552" s="115"/>
      <c r="M552" s="115">
        <f t="shared" si="634"/>
        <v>46304</v>
      </c>
      <c r="N552" s="115">
        <f t="shared" si="635"/>
        <v>46304</v>
      </c>
      <c r="O552" s="115"/>
      <c r="P552" s="115">
        <f t="shared" si="636"/>
        <v>46346</v>
      </c>
      <c r="Q552" s="115">
        <f t="shared" si="637"/>
        <v>46346</v>
      </c>
      <c r="R552" s="115"/>
      <c r="S552" s="115">
        <f t="shared" si="639"/>
        <v>46360</v>
      </c>
      <c r="T552" s="115">
        <f t="shared" si="638"/>
        <v>46360</v>
      </c>
      <c r="U552" s="115"/>
      <c r="W552" s="173" t="str">
        <f t="shared" ca="1" si="629"/>
        <v>Overdue</v>
      </c>
      <c r="X552" s="173" t="str">
        <f t="shared" ca="1" si="630"/>
        <v/>
      </c>
      <c r="Y552" s="173" t="str">
        <f t="shared" ca="1" si="631"/>
        <v/>
      </c>
      <c r="Z552" s="174" t="str">
        <f t="shared" ca="1" si="632"/>
        <v/>
      </c>
    </row>
    <row r="553" spans="1:26" s="70" customFormat="1" ht="11.5" x14ac:dyDescent="0.25">
      <c r="A553" s="112" t="s">
        <v>67</v>
      </c>
      <c r="B553" s="112" t="s">
        <v>14</v>
      </c>
      <c r="C553" s="112" t="s">
        <v>1089</v>
      </c>
      <c r="D553" s="112" t="s">
        <v>657</v>
      </c>
      <c r="E553" s="113">
        <f t="shared" si="587"/>
        <v>0.5</v>
      </c>
      <c r="F553" s="113">
        <f t="shared" si="588"/>
        <v>0.5</v>
      </c>
      <c r="G553" s="113">
        <f t="shared" si="588"/>
        <v>0</v>
      </c>
      <c r="H553" s="113">
        <f t="shared" si="589"/>
        <v>-0.5</v>
      </c>
      <c r="I553" s="114">
        <v>4.7E-2</v>
      </c>
      <c r="J553" s="115">
        <f t="shared" si="624"/>
        <v>46262</v>
      </c>
      <c r="K553" s="115">
        <f t="shared" si="633"/>
        <v>46262</v>
      </c>
      <c r="L553" s="115"/>
      <c r="M553" s="115">
        <f t="shared" si="634"/>
        <v>46304</v>
      </c>
      <c r="N553" s="115">
        <f t="shared" si="635"/>
        <v>46304</v>
      </c>
      <c r="O553" s="115"/>
      <c r="P553" s="115">
        <f t="shared" si="636"/>
        <v>46346</v>
      </c>
      <c r="Q553" s="115">
        <f t="shared" si="637"/>
        <v>46346</v>
      </c>
      <c r="R553" s="115"/>
      <c r="S553" s="115">
        <f t="shared" si="639"/>
        <v>46360</v>
      </c>
      <c r="T553" s="115">
        <f t="shared" si="638"/>
        <v>46360</v>
      </c>
      <c r="U553" s="115"/>
      <c r="W553" s="173" t="str">
        <f t="shared" ca="1" si="629"/>
        <v>Overdue</v>
      </c>
      <c r="X553" s="173" t="str">
        <f t="shared" ca="1" si="630"/>
        <v/>
      </c>
      <c r="Y553" s="173" t="str">
        <f t="shared" ca="1" si="631"/>
        <v/>
      </c>
      <c r="Z553" s="174" t="str">
        <f t="shared" ca="1" si="632"/>
        <v/>
      </c>
    </row>
    <row r="554" spans="1:26" s="70" customFormat="1" ht="11.5" x14ac:dyDescent="0.25">
      <c r="A554" s="112" t="s">
        <v>67</v>
      </c>
      <c r="B554" s="112" t="s">
        <v>14</v>
      </c>
      <c r="C554" s="112" t="s">
        <v>658</v>
      </c>
      <c r="D554" s="112" t="s">
        <v>659</v>
      </c>
      <c r="E554" s="113">
        <f t="shared" ref="E554" si="640">(COUNTIFS(J554,"&lt;="&amp;$C$1)*50%)+(COUNTIFS(M554,"&lt;="&amp;$C$1)*20%)+(COUNTIFS(P554,"&lt;="&amp;$C$1)*10%)+(COUNTIFS(S554,"&lt;="&amp;$C$1)*20%)</f>
        <v>0.5</v>
      </c>
      <c r="F554" s="113">
        <f t="shared" ref="F554" si="641">(COUNTIFS(K554,"&lt;="&amp;$C$1)*50%)+(COUNTIFS(N554,"&lt;="&amp;$C$1)*20%)+(COUNTIFS(Q554,"&lt;="&amp;$C$1)*10%)+(COUNTIFS(T554,"&lt;="&amp;$C$1)*20%)</f>
        <v>0.5</v>
      </c>
      <c r="G554" s="113">
        <f t="shared" ref="G554" si="642">(COUNTIFS(L554,"&lt;="&amp;$C$1)*50%)+(COUNTIFS(O554,"&lt;="&amp;$C$1)*20%)+(COUNTIFS(R554,"&lt;="&amp;$C$1)*10%)+(COUNTIFS(U554,"&lt;="&amp;$C$1)*20%)</f>
        <v>0</v>
      </c>
      <c r="H554" s="113">
        <f t="shared" ref="H554" si="643">G554-E554</f>
        <v>-0.5</v>
      </c>
      <c r="I554" s="114">
        <v>4.7E-2</v>
      </c>
      <c r="J554" s="115">
        <f t="shared" si="624"/>
        <v>46262</v>
      </c>
      <c r="K554" s="115">
        <f t="shared" si="633"/>
        <v>46262</v>
      </c>
      <c r="L554" s="115"/>
      <c r="M554" s="115">
        <f t="shared" si="634"/>
        <v>46304</v>
      </c>
      <c r="N554" s="115">
        <f t="shared" si="635"/>
        <v>46304</v>
      </c>
      <c r="O554" s="115"/>
      <c r="P554" s="115">
        <f t="shared" si="636"/>
        <v>46346</v>
      </c>
      <c r="Q554" s="115">
        <f t="shared" si="637"/>
        <v>46346</v>
      </c>
      <c r="R554" s="115"/>
      <c r="S554" s="115">
        <f t="shared" si="639"/>
        <v>46360</v>
      </c>
      <c r="T554" s="115">
        <f t="shared" si="638"/>
        <v>46360</v>
      </c>
      <c r="U554" s="115"/>
      <c r="W554" s="173" t="str">
        <f t="shared" ca="1" si="629"/>
        <v>Overdue</v>
      </c>
      <c r="X554" s="173" t="str">
        <f t="shared" ca="1" si="630"/>
        <v/>
      </c>
      <c r="Y554" s="173" t="str">
        <f t="shared" ca="1" si="631"/>
        <v/>
      </c>
      <c r="Z554" s="174" t="str">
        <f t="shared" ca="1" si="632"/>
        <v/>
      </c>
    </row>
    <row r="555" spans="1:26" s="70" customFormat="1" ht="11.5" x14ac:dyDescent="0.25">
      <c r="A555" s="112" t="s">
        <v>67</v>
      </c>
      <c r="B555" s="112" t="s">
        <v>14</v>
      </c>
      <c r="C555" s="112" t="s">
        <v>660</v>
      </c>
      <c r="D555" s="112" t="s">
        <v>661</v>
      </c>
      <c r="E555" s="113">
        <f t="shared" si="587"/>
        <v>0.5</v>
      </c>
      <c r="F555" s="113">
        <f t="shared" si="588"/>
        <v>0.5</v>
      </c>
      <c r="G555" s="113">
        <f t="shared" si="588"/>
        <v>0</v>
      </c>
      <c r="H555" s="113">
        <f t="shared" si="589"/>
        <v>-0.5</v>
      </c>
      <c r="I555" s="114">
        <v>4.7E-2</v>
      </c>
      <c r="J555" s="115">
        <f t="shared" si="624"/>
        <v>46262</v>
      </c>
      <c r="K555" s="115">
        <f t="shared" si="633"/>
        <v>46262</v>
      </c>
      <c r="L555" s="115"/>
      <c r="M555" s="116">
        <f t="shared" si="634"/>
        <v>46304</v>
      </c>
      <c r="N555" s="115">
        <f t="shared" si="635"/>
        <v>46304</v>
      </c>
      <c r="O555" s="115"/>
      <c r="P555" s="115">
        <f t="shared" si="636"/>
        <v>46346</v>
      </c>
      <c r="Q555" s="115">
        <f t="shared" si="637"/>
        <v>46346</v>
      </c>
      <c r="R555" s="115"/>
      <c r="S555" s="115">
        <f t="shared" si="639"/>
        <v>46360</v>
      </c>
      <c r="T555" s="115">
        <f t="shared" si="638"/>
        <v>46360</v>
      </c>
      <c r="U555" s="115"/>
      <c r="W555" s="173" t="str">
        <f t="shared" ca="1" si="629"/>
        <v>Overdue</v>
      </c>
      <c r="X555" s="173" t="str">
        <f t="shared" ca="1" si="630"/>
        <v/>
      </c>
      <c r="Y555" s="173" t="str">
        <f t="shared" ca="1" si="631"/>
        <v/>
      </c>
      <c r="Z555" s="174" t="str">
        <f t="shared" ca="1" si="632"/>
        <v/>
      </c>
    </row>
    <row r="556" spans="1:26" s="70" customFormat="1" ht="11.5" x14ac:dyDescent="0.25">
      <c r="A556" s="112" t="s">
        <v>67</v>
      </c>
      <c r="B556" s="112" t="s">
        <v>14</v>
      </c>
      <c r="C556" s="112" t="s">
        <v>662</v>
      </c>
      <c r="D556" s="112" t="s">
        <v>663</v>
      </c>
      <c r="E556" s="113">
        <f t="shared" si="587"/>
        <v>0.5</v>
      </c>
      <c r="F556" s="113">
        <f t="shared" si="588"/>
        <v>0.5</v>
      </c>
      <c r="G556" s="113">
        <f t="shared" si="588"/>
        <v>0</v>
      </c>
      <c r="H556" s="113">
        <f t="shared" si="589"/>
        <v>-0.5</v>
      </c>
      <c r="I556" s="114">
        <v>4.7E-2</v>
      </c>
      <c r="J556" s="115">
        <f t="shared" si="624"/>
        <v>46262</v>
      </c>
      <c r="K556" s="115">
        <f t="shared" si="633"/>
        <v>46262</v>
      </c>
      <c r="L556" s="115"/>
      <c r="M556" s="116">
        <f t="shared" si="634"/>
        <v>46304</v>
      </c>
      <c r="N556" s="115">
        <f t="shared" si="635"/>
        <v>46304</v>
      </c>
      <c r="O556" s="115"/>
      <c r="P556" s="115">
        <f t="shared" si="636"/>
        <v>46346</v>
      </c>
      <c r="Q556" s="115">
        <f t="shared" si="637"/>
        <v>46346</v>
      </c>
      <c r="R556" s="115"/>
      <c r="S556" s="115">
        <f t="shared" si="639"/>
        <v>46360</v>
      </c>
      <c r="T556" s="115">
        <f t="shared" si="638"/>
        <v>46360</v>
      </c>
      <c r="U556" s="115"/>
      <c r="W556" s="173" t="str">
        <f t="shared" ca="1" si="629"/>
        <v>Overdue</v>
      </c>
      <c r="X556" s="173" t="str">
        <f t="shared" ca="1" si="630"/>
        <v/>
      </c>
      <c r="Y556" s="173" t="str">
        <f t="shared" ca="1" si="631"/>
        <v/>
      </c>
      <c r="Z556" s="174" t="str">
        <f t="shared" ca="1" si="632"/>
        <v/>
      </c>
    </row>
    <row r="557" spans="1:26" s="70" customFormat="1" ht="11.5" x14ac:dyDescent="0.25">
      <c r="A557" s="112" t="s">
        <v>67</v>
      </c>
      <c r="B557" s="112" t="s">
        <v>14</v>
      </c>
      <c r="C557" s="112" t="s">
        <v>1090</v>
      </c>
      <c r="D557" s="112" t="s">
        <v>664</v>
      </c>
      <c r="E557" s="113">
        <f t="shared" si="587"/>
        <v>0.5</v>
      </c>
      <c r="F557" s="113">
        <f t="shared" si="588"/>
        <v>0.5</v>
      </c>
      <c r="G557" s="113">
        <f t="shared" si="588"/>
        <v>0</v>
      </c>
      <c r="H557" s="113">
        <f t="shared" si="589"/>
        <v>-0.5</v>
      </c>
      <c r="I557" s="114">
        <v>4.7E-2</v>
      </c>
      <c r="J557" s="115">
        <f t="shared" si="624"/>
        <v>46262</v>
      </c>
      <c r="K557" s="115">
        <f t="shared" si="633"/>
        <v>46262</v>
      </c>
      <c r="L557" s="115"/>
      <c r="M557" s="116">
        <f t="shared" si="634"/>
        <v>46304</v>
      </c>
      <c r="N557" s="115">
        <f t="shared" si="635"/>
        <v>46304</v>
      </c>
      <c r="O557" s="115"/>
      <c r="P557" s="115">
        <f t="shared" si="636"/>
        <v>46346</v>
      </c>
      <c r="Q557" s="115">
        <f t="shared" si="637"/>
        <v>46346</v>
      </c>
      <c r="R557" s="115"/>
      <c r="S557" s="115">
        <f t="shared" si="639"/>
        <v>46360</v>
      </c>
      <c r="T557" s="115">
        <f t="shared" si="638"/>
        <v>46360</v>
      </c>
      <c r="U557" s="115"/>
      <c r="W557" s="173" t="str">
        <f t="shared" ca="1" si="629"/>
        <v>Overdue</v>
      </c>
      <c r="X557" s="173" t="str">
        <f t="shared" ca="1" si="630"/>
        <v/>
      </c>
      <c r="Y557" s="173" t="str">
        <f t="shared" ca="1" si="631"/>
        <v/>
      </c>
      <c r="Z557" s="174" t="str">
        <f t="shared" ca="1" si="632"/>
        <v/>
      </c>
    </row>
    <row r="558" spans="1:26" s="70" customFormat="1" ht="11.5" x14ac:dyDescent="0.25">
      <c r="A558" s="112" t="s">
        <v>67</v>
      </c>
      <c r="B558" s="112" t="s">
        <v>14</v>
      </c>
      <c r="C558" s="112" t="s">
        <v>665</v>
      </c>
      <c r="D558" s="112" t="s">
        <v>666</v>
      </c>
      <c r="E558" s="113">
        <f t="shared" si="587"/>
        <v>0.5</v>
      </c>
      <c r="F558" s="113">
        <f t="shared" si="588"/>
        <v>0.5</v>
      </c>
      <c r="G558" s="113">
        <f t="shared" si="588"/>
        <v>0</v>
      </c>
      <c r="H558" s="113">
        <f t="shared" si="589"/>
        <v>-0.5</v>
      </c>
      <c r="I558" s="114">
        <v>4.7E-2</v>
      </c>
      <c r="J558" s="115">
        <f t="shared" si="624"/>
        <v>46262</v>
      </c>
      <c r="K558" s="115">
        <f t="shared" si="633"/>
        <v>46262</v>
      </c>
      <c r="L558" s="116"/>
      <c r="M558" s="116">
        <f t="shared" si="634"/>
        <v>46304</v>
      </c>
      <c r="N558" s="115">
        <f t="shared" si="635"/>
        <v>46304</v>
      </c>
      <c r="O558" s="116"/>
      <c r="P558" s="115">
        <f t="shared" si="636"/>
        <v>46346</v>
      </c>
      <c r="Q558" s="115">
        <f t="shared" si="637"/>
        <v>46346</v>
      </c>
      <c r="R558" s="116"/>
      <c r="S558" s="115">
        <f t="shared" si="639"/>
        <v>46360</v>
      </c>
      <c r="T558" s="115">
        <f t="shared" si="638"/>
        <v>46360</v>
      </c>
      <c r="U558" s="116"/>
      <c r="W558" s="173" t="str">
        <f t="shared" ca="1" si="629"/>
        <v>Overdue</v>
      </c>
      <c r="X558" s="173" t="str">
        <f t="shared" ca="1" si="630"/>
        <v/>
      </c>
      <c r="Y558" s="173" t="str">
        <f t="shared" ca="1" si="631"/>
        <v/>
      </c>
      <c r="Z558" s="174" t="str">
        <f t="shared" ca="1" si="632"/>
        <v/>
      </c>
    </row>
    <row r="559" spans="1:26" s="70" customFormat="1" ht="11.5" x14ac:dyDescent="0.25">
      <c r="A559" s="112" t="s">
        <v>67</v>
      </c>
      <c r="B559" s="112" t="s">
        <v>14</v>
      </c>
      <c r="C559" s="112" t="s">
        <v>667</v>
      </c>
      <c r="D559" s="112" t="s">
        <v>668</v>
      </c>
      <c r="E559" s="113">
        <f t="shared" si="587"/>
        <v>0.5</v>
      </c>
      <c r="F559" s="113">
        <f t="shared" si="588"/>
        <v>0.5</v>
      </c>
      <c r="G559" s="113">
        <f t="shared" si="588"/>
        <v>0</v>
      </c>
      <c r="H559" s="113">
        <f t="shared" si="589"/>
        <v>-0.5</v>
      </c>
      <c r="I559" s="114">
        <v>4.7E-2</v>
      </c>
      <c r="J559" s="115">
        <f t="shared" si="624"/>
        <v>46262</v>
      </c>
      <c r="K559" s="115">
        <f t="shared" si="633"/>
        <v>46262</v>
      </c>
      <c r="L559" s="116"/>
      <c r="M559" s="116">
        <f t="shared" si="634"/>
        <v>46304</v>
      </c>
      <c r="N559" s="115">
        <f t="shared" si="635"/>
        <v>46304</v>
      </c>
      <c r="O559" s="116"/>
      <c r="P559" s="115">
        <f t="shared" si="636"/>
        <v>46346</v>
      </c>
      <c r="Q559" s="115">
        <f t="shared" si="637"/>
        <v>46346</v>
      </c>
      <c r="R559" s="116"/>
      <c r="S559" s="115">
        <f t="shared" si="639"/>
        <v>46360</v>
      </c>
      <c r="T559" s="115">
        <f t="shared" si="638"/>
        <v>46360</v>
      </c>
      <c r="U559" s="116"/>
      <c r="W559" s="173" t="str">
        <f t="shared" ca="1" si="629"/>
        <v>Overdue</v>
      </c>
      <c r="X559" s="173" t="str">
        <f t="shared" ca="1" si="630"/>
        <v/>
      </c>
      <c r="Y559" s="173" t="str">
        <f t="shared" ca="1" si="631"/>
        <v/>
      </c>
      <c r="Z559" s="174" t="str">
        <f t="shared" ca="1" si="632"/>
        <v/>
      </c>
    </row>
    <row r="560" spans="1:26" s="70" customFormat="1" ht="11.5" x14ac:dyDescent="0.25">
      <c r="A560" s="112" t="s">
        <v>67</v>
      </c>
      <c r="B560" s="112" t="s">
        <v>14</v>
      </c>
      <c r="C560" s="112" t="s">
        <v>42</v>
      </c>
      <c r="D560" s="112" t="s">
        <v>669</v>
      </c>
      <c r="E560" s="113">
        <f t="shared" si="587"/>
        <v>0</v>
      </c>
      <c r="F560" s="113">
        <f t="shared" si="588"/>
        <v>0</v>
      </c>
      <c r="G560" s="113">
        <f t="shared" si="588"/>
        <v>0</v>
      </c>
      <c r="H560" s="113">
        <f t="shared" si="589"/>
        <v>0</v>
      </c>
      <c r="I560" s="120">
        <v>1.5</v>
      </c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W560" s="173" t="str">
        <f t="shared" ca="1" si="629"/>
        <v/>
      </c>
      <c r="X560" s="173" t="str">
        <f t="shared" ca="1" si="630"/>
        <v/>
      </c>
      <c r="Y560" s="173" t="str">
        <f t="shared" ca="1" si="631"/>
        <v/>
      </c>
      <c r="Z560" s="174" t="str">
        <f t="shared" ca="1" si="632"/>
        <v/>
      </c>
    </row>
    <row r="561" spans="1:26" s="70" customFormat="1" ht="11.5" x14ac:dyDescent="0.25">
      <c r="A561" s="73"/>
      <c r="B561" s="73"/>
      <c r="C561" s="73"/>
      <c r="D561" s="73"/>
      <c r="E561" s="74"/>
      <c r="F561" s="74"/>
      <c r="G561" s="74"/>
      <c r="H561" s="74"/>
      <c r="I561" s="75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W561" s="173" t="str">
        <f t="shared" ca="1" si="629"/>
        <v/>
      </c>
      <c r="X561" s="173" t="str">
        <f t="shared" ca="1" si="630"/>
        <v/>
      </c>
      <c r="Y561" s="173" t="str">
        <f t="shared" ca="1" si="631"/>
        <v/>
      </c>
      <c r="Z561" s="174" t="str">
        <f t="shared" ca="1" si="632"/>
        <v/>
      </c>
    </row>
    <row r="562" spans="1:26" s="70" customFormat="1" ht="11.5" x14ac:dyDescent="0.25">
      <c r="A562" s="121" t="s">
        <v>65</v>
      </c>
      <c r="B562" s="121" t="s">
        <v>14</v>
      </c>
      <c r="C562" s="121" t="s">
        <v>874</v>
      </c>
      <c r="D562" s="121" t="s">
        <v>870</v>
      </c>
      <c r="E562" s="123">
        <f t="shared" si="587"/>
        <v>0.5</v>
      </c>
      <c r="F562" s="123">
        <f t="shared" si="588"/>
        <v>0.5</v>
      </c>
      <c r="G562" s="123">
        <f t="shared" si="588"/>
        <v>1</v>
      </c>
      <c r="H562" s="123">
        <f t="shared" si="589"/>
        <v>0.5</v>
      </c>
      <c r="I562" s="124">
        <v>8.9999999999999993E-3</v>
      </c>
      <c r="J562" s="125">
        <f t="shared" ref="J562:J593" si="644">J439+28</f>
        <v>46234</v>
      </c>
      <c r="K562" s="125">
        <f t="shared" si="633"/>
        <v>46234</v>
      </c>
      <c r="L562" s="125">
        <v>46175</v>
      </c>
      <c r="M562" s="125">
        <f t="shared" si="634"/>
        <v>46276</v>
      </c>
      <c r="N562" s="125">
        <f t="shared" si="635"/>
        <v>46276</v>
      </c>
      <c r="O562" s="125">
        <v>46191</v>
      </c>
      <c r="P562" s="125">
        <f t="shared" si="636"/>
        <v>46318</v>
      </c>
      <c r="Q562" s="125">
        <f t="shared" si="637"/>
        <v>46318</v>
      </c>
      <c r="R562" s="125">
        <v>46245</v>
      </c>
      <c r="S562" s="125">
        <f t="shared" si="639"/>
        <v>46332</v>
      </c>
      <c r="T562" s="125">
        <f t="shared" si="638"/>
        <v>46332</v>
      </c>
      <c r="U562" s="125">
        <v>46255</v>
      </c>
      <c r="W562" s="173" t="str">
        <f t="shared" ca="1" si="629"/>
        <v>Completed</v>
      </c>
      <c r="X562" s="173" t="str">
        <f t="shared" ca="1" si="630"/>
        <v>Completed</v>
      </c>
      <c r="Y562" s="173" t="str">
        <f t="shared" ca="1" si="631"/>
        <v>Completed</v>
      </c>
      <c r="Z562" s="174" t="str">
        <f t="shared" ca="1" si="632"/>
        <v>Completed</v>
      </c>
    </row>
    <row r="563" spans="1:26" s="70" customFormat="1" ht="11.5" x14ac:dyDescent="0.25">
      <c r="A563" s="121" t="s">
        <v>65</v>
      </c>
      <c r="B563" s="121" t="s">
        <v>14</v>
      </c>
      <c r="C563" s="121" t="s">
        <v>875</v>
      </c>
      <c r="D563" s="121" t="s">
        <v>871</v>
      </c>
      <c r="E563" s="123">
        <f t="shared" si="587"/>
        <v>0.5</v>
      </c>
      <c r="F563" s="123">
        <f t="shared" si="588"/>
        <v>0.5</v>
      </c>
      <c r="G563" s="123">
        <f t="shared" si="588"/>
        <v>1</v>
      </c>
      <c r="H563" s="123">
        <f t="shared" si="589"/>
        <v>0.5</v>
      </c>
      <c r="I563" s="124">
        <v>8.9999999999999993E-3</v>
      </c>
      <c r="J563" s="125">
        <f t="shared" si="644"/>
        <v>46234</v>
      </c>
      <c r="K563" s="125">
        <f t="shared" si="633"/>
        <v>46234</v>
      </c>
      <c r="L563" s="125">
        <v>46175</v>
      </c>
      <c r="M563" s="125">
        <f t="shared" si="634"/>
        <v>46276</v>
      </c>
      <c r="N563" s="125">
        <f t="shared" si="635"/>
        <v>46276</v>
      </c>
      <c r="O563" s="125">
        <v>46191</v>
      </c>
      <c r="P563" s="125">
        <f t="shared" si="636"/>
        <v>46318</v>
      </c>
      <c r="Q563" s="125">
        <f t="shared" si="637"/>
        <v>46318</v>
      </c>
      <c r="R563" s="125">
        <v>46245</v>
      </c>
      <c r="S563" s="125">
        <f t="shared" si="639"/>
        <v>46332</v>
      </c>
      <c r="T563" s="125">
        <f t="shared" si="638"/>
        <v>46332</v>
      </c>
      <c r="U563" s="125">
        <v>46255</v>
      </c>
      <c r="W563" s="173" t="str">
        <f t="shared" ca="1" si="629"/>
        <v>Completed</v>
      </c>
      <c r="X563" s="173" t="str">
        <f t="shared" ca="1" si="630"/>
        <v>Completed</v>
      </c>
      <c r="Y563" s="173" t="str">
        <f t="shared" ca="1" si="631"/>
        <v>Completed</v>
      </c>
      <c r="Z563" s="174" t="str">
        <f t="shared" ca="1" si="632"/>
        <v>Completed</v>
      </c>
    </row>
    <row r="564" spans="1:26" s="70" customFormat="1" ht="11.5" x14ac:dyDescent="0.25">
      <c r="A564" s="121" t="s">
        <v>65</v>
      </c>
      <c r="B564" s="121" t="s">
        <v>14</v>
      </c>
      <c r="C564" s="121" t="s">
        <v>876</v>
      </c>
      <c r="D564" s="121" t="s">
        <v>872</v>
      </c>
      <c r="E564" s="123">
        <f t="shared" si="587"/>
        <v>0.5</v>
      </c>
      <c r="F564" s="123">
        <f t="shared" si="588"/>
        <v>0.5</v>
      </c>
      <c r="G564" s="123">
        <f t="shared" si="588"/>
        <v>1</v>
      </c>
      <c r="H564" s="123">
        <f t="shared" si="589"/>
        <v>0.5</v>
      </c>
      <c r="I564" s="124">
        <v>4.7E-2</v>
      </c>
      <c r="J564" s="125">
        <f t="shared" si="644"/>
        <v>46234</v>
      </c>
      <c r="K564" s="125">
        <f t="shared" si="633"/>
        <v>46234</v>
      </c>
      <c r="L564" s="125">
        <v>46175</v>
      </c>
      <c r="M564" s="125">
        <f t="shared" si="634"/>
        <v>46276</v>
      </c>
      <c r="N564" s="125">
        <f t="shared" si="635"/>
        <v>46276</v>
      </c>
      <c r="O564" s="125">
        <v>46191</v>
      </c>
      <c r="P564" s="125">
        <f t="shared" si="636"/>
        <v>46318</v>
      </c>
      <c r="Q564" s="125">
        <f t="shared" si="637"/>
        <v>46318</v>
      </c>
      <c r="R564" s="125">
        <v>46245</v>
      </c>
      <c r="S564" s="125">
        <f t="shared" si="639"/>
        <v>46332</v>
      </c>
      <c r="T564" s="125">
        <f t="shared" si="638"/>
        <v>46332</v>
      </c>
      <c r="U564" s="125">
        <v>46255</v>
      </c>
      <c r="W564" s="173" t="str">
        <f t="shared" ca="1" si="629"/>
        <v>Completed</v>
      </c>
      <c r="X564" s="173" t="str">
        <f t="shared" ca="1" si="630"/>
        <v>Completed</v>
      </c>
      <c r="Y564" s="173" t="str">
        <f t="shared" ca="1" si="631"/>
        <v>Completed</v>
      </c>
      <c r="Z564" s="174" t="str">
        <f t="shared" ca="1" si="632"/>
        <v>Completed</v>
      </c>
    </row>
    <row r="565" spans="1:26" s="70" customFormat="1" ht="11.5" x14ac:dyDescent="0.25">
      <c r="A565" s="121" t="s">
        <v>65</v>
      </c>
      <c r="B565" s="121" t="s">
        <v>14</v>
      </c>
      <c r="C565" s="121" t="s">
        <v>877</v>
      </c>
      <c r="D565" s="121" t="s">
        <v>873</v>
      </c>
      <c r="E565" s="123">
        <f t="shared" si="587"/>
        <v>0.5</v>
      </c>
      <c r="F565" s="123">
        <f t="shared" si="588"/>
        <v>0.5</v>
      </c>
      <c r="G565" s="123">
        <f t="shared" si="588"/>
        <v>1</v>
      </c>
      <c r="H565" s="123">
        <f t="shared" si="589"/>
        <v>0.5</v>
      </c>
      <c r="I565" s="124">
        <v>4.7E-2</v>
      </c>
      <c r="J565" s="125">
        <f t="shared" si="644"/>
        <v>46234</v>
      </c>
      <c r="K565" s="125">
        <f t="shared" si="633"/>
        <v>46234</v>
      </c>
      <c r="L565" s="125">
        <v>46175</v>
      </c>
      <c r="M565" s="125">
        <f t="shared" si="634"/>
        <v>46276</v>
      </c>
      <c r="N565" s="125">
        <f t="shared" si="635"/>
        <v>46276</v>
      </c>
      <c r="O565" s="125">
        <v>46191</v>
      </c>
      <c r="P565" s="125">
        <f t="shared" si="636"/>
        <v>46318</v>
      </c>
      <c r="Q565" s="125">
        <f t="shared" si="637"/>
        <v>46318</v>
      </c>
      <c r="R565" s="125">
        <v>46245</v>
      </c>
      <c r="S565" s="125">
        <f t="shared" si="639"/>
        <v>46332</v>
      </c>
      <c r="T565" s="125">
        <f t="shared" si="638"/>
        <v>46332</v>
      </c>
      <c r="U565" s="125">
        <v>46255</v>
      </c>
      <c r="W565" s="173" t="str">
        <f t="shared" ca="1" si="629"/>
        <v>Completed</v>
      </c>
      <c r="X565" s="173" t="str">
        <f t="shared" ca="1" si="630"/>
        <v>Completed</v>
      </c>
      <c r="Y565" s="173" t="str">
        <f t="shared" ca="1" si="631"/>
        <v>Completed</v>
      </c>
      <c r="Z565" s="174" t="str">
        <f t="shared" ca="1" si="632"/>
        <v>Completed</v>
      </c>
    </row>
    <row r="566" spans="1:26" s="70" customFormat="1" ht="11.5" x14ac:dyDescent="0.25">
      <c r="A566" s="121" t="s">
        <v>65</v>
      </c>
      <c r="B566" s="121" t="s">
        <v>14</v>
      </c>
      <c r="C566" s="121" t="s">
        <v>670</v>
      </c>
      <c r="D566" s="121" t="s">
        <v>671</v>
      </c>
      <c r="E566" s="123">
        <f t="shared" si="587"/>
        <v>0.5</v>
      </c>
      <c r="F566" s="123">
        <f t="shared" si="588"/>
        <v>0.5</v>
      </c>
      <c r="G566" s="123">
        <f t="shared" si="588"/>
        <v>0</v>
      </c>
      <c r="H566" s="128">
        <f t="shared" si="589"/>
        <v>-0.5</v>
      </c>
      <c r="I566" s="126">
        <v>4.7E-2</v>
      </c>
      <c r="J566" s="125">
        <f t="shared" si="644"/>
        <v>46234</v>
      </c>
      <c r="K566" s="125">
        <f t="shared" si="633"/>
        <v>46234</v>
      </c>
      <c r="L566" s="125"/>
      <c r="M566" s="125">
        <f t="shared" si="634"/>
        <v>46276</v>
      </c>
      <c r="N566" s="125">
        <f t="shared" si="635"/>
        <v>46276</v>
      </c>
      <c r="O566" s="125"/>
      <c r="P566" s="125">
        <f t="shared" si="636"/>
        <v>46318</v>
      </c>
      <c r="Q566" s="125">
        <f t="shared" si="637"/>
        <v>46318</v>
      </c>
      <c r="R566" s="125"/>
      <c r="S566" s="125">
        <f t="shared" si="639"/>
        <v>46332</v>
      </c>
      <c r="T566" s="125">
        <f t="shared" si="638"/>
        <v>46332</v>
      </c>
      <c r="U566" s="125"/>
      <c r="W566" s="173" t="str">
        <f t="shared" ca="1" si="629"/>
        <v>Overdue</v>
      </c>
      <c r="X566" s="173" t="str">
        <f t="shared" ca="1" si="630"/>
        <v>Follow-Next Week</v>
      </c>
      <c r="Y566" s="173" t="str">
        <f t="shared" ca="1" si="631"/>
        <v/>
      </c>
      <c r="Z566" s="174" t="str">
        <f t="shared" ca="1" si="632"/>
        <v/>
      </c>
    </row>
    <row r="567" spans="1:26" s="70" customFormat="1" ht="11.5" x14ac:dyDescent="0.25">
      <c r="A567" s="121" t="s">
        <v>65</v>
      </c>
      <c r="B567" s="121" t="s">
        <v>14</v>
      </c>
      <c r="C567" s="121" t="s">
        <v>672</v>
      </c>
      <c r="D567" s="121" t="s">
        <v>673</v>
      </c>
      <c r="E567" s="123">
        <f t="shared" si="587"/>
        <v>0.5</v>
      </c>
      <c r="F567" s="123">
        <f t="shared" si="588"/>
        <v>0.5</v>
      </c>
      <c r="G567" s="123">
        <f t="shared" si="588"/>
        <v>0</v>
      </c>
      <c r="H567" s="128">
        <f t="shared" si="589"/>
        <v>-0.5</v>
      </c>
      <c r="I567" s="126">
        <v>4.7E-2</v>
      </c>
      <c r="J567" s="125">
        <f t="shared" si="644"/>
        <v>46234</v>
      </c>
      <c r="K567" s="125">
        <f t="shared" si="633"/>
        <v>46234</v>
      </c>
      <c r="L567" s="125"/>
      <c r="M567" s="125">
        <f t="shared" si="634"/>
        <v>46276</v>
      </c>
      <c r="N567" s="125">
        <f t="shared" si="635"/>
        <v>46276</v>
      </c>
      <c r="O567" s="125"/>
      <c r="P567" s="125">
        <f t="shared" si="636"/>
        <v>46318</v>
      </c>
      <c r="Q567" s="125">
        <f t="shared" si="637"/>
        <v>46318</v>
      </c>
      <c r="R567" s="125"/>
      <c r="S567" s="125">
        <f t="shared" si="639"/>
        <v>46332</v>
      </c>
      <c r="T567" s="125">
        <f t="shared" si="638"/>
        <v>46332</v>
      </c>
      <c r="U567" s="125"/>
      <c r="W567" s="173" t="str">
        <f t="shared" ca="1" si="629"/>
        <v>Overdue</v>
      </c>
      <c r="X567" s="173" t="str">
        <f t="shared" ca="1" si="630"/>
        <v>Follow-Next Week</v>
      </c>
      <c r="Y567" s="173" t="str">
        <f t="shared" ca="1" si="631"/>
        <v/>
      </c>
      <c r="Z567" s="174" t="str">
        <f t="shared" ca="1" si="632"/>
        <v/>
      </c>
    </row>
    <row r="568" spans="1:26" s="70" customFormat="1" ht="11.5" x14ac:dyDescent="0.25">
      <c r="A568" s="121" t="s">
        <v>65</v>
      </c>
      <c r="B568" s="121" t="s">
        <v>14</v>
      </c>
      <c r="C568" s="121" t="s">
        <v>674</v>
      </c>
      <c r="D568" s="121" t="s">
        <v>675</v>
      </c>
      <c r="E568" s="123">
        <f t="shared" si="587"/>
        <v>0.5</v>
      </c>
      <c r="F568" s="123">
        <f t="shared" si="588"/>
        <v>0.5</v>
      </c>
      <c r="G568" s="123">
        <f t="shared" si="588"/>
        <v>0.7</v>
      </c>
      <c r="H568" s="128">
        <f t="shared" si="589"/>
        <v>0.19999999999999996</v>
      </c>
      <c r="I568" s="126">
        <v>4.7E-2</v>
      </c>
      <c r="J568" s="125">
        <f t="shared" si="644"/>
        <v>46234</v>
      </c>
      <c r="K568" s="125">
        <f t="shared" si="633"/>
        <v>46234</v>
      </c>
      <c r="L568" s="125">
        <v>46130</v>
      </c>
      <c r="M568" s="125">
        <f>J568+35</f>
        <v>46269</v>
      </c>
      <c r="N568" s="125">
        <f t="shared" si="635"/>
        <v>46269</v>
      </c>
      <c r="O568" s="165">
        <v>46259</v>
      </c>
      <c r="P568" s="125">
        <f>M568+38</f>
        <v>46307</v>
      </c>
      <c r="Q568" s="125">
        <f t="shared" si="637"/>
        <v>46307</v>
      </c>
      <c r="R568" s="125"/>
      <c r="S568" s="125">
        <f t="shared" si="639"/>
        <v>46321</v>
      </c>
      <c r="T568" s="125">
        <f t="shared" si="638"/>
        <v>46321</v>
      </c>
      <c r="U568" s="125"/>
      <c r="W568" s="173" t="str">
        <f t="shared" ca="1" si="629"/>
        <v>Completed</v>
      </c>
      <c r="X568" s="173" t="str">
        <f t="shared" ca="1" si="630"/>
        <v>Completed</v>
      </c>
      <c r="Y568" s="173" t="str">
        <f t="shared" ca="1" si="631"/>
        <v/>
      </c>
      <c r="Z568" s="174" t="str">
        <f t="shared" ca="1" si="632"/>
        <v/>
      </c>
    </row>
    <row r="569" spans="1:26" s="70" customFormat="1" ht="11.5" x14ac:dyDescent="0.25">
      <c r="A569" s="121" t="s">
        <v>65</v>
      </c>
      <c r="B569" s="121" t="s">
        <v>14</v>
      </c>
      <c r="C569" s="121" t="s">
        <v>676</v>
      </c>
      <c r="D569" s="121" t="s">
        <v>677</v>
      </c>
      <c r="E569" s="123">
        <f t="shared" si="587"/>
        <v>0.5</v>
      </c>
      <c r="F569" s="123">
        <f t="shared" si="588"/>
        <v>0.5</v>
      </c>
      <c r="G569" s="123">
        <f t="shared" si="588"/>
        <v>0.7</v>
      </c>
      <c r="H569" s="128">
        <f t="shared" si="589"/>
        <v>0.19999999999999996</v>
      </c>
      <c r="I569" s="126">
        <v>4.7E-2</v>
      </c>
      <c r="J569" s="125">
        <f t="shared" si="644"/>
        <v>46234</v>
      </c>
      <c r="K569" s="125">
        <f t="shared" si="633"/>
        <v>46234</v>
      </c>
      <c r="L569" s="125">
        <v>46130</v>
      </c>
      <c r="M569" s="125">
        <f t="shared" ref="M569:M594" si="645">J569+35</f>
        <v>46269</v>
      </c>
      <c r="N569" s="125">
        <f t="shared" si="635"/>
        <v>46269</v>
      </c>
      <c r="O569" s="165">
        <v>46259</v>
      </c>
      <c r="P569" s="125">
        <f t="shared" ref="P569:P594" si="646">M569+38</f>
        <v>46307</v>
      </c>
      <c r="Q569" s="125">
        <f t="shared" si="637"/>
        <v>46307</v>
      </c>
      <c r="R569" s="125"/>
      <c r="S569" s="125">
        <f t="shared" si="639"/>
        <v>46321</v>
      </c>
      <c r="T569" s="125">
        <f t="shared" si="638"/>
        <v>46321</v>
      </c>
      <c r="U569" s="125"/>
      <c r="W569" s="173" t="str">
        <f t="shared" ca="1" si="629"/>
        <v>Completed</v>
      </c>
      <c r="X569" s="173" t="str">
        <f t="shared" ca="1" si="630"/>
        <v>Completed</v>
      </c>
      <c r="Y569" s="173" t="str">
        <f t="shared" ca="1" si="631"/>
        <v/>
      </c>
      <c r="Z569" s="174" t="str">
        <f t="shared" ca="1" si="632"/>
        <v/>
      </c>
    </row>
    <row r="570" spans="1:26" s="70" customFormat="1" ht="11.5" x14ac:dyDescent="0.25">
      <c r="A570" s="121" t="s">
        <v>65</v>
      </c>
      <c r="B570" s="121" t="s">
        <v>14</v>
      </c>
      <c r="C570" s="121" t="s">
        <v>678</v>
      </c>
      <c r="D570" s="121" t="s">
        <v>679</v>
      </c>
      <c r="E570" s="123">
        <f t="shared" si="587"/>
        <v>0.5</v>
      </c>
      <c r="F570" s="123">
        <f t="shared" si="588"/>
        <v>0.5</v>
      </c>
      <c r="G570" s="123">
        <f t="shared" si="588"/>
        <v>0.7</v>
      </c>
      <c r="H570" s="128">
        <f t="shared" si="589"/>
        <v>0.19999999999999996</v>
      </c>
      <c r="I570" s="126">
        <v>4.7E-2</v>
      </c>
      <c r="J570" s="125">
        <f t="shared" si="644"/>
        <v>46234</v>
      </c>
      <c r="K570" s="125">
        <f t="shared" si="633"/>
        <v>46234</v>
      </c>
      <c r="L570" s="125">
        <v>46130</v>
      </c>
      <c r="M570" s="125">
        <f t="shared" si="645"/>
        <v>46269</v>
      </c>
      <c r="N570" s="125">
        <f t="shared" si="635"/>
        <v>46269</v>
      </c>
      <c r="O570" s="165">
        <v>46259</v>
      </c>
      <c r="P570" s="125">
        <f t="shared" si="646"/>
        <v>46307</v>
      </c>
      <c r="Q570" s="125">
        <f t="shared" si="637"/>
        <v>46307</v>
      </c>
      <c r="R570" s="125"/>
      <c r="S570" s="125">
        <f t="shared" si="639"/>
        <v>46321</v>
      </c>
      <c r="T570" s="125">
        <f t="shared" si="638"/>
        <v>46321</v>
      </c>
      <c r="U570" s="125"/>
      <c r="W570" s="173" t="str">
        <f t="shared" ca="1" si="629"/>
        <v>Completed</v>
      </c>
      <c r="X570" s="173" t="str">
        <f t="shared" ca="1" si="630"/>
        <v>Completed</v>
      </c>
      <c r="Y570" s="173" t="str">
        <f t="shared" ca="1" si="631"/>
        <v/>
      </c>
      <c r="Z570" s="174" t="str">
        <f t="shared" ca="1" si="632"/>
        <v/>
      </c>
    </row>
    <row r="571" spans="1:26" s="70" customFormat="1" ht="11.5" x14ac:dyDescent="0.25">
      <c r="A571" s="121" t="s">
        <v>65</v>
      </c>
      <c r="B571" s="121" t="s">
        <v>14</v>
      </c>
      <c r="C571" s="121" t="s">
        <v>680</v>
      </c>
      <c r="D571" s="121" t="s">
        <v>681</v>
      </c>
      <c r="E571" s="123">
        <f t="shared" si="587"/>
        <v>0.5</v>
      </c>
      <c r="F571" s="123">
        <f t="shared" si="588"/>
        <v>0.5</v>
      </c>
      <c r="G571" s="123">
        <f t="shared" si="588"/>
        <v>0.7</v>
      </c>
      <c r="H571" s="128">
        <f t="shared" si="589"/>
        <v>0.19999999999999996</v>
      </c>
      <c r="I571" s="126">
        <v>4.7E-2</v>
      </c>
      <c r="J571" s="125">
        <f t="shared" si="644"/>
        <v>46234</v>
      </c>
      <c r="K571" s="125">
        <f t="shared" si="633"/>
        <v>46234</v>
      </c>
      <c r="L571" s="125">
        <v>46130</v>
      </c>
      <c r="M571" s="125">
        <f t="shared" si="645"/>
        <v>46269</v>
      </c>
      <c r="N571" s="125">
        <f t="shared" si="635"/>
        <v>46269</v>
      </c>
      <c r="O571" s="165">
        <v>46259</v>
      </c>
      <c r="P571" s="125">
        <f t="shared" si="646"/>
        <v>46307</v>
      </c>
      <c r="Q571" s="125">
        <f t="shared" si="637"/>
        <v>46307</v>
      </c>
      <c r="R571" s="125"/>
      <c r="S571" s="125">
        <f t="shared" si="639"/>
        <v>46321</v>
      </c>
      <c r="T571" s="125">
        <f t="shared" si="638"/>
        <v>46321</v>
      </c>
      <c r="U571" s="125"/>
      <c r="W571" s="173" t="str">
        <f t="shared" ca="1" si="629"/>
        <v>Completed</v>
      </c>
      <c r="X571" s="173" t="str">
        <f t="shared" ca="1" si="630"/>
        <v>Completed</v>
      </c>
      <c r="Y571" s="173" t="str">
        <f t="shared" ca="1" si="631"/>
        <v/>
      </c>
      <c r="Z571" s="174" t="str">
        <f t="shared" ca="1" si="632"/>
        <v/>
      </c>
    </row>
    <row r="572" spans="1:26" s="70" customFormat="1" ht="11.5" x14ac:dyDescent="0.25">
      <c r="A572" s="121" t="s">
        <v>65</v>
      </c>
      <c r="B572" s="121" t="s">
        <v>14</v>
      </c>
      <c r="C572" s="121" t="s">
        <v>682</v>
      </c>
      <c r="D572" s="121" t="s">
        <v>683</v>
      </c>
      <c r="E572" s="123">
        <f t="shared" si="587"/>
        <v>0.5</v>
      </c>
      <c r="F572" s="123">
        <f t="shared" si="588"/>
        <v>0.5</v>
      </c>
      <c r="G572" s="123">
        <f t="shared" si="588"/>
        <v>0.7</v>
      </c>
      <c r="H572" s="128">
        <f t="shared" si="589"/>
        <v>0.19999999999999996</v>
      </c>
      <c r="I572" s="126">
        <v>4.7E-2</v>
      </c>
      <c r="J572" s="125">
        <f t="shared" si="644"/>
        <v>46234</v>
      </c>
      <c r="K572" s="125">
        <f t="shared" si="633"/>
        <v>46234</v>
      </c>
      <c r="L572" s="125">
        <v>46130</v>
      </c>
      <c r="M572" s="125">
        <f t="shared" si="645"/>
        <v>46269</v>
      </c>
      <c r="N572" s="125">
        <f t="shared" si="635"/>
        <v>46269</v>
      </c>
      <c r="O572" s="165">
        <v>46259</v>
      </c>
      <c r="P572" s="125">
        <f t="shared" si="646"/>
        <v>46307</v>
      </c>
      <c r="Q572" s="125">
        <f t="shared" si="637"/>
        <v>46307</v>
      </c>
      <c r="R572" s="125"/>
      <c r="S572" s="125">
        <f t="shared" si="639"/>
        <v>46321</v>
      </c>
      <c r="T572" s="125">
        <f t="shared" si="638"/>
        <v>46321</v>
      </c>
      <c r="U572" s="125"/>
      <c r="W572" s="173" t="str">
        <f t="shared" ca="1" si="629"/>
        <v>Completed</v>
      </c>
      <c r="X572" s="173" t="str">
        <f t="shared" ca="1" si="630"/>
        <v>Completed</v>
      </c>
      <c r="Y572" s="173" t="str">
        <f t="shared" ca="1" si="631"/>
        <v/>
      </c>
      <c r="Z572" s="174" t="str">
        <f t="shared" ca="1" si="632"/>
        <v/>
      </c>
    </row>
    <row r="573" spans="1:26" s="70" customFormat="1" ht="11.5" x14ac:dyDescent="0.25">
      <c r="A573" s="121" t="s">
        <v>65</v>
      </c>
      <c r="B573" s="121" t="s">
        <v>14</v>
      </c>
      <c r="C573" s="121" t="s">
        <v>684</v>
      </c>
      <c r="D573" s="121" t="s">
        <v>685</v>
      </c>
      <c r="E573" s="123">
        <f t="shared" si="587"/>
        <v>0.5</v>
      </c>
      <c r="F573" s="123">
        <f t="shared" si="588"/>
        <v>0.5</v>
      </c>
      <c r="G573" s="123">
        <f t="shared" si="588"/>
        <v>0.7</v>
      </c>
      <c r="H573" s="128">
        <f t="shared" si="589"/>
        <v>0.19999999999999996</v>
      </c>
      <c r="I573" s="126">
        <v>4.7E-2</v>
      </c>
      <c r="J573" s="125">
        <f t="shared" si="644"/>
        <v>46234</v>
      </c>
      <c r="K573" s="125">
        <f t="shared" si="633"/>
        <v>46234</v>
      </c>
      <c r="L573" s="125">
        <v>46130</v>
      </c>
      <c r="M573" s="125">
        <f t="shared" si="645"/>
        <v>46269</v>
      </c>
      <c r="N573" s="125">
        <f t="shared" si="635"/>
        <v>46269</v>
      </c>
      <c r="O573" s="165">
        <v>46259</v>
      </c>
      <c r="P573" s="125">
        <f t="shared" si="646"/>
        <v>46307</v>
      </c>
      <c r="Q573" s="125">
        <f t="shared" si="637"/>
        <v>46307</v>
      </c>
      <c r="R573" s="125"/>
      <c r="S573" s="125">
        <f t="shared" si="639"/>
        <v>46321</v>
      </c>
      <c r="T573" s="125">
        <f t="shared" si="638"/>
        <v>46321</v>
      </c>
      <c r="U573" s="125"/>
      <c r="W573" s="173" t="str">
        <f t="shared" ca="1" si="629"/>
        <v>Completed</v>
      </c>
      <c r="X573" s="173" t="str">
        <f t="shared" ca="1" si="630"/>
        <v>Completed</v>
      </c>
      <c r="Y573" s="173" t="str">
        <f t="shared" ca="1" si="631"/>
        <v/>
      </c>
      <c r="Z573" s="174" t="str">
        <f t="shared" ca="1" si="632"/>
        <v/>
      </c>
    </row>
    <row r="574" spans="1:26" s="70" customFormat="1" ht="11.5" x14ac:dyDescent="0.25">
      <c r="A574" s="121" t="s">
        <v>65</v>
      </c>
      <c r="B574" s="121" t="s">
        <v>14</v>
      </c>
      <c r="C574" s="121" t="s">
        <v>686</v>
      </c>
      <c r="D574" s="121" t="s">
        <v>687</v>
      </c>
      <c r="E574" s="123">
        <f t="shared" si="587"/>
        <v>0.5</v>
      </c>
      <c r="F574" s="123">
        <f t="shared" si="588"/>
        <v>0.5</v>
      </c>
      <c r="G574" s="123">
        <f t="shared" si="588"/>
        <v>0.7</v>
      </c>
      <c r="H574" s="128">
        <f t="shared" si="589"/>
        <v>0.19999999999999996</v>
      </c>
      <c r="I574" s="126">
        <v>4.7E-2</v>
      </c>
      <c r="J574" s="125">
        <f t="shared" si="644"/>
        <v>46234</v>
      </c>
      <c r="K574" s="125">
        <f t="shared" si="633"/>
        <v>46234</v>
      </c>
      <c r="L574" s="125">
        <v>46130</v>
      </c>
      <c r="M574" s="125">
        <f t="shared" si="645"/>
        <v>46269</v>
      </c>
      <c r="N574" s="125">
        <f t="shared" si="635"/>
        <v>46269</v>
      </c>
      <c r="O574" s="165">
        <v>46259</v>
      </c>
      <c r="P574" s="125">
        <f t="shared" si="646"/>
        <v>46307</v>
      </c>
      <c r="Q574" s="125">
        <f t="shared" si="637"/>
        <v>46307</v>
      </c>
      <c r="R574" s="125"/>
      <c r="S574" s="125">
        <f t="shared" si="639"/>
        <v>46321</v>
      </c>
      <c r="T574" s="125">
        <f t="shared" si="638"/>
        <v>46321</v>
      </c>
      <c r="U574" s="125"/>
      <c r="W574" s="173" t="str">
        <f t="shared" ca="1" si="629"/>
        <v>Completed</v>
      </c>
      <c r="X574" s="173" t="str">
        <f t="shared" ca="1" si="630"/>
        <v>Completed</v>
      </c>
      <c r="Y574" s="173" t="str">
        <f t="shared" ca="1" si="631"/>
        <v/>
      </c>
      <c r="Z574" s="174" t="str">
        <f t="shared" ca="1" si="632"/>
        <v/>
      </c>
    </row>
    <row r="575" spans="1:26" s="70" customFormat="1" ht="11.5" x14ac:dyDescent="0.25">
      <c r="A575" s="121" t="s">
        <v>65</v>
      </c>
      <c r="B575" s="121" t="s">
        <v>14</v>
      </c>
      <c r="C575" s="121" t="s">
        <v>688</v>
      </c>
      <c r="D575" s="121" t="s">
        <v>689</v>
      </c>
      <c r="E575" s="123">
        <f t="shared" si="587"/>
        <v>0.5</v>
      </c>
      <c r="F575" s="123">
        <f t="shared" si="588"/>
        <v>0.5</v>
      </c>
      <c r="G575" s="123">
        <f t="shared" si="588"/>
        <v>0.7</v>
      </c>
      <c r="H575" s="128">
        <f t="shared" si="589"/>
        <v>0.19999999999999996</v>
      </c>
      <c r="I575" s="126">
        <v>4.7E-2</v>
      </c>
      <c r="J575" s="125">
        <f t="shared" si="644"/>
        <v>46234</v>
      </c>
      <c r="K575" s="125">
        <f t="shared" si="633"/>
        <v>46234</v>
      </c>
      <c r="L575" s="125">
        <v>46130</v>
      </c>
      <c r="M575" s="125">
        <f t="shared" si="645"/>
        <v>46269</v>
      </c>
      <c r="N575" s="125">
        <f t="shared" si="635"/>
        <v>46269</v>
      </c>
      <c r="O575" s="165">
        <v>46259</v>
      </c>
      <c r="P575" s="125">
        <f t="shared" si="646"/>
        <v>46307</v>
      </c>
      <c r="Q575" s="125">
        <f t="shared" si="637"/>
        <v>46307</v>
      </c>
      <c r="R575" s="125"/>
      <c r="S575" s="125">
        <f t="shared" si="639"/>
        <v>46321</v>
      </c>
      <c r="T575" s="125">
        <f t="shared" si="638"/>
        <v>46321</v>
      </c>
      <c r="U575" s="125"/>
      <c r="W575" s="173" t="str">
        <f t="shared" ca="1" si="629"/>
        <v>Completed</v>
      </c>
      <c r="X575" s="173" t="str">
        <f t="shared" ca="1" si="630"/>
        <v>Completed</v>
      </c>
      <c r="Y575" s="173" t="str">
        <f t="shared" ca="1" si="631"/>
        <v/>
      </c>
      <c r="Z575" s="174" t="str">
        <f t="shared" ca="1" si="632"/>
        <v/>
      </c>
    </row>
    <row r="576" spans="1:26" s="70" customFormat="1" ht="11.5" x14ac:dyDescent="0.25">
      <c r="A576" s="121" t="s">
        <v>65</v>
      </c>
      <c r="B576" s="121" t="s">
        <v>14</v>
      </c>
      <c r="C576" s="121" t="s">
        <v>690</v>
      </c>
      <c r="D576" s="121" t="s">
        <v>691</v>
      </c>
      <c r="E576" s="123">
        <f t="shared" si="587"/>
        <v>0.5</v>
      </c>
      <c r="F576" s="123">
        <f t="shared" si="588"/>
        <v>0.5</v>
      </c>
      <c r="G576" s="123">
        <f t="shared" si="588"/>
        <v>0.7</v>
      </c>
      <c r="H576" s="128">
        <f t="shared" si="589"/>
        <v>0.19999999999999996</v>
      </c>
      <c r="I576" s="126">
        <v>4.7E-2</v>
      </c>
      <c r="J576" s="125">
        <f t="shared" si="644"/>
        <v>46234</v>
      </c>
      <c r="K576" s="125">
        <f t="shared" si="633"/>
        <v>46234</v>
      </c>
      <c r="L576" s="125">
        <v>46130</v>
      </c>
      <c r="M576" s="125">
        <f t="shared" si="645"/>
        <v>46269</v>
      </c>
      <c r="N576" s="125">
        <f t="shared" si="635"/>
        <v>46269</v>
      </c>
      <c r="O576" s="165">
        <v>46259</v>
      </c>
      <c r="P576" s="125">
        <f t="shared" si="646"/>
        <v>46307</v>
      </c>
      <c r="Q576" s="125">
        <f t="shared" si="637"/>
        <v>46307</v>
      </c>
      <c r="R576" s="125"/>
      <c r="S576" s="125">
        <f t="shared" si="639"/>
        <v>46321</v>
      </c>
      <c r="T576" s="125">
        <f t="shared" si="638"/>
        <v>46321</v>
      </c>
      <c r="U576" s="125"/>
      <c r="W576" s="173" t="str">
        <f t="shared" ca="1" si="629"/>
        <v>Completed</v>
      </c>
      <c r="X576" s="173" t="str">
        <f t="shared" ca="1" si="630"/>
        <v>Completed</v>
      </c>
      <c r="Y576" s="173" t="str">
        <f t="shared" ca="1" si="631"/>
        <v/>
      </c>
      <c r="Z576" s="174" t="str">
        <f t="shared" ca="1" si="632"/>
        <v/>
      </c>
    </row>
    <row r="577" spans="1:26" s="70" customFormat="1" ht="11.5" x14ac:dyDescent="0.25">
      <c r="A577" s="121" t="s">
        <v>65</v>
      </c>
      <c r="B577" s="121" t="s">
        <v>14</v>
      </c>
      <c r="C577" s="121" t="s">
        <v>692</v>
      </c>
      <c r="D577" s="121" t="s">
        <v>693</v>
      </c>
      <c r="E577" s="123">
        <f t="shared" si="587"/>
        <v>0.5</v>
      </c>
      <c r="F577" s="123">
        <f t="shared" si="588"/>
        <v>0.5</v>
      </c>
      <c r="G577" s="123">
        <f t="shared" si="588"/>
        <v>0.7</v>
      </c>
      <c r="H577" s="128">
        <f t="shared" si="589"/>
        <v>0.19999999999999996</v>
      </c>
      <c r="I577" s="126">
        <v>4.7E-2</v>
      </c>
      <c r="J577" s="125">
        <f t="shared" si="644"/>
        <v>46234</v>
      </c>
      <c r="K577" s="125">
        <f t="shared" si="633"/>
        <v>46234</v>
      </c>
      <c r="L577" s="125">
        <v>46130</v>
      </c>
      <c r="M577" s="125">
        <f t="shared" si="645"/>
        <v>46269</v>
      </c>
      <c r="N577" s="125">
        <f t="shared" si="635"/>
        <v>46269</v>
      </c>
      <c r="O577" s="165">
        <v>46259</v>
      </c>
      <c r="P577" s="125">
        <f t="shared" si="646"/>
        <v>46307</v>
      </c>
      <c r="Q577" s="125">
        <f t="shared" si="637"/>
        <v>46307</v>
      </c>
      <c r="R577" s="125"/>
      <c r="S577" s="125">
        <f t="shared" si="639"/>
        <v>46321</v>
      </c>
      <c r="T577" s="125">
        <f t="shared" si="638"/>
        <v>46321</v>
      </c>
      <c r="U577" s="125"/>
      <c r="W577" s="173" t="str">
        <f t="shared" ca="1" si="629"/>
        <v>Completed</v>
      </c>
      <c r="X577" s="173" t="str">
        <f t="shared" ca="1" si="630"/>
        <v>Completed</v>
      </c>
      <c r="Y577" s="173" t="str">
        <f t="shared" ca="1" si="631"/>
        <v/>
      </c>
      <c r="Z577" s="174" t="str">
        <f t="shared" ca="1" si="632"/>
        <v/>
      </c>
    </row>
    <row r="578" spans="1:26" s="70" customFormat="1" ht="11.5" x14ac:dyDescent="0.25">
      <c r="A578" s="121" t="s">
        <v>65</v>
      </c>
      <c r="B578" s="121" t="s">
        <v>14</v>
      </c>
      <c r="C578" s="121" t="s">
        <v>694</v>
      </c>
      <c r="D578" s="121" t="s">
        <v>695</v>
      </c>
      <c r="E578" s="123">
        <f t="shared" si="587"/>
        <v>0.5</v>
      </c>
      <c r="F578" s="123">
        <f t="shared" si="588"/>
        <v>0.5</v>
      </c>
      <c r="G578" s="123">
        <f t="shared" si="588"/>
        <v>0.7</v>
      </c>
      <c r="H578" s="128">
        <f t="shared" si="589"/>
        <v>0.19999999999999996</v>
      </c>
      <c r="I578" s="126">
        <v>4.7E-2</v>
      </c>
      <c r="J578" s="125">
        <f t="shared" si="644"/>
        <v>46234</v>
      </c>
      <c r="K578" s="125">
        <f t="shared" si="633"/>
        <v>46234</v>
      </c>
      <c r="L578" s="125">
        <v>46130</v>
      </c>
      <c r="M578" s="125">
        <f t="shared" si="645"/>
        <v>46269</v>
      </c>
      <c r="N578" s="125">
        <f t="shared" si="635"/>
        <v>46269</v>
      </c>
      <c r="O578" s="165">
        <v>46259</v>
      </c>
      <c r="P578" s="125">
        <f t="shared" si="646"/>
        <v>46307</v>
      </c>
      <c r="Q578" s="125">
        <f t="shared" si="637"/>
        <v>46307</v>
      </c>
      <c r="R578" s="125"/>
      <c r="S578" s="125">
        <f t="shared" si="639"/>
        <v>46321</v>
      </c>
      <c r="T578" s="125">
        <f t="shared" si="638"/>
        <v>46321</v>
      </c>
      <c r="U578" s="125"/>
      <c r="W578" s="173" t="str">
        <f t="shared" ca="1" si="629"/>
        <v>Completed</v>
      </c>
      <c r="X578" s="173" t="str">
        <f t="shared" ca="1" si="630"/>
        <v>Completed</v>
      </c>
      <c r="Y578" s="173" t="str">
        <f t="shared" ca="1" si="631"/>
        <v/>
      </c>
      <c r="Z578" s="174" t="str">
        <f t="shared" ca="1" si="632"/>
        <v/>
      </c>
    </row>
    <row r="579" spans="1:26" s="70" customFormat="1" ht="11.5" x14ac:dyDescent="0.25">
      <c r="A579" s="121" t="s">
        <v>65</v>
      </c>
      <c r="B579" s="121" t="s">
        <v>14</v>
      </c>
      <c r="C579" s="121" t="s">
        <v>696</v>
      </c>
      <c r="D579" s="121" t="s">
        <v>697</v>
      </c>
      <c r="E579" s="123">
        <f t="shared" si="587"/>
        <v>0.5</v>
      </c>
      <c r="F579" s="123">
        <f t="shared" si="588"/>
        <v>0.5</v>
      </c>
      <c r="G579" s="123">
        <f t="shared" si="588"/>
        <v>0.7</v>
      </c>
      <c r="H579" s="128">
        <f t="shared" si="589"/>
        <v>0.19999999999999996</v>
      </c>
      <c r="I579" s="126">
        <v>4.7E-2</v>
      </c>
      <c r="J579" s="125">
        <f t="shared" si="644"/>
        <v>46234</v>
      </c>
      <c r="K579" s="125">
        <f t="shared" si="633"/>
        <v>46234</v>
      </c>
      <c r="L579" s="125">
        <v>46130</v>
      </c>
      <c r="M579" s="125">
        <f t="shared" si="645"/>
        <v>46269</v>
      </c>
      <c r="N579" s="125">
        <f t="shared" si="635"/>
        <v>46269</v>
      </c>
      <c r="O579" s="165">
        <v>46259</v>
      </c>
      <c r="P579" s="125">
        <f t="shared" si="646"/>
        <v>46307</v>
      </c>
      <c r="Q579" s="125">
        <f t="shared" si="637"/>
        <v>46307</v>
      </c>
      <c r="R579" s="125"/>
      <c r="S579" s="125">
        <f t="shared" si="639"/>
        <v>46321</v>
      </c>
      <c r="T579" s="125">
        <f t="shared" si="638"/>
        <v>46321</v>
      </c>
      <c r="U579" s="125"/>
      <c r="W579" s="173" t="str">
        <f t="shared" ca="1" si="629"/>
        <v>Completed</v>
      </c>
      <c r="X579" s="173" t="str">
        <f t="shared" ca="1" si="630"/>
        <v>Completed</v>
      </c>
      <c r="Y579" s="173" t="str">
        <f t="shared" ca="1" si="631"/>
        <v/>
      </c>
      <c r="Z579" s="174" t="str">
        <f t="shared" ca="1" si="632"/>
        <v/>
      </c>
    </row>
    <row r="580" spans="1:26" s="70" customFormat="1" ht="11.5" x14ac:dyDescent="0.25">
      <c r="A580" s="121" t="s">
        <v>65</v>
      </c>
      <c r="B580" s="121" t="s">
        <v>14</v>
      </c>
      <c r="C580" s="121" t="s">
        <v>698</v>
      </c>
      <c r="D580" s="121" t="s">
        <v>699</v>
      </c>
      <c r="E580" s="123">
        <f t="shared" si="587"/>
        <v>0.5</v>
      </c>
      <c r="F580" s="123">
        <f t="shared" si="588"/>
        <v>0.5</v>
      </c>
      <c r="G580" s="123">
        <f t="shared" si="588"/>
        <v>0.7</v>
      </c>
      <c r="H580" s="128">
        <f t="shared" si="589"/>
        <v>0.19999999999999996</v>
      </c>
      <c r="I580" s="126">
        <v>4.7E-2</v>
      </c>
      <c r="J580" s="125">
        <f t="shared" si="644"/>
        <v>46234</v>
      </c>
      <c r="K580" s="125">
        <f t="shared" si="633"/>
        <v>46234</v>
      </c>
      <c r="L580" s="125">
        <v>46130</v>
      </c>
      <c r="M580" s="125">
        <f t="shared" si="645"/>
        <v>46269</v>
      </c>
      <c r="N580" s="125">
        <f t="shared" si="635"/>
        <v>46269</v>
      </c>
      <c r="O580" s="165">
        <v>46259</v>
      </c>
      <c r="P580" s="125">
        <f t="shared" si="646"/>
        <v>46307</v>
      </c>
      <c r="Q580" s="125">
        <f t="shared" si="637"/>
        <v>46307</v>
      </c>
      <c r="R580" s="125"/>
      <c r="S580" s="125">
        <f t="shared" si="639"/>
        <v>46321</v>
      </c>
      <c r="T580" s="125">
        <f t="shared" si="638"/>
        <v>46321</v>
      </c>
      <c r="U580" s="125"/>
      <c r="W580" s="173" t="str">
        <f t="shared" ca="1" si="629"/>
        <v>Completed</v>
      </c>
      <c r="X580" s="173" t="str">
        <f t="shared" ca="1" si="630"/>
        <v>Completed</v>
      </c>
      <c r="Y580" s="173" t="str">
        <f t="shared" ca="1" si="631"/>
        <v/>
      </c>
      <c r="Z580" s="174" t="str">
        <f t="shared" ca="1" si="632"/>
        <v/>
      </c>
    </row>
    <row r="581" spans="1:26" s="70" customFormat="1" ht="11.5" x14ac:dyDescent="0.25">
      <c r="A581" s="121" t="s">
        <v>65</v>
      </c>
      <c r="B581" s="121" t="s">
        <v>14</v>
      </c>
      <c r="C581" s="121" t="s">
        <v>700</v>
      </c>
      <c r="D581" s="121" t="s">
        <v>701</v>
      </c>
      <c r="E581" s="123">
        <f t="shared" si="587"/>
        <v>0.5</v>
      </c>
      <c r="F581" s="123">
        <f t="shared" si="588"/>
        <v>0.5</v>
      </c>
      <c r="G581" s="123">
        <f t="shared" si="588"/>
        <v>0.7</v>
      </c>
      <c r="H581" s="128">
        <f t="shared" si="589"/>
        <v>0.19999999999999996</v>
      </c>
      <c r="I581" s="126">
        <v>4.7E-2</v>
      </c>
      <c r="J581" s="125">
        <f t="shared" si="644"/>
        <v>46234</v>
      </c>
      <c r="K581" s="125">
        <f t="shared" si="633"/>
        <v>46234</v>
      </c>
      <c r="L581" s="125">
        <v>46130</v>
      </c>
      <c r="M581" s="125">
        <f t="shared" si="645"/>
        <v>46269</v>
      </c>
      <c r="N581" s="125">
        <f t="shared" si="635"/>
        <v>46269</v>
      </c>
      <c r="O581" s="165">
        <v>46259</v>
      </c>
      <c r="P581" s="125">
        <f t="shared" si="646"/>
        <v>46307</v>
      </c>
      <c r="Q581" s="125">
        <f t="shared" si="637"/>
        <v>46307</v>
      </c>
      <c r="R581" s="125"/>
      <c r="S581" s="125">
        <f t="shared" si="639"/>
        <v>46321</v>
      </c>
      <c r="T581" s="125">
        <f t="shared" si="638"/>
        <v>46321</v>
      </c>
      <c r="U581" s="125"/>
      <c r="W581" s="173" t="str">
        <f t="shared" ca="1" si="629"/>
        <v>Completed</v>
      </c>
      <c r="X581" s="173" t="str">
        <f t="shared" ca="1" si="630"/>
        <v>Completed</v>
      </c>
      <c r="Y581" s="173" t="str">
        <f t="shared" ca="1" si="631"/>
        <v/>
      </c>
      <c r="Z581" s="174" t="str">
        <f t="shared" ca="1" si="632"/>
        <v/>
      </c>
    </row>
    <row r="582" spans="1:26" s="70" customFormat="1" ht="11.5" x14ac:dyDescent="0.25">
      <c r="A582" s="121" t="s">
        <v>65</v>
      </c>
      <c r="B582" s="121" t="s">
        <v>14</v>
      </c>
      <c r="C582" s="121" t="s">
        <v>702</v>
      </c>
      <c r="D582" s="121" t="s">
        <v>703</v>
      </c>
      <c r="E582" s="123">
        <f t="shared" si="587"/>
        <v>0.5</v>
      </c>
      <c r="F582" s="123">
        <f t="shared" si="588"/>
        <v>0.5</v>
      </c>
      <c r="G582" s="123">
        <f t="shared" si="588"/>
        <v>0.7</v>
      </c>
      <c r="H582" s="128">
        <f t="shared" si="589"/>
        <v>0.19999999999999996</v>
      </c>
      <c r="I582" s="126">
        <v>4.7E-2</v>
      </c>
      <c r="J582" s="125">
        <f t="shared" si="644"/>
        <v>46234</v>
      </c>
      <c r="K582" s="125">
        <f t="shared" si="633"/>
        <v>46234</v>
      </c>
      <c r="L582" s="125">
        <v>46130</v>
      </c>
      <c r="M582" s="125">
        <f t="shared" si="645"/>
        <v>46269</v>
      </c>
      <c r="N582" s="125">
        <f t="shared" si="635"/>
        <v>46269</v>
      </c>
      <c r="O582" s="165">
        <v>46259</v>
      </c>
      <c r="P582" s="125">
        <f t="shared" si="646"/>
        <v>46307</v>
      </c>
      <c r="Q582" s="125">
        <f t="shared" si="637"/>
        <v>46307</v>
      </c>
      <c r="R582" s="125"/>
      <c r="S582" s="125">
        <f t="shared" si="639"/>
        <v>46321</v>
      </c>
      <c r="T582" s="125">
        <f t="shared" si="638"/>
        <v>46321</v>
      </c>
      <c r="U582" s="125"/>
      <c r="W582" s="173" t="str">
        <f t="shared" ca="1" si="629"/>
        <v>Completed</v>
      </c>
      <c r="X582" s="173" t="str">
        <f t="shared" ca="1" si="630"/>
        <v>Completed</v>
      </c>
      <c r="Y582" s="173" t="str">
        <f t="shared" ca="1" si="631"/>
        <v/>
      </c>
      <c r="Z582" s="174" t="str">
        <f t="shared" ca="1" si="632"/>
        <v/>
      </c>
    </row>
    <row r="583" spans="1:26" s="70" customFormat="1" ht="11.5" x14ac:dyDescent="0.25">
      <c r="A583" s="121" t="s">
        <v>65</v>
      </c>
      <c r="B583" s="121" t="s">
        <v>14</v>
      </c>
      <c r="C583" s="121" t="s">
        <v>704</v>
      </c>
      <c r="D583" s="121" t="s">
        <v>705</v>
      </c>
      <c r="E583" s="123">
        <f t="shared" ref="E583:E656" si="647">(COUNTIFS(J583,"&lt;="&amp;$C$1)*50%)+(COUNTIFS(M583,"&lt;="&amp;$C$1)*20%)+(COUNTIFS(P583,"&lt;="&amp;$C$1)*10%)+(COUNTIFS(S583,"&lt;="&amp;$C$1)*20%)</f>
        <v>0.5</v>
      </c>
      <c r="F583" s="123">
        <f t="shared" ref="F583:G656" si="648">(COUNTIFS(K583,"&lt;="&amp;$C$1)*50%)+(COUNTIFS(N583,"&lt;="&amp;$C$1)*20%)+(COUNTIFS(Q583,"&lt;="&amp;$C$1)*10%)+(COUNTIFS(T583,"&lt;="&amp;$C$1)*20%)</f>
        <v>0.5</v>
      </c>
      <c r="G583" s="123">
        <f t="shared" si="648"/>
        <v>0.7</v>
      </c>
      <c r="H583" s="128">
        <f t="shared" ref="H583:H656" si="649">G583-E583</f>
        <v>0.19999999999999996</v>
      </c>
      <c r="I583" s="126">
        <v>4.7E-2</v>
      </c>
      <c r="J583" s="125">
        <f t="shared" si="644"/>
        <v>46234</v>
      </c>
      <c r="K583" s="125">
        <f t="shared" si="633"/>
        <v>46234</v>
      </c>
      <c r="L583" s="125">
        <v>46130</v>
      </c>
      <c r="M583" s="125">
        <f t="shared" si="645"/>
        <v>46269</v>
      </c>
      <c r="N583" s="125">
        <f t="shared" si="635"/>
        <v>46269</v>
      </c>
      <c r="O583" s="165">
        <v>46259</v>
      </c>
      <c r="P583" s="125">
        <f t="shared" si="646"/>
        <v>46307</v>
      </c>
      <c r="Q583" s="125">
        <f t="shared" si="637"/>
        <v>46307</v>
      </c>
      <c r="R583" s="125"/>
      <c r="S583" s="125">
        <f t="shared" si="639"/>
        <v>46321</v>
      </c>
      <c r="T583" s="125">
        <f t="shared" si="638"/>
        <v>46321</v>
      </c>
      <c r="U583" s="125"/>
      <c r="W583" s="173" t="str">
        <f t="shared" ca="1" si="629"/>
        <v>Completed</v>
      </c>
      <c r="X583" s="173" t="str">
        <f t="shared" ca="1" si="630"/>
        <v>Completed</v>
      </c>
      <c r="Y583" s="173" t="str">
        <f t="shared" ca="1" si="631"/>
        <v/>
      </c>
      <c r="Z583" s="174" t="str">
        <f t="shared" ca="1" si="632"/>
        <v/>
      </c>
    </row>
    <row r="584" spans="1:26" s="70" customFormat="1" ht="11.5" x14ac:dyDescent="0.25">
      <c r="A584" s="121" t="s">
        <v>65</v>
      </c>
      <c r="B584" s="121" t="s">
        <v>14</v>
      </c>
      <c r="C584" s="121" t="s">
        <v>706</v>
      </c>
      <c r="D584" s="121" t="s">
        <v>707</v>
      </c>
      <c r="E584" s="123">
        <f t="shared" si="647"/>
        <v>0.5</v>
      </c>
      <c r="F584" s="123">
        <f t="shared" si="648"/>
        <v>0.5</v>
      </c>
      <c r="G584" s="123">
        <f t="shared" si="648"/>
        <v>0.7</v>
      </c>
      <c r="H584" s="128">
        <f t="shared" si="649"/>
        <v>0.19999999999999996</v>
      </c>
      <c r="I584" s="126">
        <v>4.7E-2</v>
      </c>
      <c r="J584" s="125">
        <f t="shared" si="644"/>
        <v>46234</v>
      </c>
      <c r="K584" s="125">
        <f t="shared" si="633"/>
        <v>46234</v>
      </c>
      <c r="L584" s="125">
        <v>46130</v>
      </c>
      <c r="M584" s="125">
        <f t="shared" si="645"/>
        <v>46269</v>
      </c>
      <c r="N584" s="125">
        <f t="shared" si="635"/>
        <v>46269</v>
      </c>
      <c r="O584" s="165">
        <v>46259</v>
      </c>
      <c r="P584" s="125">
        <f t="shared" si="646"/>
        <v>46307</v>
      </c>
      <c r="Q584" s="125">
        <f t="shared" si="637"/>
        <v>46307</v>
      </c>
      <c r="R584" s="125"/>
      <c r="S584" s="125">
        <f t="shared" si="639"/>
        <v>46321</v>
      </c>
      <c r="T584" s="125">
        <f t="shared" si="638"/>
        <v>46321</v>
      </c>
      <c r="U584" s="125"/>
      <c r="W584" s="173" t="str">
        <f t="shared" ca="1" si="629"/>
        <v>Completed</v>
      </c>
      <c r="X584" s="173" t="str">
        <f t="shared" ca="1" si="630"/>
        <v>Completed</v>
      </c>
      <c r="Y584" s="173" t="str">
        <f t="shared" ca="1" si="631"/>
        <v/>
      </c>
      <c r="Z584" s="174" t="str">
        <f t="shared" ca="1" si="632"/>
        <v/>
      </c>
    </row>
    <row r="585" spans="1:26" s="70" customFormat="1" ht="11.5" x14ac:dyDescent="0.25">
      <c r="A585" s="121" t="s">
        <v>65</v>
      </c>
      <c r="B585" s="121" t="s">
        <v>14</v>
      </c>
      <c r="C585" s="121" t="s">
        <v>708</v>
      </c>
      <c r="D585" s="121" t="s">
        <v>709</v>
      </c>
      <c r="E585" s="123">
        <f t="shared" si="647"/>
        <v>0.5</v>
      </c>
      <c r="F585" s="123">
        <f t="shared" si="648"/>
        <v>0.5</v>
      </c>
      <c r="G585" s="123">
        <f t="shared" si="648"/>
        <v>0.7</v>
      </c>
      <c r="H585" s="128">
        <f t="shared" si="649"/>
        <v>0.19999999999999996</v>
      </c>
      <c r="I585" s="126">
        <v>4.7E-2</v>
      </c>
      <c r="J585" s="125">
        <f t="shared" si="644"/>
        <v>46234</v>
      </c>
      <c r="K585" s="125">
        <f t="shared" si="633"/>
        <v>46234</v>
      </c>
      <c r="L585" s="125">
        <v>46130</v>
      </c>
      <c r="M585" s="125">
        <f t="shared" si="645"/>
        <v>46269</v>
      </c>
      <c r="N585" s="125">
        <f t="shared" si="635"/>
        <v>46269</v>
      </c>
      <c r="O585" s="165">
        <v>46259</v>
      </c>
      <c r="P585" s="125">
        <f t="shared" si="646"/>
        <v>46307</v>
      </c>
      <c r="Q585" s="125">
        <f t="shared" si="637"/>
        <v>46307</v>
      </c>
      <c r="R585" s="125"/>
      <c r="S585" s="125">
        <f t="shared" si="639"/>
        <v>46321</v>
      </c>
      <c r="T585" s="125">
        <f t="shared" si="638"/>
        <v>46321</v>
      </c>
      <c r="U585" s="125"/>
      <c r="W585" s="173" t="str">
        <f t="shared" ca="1" si="629"/>
        <v>Completed</v>
      </c>
      <c r="X585" s="173" t="str">
        <f t="shared" ca="1" si="630"/>
        <v>Completed</v>
      </c>
      <c r="Y585" s="173" t="str">
        <f t="shared" ca="1" si="631"/>
        <v/>
      </c>
      <c r="Z585" s="174" t="str">
        <f t="shared" ca="1" si="632"/>
        <v/>
      </c>
    </row>
    <row r="586" spans="1:26" s="70" customFormat="1" ht="11.5" x14ac:dyDescent="0.25">
      <c r="A586" s="121" t="s">
        <v>65</v>
      </c>
      <c r="B586" s="121" t="s">
        <v>14</v>
      </c>
      <c r="C586" s="121" t="s">
        <v>710</v>
      </c>
      <c r="D586" s="153" t="s">
        <v>962</v>
      </c>
      <c r="E586" s="123">
        <f t="shared" si="647"/>
        <v>0.5</v>
      </c>
      <c r="F586" s="123">
        <f t="shared" si="648"/>
        <v>0.5</v>
      </c>
      <c r="G586" s="123">
        <f t="shared" si="648"/>
        <v>0.7</v>
      </c>
      <c r="H586" s="128">
        <f t="shared" si="649"/>
        <v>0.19999999999999996</v>
      </c>
      <c r="I586" s="126">
        <v>4.7E-2</v>
      </c>
      <c r="J586" s="125">
        <f t="shared" si="644"/>
        <v>46234</v>
      </c>
      <c r="K586" s="125">
        <f t="shared" si="633"/>
        <v>46234</v>
      </c>
      <c r="L586" s="125">
        <v>46130</v>
      </c>
      <c r="M586" s="125">
        <f t="shared" si="645"/>
        <v>46269</v>
      </c>
      <c r="N586" s="125">
        <f t="shared" si="635"/>
        <v>46269</v>
      </c>
      <c r="O586" s="125">
        <v>46191</v>
      </c>
      <c r="P586" s="125">
        <f t="shared" si="646"/>
        <v>46307</v>
      </c>
      <c r="Q586" s="125">
        <f t="shared" si="637"/>
        <v>46307</v>
      </c>
      <c r="R586" s="125"/>
      <c r="S586" s="125">
        <f t="shared" si="639"/>
        <v>46321</v>
      </c>
      <c r="T586" s="125">
        <f t="shared" si="638"/>
        <v>46321</v>
      </c>
      <c r="U586" s="125"/>
      <c r="W586" s="173" t="str">
        <f t="shared" ca="1" si="629"/>
        <v>Completed</v>
      </c>
      <c r="X586" s="173" t="str">
        <f t="shared" ca="1" si="630"/>
        <v>Completed</v>
      </c>
      <c r="Y586" s="173" t="str">
        <f t="shared" ca="1" si="631"/>
        <v/>
      </c>
      <c r="Z586" s="174" t="str">
        <f t="shared" ca="1" si="632"/>
        <v/>
      </c>
    </row>
    <row r="587" spans="1:26" s="70" customFormat="1" ht="11.5" x14ac:dyDescent="0.25">
      <c r="A587" s="121" t="s">
        <v>65</v>
      </c>
      <c r="B587" s="121" t="s">
        <v>14</v>
      </c>
      <c r="C587" s="121" t="s">
        <v>711</v>
      </c>
      <c r="D587" s="121" t="s">
        <v>712</v>
      </c>
      <c r="E587" s="123">
        <f t="shared" si="647"/>
        <v>0.5</v>
      </c>
      <c r="F587" s="123">
        <f t="shared" si="648"/>
        <v>0.5</v>
      </c>
      <c r="G587" s="123">
        <f t="shared" si="648"/>
        <v>0.7</v>
      </c>
      <c r="H587" s="128">
        <f t="shared" si="649"/>
        <v>0.19999999999999996</v>
      </c>
      <c r="I587" s="126">
        <v>4.7E-2</v>
      </c>
      <c r="J587" s="125">
        <f t="shared" si="644"/>
        <v>46234</v>
      </c>
      <c r="K587" s="125">
        <f t="shared" si="633"/>
        <v>46234</v>
      </c>
      <c r="L587" s="125">
        <v>46130</v>
      </c>
      <c r="M587" s="125">
        <f t="shared" si="645"/>
        <v>46269</v>
      </c>
      <c r="N587" s="125">
        <f t="shared" si="635"/>
        <v>46269</v>
      </c>
      <c r="O587" s="165">
        <v>46259</v>
      </c>
      <c r="P587" s="125">
        <f t="shared" si="646"/>
        <v>46307</v>
      </c>
      <c r="Q587" s="125">
        <f t="shared" si="637"/>
        <v>46307</v>
      </c>
      <c r="R587" s="125"/>
      <c r="S587" s="125">
        <f t="shared" si="639"/>
        <v>46321</v>
      </c>
      <c r="T587" s="125">
        <f t="shared" si="638"/>
        <v>46321</v>
      </c>
      <c r="U587" s="125"/>
      <c r="W587" s="173" t="str">
        <f t="shared" ca="1" si="629"/>
        <v>Completed</v>
      </c>
      <c r="X587" s="173" t="str">
        <f t="shared" ca="1" si="630"/>
        <v>Completed</v>
      </c>
      <c r="Y587" s="173" t="str">
        <f t="shared" ca="1" si="631"/>
        <v/>
      </c>
      <c r="Z587" s="174" t="str">
        <f t="shared" ca="1" si="632"/>
        <v/>
      </c>
    </row>
    <row r="588" spans="1:26" s="70" customFormat="1" ht="11.5" x14ac:dyDescent="0.25">
      <c r="A588" s="121" t="s">
        <v>65</v>
      </c>
      <c r="B588" s="121" t="s">
        <v>14</v>
      </c>
      <c r="C588" s="121" t="s">
        <v>713</v>
      </c>
      <c r="D588" s="121" t="s">
        <v>714</v>
      </c>
      <c r="E588" s="123">
        <f t="shared" si="647"/>
        <v>0.5</v>
      </c>
      <c r="F588" s="123">
        <f t="shared" si="648"/>
        <v>0.5</v>
      </c>
      <c r="G588" s="123">
        <f t="shared" si="648"/>
        <v>0.7</v>
      </c>
      <c r="H588" s="128">
        <f t="shared" si="649"/>
        <v>0.19999999999999996</v>
      </c>
      <c r="I588" s="126">
        <v>4.7E-2</v>
      </c>
      <c r="J588" s="125">
        <f t="shared" si="644"/>
        <v>46234</v>
      </c>
      <c r="K588" s="125">
        <f t="shared" si="633"/>
        <v>46234</v>
      </c>
      <c r="L588" s="125">
        <v>46150</v>
      </c>
      <c r="M588" s="125">
        <f t="shared" si="645"/>
        <v>46269</v>
      </c>
      <c r="N588" s="125">
        <f t="shared" si="635"/>
        <v>46269</v>
      </c>
      <c r="O588" s="125">
        <v>46205</v>
      </c>
      <c r="P588" s="125">
        <f t="shared" si="646"/>
        <v>46307</v>
      </c>
      <c r="Q588" s="125">
        <f t="shared" si="637"/>
        <v>46307</v>
      </c>
      <c r="R588" s="125"/>
      <c r="S588" s="125">
        <f t="shared" si="639"/>
        <v>46321</v>
      </c>
      <c r="T588" s="125">
        <f t="shared" si="638"/>
        <v>46321</v>
      </c>
      <c r="U588" s="125"/>
      <c r="W588" s="173" t="str">
        <f t="shared" ca="1" si="629"/>
        <v>Completed</v>
      </c>
      <c r="X588" s="173" t="str">
        <f t="shared" ca="1" si="630"/>
        <v>Completed</v>
      </c>
      <c r="Y588" s="173" t="str">
        <f t="shared" ca="1" si="631"/>
        <v/>
      </c>
      <c r="Z588" s="174" t="str">
        <f t="shared" ca="1" si="632"/>
        <v/>
      </c>
    </row>
    <row r="589" spans="1:26" s="70" customFormat="1" ht="11.5" x14ac:dyDescent="0.25">
      <c r="A589" s="121" t="s">
        <v>65</v>
      </c>
      <c r="B589" s="121" t="s">
        <v>14</v>
      </c>
      <c r="C589" s="121" t="s">
        <v>715</v>
      </c>
      <c r="D589" s="121" t="s">
        <v>716</v>
      </c>
      <c r="E589" s="123">
        <f t="shared" si="647"/>
        <v>0.5</v>
      </c>
      <c r="F589" s="123">
        <f t="shared" si="648"/>
        <v>0.5</v>
      </c>
      <c r="G589" s="123">
        <f t="shared" si="648"/>
        <v>0.7</v>
      </c>
      <c r="H589" s="128">
        <f t="shared" si="649"/>
        <v>0.19999999999999996</v>
      </c>
      <c r="I589" s="126">
        <v>4.7E-2</v>
      </c>
      <c r="J589" s="125">
        <f t="shared" si="644"/>
        <v>46234</v>
      </c>
      <c r="K589" s="125">
        <f t="shared" si="633"/>
        <v>46234</v>
      </c>
      <c r="L589" s="125">
        <v>46150</v>
      </c>
      <c r="M589" s="125">
        <f t="shared" si="645"/>
        <v>46269</v>
      </c>
      <c r="N589" s="125">
        <f t="shared" si="635"/>
        <v>46269</v>
      </c>
      <c r="O589" s="125">
        <v>46205</v>
      </c>
      <c r="P589" s="125">
        <f t="shared" si="646"/>
        <v>46307</v>
      </c>
      <c r="Q589" s="125">
        <f t="shared" si="637"/>
        <v>46307</v>
      </c>
      <c r="R589" s="125"/>
      <c r="S589" s="125">
        <f t="shared" si="639"/>
        <v>46321</v>
      </c>
      <c r="T589" s="125">
        <f t="shared" si="638"/>
        <v>46321</v>
      </c>
      <c r="U589" s="125"/>
      <c r="W589" s="173" t="str">
        <f t="shared" ca="1" si="629"/>
        <v>Completed</v>
      </c>
      <c r="X589" s="173" t="str">
        <f t="shared" ca="1" si="630"/>
        <v>Completed</v>
      </c>
      <c r="Y589" s="173" t="str">
        <f t="shared" ca="1" si="631"/>
        <v/>
      </c>
      <c r="Z589" s="174" t="str">
        <f t="shared" ca="1" si="632"/>
        <v/>
      </c>
    </row>
    <row r="590" spans="1:26" s="70" customFormat="1" ht="11.5" x14ac:dyDescent="0.25">
      <c r="A590" s="121" t="s">
        <v>65</v>
      </c>
      <c r="B590" s="121" t="s">
        <v>14</v>
      </c>
      <c r="C590" s="121" t="s">
        <v>717</v>
      </c>
      <c r="D590" s="121" t="s">
        <v>718</v>
      </c>
      <c r="E590" s="123">
        <f t="shared" si="647"/>
        <v>0.5</v>
      </c>
      <c r="F590" s="123">
        <f t="shared" si="648"/>
        <v>0.5</v>
      </c>
      <c r="G590" s="123">
        <f t="shared" si="648"/>
        <v>1</v>
      </c>
      <c r="H590" s="128">
        <f t="shared" si="649"/>
        <v>0.5</v>
      </c>
      <c r="I590" s="126">
        <v>4.7E-2</v>
      </c>
      <c r="J590" s="125">
        <f t="shared" si="644"/>
        <v>46234</v>
      </c>
      <c r="K590" s="125">
        <f t="shared" si="633"/>
        <v>46234</v>
      </c>
      <c r="L590" s="125">
        <v>46150</v>
      </c>
      <c r="M590" s="125">
        <f t="shared" si="645"/>
        <v>46269</v>
      </c>
      <c r="N590" s="125">
        <f t="shared" si="635"/>
        <v>46269</v>
      </c>
      <c r="O590" s="125">
        <v>46205</v>
      </c>
      <c r="P590" s="125">
        <f t="shared" si="646"/>
        <v>46307</v>
      </c>
      <c r="Q590" s="125">
        <f t="shared" si="637"/>
        <v>46307</v>
      </c>
      <c r="R590" s="127">
        <v>46248</v>
      </c>
      <c r="S590" s="125">
        <f t="shared" si="639"/>
        <v>46321</v>
      </c>
      <c r="T590" s="125">
        <f t="shared" si="638"/>
        <v>46321</v>
      </c>
      <c r="U590" s="165">
        <v>46262</v>
      </c>
      <c r="W590" s="173" t="str">
        <f t="shared" ca="1" si="629"/>
        <v>Completed</v>
      </c>
      <c r="X590" s="173" t="str">
        <f t="shared" ca="1" si="630"/>
        <v>Completed</v>
      </c>
      <c r="Y590" s="173" t="str">
        <f t="shared" ca="1" si="631"/>
        <v>Completed</v>
      </c>
      <c r="Z590" s="174" t="str">
        <f t="shared" ca="1" si="632"/>
        <v>Completed</v>
      </c>
    </row>
    <row r="591" spans="1:26" s="70" customFormat="1" ht="11.5" x14ac:dyDescent="0.25">
      <c r="A591" s="121" t="s">
        <v>65</v>
      </c>
      <c r="B591" s="121" t="s">
        <v>14</v>
      </c>
      <c r="C591" s="121" t="s">
        <v>719</v>
      </c>
      <c r="D591" s="121" t="s">
        <v>720</v>
      </c>
      <c r="E591" s="123">
        <f t="shared" si="647"/>
        <v>0.5</v>
      </c>
      <c r="F591" s="123">
        <f t="shared" si="648"/>
        <v>0.5</v>
      </c>
      <c r="G591" s="123">
        <f t="shared" si="648"/>
        <v>0.5</v>
      </c>
      <c r="H591" s="128">
        <f t="shared" si="649"/>
        <v>0</v>
      </c>
      <c r="I591" s="126">
        <v>4.7E-2</v>
      </c>
      <c r="J591" s="125">
        <f t="shared" si="644"/>
        <v>46234</v>
      </c>
      <c r="K591" s="125">
        <f t="shared" si="633"/>
        <v>46234</v>
      </c>
      <c r="L591" s="145">
        <v>46157</v>
      </c>
      <c r="M591" s="125">
        <f t="shared" si="645"/>
        <v>46269</v>
      </c>
      <c r="N591" s="125">
        <f t="shared" si="635"/>
        <v>46269</v>
      </c>
      <c r="O591" s="125"/>
      <c r="P591" s="125">
        <f t="shared" si="646"/>
        <v>46307</v>
      </c>
      <c r="Q591" s="125">
        <f t="shared" si="637"/>
        <v>46307</v>
      </c>
      <c r="R591" s="125"/>
      <c r="S591" s="125">
        <f t="shared" si="639"/>
        <v>46321</v>
      </c>
      <c r="T591" s="125">
        <f t="shared" si="638"/>
        <v>46321</v>
      </c>
      <c r="U591" s="125"/>
      <c r="W591" s="173" t="str">
        <f t="shared" ca="1" si="629"/>
        <v>Completed</v>
      </c>
      <c r="X591" s="173" t="str">
        <f t="shared" ca="1" si="630"/>
        <v>Follow-This Week</v>
      </c>
      <c r="Y591" s="173" t="str">
        <f t="shared" ca="1" si="631"/>
        <v/>
      </c>
      <c r="Z591" s="174" t="str">
        <f t="shared" ca="1" si="632"/>
        <v/>
      </c>
    </row>
    <row r="592" spans="1:26" s="70" customFormat="1" ht="11.5" x14ac:dyDescent="0.25">
      <c r="A592" s="121" t="s">
        <v>65</v>
      </c>
      <c r="B592" s="121" t="s">
        <v>14</v>
      </c>
      <c r="C592" s="121" t="s">
        <v>721</v>
      </c>
      <c r="D592" s="121" t="s">
        <v>722</v>
      </c>
      <c r="E592" s="123">
        <f t="shared" si="647"/>
        <v>0.5</v>
      </c>
      <c r="F592" s="123">
        <f t="shared" si="648"/>
        <v>0.5</v>
      </c>
      <c r="G592" s="123">
        <f t="shared" si="648"/>
        <v>0.5</v>
      </c>
      <c r="H592" s="128">
        <f t="shared" si="649"/>
        <v>0</v>
      </c>
      <c r="I592" s="126">
        <v>4.7E-2</v>
      </c>
      <c r="J592" s="125">
        <f t="shared" si="644"/>
        <v>46234</v>
      </c>
      <c r="K592" s="125">
        <f t="shared" si="633"/>
        <v>46234</v>
      </c>
      <c r="L592" s="145">
        <v>46157</v>
      </c>
      <c r="M592" s="125">
        <f t="shared" si="645"/>
        <v>46269</v>
      </c>
      <c r="N592" s="125">
        <f t="shared" si="635"/>
        <v>46269</v>
      </c>
      <c r="O592" s="125"/>
      <c r="P592" s="125">
        <f t="shared" si="646"/>
        <v>46307</v>
      </c>
      <c r="Q592" s="125">
        <f t="shared" si="637"/>
        <v>46307</v>
      </c>
      <c r="R592" s="125"/>
      <c r="S592" s="125">
        <f t="shared" si="639"/>
        <v>46321</v>
      </c>
      <c r="T592" s="125">
        <f t="shared" si="638"/>
        <v>46321</v>
      </c>
      <c r="U592" s="125"/>
      <c r="W592" s="173" t="str">
        <f t="shared" ca="1" si="629"/>
        <v>Completed</v>
      </c>
      <c r="X592" s="173" t="str">
        <f t="shared" ca="1" si="630"/>
        <v>Follow-This Week</v>
      </c>
      <c r="Y592" s="173" t="str">
        <f t="shared" ca="1" si="631"/>
        <v/>
      </c>
      <c r="Z592" s="174" t="str">
        <f t="shared" ca="1" si="632"/>
        <v/>
      </c>
    </row>
    <row r="593" spans="1:26" s="70" customFormat="1" ht="11.5" x14ac:dyDescent="0.25">
      <c r="A593" s="121" t="s">
        <v>65</v>
      </c>
      <c r="B593" s="121" t="s">
        <v>14</v>
      </c>
      <c r="C593" s="121" t="s">
        <v>723</v>
      </c>
      <c r="D593" s="121" t="s">
        <v>724</v>
      </c>
      <c r="E593" s="123">
        <f t="shared" si="647"/>
        <v>0.5</v>
      </c>
      <c r="F593" s="123">
        <f t="shared" si="648"/>
        <v>0.5</v>
      </c>
      <c r="G593" s="123">
        <f t="shared" si="648"/>
        <v>0.5</v>
      </c>
      <c r="H593" s="128">
        <f t="shared" si="649"/>
        <v>0</v>
      </c>
      <c r="I593" s="126">
        <v>4.7E-2</v>
      </c>
      <c r="J593" s="125">
        <f t="shared" si="644"/>
        <v>46234</v>
      </c>
      <c r="K593" s="125">
        <f t="shared" si="633"/>
        <v>46234</v>
      </c>
      <c r="L593" s="145">
        <v>46157</v>
      </c>
      <c r="M593" s="125">
        <f t="shared" si="645"/>
        <v>46269</v>
      </c>
      <c r="N593" s="125">
        <f t="shared" si="635"/>
        <v>46269</v>
      </c>
      <c r="O593" s="125"/>
      <c r="P593" s="125">
        <f t="shared" si="646"/>
        <v>46307</v>
      </c>
      <c r="Q593" s="125">
        <f t="shared" si="637"/>
        <v>46307</v>
      </c>
      <c r="R593" s="125"/>
      <c r="S593" s="125">
        <f t="shared" si="639"/>
        <v>46321</v>
      </c>
      <c r="T593" s="125">
        <f t="shared" si="638"/>
        <v>46321</v>
      </c>
      <c r="U593" s="125"/>
      <c r="W593" s="173" t="str">
        <f t="shared" ca="1" si="629"/>
        <v>Completed</v>
      </c>
      <c r="X593" s="173" t="str">
        <f t="shared" ca="1" si="630"/>
        <v>Follow-This Week</v>
      </c>
      <c r="Y593" s="173" t="str">
        <f t="shared" ca="1" si="631"/>
        <v/>
      </c>
      <c r="Z593" s="174" t="str">
        <f t="shared" ca="1" si="632"/>
        <v/>
      </c>
    </row>
    <row r="594" spans="1:26" s="70" customFormat="1" ht="11.5" x14ac:dyDescent="0.25">
      <c r="A594" s="121" t="s">
        <v>65</v>
      </c>
      <c r="B594" s="121" t="s">
        <v>14</v>
      </c>
      <c r="C594" s="121" t="s">
        <v>725</v>
      </c>
      <c r="D594" s="121" t="s">
        <v>726</v>
      </c>
      <c r="E594" s="123">
        <f t="shared" si="647"/>
        <v>0.5</v>
      </c>
      <c r="F594" s="123">
        <f t="shared" si="648"/>
        <v>0.5</v>
      </c>
      <c r="G594" s="123">
        <f t="shared" si="648"/>
        <v>0.7</v>
      </c>
      <c r="H594" s="128">
        <f t="shared" si="649"/>
        <v>0.19999999999999996</v>
      </c>
      <c r="I594" s="126">
        <v>4.7E-2</v>
      </c>
      <c r="J594" s="125">
        <f t="shared" ref="J594:J625" si="650">J471+28</f>
        <v>46234</v>
      </c>
      <c r="K594" s="125">
        <f t="shared" si="633"/>
        <v>46234</v>
      </c>
      <c r="L594" s="145">
        <v>46157</v>
      </c>
      <c r="M594" s="125">
        <f t="shared" si="645"/>
        <v>46269</v>
      </c>
      <c r="N594" s="125">
        <f t="shared" si="635"/>
        <v>46269</v>
      </c>
      <c r="O594" s="125">
        <v>46205</v>
      </c>
      <c r="P594" s="125">
        <f t="shared" si="646"/>
        <v>46307</v>
      </c>
      <c r="Q594" s="125">
        <f t="shared" si="637"/>
        <v>46307</v>
      </c>
      <c r="R594" s="125"/>
      <c r="S594" s="125">
        <f t="shared" si="639"/>
        <v>46321</v>
      </c>
      <c r="T594" s="125">
        <f t="shared" si="638"/>
        <v>46321</v>
      </c>
      <c r="U594" s="125"/>
      <c r="W594" s="173" t="str">
        <f t="shared" ca="1" si="629"/>
        <v>Completed</v>
      </c>
      <c r="X594" s="173" t="str">
        <f t="shared" ca="1" si="630"/>
        <v>Completed</v>
      </c>
      <c r="Y594" s="173" t="str">
        <f t="shared" ca="1" si="631"/>
        <v/>
      </c>
      <c r="Z594" s="174" t="str">
        <f t="shared" ca="1" si="632"/>
        <v/>
      </c>
    </row>
    <row r="595" spans="1:26" s="70" customFormat="1" ht="11.5" x14ac:dyDescent="0.25">
      <c r="A595" s="121" t="s">
        <v>65</v>
      </c>
      <c r="B595" s="121" t="s">
        <v>14</v>
      </c>
      <c r="C595" s="121" t="s">
        <v>727</v>
      </c>
      <c r="D595" s="121" t="s">
        <v>728</v>
      </c>
      <c r="E595" s="123">
        <f t="shared" si="647"/>
        <v>0.5</v>
      </c>
      <c r="F595" s="123">
        <f t="shared" si="648"/>
        <v>0.5</v>
      </c>
      <c r="G595" s="123">
        <f t="shared" si="648"/>
        <v>0.5</v>
      </c>
      <c r="H595" s="128">
        <f t="shared" si="649"/>
        <v>0</v>
      </c>
      <c r="I595" s="126">
        <v>4.7E-2</v>
      </c>
      <c r="J595" s="125">
        <f t="shared" si="650"/>
        <v>46255</v>
      </c>
      <c r="K595" s="125">
        <f t="shared" si="633"/>
        <v>46255</v>
      </c>
      <c r="L595" s="125">
        <v>46156</v>
      </c>
      <c r="M595" s="125">
        <f t="shared" si="634"/>
        <v>46297</v>
      </c>
      <c r="N595" s="125">
        <f t="shared" si="635"/>
        <v>46297</v>
      </c>
      <c r="O595" s="125"/>
      <c r="P595" s="125">
        <f t="shared" si="636"/>
        <v>46339</v>
      </c>
      <c r="Q595" s="125">
        <f t="shared" si="637"/>
        <v>46339</v>
      </c>
      <c r="R595" s="125"/>
      <c r="S595" s="125">
        <f t="shared" si="639"/>
        <v>46353</v>
      </c>
      <c r="T595" s="125">
        <f t="shared" si="638"/>
        <v>46353</v>
      </c>
      <c r="U595" s="125"/>
      <c r="W595" s="173" t="str">
        <f t="shared" ca="1" si="629"/>
        <v>Completed</v>
      </c>
      <c r="X595" s="173" t="str">
        <f t="shared" ca="1" si="630"/>
        <v/>
      </c>
      <c r="Y595" s="173" t="str">
        <f t="shared" ca="1" si="631"/>
        <v/>
      </c>
      <c r="Z595" s="174" t="str">
        <f t="shared" ca="1" si="632"/>
        <v/>
      </c>
    </row>
    <row r="596" spans="1:26" s="70" customFormat="1" ht="11.5" x14ac:dyDescent="0.25">
      <c r="A596" s="121" t="s">
        <v>65</v>
      </c>
      <c r="B596" s="121" t="s">
        <v>14</v>
      </c>
      <c r="C596" s="121" t="s">
        <v>729</v>
      </c>
      <c r="D596" s="121" t="s">
        <v>730</v>
      </c>
      <c r="E596" s="123">
        <f t="shared" si="647"/>
        <v>0.5</v>
      </c>
      <c r="F596" s="123">
        <f t="shared" si="648"/>
        <v>0.5</v>
      </c>
      <c r="G596" s="123">
        <f t="shared" si="648"/>
        <v>0.5</v>
      </c>
      <c r="H596" s="128">
        <f t="shared" si="649"/>
        <v>0</v>
      </c>
      <c r="I596" s="126">
        <v>4.7E-2</v>
      </c>
      <c r="J596" s="125">
        <f t="shared" si="650"/>
        <v>46255</v>
      </c>
      <c r="K596" s="125">
        <f t="shared" si="633"/>
        <v>46255</v>
      </c>
      <c r="L596" s="125">
        <v>46156</v>
      </c>
      <c r="M596" s="125">
        <f t="shared" si="634"/>
        <v>46297</v>
      </c>
      <c r="N596" s="125">
        <f t="shared" si="635"/>
        <v>46297</v>
      </c>
      <c r="O596" s="125"/>
      <c r="P596" s="125">
        <f t="shared" si="636"/>
        <v>46339</v>
      </c>
      <c r="Q596" s="125">
        <f t="shared" si="637"/>
        <v>46339</v>
      </c>
      <c r="R596" s="125"/>
      <c r="S596" s="125">
        <f t="shared" si="639"/>
        <v>46353</v>
      </c>
      <c r="T596" s="125">
        <f t="shared" si="638"/>
        <v>46353</v>
      </c>
      <c r="U596" s="125"/>
      <c r="W596" s="173" t="str">
        <f t="shared" ca="1" si="629"/>
        <v>Completed</v>
      </c>
      <c r="X596" s="173" t="str">
        <f t="shared" ca="1" si="630"/>
        <v/>
      </c>
      <c r="Y596" s="173" t="str">
        <f t="shared" ca="1" si="631"/>
        <v/>
      </c>
      <c r="Z596" s="174" t="str">
        <f t="shared" ca="1" si="632"/>
        <v/>
      </c>
    </row>
    <row r="597" spans="1:26" s="70" customFormat="1" ht="11.5" x14ac:dyDescent="0.25">
      <c r="A597" s="121" t="s">
        <v>65</v>
      </c>
      <c r="B597" s="121" t="s">
        <v>14</v>
      </c>
      <c r="C597" s="121" t="s">
        <v>731</v>
      </c>
      <c r="D597" s="121" t="s">
        <v>732</v>
      </c>
      <c r="E597" s="123">
        <f t="shared" si="647"/>
        <v>0.5</v>
      </c>
      <c r="F597" s="123">
        <f t="shared" si="648"/>
        <v>0.5</v>
      </c>
      <c r="G597" s="123">
        <f t="shared" si="648"/>
        <v>0.5</v>
      </c>
      <c r="H597" s="128">
        <f t="shared" si="649"/>
        <v>0</v>
      </c>
      <c r="I597" s="126">
        <v>4.7E-2</v>
      </c>
      <c r="J597" s="125">
        <f t="shared" si="650"/>
        <v>46255</v>
      </c>
      <c r="K597" s="125">
        <f t="shared" si="633"/>
        <v>46255</v>
      </c>
      <c r="L597" s="125">
        <v>46156</v>
      </c>
      <c r="M597" s="125">
        <f t="shared" si="634"/>
        <v>46297</v>
      </c>
      <c r="N597" s="125">
        <f t="shared" si="635"/>
        <v>46297</v>
      </c>
      <c r="O597" s="125"/>
      <c r="P597" s="125">
        <f t="shared" si="636"/>
        <v>46339</v>
      </c>
      <c r="Q597" s="125">
        <f t="shared" si="637"/>
        <v>46339</v>
      </c>
      <c r="R597" s="125"/>
      <c r="S597" s="125">
        <f t="shared" si="639"/>
        <v>46353</v>
      </c>
      <c r="T597" s="125">
        <f t="shared" si="638"/>
        <v>46353</v>
      </c>
      <c r="U597" s="125"/>
      <c r="W597" s="173" t="str">
        <f t="shared" ca="1" si="629"/>
        <v>Completed</v>
      </c>
      <c r="X597" s="173" t="str">
        <f t="shared" ca="1" si="630"/>
        <v/>
      </c>
      <c r="Y597" s="173" t="str">
        <f t="shared" ca="1" si="631"/>
        <v/>
      </c>
      <c r="Z597" s="174" t="str">
        <f t="shared" ca="1" si="632"/>
        <v/>
      </c>
    </row>
    <row r="598" spans="1:26" s="70" customFormat="1" ht="11.5" x14ac:dyDescent="0.25">
      <c r="A598" s="121" t="s">
        <v>65</v>
      </c>
      <c r="B598" s="121" t="s">
        <v>14</v>
      </c>
      <c r="C598" s="121" t="s">
        <v>733</v>
      </c>
      <c r="D598" s="121" t="s">
        <v>734</v>
      </c>
      <c r="E598" s="123">
        <f t="shared" si="647"/>
        <v>0.5</v>
      </c>
      <c r="F598" s="123">
        <f t="shared" si="648"/>
        <v>0.5</v>
      </c>
      <c r="G598" s="123">
        <f t="shared" si="648"/>
        <v>0.5</v>
      </c>
      <c r="H598" s="123">
        <f t="shared" si="649"/>
        <v>0</v>
      </c>
      <c r="I598" s="124">
        <v>4.7E-2</v>
      </c>
      <c r="J598" s="125">
        <f t="shared" si="650"/>
        <v>46248</v>
      </c>
      <c r="K598" s="125">
        <f t="shared" si="633"/>
        <v>46248</v>
      </c>
      <c r="L598" s="125">
        <v>46178</v>
      </c>
      <c r="M598" s="125">
        <f t="shared" si="634"/>
        <v>46290</v>
      </c>
      <c r="N598" s="125">
        <f t="shared" si="635"/>
        <v>46290</v>
      </c>
      <c r="O598" s="125"/>
      <c r="P598" s="125">
        <f t="shared" si="636"/>
        <v>46332</v>
      </c>
      <c r="Q598" s="125">
        <f t="shared" si="637"/>
        <v>46332</v>
      </c>
      <c r="R598" s="125"/>
      <c r="S598" s="125">
        <f t="shared" si="639"/>
        <v>46346</v>
      </c>
      <c r="T598" s="125">
        <f t="shared" si="638"/>
        <v>46346</v>
      </c>
      <c r="U598" s="125"/>
      <c r="W598" s="173" t="str">
        <f t="shared" ca="1" si="629"/>
        <v>Completed</v>
      </c>
      <c r="X598" s="173" t="str">
        <f t="shared" ca="1" si="630"/>
        <v/>
      </c>
      <c r="Y598" s="173" t="str">
        <f t="shared" ca="1" si="631"/>
        <v/>
      </c>
      <c r="Z598" s="174" t="str">
        <f t="shared" ca="1" si="632"/>
        <v/>
      </c>
    </row>
    <row r="599" spans="1:26" s="70" customFormat="1" ht="11.5" x14ac:dyDescent="0.25">
      <c r="A599" s="121" t="s">
        <v>65</v>
      </c>
      <c r="B599" s="121" t="s">
        <v>14</v>
      </c>
      <c r="C599" s="121" t="s">
        <v>735</v>
      </c>
      <c r="D599" s="121" t="s">
        <v>736</v>
      </c>
      <c r="E599" s="123">
        <f t="shared" si="647"/>
        <v>0.5</v>
      </c>
      <c r="F599" s="123">
        <f t="shared" si="648"/>
        <v>0.5</v>
      </c>
      <c r="G599" s="123">
        <f t="shared" si="648"/>
        <v>0</v>
      </c>
      <c r="H599" s="123">
        <f t="shared" si="649"/>
        <v>-0.5</v>
      </c>
      <c r="I599" s="124">
        <v>4.7E-2</v>
      </c>
      <c r="J599" s="125">
        <f t="shared" si="650"/>
        <v>46255</v>
      </c>
      <c r="K599" s="125">
        <f t="shared" si="633"/>
        <v>46255</v>
      </c>
      <c r="L599" s="125"/>
      <c r="M599" s="125">
        <f t="shared" si="634"/>
        <v>46297</v>
      </c>
      <c r="N599" s="125">
        <f t="shared" si="635"/>
        <v>46297</v>
      </c>
      <c r="O599" s="125"/>
      <c r="P599" s="125">
        <f t="shared" si="636"/>
        <v>46339</v>
      </c>
      <c r="Q599" s="125">
        <f t="shared" si="637"/>
        <v>46339</v>
      </c>
      <c r="R599" s="125"/>
      <c r="S599" s="125">
        <f t="shared" si="639"/>
        <v>46353</v>
      </c>
      <c r="T599" s="125">
        <f t="shared" si="638"/>
        <v>46353</v>
      </c>
      <c r="U599" s="125"/>
      <c r="W599" s="173" t="str">
        <f t="shared" ca="1" si="629"/>
        <v>Overdue</v>
      </c>
      <c r="X599" s="173" t="str">
        <f t="shared" ca="1" si="630"/>
        <v/>
      </c>
      <c r="Y599" s="173" t="str">
        <f t="shared" ca="1" si="631"/>
        <v/>
      </c>
      <c r="Z599" s="174" t="str">
        <f t="shared" ca="1" si="632"/>
        <v/>
      </c>
    </row>
    <row r="600" spans="1:26" s="70" customFormat="1" ht="11.5" x14ac:dyDescent="0.25">
      <c r="A600" s="121" t="s">
        <v>65</v>
      </c>
      <c r="B600" s="121" t="s">
        <v>14</v>
      </c>
      <c r="C600" s="121" t="s">
        <v>737</v>
      </c>
      <c r="D600" s="121" t="s">
        <v>738</v>
      </c>
      <c r="E600" s="123">
        <f t="shared" si="647"/>
        <v>0.5</v>
      </c>
      <c r="F600" s="123">
        <f t="shared" si="648"/>
        <v>0.5</v>
      </c>
      <c r="G600" s="123">
        <f t="shared" si="648"/>
        <v>0.5</v>
      </c>
      <c r="H600" s="123">
        <f t="shared" si="649"/>
        <v>0</v>
      </c>
      <c r="I600" s="124">
        <v>4.7E-2</v>
      </c>
      <c r="J600" s="125">
        <f t="shared" si="650"/>
        <v>46248</v>
      </c>
      <c r="K600" s="125">
        <f t="shared" si="633"/>
        <v>46248</v>
      </c>
      <c r="L600" s="125">
        <v>46205</v>
      </c>
      <c r="M600" s="125">
        <f t="shared" si="634"/>
        <v>46290</v>
      </c>
      <c r="N600" s="125">
        <f t="shared" si="635"/>
        <v>46290</v>
      </c>
      <c r="O600" s="125"/>
      <c r="P600" s="125">
        <f t="shared" si="636"/>
        <v>46332</v>
      </c>
      <c r="Q600" s="125">
        <f t="shared" si="637"/>
        <v>46332</v>
      </c>
      <c r="R600" s="125"/>
      <c r="S600" s="125">
        <f t="shared" si="639"/>
        <v>46346</v>
      </c>
      <c r="T600" s="125">
        <f t="shared" si="638"/>
        <v>46346</v>
      </c>
      <c r="U600" s="125"/>
      <c r="W600" s="173" t="str">
        <f t="shared" ca="1" si="629"/>
        <v>Completed</v>
      </c>
      <c r="X600" s="173" t="str">
        <f t="shared" ca="1" si="630"/>
        <v/>
      </c>
      <c r="Y600" s="173" t="str">
        <f t="shared" ca="1" si="631"/>
        <v/>
      </c>
      <c r="Z600" s="174" t="str">
        <f t="shared" ca="1" si="632"/>
        <v/>
      </c>
    </row>
    <row r="601" spans="1:26" s="70" customFormat="1" ht="11.5" x14ac:dyDescent="0.25">
      <c r="A601" s="121" t="s">
        <v>65</v>
      </c>
      <c r="B601" s="121" t="s">
        <v>14</v>
      </c>
      <c r="C601" s="121" t="s">
        <v>739</v>
      </c>
      <c r="D601" s="121" t="s">
        <v>740</v>
      </c>
      <c r="E601" s="123">
        <f t="shared" si="647"/>
        <v>0.5</v>
      </c>
      <c r="F601" s="123">
        <f t="shared" si="648"/>
        <v>0.5</v>
      </c>
      <c r="G601" s="123">
        <f t="shared" si="648"/>
        <v>0.5</v>
      </c>
      <c r="H601" s="123">
        <f t="shared" si="649"/>
        <v>0</v>
      </c>
      <c r="I601" s="124">
        <v>4.7E-2</v>
      </c>
      <c r="J601" s="125">
        <f t="shared" si="650"/>
        <v>46248</v>
      </c>
      <c r="K601" s="125">
        <f t="shared" si="633"/>
        <v>46248</v>
      </c>
      <c r="L601" s="125">
        <v>46205</v>
      </c>
      <c r="M601" s="125">
        <f t="shared" si="634"/>
        <v>46290</v>
      </c>
      <c r="N601" s="125">
        <f t="shared" si="635"/>
        <v>46290</v>
      </c>
      <c r="O601" s="125"/>
      <c r="P601" s="125">
        <f t="shared" si="636"/>
        <v>46332</v>
      </c>
      <c r="Q601" s="125">
        <f t="shared" si="637"/>
        <v>46332</v>
      </c>
      <c r="R601" s="125"/>
      <c r="S601" s="125">
        <f t="shared" si="639"/>
        <v>46346</v>
      </c>
      <c r="T601" s="125">
        <f t="shared" si="638"/>
        <v>46346</v>
      </c>
      <c r="U601" s="125"/>
      <c r="W601" s="173" t="str">
        <f t="shared" ca="1" si="629"/>
        <v>Completed</v>
      </c>
      <c r="X601" s="173" t="str">
        <f t="shared" ca="1" si="630"/>
        <v/>
      </c>
      <c r="Y601" s="173" t="str">
        <f t="shared" ca="1" si="631"/>
        <v/>
      </c>
      <c r="Z601" s="174" t="str">
        <f t="shared" ca="1" si="632"/>
        <v/>
      </c>
    </row>
    <row r="602" spans="1:26" s="70" customFormat="1" ht="11.5" x14ac:dyDescent="0.25">
      <c r="A602" s="121" t="s">
        <v>65</v>
      </c>
      <c r="B602" s="121" t="s">
        <v>14</v>
      </c>
      <c r="C602" s="121" t="s">
        <v>878</v>
      </c>
      <c r="D602" s="121" t="s">
        <v>857</v>
      </c>
      <c r="E602" s="123">
        <f t="shared" si="647"/>
        <v>0.5</v>
      </c>
      <c r="F602" s="123">
        <f t="shared" si="648"/>
        <v>0.5</v>
      </c>
      <c r="G602" s="123">
        <f t="shared" si="648"/>
        <v>1</v>
      </c>
      <c r="H602" s="123">
        <f t="shared" si="649"/>
        <v>0.5</v>
      </c>
      <c r="I602" s="124">
        <v>4.7E-2</v>
      </c>
      <c r="J602" s="125">
        <f t="shared" si="650"/>
        <v>46262</v>
      </c>
      <c r="K602" s="125">
        <f t="shared" si="633"/>
        <v>46262</v>
      </c>
      <c r="L602" s="125">
        <v>46182</v>
      </c>
      <c r="M602" s="125">
        <f t="shared" si="634"/>
        <v>46304</v>
      </c>
      <c r="N602" s="125">
        <f t="shared" si="635"/>
        <v>46304</v>
      </c>
      <c r="O602" s="125">
        <v>46191</v>
      </c>
      <c r="P602" s="125">
        <f t="shared" si="636"/>
        <v>46346</v>
      </c>
      <c r="Q602" s="125">
        <f t="shared" si="637"/>
        <v>46346</v>
      </c>
      <c r="R602" s="127">
        <v>46252</v>
      </c>
      <c r="S602" s="125">
        <f t="shared" si="639"/>
        <v>46360</v>
      </c>
      <c r="T602" s="125">
        <f t="shared" si="638"/>
        <v>46360</v>
      </c>
      <c r="U602" s="165">
        <v>46262</v>
      </c>
      <c r="W602" s="173" t="str">
        <f t="shared" ca="1" si="629"/>
        <v>Completed</v>
      </c>
      <c r="X602" s="173" t="str">
        <f t="shared" ca="1" si="630"/>
        <v>Completed</v>
      </c>
      <c r="Y602" s="173" t="str">
        <f t="shared" ca="1" si="631"/>
        <v>Completed</v>
      </c>
      <c r="Z602" s="174" t="str">
        <f t="shared" ca="1" si="632"/>
        <v>Completed</v>
      </c>
    </row>
    <row r="603" spans="1:26" s="70" customFormat="1" ht="11.5" x14ac:dyDescent="0.25">
      <c r="A603" s="121" t="s">
        <v>65</v>
      </c>
      <c r="B603" s="121" t="s">
        <v>14</v>
      </c>
      <c r="C603" s="121" t="s">
        <v>879</v>
      </c>
      <c r="D603" s="121" t="s">
        <v>858</v>
      </c>
      <c r="E603" s="123">
        <f t="shared" si="647"/>
        <v>0.5</v>
      </c>
      <c r="F603" s="123">
        <f t="shared" si="648"/>
        <v>0.5</v>
      </c>
      <c r="G603" s="123">
        <f t="shared" si="648"/>
        <v>1</v>
      </c>
      <c r="H603" s="123">
        <f t="shared" si="649"/>
        <v>0.5</v>
      </c>
      <c r="I603" s="124">
        <v>4.7E-2</v>
      </c>
      <c r="J603" s="125">
        <f t="shared" si="650"/>
        <v>46262</v>
      </c>
      <c r="K603" s="125">
        <f t="shared" si="633"/>
        <v>46262</v>
      </c>
      <c r="L603" s="125">
        <v>46182</v>
      </c>
      <c r="M603" s="125">
        <f t="shared" si="634"/>
        <v>46304</v>
      </c>
      <c r="N603" s="125">
        <f t="shared" si="635"/>
        <v>46304</v>
      </c>
      <c r="O603" s="125">
        <v>46191</v>
      </c>
      <c r="P603" s="125">
        <f t="shared" si="636"/>
        <v>46346</v>
      </c>
      <c r="Q603" s="125">
        <f t="shared" si="637"/>
        <v>46346</v>
      </c>
      <c r="R603" s="127">
        <v>46252</v>
      </c>
      <c r="S603" s="125">
        <f t="shared" si="639"/>
        <v>46360</v>
      </c>
      <c r="T603" s="125">
        <f t="shared" si="638"/>
        <v>46360</v>
      </c>
      <c r="U603" s="165">
        <v>46262</v>
      </c>
      <c r="W603" s="173" t="str">
        <f t="shared" ca="1" si="629"/>
        <v>Completed</v>
      </c>
      <c r="X603" s="173" t="str">
        <f t="shared" ca="1" si="630"/>
        <v>Completed</v>
      </c>
      <c r="Y603" s="173" t="str">
        <f t="shared" ca="1" si="631"/>
        <v>Completed</v>
      </c>
      <c r="Z603" s="174" t="str">
        <f t="shared" ca="1" si="632"/>
        <v>Completed</v>
      </c>
    </row>
    <row r="604" spans="1:26" s="70" customFormat="1" ht="11.5" x14ac:dyDescent="0.25">
      <c r="A604" s="121" t="s">
        <v>65</v>
      </c>
      <c r="B604" s="121" t="s">
        <v>14</v>
      </c>
      <c r="C604" s="121" t="s">
        <v>880</v>
      </c>
      <c r="D604" s="121" t="s">
        <v>859</v>
      </c>
      <c r="E604" s="123">
        <f t="shared" si="647"/>
        <v>0.5</v>
      </c>
      <c r="F604" s="123">
        <f t="shared" si="648"/>
        <v>0.5</v>
      </c>
      <c r="G604" s="123">
        <f t="shared" si="648"/>
        <v>1</v>
      </c>
      <c r="H604" s="123">
        <f t="shared" si="649"/>
        <v>0.5</v>
      </c>
      <c r="I604" s="124">
        <v>4.7E-2</v>
      </c>
      <c r="J604" s="125">
        <f t="shared" si="650"/>
        <v>46262</v>
      </c>
      <c r="K604" s="125">
        <f t="shared" si="633"/>
        <v>46262</v>
      </c>
      <c r="L604" s="125">
        <v>46182</v>
      </c>
      <c r="M604" s="125">
        <f t="shared" si="634"/>
        <v>46304</v>
      </c>
      <c r="N604" s="125">
        <f t="shared" si="635"/>
        <v>46304</v>
      </c>
      <c r="O604" s="125">
        <v>46191</v>
      </c>
      <c r="P604" s="125">
        <f t="shared" si="636"/>
        <v>46346</v>
      </c>
      <c r="Q604" s="125">
        <f t="shared" si="637"/>
        <v>46346</v>
      </c>
      <c r="R604" s="127">
        <v>46252</v>
      </c>
      <c r="S604" s="125">
        <f t="shared" si="639"/>
        <v>46360</v>
      </c>
      <c r="T604" s="125">
        <f t="shared" si="638"/>
        <v>46360</v>
      </c>
      <c r="U604" s="165">
        <v>46262</v>
      </c>
      <c r="W604" s="173" t="str">
        <f t="shared" ca="1" si="629"/>
        <v>Completed</v>
      </c>
      <c r="X604" s="173" t="str">
        <f t="shared" ca="1" si="630"/>
        <v>Completed</v>
      </c>
      <c r="Y604" s="173" t="str">
        <f t="shared" ca="1" si="631"/>
        <v>Completed</v>
      </c>
      <c r="Z604" s="174" t="str">
        <f t="shared" ca="1" si="632"/>
        <v>Completed</v>
      </c>
    </row>
    <row r="605" spans="1:26" s="70" customFormat="1" ht="11.5" x14ac:dyDescent="0.25">
      <c r="A605" s="121" t="s">
        <v>65</v>
      </c>
      <c r="B605" s="121" t="s">
        <v>14</v>
      </c>
      <c r="C605" s="121" t="s">
        <v>881</v>
      </c>
      <c r="D605" s="121" t="s">
        <v>860</v>
      </c>
      <c r="E605" s="123">
        <f t="shared" si="647"/>
        <v>0.5</v>
      </c>
      <c r="F605" s="123">
        <f t="shared" si="648"/>
        <v>0.5</v>
      </c>
      <c r="G605" s="123">
        <f t="shared" si="648"/>
        <v>1</v>
      </c>
      <c r="H605" s="123">
        <f t="shared" si="649"/>
        <v>0.5</v>
      </c>
      <c r="I605" s="124">
        <v>4.7E-2</v>
      </c>
      <c r="J605" s="125">
        <f t="shared" si="650"/>
        <v>46262</v>
      </c>
      <c r="K605" s="125">
        <f t="shared" si="633"/>
        <v>46262</v>
      </c>
      <c r="L605" s="125">
        <v>46182</v>
      </c>
      <c r="M605" s="125">
        <f t="shared" si="634"/>
        <v>46304</v>
      </c>
      <c r="N605" s="125">
        <f t="shared" si="635"/>
        <v>46304</v>
      </c>
      <c r="O605" s="125">
        <v>46191</v>
      </c>
      <c r="P605" s="125">
        <f t="shared" si="636"/>
        <v>46346</v>
      </c>
      <c r="Q605" s="125">
        <f t="shared" si="637"/>
        <v>46346</v>
      </c>
      <c r="R605" s="127">
        <v>46252</v>
      </c>
      <c r="S605" s="125">
        <f t="shared" si="639"/>
        <v>46360</v>
      </c>
      <c r="T605" s="125">
        <f t="shared" si="638"/>
        <v>46360</v>
      </c>
      <c r="U605" s="165">
        <v>46262</v>
      </c>
      <c r="W605" s="173" t="str">
        <f t="shared" ca="1" si="629"/>
        <v>Completed</v>
      </c>
      <c r="X605" s="173" t="str">
        <f t="shared" ca="1" si="630"/>
        <v>Completed</v>
      </c>
      <c r="Y605" s="173" t="str">
        <f t="shared" ca="1" si="631"/>
        <v>Completed</v>
      </c>
      <c r="Z605" s="174" t="str">
        <f t="shared" ca="1" si="632"/>
        <v>Completed</v>
      </c>
    </row>
    <row r="606" spans="1:26" s="70" customFormat="1" ht="11.5" x14ac:dyDescent="0.25">
      <c r="A606" s="121" t="s">
        <v>65</v>
      </c>
      <c r="B606" s="121" t="s">
        <v>14</v>
      </c>
      <c r="C606" s="121" t="s">
        <v>882</v>
      </c>
      <c r="D606" s="121" t="s">
        <v>861</v>
      </c>
      <c r="E606" s="123">
        <f t="shared" si="647"/>
        <v>0.5</v>
      </c>
      <c r="F606" s="123">
        <f t="shared" si="648"/>
        <v>0.5</v>
      </c>
      <c r="G606" s="123">
        <f t="shared" si="648"/>
        <v>1</v>
      </c>
      <c r="H606" s="123">
        <f t="shared" si="649"/>
        <v>0.5</v>
      </c>
      <c r="I606" s="124">
        <v>4.7E-2</v>
      </c>
      <c r="J606" s="125">
        <f t="shared" si="650"/>
        <v>46262</v>
      </c>
      <c r="K606" s="125">
        <f t="shared" si="633"/>
        <v>46262</v>
      </c>
      <c r="L606" s="125">
        <v>46182</v>
      </c>
      <c r="M606" s="125">
        <f t="shared" si="634"/>
        <v>46304</v>
      </c>
      <c r="N606" s="125">
        <f t="shared" si="635"/>
        <v>46304</v>
      </c>
      <c r="O606" s="125">
        <v>46191</v>
      </c>
      <c r="P606" s="125">
        <f t="shared" si="636"/>
        <v>46346</v>
      </c>
      <c r="Q606" s="125">
        <f t="shared" si="637"/>
        <v>46346</v>
      </c>
      <c r="R606" s="127">
        <v>46252</v>
      </c>
      <c r="S606" s="125">
        <f t="shared" si="639"/>
        <v>46360</v>
      </c>
      <c r="T606" s="125">
        <f t="shared" si="638"/>
        <v>46360</v>
      </c>
      <c r="U606" s="165">
        <v>46262</v>
      </c>
      <c r="W606" s="173" t="str">
        <f t="shared" ca="1" si="629"/>
        <v>Completed</v>
      </c>
      <c r="X606" s="173" t="str">
        <f t="shared" ca="1" si="630"/>
        <v>Completed</v>
      </c>
      <c r="Y606" s="173" t="str">
        <f t="shared" ca="1" si="631"/>
        <v>Completed</v>
      </c>
      <c r="Z606" s="174" t="str">
        <f t="shared" ca="1" si="632"/>
        <v>Completed</v>
      </c>
    </row>
    <row r="607" spans="1:26" s="70" customFormat="1" ht="11.5" x14ac:dyDescent="0.25">
      <c r="A607" s="121" t="s">
        <v>65</v>
      </c>
      <c r="B607" s="121" t="s">
        <v>14</v>
      </c>
      <c r="C607" s="121" t="s">
        <v>883</v>
      </c>
      <c r="D607" s="121" t="s">
        <v>862</v>
      </c>
      <c r="E607" s="123">
        <f t="shared" si="647"/>
        <v>0.5</v>
      </c>
      <c r="F607" s="123">
        <f t="shared" si="648"/>
        <v>0.5</v>
      </c>
      <c r="G607" s="123">
        <f t="shared" si="648"/>
        <v>1</v>
      </c>
      <c r="H607" s="123">
        <f t="shared" si="649"/>
        <v>0.5</v>
      </c>
      <c r="I607" s="124">
        <v>4.7E-2</v>
      </c>
      <c r="J607" s="125">
        <f t="shared" si="650"/>
        <v>46262</v>
      </c>
      <c r="K607" s="125">
        <f t="shared" si="633"/>
        <v>46262</v>
      </c>
      <c r="L607" s="145">
        <v>46162</v>
      </c>
      <c r="M607" s="125">
        <f t="shared" si="634"/>
        <v>46304</v>
      </c>
      <c r="N607" s="125">
        <f t="shared" si="635"/>
        <v>46304</v>
      </c>
      <c r="O607" s="125">
        <v>46191</v>
      </c>
      <c r="P607" s="125">
        <f t="shared" si="636"/>
        <v>46346</v>
      </c>
      <c r="Q607" s="125">
        <f t="shared" si="637"/>
        <v>46346</v>
      </c>
      <c r="R607" s="127">
        <v>46252</v>
      </c>
      <c r="S607" s="125">
        <f t="shared" si="639"/>
        <v>46360</v>
      </c>
      <c r="T607" s="125">
        <f t="shared" si="638"/>
        <v>46360</v>
      </c>
      <c r="U607" s="165">
        <v>46262</v>
      </c>
      <c r="W607" s="173" t="str">
        <f t="shared" ref="W607:W672" ca="1" si="651">IF(OR(L607&lt;&gt;""),"Completed",
IF(K607="","",IF(K607&lt;TODAY(),"Overdue",
IF(AND(K607&gt;=TODAY()-WEEKDAY(TODAY(),2)+1,K607&lt;=TODAY()-WEEKDAY(TODAY(),2)+7),"Follow-This Week",
IF(AND(K607&gt;=TODAY()-WEEKDAY(TODAY(),2)+8,K607&lt;=TODAY()-WEEKDAY(TODAY(),2)+14),"Follow-Next Week","")))))</f>
        <v>Completed</v>
      </c>
      <c r="X607" s="173" t="str">
        <f t="shared" ref="X607:X672" ca="1" si="652">IF(OR(O607&lt;&gt;""),"Completed",IF(N607="","",
IF(N607&lt;TODAY(),"Overdue",
IF(AND(N607&gt;=TODAY()-WEEKDAY(TODAY(),2)+1,N607&lt;=TODAY()-WEEKDAY(TODAY(),2)+7),"Follow-This Week",
IF(AND(N607&gt;=TODAY()-WEEKDAY(TODAY(),2)+8,N607&lt;=TODAY()-WEEKDAY(TODAY(),2)+14),"Follow-Next Week","")))))</f>
        <v>Completed</v>
      </c>
      <c r="Y607" s="173" t="str">
        <f t="shared" ref="Y607:Y672" ca="1" si="653">IF(OR(R607&lt;&gt;""),"Completed",IF(Q607="","",
IF(Q607&lt;TODAY(),"Overdue",
IF(AND(Q607&gt;=TODAY()-WEEKDAY(TODAY(),2)+1,Q607&lt;=TODAY()-WEEKDAY(TODAY(),2)+7),"Follow-This Week",
IF(AND(Q607&gt;=TODAY()-WEEKDAY(TODAY(),2)+8,Q607&lt;=TODAY()-WEEKDAY(TODAY(),2)+14),"Follow-Next Week","")))))</f>
        <v>Completed</v>
      </c>
      <c r="Z607" s="174" t="str">
        <f t="shared" ref="Z607:Z672" ca="1" si="654">IF(OR(U607&lt;&gt;""),"Completed",IF(T607="","",
IF(T607&lt;TODAY(),"Overdue",
IF(AND(T607&gt;=TODAY()-WEEKDAY(TODAY(),2)+1,T607&lt;=TODAY()-WEEKDAY(TODAY(),2)+7),"Follow-This Week",
IF(AND(T607&gt;=TODAY()-WEEKDAY(TODAY(),2)+8,T607&lt;=TODAY()-WEEKDAY(TODAY(),2)+14),"Follow-Next Week","")))))</f>
        <v>Completed</v>
      </c>
    </row>
    <row r="608" spans="1:26" s="70" customFormat="1" ht="11.5" x14ac:dyDescent="0.25">
      <c r="A608" s="121" t="s">
        <v>65</v>
      </c>
      <c r="B608" s="121" t="s">
        <v>14</v>
      </c>
      <c r="C608" s="121" t="s">
        <v>884</v>
      </c>
      <c r="D608" s="121" t="s">
        <v>863</v>
      </c>
      <c r="E608" s="123">
        <f t="shared" si="647"/>
        <v>0.5</v>
      </c>
      <c r="F608" s="123">
        <f t="shared" si="648"/>
        <v>0.5</v>
      </c>
      <c r="G608" s="123">
        <f t="shared" si="648"/>
        <v>1</v>
      </c>
      <c r="H608" s="123">
        <f t="shared" si="649"/>
        <v>0.5</v>
      </c>
      <c r="I608" s="124">
        <v>4.7E-2</v>
      </c>
      <c r="J608" s="125">
        <f t="shared" si="650"/>
        <v>46262</v>
      </c>
      <c r="K608" s="125">
        <f t="shared" si="633"/>
        <v>46262</v>
      </c>
      <c r="L608" s="145">
        <v>46162</v>
      </c>
      <c r="M608" s="125">
        <f t="shared" si="634"/>
        <v>46304</v>
      </c>
      <c r="N608" s="125">
        <f t="shared" si="635"/>
        <v>46304</v>
      </c>
      <c r="O608" s="125">
        <v>46191</v>
      </c>
      <c r="P608" s="125">
        <f t="shared" si="636"/>
        <v>46346</v>
      </c>
      <c r="Q608" s="125">
        <f t="shared" si="637"/>
        <v>46346</v>
      </c>
      <c r="R608" s="127">
        <v>46252</v>
      </c>
      <c r="S608" s="125">
        <f t="shared" si="639"/>
        <v>46360</v>
      </c>
      <c r="T608" s="125">
        <f t="shared" si="638"/>
        <v>46360</v>
      </c>
      <c r="U608" s="165">
        <v>46262</v>
      </c>
      <c r="W608" s="173" t="str">
        <f t="shared" ca="1" si="651"/>
        <v>Completed</v>
      </c>
      <c r="X608" s="173" t="str">
        <f t="shared" ca="1" si="652"/>
        <v>Completed</v>
      </c>
      <c r="Y608" s="173" t="str">
        <f t="shared" ca="1" si="653"/>
        <v>Completed</v>
      </c>
      <c r="Z608" s="174" t="str">
        <f t="shared" ca="1" si="654"/>
        <v>Completed</v>
      </c>
    </row>
    <row r="609" spans="1:26" s="70" customFormat="1" ht="11.5" x14ac:dyDescent="0.25">
      <c r="A609" s="121" t="s">
        <v>65</v>
      </c>
      <c r="B609" s="121" t="s">
        <v>14</v>
      </c>
      <c r="C609" s="121" t="s">
        <v>885</v>
      </c>
      <c r="D609" s="121" t="s">
        <v>864</v>
      </c>
      <c r="E609" s="123">
        <f t="shared" si="647"/>
        <v>0.5</v>
      </c>
      <c r="F609" s="123">
        <f t="shared" si="648"/>
        <v>0.5</v>
      </c>
      <c r="G609" s="123">
        <f t="shared" si="648"/>
        <v>1</v>
      </c>
      <c r="H609" s="123">
        <f t="shared" si="649"/>
        <v>0.5</v>
      </c>
      <c r="I609" s="124">
        <v>4.7E-2</v>
      </c>
      <c r="J609" s="125">
        <f t="shared" si="650"/>
        <v>46262</v>
      </c>
      <c r="K609" s="125">
        <f t="shared" si="633"/>
        <v>46262</v>
      </c>
      <c r="L609" s="145">
        <v>46162</v>
      </c>
      <c r="M609" s="125">
        <f t="shared" si="634"/>
        <v>46304</v>
      </c>
      <c r="N609" s="125">
        <f t="shared" si="635"/>
        <v>46304</v>
      </c>
      <c r="O609" s="125">
        <v>46191</v>
      </c>
      <c r="P609" s="125">
        <f t="shared" si="636"/>
        <v>46346</v>
      </c>
      <c r="Q609" s="125">
        <f t="shared" si="637"/>
        <v>46346</v>
      </c>
      <c r="R609" s="127">
        <v>46252</v>
      </c>
      <c r="S609" s="125">
        <f t="shared" si="639"/>
        <v>46360</v>
      </c>
      <c r="T609" s="125">
        <f t="shared" si="638"/>
        <v>46360</v>
      </c>
      <c r="U609" s="165">
        <v>46262</v>
      </c>
      <c r="W609" s="173" t="str">
        <f t="shared" ca="1" si="651"/>
        <v>Completed</v>
      </c>
      <c r="X609" s="173" t="str">
        <f t="shared" ca="1" si="652"/>
        <v>Completed</v>
      </c>
      <c r="Y609" s="173" t="str">
        <f t="shared" ca="1" si="653"/>
        <v>Completed</v>
      </c>
      <c r="Z609" s="174" t="str">
        <f t="shared" ca="1" si="654"/>
        <v>Completed</v>
      </c>
    </row>
    <row r="610" spans="1:26" s="70" customFormat="1" ht="11.5" x14ac:dyDescent="0.25">
      <c r="A610" s="121" t="s">
        <v>65</v>
      </c>
      <c r="B610" s="121" t="s">
        <v>14</v>
      </c>
      <c r="C610" s="121" t="s">
        <v>886</v>
      </c>
      <c r="D610" s="121" t="s">
        <v>865</v>
      </c>
      <c r="E610" s="123">
        <f t="shared" si="647"/>
        <v>0.5</v>
      </c>
      <c r="F610" s="123">
        <f t="shared" si="648"/>
        <v>0.5</v>
      </c>
      <c r="G610" s="123">
        <f t="shared" si="648"/>
        <v>1</v>
      </c>
      <c r="H610" s="123">
        <f t="shared" si="649"/>
        <v>0.5</v>
      </c>
      <c r="I610" s="124">
        <v>4.7E-2</v>
      </c>
      <c r="J610" s="125">
        <f t="shared" si="650"/>
        <v>46262</v>
      </c>
      <c r="K610" s="125">
        <f t="shared" si="633"/>
        <v>46262</v>
      </c>
      <c r="L610" s="145">
        <v>46162</v>
      </c>
      <c r="M610" s="125">
        <f t="shared" si="634"/>
        <v>46304</v>
      </c>
      <c r="N610" s="125">
        <f t="shared" si="635"/>
        <v>46304</v>
      </c>
      <c r="O610" s="125">
        <v>46191</v>
      </c>
      <c r="P610" s="125">
        <f t="shared" si="636"/>
        <v>46346</v>
      </c>
      <c r="Q610" s="125">
        <f t="shared" si="637"/>
        <v>46346</v>
      </c>
      <c r="R610" s="127">
        <v>46252</v>
      </c>
      <c r="S610" s="125">
        <f t="shared" si="639"/>
        <v>46360</v>
      </c>
      <c r="T610" s="125">
        <f t="shared" si="638"/>
        <v>46360</v>
      </c>
      <c r="U610" s="165">
        <v>46262</v>
      </c>
      <c r="W610" s="173" t="str">
        <f t="shared" ca="1" si="651"/>
        <v>Completed</v>
      </c>
      <c r="X610" s="173" t="str">
        <f t="shared" ca="1" si="652"/>
        <v>Completed</v>
      </c>
      <c r="Y610" s="173" t="str">
        <f t="shared" ca="1" si="653"/>
        <v>Completed</v>
      </c>
      <c r="Z610" s="174" t="str">
        <f t="shared" ca="1" si="654"/>
        <v>Completed</v>
      </c>
    </row>
    <row r="611" spans="1:26" s="70" customFormat="1" ht="11.5" x14ac:dyDescent="0.25">
      <c r="A611" s="121" t="s">
        <v>65</v>
      </c>
      <c r="B611" s="121" t="s">
        <v>14</v>
      </c>
      <c r="C611" s="121" t="s">
        <v>887</v>
      </c>
      <c r="D611" s="121" t="s">
        <v>866</v>
      </c>
      <c r="E611" s="123">
        <f t="shared" si="647"/>
        <v>0.5</v>
      </c>
      <c r="F611" s="123">
        <f t="shared" si="648"/>
        <v>0.5</v>
      </c>
      <c r="G611" s="123">
        <f t="shared" si="648"/>
        <v>1</v>
      </c>
      <c r="H611" s="123">
        <f t="shared" si="649"/>
        <v>0.5</v>
      </c>
      <c r="I611" s="124">
        <v>4.7E-2</v>
      </c>
      <c r="J611" s="125">
        <f t="shared" si="650"/>
        <v>46262</v>
      </c>
      <c r="K611" s="125">
        <f t="shared" si="633"/>
        <v>46262</v>
      </c>
      <c r="L611" s="145">
        <v>46162</v>
      </c>
      <c r="M611" s="125">
        <f t="shared" si="634"/>
        <v>46304</v>
      </c>
      <c r="N611" s="125">
        <f t="shared" si="635"/>
        <v>46304</v>
      </c>
      <c r="O611" s="125">
        <v>46191</v>
      </c>
      <c r="P611" s="125">
        <f t="shared" si="636"/>
        <v>46346</v>
      </c>
      <c r="Q611" s="125">
        <f t="shared" si="637"/>
        <v>46346</v>
      </c>
      <c r="R611" s="127">
        <v>46252</v>
      </c>
      <c r="S611" s="125">
        <f t="shared" si="639"/>
        <v>46360</v>
      </c>
      <c r="T611" s="125">
        <f t="shared" si="638"/>
        <v>46360</v>
      </c>
      <c r="U611" s="165">
        <v>46262</v>
      </c>
      <c r="W611" s="173" t="str">
        <f t="shared" ca="1" si="651"/>
        <v>Completed</v>
      </c>
      <c r="X611" s="173" t="str">
        <f t="shared" ca="1" si="652"/>
        <v>Completed</v>
      </c>
      <c r="Y611" s="173" t="str">
        <f t="shared" ca="1" si="653"/>
        <v>Completed</v>
      </c>
      <c r="Z611" s="174" t="str">
        <f t="shared" ca="1" si="654"/>
        <v>Completed</v>
      </c>
    </row>
    <row r="612" spans="1:26" s="70" customFormat="1" ht="11.5" x14ac:dyDescent="0.25">
      <c r="A612" s="121" t="s">
        <v>65</v>
      </c>
      <c r="B612" s="121" t="s">
        <v>14</v>
      </c>
      <c r="C612" s="121" t="s">
        <v>888</v>
      </c>
      <c r="D612" s="121" t="s">
        <v>867</v>
      </c>
      <c r="E612" s="123">
        <f t="shared" si="647"/>
        <v>0.5</v>
      </c>
      <c r="F612" s="123">
        <f t="shared" si="648"/>
        <v>0.5</v>
      </c>
      <c r="G612" s="123">
        <f t="shared" si="648"/>
        <v>1</v>
      </c>
      <c r="H612" s="123">
        <f t="shared" si="649"/>
        <v>0.5</v>
      </c>
      <c r="I612" s="124">
        <v>4.7E-2</v>
      </c>
      <c r="J612" s="125">
        <f t="shared" si="650"/>
        <v>46262</v>
      </c>
      <c r="K612" s="125">
        <f t="shared" si="633"/>
        <v>46262</v>
      </c>
      <c r="L612" s="145">
        <v>46162</v>
      </c>
      <c r="M612" s="125">
        <f t="shared" si="634"/>
        <v>46304</v>
      </c>
      <c r="N612" s="125">
        <f t="shared" si="635"/>
        <v>46304</v>
      </c>
      <c r="O612" s="125">
        <v>46191</v>
      </c>
      <c r="P612" s="125">
        <f t="shared" si="636"/>
        <v>46346</v>
      </c>
      <c r="Q612" s="125">
        <f t="shared" si="637"/>
        <v>46346</v>
      </c>
      <c r="R612" s="127">
        <v>46252</v>
      </c>
      <c r="S612" s="125">
        <f t="shared" si="639"/>
        <v>46360</v>
      </c>
      <c r="T612" s="125">
        <f t="shared" si="638"/>
        <v>46360</v>
      </c>
      <c r="U612" s="165">
        <v>46262</v>
      </c>
      <c r="W612" s="173" t="str">
        <f t="shared" ca="1" si="651"/>
        <v>Completed</v>
      </c>
      <c r="X612" s="173" t="str">
        <f t="shared" ca="1" si="652"/>
        <v>Completed</v>
      </c>
      <c r="Y612" s="173" t="str">
        <f t="shared" ca="1" si="653"/>
        <v>Completed</v>
      </c>
      <c r="Z612" s="174" t="str">
        <f t="shared" ca="1" si="654"/>
        <v>Completed</v>
      </c>
    </row>
    <row r="613" spans="1:26" s="70" customFormat="1" ht="11.5" x14ac:dyDescent="0.25">
      <c r="A613" s="122" t="s">
        <v>65</v>
      </c>
      <c r="B613" s="122" t="s">
        <v>14</v>
      </c>
      <c r="C613" s="122" t="s">
        <v>889</v>
      </c>
      <c r="D613" s="122" t="s">
        <v>868</v>
      </c>
      <c r="E613" s="128">
        <f t="shared" si="647"/>
        <v>0.5</v>
      </c>
      <c r="F613" s="123">
        <f t="shared" si="648"/>
        <v>0.5</v>
      </c>
      <c r="G613" s="123">
        <f t="shared" si="648"/>
        <v>1</v>
      </c>
      <c r="H613" s="123">
        <f t="shared" si="649"/>
        <v>0.5</v>
      </c>
      <c r="I613" s="124">
        <v>4.7E-2</v>
      </c>
      <c r="J613" s="125">
        <f t="shared" si="650"/>
        <v>46262</v>
      </c>
      <c r="K613" s="125">
        <f t="shared" ref="K613:K676" si="655">J613</f>
        <v>46262</v>
      </c>
      <c r="L613" s="145">
        <v>46162</v>
      </c>
      <c r="M613" s="125">
        <f t="shared" ref="M613:M676" si="656">J613+42</f>
        <v>46304</v>
      </c>
      <c r="N613" s="125">
        <f t="shared" ref="N613:N676" si="657">M613</f>
        <v>46304</v>
      </c>
      <c r="O613" s="125">
        <v>46191</v>
      </c>
      <c r="P613" s="125">
        <f t="shared" ref="P613:P676" si="658">M613+42</f>
        <v>46346</v>
      </c>
      <c r="Q613" s="125">
        <f t="shared" ref="Q613:Q676" si="659">P613</f>
        <v>46346</v>
      </c>
      <c r="R613" s="127">
        <v>46252</v>
      </c>
      <c r="S613" s="125">
        <f t="shared" si="639"/>
        <v>46360</v>
      </c>
      <c r="T613" s="125">
        <f t="shared" ref="T613:T676" si="660">S613</f>
        <v>46360</v>
      </c>
      <c r="U613" s="165">
        <v>46262</v>
      </c>
      <c r="W613" s="173" t="str">
        <f t="shared" ca="1" si="651"/>
        <v>Completed</v>
      </c>
      <c r="X613" s="173" t="str">
        <f t="shared" ca="1" si="652"/>
        <v>Completed</v>
      </c>
      <c r="Y613" s="173" t="str">
        <f t="shared" ca="1" si="653"/>
        <v>Completed</v>
      </c>
      <c r="Z613" s="174" t="str">
        <f t="shared" ca="1" si="654"/>
        <v>Completed</v>
      </c>
    </row>
    <row r="614" spans="1:26" s="70" customFormat="1" ht="11.5" x14ac:dyDescent="0.25">
      <c r="A614" s="122" t="s">
        <v>65</v>
      </c>
      <c r="B614" s="122" t="s">
        <v>14</v>
      </c>
      <c r="C614" s="122" t="s">
        <v>890</v>
      </c>
      <c r="D614" s="122" t="s">
        <v>869</v>
      </c>
      <c r="E614" s="128">
        <f t="shared" si="647"/>
        <v>0.5</v>
      </c>
      <c r="F614" s="123">
        <f t="shared" si="648"/>
        <v>0.5</v>
      </c>
      <c r="G614" s="123">
        <f t="shared" si="648"/>
        <v>1</v>
      </c>
      <c r="H614" s="123">
        <f t="shared" si="649"/>
        <v>0.5</v>
      </c>
      <c r="I614" s="124">
        <v>4.7E-2</v>
      </c>
      <c r="J614" s="125">
        <f t="shared" si="650"/>
        <v>46262</v>
      </c>
      <c r="K614" s="125">
        <f t="shared" si="655"/>
        <v>46262</v>
      </c>
      <c r="L614" s="145">
        <v>46162</v>
      </c>
      <c r="M614" s="125">
        <f t="shared" si="656"/>
        <v>46304</v>
      </c>
      <c r="N614" s="125">
        <f t="shared" si="657"/>
        <v>46304</v>
      </c>
      <c r="O614" s="125">
        <v>46191</v>
      </c>
      <c r="P614" s="125">
        <f t="shared" si="658"/>
        <v>46346</v>
      </c>
      <c r="Q614" s="125">
        <f t="shared" si="659"/>
        <v>46346</v>
      </c>
      <c r="R614" s="127">
        <v>46252</v>
      </c>
      <c r="S614" s="125">
        <f t="shared" ref="S614:S676" si="661">P614+14</f>
        <v>46360</v>
      </c>
      <c r="T614" s="125">
        <f t="shared" si="660"/>
        <v>46360</v>
      </c>
      <c r="U614" s="165">
        <v>46262</v>
      </c>
      <c r="W614" s="173" t="str">
        <f t="shared" ca="1" si="651"/>
        <v>Completed</v>
      </c>
      <c r="X614" s="173" t="str">
        <f t="shared" ca="1" si="652"/>
        <v>Completed</v>
      </c>
      <c r="Y614" s="173" t="str">
        <f t="shared" ca="1" si="653"/>
        <v>Completed</v>
      </c>
      <c r="Z614" s="174" t="str">
        <f t="shared" ca="1" si="654"/>
        <v>Completed</v>
      </c>
    </row>
    <row r="615" spans="1:26" s="70" customFormat="1" ht="11.5" x14ac:dyDescent="0.25">
      <c r="A615" s="122" t="s">
        <v>65</v>
      </c>
      <c r="B615" s="122" t="s">
        <v>14</v>
      </c>
      <c r="C615" s="122" t="s">
        <v>741</v>
      </c>
      <c r="D615" s="122" t="s">
        <v>742</v>
      </c>
      <c r="E615" s="128">
        <f t="shared" si="647"/>
        <v>0.5</v>
      </c>
      <c r="F615" s="123">
        <f t="shared" si="648"/>
        <v>0.5</v>
      </c>
      <c r="G615" s="123">
        <f t="shared" si="648"/>
        <v>0.7</v>
      </c>
      <c r="H615" s="123">
        <f t="shared" si="649"/>
        <v>0.19999999999999996</v>
      </c>
      <c r="I615" s="124">
        <v>4.7E-2</v>
      </c>
      <c r="J615" s="129">
        <f t="shared" si="650"/>
        <v>46248</v>
      </c>
      <c r="K615" s="129">
        <f t="shared" si="655"/>
        <v>46248</v>
      </c>
      <c r="L615" s="127">
        <v>46184</v>
      </c>
      <c r="M615" s="125">
        <f t="shared" si="656"/>
        <v>46290</v>
      </c>
      <c r="N615" s="129">
        <f t="shared" si="657"/>
        <v>46290</v>
      </c>
      <c r="O615" s="125">
        <v>46192</v>
      </c>
      <c r="P615" s="125">
        <f t="shared" si="658"/>
        <v>46332</v>
      </c>
      <c r="Q615" s="129">
        <f t="shared" si="659"/>
        <v>46332</v>
      </c>
      <c r="R615" s="125"/>
      <c r="S615" s="125">
        <f t="shared" si="661"/>
        <v>46346</v>
      </c>
      <c r="T615" s="129">
        <f t="shared" si="660"/>
        <v>46346</v>
      </c>
      <c r="U615" s="125"/>
      <c r="W615" s="173" t="str">
        <f t="shared" ca="1" si="651"/>
        <v>Completed</v>
      </c>
      <c r="X615" s="173" t="str">
        <f t="shared" ca="1" si="652"/>
        <v>Completed</v>
      </c>
      <c r="Y615" s="173" t="str">
        <f t="shared" ca="1" si="653"/>
        <v/>
      </c>
      <c r="Z615" s="174" t="str">
        <f t="shared" ca="1" si="654"/>
        <v/>
      </c>
    </row>
    <row r="616" spans="1:26" s="70" customFormat="1" ht="11.5" x14ac:dyDescent="0.25">
      <c r="A616" s="209" t="s">
        <v>65</v>
      </c>
      <c r="B616" s="209" t="s">
        <v>14</v>
      </c>
      <c r="C616" s="209" t="s">
        <v>743</v>
      </c>
      <c r="D616" s="209" t="s">
        <v>1208</v>
      </c>
      <c r="E616" s="210">
        <f t="shared" si="647"/>
        <v>0.5</v>
      </c>
      <c r="F616" s="200">
        <f t="shared" si="648"/>
        <v>0.5</v>
      </c>
      <c r="G616" s="200">
        <f t="shared" si="648"/>
        <v>1</v>
      </c>
      <c r="H616" s="200">
        <f t="shared" si="649"/>
        <v>0.5</v>
      </c>
      <c r="I616" s="201">
        <v>4.7E-2</v>
      </c>
      <c r="J616" s="211">
        <f t="shared" si="650"/>
        <v>46248</v>
      </c>
      <c r="K616" s="211">
        <f t="shared" si="655"/>
        <v>46248</v>
      </c>
      <c r="L616" s="202">
        <v>46184</v>
      </c>
      <c r="M616" s="202">
        <f t="shared" si="656"/>
        <v>46290</v>
      </c>
      <c r="N616" s="211">
        <f t="shared" si="657"/>
        <v>46290</v>
      </c>
      <c r="O616" s="202">
        <v>46192</v>
      </c>
      <c r="P616" s="202">
        <f t="shared" si="658"/>
        <v>46332</v>
      </c>
      <c r="Q616" s="211">
        <f t="shared" si="659"/>
        <v>46332</v>
      </c>
      <c r="R616" s="202">
        <v>46262</v>
      </c>
      <c r="S616" s="202">
        <f t="shared" si="661"/>
        <v>46346</v>
      </c>
      <c r="T616" s="211">
        <f t="shared" si="660"/>
        <v>46346</v>
      </c>
      <c r="U616" s="202">
        <v>46262</v>
      </c>
      <c r="W616" s="173" t="str">
        <f t="shared" ca="1" si="651"/>
        <v>Completed</v>
      </c>
      <c r="X616" s="173" t="str">
        <f t="shared" ca="1" si="652"/>
        <v>Completed</v>
      </c>
      <c r="Y616" s="173" t="str">
        <f t="shared" ca="1" si="653"/>
        <v>Completed</v>
      </c>
      <c r="Z616" s="174" t="str">
        <f t="shared" ca="1" si="654"/>
        <v>Completed</v>
      </c>
    </row>
    <row r="617" spans="1:26" s="70" customFormat="1" ht="11.5" x14ac:dyDescent="0.25">
      <c r="A617" s="122" t="s">
        <v>65</v>
      </c>
      <c r="B617" s="122" t="s">
        <v>14</v>
      </c>
      <c r="C617" s="122" t="s">
        <v>744</v>
      </c>
      <c r="D617" s="122" t="s">
        <v>745</v>
      </c>
      <c r="E617" s="128">
        <f t="shared" si="647"/>
        <v>0.5</v>
      </c>
      <c r="F617" s="123">
        <f t="shared" si="648"/>
        <v>0.5</v>
      </c>
      <c r="G617" s="123">
        <f t="shared" si="648"/>
        <v>0</v>
      </c>
      <c r="H617" s="123">
        <f t="shared" si="649"/>
        <v>-0.5</v>
      </c>
      <c r="I617" s="124">
        <v>4.7E-2</v>
      </c>
      <c r="J617" s="129">
        <f t="shared" si="650"/>
        <v>46248</v>
      </c>
      <c r="K617" s="129">
        <f t="shared" si="655"/>
        <v>46248</v>
      </c>
      <c r="L617" s="125"/>
      <c r="M617" s="125">
        <f t="shared" si="656"/>
        <v>46290</v>
      </c>
      <c r="N617" s="129">
        <f t="shared" si="657"/>
        <v>46290</v>
      </c>
      <c r="O617" s="125"/>
      <c r="P617" s="125">
        <f t="shared" si="658"/>
        <v>46332</v>
      </c>
      <c r="Q617" s="129">
        <f t="shared" si="659"/>
        <v>46332</v>
      </c>
      <c r="R617" s="125"/>
      <c r="S617" s="125">
        <f t="shared" si="661"/>
        <v>46346</v>
      </c>
      <c r="T617" s="129">
        <f t="shared" si="660"/>
        <v>46346</v>
      </c>
      <c r="U617" s="125"/>
      <c r="W617" s="173" t="str">
        <f t="shared" ca="1" si="651"/>
        <v>Overdue</v>
      </c>
      <c r="X617" s="173" t="str">
        <f t="shared" ca="1" si="652"/>
        <v/>
      </c>
      <c r="Y617" s="173" t="str">
        <f t="shared" ca="1" si="653"/>
        <v/>
      </c>
      <c r="Z617" s="174" t="str">
        <f t="shared" ca="1" si="654"/>
        <v/>
      </c>
    </row>
    <row r="618" spans="1:26" s="70" customFormat="1" ht="11.5" x14ac:dyDescent="0.25">
      <c r="A618" s="122" t="s">
        <v>65</v>
      </c>
      <c r="B618" s="122" t="s">
        <v>14</v>
      </c>
      <c r="C618" s="122" t="s">
        <v>746</v>
      </c>
      <c r="D618" s="122" t="s">
        <v>747</v>
      </c>
      <c r="E618" s="128">
        <f t="shared" si="647"/>
        <v>0.5</v>
      </c>
      <c r="F618" s="123">
        <f t="shared" si="648"/>
        <v>0.5</v>
      </c>
      <c r="G618" s="123">
        <f t="shared" si="648"/>
        <v>0</v>
      </c>
      <c r="H618" s="123">
        <f t="shared" si="649"/>
        <v>-0.5</v>
      </c>
      <c r="I618" s="124">
        <v>4.7E-2</v>
      </c>
      <c r="J618" s="129">
        <f t="shared" si="650"/>
        <v>46248</v>
      </c>
      <c r="K618" s="129">
        <f t="shared" si="655"/>
        <v>46248</v>
      </c>
      <c r="L618" s="125"/>
      <c r="M618" s="125">
        <f t="shared" si="656"/>
        <v>46290</v>
      </c>
      <c r="N618" s="129">
        <f t="shared" si="657"/>
        <v>46290</v>
      </c>
      <c r="O618" s="125"/>
      <c r="P618" s="125">
        <f t="shared" si="658"/>
        <v>46332</v>
      </c>
      <c r="Q618" s="129">
        <f t="shared" si="659"/>
        <v>46332</v>
      </c>
      <c r="R618" s="125"/>
      <c r="S618" s="125">
        <f t="shared" si="661"/>
        <v>46346</v>
      </c>
      <c r="T618" s="129">
        <f t="shared" si="660"/>
        <v>46346</v>
      </c>
      <c r="U618" s="125"/>
      <c r="W618" s="173" t="str">
        <f t="shared" ca="1" si="651"/>
        <v>Overdue</v>
      </c>
      <c r="X618" s="173" t="str">
        <f t="shared" ca="1" si="652"/>
        <v/>
      </c>
      <c r="Y618" s="173" t="str">
        <f t="shared" ca="1" si="653"/>
        <v/>
      </c>
      <c r="Z618" s="174" t="str">
        <f t="shared" ca="1" si="654"/>
        <v/>
      </c>
    </row>
    <row r="619" spans="1:26" s="70" customFormat="1" ht="11.5" x14ac:dyDescent="0.25">
      <c r="A619" s="122" t="s">
        <v>65</v>
      </c>
      <c r="B619" s="122" t="s">
        <v>14</v>
      </c>
      <c r="C619" s="122" t="s">
        <v>748</v>
      </c>
      <c r="D619" s="122" t="s">
        <v>749</v>
      </c>
      <c r="E619" s="128">
        <f t="shared" si="647"/>
        <v>0</v>
      </c>
      <c r="F619" s="123">
        <f t="shared" si="648"/>
        <v>0</v>
      </c>
      <c r="G619" s="123">
        <f t="shared" si="648"/>
        <v>0.5</v>
      </c>
      <c r="H619" s="123">
        <f t="shared" si="649"/>
        <v>0.5</v>
      </c>
      <c r="I619" s="124">
        <v>4.7E-2</v>
      </c>
      <c r="J619" s="129">
        <f t="shared" si="650"/>
        <v>46269</v>
      </c>
      <c r="K619" s="129">
        <f t="shared" si="655"/>
        <v>46269</v>
      </c>
      <c r="L619" s="125">
        <v>46142</v>
      </c>
      <c r="M619" s="125">
        <f t="shared" si="656"/>
        <v>46311</v>
      </c>
      <c r="N619" s="129">
        <f t="shared" si="657"/>
        <v>46311</v>
      </c>
      <c r="O619" s="125"/>
      <c r="P619" s="125">
        <f t="shared" si="658"/>
        <v>46353</v>
      </c>
      <c r="Q619" s="129">
        <f t="shared" si="659"/>
        <v>46353</v>
      </c>
      <c r="R619" s="125"/>
      <c r="S619" s="125">
        <f t="shared" si="661"/>
        <v>46367</v>
      </c>
      <c r="T619" s="129">
        <f t="shared" si="660"/>
        <v>46367</v>
      </c>
      <c r="U619" s="125"/>
      <c r="W619" s="173" t="str">
        <f t="shared" ca="1" si="651"/>
        <v>Completed</v>
      </c>
      <c r="X619" s="173" t="str">
        <f t="shared" ca="1" si="652"/>
        <v/>
      </c>
      <c r="Y619" s="173" t="str">
        <f t="shared" ca="1" si="653"/>
        <v/>
      </c>
      <c r="Z619" s="174" t="str">
        <f t="shared" ca="1" si="654"/>
        <v/>
      </c>
    </row>
    <row r="620" spans="1:26" s="70" customFormat="1" ht="11.5" x14ac:dyDescent="0.25">
      <c r="A620" s="122" t="s">
        <v>65</v>
      </c>
      <c r="B620" s="122" t="s">
        <v>14</v>
      </c>
      <c r="C620" s="122" t="s">
        <v>1091</v>
      </c>
      <c r="D620" s="122" t="s">
        <v>750</v>
      </c>
      <c r="E620" s="128">
        <f t="shared" si="647"/>
        <v>0</v>
      </c>
      <c r="F620" s="123">
        <f t="shared" si="648"/>
        <v>0</v>
      </c>
      <c r="G620" s="123">
        <f t="shared" si="648"/>
        <v>0.5</v>
      </c>
      <c r="H620" s="123">
        <f t="shared" si="649"/>
        <v>0.5</v>
      </c>
      <c r="I620" s="124">
        <v>4.7E-2</v>
      </c>
      <c r="J620" s="129">
        <f t="shared" si="650"/>
        <v>46269</v>
      </c>
      <c r="K620" s="129">
        <f t="shared" si="655"/>
        <v>46269</v>
      </c>
      <c r="L620" s="125">
        <v>46142</v>
      </c>
      <c r="M620" s="125">
        <f t="shared" si="656"/>
        <v>46311</v>
      </c>
      <c r="N620" s="129">
        <f t="shared" si="657"/>
        <v>46311</v>
      </c>
      <c r="O620" s="125"/>
      <c r="P620" s="125">
        <f t="shared" si="658"/>
        <v>46353</v>
      </c>
      <c r="Q620" s="129">
        <f t="shared" si="659"/>
        <v>46353</v>
      </c>
      <c r="R620" s="125"/>
      <c r="S620" s="125">
        <f t="shared" si="661"/>
        <v>46367</v>
      </c>
      <c r="T620" s="129">
        <f t="shared" si="660"/>
        <v>46367</v>
      </c>
      <c r="U620" s="125"/>
      <c r="W620" s="173" t="str">
        <f t="shared" ca="1" si="651"/>
        <v>Completed</v>
      </c>
      <c r="X620" s="173" t="str">
        <f t="shared" ca="1" si="652"/>
        <v/>
      </c>
      <c r="Y620" s="173" t="str">
        <f t="shared" ca="1" si="653"/>
        <v/>
      </c>
      <c r="Z620" s="174" t="str">
        <f t="shared" ca="1" si="654"/>
        <v/>
      </c>
    </row>
    <row r="621" spans="1:26" s="70" customFormat="1" ht="11.5" x14ac:dyDescent="0.25">
      <c r="A621" s="122" t="s">
        <v>65</v>
      </c>
      <c r="B621" s="122" t="s">
        <v>14</v>
      </c>
      <c r="C621" s="122" t="s">
        <v>1092</v>
      </c>
      <c r="D621" s="122" t="s">
        <v>751</v>
      </c>
      <c r="E621" s="128">
        <f t="shared" ref="E621" si="662">(COUNTIFS(J621,"&lt;="&amp;$C$1)*50%)+(COUNTIFS(M621,"&lt;="&amp;$C$1)*20%)+(COUNTIFS(P621,"&lt;="&amp;$C$1)*10%)+(COUNTIFS(S621,"&lt;="&amp;$C$1)*20%)</f>
        <v>0</v>
      </c>
      <c r="F621" s="123">
        <f t="shared" ref="F621" si="663">(COUNTIFS(K621,"&lt;="&amp;$C$1)*50%)+(COUNTIFS(N621,"&lt;="&amp;$C$1)*20%)+(COUNTIFS(Q621,"&lt;="&amp;$C$1)*10%)+(COUNTIFS(T621,"&lt;="&amp;$C$1)*20%)</f>
        <v>0</v>
      </c>
      <c r="G621" s="123">
        <f t="shared" ref="G621" si="664">(COUNTIFS(L621,"&lt;="&amp;$C$1)*50%)+(COUNTIFS(O621,"&lt;="&amp;$C$1)*20%)+(COUNTIFS(R621,"&lt;="&amp;$C$1)*10%)+(COUNTIFS(U621,"&lt;="&amp;$C$1)*20%)</f>
        <v>0.5</v>
      </c>
      <c r="H621" s="123">
        <f t="shared" ref="H621" si="665">G621-E621</f>
        <v>0.5</v>
      </c>
      <c r="I621" s="124">
        <v>4.7E-2</v>
      </c>
      <c r="J621" s="129">
        <f t="shared" si="650"/>
        <v>46269</v>
      </c>
      <c r="K621" s="129">
        <f t="shared" si="655"/>
        <v>46269</v>
      </c>
      <c r="L621" s="125">
        <v>46142</v>
      </c>
      <c r="M621" s="125">
        <f t="shared" si="656"/>
        <v>46311</v>
      </c>
      <c r="N621" s="129">
        <f t="shared" si="657"/>
        <v>46311</v>
      </c>
      <c r="O621" s="125"/>
      <c r="P621" s="125">
        <f t="shared" si="658"/>
        <v>46353</v>
      </c>
      <c r="Q621" s="129">
        <f t="shared" si="659"/>
        <v>46353</v>
      </c>
      <c r="R621" s="125"/>
      <c r="S621" s="125">
        <f t="shared" si="661"/>
        <v>46367</v>
      </c>
      <c r="T621" s="129">
        <f t="shared" si="660"/>
        <v>46367</v>
      </c>
      <c r="U621" s="125"/>
      <c r="W621" s="173" t="str">
        <f t="shared" ca="1" si="651"/>
        <v>Completed</v>
      </c>
      <c r="X621" s="173" t="str">
        <f t="shared" ca="1" si="652"/>
        <v/>
      </c>
      <c r="Y621" s="173" t="str">
        <f t="shared" ca="1" si="653"/>
        <v/>
      </c>
      <c r="Z621" s="174" t="str">
        <f t="shared" ca="1" si="654"/>
        <v/>
      </c>
    </row>
    <row r="622" spans="1:26" s="70" customFormat="1" ht="11.5" x14ac:dyDescent="0.25">
      <c r="A622" s="122" t="s">
        <v>65</v>
      </c>
      <c r="B622" s="122" t="s">
        <v>14</v>
      </c>
      <c r="C622" s="122" t="s">
        <v>1093</v>
      </c>
      <c r="D622" s="122" t="s">
        <v>752</v>
      </c>
      <c r="E622" s="128">
        <f t="shared" si="647"/>
        <v>0</v>
      </c>
      <c r="F622" s="123">
        <f t="shared" si="648"/>
        <v>0</v>
      </c>
      <c r="G622" s="123">
        <f t="shared" si="648"/>
        <v>0.5</v>
      </c>
      <c r="H622" s="123">
        <f t="shared" si="649"/>
        <v>0.5</v>
      </c>
      <c r="I622" s="124">
        <v>4.7E-2</v>
      </c>
      <c r="J622" s="129">
        <f t="shared" si="650"/>
        <v>46269</v>
      </c>
      <c r="K622" s="129">
        <f t="shared" si="655"/>
        <v>46269</v>
      </c>
      <c r="L622" s="125">
        <v>46142</v>
      </c>
      <c r="M622" s="125">
        <f t="shared" si="656"/>
        <v>46311</v>
      </c>
      <c r="N622" s="129">
        <f t="shared" si="657"/>
        <v>46311</v>
      </c>
      <c r="O622" s="125"/>
      <c r="P622" s="125">
        <f t="shared" si="658"/>
        <v>46353</v>
      </c>
      <c r="Q622" s="129">
        <f t="shared" si="659"/>
        <v>46353</v>
      </c>
      <c r="R622" s="125"/>
      <c r="S622" s="125">
        <f t="shared" si="661"/>
        <v>46367</v>
      </c>
      <c r="T622" s="129">
        <f t="shared" si="660"/>
        <v>46367</v>
      </c>
      <c r="U622" s="125"/>
      <c r="W622" s="173" t="str">
        <f t="shared" ca="1" si="651"/>
        <v>Completed</v>
      </c>
      <c r="X622" s="173" t="str">
        <f t="shared" ca="1" si="652"/>
        <v/>
      </c>
      <c r="Y622" s="173" t="str">
        <f t="shared" ca="1" si="653"/>
        <v/>
      </c>
      <c r="Z622" s="174" t="str">
        <f t="shared" ca="1" si="654"/>
        <v/>
      </c>
    </row>
    <row r="623" spans="1:26" s="70" customFormat="1" ht="11.5" x14ac:dyDescent="0.25">
      <c r="A623" s="122" t="s">
        <v>65</v>
      </c>
      <c r="B623" s="122" t="s">
        <v>14</v>
      </c>
      <c r="C623" s="122" t="s">
        <v>1094</v>
      </c>
      <c r="D623" s="122" t="s">
        <v>753</v>
      </c>
      <c r="E623" s="128">
        <f t="shared" si="647"/>
        <v>0</v>
      </c>
      <c r="F623" s="123">
        <f t="shared" si="648"/>
        <v>0</v>
      </c>
      <c r="G623" s="123">
        <f t="shared" si="648"/>
        <v>0.5</v>
      </c>
      <c r="H623" s="123">
        <f t="shared" si="649"/>
        <v>0.5</v>
      </c>
      <c r="I623" s="124">
        <v>4.7E-2</v>
      </c>
      <c r="J623" s="129">
        <f t="shared" si="650"/>
        <v>46269</v>
      </c>
      <c r="K623" s="129">
        <f t="shared" si="655"/>
        <v>46269</v>
      </c>
      <c r="L623" s="125">
        <v>46142</v>
      </c>
      <c r="M623" s="125">
        <f t="shared" si="656"/>
        <v>46311</v>
      </c>
      <c r="N623" s="129">
        <f t="shared" si="657"/>
        <v>46311</v>
      </c>
      <c r="O623" s="125"/>
      <c r="P623" s="125">
        <f t="shared" si="658"/>
        <v>46353</v>
      </c>
      <c r="Q623" s="129">
        <f t="shared" si="659"/>
        <v>46353</v>
      </c>
      <c r="R623" s="125"/>
      <c r="S623" s="125">
        <f t="shared" si="661"/>
        <v>46367</v>
      </c>
      <c r="T623" s="129">
        <f t="shared" si="660"/>
        <v>46367</v>
      </c>
      <c r="U623" s="125"/>
      <c r="W623" s="173" t="str">
        <f t="shared" ca="1" si="651"/>
        <v>Completed</v>
      </c>
      <c r="X623" s="173" t="str">
        <f t="shared" ca="1" si="652"/>
        <v/>
      </c>
      <c r="Y623" s="173" t="str">
        <f t="shared" ca="1" si="653"/>
        <v/>
      </c>
      <c r="Z623" s="174" t="str">
        <f t="shared" ca="1" si="654"/>
        <v/>
      </c>
    </row>
    <row r="624" spans="1:26" s="70" customFormat="1" ht="11.5" x14ac:dyDescent="0.25">
      <c r="A624" s="122" t="s">
        <v>65</v>
      </c>
      <c r="B624" s="122" t="s">
        <v>14</v>
      </c>
      <c r="C624" s="122" t="s">
        <v>1095</v>
      </c>
      <c r="D624" s="122" t="s">
        <v>754</v>
      </c>
      <c r="E624" s="128">
        <f t="shared" si="647"/>
        <v>0</v>
      </c>
      <c r="F624" s="123">
        <f t="shared" si="648"/>
        <v>0</v>
      </c>
      <c r="G624" s="123">
        <f t="shared" si="648"/>
        <v>0.5</v>
      </c>
      <c r="H624" s="123">
        <f t="shared" si="649"/>
        <v>0.5</v>
      </c>
      <c r="I624" s="124">
        <v>4.7E-2</v>
      </c>
      <c r="J624" s="129">
        <f t="shared" si="650"/>
        <v>46269</v>
      </c>
      <c r="K624" s="129">
        <f t="shared" si="655"/>
        <v>46269</v>
      </c>
      <c r="L624" s="125">
        <v>46142</v>
      </c>
      <c r="M624" s="125">
        <f t="shared" si="656"/>
        <v>46311</v>
      </c>
      <c r="N624" s="129">
        <f t="shared" si="657"/>
        <v>46311</v>
      </c>
      <c r="O624" s="125"/>
      <c r="P624" s="125">
        <f t="shared" si="658"/>
        <v>46353</v>
      </c>
      <c r="Q624" s="129">
        <f t="shared" si="659"/>
        <v>46353</v>
      </c>
      <c r="R624" s="125"/>
      <c r="S624" s="125">
        <f t="shared" si="661"/>
        <v>46367</v>
      </c>
      <c r="T624" s="129">
        <f t="shared" si="660"/>
        <v>46367</v>
      </c>
      <c r="U624" s="125"/>
      <c r="W624" s="173" t="str">
        <f t="shared" ca="1" si="651"/>
        <v>Completed</v>
      </c>
      <c r="X624" s="173" t="str">
        <f t="shared" ca="1" si="652"/>
        <v/>
      </c>
      <c r="Y624" s="173" t="str">
        <f t="shared" ca="1" si="653"/>
        <v/>
      </c>
      <c r="Z624" s="174" t="str">
        <f t="shared" ca="1" si="654"/>
        <v/>
      </c>
    </row>
    <row r="625" spans="1:26" s="70" customFormat="1" ht="11.5" x14ac:dyDescent="0.25">
      <c r="A625" s="122" t="s">
        <v>65</v>
      </c>
      <c r="B625" s="122" t="s">
        <v>14</v>
      </c>
      <c r="C625" s="122" t="s">
        <v>1096</v>
      </c>
      <c r="D625" s="122" t="s">
        <v>755</v>
      </c>
      <c r="E625" s="128">
        <f t="shared" si="647"/>
        <v>0</v>
      </c>
      <c r="F625" s="123">
        <f t="shared" si="648"/>
        <v>0</v>
      </c>
      <c r="G625" s="123">
        <f t="shared" si="648"/>
        <v>0.5</v>
      </c>
      <c r="H625" s="123">
        <f t="shared" si="649"/>
        <v>0.5</v>
      </c>
      <c r="I625" s="124">
        <v>4.7E-2</v>
      </c>
      <c r="J625" s="129">
        <f t="shared" si="650"/>
        <v>46269</v>
      </c>
      <c r="K625" s="129">
        <f t="shared" si="655"/>
        <v>46269</v>
      </c>
      <c r="L625" s="125">
        <v>46142</v>
      </c>
      <c r="M625" s="125">
        <f t="shared" si="656"/>
        <v>46311</v>
      </c>
      <c r="N625" s="129">
        <f t="shared" si="657"/>
        <v>46311</v>
      </c>
      <c r="O625" s="125"/>
      <c r="P625" s="125">
        <f t="shared" si="658"/>
        <v>46353</v>
      </c>
      <c r="Q625" s="129">
        <f t="shared" si="659"/>
        <v>46353</v>
      </c>
      <c r="R625" s="125"/>
      <c r="S625" s="125">
        <f t="shared" si="661"/>
        <v>46367</v>
      </c>
      <c r="T625" s="129">
        <f t="shared" si="660"/>
        <v>46367</v>
      </c>
      <c r="U625" s="125"/>
      <c r="W625" s="173" t="str">
        <f t="shared" ca="1" si="651"/>
        <v>Completed</v>
      </c>
      <c r="X625" s="173" t="str">
        <f t="shared" ca="1" si="652"/>
        <v/>
      </c>
      <c r="Y625" s="173" t="str">
        <f t="shared" ca="1" si="653"/>
        <v/>
      </c>
      <c r="Z625" s="174" t="str">
        <f t="shared" ca="1" si="654"/>
        <v/>
      </c>
    </row>
    <row r="626" spans="1:26" s="70" customFormat="1" ht="11.5" x14ac:dyDescent="0.25">
      <c r="A626" s="122" t="s">
        <v>65</v>
      </c>
      <c r="B626" s="122" t="s">
        <v>14</v>
      </c>
      <c r="C626" s="122" t="s">
        <v>1097</v>
      </c>
      <c r="D626" s="122" t="s">
        <v>756</v>
      </c>
      <c r="E626" s="128">
        <f t="shared" si="647"/>
        <v>0</v>
      </c>
      <c r="F626" s="123">
        <f t="shared" si="648"/>
        <v>0</v>
      </c>
      <c r="G626" s="123">
        <f t="shared" si="648"/>
        <v>0.5</v>
      </c>
      <c r="H626" s="123">
        <f t="shared" si="649"/>
        <v>0.5</v>
      </c>
      <c r="I626" s="124">
        <v>4.7E-2</v>
      </c>
      <c r="J626" s="129">
        <f t="shared" ref="J626:J646" si="666">J503+28</f>
        <v>46269</v>
      </c>
      <c r="K626" s="129">
        <f t="shared" si="655"/>
        <v>46269</v>
      </c>
      <c r="L626" s="125">
        <v>46142</v>
      </c>
      <c r="M626" s="125">
        <f t="shared" si="656"/>
        <v>46311</v>
      </c>
      <c r="N626" s="129">
        <f t="shared" si="657"/>
        <v>46311</v>
      </c>
      <c r="O626" s="125"/>
      <c r="P626" s="125">
        <f t="shared" si="658"/>
        <v>46353</v>
      </c>
      <c r="Q626" s="129">
        <f t="shared" si="659"/>
        <v>46353</v>
      </c>
      <c r="R626" s="125"/>
      <c r="S626" s="125">
        <f t="shared" si="661"/>
        <v>46367</v>
      </c>
      <c r="T626" s="129">
        <f t="shared" si="660"/>
        <v>46367</v>
      </c>
      <c r="U626" s="125"/>
      <c r="W626" s="173" t="str">
        <f t="shared" ca="1" si="651"/>
        <v>Completed</v>
      </c>
      <c r="X626" s="173" t="str">
        <f t="shared" ca="1" si="652"/>
        <v/>
      </c>
      <c r="Y626" s="173" t="str">
        <f t="shared" ca="1" si="653"/>
        <v/>
      </c>
      <c r="Z626" s="174" t="str">
        <f t="shared" ca="1" si="654"/>
        <v/>
      </c>
    </row>
    <row r="627" spans="1:26" s="70" customFormat="1" ht="11.5" x14ac:dyDescent="0.25">
      <c r="A627" s="122" t="s">
        <v>65</v>
      </c>
      <c r="B627" s="122" t="s">
        <v>14</v>
      </c>
      <c r="C627" s="122" t="s">
        <v>1098</v>
      </c>
      <c r="D627" s="122" t="s">
        <v>757</v>
      </c>
      <c r="E627" s="128">
        <f t="shared" si="647"/>
        <v>0</v>
      </c>
      <c r="F627" s="123">
        <f t="shared" si="648"/>
        <v>0</v>
      </c>
      <c r="G627" s="123">
        <f t="shared" si="648"/>
        <v>0.5</v>
      </c>
      <c r="H627" s="123">
        <f t="shared" si="649"/>
        <v>0.5</v>
      </c>
      <c r="I627" s="124">
        <v>4.7E-2</v>
      </c>
      <c r="J627" s="129">
        <f t="shared" si="666"/>
        <v>46269</v>
      </c>
      <c r="K627" s="129">
        <f t="shared" si="655"/>
        <v>46269</v>
      </c>
      <c r="L627" s="125">
        <v>46142</v>
      </c>
      <c r="M627" s="125">
        <f t="shared" si="656"/>
        <v>46311</v>
      </c>
      <c r="N627" s="129">
        <f t="shared" si="657"/>
        <v>46311</v>
      </c>
      <c r="O627" s="125"/>
      <c r="P627" s="125">
        <f t="shared" si="658"/>
        <v>46353</v>
      </c>
      <c r="Q627" s="129">
        <f t="shared" si="659"/>
        <v>46353</v>
      </c>
      <c r="R627" s="125"/>
      <c r="S627" s="125">
        <f t="shared" si="661"/>
        <v>46367</v>
      </c>
      <c r="T627" s="129">
        <f t="shared" si="660"/>
        <v>46367</v>
      </c>
      <c r="U627" s="125"/>
      <c r="W627" s="173" t="str">
        <f t="shared" ca="1" si="651"/>
        <v>Completed</v>
      </c>
      <c r="X627" s="173" t="str">
        <f t="shared" ca="1" si="652"/>
        <v/>
      </c>
      <c r="Y627" s="173" t="str">
        <f t="shared" ca="1" si="653"/>
        <v/>
      </c>
      <c r="Z627" s="174" t="str">
        <f t="shared" ca="1" si="654"/>
        <v/>
      </c>
    </row>
    <row r="628" spans="1:26" s="70" customFormat="1" ht="11.5" x14ac:dyDescent="0.25">
      <c r="A628" s="121" t="s">
        <v>65</v>
      </c>
      <c r="B628" s="121" t="s">
        <v>14</v>
      </c>
      <c r="C628" s="121" t="s">
        <v>1099</v>
      </c>
      <c r="D628" s="121" t="s">
        <v>758</v>
      </c>
      <c r="E628" s="123">
        <f t="shared" si="647"/>
        <v>0</v>
      </c>
      <c r="F628" s="123">
        <f t="shared" si="648"/>
        <v>0</v>
      </c>
      <c r="G628" s="123">
        <f t="shared" si="648"/>
        <v>0.5</v>
      </c>
      <c r="H628" s="123">
        <f t="shared" si="649"/>
        <v>0.5</v>
      </c>
      <c r="I628" s="124">
        <v>4.7E-2</v>
      </c>
      <c r="J628" s="129">
        <f t="shared" si="666"/>
        <v>46269</v>
      </c>
      <c r="K628" s="129">
        <f t="shared" si="655"/>
        <v>46269</v>
      </c>
      <c r="L628" s="125">
        <v>46142</v>
      </c>
      <c r="M628" s="125">
        <f t="shared" si="656"/>
        <v>46311</v>
      </c>
      <c r="N628" s="129">
        <f t="shared" si="657"/>
        <v>46311</v>
      </c>
      <c r="O628" s="125"/>
      <c r="P628" s="125">
        <f t="shared" si="658"/>
        <v>46353</v>
      </c>
      <c r="Q628" s="129">
        <f t="shared" si="659"/>
        <v>46353</v>
      </c>
      <c r="R628" s="125"/>
      <c r="S628" s="125">
        <f t="shared" si="661"/>
        <v>46367</v>
      </c>
      <c r="T628" s="129">
        <f t="shared" si="660"/>
        <v>46367</v>
      </c>
      <c r="U628" s="125"/>
      <c r="W628" s="173" t="str">
        <f t="shared" ca="1" si="651"/>
        <v>Completed</v>
      </c>
      <c r="X628" s="173" t="str">
        <f t="shared" ca="1" si="652"/>
        <v/>
      </c>
      <c r="Y628" s="173" t="str">
        <f t="shared" ca="1" si="653"/>
        <v/>
      </c>
      <c r="Z628" s="174" t="str">
        <f t="shared" ca="1" si="654"/>
        <v/>
      </c>
    </row>
    <row r="629" spans="1:26" s="70" customFormat="1" ht="11.5" x14ac:dyDescent="0.25">
      <c r="A629" s="121" t="s">
        <v>65</v>
      </c>
      <c r="B629" s="121" t="s">
        <v>14</v>
      </c>
      <c r="C629" s="121" t="s">
        <v>1100</v>
      </c>
      <c r="D629" s="121" t="s">
        <v>759</v>
      </c>
      <c r="E629" s="123">
        <f t="shared" si="647"/>
        <v>0</v>
      </c>
      <c r="F629" s="123">
        <f t="shared" si="648"/>
        <v>0</v>
      </c>
      <c r="G629" s="123">
        <f t="shared" si="648"/>
        <v>0.5</v>
      </c>
      <c r="H629" s="123">
        <f t="shared" si="649"/>
        <v>0.5</v>
      </c>
      <c r="I629" s="124">
        <v>4.7E-2</v>
      </c>
      <c r="J629" s="129">
        <f t="shared" si="666"/>
        <v>46269</v>
      </c>
      <c r="K629" s="129">
        <f t="shared" si="655"/>
        <v>46269</v>
      </c>
      <c r="L629" s="125">
        <v>46142</v>
      </c>
      <c r="M629" s="125">
        <f t="shared" si="656"/>
        <v>46311</v>
      </c>
      <c r="N629" s="129">
        <f t="shared" si="657"/>
        <v>46311</v>
      </c>
      <c r="O629" s="125"/>
      <c r="P629" s="125">
        <f t="shared" si="658"/>
        <v>46353</v>
      </c>
      <c r="Q629" s="129">
        <f t="shared" si="659"/>
        <v>46353</v>
      </c>
      <c r="R629" s="125"/>
      <c r="S629" s="125">
        <f t="shared" si="661"/>
        <v>46367</v>
      </c>
      <c r="T629" s="129">
        <f t="shared" si="660"/>
        <v>46367</v>
      </c>
      <c r="U629" s="125"/>
      <c r="W629" s="173" t="str">
        <f t="shared" ca="1" si="651"/>
        <v>Completed</v>
      </c>
      <c r="X629" s="173" t="str">
        <f t="shared" ca="1" si="652"/>
        <v/>
      </c>
      <c r="Y629" s="173" t="str">
        <f t="shared" ca="1" si="653"/>
        <v/>
      </c>
      <c r="Z629" s="174" t="str">
        <f t="shared" ca="1" si="654"/>
        <v/>
      </c>
    </row>
    <row r="630" spans="1:26" s="70" customFormat="1" ht="11.5" x14ac:dyDescent="0.25">
      <c r="A630" s="121" t="s">
        <v>65</v>
      </c>
      <c r="B630" s="121" t="s">
        <v>14</v>
      </c>
      <c r="C630" s="121" t="s">
        <v>1101</v>
      </c>
      <c r="D630" s="121" t="s">
        <v>760</v>
      </c>
      <c r="E630" s="123">
        <f t="shared" ref="E630:E637" si="667">(COUNTIFS(J630,"&lt;="&amp;$C$1)*50%)+(COUNTIFS(M630,"&lt;="&amp;$C$1)*20%)+(COUNTIFS(P630,"&lt;="&amp;$C$1)*10%)+(COUNTIFS(S630,"&lt;="&amp;$C$1)*20%)</f>
        <v>0</v>
      </c>
      <c r="F630" s="123">
        <f t="shared" ref="F630:F637" si="668">(COUNTIFS(K630,"&lt;="&amp;$C$1)*50%)+(COUNTIFS(N630,"&lt;="&amp;$C$1)*20%)+(COUNTIFS(Q630,"&lt;="&amp;$C$1)*10%)+(COUNTIFS(T630,"&lt;="&amp;$C$1)*20%)</f>
        <v>0</v>
      </c>
      <c r="G630" s="123">
        <f t="shared" ref="G630:G639" si="669">(COUNTIFS(L630,"&lt;="&amp;$C$1)*50%)+(COUNTIFS(O630,"&lt;="&amp;$C$1)*20%)+(COUNTIFS(R630,"&lt;="&amp;$C$1)*10%)+(COUNTIFS(U630,"&lt;="&amp;$C$1)*20%)</f>
        <v>0.5</v>
      </c>
      <c r="H630" s="123">
        <f t="shared" ref="H630:H637" si="670">G630-E630</f>
        <v>0.5</v>
      </c>
      <c r="I630" s="124">
        <v>4.7E-2</v>
      </c>
      <c r="J630" s="129">
        <f t="shared" si="666"/>
        <v>46269</v>
      </c>
      <c r="K630" s="129">
        <f t="shared" si="655"/>
        <v>46269</v>
      </c>
      <c r="L630" s="125">
        <v>46142</v>
      </c>
      <c r="M630" s="125">
        <f t="shared" si="656"/>
        <v>46311</v>
      </c>
      <c r="N630" s="129">
        <f t="shared" si="657"/>
        <v>46311</v>
      </c>
      <c r="O630" s="125"/>
      <c r="P630" s="125">
        <f t="shared" si="658"/>
        <v>46353</v>
      </c>
      <c r="Q630" s="129">
        <f t="shared" si="659"/>
        <v>46353</v>
      </c>
      <c r="R630" s="125"/>
      <c r="S630" s="125">
        <f t="shared" si="661"/>
        <v>46367</v>
      </c>
      <c r="T630" s="129">
        <f t="shared" si="660"/>
        <v>46367</v>
      </c>
      <c r="U630" s="125"/>
      <c r="W630" s="173" t="str">
        <f t="shared" ca="1" si="651"/>
        <v>Completed</v>
      </c>
      <c r="X630" s="173" t="str">
        <f t="shared" ca="1" si="652"/>
        <v/>
      </c>
      <c r="Y630" s="173" t="str">
        <f t="shared" ca="1" si="653"/>
        <v/>
      </c>
      <c r="Z630" s="174" t="str">
        <f t="shared" ca="1" si="654"/>
        <v/>
      </c>
    </row>
    <row r="631" spans="1:26" s="70" customFormat="1" ht="11.5" x14ac:dyDescent="0.25">
      <c r="A631" s="121" t="s">
        <v>65</v>
      </c>
      <c r="B631" s="121" t="s">
        <v>14</v>
      </c>
      <c r="C631" s="121" t="s">
        <v>1102</v>
      </c>
      <c r="D631" s="121" t="s">
        <v>761</v>
      </c>
      <c r="E631" s="123">
        <f t="shared" si="667"/>
        <v>0</v>
      </c>
      <c r="F631" s="123">
        <f t="shared" si="668"/>
        <v>0</v>
      </c>
      <c r="G631" s="123">
        <f t="shared" si="669"/>
        <v>0.5</v>
      </c>
      <c r="H631" s="123">
        <f t="shared" si="670"/>
        <v>0.5</v>
      </c>
      <c r="I631" s="124">
        <v>4.7E-2</v>
      </c>
      <c r="J631" s="129">
        <f t="shared" si="666"/>
        <v>46269</v>
      </c>
      <c r="K631" s="129">
        <f t="shared" si="655"/>
        <v>46269</v>
      </c>
      <c r="L631" s="125">
        <v>46142</v>
      </c>
      <c r="M631" s="125">
        <f t="shared" si="656"/>
        <v>46311</v>
      </c>
      <c r="N631" s="129">
        <f t="shared" si="657"/>
        <v>46311</v>
      </c>
      <c r="O631" s="125"/>
      <c r="P631" s="125">
        <f t="shared" si="658"/>
        <v>46353</v>
      </c>
      <c r="Q631" s="129">
        <f t="shared" si="659"/>
        <v>46353</v>
      </c>
      <c r="R631" s="125"/>
      <c r="S631" s="125">
        <f t="shared" si="661"/>
        <v>46367</v>
      </c>
      <c r="T631" s="129">
        <f t="shared" si="660"/>
        <v>46367</v>
      </c>
      <c r="U631" s="125"/>
      <c r="W631" s="173" t="str">
        <f t="shared" ca="1" si="651"/>
        <v>Completed</v>
      </c>
      <c r="X631" s="173" t="str">
        <f t="shared" ca="1" si="652"/>
        <v/>
      </c>
      <c r="Y631" s="173" t="str">
        <f t="shared" ca="1" si="653"/>
        <v/>
      </c>
      <c r="Z631" s="174" t="str">
        <f t="shared" ca="1" si="654"/>
        <v/>
      </c>
    </row>
    <row r="632" spans="1:26" s="70" customFormat="1" ht="11.5" x14ac:dyDescent="0.25">
      <c r="A632" s="121" t="s">
        <v>65</v>
      </c>
      <c r="B632" s="121" t="s">
        <v>14</v>
      </c>
      <c r="C632" s="121" t="s">
        <v>1103</v>
      </c>
      <c r="D632" s="121" t="s">
        <v>762</v>
      </c>
      <c r="E632" s="123">
        <f t="shared" si="667"/>
        <v>0</v>
      </c>
      <c r="F632" s="123">
        <f t="shared" si="668"/>
        <v>0</v>
      </c>
      <c r="G632" s="123">
        <f t="shared" si="669"/>
        <v>0.5</v>
      </c>
      <c r="H632" s="123">
        <f t="shared" si="670"/>
        <v>0.5</v>
      </c>
      <c r="I632" s="124">
        <v>4.7E-2</v>
      </c>
      <c r="J632" s="129">
        <f t="shared" si="666"/>
        <v>46269</v>
      </c>
      <c r="K632" s="129">
        <f t="shared" si="655"/>
        <v>46269</v>
      </c>
      <c r="L632" s="125">
        <v>46142</v>
      </c>
      <c r="M632" s="125">
        <f t="shared" si="656"/>
        <v>46311</v>
      </c>
      <c r="N632" s="129">
        <f t="shared" si="657"/>
        <v>46311</v>
      </c>
      <c r="O632" s="125"/>
      <c r="P632" s="125">
        <f t="shared" si="658"/>
        <v>46353</v>
      </c>
      <c r="Q632" s="129">
        <f t="shared" si="659"/>
        <v>46353</v>
      </c>
      <c r="R632" s="125"/>
      <c r="S632" s="125">
        <f t="shared" si="661"/>
        <v>46367</v>
      </c>
      <c r="T632" s="129">
        <f t="shared" si="660"/>
        <v>46367</v>
      </c>
      <c r="U632" s="125"/>
      <c r="W632" s="173" t="str">
        <f t="shared" ca="1" si="651"/>
        <v>Completed</v>
      </c>
      <c r="X632" s="173" t="str">
        <f t="shared" ca="1" si="652"/>
        <v/>
      </c>
      <c r="Y632" s="173" t="str">
        <f t="shared" ca="1" si="653"/>
        <v/>
      </c>
      <c r="Z632" s="174" t="str">
        <f t="shared" ca="1" si="654"/>
        <v/>
      </c>
    </row>
    <row r="633" spans="1:26" s="70" customFormat="1" ht="11.5" x14ac:dyDescent="0.25">
      <c r="A633" s="121" t="s">
        <v>65</v>
      </c>
      <c r="B633" s="121" t="s">
        <v>14</v>
      </c>
      <c r="C633" s="121" t="s">
        <v>1104</v>
      </c>
      <c r="D633" s="121" t="s">
        <v>763</v>
      </c>
      <c r="E633" s="123">
        <f t="shared" si="667"/>
        <v>0</v>
      </c>
      <c r="F633" s="123">
        <f t="shared" si="668"/>
        <v>0</v>
      </c>
      <c r="G633" s="123">
        <f t="shared" si="669"/>
        <v>0.5</v>
      </c>
      <c r="H633" s="123">
        <f t="shared" si="670"/>
        <v>0.5</v>
      </c>
      <c r="I633" s="124">
        <v>4.7E-2</v>
      </c>
      <c r="J633" s="129">
        <f t="shared" si="666"/>
        <v>46269</v>
      </c>
      <c r="K633" s="129">
        <f t="shared" si="655"/>
        <v>46269</v>
      </c>
      <c r="L633" s="125">
        <v>46142</v>
      </c>
      <c r="M633" s="125">
        <f t="shared" si="656"/>
        <v>46311</v>
      </c>
      <c r="N633" s="129">
        <f t="shared" si="657"/>
        <v>46311</v>
      </c>
      <c r="O633" s="125"/>
      <c r="P633" s="125">
        <f t="shared" si="658"/>
        <v>46353</v>
      </c>
      <c r="Q633" s="129">
        <f t="shared" si="659"/>
        <v>46353</v>
      </c>
      <c r="R633" s="125"/>
      <c r="S633" s="125">
        <f t="shared" si="661"/>
        <v>46367</v>
      </c>
      <c r="T633" s="129">
        <f t="shared" si="660"/>
        <v>46367</v>
      </c>
      <c r="U633" s="125"/>
      <c r="W633" s="173" t="str">
        <f t="shared" ca="1" si="651"/>
        <v>Completed</v>
      </c>
      <c r="X633" s="173" t="str">
        <f t="shared" ca="1" si="652"/>
        <v/>
      </c>
      <c r="Y633" s="173" t="str">
        <f t="shared" ca="1" si="653"/>
        <v/>
      </c>
      <c r="Z633" s="174" t="str">
        <f t="shared" ca="1" si="654"/>
        <v/>
      </c>
    </row>
    <row r="634" spans="1:26" s="70" customFormat="1" ht="11.5" x14ac:dyDescent="0.25">
      <c r="A634" s="121" t="s">
        <v>65</v>
      </c>
      <c r="B634" s="121" t="s">
        <v>14</v>
      </c>
      <c r="C634" s="121" t="s">
        <v>1105</v>
      </c>
      <c r="D634" s="121" t="s">
        <v>764</v>
      </c>
      <c r="E634" s="123">
        <f t="shared" si="667"/>
        <v>0</v>
      </c>
      <c r="F634" s="123">
        <f t="shared" si="668"/>
        <v>0</v>
      </c>
      <c r="G634" s="123">
        <f t="shared" si="669"/>
        <v>0.5</v>
      </c>
      <c r="H634" s="123">
        <f t="shared" si="670"/>
        <v>0.5</v>
      </c>
      <c r="I634" s="124">
        <v>4.7E-2</v>
      </c>
      <c r="J634" s="129">
        <f t="shared" si="666"/>
        <v>46269</v>
      </c>
      <c r="K634" s="129">
        <f t="shared" si="655"/>
        <v>46269</v>
      </c>
      <c r="L634" s="125">
        <v>46142</v>
      </c>
      <c r="M634" s="125">
        <f t="shared" si="656"/>
        <v>46311</v>
      </c>
      <c r="N634" s="129">
        <f t="shared" si="657"/>
        <v>46311</v>
      </c>
      <c r="O634" s="125"/>
      <c r="P634" s="125">
        <f t="shared" si="658"/>
        <v>46353</v>
      </c>
      <c r="Q634" s="129">
        <f t="shared" si="659"/>
        <v>46353</v>
      </c>
      <c r="R634" s="125"/>
      <c r="S634" s="125">
        <f t="shared" si="661"/>
        <v>46367</v>
      </c>
      <c r="T634" s="129">
        <f t="shared" si="660"/>
        <v>46367</v>
      </c>
      <c r="U634" s="125"/>
      <c r="W634" s="173" t="str">
        <f t="shared" ca="1" si="651"/>
        <v>Completed</v>
      </c>
      <c r="X634" s="173" t="str">
        <f t="shared" ca="1" si="652"/>
        <v/>
      </c>
      <c r="Y634" s="173" t="str">
        <f t="shared" ca="1" si="653"/>
        <v/>
      </c>
      <c r="Z634" s="174" t="str">
        <f t="shared" ca="1" si="654"/>
        <v/>
      </c>
    </row>
    <row r="635" spans="1:26" s="70" customFormat="1" ht="11.5" x14ac:dyDescent="0.25">
      <c r="A635" s="121" t="s">
        <v>65</v>
      </c>
      <c r="B635" s="121" t="s">
        <v>14</v>
      </c>
      <c r="C635" s="121" t="s">
        <v>1106</v>
      </c>
      <c r="D635" s="121" t="s">
        <v>765</v>
      </c>
      <c r="E635" s="123">
        <f t="shared" si="667"/>
        <v>0</v>
      </c>
      <c r="F635" s="123">
        <f t="shared" si="668"/>
        <v>0</v>
      </c>
      <c r="G635" s="123">
        <f t="shared" si="669"/>
        <v>0.5</v>
      </c>
      <c r="H635" s="123">
        <f t="shared" si="670"/>
        <v>0.5</v>
      </c>
      <c r="I635" s="124">
        <v>4.7E-2</v>
      </c>
      <c r="J635" s="129">
        <f t="shared" si="666"/>
        <v>46269</v>
      </c>
      <c r="K635" s="129">
        <f t="shared" si="655"/>
        <v>46269</v>
      </c>
      <c r="L635" s="125">
        <v>46142</v>
      </c>
      <c r="M635" s="125">
        <f t="shared" si="656"/>
        <v>46311</v>
      </c>
      <c r="N635" s="129">
        <f t="shared" si="657"/>
        <v>46311</v>
      </c>
      <c r="O635" s="125"/>
      <c r="P635" s="125">
        <f t="shared" si="658"/>
        <v>46353</v>
      </c>
      <c r="Q635" s="129">
        <f t="shared" si="659"/>
        <v>46353</v>
      </c>
      <c r="R635" s="125"/>
      <c r="S635" s="125">
        <f t="shared" si="661"/>
        <v>46367</v>
      </c>
      <c r="T635" s="129">
        <f t="shared" si="660"/>
        <v>46367</v>
      </c>
      <c r="U635" s="125"/>
      <c r="W635" s="173" t="str">
        <f t="shared" ca="1" si="651"/>
        <v>Completed</v>
      </c>
      <c r="X635" s="173" t="str">
        <f t="shared" ca="1" si="652"/>
        <v/>
      </c>
      <c r="Y635" s="173" t="str">
        <f t="shared" ca="1" si="653"/>
        <v/>
      </c>
      <c r="Z635" s="174" t="str">
        <f t="shared" ca="1" si="654"/>
        <v/>
      </c>
    </row>
    <row r="636" spans="1:26" s="70" customFormat="1" ht="11.5" x14ac:dyDescent="0.25">
      <c r="A636" s="121" t="s">
        <v>65</v>
      </c>
      <c r="B636" s="121" t="s">
        <v>14</v>
      </c>
      <c r="C636" s="121" t="s">
        <v>1107</v>
      </c>
      <c r="D636" s="153" t="s">
        <v>1152</v>
      </c>
      <c r="E636" s="123">
        <f t="shared" si="667"/>
        <v>0</v>
      </c>
      <c r="F636" s="123">
        <f t="shared" si="668"/>
        <v>0</v>
      </c>
      <c r="G636" s="123">
        <f t="shared" si="669"/>
        <v>0.5</v>
      </c>
      <c r="H636" s="123">
        <f t="shared" si="670"/>
        <v>0.5</v>
      </c>
      <c r="I636" s="124">
        <v>4.7E-2</v>
      </c>
      <c r="J636" s="129">
        <f t="shared" si="666"/>
        <v>46269</v>
      </c>
      <c r="K636" s="129">
        <f t="shared" si="655"/>
        <v>46269</v>
      </c>
      <c r="L636" s="125">
        <v>46142</v>
      </c>
      <c r="M636" s="125">
        <f t="shared" si="656"/>
        <v>46311</v>
      </c>
      <c r="N636" s="129">
        <f t="shared" si="657"/>
        <v>46311</v>
      </c>
      <c r="O636" s="125"/>
      <c r="P636" s="125">
        <f t="shared" si="658"/>
        <v>46353</v>
      </c>
      <c r="Q636" s="129">
        <f t="shared" si="659"/>
        <v>46353</v>
      </c>
      <c r="R636" s="125"/>
      <c r="S636" s="125">
        <f t="shared" si="661"/>
        <v>46367</v>
      </c>
      <c r="T636" s="129">
        <f t="shared" si="660"/>
        <v>46367</v>
      </c>
      <c r="U636" s="125"/>
      <c r="W636" s="173" t="str">
        <f t="shared" ca="1" si="651"/>
        <v>Completed</v>
      </c>
      <c r="X636" s="173" t="str">
        <f t="shared" ca="1" si="652"/>
        <v/>
      </c>
      <c r="Y636" s="173" t="str">
        <f t="shared" ca="1" si="653"/>
        <v/>
      </c>
      <c r="Z636" s="174" t="str">
        <f t="shared" ca="1" si="654"/>
        <v/>
      </c>
    </row>
    <row r="637" spans="1:26" s="70" customFormat="1" ht="11.5" x14ac:dyDescent="0.25">
      <c r="A637" s="121" t="s">
        <v>65</v>
      </c>
      <c r="B637" s="121" t="s">
        <v>14</v>
      </c>
      <c r="C637" s="121" t="s">
        <v>1108</v>
      </c>
      <c r="D637" s="121" t="s">
        <v>766</v>
      </c>
      <c r="E637" s="123">
        <f t="shared" si="667"/>
        <v>0</v>
      </c>
      <c r="F637" s="123">
        <f t="shared" si="668"/>
        <v>0</v>
      </c>
      <c r="G637" s="123">
        <f t="shared" si="669"/>
        <v>0.5</v>
      </c>
      <c r="H637" s="123">
        <f t="shared" si="670"/>
        <v>0.5</v>
      </c>
      <c r="I637" s="124">
        <v>4.7E-2</v>
      </c>
      <c r="J637" s="129">
        <f t="shared" si="666"/>
        <v>46269</v>
      </c>
      <c r="K637" s="129">
        <f t="shared" si="655"/>
        <v>46269</v>
      </c>
      <c r="L637" s="125">
        <v>46142</v>
      </c>
      <c r="M637" s="125">
        <f t="shared" si="656"/>
        <v>46311</v>
      </c>
      <c r="N637" s="129">
        <f t="shared" si="657"/>
        <v>46311</v>
      </c>
      <c r="O637" s="125"/>
      <c r="P637" s="125">
        <f t="shared" si="658"/>
        <v>46353</v>
      </c>
      <c r="Q637" s="129">
        <f t="shared" si="659"/>
        <v>46353</v>
      </c>
      <c r="R637" s="125"/>
      <c r="S637" s="125">
        <f t="shared" si="661"/>
        <v>46367</v>
      </c>
      <c r="T637" s="129">
        <f t="shared" si="660"/>
        <v>46367</v>
      </c>
      <c r="U637" s="125"/>
      <c r="W637" s="173" t="str">
        <f t="shared" ca="1" si="651"/>
        <v>Completed</v>
      </c>
      <c r="X637" s="173" t="str">
        <f t="shared" ca="1" si="652"/>
        <v/>
      </c>
      <c r="Y637" s="173" t="str">
        <f t="shared" ca="1" si="653"/>
        <v/>
      </c>
      <c r="Z637" s="174" t="str">
        <f t="shared" ca="1" si="654"/>
        <v/>
      </c>
    </row>
    <row r="638" spans="1:26" s="70" customFormat="1" ht="11.5" x14ac:dyDescent="0.25">
      <c r="A638" s="199" t="s">
        <v>65</v>
      </c>
      <c r="B638" s="199" t="s">
        <v>14</v>
      </c>
      <c r="C638" s="199" t="s">
        <v>767</v>
      </c>
      <c r="D638" s="199" t="s">
        <v>1209</v>
      </c>
      <c r="E638" s="200"/>
      <c r="F638" s="200"/>
      <c r="G638" s="200">
        <f t="shared" si="669"/>
        <v>1</v>
      </c>
      <c r="H638" s="200"/>
      <c r="I638" s="201">
        <v>4.7E-2</v>
      </c>
      <c r="J638" s="211">
        <f t="shared" si="666"/>
        <v>46276</v>
      </c>
      <c r="K638" s="211">
        <f t="shared" si="655"/>
        <v>46276</v>
      </c>
      <c r="L638" s="202">
        <v>46262</v>
      </c>
      <c r="M638" s="202">
        <f t="shared" si="656"/>
        <v>46318</v>
      </c>
      <c r="N638" s="211">
        <f t="shared" si="657"/>
        <v>46318</v>
      </c>
      <c r="O638" s="202">
        <v>46262</v>
      </c>
      <c r="P638" s="202">
        <f t="shared" si="658"/>
        <v>46360</v>
      </c>
      <c r="Q638" s="211">
        <f t="shared" si="659"/>
        <v>46360</v>
      </c>
      <c r="R638" s="202">
        <v>46262</v>
      </c>
      <c r="S638" s="202">
        <f t="shared" si="661"/>
        <v>46374</v>
      </c>
      <c r="T638" s="211">
        <f t="shared" si="660"/>
        <v>46374</v>
      </c>
      <c r="U638" s="202">
        <v>46262</v>
      </c>
      <c r="W638" s="173" t="str">
        <f t="shared" ca="1" si="651"/>
        <v>Completed</v>
      </c>
      <c r="X638" s="173" t="str">
        <f t="shared" ca="1" si="652"/>
        <v>Completed</v>
      </c>
      <c r="Y638" s="173" t="str">
        <f t="shared" ca="1" si="653"/>
        <v>Completed</v>
      </c>
      <c r="Z638" s="174" t="str">
        <f t="shared" ca="1" si="654"/>
        <v>Completed</v>
      </c>
    </row>
    <row r="639" spans="1:26" s="70" customFormat="1" ht="11.5" x14ac:dyDescent="0.25">
      <c r="A639" s="199" t="s">
        <v>65</v>
      </c>
      <c r="B639" s="199" t="s">
        <v>14</v>
      </c>
      <c r="C639" s="199" t="s">
        <v>768</v>
      </c>
      <c r="D639" s="199" t="s">
        <v>1210</v>
      </c>
      <c r="E639" s="200"/>
      <c r="F639" s="200"/>
      <c r="G639" s="200">
        <f t="shared" si="669"/>
        <v>1</v>
      </c>
      <c r="H639" s="200"/>
      <c r="I639" s="201">
        <v>4.7E-2</v>
      </c>
      <c r="J639" s="211">
        <f t="shared" si="666"/>
        <v>46276</v>
      </c>
      <c r="K639" s="211">
        <f t="shared" si="655"/>
        <v>46276</v>
      </c>
      <c r="L639" s="202">
        <v>46262</v>
      </c>
      <c r="M639" s="202">
        <f t="shared" si="656"/>
        <v>46318</v>
      </c>
      <c r="N639" s="211">
        <f t="shared" si="657"/>
        <v>46318</v>
      </c>
      <c r="O639" s="202">
        <v>46262</v>
      </c>
      <c r="P639" s="202">
        <f t="shared" si="658"/>
        <v>46360</v>
      </c>
      <c r="Q639" s="211">
        <f t="shared" si="659"/>
        <v>46360</v>
      </c>
      <c r="R639" s="202">
        <v>46262</v>
      </c>
      <c r="S639" s="202">
        <f t="shared" si="661"/>
        <v>46374</v>
      </c>
      <c r="T639" s="211">
        <f t="shared" si="660"/>
        <v>46374</v>
      </c>
      <c r="U639" s="202">
        <v>46262</v>
      </c>
      <c r="W639" s="173" t="str">
        <f t="shared" ca="1" si="651"/>
        <v>Completed</v>
      </c>
      <c r="X639" s="173" t="str">
        <f t="shared" ca="1" si="652"/>
        <v>Completed</v>
      </c>
      <c r="Y639" s="173" t="str">
        <f t="shared" ca="1" si="653"/>
        <v>Completed</v>
      </c>
      <c r="Z639" s="174" t="str">
        <f t="shared" ca="1" si="654"/>
        <v>Completed</v>
      </c>
    </row>
    <row r="640" spans="1:26" s="70" customFormat="1" ht="11.5" x14ac:dyDescent="0.25">
      <c r="A640" s="121" t="s">
        <v>65</v>
      </c>
      <c r="B640" s="121" t="s">
        <v>14</v>
      </c>
      <c r="C640" s="121" t="s">
        <v>1216</v>
      </c>
      <c r="D640" s="121" t="s">
        <v>1211</v>
      </c>
      <c r="E640" s="123">
        <f t="shared" si="647"/>
        <v>0</v>
      </c>
      <c r="F640" s="123">
        <f t="shared" si="648"/>
        <v>0</v>
      </c>
      <c r="G640" s="123">
        <f t="shared" si="648"/>
        <v>0</v>
      </c>
      <c r="H640" s="123">
        <f t="shared" si="649"/>
        <v>0</v>
      </c>
      <c r="I640" s="124"/>
      <c r="J640" s="129">
        <f t="shared" si="666"/>
        <v>46388</v>
      </c>
      <c r="K640" s="129">
        <f t="shared" ref="K640:K641" si="671">J640</f>
        <v>46388</v>
      </c>
      <c r="L640" s="125"/>
      <c r="M640" s="125">
        <f t="shared" ref="M640:M641" si="672">J640+42</f>
        <v>46430</v>
      </c>
      <c r="N640" s="129">
        <f t="shared" ref="N640:N641" si="673">M640</f>
        <v>46430</v>
      </c>
      <c r="O640" s="125"/>
      <c r="P640" s="125">
        <f t="shared" ref="P640:P641" si="674">M640+42</f>
        <v>46472</v>
      </c>
      <c r="Q640" s="129">
        <f t="shared" ref="Q640:Q641" si="675">P640</f>
        <v>46472</v>
      </c>
      <c r="R640" s="125"/>
      <c r="S640" s="125">
        <f t="shared" ref="S640:S641" si="676">P640+14</f>
        <v>46486</v>
      </c>
      <c r="T640" s="129">
        <f t="shared" ref="T640:T641" si="677">S640</f>
        <v>46486</v>
      </c>
      <c r="U640" s="125"/>
      <c r="W640" s="173" t="str">
        <f t="shared" ref="W640:W641" ca="1" si="678">IF(OR(L640&lt;&gt;""),"Completed",
IF(K640="","",IF(K640&lt;TODAY(),"Overdue",
IF(AND(K640&gt;=TODAY()-WEEKDAY(TODAY(),2)+1,K640&lt;=TODAY()-WEEKDAY(TODAY(),2)+7),"Follow-This Week",
IF(AND(K640&gt;=TODAY()-WEEKDAY(TODAY(),2)+8,K640&lt;=TODAY()-WEEKDAY(TODAY(),2)+14),"Follow-Next Week","")))))</f>
        <v/>
      </c>
      <c r="X640" s="173" t="str">
        <f t="shared" ref="X640:X641" ca="1" si="679">IF(OR(O640&lt;&gt;""),"Completed",IF(N640="","",
IF(N640&lt;TODAY(),"Overdue",
IF(AND(N640&gt;=TODAY()-WEEKDAY(TODAY(),2)+1,N640&lt;=TODAY()-WEEKDAY(TODAY(),2)+7),"Follow-This Week",
IF(AND(N640&gt;=TODAY()-WEEKDAY(TODAY(),2)+8,N640&lt;=TODAY()-WEEKDAY(TODAY(),2)+14),"Follow-Next Week","")))))</f>
        <v/>
      </c>
      <c r="Y640" s="173" t="str">
        <f t="shared" ref="Y640:Y641" ca="1" si="680">IF(OR(R640&lt;&gt;""),"Completed",IF(Q640="","",
IF(Q640&lt;TODAY(),"Overdue",
IF(AND(Q640&gt;=TODAY()-WEEKDAY(TODAY(),2)+1,Q640&lt;=TODAY()-WEEKDAY(TODAY(),2)+7),"Follow-This Week",
IF(AND(Q640&gt;=TODAY()-WEEKDAY(TODAY(),2)+8,Q640&lt;=TODAY()-WEEKDAY(TODAY(),2)+14),"Follow-Next Week","")))))</f>
        <v/>
      </c>
      <c r="Z640" s="174" t="str">
        <f t="shared" ref="Z640:Z641" ca="1" si="681">IF(OR(U640&lt;&gt;""),"Completed",IF(T640="","",
IF(T640&lt;TODAY(),"Overdue",
IF(AND(T640&gt;=TODAY()-WEEKDAY(TODAY(),2)+1,T640&lt;=TODAY()-WEEKDAY(TODAY(),2)+7),"Follow-This Week",
IF(AND(T640&gt;=TODAY()-WEEKDAY(TODAY(),2)+8,T640&lt;=TODAY()-WEEKDAY(TODAY(),2)+14),"Follow-Next Week","")))))</f>
        <v/>
      </c>
    </row>
    <row r="641" spans="1:26" s="70" customFormat="1" ht="11.5" x14ac:dyDescent="0.25">
      <c r="A641" s="121" t="s">
        <v>65</v>
      </c>
      <c r="B641" s="121" t="s">
        <v>14</v>
      </c>
      <c r="C641" s="121" t="s">
        <v>1216</v>
      </c>
      <c r="D641" s="121" t="s">
        <v>1212</v>
      </c>
      <c r="E641" s="123">
        <f t="shared" ref="E641" si="682">(COUNTIFS(J641,"&lt;="&amp;$C$1)*50%)+(COUNTIFS(M641,"&lt;="&amp;$C$1)*20%)+(COUNTIFS(P641,"&lt;="&amp;$C$1)*10%)+(COUNTIFS(S641,"&lt;="&amp;$C$1)*20%)</f>
        <v>0</v>
      </c>
      <c r="F641" s="123">
        <f t="shared" ref="F641" si="683">(COUNTIFS(K641,"&lt;="&amp;$C$1)*50%)+(COUNTIFS(N641,"&lt;="&amp;$C$1)*20%)+(COUNTIFS(Q641,"&lt;="&amp;$C$1)*10%)+(COUNTIFS(T641,"&lt;="&amp;$C$1)*20%)</f>
        <v>0</v>
      </c>
      <c r="G641" s="123">
        <f t="shared" ref="G641" si="684">(COUNTIFS(L641,"&lt;="&amp;$C$1)*50%)+(COUNTIFS(O641,"&lt;="&amp;$C$1)*20%)+(COUNTIFS(R641,"&lt;="&amp;$C$1)*10%)+(COUNTIFS(U641,"&lt;="&amp;$C$1)*20%)</f>
        <v>0</v>
      </c>
      <c r="H641" s="123">
        <f t="shared" ref="H641" si="685">G641-E641</f>
        <v>0</v>
      </c>
      <c r="I641" s="124"/>
      <c r="J641" s="129">
        <f t="shared" si="666"/>
        <v>46388</v>
      </c>
      <c r="K641" s="129">
        <f t="shared" si="671"/>
        <v>46388</v>
      </c>
      <c r="L641" s="125"/>
      <c r="M641" s="125">
        <f t="shared" si="672"/>
        <v>46430</v>
      </c>
      <c r="N641" s="129">
        <f t="shared" si="673"/>
        <v>46430</v>
      </c>
      <c r="O641" s="125"/>
      <c r="P641" s="125">
        <f t="shared" si="674"/>
        <v>46472</v>
      </c>
      <c r="Q641" s="129">
        <f t="shared" si="675"/>
        <v>46472</v>
      </c>
      <c r="R641" s="125"/>
      <c r="S641" s="125">
        <f t="shared" si="676"/>
        <v>46486</v>
      </c>
      <c r="T641" s="129">
        <f t="shared" si="677"/>
        <v>46486</v>
      </c>
      <c r="U641" s="125"/>
      <c r="W641" s="173" t="str">
        <f t="shared" ca="1" si="678"/>
        <v/>
      </c>
      <c r="X641" s="173" t="str">
        <f t="shared" ca="1" si="679"/>
        <v/>
      </c>
      <c r="Y641" s="173" t="str">
        <f t="shared" ca="1" si="680"/>
        <v/>
      </c>
      <c r="Z641" s="174" t="str">
        <f t="shared" ca="1" si="681"/>
        <v/>
      </c>
    </row>
    <row r="642" spans="1:26" s="70" customFormat="1" ht="11.5" x14ac:dyDescent="0.25">
      <c r="A642" s="121" t="s">
        <v>65</v>
      </c>
      <c r="B642" s="121" t="s">
        <v>14</v>
      </c>
      <c r="C642" s="121" t="s">
        <v>945</v>
      </c>
      <c r="D642" s="121" t="s">
        <v>946</v>
      </c>
      <c r="E642" s="123">
        <f t="shared" si="647"/>
        <v>0</v>
      </c>
      <c r="F642" s="123">
        <f t="shared" si="648"/>
        <v>0</v>
      </c>
      <c r="G642" s="123">
        <f t="shared" si="648"/>
        <v>0.5</v>
      </c>
      <c r="H642" s="123">
        <f t="shared" si="649"/>
        <v>0.5</v>
      </c>
      <c r="I642" s="124"/>
      <c r="J642" s="129">
        <f t="shared" si="666"/>
        <v>46283</v>
      </c>
      <c r="K642" s="129">
        <f t="shared" ref="K642:K646" si="686">J642</f>
        <v>46283</v>
      </c>
      <c r="L642" s="125">
        <v>46190</v>
      </c>
      <c r="M642" s="125">
        <f t="shared" ref="M642:M646" si="687">J642+42</f>
        <v>46325</v>
      </c>
      <c r="N642" s="129">
        <f t="shared" ref="N642:N646" si="688">M642</f>
        <v>46325</v>
      </c>
      <c r="O642" s="125"/>
      <c r="P642" s="125">
        <f t="shared" ref="P642:P646" si="689">M642+42</f>
        <v>46367</v>
      </c>
      <c r="Q642" s="129">
        <f t="shared" ref="Q642:Q646" si="690">P642</f>
        <v>46367</v>
      </c>
      <c r="R642" s="125"/>
      <c r="S642" s="125">
        <f t="shared" ref="S642:S646" si="691">P642+14</f>
        <v>46381</v>
      </c>
      <c r="T642" s="129">
        <f t="shared" ref="T642:T646" si="692">S642</f>
        <v>46381</v>
      </c>
      <c r="U642" s="125"/>
      <c r="W642" s="173" t="str">
        <f t="shared" ca="1" si="651"/>
        <v>Completed</v>
      </c>
      <c r="X642" s="173" t="str">
        <f t="shared" ca="1" si="652"/>
        <v/>
      </c>
      <c r="Y642" s="173" t="str">
        <f t="shared" ca="1" si="653"/>
        <v/>
      </c>
      <c r="Z642" s="174" t="str">
        <f t="shared" ca="1" si="654"/>
        <v/>
      </c>
    </row>
    <row r="643" spans="1:26" s="70" customFormat="1" ht="11.5" x14ac:dyDescent="0.25">
      <c r="A643" s="121" t="s">
        <v>65</v>
      </c>
      <c r="B643" s="121" t="s">
        <v>14</v>
      </c>
      <c r="C643" s="121" t="s">
        <v>947</v>
      </c>
      <c r="D643" s="121" t="s">
        <v>1192</v>
      </c>
      <c r="E643" s="123">
        <f t="shared" ref="E643:E646" si="693">(COUNTIFS(J643,"&lt;="&amp;$C$1)*50%)+(COUNTIFS(M643,"&lt;="&amp;$C$1)*20%)+(COUNTIFS(P643,"&lt;="&amp;$C$1)*10%)+(COUNTIFS(S643,"&lt;="&amp;$C$1)*20%)</f>
        <v>0</v>
      </c>
      <c r="F643" s="123">
        <f t="shared" ref="F643:F646" si="694">(COUNTIFS(K643,"&lt;="&amp;$C$1)*50%)+(COUNTIFS(N643,"&lt;="&amp;$C$1)*20%)+(COUNTIFS(Q643,"&lt;="&amp;$C$1)*10%)+(COUNTIFS(T643,"&lt;="&amp;$C$1)*20%)</f>
        <v>0</v>
      </c>
      <c r="G643" s="123">
        <f t="shared" ref="G643:G646" si="695">(COUNTIFS(L643,"&lt;="&amp;$C$1)*50%)+(COUNTIFS(O643,"&lt;="&amp;$C$1)*20%)+(COUNTIFS(R643,"&lt;="&amp;$C$1)*10%)+(COUNTIFS(U643,"&lt;="&amp;$C$1)*20%)</f>
        <v>0</v>
      </c>
      <c r="H643" s="123">
        <f t="shared" ref="H643:H646" si="696">G643-E643</f>
        <v>0</v>
      </c>
      <c r="I643" s="124"/>
      <c r="J643" s="129">
        <f t="shared" si="666"/>
        <v>46349</v>
      </c>
      <c r="K643" s="129">
        <f t="shared" si="686"/>
        <v>46349</v>
      </c>
      <c r="L643" s="125"/>
      <c r="M643" s="125">
        <f t="shared" si="687"/>
        <v>46391</v>
      </c>
      <c r="N643" s="129">
        <f t="shared" si="688"/>
        <v>46391</v>
      </c>
      <c r="O643" s="125"/>
      <c r="P643" s="125">
        <f t="shared" si="689"/>
        <v>46433</v>
      </c>
      <c r="Q643" s="129">
        <f t="shared" si="690"/>
        <v>46433</v>
      </c>
      <c r="R643" s="125"/>
      <c r="S643" s="125">
        <f t="shared" si="691"/>
        <v>46447</v>
      </c>
      <c r="T643" s="129">
        <f t="shared" si="692"/>
        <v>46447</v>
      </c>
      <c r="U643" s="125"/>
      <c r="W643" s="173" t="str">
        <f t="shared" ca="1" si="651"/>
        <v/>
      </c>
      <c r="X643" s="173" t="str">
        <f t="shared" ca="1" si="652"/>
        <v/>
      </c>
      <c r="Y643" s="173" t="str">
        <f t="shared" ca="1" si="653"/>
        <v/>
      </c>
      <c r="Z643" s="174" t="str">
        <f t="shared" ca="1" si="654"/>
        <v/>
      </c>
    </row>
    <row r="644" spans="1:26" s="70" customFormat="1" ht="11.5" x14ac:dyDescent="0.25">
      <c r="A644" s="121" t="s">
        <v>65</v>
      </c>
      <c r="B644" s="121" t="s">
        <v>14</v>
      </c>
      <c r="C644" s="121" t="s">
        <v>948</v>
      </c>
      <c r="D644" s="121" t="s">
        <v>1193</v>
      </c>
      <c r="E644" s="123">
        <f t="shared" si="693"/>
        <v>0</v>
      </c>
      <c r="F644" s="123">
        <f t="shared" si="694"/>
        <v>0</v>
      </c>
      <c r="G644" s="123">
        <f t="shared" si="695"/>
        <v>0</v>
      </c>
      <c r="H644" s="123">
        <f t="shared" si="696"/>
        <v>0</v>
      </c>
      <c r="I644" s="124"/>
      <c r="J644" s="129">
        <f t="shared" si="666"/>
        <v>46349</v>
      </c>
      <c r="K644" s="129">
        <f t="shared" si="686"/>
        <v>46349</v>
      </c>
      <c r="L644" s="125"/>
      <c r="M644" s="125">
        <f t="shared" si="687"/>
        <v>46391</v>
      </c>
      <c r="N644" s="129">
        <f t="shared" si="688"/>
        <v>46391</v>
      </c>
      <c r="O644" s="125"/>
      <c r="P644" s="125">
        <f t="shared" si="689"/>
        <v>46433</v>
      </c>
      <c r="Q644" s="129">
        <f t="shared" si="690"/>
        <v>46433</v>
      </c>
      <c r="R644" s="125"/>
      <c r="S644" s="125">
        <f t="shared" si="691"/>
        <v>46447</v>
      </c>
      <c r="T644" s="129">
        <f t="shared" si="692"/>
        <v>46447</v>
      </c>
      <c r="U644" s="125"/>
      <c r="W644" s="173" t="str">
        <f t="shared" ca="1" si="651"/>
        <v/>
      </c>
      <c r="X644" s="173" t="str">
        <f t="shared" ca="1" si="652"/>
        <v/>
      </c>
      <c r="Y644" s="173" t="str">
        <f t="shared" ca="1" si="653"/>
        <v/>
      </c>
      <c r="Z644" s="174" t="str">
        <f t="shared" ca="1" si="654"/>
        <v/>
      </c>
    </row>
    <row r="645" spans="1:26" s="70" customFormat="1" ht="11.5" x14ac:dyDescent="0.25">
      <c r="A645" s="121" t="s">
        <v>65</v>
      </c>
      <c r="B645" s="121" t="s">
        <v>14</v>
      </c>
      <c r="C645" s="121" t="s">
        <v>949</v>
      </c>
      <c r="D645" s="121" t="s">
        <v>1194</v>
      </c>
      <c r="E645" s="123">
        <f t="shared" si="693"/>
        <v>0</v>
      </c>
      <c r="F645" s="123">
        <f t="shared" si="694"/>
        <v>0</v>
      </c>
      <c r="G645" s="123">
        <f t="shared" si="695"/>
        <v>0</v>
      </c>
      <c r="H645" s="123">
        <f t="shared" si="696"/>
        <v>0</v>
      </c>
      <c r="I645" s="124"/>
      <c r="J645" s="129">
        <f t="shared" si="666"/>
        <v>46349</v>
      </c>
      <c r="K645" s="129">
        <f t="shared" si="686"/>
        <v>46349</v>
      </c>
      <c r="L645" s="125"/>
      <c r="M645" s="125">
        <f t="shared" si="687"/>
        <v>46391</v>
      </c>
      <c r="N645" s="129">
        <f t="shared" si="688"/>
        <v>46391</v>
      </c>
      <c r="O645" s="125"/>
      <c r="P645" s="125">
        <f t="shared" si="689"/>
        <v>46433</v>
      </c>
      <c r="Q645" s="129">
        <f t="shared" si="690"/>
        <v>46433</v>
      </c>
      <c r="R645" s="125"/>
      <c r="S645" s="125">
        <f t="shared" si="691"/>
        <v>46447</v>
      </c>
      <c r="T645" s="129">
        <f t="shared" si="692"/>
        <v>46447</v>
      </c>
      <c r="U645" s="125"/>
      <c r="W645" s="173" t="str">
        <f t="shared" ca="1" si="651"/>
        <v/>
      </c>
      <c r="X645" s="173" t="str">
        <f t="shared" ca="1" si="652"/>
        <v/>
      </c>
      <c r="Y645" s="173" t="str">
        <f t="shared" ca="1" si="653"/>
        <v/>
      </c>
      <c r="Z645" s="174" t="str">
        <f t="shared" ca="1" si="654"/>
        <v/>
      </c>
    </row>
    <row r="646" spans="1:26" s="70" customFormat="1" ht="11.5" x14ac:dyDescent="0.25">
      <c r="A646" s="121" t="s">
        <v>65</v>
      </c>
      <c r="B646" s="121" t="s">
        <v>14</v>
      </c>
      <c r="C646" s="121" t="s">
        <v>950</v>
      </c>
      <c r="D646" s="121" t="s">
        <v>1195</v>
      </c>
      <c r="E646" s="123">
        <f t="shared" si="693"/>
        <v>0</v>
      </c>
      <c r="F646" s="123">
        <f t="shared" si="694"/>
        <v>0</v>
      </c>
      <c r="G646" s="123">
        <f t="shared" si="695"/>
        <v>0</v>
      </c>
      <c r="H646" s="123">
        <f t="shared" si="696"/>
        <v>0</v>
      </c>
      <c r="I646" s="124"/>
      <c r="J646" s="129">
        <f t="shared" si="666"/>
        <v>46349</v>
      </c>
      <c r="K646" s="129">
        <f t="shared" si="686"/>
        <v>46349</v>
      </c>
      <c r="L646" s="125"/>
      <c r="M646" s="125">
        <f t="shared" si="687"/>
        <v>46391</v>
      </c>
      <c r="N646" s="129">
        <f t="shared" si="688"/>
        <v>46391</v>
      </c>
      <c r="O646" s="125"/>
      <c r="P646" s="125">
        <f t="shared" si="689"/>
        <v>46433</v>
      </c>
      <c r="Q646" s="129">
        <f t="shared" si="690"/>
        <v>46433</v>
      </c>
      <c r="R646" s="125"/>
      <c r="S646" s="125">
        <f t="shared" si="691"/>
        <v>46447</v>
      </c>
      <c r="T646" s="129">
        <f t="shared" si="692"/>
        <v>46447</v>
      </c>
      <c r="U646" s="125"/>
      <c r="W646" s="173" t="str">
        <f t="shared" ca="1" si="651"/>
        <v/>
      </c>
      <c r="X646" s="173" t="str">
        <f t="shared" ca="1" si="652"/>
        <v/>
      </c>
      <c r="Y646" s="173" t="str">
        <f t="shared" ca="1" si="653"/>
        <v/>
      </c>
      <c r="Z646" s="174" t="str">
        <f t="shared" ca="1" si="654"/>
        <v/>
      </c>
    </row>
    <row r="647" spans="1:26" s="70" customFormat="1" ht="11.5" x14ac:dyDescent="0.25">
      <c r="A647" s="121" t="s">
        <v>65</v>
      </c>
      <c r="B647" s="121" t="s">
        <v>14</v>
      </c>
      <c r="C647" s="121" t="s">
        <v>769</v>
      </c>
      <c r="D647" s="121" t="s">
        <v>770</v>
      </c>
      <c r="E647" s="123">
        <f t="shared" si="647"/>
        <v>0</v>
      </c>
      <c r="F647" s="123">
        <f t="shared" si="648"/>
        <v>0</v>
      </c>
      <c r="G647" s="123">
        <f t="shared" si="648"/>
        <v>0.5</v>
      </c>
      <c r="H647" s="123">
        <f t="shared" si="649"/>
        <v>0.5</v>
      </c>
      <c r="I647" s="124">
        <v>4.7E-2</v>
      </c>
      <c r="J647" s="125">
        <f t="shared" ref="J647:J676" si="697">J530+28</f>
        <v>46276</v>
      </c>
      <c r="K647" s="125">
        <f t="shared" si="655"/>
        <v>46276</v>
      </c>
      <c r="L647" s="127">
        <v>46184</v>
      </c>
      <c r="M647" s="125">
        <f t="shared" si="656"/>
        <v>46318</v>
      </c>
      <c r="N647" s="125">
        <f t="shared" si="657"/>
        <v>46318</v>
      </c>
      <c r="O647" s="125"/>
      <c r="P647" s="125">
        <f t="shared" si="658"/>
        <v>46360</v>
      </c>
      <c r="Q647" s="125">
        <f t="shared" si="659"/>
        <v>46360</v>
      </c>
      <c r="R647" s="125"/>
      <c r="S647" s="125">
        <f t="shared" si="661"/>
        <v>46374</v>
      </c>
      <c r="T647" s="125">
        <f t="shared" si="660"/>
        <v>46374</v>
      </c>
      <c r="U647" s="125"/>
      <c r="W647" s="173" t="str">
        <f t="shared" ca="1" si="651"/>
        <v>Completed</v>
      </c>
      <c r="X647" s="173" t="str">
        <f t="shared" ca="1" si="652"/>
        <v/>
      </c>
      <c r="Y647" s="173" t="str">
        <f t="shared" ca="1" si="653"/>
        <v/>
      </c>
      <c r="Z647" s="174" t="str">
        <f t="shared" ca="1" si="654"/>
        <v/>
      </c>
    </row>
    <row r="648" spans="1:26" s="70" customFormat="1" ht="11.5" x14ac:dyDescent="0.25">
      <c r="A648" s="122" t="s">
        <v>65</v>
      </c>
      <c r="B648" s="122" t="s">
        <v>14</v>
      </c>
      <c r="C648" s="122" t="s">
        <v>771</v>
      </c>
      <c r="D648" s="122" t="s">
        <v>772</v>
      </c>
      <c r="E648" s="128">
        <f t="shared" si="647"/>
        <v>0</v>
      </c>
      <c r="F648" s="128">
        <f t="shared" si="648"/>
        <v>0</v>
      </c>
      <c r="G648" s="128">
        <f t="shared" si="648"/>
        <v>0.5</v>
      </c>
      <c r="H648" s="128">
        <f t="shared" si="649"/>
        <v>0.5</v>
      </c>
      <c r="I648" s="124">
        <v>4.7E-2</v>
      </c>
      <c r="J648" s="125">
        <f t="shared" si="697"/>
        <v>46276</v>
      </c>
      <c r="K648" s="125">
        <f t="shared" si="655"/>
        <v>46276</v>
      </c>
      <c r="L648" s="127">
        <v>46184</v>
      </c>
      <c r="M648" s="125">
        <f t="shared" si="656"/>
        <v>46318</v>
      </c>
      <c r="N648" s="125">
        <f t="shared" si="657"/>
        <v>46318</v>
      </c>
      <c r="O648" s="125"/>
      <c r="P648" s="125">
        <f t="shared" si="658"/>
        <v>46360</v>
      </c>
      <c r="Q648" s="125">
        <f t="shared" si="659"/>
        <v>46360</v>
      </c>
      <c r="R648" s="125"/>
      <c r="S648" s="125">
        <f t="shared" si="661"/>
        <v>46374</v>
      </c>
      <c r="T648" s="125">
        <f t="shared" si="660"/>
        <v>46374</v>
      </c>
      <c r="U648" s="125"/>
      <c r="W648" s="173" t="str">
        <f t="shared" ca="1" si="651"/>
        <v>Completed</v>
      </c>
      <c r="X648" s="173" t="str">
        <f t="shared" ca="1" si="652"/>
        <v/>
      </c>
      <c r="Y648" s="173" t="str">
        <f t="shared" ca="1" si="653"/>
        <v/>
      </c>
      <c r="Z648" s="174" t="str">
        <f t="shared" ca="1" si="654"/>
        <v/>
      </c>
    </row>
    <row r="649" spans="1:26" s="70" customFormat="1" ht="11.5" x14ac:dyDescent="0.25">
      <c r="A649" s="122" t="s">
        <v>65</v>
      </c>
      <c r="B649" s="122" t="s">
        <v>14</v>
      </c>
      <c r="C649" s="122" t="s">
        <v>773</v>
      </c>
      <c r="D649" s="122" t="s">
        <v>774</v>
      </c>
      <c r="E649" s="128">
        <f t="shared" si="647"/>
        <v>0</v>
      </c>
      <c r="F649" s="128">
        <f t="shared" si="648"/>
        <v>0</v>
      </c>
      <c r="G649" s="128">
        <f t="shared" si="648"/>
        <v>0.5</v>
      </c>
      <c r="H649" s="128">
        <f t="shared" si="649"/>
        <v>0.5</v>
      </c>
      <c r="I649" s="124">
        <v>4.7E-2</v>
      </c>
      <c r="J649" s="127">
        <f t="shared" si="697"/>
        <v>46276</v>
      </c>
      <c r="K649" s="127">
        <f t="shared" si="655"/>
        <v>46276</v>
      </c>
      <c r="L649" s="127">
        <v>46184</v>
      </c>
      <c r="M649" s="127">
        <f t="shared" si="656"/>
        <v>46318</v>
      </c>
      <c r="N649" s="127">
        <f t="shared" si="657"/>
        <v>46318</v>
      </c>
      <c r="O649" s="127"/>
      <c r="P649" s="127">
        <f t="shared" si="658"/>
        <v>46360</v>
      </c>
      <c r="Q649" s="127">
        <f t="shared" si="659"/>
        <v>46360</v>
      </c>
      <c r="R649" s="127"/>
      <c r="S649" s="125">
        <f t="shared" si="661"/>
        <v>46374</v>
      </c>
      <c r="T649" s="127">
        <f t="shared" si="660"/>
        <v>46374</v>
      </c>
      <c r="U649" s="127"/>
      <c r="W649" s="173" t="str">
        <f t="shared" ca="1" si="651"/>
        <v>Completed</v>
      </c>
      <c r="X649" s="173" t="str">
        <f t="shared" ca="1" si="652"/>
        <v/>
      </c>
      <c r="Y649" s="173" t="str">
        <f t="shared" ca="1" si="653"/>
        <v/>
      </c>
      <c r="Z649" s="174" t="str">
        <f t="shared" ca="1" si="654"/>
        <v/>
      </c>
    </row>
    <row r="650" spans="1:26" s="70" customFormat="1" ht="11.5" x14ac:dyDescent="0.25">
      <c r="A650" s="122" t="s">
        <v>65</v>
      </c>
      <c r="B650" s="122" t="s">
        <v>14</v>
      </c>
      <c r="C650" s="122" t="s">
        <v>775</v>
      </c>
      <c r="D650" s="122" t="s">
        <v>776</v>
      </c>
      <c r="E650" s="128">
        <f t="shared" si="647"/>
        <v>0</v>
      </c>
      <c r="F650" s="128">
        <f t="shared" si="648"/>
        <v>0</v>
      </c>
      <c r="G650" s="128">
        <f t="shared" si="648"/>
        <v>0</v>
      </c>
      <c r="H650" s="128">
        <f t="shared" si="649"/>
        <v>0</v>
      </c>
      <c r="I650" s="124">
        <v>4.7E-2</v>
      </c>
      <c r="J650" s="127">
        <f t="shared" si="697"/>
        <v>46276</v>
      </c>
      <c r="K650" s="127">
        <f t="shared" si="655"/>
        <v>46276</v>
      </c>
      <c r="L650" s="127"/>
      <c r="M650" s="127">
        <f t="shared" si="656"/>
        <v>46318</v>
      </c>
      <c r="N650" s="127">
        <f t="shared" si="657"/>
        <v>46318</v>
      </c>
      <c r="O650" s="127"/>
      <c r="P650" s="127">
        <f t="shared" si="658"/>
        <v>46360</v>
      </c>
      <c r="Q650" s="127">
        <f t="shared" si="659"/>
        <v>46360</v>
      </c>
      <c r="R650" s="127"/>
      <c r="S650" s="125">
        <f t="shared" si="661"/>
        <v>46374</v>
      </c>
      <c r="T650" s="127">
        <f t="shared" si="660"/>
        <v>46374</v>
      </c>
      <c r="U650" s="127"/>
      <c r="W650" s="173" t="str">
        <f t="shared" ca="1" si="651"/>
        <v>Follow-Next Week</v>
      </c>
      <c r="X650" s="173" t="str">
        <f t="shared" ca="1" si="652"/>
        <v/>
      </c>
      <c r="Y650" s="173" t="str">
        <f t="shared" ca="1" si="653"/>
        <v/>
      </c>
      <c r="Z650" s="174" t="str">
        <f t="shared" ca="1" si="654"/>
        <v/>
      </c>
    </row>
    <row r="651" spans="1:26" s="70" customFormat="1" ht="11.5" x14ac:dyDescent="0.25">
      <c r="A651" s="122" t="s">
        <v>65</v>
      </c>
      <c r="B651" s="122" t="s">
        <v>14</v>
      </c>
      <c r="C651" s="122" t="s">
        <v>777</v>
      </c>
      <c r="D651" s="122" t="s">
        <v>778</v>
      </c>
      <c r="E651" s="128">
        <f t="shared" si="647"/>
        <v>0</v>
      </c>
      <c r="F651" s="128">
        <f t="shared" si="648"/>
        <v>0</v>
      </c>
      <c r="G651" s="128">
        <f t="shared" si="648"/>
        <v>0.7</v>
      </c>
      <c r="H651" s="128">
        <f t="shared" si="649"/>
        <v>0.7</v>
      </c>
      <c r="I651" s="124">
        <v>4.7E-2</v>
      </c>
      <c r="J651" s="127">
        <f t="shared" si="697"/>
        <v>46283</v>
      </c>
      <c r="K651" s="127">
        <f t="shared" si="655"/>
        <v>46283</v>
      </c>
      <c r="L651" s="125">
        <v>46142</v>
      </c>
      <c r="M651" s="127">
        <f t="shared" si="656"/>
        <v>46325</v>
      </c>
      <c r="N651" s="127">
        <f t="shared" si="657"/>
        <v>46325</v>
      </c>
      <c r="O651" s="125">
        <v>46255</v>
      </c>
      <c r="P651" s="127">
        <f t="shared" si="658"/>
        <v>46367</v>
      </c>
      <c r="Q651" s="127">
        <f t="shared" si="659"/>
        <v>46367</v>
      </c>
      <c r="R651" s="127"/>
      <c r="S651" s="125">
        <f t="shared" si="661"/>
        <v>46381</v>
      </c>
      <c r="T651" s="127">
        <f t="shared" si="660"/>
        <v>46381</v>
      </c>
      <c r="U651" s="127"/>
      <c r="W651" s="173" t="str">
        <f t="shared" ca="1" si="651"/>
        <v>Completed</v>
      </c>
      <c r="X651" s="173" t="str">
        <f t="shared" ca="1" si="652"/>
        <v>Completed</v>
      </c>
      <c r="Y651" s="173" t="str">
        <f t="shared" ca="1" si="653"/>
        <v/>
      </c>
      <c r="Z651" s="174" t="str">
        <f t="shared" ca="1" si="654"/>
        <v/>
      </c>
    </row>
    <row r="652" spans="1:26" s="70" customFormat="1" ht="11.5" x14ac:dyDescent="0.25">
      <c r="A652" s="122" t="s">
        <v>65</v>
      </c>
      <c r="B652" s="122" t="s">
        <v>14</v>
      </c>
      <c r="C652" s="122" t="s">
        <v>779</v>
      </c>
      <c r="D652" s="122" t="s">
        <v>780</v>
      </c>
      <c r="E652" s="128">
        <f t="shared" si="647"/>
        <v>0</v>
      </c>
      <c r="F652" s="128">
        <f t="shared" si="648"/>
        <v>0</v>
      </c>
      <c r="G652" s="128">
        <f t="shared" si="648"/>
        <v>0.7</v>
      </c>
      <c r="H652" s="128">
        <f t="shared" si="649"/>
        <v>0.7</v>
      </c>
      <c r="I652" s="124">
        <v>4.7E-2</v>
      </c>
      <c r="J652" s="127">
        <f t="shared" si="697"/>
        <v>46283</v>
      </c>
      <c r="K652" s="127">
        <f t="shared" si="655"/>
        <v>46283</v>
      </c>
      <c r="L652" s="125">
        <v>46142</v>
      </c>
      <c r="M652" s="127">
        <f t="shared" si="656"/>
        <v>46325</v>
      </c>
      <c r="N652" s="127">
        <f t="shared" si="657"/>
        <v>46325</v>
      </c>
      <c r="O652" s="125">
        <v>46255</v>
      </c>
      <c r="P652" s="127">
        <f t="shared" si="658"/>
        <v>46367</v>
      </c>
      <c r="Q652" s="127">
        <f t="shared" si="659"/>
        <v>46367</v>
      </c>
      <c r="R652" s="127"/>
      <c r="S652" s="125">
        <f t="shared" si="661"/>
        <v>46381</v>
      </c>
      <c r="T652" s="127">
        <f t="shared" si="660"/>
        <v>46381</v>
      </c>
      <c r="U652" s="127"/>
      <c r="W652" s="173" t="str">
        <f t="shared" ca="1" si="651"/>
        <v>Completed</v>
      </c>
      <c r="X652" s="173" t="str">
        <f t="shared" ca="1" si="652"/>
        <v>Completed</v>
      </c>
      <c r="Y652" s="173" t="str">
        <f t="shared" ca="1" si="653"/>
        <v/>
      </c>
      <c r="Z652" s="174" t="str">
        <f t="shared" ca="1" si="654"/>
        <v/>
      </c>
    </row>
    <row r="653" spans="1:26" s="70" customFormat="1" ht="11.5" x14ac:dyDescent="0.25">
      <c r="A653" s="122" t="s">
        <v>65</v>
      </c>
      <c r="B653" s="122" t="s">
        <v>14</v>
      </c>
      <c r="C653" s="122" t="s">
        <v>1109</v>
      </c>
      <c r="D653" s="122" t="s">
        <v>781</v>
      </c>
      <c r="E653" s="128">
        <f t="shared" si="647"/>
        <v>0</v>
      </c>
      <c r="F653" s="128">
        <f t="shared" si="648"/>
        <v>0</v>
      </c>
      <c r="G653" s="128">
        <f t="shared" si="648"/>
        <v>0</v>
      </c>
      <c r="H653" s="128">
        <f t="shared" si="649"/>
        <v>0</v>
      </c>
      <c r="I653" s="124">
        <v>4.7E-2</v>
      </c>
      <c r="J653" s="127">
        <f t="shared" si="697"/>
        <v>46283</v>
      </c>
      <c r="K653" s="127">
        <f t="shared" si="655"/>
        <v>46283</v>
      </c>
      <c r="L653" s="127"/>
      <c r="M653" s="127">
        <f t="shared" si="656"/>
        <v>46325</v>
      </c>
      <c r="N653" s="127">
        <f t="shared" si="657"/>
        <v>46325</v>
      </c>
      <c r="O653" s="127"/>
      <c r="P653" s="127">
        <f t="shared" si="658"/>
        <v>46367</v>
      </c>
      <c r="Q653" s="127">
        <f t="shared" si="659"/>
        <v>46367</v>
      </c>
      <c r="R653" s="127"/>
      <c r="S653" s="125">
        <f t="shared" si="661"/>
        <v>46381</v>
      </c>
      <c r="T653" s="127">
        <f t="shared" si="660"/>
        <v>46381</v>
      </c>
      <c r="U653" s="127"/>
      <c r="W653" s="173" t="str">
        <f t="shared" ca="1" si="651"/>
        <v/>
      </c>
      <c r="X653" s="173" t="str">
        <f t="shared" ca="1" si="652"/>
        <v/>
      </c>
      <c r="Y653" s="173" t="str">
        <f t="shared" ca="1" si="653"/>
        <v/>
      </c>
      <c r="Z653" s="174" t="str">
        <f t="shared" ca="1" si="654"/>
        <v/>
      </c>
    </row>
    <row r="654" spans="1:26" s="70" customFormat="1" ht="11.5" x14ac:dyDescent="0.25">
      <c r="A654" s="122" t="s">
        <v>65</v>
      </c>
      <c r="B654" s="122" t="s">
        <v>14</v>
      </c>
      <c r="C654" s="122" t="s">
        <v>1110</v>
      </c>
      <c r="D654" s="122" t="s">
        <v>782</v>
      </c>
      <c r="E654" s="128">
        <f t="shared" si="647"/>
        <v>0</v>
      </c>
      <c r="F654" s="128">
        <f t="shared" si="648"/>
        <v>0</v>
      </c>
      <c r="G654" s="128">
        <f t="shared" si="648"/>
        <v>0</v>
      </c>
      <c r="H654" s="128">
        <f t="shared" si="649"/>
        <v>0</v>
      </c>
      <c r="I654" s="124">
        <v>4.7E-2</v>
      </c>
      <c r="J654" s="125">
        <f t="shared" si="697"/>
        <v>46283</v>
      </c>
      <c r="K654" s="125">
        <f t="shared" si="655"/>
        <v>46283</v>
      </c>
      <c r="L654" s="125"/>
      <c r="M654" s="125">
        <f t="shared" si="656"/>
        <v>46325</v>
      </c>
      <c r="N654" s="125">
        <f t="shared" si="657"/>
        <v>46325</v>
      </c>
      <c r="O654" s="125"/>
      <c r="P654" s="125">
        <f t="shared" si="658"/>
        <v>46367</v>
      </c>
      <c r="Q654" s="125">
        <f t="shared" si="659"/>
        <v>46367</v>
      </c>
      <c r="R654" s="125"/>
      <c r="S654" s="125">
        <f t="shared" si="661"/>
        <v>46381</v>
      </c>
      <c r="T654" s="125">
        <f t="shared" si="660"/>
        <v>46381</v>
      </c>
      <c r="U654" s="125"/>
      <c r="W654" s="173" t="str">
        <f t="shared" ca="1" si="651"/>
        <v/>
      </c>
      <c r="X654" s="173" t="str">
        <f t="shared" ca="1" si="652"/>
        <v/>
      </c>
      <c r="Y654" s="173" t="str">
        <f t="shared" ca="1" si="653"/>
        <v/>
      </c>
      <c r="Z654" s="174" t="str">
        <f t="shared" ca="1" si="654"/>
        <v/>
      </c>
    </row>
    <row r="655" spans="1:26" s="70" customFormat="1" ht="11.5" x14ac:dyDescent="0.25">
      <c r="A655" s="122" t="s">
        <v>65</v>
      </c>
      <c r="B655" s="122" t="s">
        <v>14</v>
      </c>
      <c r="C655" s="122" t="s">
        <v>1111</v>
      </c>
      <c r="D655" s="122" t="s">
        <v>783</v>
      </c>
      <c r="E655" s="128">
        <f t="shared" si="647"/>
        <v>0</v>
      </c>
      <c r="F655" s="128">
        <f t="shared" si="648"/>
        <v>0</v>
      </c>
      <c r="G655" s="128">
        <f t="shared" si="648"/>
        <v>0</v>
      </c>
      <c r="H655" s="128">
        <f t="shared" si="649"/>
        <v>0</v>
      </c>
      <c r="I655" s="124">
        <v>4.7E-2</v>
      </c>
      <c r="J655" s="125">
        <f t="shared" si="697"/>
        <v>46283</v>
      </c>
      <c r="K655" s="125">
        <f t="shared" si="655"/>
        <v>46283</v>
      </c>
      <c r="L655" s="125"/>
      <c r="M655" s="125">
        <f t="shared" si="656"/>
        <v>46325</v>
      </c>
      <c r="N655" s="125">
        <f t="shared" si="657"/>
        <v>46325</v>
      </c>
      <c r="O655" s="125"/>
      <c r="P655" s="125">
        <f t="shared" si="658"/>
        <v>46367</v>
      </c>
      <c r="Q655" s="125">
        <f t="shared" si="659"/>
        <v>46367</v>
      </c>
      <c r="R655" s="125"/>
      <c r="S655" s="125">
        <f t="shared" si="661"/>
        <v>46381</v>
      </c>
      <c r="T655" s="125">
        <f t="shared" si="660"/>
        <v>46381</v>
      </c>
      <c r="U655" s="125"/>
      <c r="W655" s="173" t="str">
        <f t="shared" ca="1" si="651"/>
        <v/>
      </c>
      <c r="X655" s="173" t="str">
        <f t="shared" ca="1" si="652"/>
        <v/>
      </c>
      <c r="Y655" s="173" t="str">
        <f t="shared" ca="1" si="653"/>
        <v/>
      </c>
      <c r="Z655" s="174" t="str">
        <f t="shared" ca="1" si="654"/>
        <v/>
      </c>
    </row>
    <row r="656" spans="1:26" s="70" customFormat="1" ht="11.5" x14ac:dyDescent="0.25">
      <c r="A656" s="122" t="s">
        <v>65</v>
      </c>
      <c r="B656" s="122" t="s">
        <v>14</v>
      </c>
      <c r="C656" s="122" t="s">
        <v>1112</v>
      </c>
      <c r="D656" s="122" t="s">
        <v>784</v>
      </c>
      <c r="E656" s="128">
        <f t="shared" si="647"/>
        <v>0</v>
      </c>
      <c r="F656" s="128">
        <f t="shared" si="648"/>
        <v>0</v>
      </c>
      <c r="G656" s="128">
        <f t="shared" si="648"/>
        <v>0</v>
      </c>
      <c r="H656" s="128">
        <f t="shared" si="649"/>
        <v>0</v>
      </c>
      <c r="I656" s="124">
        <v>4.7E-2</v>
      </c>
      <c r="J656" s="125">
        <f t="shared" si="697"/>
        <v>46283</v>
      </c>
      <c r="K656" s="125">
        <f t="shared" si="655"/>
        <v>46283</v>
      </c>
      <c r="L656" s="125"/>
      <c r="M656" s="125">
        <f t="shared" si="656"/>
        <v>46325</v>
      </c>
      <c r="N656" s="125">
        <f t="shared" si="657"/>
        <v>46325</v>
      </c>
      <c r="O656" s="125"/>
      <c r="P656" s="125">
        <f t="shared" si="658"/>
        <v>46367</v>
      </c>
      <c r="Q656" s="125">
        <f t="shared" si="659"/>
        <v>46367</v>
      </c>
      <c r="R656" s="125"/>
      <c r="S656" s="125">
        <f t="shared" si="661"/>
        <v>46381</v>
      </c>
      <c r="T656" s="125">
        <f t="shared" si="660"/>
        <v>46381</v>
      </c>
      <c r="U656" s="125"/>
      <c r="W656" s="173" t="str">
        <f t="shared" ca="1" si="651"/>
        <v/>
      </c>
      <c r="X656" s="173" t="str">
        <f t="shared" ca="1" si="652"/>
        <v/>
      </c>
      <c r="Y656" s="173" t="str">
        <f t="shared" ca="1" si="653"/>
        <v/>
      </c>
      <c r="Z656" s="174" t="str">
        <f t="shared" ca="1" si="654"/>
        <v/>
      </c>
    </row>
    <row r="657" spans="1:26" s="70" customFormat="1" ht="11.5" x14ac:dyDescent="0.25">
      <c r="A657" s="122" t="s">
        <v>65</v>
      </c>
      <c r="B657" s="122" t="s">
        <v>14</v>
      </c>
      <c r="C657" s="122" t="s">
        <v>1113</v>
      </c>
      <c r="D657" s="122" t="s">
        <v>785</v>
      </c>
      <c r="E657" s="128">
        <f t="shared" ref="E657:E677" si="698">(COUNTIFS(J657,"&lt;="&amp;$C$1)*50%)+(COUNTIFS(M657,"&lt;="&amp;$C$1)*20%)+(COUNTIFS(P657,"&lt;="&amp;$C$1)*10%)+(COUNTIFS(S657,"&lt;="&amp;$C$1)*20%)</f>
        <v>0</v>
      </c>
      <c r="F657" s="128">
        <f t="shared" ref="F657:G677" si="699">(COUNTIFS(K657,"&lt;="&amp;$C$1)*50%)+(COUNTIFS(N657,"&lt;="&amp;$C$1)*20%)+(COUNTIFS(Q657,"&lt;="&amp;$C$1)*10%)+(COUNTIFS(T657,"&lt;="&amp;$C$1)*20%)</f>
        <v>0</v>
      </c>
      <c r="G657" s="128">
        <f t="shared" si="699"/>
        <v>0</v>
      </c>
      <c r="H657" s="128">
        <f t="shared" ref="H657:H677" si="700">G657-E657</f>
        <v>0</v>
      </c>
      <c r="I657" s="124">
        <v>4.7E-2</v>
      </c>
      <c r="J657" s="125">
        <f t="shared" si="697"/>
        <v>46283</v>
      </c>
      <c r="K657" s="125">
        <f t="shared" si="655"/>
        <v>46283</v>
      </c>
      <c r="L657" s="125"/>
      <c r="M657" s="125">
        <f t="shared" si="656"/>
        <v>46325</v>
      </c>
      <c r="N657" s="125">
        <f t="shared" si="657"/>
        <v>46325</v>
      </c>
      <c r="O657" s="125"/>
      <c r="P657" s="125">
        <f t="shared" si="658"/>
        <v>46367</v>
      </c>
      <c r="Q657" s="125">
        <f t="shared" si="659"/>
        <v>46367</v>
      </c>
      <c r="R657" s="125"/>
      <c r="S657" s="125">
        <f t="shared" si="661"/>
        <v>46381</v>
      </c>
      <c r="T657" s="125">
        <f t="shared" si="660"/>
        <v>46381</v>
      </c>
      <c r="U657" s="125"/>
      <c r="W657" s="173" t="str">
        <f t="shared" ca="1" si="651"/>
        <v/>
      </c>
      <c r="X657" s="173" t="str">
        <f t="shared" ca="1" si="652"/>
        <v/>
      </c>
      <c r="Y657" s="173" t="str">
        <f t="shared" ca="1" si="653"/>
        <v/>
      </c>
      <c r="Z657" s="174" t="str">
        <f t="shared" ca="1" si="654"/>
        <v/>
      </c>
    </row>
    <row r="658" spans="1:26" s="70" customFormat="1" ht="11.5" x14ac:dyDescent="0.25">
      <c r="A658" s="122" t="s">
        <v>65</v>
      </c>
      <c r="B658" s="122" t="s">
        <v>14</v>
      </c>
      <c r="C658" s="122" t="s">
        <v>1114</v>
      </c>
      <c r="D658" s="122" t="s">
        <v>786</v>
      </c>
      <c r="E658" s="128">
        <f>(COUNTIFS(J658,"&lt;="&amp;$C$1)*50%)+(COUNTIFS(M658,"&lt;="&amp;$C$1)*20%)+(COUNTIFS(P658,"&lt;="&amp;$C$1)*10%)+(COUNTIFS(S658,"&lt;="&amp;$C$1)*20%)</f>
        <v>0</v>
      </c>
      <c r="F658" s="128">
        <f>(COUNTIFS(K658,"&lt;="&amp;$C$1)*50%)+(COUNTIFS(N658,"&lt;="&amp;$C$1)*20%)+(COUNTIFS(Q658,"&lt;="&amp;$C$1)*10%)+(COUNTIFS(T658,"&lt;="&amp;$C$1)*20%)</f>
        <v>0</v>
      </c>
      <c r="G658" s="128">
        <f>(COUNTIFS(L658,"&lt;="&amp;$C$1)*50%)+(COUNTIFS(O658,"&lt;="&amp;$C$1)*20%)+(COUNTIFS(R658,"&lt;="&amp;$C$1)*10%)+(COUNTIFS(U658,"&lt;="&amp;$C$1)*20%)</f>
        <v>0</v>
      </c>
      <c r="H658" s="128">
        <f>G658-E658</f>
        <v>0</v>
      </c>
      <c r="I658" s="124">
        <v>4.7E-2</v>
      </c>
      <c r="J658" s="125">
        <f t="shared" si="697"/>
        <v>46283</v>
      </c>
      <c r="K658" s="125">
        <f t="shared" si="655"/>
        <v>46283</v>
      </c>
      <c r="L658" s="125"/>
      <c r="M658" s="125">
        <f t="shared" si="656"/>
        <v>46325</v>
      </c>
      <c r="N658" s="125">
        <f t="shared" si="657"/>
        <v>46325</v>
      </c>
      <c r="O658" s="125"/>
      <c r="P658" s="125">
        <f t="shared" si="658"/>
        <v>46367</v>
      </c>
      <c r="Q658" s="125">
        <f t="shared" si="659"/>
        <v>46367</v>
      </c>
      <c r="R658" s="125"/>
      <c r="S658" s="125">
        <f t="shared" si="661"/>
        <v>46381</v>
      </c>
      <c r="T658" s="125">
        <f t="shared" si="660"/>
        <v>46381</v>
      </c>
      <c r="U658" s="125"/>
      <c r="W658" s="173" t="str">
        <f t="shared" ca="1" si="651"/>
        <v/>
      </c>
      <c r="X658" s="173" t="str">
        <f t="shared" ca="1" si="652"/>
        <v/>
      </c>
      <c r="Y658" s="173" t="str">
        <f t="shared" ca="1" si="653"/>
        <v/>
      </c>
      <c r="Z658" s="174" t="str">
        <f t="shared" ca="1" si="654"/>
        <v/>
      </c>
    </row>
    <row r="659" spans="1:26" s="70" customFormat="1" ht="11.5" x14ac:dyDescent="0.25">
      <c r="A659" s="122" t="s">
        <v>65</v>
      </c>
      <c r="B659" s="122" t="s">
        <v>14</v>
      </c>
      <c r="C659" s="122" t="s">
        <v>1115</v>
      </c>
      <c r="D659" s="122" t="s">
        <v>787</v>
      </c>
      <c r="E659" s="128">
        <f t="shared" si="698"/>
        <v>0</v>
      </c>
      <c r="F659" s="128">
        <f t="shared" si="699"/>
        <v>0</v>
      </c>
      <c r="G659" s="128">
        <f t="shared" si="699"/>
        <v>0</v>
      </c>
      <c r="H659" s="128">
        <f t="shared" si="700"/>
        <v>0</v>
      </c>
      <c r="I659" s="124">
        <v>4.7E-2</v>
      </c>
      <c r="J659" s="125">
        <f t="shared" si="697"/>
        <v>46283</v>
      </c>
      <c r="K659" s="125">
        <f t="shared" si="655"/>
        <v>46283</v>
      </c>
      <c r="L659" s="125"/>
      <c r="M659" s="125">
        <f t="shared" si="656"/>
        <v>46325</v>
      </c>
      <c r="N659" s="125">
        <f t="shared" si="657"/>
        <v>46325</v>
      </c>
      <c r="O659" s="125"/>
      <c r="P659" s="125">
        <f t="shared" si="658"/>
        <v>46367</v>
      </c>
      <c r="Q659" s="125">
        <f t="shared" si="659"/>
        <v>46367</v>
      </c>
      <c r="R659" s="125"/>
      <c r="S659" s="125">
        <f t="shared" si="661"/>
        <v>46381</v>
      </c>
      <c r="T659" s="125">
        <f t="shared" si="660"/>
        <v>46381</v>
      </c>
      <c r="U659" s="125"/>
      <c r="W659" s="173" t="str">
        <f t="shared" ca="1" si="651"/>
        <v/>
      </c>
      <c r="X659" s="173" t="str">
        <f t="shared" ca="1" si="652"/>
        <v/>
      </c>
      <c r="Y659" s="173" t="str">
        <f t="shared" ca="1" si="653"/>
        <v/>
      </c>
      <c r="Z659" s="174" t="str">
        <f t="shared" ca="1" si="654"/>
        <v/>
      </c>
    </row>
    <row r="660" spans="1:26" s="70" customFormat="1" ht="11.5" x14ac:dyDescent="0.25">
      <c r="A660" s="122" t="s">
        <v>65</v>
      </c>
      <c r="B660" s="122" t="s">
        <v>14</v>
      </c>
      <c r="C660" s="122" t="s">
        <v>1116</v>
      </c>
      <c r="D660" s="122" t="s">
        <v>788</v>
      </c>
      <c r="E660" s="128">
        <f t="shared" si="698"/>
        <v>0</v>
      </c>
      <c r="F660" s="128">
        <f t="shared" si="699"/>
        <v>0</v>
      </c>
      <c r="G660" s="128">
        <f t="shared" si="699"/>
        <v>0</v>
      </c>
      <c r="H660" s="128">
        <f t="shared" si="700"/>
        <v>0</v>
      </c>
      <c r="I660" s="124">
        <v>4.7E-2</v>
      </c>
      <c r="J660" s="125">
        <f t="shared" si="697"/>
        <v>46283</v>
      </c>
      <c r="K660" s="125">
        <f t="shared" si="655"/>
        <v>46283</v>
      </c>
      <c r="L660" s="125"/>
      <c r="M660" s="125">
        <f t="shared" si="656"/>
        <v>46325</v>
      </c>
      <c r="N660" s="125">
        <f t="shared" si="657"/>
        <v>46325</v>
      </c>
      <c r="O660" s="125"/>
      <c r="P660" s="125">
        <f t="shared" si="658"/>
        <v>46367</v>
      </c>
      <c r="Q660" s="125">
        <f t="shared" si="659"/>
        <v>46367</v>
      </c>
      <c r="R660" s="125"/>
      <c r="S660" s="125">
        <f t="shared" si="661"/>
        <v>46381</v>
      </c>
      <c r="T660" s="125">
        <f t="shared" si="660"/>
        <v>46381</v>
      </c>
      <c r="U660" s="125"/>
      <c r="W660" s="173" t="str">
        <f t="shared" ca="1" si="651"/>
        <v/>
      </c>
      <c r="X660" s="173" t="str">
        <f t="shared" ca="1" si="652"/>
        <v/>
      </c>
      <c r="Y660" s="173" t="str">
        <f t="shared" ca="1" si="653"/>
        <v/>
      </c>
      <c r="Z660" s="174" t="str">
        <f t="shared" ca="1" si="654"/>
        <v/>
      </c>
    </row>
    <row r="661" spans="1:26" s="70" customFormat="1" ht="11.5" x14ac:dyDescent="0.25">
      <c r="A661" s="122" t="s">
        <v>65</v>
      </c>
      <c r="B661" s="122" t="s">
        <v>14</v>
      </c>
      <c r="C661" s="122" t="s">
        <v>1117</v>
      </c>
      <c r="D661" s="122" t="s">
        <v>789</v>
      </c>
      <c r="E661" s="128">
        <f t="shared" si="698"/>
        <v>0</v>
      </c>
      <c r="F661" s="128">
        <f t="shared" si="699"/>
        <v>0</v>
      </c>
      <c r="G661" s="128">
        <f t="shared" si="699"/>
        <v>0</v>
      </c>
      <c r="H661" s="128">
        <f t="shared" si="700"/>
        <v>0</v>
      </c>
      <c r="I661" s="124">
        <v>4.7E-2</v>
      </c>
      <c r="J661" s="125">
        <f t="shared" si="697"/>
        <v>46283</v>
      </c>
      <c r="K661" s="125">
        <f t="shared" si="655"/>
        <v>46283</v>
      </c>
      <c r="L661" s="125"/>
      <c r="M661" s="125">
        <f t="shared" si="656"/>
        <v>46325</v>
      </c>
      <c r="N661" s="125">
        <f t="shared" si="657"/>
        <v>46325</v>
      </c>
      <c r="O661" s="125"/>
      <c r="P661" s="125">
        <f t="shared" si="658"/>
        <v>46367</v>
      </c>
      <c r="Q661" s="125">
        <f t="shared" si="659"/>
        <v>46367</v>
      </c>
      <c r="R661" s="125"/>
      <c r="S661" s="125">
        <f t="shared" si="661"/>
        <v>46381</v>
      </c>
      <c r="T661" s="125">
        <f t="shared" si="660"/>
        <v>46381</v>
      </c>
      <c r="U661" s="125"/>
      <c r="W661" s="173" t="str">
        <f t="shared" ca="1" si="651"/>
        <v/>
      </c>
      <c r="X661" s="173" t="str">
        <f t="shared" ca="1" si="652"/>
        <v/>
      </c>
      <c r="Y661" s="173" t="str">
        <f t="shared" ca="1" si="653"/>
        <v/>
      </c>
      <c r="Z661" s="174" t="str">
        <f t="shared" ca="1" si="654"/>
        <v/>
      </c>
    </row>
    <row r="662" spans="1:26" s="70" customFormat="1" ht="11.5" x14ac:dyDescent="0.25">
      <c r="A662" s="122" t="s">
        <v>65</v>
      </c>
      <c r="B662" s="122" t="s">
        <v>14</v>
      </c>
      <c r="C662" s="122" t="s">
        <v>790</v>
      </c>
      <c r="D662" s="122" t="s">
        <v>791</v>
      </c>
      <c r="E662" s="128">
        <f t="shared" si="698"/>
        <v>0</v>
      </c>
      <c r="F662" s="128">
        <f t="shared" si="699"/>
        <v>0</v>
      </c>
      <c r="G662" s="128">
        <f t="shared" si="699"/>
        <v>0</v>
      </c>
      <c r="H662" s="128">
        <f t="shared" si="700"/>
        <v>0</v>
      </c>
      <c r="I662" s="124">
        <v>4.7E-2</v>
      </c>
      <c r="J662" s="125">
        <f t="shared" si="697"/>
        <v>46290</v>
      </c>
      <c r="K662" s="125">
        <f t="shared" si="655"/>
        <v>46290</v>
      </c>
      <c r="L662" s="125"/>
      <c r="M662" s="125">
        <f t="shared" si="656"/>
        <v>46332</v>
      </c>
      <c r="N662" s="125">
        <f t="shared" si="657"/>
        <v>46332</v>
      </c>
      <c r="O662" s="125"/>
      <c r="P662" s="125">
        <f t="shared" si="658"/>
        <v>46374</v>
      </c>
      <c r="Q662" s="125">
        <f t="shared" si="659"/>
        <v>46374</v>
      </c>
      <c r="R662" s="125"/>
      <c r="S662" s="125">
        <f t="shared" si="661"/>
        <v>46388</v>
      </c>
      <c r="T662" s="125">
        <f t="shared" si="660"/>
        <v>46388</v>
      </c>
      <c r="U662" s="125"/>
      <c r="W662" s="173" t="str">
        <f t="shared" ca="1" si="651"/>
        <v/>
      </c>
      <c r="X662" s="173" t="str">
        <f t="shared" ca="1" si="652"/>
        <v/>
      </c>
      <c r="Y662" s="173" t="str">
        <f t="shared" ca="1" si="653"/>
        <v/>
      </c>
      <c r="Z662" s="174" t="str">
        <f t="shared" ca="1" si="654"/>
        <v/>
      </c>
    </row>
    <row r="663" spans="1:26" s="70" customFormat="1" ht="11.5" x14ac:dyDescent="0.25">
      <c r="A663" s="122" t="s">
        <v>65</v>
      </c>
      <c r="B663" s="122" t="s">
        <v>14</v>
      </c>
      <c r="C663" s="122" t="s">
        <v>792</v>
      </c>
      <c r="D663" s="122" t="s">
        <v>793</v>
      </c>
      <c r="E663" s="128">
        <f t="shared" si="698"/>
        <v>0</v>
      </c>
      <c r="F663" s="128">
        <f t="shared" si="699"/>
        <v>0</v>
      </c>
      <c r="G663" s="128">
        <f t="shared" si="699"/>
        <v>0</v>
      </c>
      <c r="H663" s="128">
        <f t="shared" si="700"/>
        <v>0</v>
      </c>
      <c r="I663" s="124">
        <v>4.7E-2</v>
      </c>
      <c r="J663" s="125">
        <f t="shared" si="697"/>
        <v>46290</v>
      </c>
      <c r="K663" s="125">
        <f t="shared" si="655"/>
        <v>46290</v>
      </c>
      <c r="L663" s="125"/>
      <c r="M663" s="125">
        <f t="shared" si="656"/>
        <v>46332</v>
      </c>
      <c r="N663" s="125">
        <f t="shared" si="657"/>
        <v>46332</v>
      </c>
      <c r="O663" s="125"/>
      <c r="P663" s="125">
        <f t="shared" si="658"/>
        <v>46374</v>
      </c>
      <c r="Q663" s="125">
        <f t="shared" si="659"/>
        <v>46374</v>
      </c>
      <c r="R663" s="125"/>
      <c r="S663" s="125">
        <f t="shared" si="661"/>
        <v>46388</v>
      </c>
      <c r="T663" s="125">
        <f t="shared" si="660"/>
        <v>46388</v>
      </c>
      <c r="U663" s="125"/>
      <c r="W663" s="173" t="str">
        <f t="shared" ca="1" si="651"/>
        <v/>
      </c>
      <c r="X663" s="173" t="str">
        <f t="shared" ca="1" si="652"/>
        <v/>
      </c>
      <c r="Y663" s="173" t="str">
        <f t="shared" ca="1" si="653"/>
        <v/>
      </c>
      <c r="Z663" s="174" t="str">
        <f t="shared" ca="1" si="654"/>
        <v/>
      </c>
    </row>
    <row r="664" spans="1:26" s="70" customFormat="1" ht="11.5" x14ac:dyDescent="0.25">
      <c r="A664" s="121" t="s">
        <v>65</v>
      </c>
      <c r="B664" s="121" t="s">
        <v>14</v>
      </c>
      <c r="C664" s="122" t="s">
        <v>794</v>
      </c>
      <c r="D664" s="122" t="s">
        <v>795</v>
      </c>
      <c r="E664" s="123">
        <f t="shared" si="698"/>
        <v>0</v>
      </c>
      <c r="F664" s="123">
        <f t="shared" si="699"/>
        <v>0</v>
      </c>
      <c r="G664" s="123">
        <f t="shared" si="699"/>
        <v>0</v>
      </c>
      <c r="H664" s="123">
        <f t="shared" si="700"/>
        <v>0</v>
      </c>
      <c r="I664" s="124">
        <v>4.7E-2</v>
      </c>
      <c r="J664" s="125">
        <f t="shared" si="697"/>
        <v>46290</v>
      </c>
      <c r="K664" s="125">
        <f t="shared" si="655"/>
        <v>46290</v>
      </c>
      <c r="L664" s="125"/>
      <c r="M664" s="125">
        <f t="shared" si="656"/>
        <v>46332</v>
      </c>
      <c r="N664" s="125">
        <f t="shared" si="657"/>
        <v>46332</v>
      </c>
      <c r="O664" s="125"/>
      <c r="P664" s="125">
        <f t="shared" si="658"/>
        <v>46374</v>
      </c>
      <c r="Q664" s="125">
        <f t="shared" si="659"/>
        <v>46374</v>
      </c>
      <c r="R664" s="125"/>
      <c r="S664" s="125">
        <f t="shared" si="661"/>
        <v>46388</v>
      </c>
      <c r="T664" s="125">
        <f t="shared" si="660"/>
        <v>46388</v>
      </c>
      <c r="U664" s="125"/>
      <c r="W664" s="173" t="str">
        <f t="shared" ca="1" si="651"/>
        <v/>
      </c>
      <c r="X664" s="173" t="str">
        <f t="shared" ca="1" si="652"/>
        <v/>
      </c>
      <c r="Y664" s="173" t="str">
        <f t="shared" ca="1" si="653"/>
        <v/>
      </c>
      <c r="Z664" s="174" t="str">
        <f t="shared" ca="1" si="654"/>
        <v/>
      </c>
    </row>
    <row r="665" spans="1:26" s="70" customFormat="1" ht="11.5" x14ac:dyDescent="0.25">
      <c r="A665" s="121" t="s">
        <v>65</v>
      </c>
      <c r="B665" s="121" t="s">
        <v>14</v>
      </c>
      <c r="C665" s="122" t="s">
        <v>1118</v>
      </c>
      <c r="D665" s="122" t="s">
        <v>796</v>
      </c>
      <c r="E665" s="123">
        <f t="shared" si="698"/>
        <v>0</v>
      </c>
      <c r="F665" s="123">
        <f t="shared" si="699"/>
        <v>0</v>
      </c>
      <c r="G665" s="123">
        <f t="shared" si="699"/>
        <v>0</v>
      </c>
      <c r="H665" s="123">
        <f t="shared" si="700"/>
        <v>0</v>
      </c>
      <c r="I665" s="124">
        <v>4.7E-2</v>
      </c>
      <c r="J665" s="125">
        <f t="shared" si="697"/>
        <v>46290</v>
      </c>
      <c r="K665" s="125">
        <f t="shared" si="655"/>
        <v>46290</v>
      </c>
      <c r="L665" s="125"/>
      <c r="M665" s="125">
        <f t="shared" si="656"/>
        <v>46332</v>
      </c>
      <c r="N665" s="125">
        <f t="shared" si="657"/>
        <v>46332</v>
      </c>
      <c r="O665" s="125"/>
      <c r="P665" s="125">
        <f t="shared" si="658"/>
        <v>46374</v>
      </c>
      <c r="Q665" s="125">
        <f t="shared" si="659"/>
        <v>46374</v>
      </c>
      <c r="R665" s="125"/>
      <c r="S665" s="125">
        <f t="shared" si="661"/>
        <v>46388</v>
      </c>
      <c r="T665" s="125">
        <f t="shared" si="660"/>
        <v>46388</v>
      </c>
      <c r="U665" s="125"/>
      <c r="W665" s="173" t="str">
        <f t="shared" ca="1" si="651"/>
        <v/>
      </c>
      <c r="X665" s="173" t="str">
        <f t="shared" ca="1" si="652"/>
        <v/>
      </c>
      <c r="Y665" s="173" t="str">
        <f t="shared" ca="1" si="653"/>
        <v/>
      </c>
      <c r="Z665" s="174" t="str">
        <f t="shared" ca="1" si="654"/>
        <v/>
      </c>
    </row>
    <row r="666" spans="1:26" s="70" customFormat="1" ht="11.5" x14ac:dyDescent="0.25">
      <c r="A666" s="121" t="s">
        <v>65</v>
      </c>
      <c r="B666" s="121" t="s">
        <v>14</v>
      </c>
      <c r="C666" s="122" t="s">
        <v>1119</v>
      </c>
      <c r="D666" s="122" t="s">
        <v>797</v>
      </c>
      <c r="E666" s="123">
        <f t="shared" si="698"/>
        <v>0</v>
      </c>
      <c r="F666" s="123">
        <f t="shared" si="699"/>
        <v>0</v>
      </c>
      <c r="G666" s="123">
        <f t="shared" si="699"/>
        <v>0</v>
      </c>
      <c r="H666" s="123">
        <f t="shared" si="700"/>
        <v>0</v>
      </c>
      <c r="I666" s="124">
        <v>4.7E-2</v>
      </c>
      <c r="J666" s="125">
        <f t="shared" si="697"/>
        <v>46290</v>
      </c>
      <c r="K666" s="125">
        <f t="shared" si="655"/>
        <v>46290</v>
      </c>
      <c r="L666" s="125"/>
      <c r="M666" s="125">
        <f t="shared" si="656"/>
        <v>46332</v>
      </c>
      <c r="N666" s="125">
        <f t="shared" si="657"/>
        <v>46332</v>
      </c>
      <c r="O666" s="125"/>
      <c r="P666" s="125">
        <f t="shared" si="658"/>
        <v>46374</v>
      </c>
      <c r="Q666" s="125">
        <f t="shared" si="659"/>
        <v>46374</v>
      </c>
      <c r="R666" s="125"/>
      <c r="S666" s="125">
        <f t="shared" si="661"/>
        <v>46388</v>
      </c>
      <c r="T666" s="125">
        <f t="shared" si="660"/>
        <v>46388</v>
      </c>
      <c r="U666" s="125"/>
      <c r="W666" s="173" t="str">
        <f t="shared" ca="1" si="651"/>
        <v/>
      </c>
      <c r="X666" s="173" t="str">
        <f t="shared" ca="1" si="652"/>
        <v/>
      </c>
      <c r="Y666" s="173" t="str">
        <f t="shared" ca="1" si="653"/>
        <v/>
      </c>
      <c r="Z666" s="174" t="str">
        <f t="shared" ca="1" si="654"/>
        <v/>
      </c>
    </row>
    <row r="667" spans="1:26" s="70" customFormat="1" ht="11.5" x14ac:dyDescent="0.25">
      <c r="A667" s="121" t="s">
        <v>65</v>
      </c>
      <c r="B667" s="121" t="s">
        <v>14</v>
      </c>
      <c r="C667" s="122" t="s">
        <v>1120</v>
      </c>
      <c r="D667" s="122" t="s">
        <v>798</v>
      </c>
      <c r="E667" s="123">
        <f t="shared" si="698"/>
        <v>0</v>
      </c>
      <c r="F667" s="123">
        <f t="shared" si="699"/>
        <v>0</v>
      </c>
      <c r="G667" s="123">
        <f t="shared" si="699"/>
        <v>0</v>
      </c>
      <c r="H667" s="123">
        <f t="shared" si="700"/>
        <v>0</v>
      </c>
      <c r="I667" s="124">
        <v>4.7E-2</v>
      </c>
      <c r="J667" s="125">
        <f t="shared" si="697"/>
        <v>46290</v>
      </c>
      <c r="K667" s="125">
        <f t="shared" si="655"/>
        <v>46290</v>
      </c>
      <c r="L667" s="125"/>
      <c r="M667" s="125">
        <f t="shared" si="656"/>
        <v>46332</v>
      </c>
      <c r="N667" s="125">
        <f t="shared" si="657"/>
        <v>46332</v>
      </c>
      <c r="O667" s="125"/>
      <c r="P667" s="125">
        <f t="shared" si="658"/>
        <v>46374</v>
      </c>
      <c r="Q667" s="125">
        <f t="shared" si="659"/>
        <v>46374</v>
      </c>
      <c r="R667" s="125"/>
      <c r="S667" s="125">
        <f t="shared" si="661"/>
        <v>46388</v>
      </c>
      <c r="T667" s="125">
        <f t="shared" si="660"/>
        <v>46388</v>
      </c>
      <c r="U667" s="125"/>
      <c r="W667" s="173" t="str">
        <f t="shared" ca="1" si="651"/>
        <v/>
      </c>
      <c r="X667" s="173" t="str">
        <f t="shared" ca="1" si="652"/>
        <v/>
      </c>
      <c r="Y667" s="173" t="str">
        <f t="shared" ca="1" si="653"/>
        <v/>
      </c>
      <c r="Z667" s="174" t="str">
        <f t="shared" ca="1" si="654"/>
        <v/>
      </c>
    </row>
    <row r="668" spans="1:26" s="70" customFormat="1" ht="11.5" x14ac:dyDescent="0.25">
      <c r="A668" s="121" t="s">
        <v>65</v>
      </c>
      <c r="B668" s="121" t="s">
        <v>14</v>
      </c>
      <c r="C668" s="122" t="s">
        <v>1121</v>
      </c>
      <c r="D668" s="122" t="s">
        <v>799</v>
      </c>
      <c r="E668" s="123">
        <f t="shared" si="698"/>
        <v>0</v>
      </c>
      <c r="F668" s="123">
        <f t="shared" si="699"/>
        <v>0</v>
      </c>
      <c r="G668" s="123">
        <f t="shared" si="699"/>
        <v>0</v>
      </c>
      <c r="H668" s="123">
        <f t="shared" si="700"/>
        <v>0</v>
      </c>
      <c r="I668" s="124">
        <v>4.7E-2</v>
      </c>
      <c r="J668" s="125">
        <f t="shared" si="697"/>
        <v>46290</v>
      </c>
      <c r="K668" s="125">
        <f t="shared" si="655"/>
        <v>46290</v>
      </c>
      <c r="L668" s="125"/>
      <c r="M668" s="125">
        <f t="shared" si="656"/>
        <v>46332</v>
      </c>
      <c r="N668" s="125">
        <f t="shared" si="657"/>
        <v>46332</v>
      </c>
      <c r="O668" s="125"/>
      <c r="P668" s="125">
        <f t="shared" si="658"/>
        <v>46374</v>
      </c>
      <c r="Q668" s="125">
        <f t="shared" si="659"/>
        <v>46374</v>
      </c>
      <c r="R668" s="125"/>
      <c r="S668" s="125">
        <f t="shared" si="661"/>
        <v>46388</v>
      </c>
      <c r="T668" s="125">
        <f t="shared" si="660"/>
        <v>46388</v>
      </c>
      <c r="U668" s="125"/>
      <c r="W668" s="173" t="str">
        <f t="shared" ca="1" si="651"/>
        <v/>
      </c>
      <c r="X668" s="173" t="str">
        <f t="shared" ca="1" si="652"/>
        <v/>
      </c>
      <c r="Y668" s="173" t="str">
        <f t="shared" ca="1" si="653"/>
        <v/>
      </c>
      <c r="Z668" s="174" t="str">
        <f t="shared" ca="1" si="654"/>
        <v/>
      </c>
    </row>
    <row r="669" spans="1:26" s="70" customFormat="1" ht="11.5" x14ac:dyDescent="0.25">
      <c r="A669" s="121" t="s">
        <v>65</v>
      </c>
      <c r="B669" s="121" t="s">
        <v>14</v>
      </c>
      <c r="C669" s="122" t="s">
        <v>1122</v>
      </c>
      <c r="D669" s="122" t="s">
        <v>800</v>
      </c>
      <c r="E669" s="123">
        <f t="shared" si="698"/>
        <v>0</v>
      </c>
      <c r="F669" s="123">
        <f t="shared" si="699"/>
        <v>0</v>
      </c>
      <c r="G669" s="123">
        <f t="shared" si="699"/>
        <v>0</v>
      </c>
      <c r="H669" s="123">
        <f t="shared" si="700"/>
        <v>0</v>
      </c>
      <c r="I669" s="124">
        <v>4.7E-2</v>
      </c>
      <c r="J669" s="125">
        <f t="shared" si="697"/>
        <v>46290</v>
      </c>
      <c r="K669" s="125">
        <f t="shared" si="655"/>
        <v>46290</v>
      </c>
      <c r="L669" s="125"/>
      <c r="M669" s="125">
        <f t="shared" si="656"/>
        <v>46332</v>
      </c>
      <c r="N669" s="125">
        <f t="shared" si="657"/>
        <v>46332</v>
      </c>
      <c r="O669" s="125"/>
      <c r="P669" s="125">
        <f t="shared" si="658"/>
        <v>46374</v>
      </c>
      <c r="Q669" s="125">
        <f t="shared" si="659"/>
        <v>46374</v>
      </c>
      <c r="R669" s="125"/>
      <c r="S669" s="125">
        <f t="shared" si="661"/>
        <v>46388</v>
      </c>
      <c r="T669" s="125">
        <f t="shared" si="660"/>
        <v>46388</v>
      </c>
      <c r="U669" s="125"/>
      <c r="W669" s="173" t="str">
        <f t="shared" ca="1" si="651"/>
        <v/>
      </c>
      <c r="X669" s="173" t="str">
        <f t="shared" ca="1" si="652"/>
        <v/>
      </c>
      <c r="Y669" s="173" t="str">
        <f t="shared" ca="1" si="653"/>
        <v/>
      </c>
      <c r="Z669" s="174" t="str">
        <f t="shared" ca="1" si="654"/>
        <v/>
      </c>
    </row>
    <row r="670" spans="1:26" s="70" customFormat="1" ht="11.5" x14ac:dyDescent="0.25">
      <c r="A670" s="121" t="s">
        <v>65</v>
      </c>
      <c r="B670" s="121" t="s">
        <v>14</v>
      </c>
      <c r="C670" s="122" t="s">
        <v>1123</v>
      </c>
      <c r="D670" s="122" t="s">
        <v>801</v>
      </c>
      <c r="E670" s="123">
        <f t="shared" si="698"/>
        <v>0</v>
      </c>
      <c r="F670" s="123">
        <f t="shared" si="699"/>
        <v>0</v>
      </c>
      <c r="G670" s="123">
        <f t="shared" si="699"/>
        <v>0</v>
      </c>
      <c r="H670" s="123">
        <f t="shared" si="700"/>
        <v>0</v>
      </c>
      <c r="I670" s="124">
        <v>4.7E-2</v>
      </c>
      <c r="J670" s="125">
        <f t="shared" si="697"/>
        <v>46290</v>
      </c>
      <c r="K670" s="125">
        <f t="shared" si="655"/>
        <v>46290</v>
      </c>
      <c r="L670" s="125"/>
      <c r="M670" s="125">
        <f t="shared" si="656"/>
        <v>46332</v>
      </c>
      <c r="N670" s="125">
        <f t="shared" si="657"/>
        <v>46332</v>
      </c>
      <c r="O670" s="125"/>
      <c r="P670" s="125">
        <f t="shared" si="658"/>
        <v>46374</v>
      </c>
      <c r="Q670" s="125">
        <f t="shared" si="659"/>
        <v>46374</v>
      </c>
      <c r="R670" s="125"/>
      <c r="S670" s="125">
        <f t="shared" si="661"/>
        <v>46388</v>
      </c>
      <c r="T670" s="125">
        <f t="shared" si="660"/>
        <v>46388</v>
      </c>
      <c r="U670" s="125"/>
      <c r="W670" s="173" t="str">
        <f t="shared" ca="1" si="651"/>
        <v/>
      </c>
      <c r="X670" s="173" t="str">
        <f t="shared" ca="1" si="652"/>
        <v/>
      </c>
      <c r="Y670" s="173" t="str">
        <f t="shared" ca="1" si="653"/>
        <v/>
      </c>
      <c r="Z670" s="174" t="str">
        <f t="shared" ca="1" si="654"/>
        <v/>
      </c>
    </row>
    <row r="671" spans="1:26" s="70" customFormat="1" ht="11.5" x14ac:dyDescent="0.25">
      <c r="A671" s="121" t="s">
        <v>65</v>
      </c>
      <c r="B671" s="121" t="s">
        <v>14</v>
      </c>
      <c r="C671" s="122" t="s">
        <v>802</v>
      </c>
      <c r="D671" s="122" t="s">
        <v>803</v>
      </c>
      <c r="E671" s="123">
        <f t="shared" si="698"/>
        <v>0</v>
      </c>
      <c r="F671" s="123">
        <f t="shared" si="699"/>
        <v>0</v>
      </c>
      <c r="G671" s="123">
        <f t="shared" si="699"/>
        <v>0</v>
      </c>
      <c r="H671" s="123">
        <f t="shared" si="700"/>
        <v>0</v>
      </c>
      <c r="I671" s="124">
        <v>4.7E-2</v>
      </c>
      <c r="J671" s="125">
        <f t="shared" si="697"/>
        <v>46290</v>
      </c>
      <c r="K671" s="125">
        <f t="shared" si="655"/>
        <v>46290</v>
      </c>
      <c r="L671" s="125"/>
      <c r="M671" s="125">
        <f t="shared" si="656"/>
        <v>46332</v>
      </c>
      <c r="N671" s="125">
        <f t="shared" si="657"/>
        <v>46332</v>
      </c>
      <c r="O671" s="125"/>
      <c r="P671" s="125">
        <f t="shared" si="658"/>
        <v>46374</v>
      </c>
      <c r="Q671" s="125">
        <f t="shared" si="659"/>
        <v>46374</v>
      </c>
      <c r="R671" s="125"/>
      <c r="S671" s="125">
        <f t="shared" si="661"/>
        <v>46388</v>
      </c>
      <c r="T671" s="125">
        <f t="shared" si="660"/>
        <v>46388</v>
      </c>
      <c r="U671" s="125"/>
      <c r="W671" s="173" t="str">
        <f t="shared" ca="1" si="651"/>
        <v/>
      </c>
      <c r="X671" s="173" t="str">
        <f t="shared" ca="1" si="652"/>
        <v/>
      </c>
      <c r="Y671" s="173" t="str">
        <f t="shared" ca="1" si="653"/>
        <v/>
      </c>
      <c r="Z671" s="174" t="str">
        <f t="shared" ca="1" si="654"/>
        <v/>
      </c>
    </row>
    <row r="672" spans="1:26" s="70" customFormat="1" ht="11.5" x14ac:dyDescent="0.25">
      <c r="A672" s="121" t="s">
        <v>65</v>
      </c>
      <c r="B672" s="121" t="s">
        <v>14</v>
      </c>
      <c r="C672" s="122" t="s">
        <v>804</v>
      </c>
      <c r="D672" s="122" t="s">
        <v>805</v>
      </c>
      <c r="E672" s="123">
        <f t="shared" si="698"/>
        <v>0</v>
      </c>
      <c r="F672" s="123">
        <f t="shared" si="699"/>
        <v>0</v>
      </c>
      <c r="G672" s="123">
        <f t="shared" si="699"/>
        <v>0</v>
      </c>
      <c r="H672" s="123">
        <f t="shared" si="700"/>
        <v>0</v>
      </c>
      <c r="I672" s="124">
        <v>4.7E-2</v>
      </c>
      <c r="J672" s="125">
        <f t="shared" si="697"/>
        <v>46290</v>
      </c>
      <c r="K672" s="125">
        <f t="shared" si="655"/>
        <v>46290</v>
      </c>
      <c r="L672" s="125"/>
      <c r="M672" s="125">
        <f t="shared" si="656"/>
        <v>46332</v>
      </c>
      <c r="N672" s="125">
        <f t="shared" si="657"/>
        <v>46332</v>
      </c>
      <c r="O672" s="125"/>
      <c r="P672" s="125">
        <f t="shared" si="658"/>
        <v>46374</v>
      </c>
      <c r="Q672" s="125">
        <f t="shared" si="659"/>
        <v>46374</v>
      </c>
      <c r="R672" s="125"/>
      <c r="S672" s="125">
        <f t="shared" si="661"/>
        <v>46388</v>
      </c>
      <c r="T672" s="125">
        <f t="shared" si="660"/>
        <v>46388</v>
      </c>
      <c r="U672" s="125"/>
      <c r="W672" s="173" t="str">
        <f t="shared" ca="1" si="651"/>
        <v/>
      </c>
      <c r="X672" s="173" t="str">
        <f t="shared" ca="1" si="652"/>
        <v/>
      </c>
      <c r="Y672" s="173" t="str">
        <f t="shared" ca="1" si="653"/>
        <v/>
      </c>
      <c r="Z672" s="174" t="str">
        <f t="shared" ca="1" si="654"/>
        <v/>
      </c>
    </row>
    <row r="673" spans="1:26" s="70" customFormat="1" ht="11.5" x14ac:dyDescent="0.25">
      <c r="A673" s="121" t="s">
        <v>65</v>
      </c>
      <c r="B673" s="121" t="s">
        <v>14</v>
      </c>
      <c r="C673" s="122" t="s">
        <v>806</v>
      </c>
      <c r="D673" s="122" t="s">
        <v>807</v>
      </c>
      <c r="E673" s="123">
        <f t="shared" si="698"/>
        <v>0</v>
      </c>
      <c r="F673" s="123">
        <f t="shared" si="699"/>
        <v>0</v>
      </c>
      <c r="G673" s="123">
        <f t="shared" si="699"/>
        <v>0</v>
      </c>
      <c r="H673" s="123">
        <f t="shared" si="700"/>
        <v>0</v>
      </c>
      <c r="I673" s="124">
        <v>4.7E-2</v>
      </c>
      <c r="J673" s="125">
        <f t="shared" si="697"/>
        <v>46290</v>
      </c>
      <c r="K673" s="125">
        <f t="shared" si="655"/>
        <v>46290</v>
      </c>
      <c r="L673" s="125"/>
      <c r="M673" s="125">
        <f t="shared" si="656"/>
        <v>46332</v>
      </c>
      <c r="N673" s="125">
        <f t="shared" si="657"/>
        <v>46332</v>
      </c>
      <c r="O673" s="125"/>
      <c r="P673" s="125">
        <f t="shared" si="658"/>
        <v>46374</v>
      </c>
      <c r="Q673" s="125">
        <f t="shared" si="659"/>
        <v>46374</v>
      </c>
      <c r="R673" s="125"/>
      <c r="S673" s="125">
        <f t="shared" si="661"/>
        <v>46388</v>
      </c>
      <c r="T673" s="125">
        <f t="shared" si="660"/>
        <v>46388</v>
      </c>
      <c r="U673" s="125"/>
      <c r="W673" s="173" t="str">
        <f t="shared" ref="W673:W676" ca="1" si="701">IF(OR(L673&lt;&gt;""),"Completed",
IF(K673="","",IF(K673&lt;TODAY(),"Overdue",
IF(AND(K673&gt;=TODAY()-WEEKDAY(TODAY(),2)+1,K673&lt;=TODAY()-WEEKDAY(TODAY(),2)+7),"Follow-This Week",
IF(AND(K673&gt;=TODAY()-WEEKDAY(TODAY(),2)+8,K673&lt;=TODAY()-WEEKDAY(TODAY(),2)+14),"Follow-Next Week","")))))</f>
        <v/>
      </c>
      <c r="X673" s="173" t="str">
        <f t="shared" ref="X673:X676" ca="1" si="702">IF(OR(O673&lt;&gt;""),"Completed",IF(N673="","",
IF(N673&lt;TODAY(),"Overdue",
IF(AND(N673&gt;=TODAY()-WEEKDAY(TODAY(),2)+1,N673&lt;=TODAY()-WEEKDAY(TODAY(),2)+7),"Follow-This Week",
IF(AND(N673&gt;=TODAY()-WEEKDAY(TODAY(),2)+8,N673&lt;=TODAY()-WEEKDAY(TODAY(),2)+14),"Follow-Next Week","")))))</f>
        <v/>
      </c>
      <c r="Y673" s="173" t="str">
        <f t="shared" ref="Y673:Y677" ca="1" si="703">IF(OR(R673&lt;&gt;""),"Completed",IF(Q673="","",
IF(Q673&lt;TODAY(),"Overdue",
IF(AND(Q673&gt;=TODAY()-WEEKDAY(TODAY(),2)+1,Q673&lt;=TODAY()-WEEKDAY(TODAY(),2)+7),"Follow-This Week",
IF(AND(Q673&gt;=TODAY()-WEEKDAY(TODAY(),2)+8,Q673&lt;=TODAY()-WEEKDAY(TODAY(),2)+14),"Follow-Next Week","")))))</f>
        <v/>
      </c>
      <c r="Z673" s="174" t="str">
        <f t="shared" ref="Z673:Z677" ca="1" si="704">IF(OR(U673&lt;&gt;""),"Completed",IF(T673="","",
IF(T673&lt;TODAY(),"Overdue",
IF(AND(T673&gt;=TODAY()-WEEKDAY(TODAY(),2)+1,T673&lt;=TODAY()-WEEKDAY(TODAY(),2)+7),"Follow-This Week",
IF(AND(T673&gt;=TODAY()-WEEKDAY(TODAY(),2)+8,T673&lt;=TODAY()-WEEKDAY(TODAY(),2)+14),"Follow-Next Week","")))))</f>
        <v/>
      </c>
    </row>
    <row r="674" spans="1:26" s="70" customFormat="1" ht="11.5" x14ac:dyDescent="0.25">
      <c r="A674" s="121" t="s">
        <v>65</v>
      </c>
      <c r="B674" s="121" t="s">
        <v>14</v>
      </c>
      <c r="C674" s="121" t="s">
        <v>1124</v>
      </c>
      <c r="D674" s="121" t="s">
        <v>808</v>
      </c>
      <c r="E674" s="123">
        <f t="shared" si="698"/>
        <v>0</v>
      </c>
      <c r="F674" s="123">
        <f t="shared" si="699"/>
        <v>0</v>
      </c>
      <c r="G674" s="123">
        <f t="shared" si="699"/>
        <v>0</v>
      </c>
      <c r="H674" s="123">
        <f t="shared" si="700"/>
        <v>0</v>
      </c>
      <c r="I674" s="124">
        <v>4.7E-2</v>
      </c>
      <c r="J674" s="125">
        <f t="shared" si="697"/>
        <v>46290</v>
      </c>
      <c r="K674" s="125">
        <f t="shared" si="655"/>
        <v>46290</v>
      </c>
      <c r="L674" s="125"/>
      <c r="M674" s="125">
        <f t="shared" si="656"/>
        <v>46332</v>
      </c>
      <c r="N674" s="125">
        <f t="shared" si="657"/>
        <v>46332</v>
      </c>
      <c r="O674" s="125"/>
      <c r="P674" s="125">
        <f t="shared" si="658"/>
        <v>46374</v>
      </c>
      <c r="Q674" s="125">
        <f t="shared" si="659"/>
        <v>46374</v>
      </c>
      <c r="R674" s="125"/>
      <c r="S674" s="125">
        <f t="shared" si="661"/>
        <v>46388</v>
      </c>
      <c r="T674" s="125">
        <f t="shared" si="660"/>
        <v>46388</v>
      </c>
      <c r="U674" s="125"/>
      <c r="W674" s="173" t="str">
        <f t="shared" ca="1" si="701"/>
        <v/>
      </c>
      <c r="X674" s="173" t="str">
        <f t="shared" ca="1" si="702"/>
        <v/>
      </c>
      <c r="Y674" s="173" t="str">
        <f t="shared" ca="1" si="703"/>
        <v/>
      </c>
      <c r="Z674" s="174" t="str">
        <f t="shared" ca="1" si="704"/>
        <v/>
      </c>
    </row>
    <row r="675" spans="1:26" s="70" customFormat="1" ht="11.5" x14ac:dyDescent="0.25">
      <c r="A675" s="121" t="s">
        <v>65</v>
      </c>
      <c r="B675" s="121" t="s">
        <v>14</v>
      </c>
      <c r="C675" s="121" t="s">
        <v>809</v>
      </c>
      <c r="D675" s="121" t="s">
        <v>810</v>
      </c>
      <c r="E675" s="123">
        <f t="shared" si="698"/>
        <v>0</v>
      </c>
      <c r="F675" s="123">
        <f t="shared" si="699"/>
        <v>0</v>
      </c>
      <c r="G675" s="123">
        <f t="shared" si="699"/>
        <v>0</v>
      </c>
      <c r="H675" s="123">
        <f t="shared" si="700"/>
        <v>0</v>
      </c>
      <c r="I675" s="124">
        <v>4.7E-2</v>
      </c>
      <c r="J675" s="125">
        <f t="shared" si="697"/>
        <v>46290</v>
      </c>
      <c r="K675" s="125">
        <f t="shared" si="655"/>
        <v>46290</v>
      </c>
      <c r="L675" s="125"/>
      <c r="M675" s="125">
        <f t="shared" si="656"/>
        <v>46332</v>
      </c>
      <c r="N675" s="125">
        <f t="shared" si="657"/>
        <v>46332</v>
      </c>
      <c r="O675" s="125"/>
      <c r="P675" s="125">
        <f t="shared" si="658"/>
        <v>46374</v>
      </c>
      <c r="Q675" s="125">
        <f t="shared" si="659"/>
        <v>46374</v>
      </c>
      <c r="R675" s="125"/>
      <c r="S675" s="125">
        <f t="shared" si="661"/>
        <v>46388</v>
      </c>
      <c r="T675" s="125">
        <f t="shared" si="660"/>
        <v>46388</v>
      </c>
      <c r="U675" s="125"/>
      <c r="W675" s="173" t="str">
        <f t="shared" ca="1" si="701"/>
        <v/>
      </c>
      <c r="X675" s="173" t="str">
        <f t="shared" ca="1" si="702"/>
        <v/>
      </c>
      <c r="Y675" s="173" t="str">
        <f t="shared" ca="1" si="703"/>
        <v/>
      </c>
      <c r="Z675" s="174" t="str">
        <f t="shared" ca="1" si="704"/>
        <v/>
      </c>
    </row>
    <row r="676" spans="1:26" s="70" customFormat="1" ht="11.5" x14ac:dyDescent="0.25">
      <c r="A676" s="121" t="s">
        <v>65</v>
      </c>
      <c r="B676" s="121" t="s">
        <v>14</v>
      </c>
      <c r="C676" s="121" t="s">
        <v>811</v>
      </c>
      <c r="D676" s="121" t="s">
        <v>812</v>
      </c>
      <c r="E676" s="123">
        <f t="shared" si="698"/>
        <v>0</v>
      </c>
      <c r="F676" s="123">
        <f t="shared" si="699"/>
        <v>0</v>
      </c>
      <c r="G676" s="123">
        <f t="shared" si="699"/>
        <v>0</v>
      </c>
      <c r="H676" s="123">
        <f t="shared" si="700"/>
        <v>0</v>
      </c>
      <c r="I676" s="124">
        <v>4.7E-2</v>
      </c>
      <c r="J676" s="125">
        <f t="shared" si="697"/>
        <v>46290</v>
      </c>
      <c r="K676" s="125">
        <f t="shared" si="655"/>
        <v>46290</v>
      </c>
      <c r="L676" s="125"/>
      <c r="M676" s="125">
        <f t="shared" si="656"/>
        <v>46332</v>
      </c>
      <c r="N676" s="125">
        <f t="shared" si="657"/>
        <v>46332</v>
      </c>
      <c r="O676" s="125"/>
      <c r="P676" s="125">
        <f t="shared" si="658"/>
        <v>46374</v>
      </c>
      <c r="Q676" s="125">
        <f t="shared" si="659"/>
        <v>46374</v>
      </c>
      <c r="R676" s="125"/>
      <c r="S676" s="125">
        <f t="shared" si="661"/>
        <v>46388</v>
      </c>
      <c r="T676" s="125">
        <f t="shared" si="660"/>
        <v>46388</v>
      </c>
      <c r="U676" s="125"/>
      <c r="W676" s="173" t="str">
        <f t="shared" ca="1" si="701"/>
        <v/>
      </c>
      <c r="X676" s="173" t="str">
        <f t="shared" ca="1" si="702"/>
        <v/>
      </c>
      <c r="Y676" s="173" t="str">
        <f t="shared" ca="1" si="703"/>
        <v/>
      </c>
      <c r="Z676" s="174" t="str">
        <f t="shared" ca="1" si="704"/>
        <v/>
      </c>
    </row>
    <row r="677" spans="1:26" s="70" customFormat="1" ht="12" thickBot="1" x14ac:dyDescent="0.3">
      <c r="A677" s="121" t="s">
        <v>65</v>
      </c>
      <c r="B677" s="121" t="s">
        <v>14</v>
      </c>
      <c r="C677" s="121" t="s">
        <v>42</v>
      </c>
      <c r="D677" s="121" t="s">
        <v>813</v>
      </c>
      <c r="E677" s="123">
        <f t="shared" si="698"/>
        <v>0</v>
      </c>
      <c r="F677" s="123">
        <f t="shared" si="699"/>
        <v>0</v>
      </c>
      <c r="G677" s="123">
        <f t="shared" si="699"/>
        <v>0</v>
      </c>
      <c r="H677" s="123">
        <f t="shared" si="700"/>
        <v>0</v>
      </c>
      <c r="I677" s="126">
        <v>1.5</v>
      </c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W677" s="175" t="str">
        <f ca="1">IF(OR(L677&lt;&gt;""),"Completed",
IF(K677="","",IF(K677&lt;TODAY(),"Overdue",
IF(AND(K677&gt;=TODAY()-WEEKDAY(TODAY(),2)+1,K677&lt;=TODAY()-WEEKDAY(TODAY(),2)+7),"Follow-This Week",
IF(AND(K677&gt;=TODAY()-WEEKDAY(TODAY(),2)+8,K677&lt;=TODAY()-WEEKDAY(TODAY(),2)+14),"Follow-Next Week","")))))</f>
        <v/>
      </c>
      <c r="X677" s="175" t="str">
        <f ca="1">IF(OR(O677&lt;&gt;""),"Completed",IF(N677="","",
IF(N677&lt;TODAY(),"Overdue",
IF(AND(N677&gt;=TODAY()-WEEKDAY(TODAY(),2)+1,N677&lt;=TODAY()-WEEKDAY(TODAY(),2)+7),"Follow-This Week",
IF(AND(N677&gt;=TODAY()-WEEKDAY(TODAY(),2)+8,N677&lt;=TODAY()-WEEKDAY(TODAY(),2)+14),"Follow-Next Week","")))))</f>
        <v/>
      </c>
      <c r="Y677" s="175" t="str">
        <f t="shared" ca="1" si="703"/>
        <v/>
      </c>
      <c r="Z677" s="176" t="str">
        <f t="shared" ca="1" si="704"/>
        <v/>
      </c>
    </row>
    <row r="678" spans="1:26" x14ac:dyDescent="0.35">
      <c r="D678" s="89"/>
      <c r="F678" s="2" t="s">
        <v>41</v>
      </c>
      <c r="G678" s="2"/>
      <c r="H678" s="2"/>
      <c r="I678" s="72">
        <f>SUM(I4:I677)</f>
        <v>99.99999999999882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83"/>
      <c r="U678" s="2"/>
    </row>
    <row r="679" spans="1:26" x14ac:dyDescent="0.35">
      <c r="D679" s="88"/>
    </row>
  </sheetData>
  <autoFilter ref="A3:U677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59:K59 J28:K37 N28:N37 Q28:Q37 T28:T37 J71:J101">
    <cfRule type="expression" dxfId="122" priority="124">
      <formula>"if $G$4&gt;$C$1 and $H$4 is ""null"""</formula>
    </cfRule>
  </conditionalFormatting>
  <conditionalFormatting sqref="J59:K62 J15:K40 N15:N40 Q15:Q40 T15:T40 J82:K101 Q82:Q101 T82:T104">
    <cfRule type="expression" dxfId="121" priority="123">
      <formula>"if $C$1&lt;"</formula>
    </cfRule>
  </conditionalFormatting>
  <conditionalFormatting sqref="J110:K110 N15 M16:N39 N82:N101 Q15:Q40 Q82:Q104 T15:T40 T82:T104 K15:K40 N40 K82:K101 M4:M15 M40:M57 K42:K45 K79 K657:K1048576 N678:O1048576">
    <cfRule type="cellIs" dxfId="120" priority="347" operator="equal">
      <formula>45443</formula>
    </cfRule>
  </conditionalFormatting>
  <conditionalFormatting sqref="J154:K154">
    <cfRule type="cellIs" dxfId="119" priority="290" operator="equal">
      <formula>45443</formula>
    </cfRule>
  </conditionalFormatting>
  <conditionalFormatting sqref="J195:K240 T51:T58 T60:T71 K241:K248 J241:J274">
    <cfRule type="expression" dxfId="118" priority="333">
      <formula>"if $C$1&lt;"</formula>
    </cfRule>
  </conditionalFormatting>
  <conditionalFormatting sqref="J275:K293 K260:K274">
    <cfRule type="expression" dxfId="117" priority="306">
      <formula>"if $C$1&lt;"</formula>
    </cfRule>
  </conditionalFormatting>
  <conditionalFormatting sqref="J294:K295 K296 K301:K304 J305:K306 K307:K318 J321:K322 K323:K327 J42:K45 K79 J657:K677 J4:K10 J64:K70 K71 J111:K116 J155:K160 K162:K165 K167:K173 J568:K614 J63:L63 K346:K399 J400:K531 J535:K565 K118:K142 J143:K145 J151:K153 K175:K186 J187:K189 J107:K109 J11:J14 J41 J71:J81 J117:J142 J161:J186 J296:J304 J307:J320 J323:J399">
    <cfRule type="expression" dxfId="116" priority="368">
      <formula>"if $C$1&lt;"</formula>
    </cfRule>
  </conditionalFormatting>
  <conditionalFormatting sqref="J566:K567">
    <cfRule type="expression" dxfId="115" priority="216">
      <formula>"if $C$1&lt;"</formula>
    </cfRule>
  </conditionalFormatting>
  <conditionalFormatting sqref="J615:K646">
    <cfRule type="expression" dxfId="114" priority="260">
      <formula>"if $C$1&lt;"</formula>
    </cfRule>
  </conditionalFormatting>
  <conditionalFormatting sqref="J647:K653">
    <cfRule type="expression" dxfId="113" priority="348">
      <formula>"if $C$1&lt;"</formula>
    </cfRule>
  </conditionalFormatting>
  <conditionalFormatting sqref="J110:L110">
    <cfRule type="expression" dxfId="112" priority="282">
      <formula>"if $C$1&lt;"</formula>
    </cfRule>
  </conditionalFormatting>
  <conditionalFormatting sqref="J154:L154">
    <cfRule type="expression" dxfId="111" priority="288">
      <formula>"if $C$1&lt;"</formula>
    </cfRule>
  </conditionalFormatting>
  <conditionalFormatting sqref="K106">
    <cfRule type="expression" dxfId="110" priority="118">
      <formula>"if $C$1&lt;"</formula>
    </cfRule>
    <cfRule type="expression" dxfId="109" priority="119">
      <formula>"if $G$4&gt;$C$1 and $H$4 is ""null"""</formula>
    </cfRule>
  </conditionalFormatting>
  <conditionalFormatting sqref="K162:K173 N4:N10 N111:N116 N155:N160 N162:N173 K1:K10 K64:K71 K111:K116 M111:M118 K155:K160 M294:M308 M407:M436 M439:M490 M492:M513 M532:M549 M555:M559 M562:M648 J613:J614 J657 J671">
    <cfRule type="cellIs" dxfId="108" priority="308" operator="equal">
      <formula>45443</formula>
    </cfRule>
  </conditionalFormatting>
  <conditionalFormatting sqref="K166">
    <cfRule type="expression" dxfId="107" priority="264">
      <formula>"if $C$1&lt;"</formula>
    </cfRule>
  </conditionalFormatting>
  <conditionalFormatting sqref="K260:K273 J294:K295 K296 K301:K304 J305:K306 K307:K308 K312:K318 J322:K322 K323:K325 J15:K25 K79 K83:K87 K89 J4:K10 J64:K70 K71 J111:K116 J155:K160 K163:K165 K167:K168 K172:K173 K346:K392 K407:K410 K425:K431 K436 J439:K442 J445:K466 J483:K491 J494:K511 J550:K554 J559:K559 J562:K565 J568:K584 J604:K612 K119:K121 K123:K124 K128:K131 K134 K175 K178 J199:K240 K241:K248 J11:J14 J117:J145 J161:J189 J241:J274 J296:J304 J307:J319 J323:J436">
    <cfRule type="expression" dxfId="106" priority="369">
      <formula>"if $G$4&gt;$C$1 and $H$4 is ""null"""</formula>
    </cfRule>
  </conditionalFormatting>
  <conditionalFormatting sqref="K260:K296 N260:N296 N301:N318 N321:N327 K301:K318 K321:K327 M322:M394">
    <cfRule type="cellIs" dxfId="105" priority="367" operator="equal">
      <formula>45443</formula>
    </cfRule>
  </conditionalFormatting>
  <conditionalFormatting sqref="K535:K653 N346:N531 N535:N653 N657:N677 J63:L63 J276 J278:J293 K346:K531">
    <cfRule type="cellIs" dxfId="104" priority="305" operator="equal">
      <formula>45443</formula>
    </cfRule>
  </conditionalFormatting>
  <conditionalFormatting sqref="L198">
    <cfRule type="expression" dxfId="103" priority="294">
      <formula>"if $C$1&lt;"</formula>
    </cfRule>
    <cfRule type="cellIs" dxfId="102" priority="273" operator="equal">
      <formula>45443</formula>
    </cfRule>
  </conditionalFormatting>
  <conditionalFormatting sqref="L110:N110 N42:N45 N47:N48 N51:N57 N79">
    <cfRule type="cellIs" dxfId="101" priority="186" operator="equal">
      <formula>45443</formula>
    </cfRule>
  </conditionalFormatting>
  <conditionalFormatting sqref="L154:N154">
    <cfRule type="cellIs" dxfId="100" priority="183" operator="equal">
      <formula>45443</formula>
    </cfRule>
  </conditionalFormatting>
  <conditionalFormatting sqref="M59:M94">
    <cfRule type="cellIs" dxfId="99" priority="121" operator="equal">
      <formula>45443</formula>
    </cfRule>
  </conditionalFormatting>
  <conditionalFormatting sqref="M106">
    <cfRule type="cellIs" dxfId="98" priority="111" operator="equal">
      <formula>45443</formula>
    </cfRule>
  </conditionalFormatting>
  <conditionalFormatting sqref="M122 J198">
    <cfRule type="cellIs" dxfId="97" priority="332" operator="equal">
      <formula>45443</formula>
    </cfRule>
  </conditionalFormatting>
  <conditionalFormatting sqref="M125:M150">
    <cfRule type="cellIs" dxfId="96" priority="109" operator="equal">
      <formula>45443</formula>
    </cfRule>
  </conditionalFormatting>
  <conditionalFormatting sqref="M155:M197">
    <cfRule type="cellIs" dxfId="95" priority="102" operator="equal">
      <formula>45443</formula>
    </cfRule>
  </conditionalFormatting>
  <conditionalFormatting sqref="M199:M231 M235">
    <cfRule type="cellIs" dxfId="94" priority="310" operator="equal">
      <formula>45443</formula>
    </cfRule>
  </conditionalFormatting>
  <conditionalFormatting sqref="M102:N105">
    <cfRule type="cellIs" dxfId="93" priority="143" operator="equal">
      <formula>45443</formula>
    </cfRule>
  </conditionalFormatting>
  <conditionalFormatting sqref="N42:N45 N47:N48 N51:N57 N79 N4:N10 N301:N318 N321:N327 N346:N531 N657:N677">
    <cfRule type="expression" dxfId="92" priority="188">
      <formula>"if $C$1&lt;"</formula>
    </cfRule>
  </conditionalFormatting>
  <conditionalFormatting sqref="N59 K59:K62">
    <cfRule type="cellIs" dxfId="91" priority="122" operator="equal">
      <formula>45443</formula>
    </cfRule>
  </conditionalFormatting>
  <conditionalFormatting sqref="N59">
    <cfRule type="expression" dxfId="90" priority="120">
      <formula>"if $G$4&gt;$C$1 and $H$4 is ""null"""</formula>
    </cfRule>
  </conditionalFormatting>
  <conditionalFormatting sqref="N59:N71">
    <cfRule type="expression" dxfId="89" priority="125">
      <formula>"if $C$1&lt;"</formula>
    </cfRule>
  </conditionalFormatting>
  <conditionalFormatting sqref="N60:N71 N118:N145 N175:N189 N195:N248 M107:N109 M151:N153 M58:N58 K118:K145 K151:K153 K175:K189 K195:K248 M654:M676">
    <cfRule type="cellIs" dxfId="88" priority="263" operator="equal">
      <formula>45443</formula>
    </cfRule>
  </conditionalFormatting>
  <conditionalFormatting sqref="N79 N4:N10 N15:N25 N64:N71 N83:N87 N89 N111:N116 N119:N121 N123:N124 N128:N131 N134 N155:N160 N163:N165 N167:N168 N172:N173 N175 N178 N199:N248 N260:N273 N294:N296 N301:N308 N312:N318 N322:N325 N346:N392 N407:N410 N425:N431 N436 N439:N442 N445:N466 N483:N491 N494:N511 N550:N554 N559 N562:N565 N568:N584 N604:N612">
    <cfRule type="expression" dxfId="87" priority="189">
      <formula>"if $G$4&gt;$C$1 and $H$4 is ""null"""</formula>
    </cfRule>
  </conditionalFormatting>
  <conditionalFormatting sqref="N82:N116">
    <cfRule type="expression" dxfId="86" priority="112">
      <formula>"if $C$1&lt;"</formula>
    </cfRule>
  </conditionalFormatting>
  <conditionalFormatting sqref="N106 K106:K109">
    <cfRule type="cellIs" dxfId="85" priority="117" operator="equal">
      <formula>45443</formula>
    </cfRule>
  </conditionalFormatting>
  <conditionalFormatting sqref="N106">
    <cfRule type="expression" dxfId="84" priority="116">
      <formula>"if $G$4&gt;$C$1 and $H$4 is ""null"""</formula>
    </cfRule>
  </conditionalFormatting>
  <conditionalFormatting sqref="N118:N160">
    <cfRule type="expression" dxfId="83" priority="106">
      <formula>"if $C$1&lt;"</formula>
    </cfRule>
  </conditionalFormatting>
  <conditionalFormatting sqref="N146:N150">
    <cfRule type="cellIs" dxfId="82" priority="105" operator="equal">
      <formula>45443</formula>
    </cfRule>
  </conditionalFormatting>
  <conditionalFormatting sqref="N162:N173">
    <cfRule type="expression" dxfId="81" priority="180">
      <formula>"if $C$1&lt;"</formula>
    </cfRule>
  </conditionalFormatting>
  <conditionalFormatting sqref="N175:N248">
    <cfRule type="expression" dxfId="80" priority="99">
      <formula>"if $C$1&lt;"</formula>
    </cfRule>
  </conditionalFormatting>
  <conditionalFormatting sqref="N190:N194">
    <cfRule type="cellIs" dxfId="79" priority="98" operator="equal">
      <formula>45443</formula>
    </cfRule>
  </conditionalFormatting>
  <conditionalFormatting sqref="N260:N296">
    <cfRule type="expression" dxfId="78" priority="184">
      <formula>"if $C$1&lt;"</formula>
    </cfRule>
  </conditionalFormatting>
  <conditionalFormatting sqref="N535:N653">
    <cfRule type="expression" dxfId="77" priority="178">
      <formula>"if $C$1&lt;"</formula>
    </cfRule>
  </conditionalFormatting>
  <conditionalFormatting sqref="N1:O3">
    <cfRule type="cellIs" dxfId="76" priority="363" operator="equal">
      <formula>45443</formula>
    </cfRule>
  </conditionalFormatting>
  <conditionalFormatting sqref="O1:O3 O678:O1048576">
    <cfRule type="cellIs" dxfId="75" priority="328" operator="equal">
      <formula>45444</formula>
    </cfRule>
  </conditionalFormatting>
  <conditionalFormatting sqref="O47:O50">
    <cfRule type="cellIs" dxfId="74" priority="129" operator="equal">
      <formula>45443</formula>
    </cfRule>
  </conditionalFormatting>
  <conditionalFormatting sqref="O63">
    <cfRule type="expression" dxfId="73" priority="209">
      <formula>"if $C$1&lt;"</formula>
    </cfRule>
    <cfRule type="cellIs" dxfId="72" priority="208" operator="equal">
      <formula>45443</formula>
    </cfRule>
  </conditionalFormatting>
  <conditionalFormatting sqref="O96:O97">
    <cfRule type="cellIs" dxfId="71" priority="128" operator="equal">
      <formula>45443</formula>
    </cfRule>
  </conditionalFormatting>
  <conditionalFormatting sqref="O110">
    <cfRule type="expression" dxfId="70" priority="205">
      <formula>"if $C$1&lt;"</formula>
    </cfRule>
  </conditionalFormatting>
  <conditionalFormatting sqref="O140:O141">
    <cfRule type="cellIs" dxfId="69" priority="126" operator="equal">
      <formula>45443</formula>
    </cfRule>
  </conditionalFormatting>
  <conditionalFormatting sqref="O154 O110">
    <cfRule type="cellIs" dxfId="68" priority="267" operator="equal">
      <formula>45443</formula>
    </cfRule>
  </conditionalFormatting>
  <conditionalFormatting sqref="O154">
    <cfRule type="expression" dxfId="67" priority="206">
      <formula>"if $C$1&lt;"</formula>
    </cfRule>
  </conditionalFormatting>
  <conditionalFormatting sqref="O185">
    <cfRule type="cellIs" dxfId="66" priority="130" operator="equal">
      <formula>45443</formula>
    </cfRule>
  </conditionalFormatting>
  <conditionalFormatting sqref="O198">
    <cfRule type="cellIs" dxfId="65" priority="204" operator="equal">
      <formula>45443</formula>
    </cfRule>
    <cfRule type="expression" dxfId="64" priority="207">
      <formula>"if $C$1&lt;"</formula>
    </cfRule>
  </conditionalFormatting>
  <conditionalFormatting sqref="P106">
    <cfRule type="cellIs" dxfId="63" priority="110" operator="equal">
      <formula>45443</formula>
    </cfRule>
  </conditionalFormatting>
  <conditionalFormatting sqref="P105:Q105">
    <cfRule type="cellIs" dxfId="62" priority="131" operator="equal">
      <formula>45443</formula>
    </cfRule>
  </conditionalFormatting>
  <conditionalFormatting sqref="Q51:Q57 Q60:Q71">
    <cfRule type="cellIs" dxfId="61" priority="164" operator="equal">
      <formula>45443</formula>
    </cfRule>
  </conditionalFormatting>
  <conditionalFormatting sqref="Q102:Q105">
    <cfRule type="expression" dxfId="60" priority="132">
      <formula>"if $C$1&lt;"</formula>
    </cfRule>
  </conditionalFormatting>
  <conditionalFormatting sqref="Q106">
    <cfRule type="expression" dxfId="59" priority="115">
      <formula>"if $G$4&gt;$C$1 and $H$4 is ""null"""</formula>
    </cfRule>
  </conditionalFormatting>
  <conditionalFormatting sqref="Q106:Q109">
    <cfRule type="cellIs" dxfId="58" priority="113" operator="equal">
      <formula>45443</formula>
    </cfRule>
  </conditionalFormatting>
  <conditionalFormatting sqref="Q106:Q110">
    <cfRule type="expression" dxfId="57" priority="114">
      <formula>"if $C$1&lt;"</formula>
    </cfRule>
  </conditionalFormatting>
  <conditionalFormatting sqref="Q118:Q145 Q151:Q154">
    <cfRule type="expression" dxfId="56" priority="167">
      <formula>"if $C$1&lt;"</formula>
    </cfRule>
  </conditionalFormatting>
  <conditionalFormatting sqref="Q118:Q153">
    <cfRule type="cellIs" dxfId="55" priority="108" operator="equal">
      <formula>45443</formula>
    </cfRule>
  </conditionalFormatting>
  <conditionalFormatting sqref="Q146:Q150">
    <cfRule type="expression" dxfId="54" priority="104">
      <formula>"if $C$1&lt;"</formula>
    </cfRule>
  </conditionalFormatting>
  <conditionalFormatting sqref="Q154:Q160">
    <cfRule type="cellIs" dxfId="53" priority="168" operator="equal">
      <formula>45443</formula>
    </cfRule>
  </conditionalFormatting>
  <conditionalFormatting sqref="Q162:Q173 Q4:Q10 Q111:Q116">
    <cfRule type="cellIs" dxfId="52" priority="171" operator="equal">
      <formula>45443</formula>
    </cfRule>
  </conditionalFormatting>
  <conditionalFormatting sqref="Q166">
    <cfRule type="expression" dxfId="51" priority="165">
      <formula>"if $C$1&lt;"</formula>
    </cfRule>
  </conditionalFormatting>
  <conditionalFormatting sqref="Q175:Q189 Q195:Q248">
    <cfRule type="expression" dxfId="50" priority="172">
      <formula>"if $C$1&lt;"</formula>
    </cfRule>
  </conditionalFormatting>
  <conditionalFormatting sqref="Q175:Q248">
    <cfRule type="cellIs" dxfId="49" priority="101" operator="equal">
      <formula>45443</formula>
    </cfRule>
  </conditionalFormatting>
  <conditionalFormatting sqref="Q190:Q194">
    <cfRule type="expression" dxfId="48" priority="97">
      <formula>"if $C$1&lt;"</formula>
    </cfRule>
  </conditionalFormatting>
  <conditionalFormatting sqref="Q260:Q273 Q294:Q296 Q301:Q308 Q312:Q318 Q322:Q325 Q79 Q4:Q10 Q111:Q116 Q163:Q165 Q167:Q168 Q172:Q173 Q346:Q392 Q407:Q410 Q425:Q431 Q436 Q439:Q442 Q445:Q466 Q483:Q491 Q494:Q511 Q550:Q554 Q559 Q562:Q565 Q568:Q584 Q604:Q612 Q155:Q160 Q64:Q71 Q119:Q121 Q123:Q124 Q128:Q131 Q134 Q175 Q178 Q199:Q248 Q15:Q25 Q83:Q87 Q89">
    <cfRule type="expression" dxfId="47" priority="177">
      <formula>"if $G$4&gt;$C$1 and $H$4 is ""null"""</formula>
    </cfRule>
  </conditionalFormatting>
  <conditionalFormatting sqref="Q260:Q293">
    <cfRule type="expression" dxfId="46" priority="170">
      <formula>"if $C$1&lt;"</formula>
    </cfRule>
  </conditionalFormatting>
  <conditionalFormatting sqref="Q260:Q296 Q301:Q318 Q321:Q327">
    <cfRule type="cellIs" dxfId="45" priority="175" operator="equal">
      <formula>45443</formula>
    </cfRule>
  </conditionalFormatting>
  <conditionalFormatting sqref="Q294:Q296 Q301:Q318 Q321:Q327 Q42:Q45 Q47:Q48 Q79 Q4:Q10 Q111:Q116 Q162:Q165 Q167:Q173 Q346:Q531 Q535:Q565 Q568:Q614 Q657:Q677 Q155:Q160 Q51:Q57 Q60:Q71">
    <cfRule type="expression" dxfId="44" priority="176">
      <formula>"if $C$1&lt;"</formula>
    </cfRule>
  </conditionalFormatting>
  <conditionalFormatting sqref="Q535:Q653 Q346:Q531 Q657:Q677">
    <cfRule type="cellIs" dxfId="43" priority="169" operator="equal">
      <formula>45443</formula>
    </cfRule>
  </conditionalFormatting>
  <conditionalFormatting sqref="Q566:Q567">
    <cfRule type="expression" dxfId="42" priority="162">
      <formula>"if $C$1&lt;"</formula>
    </cfRule>
  </conditionalFormatting>
  <conditionalFormatting sqref="Q615:Q646">
    <cfRule type="expression" dxfId="41" priority="163">
      <formula>"if $C$1&lt;"</formula>
    </cfRule>
  </conditionalFormatting>
  <conditionalFormatting sqref="Q647:Q653">
    <cfRule type="expression" dxfId="40" priority="174">
      <formula>"if $C$1&lt;"</formula>
    </cfRule>
  </conditionalFormatting>
  <conditionalFormatting sqref="Q110:R110 Q42:Q45 Q47:Q48 Q79">
    <cfRule type="cellIs" dxfId="39" priority="173" operator="equal">
      <formula>45443</formula>
    </cfRule>
  </conditionalFormatting>
  <conditionalFormatting sqref="R63">
    <cfRule type="cellIs" dxfId="38" priority="202" operator="equal">
      <formula>45443</formula>
    </cfRule>
    <cfRule type="expression" dxfId="37" priority="203">
      <formula>"if $C$1&lt;"</formula>
    </cfRule>
  </conditionalFormatting>
  <conditionalFormatting sqref="R110">
    <cfRule type="expression" dxfId="36" priority="199">
      <formula>"if $C$1&lt;"</formula>
    </cfRule>
  </conditionalFormatting>
  <conditionalFormatting sqref="R154">
    <cfRule type="expression" dxfId="35" priority="200">
      <formula>"if $C$1&lt;"</formula>
    </cfRule>
    <cfRule type="cellIs" dxfId="34" priority="197" operator="equal">
      <formula>45443</formula>
    </cfRule>
  </conditionalFormatting>
  <conditionalFormatting sqref="R198">
    <cfRule type="expression" dxfId="33" priority="201">
      <formula>"if $C$1&lt;"</formula>
    </cfRule>
    <cfRule type="cellIs" dxfId="32" priority="198" operator="equal">
      <formula>45443</formula>
    </cfRule>
  </conditionalFormatting>
  <conditionalFormatting sqref="T60:T71 T51:T58 J585:J603">
    <cfRule type="cellIs" dxfId="31" priority="265" operator="equal">
      <formula>45443</formula>
    </cfRule>
  </conditionalFormatting>
  <conditionalFormatting sqref="T107:T109">
    <cfRule type="cellIs" dxfId="30" priority="148" operator="equal">
      <formula>45443</formula>
    </cfRule>
  </conditionalFormatting>
  <conditionalFormatting sqref="T107:T110">
    <cfRule type="expression" dxfId="29" priority="150">
      <formula>"if $C$1&lt;"</formula>
    </cfRule>
  </conditionalFormatting>
  <conditionalFormatting sqref="T118:T145 T151:T154">
    <cfRule type="expression" dxfId="28" priority="151">
      <formula>"if $C$1&lt;"</formula>
    </cfRule>
  </conditionalFormatting>
  <conditionalFormatting sqref="T118:T153">
    <cfRule type="cellIs" dxfId="27" priority="107" operator="equal">
      <formula>45443</formula>
    </cfRule>
  </conditionalFormatting>
  <conditionalFormatting sqref="T146:T150">
    <cfRule type="expression" dxfId="26" priority="103">
      <formula>"if $C$1&lt;"</formula>
    </cfRule>
  </conditionalFormatting>
  <conditionalFormatting sqref="T154:T160">
    <cfRule type="cellIs" dxfId="25" priority="152" operator="equal">
      <formula>45443</formula>
    </cfRule>
  </conditionalFormatting>
  <conditionalFormatting sqref="T162:T173 T4:T10 T111:T116">
    <cfRule type="cellIs" dxfId="24" priority="155" operator="equal">
      <formula>45443</formula>
    </cfRule>
  </conditionalFormatting>
  <conditionalFormatting sqref="T166">
    <cfRule type="expression" dxfId="23" priority="149">
      <formula>"if $C$1&lt;"</formula>
    </cfRule>
  </conditionalFormatting>
  <conditionalFormatting sqref="T175:T189 T195:T248">
    <cfRule type="expression" dxfId="22" priority="156">
      <formula>"if $C$1&lt;"</formula>
    </cfRule>
  </conditionalFormatting>
  <conditionalFormatting sqref="T175:T248">
    <cfRule type="cellIs" dxfId="21" priority="100" operator="equal">
      <formula>45443</formula>
    </cfRule>
  </conditionalFormatting>
  <conditionalFormatting sqref="T190:T194">
    <cfRule type="expression" dxfId="20" priority="96">
      <formula>"if $C$1&lt;"</formula>
    </cfRule>
  </conditionalFormatting>
  <conditionalFormatting sqref="T260:T273 T294:T296 T301:T308 T312:T318 T322:T325 T79 T4:T10 T111:T116 T163:T165 T167:T168 T172:T173 T346:T392 T407:T410 T425:T431 T436 T439:T442 T445:T466 T483:T491 T494:T511 T550:T554 T559 T562:T565 T568:T584 T604:T612 T155:T160 T119:T121 T123:T124 T128:T131 T134 T175 T178 T199:T248 T15:T25 T64:T71 T83:T87 T89">
    <cfRule type="expression" dxfId="19" priority="161">
      <formula>"if $G$4&gt;$C$1 and $H$4 is ""null"""</formula>
    </cfRule>
  </conditionalFormatting>
  <conditionalFormatting sqref="T260:T293">
    <cfRule type="expression" dxfId="18" priority="154">
      <formula>"if $C$1&lt;"</formula>
    </cfRule>
  </conditionalFormatting>
  <conditionalFormatting sqref="T260:T296 T301:T318 T321:T327">
    <cfRule type="cellIs" dxfId="17" priority="159" operator="equal">
      <formula>45443</formula>
    </cfRule>
  </conditionalFormatting>
  <conditionalFormatting sqref="T294:T296 T301:T318 T321:T327 T42:T45 T47:T48 T79 T4:T10 T111:T116 T162:T165 T167:T173 T346:T531 T535:T565 T568:T614 T657:T677 T155:T160">
    <cfRule type="expression" dxfId="16" priority="160">
      <formula>"if $C$1&lt;"</formula>
    </cfRule>
  </conditionalFormatting>
  <conditionalFormatting sqref="T535:T653 T346:T531 T657:T677">
    <cfRule type="cellIs" dxfId="15" priority="153" operator="equal">
      <formula>45443</formula>
    </cfRule>
  </conditionalFormatting>
  <conditionalFormatting sqref="T566:T567">
    <cfRule type="expression" dxfId="14" priority="146">
      <formula>"if $C$1&lt;"</formula>
    </cfRule>
  </conditionalFormatting>
  <conditionalFormatting sqref="T615:T646">
    <cfRule type="expression" dxfId="13" priority="147">
      <formula>"if $C$1&lt;"</formula>
    </cfRule>
  </conditionalFormatting>
  <conditionalFormatting sqref="T647:T653">
    <cfRule type="expression" dxfId="12" priority="158">
      <formula>"if $C$1&lt;"</formula>
    </cfRule>
  </conditionalFormatting>
  <conditionalFormatting sqref="T110:U110 T42:T45 T47:T48 T79">
    <cfRule type="cellIs" dxfId="11" priority="157" operator="equal">
      <formula>45443</formula>
    </cfRule>
  </conditionalFormatting>
  <conditionalFormatting sqref="U63">
    <cfRule type="cellIs" dxfId="10" priority="195" operator="equal">
      <formula>45443</formula>
    </cfRule>
    <cfRule type="expression" dxfId="9" priority="196">
      <formula>"if $C$1&lt;"</formula>
    </cfRule>
  </conditionalFormatting>
  <conditionalFormatting sqref="U110">
    <cfRule type="expression" dxfId="8" priority="192">
      <formula>"if $C$1&lt;"</formula>
    </cfRule>
  </conditionalFormatting>
  <conditionalFormatting sqref="U154">
    <cfRule type="expression" dxfId="7" priority="193">
      <formula>"if $C$1&lt;"</formula>
    </cfRule>
    <cfRule type="cellIs" dxfId="6" priority="190" operator="equal">
      <formula>45443</formula>
    </cfRule>
  </conditionalFormatting>
  <conditionalFormatting sqref="U198">
    <cfRule type="expression" dxfId="5" priority="194">
      <formula>"if $C$1&lt;"</formula>
    </cfRule>
    <cfRule type="cellIs" dxfId="4" priority="191" operator="equal">
      <formula>45443</formula>
    </cfRule>
  </conditionalFormatting>
  <conditionalFormatting sqref="W1:W15 X3:Z15 W16:Z641 X642:Z677 W642:W1048576">
    <cfRule type="containsText" dxfId="3" priority="8" operator="containsText" text="completed">
      <formula>NOT(ISERROR(SEARCH("completed",W1)))</formula>
    </cfRule>
    <cfRule type="containsText" dxfId="2" priority="6" operator="containsText" text="Follow-Next Week">
      <formula>NOT(ISERROR(SEARCH("Follow-Next Week",W1)))</formula>
    </cfRule>
    <cfRule type="containsText" dxfId="1" priority="5" operator="containsText" text="Overdue">
      <formula>NOT(ISERROR(SEARCH("Overdue",W1)))</formula>
    </cfRule>
    <cfRule type="containsText" dxfId="0" priority="7" operator="containsText" text="Follow-This week">
      <formula>NOT(ISERROR(SEARCH("Follow-This week",W1)))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2026-08-29T08:04:21Z</cp:lastPrinted>
  <dcterms:created xsi:type="dcterms:W3CDTF">2024-04-23T01:26:48Z</dcterms:created>
  <dcterms:modified xsi:type="dcterms:W3CDTF">2026-08-31T03:00:48Z</dcterms:modified>
</cp:coreProperties>
</file>