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5_cut-off_3Jul26\"/>
    </mc:Choice>
  </mc:AlternateContent>
  <xr:revisionPtr revIDLastSave="0" documentId="13_ncr:1_{5F606F4C-97A3-4B16-863D-1D1CDD6B1FCE}" xr6:coauthVersionLast="47" xr6:coauthVersionMax="47" xr10:uidLastSave="{00000000-0000-0000-0000-000000000000}"/>
  <bookViews>
    <workbookView xWindow="-110" yWindow="-110" windowWidth="25820" windowHeight="1550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EDSR!$A$3:$V$231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6" i="1" l="1"/>
  <c r="N226" i="1"/>
  <c r="Q226" i="1" s="1"/>
  <c r="L226" i="1"/>
  <c r="N153" i="1"/>
  <c r="O153" i="1" s="1"/>
  <c r="L153" i="1"/>
  <c r="H153" i="1"/>
  <c r="H194" i="1"/>
  <c r="I194" i="1" s="1"/>
  <c r="L194" i="1"/>
  <c r="N194" i="1"/>
  <c r="O194" i="1" s="1"/>
  <c r="H195" i="1"/>
  <c r="I195" i="1" s="1"/>
  <c r="L195" i="1"/>
  <c r="N195" i="1"/>
  <c r="O195" i="1" s="1"/>
  <c r="H196" i="1"/>
  <c r="I196" i="1" s="1"/>
  <c r="L196" i="1"/>
  <c r="N196" i="1"/>
  <c r="Q196" i="1" s="1"/>
  <c r="H197" i="1"/>
  <c r="I197" i="1" s="1"/>
  <c r="L197" i="1"/>
  <c r="N197" i="1"/>
  <c r="Q197" i="1" s="1"/>
  <c r="H198" i="1"/>
  <c r="I198" i="1" s="1"/>
  <c r="L198" i="1"/>
  <c r="N198" i="1"/>
  <c r="O198" i="1" s="1"/>
  <c r="H199" i="1"/>
  <c r="I199" i="1" s="1"/>
  <c r="L199" i="1"/>
  <c r="N199" i="1"/>
  <c r="O199" i="1" s="1"/>
  <c r="H200" i="1"/>
  <c r="I200" i="1" s="1"/>
  <c r="L200" i="1"/>
  <c r="N200" i="1"/>
  <c r="O200" i="1" s="1"/>
  <c r="H201" i="1"/>
  <c r="I201" i="1" s="1"/>
  <c r="L201" i="1"/>
  <c r="N201" i="1"/>
  <c r="O201" i="1" s="1"/>
  <c r="H202" i="1"/>
  <c r="I202" i="1" s="1"/>
  <c r="L202" i="1"/>
  <c r="N202" i="1"/>
  <c r="O202" i="1" s="1"/>
  <c r="H203" i="1"/>
  <c r="I203" i="1" s="1"/>
  <c r="L203" i="1"/>
  <c r="N203" i="1"/>
  <c r="Q203" i="1" s="1"/>
  <c r="H204" i="1"/>
  <c r="I204" i="1" s="1"/>
  <c r="L204" i="1"/>
  <c r="N204" i="1"/>
  <c r="O204" i="1" s="1"/>
  <c r="H205" i="1"/>
  <c r="I205" i="1" s="1"/>
  <c r="L205" i="1"/>
  <c r="N205" i="1"/>
  <c r="O205" i="1" s="1"/>
  <c r="H206" i="1"/>
  <c r="I206" i="1" s="1"/>
  <c r="L206" i="1"/>
  <c r="N206" i="1"/>
  <c r="O206" i="1" s="1"/>
  <c r="H207" i="1"/>
  <c r="I207" i="1" s="1"/>
  <c r="L207" i="1"/>
  <c r="N207" i="1"/>
  <c r="O207" i="1" s="1"/>
  <c r="H208" i="1"/>
  <c r="I208" i="1" s="1"/>
  <c r="L208" i="1"/>
  <c r="N208" i="1"/>
  <c r="O208" i="1" s="1"/>
  <c r="H209" i="1"/>
  <c r="I209" i="1" s="1"/>
  <c r="L209" i="1"/>
  <c r="N209" i="1"/>
  <c r="Q209" i="1" s="1"/>
  <c r="H210" i="1"/>
  <c r="I210" i="1" s="1"/>
  <c r="L210" i="1"/>
  <c r="N210" i="1"/>
  <c r="O210" i="1" s="1"/>
  <c r="H177" i="1"/>
  <c r="I177" i="1" s="1"/>
  <c r="L177" i="1"/>
  <c r="N177" i="1"/>
  <c r="O177" i="1" s="1"/>
  <c r="H170" i="1"/>
  <c r="I170" i="1" s="1"/>
  <c r="L170" i="1"/>
  <c r="N170" i="1"/>
  <c r="O170" i="1" s="1"/>
  <c r="H155" i="1"/>
  <c r="I155" i="1" s="1"/>
  <c r="L155" i="1"/>
  <c r="N155" i="1"/>
  <c r="O155" i="1" s="1"/>
  <c r="H156" i="1"/>
  <c r="I156" i="1" s="1"/>
  <c r="L156" i="1"/>
  <c r="N156" i="1"/>
  <c r="O156" i="1" s="1"/>
  <c r="H157" i="1"/>
  <c r="I157" i="1" s="1"/>
  <c r="L157" i="1"/>
  <c r="N157" i="1"/>
  <c r="O157" i="1" s="1"/>
  <c r="H158" i="1"/>
  <c r="I158" i="1" s="1"/>
  <c r="L158" i="1"/>
  <c r="N158" i="1"/>
  <c r="O158" i="1" s="1"/>
  <c r="H143" i="1"/>
  <c r="I143" i="1" s="1"/>
  <c r="L143" i="1"/>
  <c r="N143" i="1"/>
  <c r="Q143" i="1" s="1"/>
  <c r="H144" i="1"/>
  <c r="I144" i="1" s="1"/>
  <c r="L144" i="1"/>
  <c r="N144" i="1"/>
  <c r="O144" i="1" s="1"/>
  <c r="H135" i="1"/>
  <c r="L135" i="1"/>
  <c r="N135" i="1"/>
  <c r="Q135" i="1" s="1"/>
  <c r="H136" i="1"/>
  <c r="L136" i="1"/>
  <c r="N136" i="1"/>
  <c r="O136" i="1" s="1"/>
  <c r="H137" i="1"/>
  <c r="L137" i="1"/>
  <c r="N137" i="1"/>
  <c r="Q137" i="1" s="1"/>
  <c r="N129" i="1"/>
  <c r="Q129" i="1" s="1"/>
  <c r="L129" i="1"/>
  <c r="H129" i="1"/>
  <c r="N81" i="1"/>
  <c r="O81" i="1" s="1"/>
  <c r="T226" i="1" l="1"/>
  <c r="R226" i="1"/>
  <c r="O226" i="1"/>
  <c r="Q199" i="1"/>
  <c r="T199" i="1" s="1"/>
  <c r="U199" i="1" s="1"/>
  <c r="O137" i="1"/>
  <c r="O143" i="1"/>
  <c r="Q202" i="1"/>
  <c r="R202" i="1" s="1"/>
  <c r="Q208" i="1"/>
  <c r="R208" i="1" s="1"/>
  <c r="Q81" i="1"/>
  <c r="T81" i="1" s="1"/>
  <c r="U81" i="1" s="1"/>
  <c r="O135" i="1"/>
  <c r="T137" i="1"/>
  <c r="U137" i="1" s="1"/>
  <c r="R137" i="1"/>
  <c r="R143" i="1"/>
  <c r="T143" i="1"/>
  <c r="U143" i="1" s="1"/>
  <c r="O197" i="1"/>
  <c r="O203" i="1"/>
  <c r="Q136" i="1"/>
  <c r="R199" i="1"/>
  <c r="G199" i="1" s="1"/>
  <c r="O196" i="1"/>
  <c r="Q158" i="1"/>
  <c r="R158" i="1" s="1"/>
  <c r="Q206" i="1"/>
  <c r="Q144" i="1"/>
  <c r="R144" i="1" s="1"/>
  <c r="Q194" i="1"/>
  <c r="R194" i="1" s="1"/>
  <c r="Q210" i="1"/>
  <c r="T210" i="1" s="1"/>
  <c r="U210" i="1" s="1"/>
  <c r="Q198" i="1"/>
  <c r="T198" i="1" s="1"/>
  <c r="U198" i="1" s="1"/>
  <c r="Q195" i="1"/>
  <c r="Q153" i="1"/>
  <c r="R135" i="1"/>
  <c r="T135" i="1"/>
  <c r="U135" i="1" s="1"/>
  <c r="Q204" i="1"/>
  <c r="Q205" i="1"/>
  <c r="Q155" i="1"/>
  <c r="Q177" i="1"/>
  <c r="O209" i="1"/>
  <c r="Q200" i="1"/>
  <c r="R197" i="1"/>
  <c r="T197" i="1"/>
  <c r="U197" i="1" s="1"/>
  <c r="R196" i="1"/>
  <c r="T196" i="1"/>
  <c r="U196" i="1" s="1"/>
  <c r="R203" i="1"/>
  <c r="T203" i="1"/>
  <c r="U203" i="1" s="1"/>
  <c r="R209" i="1"/>
  <c r="T209" i="1"/>
  <c r="U209" i="1" s="1"/>
  <c r="T208" i="1"/>
  <c r="U208" i="1" s="1"/>
  <c r="G208" i="1" s="1"/>
  <c r="Q207" i="1"/>
  <c r="T202" i="1"/>
  <c r="U202" i="1" s="1"/>
  <c r="G202" i="1" s="1"/>
  <c r="Q201" i="1"/>
  <c r="Q170" i="1"/>
  <c r="Q156" i="1"/>
  <c r="Q157" i="1"/>
  <c r="T129" i="1"/>
  <c r="U129" i="1" s="1"/>
  <c r="R129" i="1"/>
  <c r="O129" i="1"/>
  <c r="H81" i="1"/>
  <c r="L81" i="1"/>
  <c r="H82" i="1"/>
  <c r="L82" i="1"/>
  <c r="N154" i="1"/>
  <c r="Q154" i="1" s="1"/>
  <c r="L154" i="1"/>
  <c r="H154" i="1"/>
  <c r="T158" i="1" l="1"/>
  <c r="U158" i="1" s="1"/>
  <c r="G158" i="1" s="1"/>
  <c r="G143" i="1"/>
  <c r="U226" i="1"/>
  <c r="G226" i="1" s="1"/>
  <c r="F226" i="1"/>
  <c r="I226" i="1" s="1"/>
  <c r="G137" i="1"/>
  <c r="F81" i="1"/>
  <c r="I81" i="1" s="1"/>
  <c r="G135" i="1"/>
  <c r="G196" i="1"/>
  <c r="R81" i="1"/>
  <c r="G81" i="1" s="1"/>
  <c r="F135" i="1"/>
  <c r="I135" i="1" s="1"/>
  <c r="T194" i="1"/>
  <c r="U194" i="1" s="1"/>
  <c r="G194" i="1" s="1"/>
  <c r="F137" i="1"/>
  <c r="I137" i="1" s="1"/>
  <c r="T144" i="1"/>
  <c r="U144" i="1" s="1"/>
  <c r="G144" i="1" s="1"/>
  <c r="G203" i="1"/>
  <c r="R210" i="1"/>
  <c r="G210" i="1" s="1"/>
  <c r="G209" i="1"/>
  <c r="T136" i="1"/>
  <c r="U136" i="1" s="1"/>
  <c r="R136" i="1"/>
  <c r="G197" i="1"/>
  <c r="R198" i="1"/>
  <c r="G198" i="1" s="1"/>
  <c r="R195" i="1"/>
  <c r="T195" i="1"/>
  <c r="U195" i="1" s="1"/>
  <c r="T206" i="1"/>
  <c r="U206" i="1" s="1"/>
  <c r="R206" i="1"/>
  <c r="T153" i="1"/>
  <c r="U153" i="1" s="1"/>
  <c r="R153" i="1"/>
  <c r="R177" i="1"/>
  <c r="T177" i="1"/>
  <c r="U177" i="1" s="1"/>
  <c r="R200" i="1"/>
  <c r="T200" i="1"/>
  <c r="U200" i="1" s="1"/>
  <c r="T204" i="1"/>
  <c r="U204" i="1" s="1"/>
  <c r="R204" i="1"/>
  <c r="R205" i="1"/>
  <c r="T205" i="1"/>
  <c r="U205" i="1" s="1"/>
  <c r="R155" i="1"/>
  <c r="T155" i="1"/>
  <c r="U155" i="1" s="1"/>
  <c r="G129" i="1"/>
  <c r="F129" i="1"/>
  <c r="I129" i="1" s="1"/>
  <c r="T201" i="1"/>
  <c r="U201" i="1" s="1"/>
  <c r="R201" i="1"/>
  <c r="T207" i="1"/>
  <c r="U207" i="1" s="1"/>
  <c r="R207" i="1"/>
  <c r="R170" i="1"/>
  <c r="T170" i="1"/>
  <c r="U170" i="1" s="1"/>
  <c r="R157" i="1"/>
  <c r="T157" i="1"/>
  <c r="U157" i="1" s="1"/>
  <c r="R156" i="1"/>
  <c r="T156" i="1"/>
  <c r="U156" i="1" s="1"/>
  <c r="R154" i="1"/>
  <c r="T154" i="1"/>
  <c r="U154" i="1" s="1"/>
  <c r="O154" i="1"/>
  <c r="G206" i="1" l="1"/>
  <c r="G136" i="1"/>
  <c r="G177" i="1"/>
  <c r="G155" i="1"/>
  <c r="G205" i="1"/>
  <c r="G195" i="1"/>
  <c r="G201" i="1"/>
  <c r="G207" i="1"/>
  <c r="G156" i="1"/>
  <c r="F154" i="1"/>
  <c r="I154" i="1" s="1"/>
  <c r="G170" i="1"/>
  <c r="G153" i="1"/>
  <c r="F136" i="1"/>
  <c r="I136" i="1" s="1"/>
  <c r="F153" i="1"/>
  <c r="I153" i="1" s="1"/>
  <c r="G204" i="1"/>
  <c r="G200" i="1"/>
  <c r="G154" i="1"/>
  <c r="G157" i="1"/>
  <c r="L112" i="1" l="1"/>
  <c r="N112" i="1"/>
  <c r="Q112" i="1" s="1"/>
  <c r="H112" i="1"/>
  <c r="O112" i="1" l="1"/>
  <c r="T112" i="1"/>
  <c r="U112" i="1" s="1"/>
  <c r="R112" i="1"/>
  <c r="H11" i="1"/>
  <c r="L11" i="1"/>
  <c r="N11" i="1"/>
  <c r="Q11" i="1" l="1"/>
  <c r="O11" i="1"/>
  <c r="F9" i="3"/>
  <c r="G112" i="1" l="1"/>
  <c r="F112" i="1"/>
  <c r="I112" i="1" s="1"/>
  <c r="R11" i="1"/>
  <c r="T11" i="1"/>
  <c r="L34" i="1"/>
  <c r="L35" i="1"/>
  <c r="L36" i="1"/>
  <c r="L37" i="1"/>
  <c r="L38" i="1"/>
  <c r="L39" i="1"/>
  <c r="L40" i="1"/>
  <c r="L41" i="1"/>
  <c r="L33" i="1"/>
  <c r="N36" i="1"/>
  <c r="O36" i="1" s="1"/>
  <c r="N37" i="1"/>
  <c r="N38" i="1"/>
  <c r="O38" i="1" s="1"/>
  <c r="N39" i="1"/>
  <c r="O39" i="1" s="1"/>
  <c r="N40" i="1"/>
  <c r="O40" i="1" s="1"/>
  <c r="N41" i="1"/>
  <c r="O41" i="1" s="1"/>
  <c r="H36" i="1"/>
  <c r="H37" i="1"/>
  <c r="H38" i="1"/>
  <c r="H39" i="1"/>
  <c r="H40" i="1"/>
  <c r="H41" i="1"/>
  <c r="Q38" i="1" l="1"/>
  <c r="Q39" i="1"/>
  <c r="R39" i="1" s="1"/>
  <c r="Q41" i="1"/>
  <c r="T39" i="1"/>
  <c r="U39" i="1" s="1"/>
  <c r="U11" i="1"/>
  <c r="G11" i="1" s="1"/>
  <c r="F11" i="1"/>
  <c r="I11" i="1" s="1"/>
  <c r="Q36" i="1"/>
  <c r="T36" i="1" s="1"/>
  <c r="U36" i="1" s="1"/>
  <c r="F39" i="1"/>
  <c r="I39" i="1" s="1"/>
  <c r="G39" i="1"/>
  <c r="T41" i="1"/>
  <c r="U41" i="1" s="1"/>
  <c r="R41" i="1"/>
  <c r="G41" i="1" s="1"/>
  <c r="Q40" i="1"/>
  <c r="R40" i="1" s="1"/>
  <c r="Q37" i="1"/>
  <c r="O37" i="1"/>
  <c r="A12" i="7"/>
  <c r="R38" i="1" l="1"/>
  <c r="T38" i="1"/>
  <c r="T40" i="1"/>
  <c r="U40" i="1" s="1"/>
  <c r="G40" i="1" s="1"/>
  <c r="R36" i="1"/>
  <c r="G36" i="1" s="1"/>
  <c r="F41" i="1"/>
  <c r="I41" i="1" s="1"/>
  <c r="R37" i="1"/>
  <c r="T37" i="1"/>
  <c r="F36" i="1"/>
  <c r="I36" i="1" s="1"/>
  <c r="N225" i="1"/>
  <c r="Q225" i="1" s="1"/>
  <c r="T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Q217" i="1" s="1"/>
  <c r="N216" i="1"/>
  <c r="Q216" i="1" s="1"/>
  <c r="T216" i="1" s="1"/>
  <c r="N215" i="1"/>
  <c r="O215" i="1" s="1"/>
  <c r="N214" i="1"/>
  <c r="O214" i="1" s="1"/>
  <c r="N213" i="1"/>
  <c r="O213" i="1" s="1"/>
  <c r="N212" i="1"/>
  <c r="O212" i="1" s="1"/>
  <c r="N211" i="1"/>
  <c r="O211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Q188" i="1" s="1"/>
  <c r="T188" i="1" s="1"/>
  <c r="N187" i="1"/>
  <c r="Q187" i="1" s="1"/>
  <c r="T187" i="1" s="1"/>
  <c r="N186" i="1"/>
  <c r="O186" i="1" s="1"/>
  <c r="N185" i="1"/>
  <c r="O185" i="1" s="1"/>
  <c r="N184" i="1"/>
  <c r="Q184" i="1" s="1"/>
  <c r="T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6" i="1"/>
  <c r="O176" i="1" s="1"/>
  <c r="N175" i="1"/>
  <c r="Q175" i="1" s="1"/>
  <c r="T175" i="1" s="1"/>
  <c r="N174" i="1"/>
  <c r="Q174" i="1" s="1"/>
  <c r="T174" i="1" s="1"/>
  <c r="N173" i="1"/>
  <c r="Q173" i="1" s="1"/>
  <c r="T173" i="1" s="1"/>
  <c r="N172" i="1"/>
  <c r="Q172" i="1" s="1"/>
  <c r="N171" i="1"/>
  <c r="O171" i="1" s="1"/>
  <c r="N169" i="1"/>
  <c r="Q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Q161" i="1" s="1"/>
  <c r="T161" i="1" s="1"/>
  <c r="N160" i="1"/>
  <c r="O160" i="1" s="1"/>
  <c r="N159" i="1"/>
  <c r="O159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Q145" i="1" s="1"/>
  <c r="T145" i="1" s="1"/>
  <c r="N142" i="1"/>
  <c r="O142" i="1" s="1"/>
  <c r="N141" i="1"/>
  <c r="O141" i="1" s="1"/>
  <c r="N140" i="1"/>
  <c r="O140" i="1" s="1"/>
  <c r="N139" i="1"/>
  <c r="Q139" i="1" s="1"/>
  <c r="T139" i="1" s="1"/>
  <c r="N138" i="1"/>
  <c r="Q138" i="1" s="1"/>
  <c r="T138" i="1" s="1"/>
  <c r="N134" i="1"/>
  <c r="O134" i="1" s="1"/>
  <c r="N133" i="1"/>
  <c r="O133" i="1" s="1"/>
  <c r="N132" i="1"/>
  <c r="O132" i="1" s="1"/>
  <c r="N131" i="1"/>
  <c r="O131" i="1" s="1"/>
  <c r="N130" i="1"/>
  <c r="O130" i="1" s="1"/>
  <c r="N128" i="1"/>
  <c r="O128" i="1" s="1"/>
  <c r="N127" i="1"/>
  <c r="O127" i="1" s="1"/>
  <c r="N126" i="1"/>
  <c r="O126" i="1" s="1"/>
  <c r="N125" i="1"/>
  <c r="Q125" i="1" s="1"/>
  <c r="T125" i="1" s="1"/>
  <c r="N124" i="1"/>
  <c r="Q124" i="1" s="1"/>
  <c r="T124" i="1" s="1"/>
  <c r="N123" i="1"/>
  <c r="Q123" i="1" s="1"/>
  <c r="T123" i="1" s="1"/>
  <c r="N122" i="1"/>
  <c r="Q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Q114" i="1" s="1"/>
  <c r="T114" i="1" s="1"/>
  <c r="N113" i="1"/>
  <c r="Q113" i="1" s="1"/>
  <c r="T113" i="1" s="1"/>
  <c r="N111" i="1"/>
  <c r="O111" i="1" s="1"/>
  <c r="N110" i="1"/>
  <c r="Q110" i="1" s="1"/>
  <c r="T110" i="1" s="1"/>
  <c r="N109" i="1"/>
  <c r="Q109" i="1" s="1"/>
  <c r="T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Q102" i="1" s="1"/>
  <c r="N101" i="1"/>
  <c r="O101" i="1" s="1"/>
  <c r="N100" i="1"/>
  <c r="Q100" i="1" s="1"/>
  <c r="N99" i="1"/>
  <c r="O99" i="1" s="1"/>
  <c r="N98" i="1"/>
  <c r="Q98" i="1" s="1"/>
  <c r="T98" i="1" s="1"/>
  <c r="N97" i="1"/>
  <c r="Q97" i="1" s="1"/>
  <c r="T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Q90" i="1" s="1"/>
  <c r="N89" i="1"/>
  <c r="O89" i="1" s="1"/>
  <c r="N88" i="1"/>
  <c r="O88" i="1" s="1"/>
  <c r="N87" i="1"/>
  <c r="Q87" i="1" s="1"/>
  <c r="N86" i="1"/>
  <c r="Q86" i="1" s="1"/>
  <c r="N85" i="1"/>
  <c r="O85" i="1" s="1"/>
  <c r="N84" i="1"/>
  <c r="O84" i="1" s="1"/>
  <c r="N83" i="1"/>
  <c r="O83" i="1" s="1"/>
  <c r="N82" i="1"/>
  <c r="N80" i="1"/>
  <c r="O80" i="1" s="1"/>
  <c r="N79" i="1"/>
  <c r="O79" i="1" s="1"/>
  <c r="N78" i="1"/>
  <c r="O78" i="1" s="1"/>
  <c r="N77" i="1"/>
  <c r="Q77" i="1" s="1"/>
  <c r="N76" i="1"/>
  <c r="O76" i="1" s="1"/>
  <c r="N75" i="1"/>
  <c r="Q75" i="1" s="1"/>
  <c r="T75" i="1" s="1"/>
  <c r="N74" i="1"/>
  <c r="Q74" i="1" s="1"/>
  <c r="T74" i="1" s="1"/>
  <c r="N73" i="1"/>
  <c r="Q73" i="1" s="1"/>
  <c r="T73" i="1" s="1"/>
  <c r="N72" i="1"/>
  <c r="Q72" i="1" s="1"/>
  <c r="T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Q63" i="1" s="1"/>
  <c r="T63" i="1" s="1"/>
  <c r="N62" i="1"/>
  <c r="Q62" i="1" s="1"/>
  <c r="T62" i="1" s="1"/>
  <c r="N61" i="1"/>
  <c r="Q61" i="1" s="1"/>
  <c r="T61" i="1" s="1"/>
  <c r="N60" i="1"/>
  <c r="O60" i="1" s="1"/>
  <c r="N59" i="1"/>
  <c r="O59" i="1" s="1"/>
  <c r="N35" i="1"/>
  <c r="Q35" i="1" s="1"/>
  <c r="N34" i="1"/>
  <c r="Q34" i="1" s="1"/>
  <c r="T34" i="1" s="1"/>
  <c r="N33" i="1"/>
  <c r="Q33" i="1" s="1"/>
  <c r="T33" i="1" s="1"/>
  <c r="N32" i="1"/>
  <c r="O32" i="1" s="1"/>
  <c r="N31" i="1"/>
  <c r="Q31" i="1" s="1"/>
  <c r="T31" i="1" s="1"/>
  <c r="N30" i="1"/>
  <c r="Q30" i="1" s="1"/>
  <c r="T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Q22" i="1" s="1"/>
  <c r="N21" i="1"/>
  <c r="O21" i="1" s="1"/>
  <c r="N20" i="1"/>
  <c r="Q20" i="1" s="1"/>
  <c r="T20" i="1" s="1"/>
  <c r="N19" i="1"/>
  <c r="O19" i="1" s="1"/>
  <c r="N18" i="1"/>
  <c r="Q18" i="1" s="1"/>
  <c r="N17" i="1"/>
  <c r="O17" i="1" s="1"/>
  <c r="N16" i="1"/>
  <c r="Q16" i="1" s="1"/>
  <c r="T16" i="1" s="1"/>
  <c r="N15" i="1"/>
  <c r="O15" i="1" s="1"/>
  <c r="N14" i="1"/>
  <c r="O14" i="1" s="1"/>
  <c r="N13" i="1"/>
  <c r="O13" i="1" s="1"/>
  <c r="N12" i="1"/>
  <c r="O12" i="1" s="1"/>
  <c r="N10" i="1"/>
  <c r="Q10" i="1" s="1"/>
  <c r="N9" i="1"/>
  <c r="O9" i="1" s="1"/>
  <c r="N8" i="1"/>
  <c r="O8" i="1" s="1"/>
  <c r="N7" i="1"/>
  <c r="Q7" i="1" s="1"/>
  <c r="N6" i="1"/>
  <c r="O6" i="1" s="1"/>
  <c r="N5" i="1"/>
  <c r="O5" i="1" s="1"/>
  <c r="N4" i="1"/>
  <c r="O4" i="1" s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6" i="1"/>
  <c r="L175" i="1"/>
  <c r="L174" i="1"/>
  <c r="L173" i="1"/>
  <c r="L172" i="1"/>
  <c r="L171" i="1"/>
  <c r="L169" i="1"/>
  <c r="L168" i="1"/>
  <c r="L167" i="1"/>
  <c r="L166" i="1"/>
  <c r="L165" i="1"/>
  <c r="L164" i="1"/>
  <c r="L163" i="1"/>
  <c r="L162" i="1"/>
  <c r="L161" i="1"/>
  <c r="L160" i="1"/>
  <c r="L159" i="1"/>
  <c r="L152" i="1"/>
  <c r="L151" i="1"/>
  <c r="L150" i="1"/>
  <c r="L149" i="1"/>
  <c r="L148" i="1"/>
  <c r="L147" i="1"/>
  <c r="L146" i="1"/>
  <c r="L145" i="1"/>
  <c r="L142" i="1"/>
  <c r="L141" i="1"/>
  <c r="L140" i="1"/>
  <c r="L139" i="1"/>
  <c r="L138" i="1"/>
  <c r="L134" i="1"/>
  <c r="L133" i="1"/>
  <c r="L132" i="1"/>
  <c r="L131" i="1"/>
  <c r="L130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0" i="1"/>
  <c r="L9" i="1"/>
  <c r="L8" i="1"/>
  <c r="L7" i="1"/>
  <c r="L6" i="1"/>
  <c r="L5" i="1"/>
  <c r="L4" i="1"/>
  <c r="J231" i="1"/>
  <c r="U38" i="1" l="1"/>
  <c r="F38" i="1"/>
  <c r="I38" i="1" s="1"/>
  <c r="G38" i="1"/>
  <c r="O82" i="1"/>
  <c r="F40" i="1"/>
  <c r="I40" i="1" s="1"/>
  <c r="O61" i="1"/>
  <c r="O172" i="1"/>
  <c r="O123" i="1"/>
  <c r="O225" i="1"/>
  <c r="U37" i="1"/>
  <c r="G37" i="1" s="1"/>
  <c r="F37" i="1"/>
  <c r="I37" i="1" s="1"/>
  <c r="O169" i="1"/>
  <c r="O100" i="1"/>
  <c r="O102" i="1"/>
  <c r="O113" i="1"/>
  <c r="O217" i="1"/>
  <c r="Q103" i="1"/>
  <c r="R103" i="1" s="1"/>
  <c r="O33" i="1"/>
  <c r="Q85" i="1"/>
  <c r="R85" i="1" s="1"/>
  <c r="Q111" i="1"/>
  <c r="R111" i="1" s="1"/>
  <c r="O72" i="1"/>
  <c r="O73" i="1"/>
  <c r="Q130" i="1"/>
  <c r="R130" i="1" s="1"/>
  <c r="O75" i="1"/>
  <c r="Q141" i="1"/>
  <c r="R141" i="1" s="1"/>
  <c r="O35" i="1"/>
  <c r="O98" i="1"/>
  <c r="Q147" i="1"/>
  <c r="R147" i="1" s="1"/>
  <c r="O122" i="1"/>
  <c r="Q25" i="1"/>
  <c r="R25" i="1" s="1"/>
  <c r="O86" i="1"/>
  <c r="Q26" i="1"/>
  <c r="R26" i="1" s="1"/>
  <c r="Q148" i="1"/>
  <c r="R148" i="1" s="1"/>
  <c r="O97" i="1"/>
  <c r="Q28" i="1"/>
  <c r="R28" i="1" s="1"/>
  <c r="O10" i="1"/>
  <c r="Q79" i="1"/>
  <c r="R79" i="1" s="1"/>
  <c r="Q171" i="1"/>
  <c r="R171" i="1" s="1"/>
  <c r="O22" i="1"/>
  <c r="Q82" i="1"/>
  <c r="R82" i="1" s="1"/>
  <c r="O30" i="1"/>
  <c r="Q83" i="1"/>
  <c r="T83" i="1" s="1"/>
  <c r="U83" i="1" s="1"/>
  <c r="Q189" i="1"/>
  <c r="T189" i="1" s="1"/>
  <c r="U189" i="1" s="1"/>
  <c r="Q84" i="1"/>
  <c r="T84" i="1" s="1"/>
  <c r="U84" i="1" s="1"/>
  <c r="Q191" i="1"/>
  <c r="R191" i="1" s="1"/>
  <c r="R86" i="1"/>
  <c r="T86" i="1"/>
  <c r="U86" i="1" s="1"/>
  <c r="T100" i="1"/>
  <c r="U100" i="1" s="1"/>
  <c r="R100" i="1"/>
  <c r="R18" i="1"/>
  <c r="T18" i="1"/>
  <c r="U18" i="1" s="1"/>
  <c r="T90" i="1"/>
  <c r="U90" i="1" s="1"/>
  <c r="T22" i="1"/>
  <c r="U22" i="1" s="1"/>
  <c r="T122" i="1"/>
  <c r="U122" i="1" s="1"/>
  <c r="R122" i="1"/>
  <c r="T77" i="1"/>
  <c r="U77" i="1" s="1"/>
  <c r="R77" i="1"/>
  <c r="T102" i="1"/>
  <c r="U102" i="1" s="1"/>
  <c r="R102" i="1"/>
  <c r="T35" i="1"/>
  <c r="U35" i="1" s="1"/>
  <c r="R87" i="1"/>
  <c r="T87" i="1"/>
  <c r="U87" i="1" s="1"/>
  <c r="T217" i="1"/>
  <c r="U217" i="1" s="1"/>
  <c r="O18" i="1"/>
  <c r="Q101" i="1"/>
  <c r="R169" i="1"/>
  <c r="T169" i="1"/>
  <c r="U169" i="1" s="1"/>
  <c r="O20" i="1"/>
  <c r="O74" i="1"/>
  <c r="O216" i="1"/>
  <c r="Q80" i="1"/>
  <c r="Q140" i="1"/>
  <c r="R172" i="1"/>
  <c r="T172" i="1"/>
  <c r="U172" i="1" s="1"/>
  <c r="Q142" i="1"/>
  <c r="Q4" i="1"/>
  <c r="Q29" i="1"/>
  <c r="Q116" i="1"/>
  <c r="Q115" i="1"/>
  <c r="R115" i="1" s="1"/>
  <c r="Q5" i="1"/>
  <c r="Q32" i="1"/>
  <c r="Q117" i="1"/>
  <c r="Q149" i="1"/>
  <c r="Q218" i="1"/>
  <c r="O62" i="1"/>
  <c r="O87" i="1"/>
  <c r="O124" i="1"/>
  <c r="Q6" i="1"/>
  <c r="Q118" i="1"/>
  <c r="Q150" i="1"/>
  <c r="Q219" i="1"/>
  <c r="O63" i="1"/>
  <c r="O90" i="1"/>
  <c r="O125" i="1"/>
  <c r="Q8" i="1"/>
  <c r="Q64" i="1"/>
  <c r="Q119" i="1"/>
  <c r="Q151" i="1"/>
  <c r="Q220" i="1"/>
  <c r="O145" i="1"/>
  <c r="Q12" i="1"/>
  <c r="Q65" i="1"/>
  <c r="Q91" i="1"/>
  <c r="Q120" i="1"/>
  <c r="R120" i="1" s="1"/>
  <c r="Q166" i="1"/>
  <c r="O161" i="1"/>
  <c r="Q13" i="1"/>
  <c r="Q76" i="1"/>
  <c r="R76" i="1" s="1"/>
  <c r="Q99" i="1"/>
  <c r="Q121" i="1"/>
  <c r="Q167" i="1"/>
  <c r="O77" i="1"/>
  <c r="O16" i="1"/>
  <c r="Q17" i="1"/>
  <c r="Q168" i="1"/>
  <c r="Q9" i="1"/>
  <c r="T7" i="1"/>
  <c r="U7" i="1" s="1"/>
  <c r="R7" i="1"/>
  <c r="O7" i="1"/>
  <c r="T10" i="1"/>
  <c r="U10" i="1" s="1"/>
  <c r="R10" i="1"/>
  <c r="R225" i="1"/>
  <c r="U225" i="1"/>
  <c r="Q224" i="1"/>
  <c r="T224" i="1" s="1"/>
  <c r="U216" i="1"/>
  <c r="R216" i="1"/>
  <c r="R217" i="1"/>
  <c r="Q212" i="1"/>
  <c r="T212" i="1" s="1"/>
  <c r="Q211" i="1"/>
  <c r="T211" i="1" s="1"/>
  <c r="Q213" i="1"/>
  <c r="T213" i="1" s="1"/>
  <c r="Q221" i="1"/>
  <c r="T221" i="1" s="1"/>
  <c r="Q214" i="1"/>
  <c r="T214" i="1" s="1"/>
  <c r="Q223" i="1"/>
  <c r="T223" i="1" s="1"/>
  <c r="Q215" i="1"/>
  <c r="T215" i="1" s="1"/>
  <c r="Q222" i="1"/>
  <c r="T222" i="1" s="1"/>
  <c r="R184" i="1"/>
  <c r="U184" i="1"/>
  <c r="R187" i="1"/>
  <c r="U187" i="1"/>
  <c r="U188" i="1"/>
  <c r="R188" i="1"/>
  <c r="Q186" i="1"/>
  <c r="T186" i="1" s="1"/>
  <c r="Q185" i="1"/>
  <c r="T185" i="1" s="1"/>
  <c r="Q190" i="1"/>
  <c r="T190" i="1" s="1"/>
  <c r="Q192" i="1"/>
  <c r="T192" i="1" s="1"/>
  <c r="O184" i="1"/>
  <c r="O188" i="1"/>
  <c r="Q193" i="1"/>
  <c r="T193" i="1" s="1"/>
  <c r="O187" i="1"/>
  <c r="Q183" i="1"/>
  <c r="T183" i="1" s="1"/>
  <c r="Q182" i="1"/>
  <c r="T182" i="1" s="1"/>
  <c r="U174" i="1"/>
  <c r="R174" i="1"/>
  <c r="U173" i="1"/>
  <c r="R173" i="1"/>
  <c r="U175" i="1"/>
  <c r="R175" i="1"/>
  <c r="O173" i="1"/>
  <c r="O174" i="1"/>
  <c r="O175" i="1"/>
  <c r="Q176" i="1"/>
  <c r="T176" i="1" s="1"/>
  <c r="Q178" i="1"/>
  <c r="T178" i="1" s="1"/>
  <c r="Q179" i="1"/>
  <c r="T179" i="1" s="1"/>
  <c r="Q180" i="1"/>
  <c r="T180" i="1" s="1"/>
  <c r="Q181" i="1"/>
  <c r="T181" i="1" s="1"/>
  <c r="Q162" i="1"/>
  <c r="T162" i="1" s="1"/>
  <c r="Q163" i="1"/>
  <c r="T163" i="1" s="1"/>
  <c r="Q164" i="1"/>
  <c r="T164" i="1" s="1"/>
  <c r="Q165" i="1"/>
  <c r="T165" i="1" s="1"/>
  <c r="U161" i="1"/>
  <c r="R161" i="1"/>
  <c r="Q152" i="1"/>
  <c r="T152" i="1" s="1"/>
  <c r="Q159" i="1"/>
  <c r="T159" i="1" s="1"/>
  <c r="Q160" i="1"/>
  <c r="T160" i="1" s="1"/>
  <c r="Q146" i="1"/>
  <c r="T146" i="1" s="1"/>
  <c r="U145" i="1"/>
  <c r="R145" i="1"/>
  <c r="R138" i="1"/>
  <c r="U138" i="1"/>
  <c r="U139" i="1"/>
  <c r="R139" i="1"/>
  <c r="O138" i="1"/>
  <c r="O139" i="1"/>
  <c r="Q134" i="1"/>
  <c r="T134" i="1" s="1"/>
  <c r="Q132" i="1"/>
  <c r="T132" i="1" s="1"/>
  <c r="Q133" i="1"/>
  <c r="T133" i="1" s="1"/>
  <c r="Q131" i="1"/>
  <c r="T131" i="1" s="1"/>
  <c r="Q126" i="1"/>
  <c r="T126" i="1" s="1"/>
  <c r="Q127" i="1"/>
  <c r="T127" i="1" s="1"/>
  <c r="Q128" i="1"/>
  <c r="T128" i="1" s="1"/>
  <c r="R124" i="1"/>
  <c r="U124" i="1"/>
  <c r="U125" i="1"/>
  <c r="R125" i="1"/>
  <c r="R123" i="1"/>
  <c r="U123" i="1"/>
  <c r="U114" i="1"/>
  <c r="R114" i="1"/>
  <c r="O114" i="1"/>
  <c r="U113" i="1"/>
  <c r="R113" i="1"/>
  <c r="R97" i="1"/>
  <c r="U97" i="1"/>
  <c r="R98" i="1"/>
  <c r="U98" i="1"/>
  <c r="R109" i="1"/>
  <c r="U109" i="1"/>
  <c r="R110" i="1"/>
  <c r="U110" i="1"/>
  <c r="Q92" i="1"/>
  <c r="T92" i="1" s="1"/>
  <c r="Q104" i="1"/>
  <c r="T104" i="1" s="1"/>
  <c r="Q105" i="1"/>
  <c r="T105" i="1" s="1"/>
  <c r="Q94" i="1"/>
  <c r="T94" i="1" s="1"/>
  <c r="Q106" i="1"/>
  <c r="T106" i="1" s="1"/>
  <c r="Q95" i="1"/>
  <c r="T95" i="1" s="1"/>
  <c r="Q107" i="1"/>
  <c r="T107" i="1" s="1"/>
  <c r="Q96" i="1"/>
  <c r="T96" i="1" s="1"/>
  <c r="Q108" i="1"/>
  <c r="T108" i="1" s="1"/>
  <c r="Q93" i="1"/>
  <c r="T93" i="1" s="1"/>
  <c r="O109" i="1"/>
  <c r="O110" i="1"/>
  <c r="R90" i="1"/>
  <c r="Q88" i="1"/>
  <c r="T88" i="1" s="1"/>
  <c r="Q89" i="1"/>
  <c r="T89" i="1" s="1"/>
  <c r="U72" i="1"/>
  <c r="R72" i="1"/>
  <c r="R73" i="1"/>
  <c r="U73" i="1"/>
  <c r="U61" i="1"/>
  <c r="R61" i="1"/>
  <c r="R74" i="1"/>
  <c r="U74" i="1"/>
  <c r="U75" i="1"/>
  <c r="R75" i="1"/>
  <c r="U62" i="1"/>
  <c r="R62" i="1"/>
  <c r="U63" i="1"/>
  <c r="R63" i="1"/>
  <c r="Q67" i="1"/>
  <c r="T67" i="1" s="1"/>
  <c r="Q78" i="1"/>
  <c r="T78" i="1" s="1"/>
  <c r="Q68" i="1"/>
  <c r="T68" i="1" s="1"/>
  <c r="Q69" i="1"/>
  <c r="T69" i="1" s="1"/>
  <c r="Q70" i="1"/>
  <c r="T70" i="1" s="1"/>
  <c r="Q71" i="1"/>
  <c r="T71" i="1" s="1"/>
  <c r="Q66" i="1"/>
  <c r="T66" i="1" s="1"/>
  <c r="Q60" i="1"/>
  <c r="T60" i="1" s="1"/>
  <c r="Q59" i="1"/>
  <c r="T59" i="1" s="1"/>
  <c r="R35" i="1"/>
  <c r="U34" i="1"/>
  <c r="R34" i="1"/>
  <c r="O34" i="1"/>
  <c r="U30" i="1"/>
  <c r="R30" i="1"/>
  <c r="O31" i="1"/>
  <c r="Q27" i="1"/>
  <c r="T27" i="1" s="1"/>
  <c r="Q21" i="1"/>
  <c r="T21" i="1" s="1"/>
  <c r="Q23" i="1"/>
  <c r="T23" i="1" s="1"/>
  <c r="Q24" i="1"/>
  <c r="T24" i="1" s="1"/>
  <c r="U31" i="1"/>
  <c r="R31" i="1"/>
  <c r="R22" i="1"/>
  <c r="R33" i="1"/>
  <c r="U33" i="1"/>
  <c r="U20" i="1"/>
  <c r="R20" i="1"/>
  <c r="Q19" i="1"/>
  <c r="T19" i="1" s="1"/>
  <c r="Q14" i="1"/>
  <c r="T14" i="1" s="1"/>
  <c r="R16" i="1"/>
  <c r="U16" i="1"/>
  <c r="Q15" i="1"/>
  <c r="T15" i="1" s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T141" i="1" l="1"/>
  <c r="U141" i="1" s="1"/>
  <c r="R83" i="1"/>
  <c r="T85" i="1"/>
  <c r="U85" i="1" s="1"/>
  <c r="T148" i="1"/>
  <c r="U148" i="1" s="1"/>
  <c r="R84" i="1"/>
  <c r="R189" i="1"/>
  <c r="T26" i="1"/>
  <c r="U26" i="1" s="1"/>
  <c r="T25" i="1"/>
  <c r="U25" i="1" s="1"/>
  <c r="T111" i="1"/>
  <c r="U111" i="1" s="1"/>
  <c r="T103" i="1"/>
  <c r="U103" i="1" s="1"/>
  <c r="T28" i="1"/>
  <c r="U28" i="1" s="1"/>
  <c r="T147" i="1"/>
  <c r="U147" i="1" s="1"/>
  <c r="T130" i="1"/>
  <c r="U130" i="1" s="1"/>
  <c r="T191" i="1"/>
  <c r="U191" i="1" s="1"/>
  <c r="T82" i="1"/>
  <c r="U82" i="1" s="1"/>
  <c r="G82" i="1" s="1"/>
  <c r="T171" i="1"/>
  <c r="U171" i="1" s="1"/>
  <c r="T79" i="1"/>
  <c r="U79" i="1" s="1"/>
  <c r="R91" i="1"/>
  <c r="T91" i="1"/>
  <c r="U91" i="1" s="1"/>
  <c r="T65" i="1"/>
  <c r="U65" i="1" s="1"/>
  <c r="R65" i="1"/>
  <c r="R12" i="1"/>
  <c r="T12" i="1"/>
  <c r="U12" i="1" s="1"/>
  <c r="T142" i="1"/>
  <c r="U142" i="1" s="1"/>
  <c r="R167" i="1"/>
  <c r="T167" i="1"/>
  <c r="U167" i="1" s="1"/>
  <c r="R220" i="1"/>
  <c r="T220" i="1"/>
  <c r="U220" i="1" s="1"/>
  <c r="R219" i="1"/>
  <c r="T219" i="1"/>
  <c r="U219" i="1" s="1"/>
  <c r="T101" i="1"/>
  <c r="U101" i="1" s="1"/>
  <c r="R101" i="1"/>
  <c r="T121" i="1"/>
  <c r="U121" i="1" s="1"/>
  <c r="R121" i="1"/>
  <c r="R151" i="1"/>
  <c r="T151" i="1"/>
  <c r="U151" i="1" s="1"/>
  <c r="R150" i="1"/>
  <c r="T150" i="1"/>
  <c r="U150" i="1" s="1"/>
  <c r="R218" i="1"/>
  <c r="T218" i="1"/>
  <c r="U218" i="1" s="1"/>
  <c r="R99" i="1"/>
  <c r="T99" i="1"/>
  <c r="U99" i="1" s="1"/>
  <c r="T119" i="1"/>
  <c r="U119" i="1" s="1"/>
  <c r="R119" i="1"/>
  <c r="T118" i="1"/>
  <c r="U118" i="1" s="1"/>
  <c r="R118" i="1"/>
  <c r="R149" i="1"/>
  <c r="T149" i="1"/>
  <c r="U149" i="1" s="1"/>
  <c r="T76" i="1"/>
  <c r="U76" i="1" s="1"/>
  <c r="T64" i="1"/>
  <c r="U64" i="1" s="1"/>
  <c r="T6" i="1"/>
  <c r="U6" i="1" s="1"/>
  <c r="R6" i="1"/>
  <c r="R117" i="1"/>
  <c r="T117" i="1"/>
  <c r="U117" i="1" s="1"/>
  <c r="R116" i="1"/>
  <c r="T116" i="1"/>
  <c r="U116" i="1" s="1"/>
  <c r="T140" i="1"/>
  <c r="U140" i="1" s="1"/>
  <c r="R168" i="1"/>
  <c r="T168" i="1"/>
  <c r="U168" i="1" s="1"/>
  <c r="R13" i="1"/>
  <c r="T13" i="1"/>
  <c r="U13" i="1" s="1"/>
  <c r="T8" i="1"/>
  <c r="U8" i="1" s="1"/>
  <c r="R8" i="1"/>
  <c r="T32" i="1"/>
  <c r="U32" i="1" s="1"/>
  <c r="R32" i="1"/>
  <c r="R80" i="1"/>
  <c r="T80" i="1"/>
  <c r="U80" i="1" s="1"/>
  <c r="R140" i="1"/>
  <c r="R17" i="1"/>
  <c r="T17" i="1"/>
  <c r="U17" i="1" s="1"/>
  <c r="R5" i="1"/>
  <c r="T5" i="1"/>
  <c r="U5" i="1" s="1"/>
  <c r="R64" i="1"/>
  <c r="R142" i="1"/>
  <c r="R166" i="1"/>
  <c r="T166" i="1"/>
  <c r="U166" i="1" s="1"/>
  <c r="T115" i="1"/>
  <c r="U115" i="1" s="1"/>
  <c r="T29" i="1"/>
  <c r="U29" i="1" s="1"/>
  <c r="R29" i="1"/>
  <c r="T120" i="1"/>
  <c r="U120" i="1" s="1"/>
  <c r="R4" i="1"/>
  <c r="T4" i="1"/>
  <c r="U4" i="1" s="1"/>
  <c r="T9" i="1"/>
  <c r="R9" i="1"/>
  <c r="R224" i="1"/>
  <c r="U224" i="1"/>
  <c r="U215" i="1"/>
  <c r="R215" i="1"/>
  <c r="U214" i="1"/>
  <c r="R214" i="1"/>
  <c r="R213" i="1"/>
  <c r="U213" i="1"/>
  <c r="R211" i="1"/>
  <c r="U211" i="1"/>
  <c r="R222" i="1"/>
  <c r="U222" i="1"/>
  <c r="R223" i="1"/>
  <c r="U223" i="1"/>
  <c r="R221" i="1"/>
  <c r="U221" i="1"/>
  <c r="R212" i="1"/>
  <c r="U212" i="1"/>
  <c r="R192" i="1"/>
  <c r="U192" i="1"/>
  <c r="R190" i="1"/>
  <c r="U190" i="1"/>
  <c r="U186" i="1"/>
  <c r="R186" i="1"/>
  <c r="R185" i="1"/>
  <c r="U185" i="1"/>
  <c r="R193" i="1"/>
  <c r="U193" i="1"/>
  <c r="U183" i="1"/>
  <c r="R183" i="1"/>
  <c r="U182" i="1"/>
  <c r="R182" i="1"/>
  <c r="R176" i="1"/>
  <c r="U176" i="1"/>
  <c r="R178" i="1"/>
  <c r="U178" i="1"/>
  <c r="R179" i="1"/>
  <c r="U179" i="1"/>
  <c r="R181" i="1"/>
  <c r="U181" i="1"/>
  <c r="R180" i="1"/>
  <c r="U180" i="1"/>
  <c r="R165" i="1"/>
  <c r="U165" i="1"/>
  <c r="R164" i="1"/>
  <c r="U164" i="1"/>
  <c r="R163" i="1"/>
  <c r="U163" i="1"/>
  <c r="U162" i="1"/>
  <c r="R162" i="1"/>
  <c r="U160" i="1"/>
  <c r="R160" i="1"/>
  <c r="R159" i="1"/>
  <c r="U159" i="1"/>
  <c r="R152" i="1"/>
  <c r="U152" i="1"/>
  <c r="R146" i="1"/>
  <c r="U146" i="1"/>
  <c r="R132" i="1"/>
  <c r="U132" i="1"/>
  <c r="R133" i="1"/>
  <c r="U133" i="1"/>
  <c r="R134" i="1"/>
  <c r="U134" i="1"/>
  <c r="R131" i="1"/>
  <c r="U131" i="1"/>
  <c r="U127" i="1"/>
  <c r="R127" i="1"/>
  <c r="R128" i="1"/>
  <c r="U128" i="1"/>
  <c r="U126" i="1"/>
  <c r="R126" i="1"/>
  <c r="R94" i="1"/>
  <c r="U94" i="1"/>
  <c r="R92" i="1"/>
  <c r="U92" i="1"/>
  <c r="R93" i="1"/>
  <c r="U93" i="1"/>
  <c r="R96" i="1"/>
  <c r="U96" i="1"/>
  <c r="R105" i="1"/>
  <c r="U105" i="1"/>
  <c r="R104" i="1"/>
  <c r="U104" i="1"/>
  <c r="R107" i="1"/>
  <c r="U107" i="1"/>
  <c r="R95" i="1"/>
  <c r="U95" i="1"/>
  <c r="R108" i="1"/>
  <c r="U108" i="1"/>
  <c r="R106" i="1"/>
  <c r="U106" i="1"/>
  <c r="R89" i="1"/>
  <c r="U89" i="1"/>
  <c r="R88" i="1"/>
  <c r="U88" i="1"/>
  <c r="U71" i="1"/>
  <c r="R71" i="1"/>
  <c r="R69" i="1"/>
  <c r="U69" i="1"/>
  <c r="R68" i="1"/>
  <c r="U68" i="1"/>
  <c r="R66" i="1"/>
  <c r="U66" i="1"/>
  <c r="R70" i="1"/>
  <c r="U70" i="1"/>
  <c r="R78" i="1"/>
  <c r="U78" i="1"/>
  <c r="R67" i="1"/>
  <c r="U67" i="1"/>
  <c r="R60" i="1"/>
  <c r="U60" i="1"/>
  <c r="R59" i="1"/>
  <c r="U59" i="1"/>
  <c r="R27" i="1"/>
  <c r="U27" i="1"/>
  <c r="R21" i="1"/>
  <c r="U21" i="1"/>
  <c r="U23" i="1"/>
  <c r="R23" i="1"/>
  <c r="R24" i="1"/>
  <c r="U24" i="1"/>
  <c r="R19" i="1"/>
  <c r="U19" i="1"/>
  <c r="R14" i="1"/>
  <c r="U14" i="1"/>
  <c r="R15" i="1"/>
  <c r="U15" i="1"/>
  <c r="I42" i="1"/>
  <c r="I56" i="1"/>
  <c r="I52" i="1"/>
  <c r="I53" i="1"/>
  <c r="I57" i="1"/>
  <c r="I54" i="1"/>
  <c r="I50" i="1"/>
  <c r="I46" i="1"/>
  <c r="I49" i="1"/>
  <c r="I48" i="1"/>
  <c r="I44" i="1"/>
  <c r="I45" i="1"/>
  <c r="I55" i="1"/>
  <c r="I51" i="1"/>
  <c r="I47" i="1"/>
  <c r="I43" i="1"/>
  <c r="F82" i="1" l="1"/>
  <c r="I82" i="1" s="1"/>
  <c r="U9" i="1"/>
  <c r="F7" i="3"/>
  <c r="F2" i="5"/>
  <c r="G230" i="1" l="1"/>
  <c r="F230" i="1"/>
  <c r="H230" i="1"/>
  <c r="I230" i="1" l="1"/>
  <c r="F62" i="1" l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13" i="1"/>
  <c r="G13" i="1"/>
  <c r="H13" i="1"/>
  <c r="I64" i="1" l="1"/>
  <c r="I63" i="1"/>
  <c r="I70" i="1"/>
  <c r="I65" i="1"/>
  <c r="I73" i="1"/>
  <c r="I67" i="1"/>
  <c r="I66" i="1"/>
  <c r="I62" i="1"/>
  <c r="I72" i="1"/>
  <c r="I74" i="1"/>
  <c r="I71" i="1"/>
  <c r="I68" i="1"/>
  <c r="I69" i="1"/>
  <c r="I13" i="1"/>
  <c r="H167" i="1"/>
  <c r="F167" i="1" l="1"/>
  <c r="I167" i="1" s="1"/>
  <c r="G167" i="1"/>
  <c r="H99" i="1"/>
  <c r="F99" i="1" l="1"/>
  <c r="I99" i="1" s="1"/>
  <c r="G99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18" i="1" l="1"/>
  <c r="H18" i="1"/>
  <c r="G18" i="1"/>
  <c r="G159" i="1"/>
  <c r="H159" i="1"/>
  <c r="I18" i="1" l="1"/>
  <c r="F159" i="1"/>
  <c r="I159" i="1" s="1"/>
  <c r="F132" i="1"/>
  <c r="G132" i="1"/>
  <c r="H132" i="1"/>
  <c r="I132" i="1" l="1"/>
  <c r="H225" i="1" l="1"/>
  <c r="F225" i="1"/>
  <c r="G225" i="1"/>
  <c r="F189" i="1"/>
  <c r="H187" i="1"/>
  <c r="F187" i="1"/>
  <c r="G187" i="1"/>
  <c r="H188" i="1"/>
  <c r="F188" i="1"/>
  <c r="G188" i="1"/>
  <c r="H189" i="1"/>
  <c r="G189" i="1"/>
  <c r="H190" i="1"/>
  <c r="F190" i="1"/>
  <c r="G190" i="1"/>
  <c r="I225" i="1" l="1"/>
  <c r="I188" i="1"/>
  <c r="I190" i="1"/>
  <c r="I187" i="1"/>
  <c r="I189" i="1"/>
  <c r="H229" i="1" l="1"/>
  <c r="G229" i="1"/>
  <c r="F229" i="1"/>
  <c r="H228" i="1"/>
  <c r="G228" i="1"/>
  <c r="F228" i="1"/>
  <c r="H227" i="1"/>
  <c r="G227" i="1"/>
  <c r="F227" i="1"/>
  <c r="F224" i="1"/>
  <c r="H224" i="1"/>
  <c r="F223" i="1"/>
  <c r="H223" i="1"/>
  <c r="F222" i="1"/>
  <c r="H222" i="1"/>
  <c r="F221" i="1"/>
  <c r="H221" i="1"/>
  <c r="F220" i="1"/>
  <c r="H220" i="1"/>
  <c r="F219" i="1"/>
  <c r="H219" i="1"/>
  <c r="G218" i="1"/>
  <c r="F218" i="1"/>
  <c r="H218" i="1"/>
  <c r="G217" i="1"/>
  <c r="F217" i="1"/>
  <c r="H217" i="1"/>
  <c r="G216" i="1"/>
  <c r="F216" i="1"/>
  <c r="H216" i="1"/>
  <c r="G215" i="1"/>
  <c r="F215" i="1"/>
  <c r="H215" i="1"/>
  <c r="G214" i="1"/>
  <c r="F214" i="1"/>
  <c r="H214" i="1"/>
  <c r="G213" i="1"/>
  <c r="F213" i="1"/>
  <c r="H213" i="1"/>
  <c r="G212" i="1"/>
  <c r="F212" i="1"/>
  <c r="H212" i="1"/>
  <c r="G211" i="1"/>
  <c r="F211" i="1"/>
  <c r="H211" i="1"/>
  <c r="G193" i="1"/>
  <c r="F193" i="1"/>
  <c r="H193" i="1"/>
  <c r="G192" i="1"/>
  <c r="F192" i="1"/>
  <c r="H192" i="1"/>
  <c r="G191" i="1"/>
  <c r="F191" i="1"/>
  <c r="H191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G181" i="1"/>
  <c r="F181" i="1"/>
  <c r="H181" i="1"/>
  <c r="G180" i="1"/>
  <c r="F180" i="1"/>
  <c r="H180" i="1"/>
  <c r="G179" i="1"/>
  <c r="F179" i="1"/>
  <c r="H179" i="1"/>
  <c r="G178" i="1"/>
  <c r="F178" i="1"/>
  <c r="H178" i="1"/>
  <c r="G176" i="1"/>
  <c r="F176" i="1"/>
  <c r="H176" i="1"/>
  <c r="G175" i="1"/>
  <c r="F175" i="1"/>
  <c r="H175" i="1"/>
  <c r="G174" i="1"/>
  <c r="F174" i="1"/>
  <c r="H174" i="1"/>
  <c r="G173" i="1"/>
  <c r="F173" i="1"/>
  <c r="H173" i="1"/>
  <c r="G172" i="1"/>
  <c r="F172" i="1"/>
  <c r="H172" i="1"/>
  <c r="G171" i="1"/>
  <c r="F171" i="1"/>
  <c r="H171" i="1"/>
  <c r="G169" i="1"/>
  <c r="F169" i="1"/>
  <c r="H169" i="1"/>
  <c r="G168" i="1"/>
  <c r="F168" i="1"/>
  <c r="H168" i="1"/>
  <c r="G166" i="1"/>
  <c r="F166" i="1"/>
  <c r="H166" i="1"/>
  <c r="G165" i="1"/>
  <c r="F165" i="1"/>
  <c r="H165" i="1"/>
  <c r="G164" i="1"/>
  <c r="F164" i="1"/>
  <c r="H164" i="1"/>
  <c r="G163" i="1"/>
  <c r="F163" i="1"/>
  <c r="H163" i="1"/>
  <c r="G162" i="1"/>
  <c r="F162" i="1"/>
  <c r="H162" i="1"/>
  <c r="G161" i="1"/>
  <c r="F161" i="1"/>
  <c r="H161" i="1"/>
  <c r="G160" i="1"/>
  <c r="F160" i="1"/>
  <c r="H160" i="1"/>
  <c r="H152" i="1"/>
  <c r="G152" i="1"/>
  <c r="F152" i="1"/>
  <c r="G151" i="1"/>
  <c r="F151" i="1"/>
  <c r="H151" i="1"/>
  <c r="G150" i="1"/>
  <c r="F150" i="1"/>
  <c r="H150" i="1"/>
  <c r="G149" i="1"/>
  <c r="F149" i="1"/>
  <c r="H149" i="1"/>
  <c r="G148" i="1"/>
  <c r="F148" i="1"/>
  <c r="H148" i="1"/>
  <c r="G147" i="1"/>
  <c r="F147" i="1"/>
  <c r="H147" i="1"/>
  <c r="G146" i="1"/>
  <c r="F146" i="1"/>
  <c r="H146" i="1"/>
  <c r="H145" i="1"/>
  <c r="G145" i="1"/>
  <c r="F145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4" i="1"/>
  <c r="G134" i="1"/>
  <c r="F134" i="1"/>
  <c r="G133" i="1"/>
  <c r="H133" i="1"/>
  <c r="F133" i="1"/>
  <c r="H131" i="1"/>
  <c r="G131" i="1"/>
  <c r="F131" i="1"/>
  <c r="H130" i="1"/>
  <c r="G130" i="1"/>
  <c r="F130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G107" i="1"/>
  <c r="H107" i="1"/>
  <c r="F107" i="1"/>
  <c r="G106" i="1"/>
  <c r="H106" i="1"/>
  <c r="F106" i="1"/>
  <c r="G105" i="1"/>
  <c r="H105" i="1"/>
  <c r="F105" i="1"/>
  <c r="G104" i="1"/>
  <c r="H104" i="1"/>
  <c r="F104" i="1"/>
  <c r="G103" i="1"/>
  <c r="H103" i="1"/>
  <c r="F103" i="1"/>
  <c r="G102" i="1"/>
  <c r="H102" i="1"/>
  <c r="F102" i="1"/>
  <c r="G101" i="1"/>
  <c r="H101" i="1"/>
  <c r="F101" i="1"/>
  <c r="G100" i="1"/>
  <c r="F100" i="1"/>
  <c r="H100" i="1"/>
  <c r="H98" i="1"/>
  <c r="H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F97" i="1" l="1"/>
  <c r="I97" i="1" s="1"/>
  <c r="F98" i="1"/>
  <c r="I98" i="1" s="1"/>
  <c r="G220" i="1"/>
  <c r="G224" i="1"/>
  <c r="G219" i="1"/>
  <c r="G221" i="1"/>
  <c r="G223" i="1"/>
  <c r="G222" i="1"/>
  <c r="I105" i="1"/>
  <c r="G97" i="1"/>
  <c r="I213" i="1"/>
  <c r="I215" i="1"/>
  <c r="I139" i="1"/>
  <c r="I145" i="1"/>
  <c r="G98" i="1"/>
  <c r="I104" i="1"/>
  <c r="I75" i="1"/>
  <c r="I148" i="1"/>
  <c r="I174" i="1"/>
  <c r="I142" i="1"/>
  <c r="I220" i="1"/>
  <c r="I172" i="1"/>
  <c r="I90" i="1"/>
  <c r="I94" i="1"/>
  <c r="I78" i="1"/>
  <c r="I166" i="1"/>
  <c r="I176" i="1"/>
  <c r="I185" i="1"/>
  <c r="I211" i="1"/>
  <c r="I93" i="1"/>
  <c r="I114" i="1"/>
  <c r="I118" i="1"/>
  <c r="I126" i="1"/>
  <c r="I217" i="1"/>
  <c r="I88" i="1"/>
  <c r="I133" i="1"/>
  <c r="I85" i="1"/>
  <c r="I103" i="1"/>
  <c r="I106" i="1"/>
  <c r="I160" i="1"/>
  <c r="I183" i="1"/>
  <c r="I222" i="1"/>
  <c r="I224" i="1"/>
  <c r="I107" i="1"/>
  <c r="I134" i="1"/>
  <c r="I87" i="1"/>
  <c r="I91" i="1"/>
  <c r="I165" i="1"/>
  <c r="I184" i="1"/>
  <c r="I193" i="1"/>
  <c r="I117" i="1"/>
  <c r="I130" i="1"/>
  <c r="I150" i="1"/>
  <c r="I169" i="1"/>
  <c r="I216" i="1"/>
  <c r="I182" i="1"/>
  <c r="I119" i="1"/>
  <c r="I128" i="1"/>
  <c r="I116" i="1"/>
  <c r="I84" i="1"/>
  <c r="I168" i="1"/>
  <c r="I221" i="1"/>
  <c r="I77" i="1"/>
  <c r="I96" i="1"/>
  <c r="I113" i="1"/>
  <c r="I123" i="1"/>
  <c r="I214" i="1"/>
  <c r="I120" i="1"/>
  <c r="I212" i="1"/>
  <c r="I102" i="1"/>
  <c r="I147" i="1"/>
  <c r="I163" i="1"/>
  <c r="I218" i="1"/>
  <c r="I173" i="1"/>
  <c r="I89" i="1"/>
  <c r="I141" i="1"/>
  <c r="I178" i="1"/>
  <c r="I186" i="1"/>
  <c r="I181" i="1"/>
  <c r="I80" i="1"/>
  <c r="I140" i="1"/>
  <c r="I180" i="1"/>
  <c r="I227" i="1"/>
  <c r="I110" i="1"/>
  <c r="I228" i="1"/>
  <c r="I171" i="1"/>
  <c r="I100" i="1"/>
  <c r="I179" i="1"/>
  <c r="I191" i="1"/>
  <c r="I125" i="1"/>
  <c r="I122" i="1"/>
  <c r="I109" i="1"/>
  <c r="I108" i="1"/>
  <c r="I223" i="1"/>
  <c r="I229" i="1"/>
  <c r="I175" i="1"/>
  <c r="I192" i="1"/>
  <c r="I219" i="1"/>
  <c r="I127" i="1"/>
  <c r="I161" i="1"/>
  <c r="I76" i="1"/>
  <c r="I95" i="1"/>
  <c r="I124" i="1"/>
  <c r="I149" i="1"/>
  <c r="I86" i="1"/>
  <c r="I101" i="1"/>
  <c r="I138" i="1"/>
  <c r="I83" i="1"/>
  <c r="I111" i="1"/>
  <c r="I131" i="1"/>
  <c r="I152" i="1"/>
  <c r="I79" i="1"/>
  <c r="I92" i="1"/>
  <c r="I121" i="1"/>
  <c r="I146" i="1"/>
  <c r="I115" i="1"/>
  <c r="I151" i="1"/>
  <c r="I162" i="1"/>
  <c r="I164" i="1"/>
  <c r="H8" i="1" l="1"/>
  <c r="G8" i="1"/>
  <c r="F8" i="1"/>
  <c r="H9" i="1"/>
  <c r="G9" i="1"/>
  <c r="F9" i="1"/>
  <c r="H10" i="1"/>
  <c r="G10" i="1"/>
  <c r="F10" i="1"/>
  <c r="H12" i="1"/>
  <c r="G12" i="1"/>
  <c r="F12" i="1"/>
  <c r="I8" i="1" l="1"/>
  <c r="I9" i="1"/>
  <c r="I10" i="1"/>
  <c r="I12" i="1"/>
  <c r="D3" i="3" l="1"/>
  <c r="A12" i="10" l="1"/>
  <c r="A8" i="2"/>
  <c r="A13" i="10" l="1"/>
  <c r="A14" i="10"/>
  <c r="H31" i="1"/>
  <c r="H32" i="1"/>
  <c r="H33" i="1"/>
  <c r="H34" i="1"/>
  <c r="H20" i="1"/>
  <c r="H35" i="1"/>
  <c r="H16" i="1"/>
  <c r="H17" i="1"/>
  <c r="H19" i="1"/>
  <c r="H22" i="1"/>
  <c r="H59" i="1"/>
  <c r="H60" i="1"/>
  <c r="H61" i="1"/>
  <c r="H5" i="1"/>
  <c r="H6" i="1"/>
  <c r="H7" i="1"/>
  <c r="H14" i="1"/>
  <c r="H21" i="1"/>
  <c r="H15" i="1"/>
  <c r="H23" i="1"/>
  <c r="H24" i="1"/>
  <c r="H25" i="1"/>
  <c r="H26" i="1"/>
  <c r="H27" i="1"/>
  <c r="H28" i="1"/>
  <c r="H29" i="1"/>
  <c r="H30" i="1"/>
  <c r="H4" i="1"/>
  <c r="F14" i="1"/>
  <c r="G14" i="1"/>
  <c r="G22" i="1"/>
  <c r="G19" i="1"/>
  <c r="G17" i="1"/>
  <c r="G16" i="1"/>
  <c r="G32" i="1"/>
  <c r="G31" i="1"/>
  <c r="G27" i="1"/>
  <c r="G23" i="1"/>
  <c r="G15" i="1"/>
  <c r="I14" i="1" l="1"/>
  <c r="G28" i="1"/>
  <c r="G34" i="1"/>
  <c r="G35" i="1"/>
  <c r="G26" i="1"/>
  <c r="G24" i="1"/>
  <c r="G61" i="1"/>
  <c r="G60" i="1"/>
  <c r="G6" i="1"/>
  <c r="G59" i="1"/>
  <c r="G33" i="1"/>
  <c r="G25" i="1"/>
  <c r="G21" i="1"/>
  <c r="G5" i="1"/>
  <c r="G30" i="1" l="1"/>
  <c r="G29" i="1"/>
  <c r="G20" i="1"/>
  <c r="G7" i="1"/>
  <c r="G4" i="1" l="1"/>
  <c r="F8" i="3"/>
  <c r="F5" i="1" l="1"/>
  <c r="I5" i="1" s="1"/>
  <c r="F6" i="1"/>
  <c r="I6" i="1" s="1"/>
  <c r="F7" i="1"/>
  <c r="I7" i="1" s="1"/>
  <c r="F21" i="1"/>
  <c r="I21" i="1" s="1"/>
  <c r="F15" i="1"/>
  <c r="I15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20" i="1"/>
  <c r="I20" i="1" s="1"/>
  <c r="F35" i="1"/>
  <c r="I35" i="1" s="1"/>
  <c r="F16" i="1"/>
  <c r="I16" i="1" s="1"/>
  <c r="F17" i="1"/>
  <c r="I17" i="1" s="1"/>
  <c r="F19" i="1"/>
  <c r="I19" i="1" s="1"/>
  <c r="F22" i="1"/>
  <c r="I22" i="1" s="1"/>
  <c r="F59" i="1"/>
  <c r="I59" i="1" s="1"/>
  <c r="F60" i="1"/>
  <c r="I60" i="1" s="1"/>
  <c r="F61" i="1"/>
  <c r="I61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Z12" i="7" s="1" a="1"/>
  <c r="Z12" i="7" s="1"/>
  <c r="AA9" i="3"/>
  <c r="Y12" i="7" s="1" a="1"/>
  <c r="Y12" i="7" s="1"/>
  <c r="Z9" i="3"/>
  <c r="X12" i="7" s="1" a="1"/>
  <c r="X12" i="7" s="1"/>
  <c r="Y9" i="3"/>
  <c r="W12" i="7" s="1" a="1"/>
  <c r="W12" i="7" s="1"/>
  <c r="X9" i="3"/>
  <c r="V12" i="7" s="1" a="1"/>
  <c r="V12" i="7" s="1"/>
  <c r="W9" i="3"/>
  <c r="U12" i="7" s="1" a="1"/>
  <c r="U12" i="7" s="1"/>
  <c r="V9" i="3"/>
  <c r="T12" i="7" s="1" a="1"/>
  <c r="T12" i="7" s="1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S12" i="7" l="1" a="1"/>
  <c r="S12" i="7" s="1"/>
  <c r="S14" i="7" a="1"/>
  <c r="S14" i="7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T12" i="10"/>
  <c r="T15" i="7"/>
  <c r="AG12" i="10"/>
  <c r="AG15" i="7"/>
  <c r="AH12" i="10"/>
  <c r="AH15" i="7"/>
  <c r="BR12" i="10"/>
  <c r="AI12" i="10"/>
  <c r="AI15" i="7"/>
  <c r="X15" i="7"/>
  <c r="X12" i="10"/>
  <c r="BH12" i="10"/>
  <c r="Y12" i="10"/>
  <c r="Y15" i="7"/>
  <c r="AL12" i="10"/>
  <c r="AL15" i="7"/>
  <c r="AF12" i="10"/>
  <c r="AF15" i="7"/>
  <c r="CB12" i="10"/>
  <c r="U12" i="10"/>
  <c r="U15" i="7"/>
  <c r="V12" i="10"/>
  <c r="V15" i="7"/>
  <c r="AT12" i="10"/>
  <c r="W12" i="10"/>
  <c r="W15" i="7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S15" i="7"/>
  <c r="S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W14" i="10"/>
  <c r="X14" i="10"/>
  <c r="S14" i="10"/>
  <c r="AE14" i="10"/>
  <c r="T14" i="10"/>
  <c r="AF14" i="10"/>
  <c r="CB14" i="10"/>
  <c r="BS14" i="10"/>
  <c r="AG14" i="10"/>
  <c r="BH14" i="10"/>
  <c r="V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R17" i="7" l="1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U15" i="10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X15" i="10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T15" i="10"/>
  <c r="AK15" i="10"/>
  <c r="S15" i="10"/>
  <c r="AA15" i="10"/>
  <c r="W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W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N17" i="10" l="1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<sst xmlns="http://schemas.openxmlformats.org/spreadsheetml/2006/main" count="1248" uniqueCount="514">
  <si>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</si>
  <si>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</si>
  <si>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</si>
  <si>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</si>
  <si>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</si>
  <si>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</si>
  <si>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</si>
  <si>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</si>
  <si>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</si>
  <si>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</si>
  <si>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</si>
  <si>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</si>
  <si>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</si>
  <si>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</si>
  <si>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</si>
  <si>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</si>
  <si>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</si>
  <si>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</si>
  <si>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</si>
  <si>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</si>
  <si>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</si>
  <si>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</si>
  <si>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</si>
  <si>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</si>
  <si>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</si>
  <si>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</si>
  <si>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</si>
  <si>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</si>
  <si>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</si>
  <si>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</si>
  <si>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</si>
  <si>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</si>
  <si>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</si>
  <si>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</si>
  <si>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</si>
  <si>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</si>
  <si>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</si>
  <si>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</si>
  <si>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</si>
  <si>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</si>
  <si>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</si>
  <si>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</si>
  <si>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</si>
  <si>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</si>
  <si>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</si>
  <si>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</si>
  <si>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</si>
  <si>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</si>
  <si>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</si>
  <si>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</si>
  <si>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</si>
  <si>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</si>
  <si>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</si>
  <si>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</si>
  <si>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</si>
  <si>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</si>
  <si>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</si>
  <si>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</si>
  <si>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</si>
  <si>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</si>
  <si>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</si>
  <si>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</si>
  <si>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</si>
  <si>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</si>
  <si>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</si>
  <si>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</si>
  <si>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</si>
  <si>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</si>
  <si>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</si>
  <si>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</si>
  <si>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</si>
  <si>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</si>
  <si>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</si>
  <si>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</si>
  <si>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</si>
  <si>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</si>
  <si>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</si>
  <si>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</si>
  <si>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</si>
  <si>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TRANSPORATION ANALYSIS REPORT</t>
  </si>
  <si>
    <t>TOPSIDES TRANSPORATION FATIGUE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</si>
  <si>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</si>
  <si>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</si>
  <si>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</si>
  <si>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</si>
  <si>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ZWP20 IN-SERVICE COMBINED TOPSIDES AND JACKET FATIGUE ANALYSIS REPORT</t>
  </si>
  <si>
    <t>MM-ZTK-1F-ZWP21-STR-CAL-2013</t>
  </si>
  <si>
    <t>ZWP21 IN-SERVICE COMBINED TOPSIDES AND JACKET FATIGUE ANALYSIS REPORT</t>
  </si>
  <si>
    <t>MM-ZTK-1F-ZWP20-STR-CAL-2013</t>
  </si>
  <si>
    <t>ZWP22 IN-SERVICE COMBINED TOPSIDES AND JACKET FATIGUE ANALYSIS REPORT</t>
  </si>
  <si>
    <t>MM-ZTK-1F-ZWP22-STR-CAL-2013</t>
  </si>
  <si>
    <t>ZWP23 IN-SERVICE COMBINED TOPSIDES AND JACKET FATIGUE ANALYSIS REPORT</t>
  </si>
  <si>
    <t>MM-ZTK-1E-ZWP23-STR-CAL-2031</t>
  </si>
  <si>
    <t>ZWP20 COMBINED TOPSIDES AND JACKET SEISMIC ANALYSIS REPORT (EXTREME LEVEL EARTHQUAKE-ELE)</t>
  </si>
  <si>
    <t>MM-ZTK-1E-ZWP23-STR-CAL-2032</t>
  </si>
  <si>
    <t>ZWP20 COMBINED TOPSIDES AND JACKET SEISMIC ANALYSIS REPORT (ABNORMAL LEVEL EARTHQUAKE-ALE)</t>
  </si>
  <si>
    <t>MM-ZTK-1E-ZWP21-STR-CAL-2031</t>
  </si>
  <si>
    <t>ZWP21 COMBINED TOPSIDES AND JACKET SEISMIC ANALYSIS REPORT (EXTREME LEVEL EARTHQUAKE-ELE)</t>
  </si>
  <si>
    <t>MM-ZTK-1E-ZWP21-STR-CAL-2032</t>
  </si>
  <si>
    <t>ZWP21 COMBINED TOPSIDES AND JACKET SEISMIC ANALYSIS REPORT (ABNORMAL LEVEL EARTHQUAKE-ALE)</t>
  </si>
  <si>
    <t>MM-ZTK-1E-ZWP20-STR-CAL-2031</t>
  </si>
  <si>
    <t>ZWP22 COMBINED TOPSIDES AND JACKET SEISMIC ANALYSIS REPORT (EXTREME LEVEL EARTHQUAKE-ELE)</t>
  </si>
  <si>
    <t>MM-ZTK-1E-ZWP20-STR-CAL-2032</t>
  </si>
  <si>
    <t>ZWP22 COMBINED TOPSIDES AND JACKET SEISMIC ANALYSIS REPORT (ABNORMAL LEVEL EARTHQUAKE-ALE)</t>
  </si>
  <si>
    <t>MM-ZTK-1E-ZWP22-STR-CAL-2031</t>
  </si>
  <si>
    <t>ZWP23 COMBINED TOPSIDES AND JACKET SEISMIC ANALYSIS REPORT (EXTREME LEVEL EARTHQUAKE-ELE)</t>
  </si>
  <si>
    <t>MM-ZTK-1E-ZWP22-STR-CAL-2032</t>
  </si>
  <si>
    <t>ZWP23 COMBINED TOPSIDES AND JACKET SEISMIC ANALYSIS REPORT (ABNORMAL LEVEL EARTHQUAKE-ALE)</t>
  </si>
  <si>
    <t>TOPSIDES BARGE MOTION ANALYSIS REPORT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</si>
  <si>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</si>
  <si>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</si>
  <si>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</si>
  <si>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</si>
  <si>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</si>
  <si>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</si>
  <si>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</si>
  <si>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</si>
  <si>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</si>
  <si>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</si>
  <si>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</si>
  <si>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</si>
  <si>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</si>
  <si>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</si>
  <si>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</si>
  <si>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</si>
  <si>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</si>
  <si>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</si>
  <si>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</si>
  <si>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</si>
  <si>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</si>
  <si>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</si>
  <si>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</si>
  <si>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</si>
  <si>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</si>
  <si>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</si>
  <si>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</si>
  <si>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</si>
  <si>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</si>
  <si>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</si>
  <si>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</si>
  <si>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</si>
  <si>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</si>
  <si>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</si>
  <si>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</si>
  <si>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</si>
  <si>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</si>
  <si>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</si>
  <si>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</si>
  <si>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</si>
  <si>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</si>
  <si>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</si>
  <si>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</si>
  <si>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</si>
  <si>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</si>
  <si>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</si>
  <si>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</si>
  <si>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</si>
  <si>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</si>
  <si>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</si>
  <si>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</si>
  <si>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</si>
  <si>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</si>
  <si>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</si>
  <si>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</si>
  <si>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</si>
  <si>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</si>
  <si>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</si>
  <si>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</si>
  <si>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</si>
  <si>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</si>
  <si>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</si>
  <si>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</si>
  <si>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</si>
  <si>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</si>
  <si>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</si>
  <si>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</si>
  <si>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</si>
  <si>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</si>
  <si>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</si>
  <si>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</si>
  <si>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</si>
  <si>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</si>
  <si>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</si>
  <si>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</si>
  <si>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</si>
  <si>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</si>
  <si>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</si>
  <si>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</si>
  <si>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</si>
  <si>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</si>
  <si>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</si>
  <si>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</si>
  <si>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</si>
  <si>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</si>
  <si>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</si>
  <si>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</si>
  <si>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</si>
  <si>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</si>
  <si>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</si>
  <si>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</si>
  <si>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</si>
  <si>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</si>
  <si>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</si>
  <si>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</si>
  <si>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</si>
  <si>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</si>
  <si>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</si>
  <si>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</si>
  <si>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</si>
  <si>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</si>
  <si>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</si>
  <si>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</si>
  <si>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DRILLING MUD RETURN LINE SUPPORT - PLAN, SECTION AND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</si>
  <si>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</si>
  <si>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</si>
  <si>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</si>
  <si>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</si>
  <si>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</si>
  <si>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</si>
  <si>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</si>
  <si>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</si>
  <si>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</si>
  <si>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</si>
  <si>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</si>
  <si>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</si>
  <si>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</si>
  <si>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</si>
  <si>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</si>
  <si>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</si>
  <si>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</si>
  <si>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</si>
  <si>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</si>
  <si>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</si>
  <si>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</si>
  <si>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</si>
  <si>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</si>
  <si>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</si>
  <si>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</si>
  <si>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</si>
  <si>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</si>
  <si>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</si>
  <si>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</si>
  <si>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MM-ZTK-1E-ZWP20-STR-WCR-1101</t>
  </si>
  <si>
    <t>ZWP20 TOPSIDES WEIGHT CONTROL REPORT (AS-BUILT)</t>
  </si>
  <si>
    <t>MM-ZTK-1E-ZWP20-STR-CAL-1101</t>
  </si>
  <si>
    <t>MM-ZTK-1E-ZWP20-STR-CAL-2111</t>
  </si>
  <si>
    <t xml:space="preserve">ZWP20 PLATFORM IN-PLACE ANALYSIS REPORT (AS-BUILT) </t>
  </si>
  <si>
    <t>MM-ZTK-1E-ZWP20-STR-CAL-2113</t>
  </si>
  <si>
    <t>MM-ZTK-1E-ZWP21-STR-WCR-1101</t>
  </si>
  <si>
    <t>ZWP21 TOPSIDES WEIGHT CONTROL REPORT (AS-BUILT)</t>
  </si>
  <si>
    <t>MM-ZTK-1E-ZWP21-STR-CAL-1101</t>
  </si>
  <si>
    <t>MM-ZTK-1E-ZWP21-STR-CAL-2111</t>
  </si>
  <si>
    <t>ZWP21 PLATFORM IN-PLACE ANALYSIS REPORT (AS-BUILT)</t>
  </si>
  <si>
    <t>MM-ZTK-1E-ZWP21-STR-CAL-2113</t>
  </si>
  <si>
    <t>ZWP21 PLATFORM IN-PLACE SPECTRAL FATIGUE ANLYSIS REPORT (AS-BUILT)</t>
  </si>
  <si>
    <t>MM-ZTK-1E-ZWP22-STR-WCR-1101</t>
  </si>
  <si>
    <t>ZWP22 TOPSIDES WEIGHT CONTROL REPORT (AS-BUILT)</t>
  </si>
  <si>
    <t>MM-ZTK-1E-ZWP22-STR-CAL-1101</t>
  </si>
  <si>
    <t>MM-ZTK-1E-ZWP22-STR-CAL-2111</t>
  </si>
  <si>
    <t>ZWP22 PLATFORM IN-PLACE ANALYSIS REPORT (AS-BUILT)</t>
  </si>
  <si>
    <t>MM-ZTK-1E-ZWP22-STR-CAL-2113</t>
  </si>
  <si>
    <t>ZWP22 PLATFORM IN-PLACE SPECTRAL FATIGUE ANLYSIS REPORT (AS-BUILT)</t>
  </si>
  <si>
    <t>MM-ZTK-1E-ZWP23-STR-WCR-1101</t>
  </si>
  <si>
    <t>ZWP23 TOPSIDES WEIGHT CONTROL REPORT (AS-BUILT)</t>
  </si>
  <si>
    <t>MM-ZTK-1E-ZWP23-STR-CAL-1101</t>
  </si>
  <si>
    <t>MM-ZTK-1E-ZWP23-STR-CAL-2111</t>
  </si>
  <si>
    <t>ZWP23 PLATFORM IN-PLACE ANALYSIS REPORT (AS-BUILT)</t>
  </si>
  <si>
    <t>MM-ZTK-1E-ZWP23-STR-CAL-2113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</si>
  <si>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</si>
  <si>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</si>
  <si>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</si>
  <si>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</si>
  <si>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</si>
  <si>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</si>
  <si>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</si>
  <si>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</si>
  <si>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</si>
  <si>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</si>
  <si>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</si>
  <si>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</si>
  <si>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</si>
  <si>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</si>
  <si>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</si>
  <si>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</si>
  <si>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</si>
  <si>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</si>
  <si>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</si>
  <si>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</si>
  <si>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</si>
  <si>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</si>
  <si>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</si>
  <si>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</si>
  <si>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</si>
  <si>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</si>
  <si>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</si>
  <si>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</si>
  <si>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</si>
  <si>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</si>
  <si>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</si>
  <si>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</si>
  <si>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</si>
  <si>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</si>
  <si>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</si>
  <si>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</si>
  <si>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</si>
  <si>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</si>
  <si>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</si>
  <si>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</si>
  <si>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</si>
  <si>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</si>
  <si>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</si>
  <si>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</si>
  <si>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</si>
  <si>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</si>
  <si>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</si>
  <si>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</si>
  <si>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</si>
  <si>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</si>
  <si>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</si>
  <si>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</si>
  <si>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</si>
  <si>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</si>
  <si>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</si>
  <si>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</si>
  <si>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</si>
  <si>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</si>
  <si>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</si>
  <si>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</si>
  <si>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</si>
  <si>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</si>
  <si>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</si>
  <si>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</si>
  <si>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</si>
  <si>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</si>
  <si>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</si>
  <si>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</si>
  <si>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</si>
  <si>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</si>
  <si>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</si>
  <si>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</si>
  <si>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</si>
  <si>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</si>
  <si>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</si>
  <si>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</si>
  <si>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</si>
  <si>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</si>
  <si>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</si>
  <si>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</si>
  <si>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</si>
  <si>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</si>
  <si>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</si>
  <si>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</si>
  <si>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</si>
  <si>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</si>
  <si>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</si>
  <si>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</si>
  <si>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</si>
  <si>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</si>
  <si>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</si>
  <si>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</si>
  <si>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</si>
  <si>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</si>
  <si>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</si>
  <si>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</si>
  <si>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</si>
  <si>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</si>
  <si>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</si>
  <si>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</si>
  <si>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</si>
  <si>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</si>
  <si>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</si>
  <si>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</si>
  <si>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</si>
  <si>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</si>
  <si>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</si>
  <si>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</si>
  <si>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</si>
  <si>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</si>
  <si>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</si>
  <si>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</si>
  <si>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</si>
  <si>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</si>
  <si>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</si>
  <si>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</si>
  <si>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</si>
  <si>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</si>
  <si>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</si>
  <si>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</si>
  <si>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</si>
  <si>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</si>
  <si>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</si>
  <si>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</si>
  <si>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</si>
  <si>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</si>
  <si>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</si>
  <si>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</si>
  <si>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</si>
  <si>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</si>
  <si>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</si>
  <si>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</si>
  <si>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</si>
  <si>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</si>
  <si>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</si>
  <si>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</si>
  <si>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</si>
  <si>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</si>
  <si>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</si>
  <si>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</si>
  <si>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</si>
  <si>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</si>
  <si>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</si>
  <si>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</si>
  <si>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</si>
  <si>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</si>
  <si>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</si>
  <si>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</si>
  <si>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</si>
  <si>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</si>
  <si>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</si>
  <si>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</si>
  <si>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</si>
  <si>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</si>
  <si>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</si>
  <si>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</si>
  <si>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</si>
  <si>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</si>
  <si>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</si>
  <si>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</si>
  <si>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</si>
  <si>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</si>
  <si>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</si>
  <si>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</si>
  <si>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</si>
  <si>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</si>
  <si>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</si>
  <si>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</si>
  <si>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</si>
  <si>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</si>
  <si>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</si>
  <si>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</si>
  <si>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</si>
  <si>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</si>
  <si>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</si>
  <si>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</si>
  <si>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</si>
  <si>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</si>
  <si>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</si>
  <si>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</si>
  <si>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TOPSIDE - UNIHEAD SPACER ARRANGEMENT AND DETAILS SHEET 2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</si>
  <si>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</si>
  <si>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</si>
  <si>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</si>
  <si>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</si>
  <si>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</si>
  <si>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</si>
  <si>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</si>
  <si>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 xml:space="preserve"> TOPSIDES - FLOORING SECTION AND DETAILS - SHEET 2</t>
  </si>
  <si>
    <t>MM-ZTK-1F-ZWPX-STR-DWG-1306</t>
  </si>
  <si>
    <t xml:space="preserve"> TOPSIDES - FLOORING SECTION AND DETAILS - SHEET 3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</si>
  <si>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</si>
  <si>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</si>
  <si>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</si>
  <si>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</si>
  <si>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</si>
  <si>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</si>
  <si>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</si>
  <si>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</si>
  <si>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 xml:space="preserve"> TOPSIDES - LADDER DETAILS - FROM MEZZANINE DECK TO LOWER DECK SHEET 3</t>
  </si>
  <si>
    <t>MM-ZTK-1F-ZWPX-STR-DWG-1325</t>
  </si>
  <si>
    <t xml:space="preserve"> TOPSIDES - LADDER DETAILS - FROM MEZZANINE DECK TO LOWER DECK SHEET 4</t>
  </si>
  <si>
    <t>MM-ZTK-1F-ZWPX-STR-DWG-1431</t>
  </si>
  <si>
    <t xml:space="preserve"> TOPSIDES - LIFT POINT FOR STRETCHER - PLAN AND DETAIL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</si>
  <si>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</si>
  <si>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</si>
  <si>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</si>
  <si>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</si>
  <si>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</si>
  <si>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</si>
  <si>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</si>
  <si>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 xml:space="preserve"> TOPSIDES - TYPICAL EQUIPMENT SUPPORT DETAILS - SHEET 15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</si>
  <si>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</si>
  <si>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</si>
  <si>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</si>
  <si>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</si>
  <si>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</si>
  <si>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</si>
  <si>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</si>
  <si>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</si>
  <si>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</si>
  <si>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</si>
  <si>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</si>
  <si>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</si>
  <si>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</si>
  <si>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TOPSIDES - UPPER DECK FLOORING LAYOUT FOR SAFETY SIGN SUPPORT AT TOPL EL(+) 24820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</si>
  <si>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</si>
  <si>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</si>
  <si>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</si>
  <si>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</si>
  <si>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</si>
  <si>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</si>
  <si>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</si>
  <si>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TOPSIDES - MEZZANINE DECK FLOORING LAYOUT FOR SAFETY EQUIPMENT SUPPORT AT TOG EL(+) 21138 &amp; 21338</t>
  </si>
  <si>
    <t>MM-ZTK-1F-ZWPX-STR-DWG-1655</t>
  </si>
  <si>
    <t>TOPSIDES - LOWER DECK FLOORING LAYOUT FOR SAFETY EQUIPMENT SUPPORT AT TOPL EL(+) 18310</t>
  </si>
  <si>
    <t>MM-ZTK-1F-ZWPX-STR-DWG-1656</t>
  </si>
  <si>
    <t>TOPSIDES - SUMP DECK FLOORING LAYOUT FOR SAFETY EQUIPMENT SUPPORT
AT TOG EL(+) 14738 &amp; 8488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</si>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</sst>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171" fontId="29" fillId="0" borderId="0" xfId="0" applyNumberFormat="1" applyFont="1"/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171" fontId="29" fillId="10" borderId="1" xfId="0" applyNumberFormat="1" applyFont="1" applyFill="1" applyBorder="1"/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71" fontId="29" fillId="12" borderId="1" xfId="0" applyNumberFormat="1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164" fontId="29" fillId="4" borderId="1" xfId="0" applyNumberFormat="1" applyFont="1" applyFill="1" applyBorder="1"/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30" fillId="4" borderId="1" xfId="0" applyNumberFormat="1" applyFont="1" applyFill="1" applyBorder="1"/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19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0.35249999999999959</c:v>
                </c:pt>
                <c:pt idx="13">
                  <c:v>0.36649999999999955</c:v>
                </c:pt>
                <c:pt idx="14">
                  <c:v>0.4260000000000011</c:v>
                </c:pt>
                <c:pt idx="15">
                  <c:v>0.4670000000000018</c:v>
                </c:pt>
                <c:pt idx="16">
                  <c:v>0.50560000000000138</c:v>
                </c:pt>
                <c:pt idx="17">
                  <c:v>0.56800000000000106</c:v>
                </c:pt>
                <c:pt idx="18">
                  <c:v>0.62269999999999992</c:v>
                </c:pt>
                <c:pt idx="19">
                  <c:v>0.64119999999999988</c:v>
                </c:pt>
                <c:pt idx="20">
                  <c:v>0.67855000000000043</c:v>
                </c:pt>
                <c:pt idx="21">
                  <c:v>0.69455000000000089</c:v>
                </c:pt>
                <c:pt idx="22">
                  <c:v>0.72010000000000063</c:v>
                </c:pt>
                <c:pt idx="23">
                  <c:v>0.74195000000000055</c:v>
                </c:pt>
                <c:pt idx="24">
                  <c:v>0.7770999999999999</c:v>
                </c:pt>
                <c:pt idx="25">
                  <c:v>0.79459999999999997</c:v>
                </c:pt>
                <c:pt idx="26">
                  <c:v>0.82210000000000027</c:v>
                </c:pt>
                <c:pt idx="27">
                  <c:v>0.83010000000000028</c:v>
                </c:pt>
                <c:pt idx="28">
                  <c:v>0.85420000000000096</c:v>
                </c:pt>
                <c:pt idx="29">
                  <c:v>0.86540000000000117</c:v>
                </c:pt>
                <c:pt idx="30">
                  <c:v>0.88050000000000073</c:v>
                </c:pt>
                <c:pt idx="31">
                  <c:v>0.88720000000000065</c:v>
                </c:pt>
                <c:pt idx="32">
                  <c:v>0.89940000000000031</c:v>
                </c:pt>
                <c:pt idx="33">
                  <c:v>0.90000000000000013</c:v>
                </c:pt>
                <c:pt idx="34">
                  <c:v>0.90000000000000013</c:v>
                </c:pt>
                <c:pt idx="35">
                  <c:v>0.90000000000000013</c:v>
                </c:pt>
                <c:pt idx="36">
                  <c:v>0.90000000000000013</c:v>
                </c:pt>
                <c:pt idx="37">
                  <c:v>0.90000000000000013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0.35249999999999959</c:v>
                </c:pt>
                <c:pt idx="13">
                  <c:v>0.36649999999999955</c:v>
                </c:pt>
                <c:pt idx="14">
                  <c:v>0.4260000000000011</c:v>
                </c:pt>
                <c:pt idx="15">
                  <c:v>0.4670000000000018</c:v>
                </c:pt>
                <c:pt idx="16">
                  <c:v>0.50560000000000138</c:v>
                </c:pt>
                <c:pt idx="17">
                  <c:v>0.56800000000000106</c:v>
                </c:pt>
                <c:pt idx="18">
                  <c:v>0.62269999999999992</c:v>
                </c:pt>
                <c:pt idx="19">
                  <c:v>0.64119999999999988</c:v>
                </c:pt>
                <c:pt idx="20">
                  <c:v>0.67855000000000043</c:v>
                </c:pt>
                <c:pt idx="21">
                  <c:v>0.69455000000000089</c:v>
                </c:pt>
                <c:pt idx="22">
                  <c:v>0.72010000000000063</c:v>
                </c:pt>
                <c:pt idx="23">
                  <c:v>0.74195000000000055</c:v>
                </c:pt>
                <c:pt idx="24">
                  <c:v>0.7770999999999999</c:v>
                </c:pt>
                <c:pt idx="25">
                  <c:v>0.79459999999999997</c:v>
                </c:pt>
                <c:pt idx="26">
                  <c:v>0.82210000000000027</c:v>
                </c:pt>
                <c:pt idx="27">
                  <c:v>0.83010000000000028</c:v>
                </c:pt>
                <c:pt idx="28">
                  <c:v>0.85420000000000096</c:v>
                </c:pt>
                <c:pt idx="29">
                  <c:v>0.86540000000000117</c:v>
                </c:pt>
                <c:pt idx="30">
                  <c:v>0.88050000000000073</c:v>
                </c:pt>
                <c:pt idx="31">
                  <c:v>0.88720000000000065</c:v>
                </c:pt>
                <c:pt idx="32">
                  <c:v>0.89940000000000031</c:v>
                </c:pt>
                <c:pt idx="33">
                  <c:v>0.90000000000000013</c:v>
                </c:pt>
                <c:pt idx="34">
                  <c:v>0.90000000000000013</c:v>
                </c:pt>
                <c:pt idx="35">
                  <c:v>0.90000000000000013</c:v>
                </c:pt>
                <c:pt idx="36">
                  <c:v>0.90000000000000013</c:v>
                </c:pt>
                <c:pt idx="37">
                  <c:v>0.90000000000000013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0.40654999999999913</c:v>
                </c:pt>
                <c:pt idx="14">
                  <c:v>0.44724999999999876</c:v>
                </c:pt>
                <c:pt idx="15">
                  <c:v>0.48215000000000019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31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F8" sqref="F8:Q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20</v>
      </c>
      <c r="G1" s="18">
        <f>O1-1</f>
        <v>20</v>
      </c>
      <c r="H1" s="18">
        <f t="shared" ref="H1:I1" si="0">P1-1</f>
        <v>20</v>
      </c>
      <c r="I1" s="18">
        <f t="shared" si="0"/>
        <v>20</v>
      </c>
      <c r="J1" s="18"/>
      <c r="K1" s="18"/>
      <c r="L1" s="18"/>
      <c r="M1" s="18"/>
      <c r="N1" s="18">
        <f>_xlfn.XLOOKUP(D3,'Progress%'!6:6,'Progress%'!1:1,0)</f>
        <v>21</v>
      </c>
      <c r="O1" s="18">
        <f>_xlfn.XLOOKUP(D3,'Progress%'!6:6,'Progress%'!1:1,0)</f>
        <v>21</v>
      </c>
      <c r="P1" s="18">
        <f>N1</f>
        <v>21</v>
      </c>
      <c r="Q1" s="18">
        <f>P1</f>
        <v>21</v>
      </c>
    </row>
    <row r="2" spans="1:17" collapsed="1" x14ac:dyDescent="0.35">
      <c r="D2" s="15" t="s">
        <v>31</v>
      </c>
    </row>
    <row r="3" spans="1:17" x14ac:dyDescent="0.35">
      <c r="D3" s="20">
        <v>46206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154" t="s">
        <v>25</v>
      </c>
      <c r="E6" s="154" t="s">
        <v>26</v>
      </c>
      <c r="F6" s="156" t="s">
        <v>30</v>
      </c>
      <c r="G6" s="157"/>
      <c r="H6" s="157"/>
      <c r="I6" s="158"/>
      <c r="J6" s="156" t="s">
        <v>27</v>
      </c>
      <c r="K6" s="157"/>
      <c r="L6" s="157"/>
      <c r="M6" s="158"/>
      <c r="N6" s="156" t="s">
        <v>28</v>
      </c>
      <c r="O6" s="157"/>
      <c r="P6" s="157"/>
      <c r="Q6" s="158"/>
    </row>
    <row r="7" spans="1:17" ht="24.5" customHeight="1" thickBot="1" x14ac:dyDescent="0.4">
      <c r="D7" s="155"/>
      <c r="E7" s="155"/>
      <c r="F7" s="103" t="s">
        <v>44</v>
      </c>
      <c r="G7" s="103" t="s">
        <v>45</v>
      </c>
      <c r="H7" s="103" t="s">
        <v>46</v>
      </c>
      <c r="I7" s="103" t="s">
        <v>47</v>
      </c>
      <c r="J7" s="103" t="s">
        <v>44</v>
      </c>
      <c r="K7" s="103" t="s">
        <v>45</v>
      </c>
      <c r="L7" s="103" t="s">
        <v>46</v>
      </c>
      <c r="M7" s="103" t="s">
        <v>47</v>
      </c>
      <c r="N7" s="103" t="s">
        <v>44</v>
      </c>
      <c r="O7" s="103" t="s">
        <v>45</v>
      </c>
      <c r="P7" s="103" t="s">
        <v>46</v>
      </c>
      <c r="Q7" s="103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9" t="s">
        <v>60</v>
      </c>
      <c r="E8" s="80">
        <v>1</v>
      </c>
      <c r="F8" s="80" cm="1">
        <f t="array" ref="F8">INDEX('Progress%'!$A$1:$DG$10,'Progress Summary'!$A8,'Progress Summary'!F$1)</f>
        <v>0.4260000000000011</v>
      </c>
      <c r="G8" s="80" cm="1">
        <f t="array" ref="G8">INDEX('Progress%'!$A$1:$DG$10,'Progress Summary'!$A8,'Progress Summary'!G$1)</f>
        <v>0.4260000000000011</v>
      </c>
      <c r="H8" s="80" cm="1">
        <f t="array" ref="H8">INDEX('Progress%'!$A$1:$DG$10,'Progress Summary'!$C8,'Progress Summary'!H$1)</f>
        <v>0.44724999999999876</v>
      </c>
      <c r="I8" s="80">
        <f t="shared" ref="I8" si="3">H8-F8</f>
        <v>2.124999999999766E-2</v>
      </c>
      <c r="J8" s="80">
        <f>N8-F8</f>
        <v>4.1000000000000703E-2</v>
      </c>
      <c r="K8" s="80">
        <f t="shared" ref="K8" si="4">O8-G8</f>
        <v>4.1000000000000703E-2</v>
      </c>
      <c r="L8" s="80">
        <f t="shared" ref="L8:M8" si="5">P8-H8</f>
        <v>3.490000000000143E-2</v>
      </c>
      <c r="M8" s="80">
        <f t="shared" si="5"/>
        <v>-6.0999999999992727E-3</v>
      </c>
      <c r="N8" s="80" cm="1">
        <f t="array" ref="N8">INDEX('Progress%'!$A$1:$DG$10,'Progress Summary'!$A8,'Progress Summary'!N$1)</f>
        <v>0.4670000000000018</v>
      </c>
      <c r="O8" s="80" cm="1">
        <f t="array" ref="O8">INDEX('Progress%'!$A$1:$DG$10,'Progress Summary'!$B8,'Progress Summary'!O$1)</f>
        <v>0.4670000000000018</v>
      </c>
      <c r="P8" s="80" cm="1">
        <f t="array" ref="P8">INDEX('Progress%'!$A$1:$DG$10,'Progress Summary'!$C8,'Progress Summary'!P$1)</f>
        <v>0.48215000000000019</v>
      </c>
      <c r="Q8" s="80">
        <f t="shared" ref="Q8" si="6">P8-N8</f>
        <v>1.5149999999998387E-2</v>
      </c>
    </row>
    <row r="13" spans="1:17" x14ac:dyDescent="0.35">
      <c r="H13" s="60"/>
    </row>
    <row r="15" spans="1:17" x14ac:dyDescent="0.35">
      <c r="D15" s="102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J27" sqref="J27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46206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0.35249999999999959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0.36649999999999955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0.4260000000000011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0.4670000000000018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0.50560000000000138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0.56800000000000106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0.62269999999999992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0.64119999999999988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0.67855000000000043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0.69455000000000089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0.72010000000000063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0.74195000000000055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0.7770999999999999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0.79459999999999997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0.82210000000000027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0.83010000000000028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0.85420000000000096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0.86540000000000117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0.88050000000000073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0.88720000000000065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0.89940000000000031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0.90000000000000013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0.90000000000000013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0.90000000000000013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0.90000000000000013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0.90000000000000013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0.35249999999999959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0.36649999999999955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0.4260000000000011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0.4670000000000018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0.50560000000000138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0.56800000000000106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0.62269999999999992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0.64119999999999988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0.67855000000000043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0.69455000000000089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0.72010000000000063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0.74195000000000055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0.7770999999999999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0.79459999999999997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0.82210000000000027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0.83010000000000028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0.85420000000000096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0.86540000000000117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0.88050000000000073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0.88720000000000065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0.89940000000000031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0.90000000000000013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0.90000000000000013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0.90000000000000013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0.90000000000000013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0.90000000000000013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0.40654999999999913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0.44724999999999876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0.48215000000000019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0.48215000000000019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0.48215000000000019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0.48215000000000019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0.48215000000000019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0.48215000000000019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0.48215000000000019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0.48215000000000019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0.48215000000000019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0.48215000000000019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0.48215000000000019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0.48215000000000019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0.48215000000000019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0.48215000000000019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0.48215000000000019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0.48215000000000019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0.48215000000000019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0.48215000000000019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0.48215000000000019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0.48215000000000019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0.48215000000000019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0.48215000000000019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0.48215000000000019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0.48215000000000019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0.48215000000000019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0.48215000000000019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0.48215000000000019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0.48215000000000019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0.48215000000000019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0.48215000000000019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0.48215000000000019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0.48215000000000019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0.48215000000000019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0.48215000000000019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0.48215000000000019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0.48215000000000019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0.48215000000000019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0.48215000000000019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0.48215000000000019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0.48215000000000019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0.48215000000000019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0.48215000000000019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0.48215000000000019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0.48215000000000019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0.48215000000000019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0.48215000000000019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0.48215000000000019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0.48215000000000019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0.48215000000000019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0.48215000000000019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0.48215000000000019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0.48215000000000019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0.48215000000000019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0.48215000000000019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0.48215000000000019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0.48215000000000019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0.48215000000000019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0.48215000000000019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0.48215000000000019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0.48215000000000019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0.48215000000000019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0.48215000000000019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0.48215000000000019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0.48215000000000019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0.48215000000000019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0.48215000000000019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0.48215000000000019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0.48215000000000019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0.48215000000000019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0.48215000000000019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0.48215000000000019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0.48215000000000019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0.48215000000000019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0.48215000000000019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0.48215000000000019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0.48215000000000019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0.48215000000000019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0.48215000000000019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0.48215000000000019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0.48215000000000019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0.48215000000000019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0.48215000000000019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0.48215000000000019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0.48215000000000019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0.48215000000000019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0.48215000000000019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0.48215000000000019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0.48215000000000019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0.48215000000000019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0.48215000000000019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0.48215000000000019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0.48215000000000019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0.48215000000000019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0.48215000000000019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0.48215000000000019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0.48215000000000019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0.48215000000000019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Q17" sqref="Q17:S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159" t="s">
        <v>278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27"/>
    </row>
    <row r="5" spans="1:110" ht="45" x14ac:dyDescent="0.35">
      <c r="B5" s="26"/>
      <c r="C5" s="160" t="s">
        <v>56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0"/>
      <c r="CP5" s="160"/>
      <c r="CQ5" s="160"/>
      <c r="CR5" s="160"/>
      <c r="CS5" s="160"/>
      <c r="CT5" s="160"/>
      <c r="CU5" s="160"/>
      <c r="CV5" s="160"/>
      <c r="CW5" s="160"/>
      <c r="CX5" s="160"/>
      <c r="CY5" s="160"/>
      <c r="CZ5" s="160"/>
      <c r="DA5" s="160"/>
      <c r="DB5" s="160"/>
      <c r="DC5" s="160"/>
      <c r="DD5" s="160"/>
      <c r="DE5" s="160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279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0.35249999999999959</v>
      </c>
      <c r="Q12" s="38" cm="1">
        <f t="array" ref="Q12">INDEX('Progress%'!$A$1:$DG$10,'S-Curves'!$A12,'S-Curves'!Q$10)</f>
        <v>0.36649999999999955</v>
      </c>
      <c r="R12" s="38" cm="1">
        <f t="array" ref="R12">INDEX('Progress%'!$A$1:$DG$10,'S-Curves'!$A12,'S-Curves'!R$10)</f>
        <v>0.4260000000000011</v>
      </c>
      <c r="S12" s="38" cm="1">
        <f t="array" ref="S12">INDEX('Progress%'!$A$1:$DG$10,'S-Curves'!$A12,'S-Curves'!S$10)</f>
        <v>0.4670000000000018</v>
      </c>
      <c r="T12" s="38" cm="1">
        <f t="array" ref="T12">INDEX('Progress%'!$A$1:$DG$10,'S-Curves'!$A12,'S-Curves'!T$10)</f>
        <v>0.50560000000000138</v>
      </c>
      <c r="U12" s="38" cm="1">
        <f t="array" ref="U12">INDEX('Progress%'!$A$1:$DG$10,'S-Curves'!$A12,'S-Curves'!U$10)</f>
        <v>0.56800000000000106</v>
      </c>
      <c r="V12" s="38" cm="1">
        <f t="array" ref="V12">INDEX('Progress%'!$A$1:$DG$10,'S-Curves'!$A12,'S-Curves'!V$10)</f>
        <v>0.62269999999999992</v>
      </c>
      <c r="W12" s="38" cm="1">
        <f t="array" ref="W12">INDEX('Progress%'!$A$1:$DG$10,'S-Curves'!$A12,'S-Curves'!W$10)</f>
        <v>0.64119999999999988</v>
      </c>
      <c r="X12" s="38" cm="1">
        <f t="array" ref="X12">INDEX('Progress%'!$A$1:$DG$10,'S-Curves'!$A12,'S-Curves'!X$10)</f>
        <v>0.67855000000000043</v>
      </c>
      <c r="Y12" s="38" cm="1">
        <f t="array" ref="Y12">INDEX('Progress%'!$A$1:$DG$10,'S-Curves'!$A12,'S-Curves'!Y$10)</f>
        <v>0.69455000000000089</v>
      </c>
      <c r="Z12" s="38" cm="1">
        <f t="array" ref="Z12">INDEX('Progress%'!$A$1:$DG$10,'S-Curves'!$A12,'S-Curves'!Z$10)</f>
        <v>0.72010000000000063</v>
      </c>
      <c r="AA12" s="38" cm="1">
        <f t="array" ref="AA12">INDEX('Progress%'!$A$1:$DG$10,'S-Curves'!$A12,'S-Curves'!AA$10)</f>
        <v>0.74195000000000055</v>
      </c>
      <c r="AB12" s="38" cm="1">
        <f t="array" ref="AB12">INDEX('Progress%'!$A$1:$DG$10,'S-Curves'!$A12,'S-Curves'!AB$10)</f>
        <v>0.7770999999999999</v>
      </c>
      <c r="AC12" s="38" cm="1">
        <f t="array" ref="AC12">INDEX('Progress%'!$A$1:$DG$10,'S-Curves'!$A12,'S-Curves'!AC$10)</f>
        <v>0.79459999999999997</v>
      </c>
      <c r="AD12" s="38" cm="1">
        <f t="array" ref="AD12">INDEX('Progress%'!$A$1:$DG$10,'S-Curves'!$A12,'S-Curves'!AD$10)</f>
        <v>0.82210000000000027</v>
      </c>
      <c r="AE12" s="38" cm="1">
        <f t="array" ref="AE12">INDEX('Progress%'!$A$1:$DG$10,'S-Curves'!$A12,'S-Curves'!AE$10)</f>
        <v>0.83010000000000028</v>
      </c>
      <c r="AF12" s="38" cm="1">
        <f t="array" ref="AF12">INDEX('Progress%'!$A$1:$DG$10,'S-Curves'!$A12,'S-Curves'!AF$10)</f>
        <v>0.85420000000000096</v>
      </c>
      <c r="AG12" s="38" cm="1">
        <f t="array" ref="AG12">INDEX('Progress%'!$A$1:$DG$10,'S-Curves'!$A12,'S-Curves'!AG$10)</f>
        <v>0.86540000000000117</v>
      </c>
      <c r="AH12" s="38" cm="1">
        <f t="array" ref="AH12">INDEX('Progress%'!$A$1:$DG$10,'S-Curves'!$A12,'S-Curves'!AH$10)</f>
        <v>0.88050000000000073</v>
      </c>
      <c r="AI12" s="38" cm="1">
        <f t="array" ref="AI12">INDEX('Progress%'!$A$1:$DG$10,'S-Curves'!$A12,'S-Curves'!AI$10)</f>
        <v>0.88720000000000065</v>
      </c>
      <c r="AJ12" s="38" cm="1">
        <f t="array" ref="AJ12">INDEX('Progress%'!$A$1:$DG$10,'S-Curves'!$A12,'S-Curves'!AJ$10)</f>
        <v>0.89940000000000031</v>
      </c>
      <c r="AK12" s="38" cm="1">
        <f t="array" ref="AK12">INDEX('Progress%'!$A$1:$DG$10,'S-Curves'!$A12,'S-Curves'!AK$10)</f>
        <v>0.90000000000000013</v>
      </c>
      <c r="AL12" s="38" cm="1">
        <f t="array" ref="AL12">INDEX('Progress%'!$A$1:$DG$10,'S-Curves'!$A12,'S-Curves'!AL$10)</f>
        <v>0.90000000000000013</v>
      </c>
      <c r="AM12" s="38" cm="1">
        <f t="array" ref="AM12">INDEX('Progress%'!$A$1:$DG$10,'S-Curves'!$A12,'S-Curves'!AM$10)</f>
        <v>0.90000000000000013</v>
      </c>
      <c r="AN12" s="38" cm="1">
        <f t="array" ref="AN12">INDEX('Progress%'!$A$1:$DG$10,'S-Curves'!$A12,'S-Curves'!AN$10)</f>
        <v>0.90000000000000013</v>
      </c>
      <c r="AO12" s="38" cm="1">
        <f t="array" ref="AO12">INDEX('Progress%'!$A$1:$DG$10,'S-Curves'!$A12,'S-Curves'!AO$10)</f>
        <v>0.90000000000000013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0.35249999999999959</v>
      </c>
      <c r="Q13" s="38" cm="1">
        <f t="array" ref="Q13">INDEX('Progress%'!$A$1:$DG$10,'S-Curves'!$A13,'S-Curves'!Q$10)</f>
        <v>0.36649999999999955</v>
      </c>
      <c r="R13" s="38" cm="1">
        <f t="array" ref="R13">INDEX('Progress%'!$A$1:$DG$10,'S-Curves'!$A13,'S-Curves'!R$10)</f>
        <v>0.4260000000000011</v>
      </c>
      <c r="S13" s="38" cm="1">
        <f t="array" ref="S13">INDEX('Progress%'!$A$1:$DG$10,'S-Curves'!$A13,'S-Curves'!S$10)</f>
        <v>0.4670000000000018</v>
      </c>
      <c r="T13" s="38" cm="1">
        <f t="array" ref="T13">INDEX('Progress%'!$A$1:$DG$10,'S-Curves'!$A13,'S-Curves'!T$10)</f>
        <v>0.50560000000000138</v>
      </c>
      <c r="U13" s="38" cm="1">
        <f t="array" ref="U13">INDEX('Progress%'!$A$1:$DG$10,'S-Curves'!$A13,'S-Curves'!U$10)</f>
        <v>0.56800000000000106</v>
      </c>
      <c r="V13" s="38" cm="1">
        <f t="array" ref="V13">INDEX('Progress%'!$A$1:$DG$10,'S-Curves'!$A13,'S-Curves'!V$10)</f>
        <v>0.62269999999999992</v>
      </c>
      <c r="W13" s="38" cm="1">
        <f t="array" ref="W13">INDEX('Progress%'!$A$1:$DG$10,'S-Curves'!$A13,'S-Curves'!W$10)</f>
        <v>0.64119999999999988</v>
      </c>
      <c r="X13" s="38" cm="1">
        <f t="array" ref="X13">INDEX('Progress%'!$A$1:$DG$10,'S-Curves'!$A13,'S-Curves'!X$10)</f>
        <v>0.67855000000000043</v>
      </c>
      <c r="Y13" s="38" cm="1">
        <f t="array" ref="Y13">INDEX('Progress%'!$A$1:$DG$10,'S-Curves'!$A13,'S-Curves'!Y$10)</f>
        <v>0.69455000000000089</v>
      </c>
      <c r="Z13" s="38" cm="1">
        <f t="array" ref="Z13">INDEX('Progress%'!$A$1:$DG$10,'S-Curves'!$A13,'S-Curves'!Z$10)</f>
        <v>0.72010000000000063</v>
      </c>
      <c r="AA13" s="38" cm="1">
        <f t="array" ref="AA13">INDEX('Progress%'!$A$1:$DG$10,'S-Curves'!$A13,'S-Curves'!AA$10)</f>
        <v>0.74195000000000055</v>
      </c>
      <c r="AB13" s="38" cm="1">
        <f t="array" ref="AB13">INDEX('Progress%'!$A$1:$DG$10,'S-Curves'!$A13,'S-Curves'!AB$10)</f>
        <v>0.7770999999999999</v>
      </c>
      <c r="AC13" s="38" cm="1">
        <f t="array" ref="AC13">INDEX('Progress%'!$A$1:$DG$10,'S-Curves'!$A13,'S-Curves'!AC$10)</f>
        <v>0.79459999999999997</v>
      </c>
      <c r="AD13" s="38" cm="1">
        <f t="array" ref="AD13">INDEX('Progress%'!$A$1:$DG$10,'S-Curves'!$A13,'S-Curves'!AD$10)</f>
        <v>0.82210000000000027</v>
      </c>
      <c r="AE13" s="38" cm="1">
        <f t="array" ref="AE13">INDEX('Progress%'!$A$1:$DG$10,'S-Curves'!$A13,'S-Curves'!AE$10)</f>
        <v>0.83010000000000028</v>
      </c>
      <c r="AF13" s="38" cm="1">
        <f t="array" ref="AF13">INDEX('Progress%'!$A$1:$DG$10,'S-Curves'!$A13,'S-Curves'!AF$10)</f>
        <v>0.85420000000000096</v>
      </c>
      <c r="AG13" s="38" cm="1">
        <f t="array" ref="AG13">INDEX('Progress%'!$A$1:$DG$10,'S-Curves'!$A13,'S-Curves'!AG$10)</f>
        <v>0.86540000000000117</v>
      </c>
      <c r="AH13" s="38" cm="1">
        <f t="array" ref="AH13">INDEX('Progress%'!$A$1:$DG$10,'S-Curves'!$A13,'S-Curves'!AH$10)</f>
        <v>0.88050000000000073</v>
      </c>
      <c r="AI13" s="38" cm="1">
        <f t="array" ref="AI13">INDEX('Progress%'!$A$1:$DG$10,'S-Curves'!$A13,'S-Curves'!AI$10)</f>
        <v>0.88720000000000065</v>
      </c>
      <c r="AJ13" s="38" cm="1">
        <f t="array" ref="AJ13">INDEX('Progress%'!$A$1:$DG$10,'S-Curves'!$A13,'S-Curves'!AJ$10)</f>
        <v>0.89940000000000031</v>
      </c>
      <c r="AK13" s="38" cm="1">
        <f t="array" ref="AK13">INDEX('Progress%'!$A$1:$DG$10,'S-Curves'!$A13,'S-Curves'!AK$10)</f>
        <v>0.90000000000000013</v>
      </c>
      <c r="AL13" s="38" cm="1">
        <f t="array" ref="AL13">INDEX('Progress%'!$A$1:$DG$10,'S-Curves'!$A13,'S-Curves'!AL$10)</f>
        <v>0.90000000000000013</v>
      </c>
      <c r="AM13" s="38" cm="1">
        <f t="array" ref="AM13">INDEX('Progress%'!$A$1:$DG$10,'S-Curves'!$A13,'S-Curves'!AM$10)</f>
        <v>0.90000000000000013</v>
      </c>
      <c r="AN13" s="38" cm="1">
        <f t="array" ref="AN13">INDEX('Progress%'!$A$1:$DG$10,'S-Curves'!$A13,'S-Curves'!AN$10)</f>
        <v>0.90000000000000013</v>
      </c>
      <c r="AO13" s="38" cm="1">
        <f t="array" ref="AO13">INDEX('Progress%'!$A$1:$DG$10,'S-Curves'!$A13,'S-Curves'!AO$10)</f>
        <v>0.90000000000000013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0.40654999999999913</v>
      </c>
      <c r="R14" s="38" cm="1">
        <f t="array" ref="R14">INDEX('Progress%'!$A$1:$DG$10,'S-Curves'!$A14,'S-Curves'!R$10)</f>
        <v>0.44724999999999876</v>
      </c>
      <c r="S14" s="38" cm="1">
        <f t="array" ref="S14">INDEX('Progress%'!$A$1:$DG$10,'S-Curves'!$A14,'S-Curves'!S$10)</f>
        <v>0.48215000000000019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5.7249999999999968E-2</v>
      </c>
      <c r="Q15" s="44">
        <f t="shared" si="0"/>
        <v>1.3999999999999957E-2</v>
      </c>
      <c r="R15" s="44">
        <f t="shared" si="0"/>
        <v>5.9500000000001552E-2</v>
      </c>
      <c r="S15" s="44">
        <f t="shared" si="0"/>
        <v>4.1000000000000703E-2</v>
      </c>
      <c r="T15" s="44">
        <f t="shared" si="0"/>
        <v>3.8599999999999579E-2</v>
      </c>
      <c r="U15" s="44">
        <f t="shared" si="0"/>
        <v>6.2399999999999678E-2</v>
      </c>
      <c r="V15" s="44">
        <f t="shared" si="0"/>
        <v>5.4699999999998861E-2</v>
      </c>
      <c r="W15" s="44">
        <f t="shared" si="0"/>
        <v>1.8499999999999961E-2</v>
      </c>
      <c r="X15" s="44">
        <f t="shared" si="0"/>
        <v>3.7350000000000549E-2</v>
      </c>
      <c r="Y15" s="44">
        <f t="shared" si="0"/>
        <v>1.6000000000000458E-2</v>
      </c>
      <c r="Z15" s="44">
        <f t="shared" si="0"/>
        <v>2.554999999999974E-2</v>
      </c>
      <c r="AA15" s="44">
        <f t="shared" si="0"/>
        <v>2.1849999999999925E-2</v>
      </c>
      <c r="AB15" s="44">
        <f t="shared" si="0"/>
        <v>3.5149999999999348E-2</v>
      </c>
      <c r="AC15" s="44">
        <f t="shared" si="0"/>
        <v>1.7500000000000071E-2</v>
      </c>
      <c r="AD15" s="44">
        <f t="shared" si="0"/>
        <v>2.7500000000000302E-2</v>
      </c>
      <c r="AE15" s="44">
        <f t="shared" si="0"/>
        <v>8.0000000000000071E-3</v>
      </c>
      <c r="AF15" s="44">
        <f t="shared" si="0"/>
        <v>2.4100000000000676E-2</v>
      </c>
      <c r="AG15" s="44">
        <f t="shared" si="0"/>
        <v>1.120000000000021E-2</v>
      </c>
      <c r="AH15" s="44">
        <f t="shared" si="0"/>
        <v>1.5099999999999558E-2</v>
      </c>
      <c r="AI15" s="44">
        <f t="shared" si="0"/>
        <v>6.6999999999999282E-3</v>
      </c>
      <c r="AJ15" s="44">
        <f t="shared" si="0"/>
        <v>1.2199999999999656E-2</v>
      </c>
      <c r="AK15" s="44">
        <f t="shared" ref="AK15:BQ16" si="1">AK12-AJ12</f>
        <v>5.999999999998229E-4</v>
      </c>
      <c r="AL15" s="44">
        <f t="shared" si="1"/>
        <v>0</v>
      </c>
      <c r="AM15" s="44">
        <f t="shared" si="1"/>
        <v>0</v>
      </c>
      <c r="AN15" s="44">
        <f t="shared" si="1"/>
        <v>0</v>
      </c>
      <c r="AO15" s="44">
        <f t="shared" si="1"/>
        <v>0</v>
      </c>
      <c r="AP15" s="44">
        <f t="shared" si="1"/>
        <v>0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5.7249999999999968E-2</v>
      </c>
      <c r="Q16" s="44">
        <f t="shared" si="0"/>
        <v>1.3999999999999957E-2</v>
      </c>
      <c r="R16" s="44">
        <f t="shared" si="0"/>
        <v>5.9500000000001552E-2</v>
      </c>
      <c r="S16" s="44">
        <f t="shared" si="0"/>
        <v>4.1000000000000703E-2</v>
      </c>
      <c r="T16" s="44">
        <f t="shared" si="0"/>
        <v>3.8599999999999579E-2</v>
      </c>
      <c r="U16" s="44">
        <f t="shared" si="0"/>
        <v>6.2399999999999678E-2</v>
      </c>
      <c r="V16" s="44">
        <f t="shared" si="0"/>
        <v>5.4699999999998861E-2</v>
      </c>
      <c r="W16" s="44">
        <f t="shared" si="0"/>
        <v>1.8499999999999961E-2</v>
      </c>
      <c r="X16" s="44">
        <f t="shared" si="0"/>
        <v>3.7350000000000549E-2</v>
      </c>
      <c r="Y16" s="44">
        <f t="shared" si="0"/>
        <v>1.6000000000000458E-2</v>
      </c>
      <c r="Z16" s="44">
        <f t="shared" ref="Z16" si="29">Z13-Y13</f>
        <v>2.554999999999974E-2</v>
      </c>
      <c r="AA16" s="44">
        <f t="shared" ref="AA16" si="30">AA13-Z13</f>
        <v>2.1849999999999925E-2</v>
      </c>
      <c r="AB16" s="44">
        <f t="shared" ref="AB16" si="31">AB13-AA13</f>
        <v>3.5149999999999348E-2</v>
      </c>
      <c r="AC16" s="44">
        <f t="shared" ref="AC16" si="32">AC13-AB13</f>
        <v>1.7500000000000071E-2</v>
      </c>
      <c r="AD16" s="44">
        <f t="shared" ref="AD16" si="33">AD13-AC13</f>
        <v>2.7500000000000302E-2</v>
      </c>
      <c r="AE16" s="44">
        <f t="shared" ref="AE16" si="34">AE13-AD13</f>
        <v>8.0000000000000071E-3</v>
      </c>
      <c r="AF16" s="44">
        <f t="shared" ref="AF16" si="35">AF13-AE13</f>
        <v>2.4100000000000676E-2</v>
      </c>
      <c r="AG16" s="44">
        <f t="shared" ref="AG16" si="36">AG13-AF13</f>
        <v>1.120000000000021E-2</v>
      </c>
      <c r="AH16" s="44">
        <f t="shared" ref="AH16" si="37">AH13-AG13</f>
        <v>1.5099999999999558E-2</v>
      </c>
      <c r="AI16" s="44">
        <f t="shared" ref="AI16" si="38">AI13-AH13</f>
        <v>6.6999999999999282E-3</v>
      </c>
      <c r="AJ16" s="44">
        <f t="shared" ref="AJ16" si="39">AJ13-AI13</f>
        <v>1.2199999999999656E-2</v>
      </c>
      <c r="AK16" s="44">
        <f t="shared" si="1"/>
        <v>5.999999999998229E-4</v>
      </c>
      <c r="AL16" s="44">
        <f t="shared" si="1"/>
        <v>0</v>
      </c>
      <c r="AM16" s="44">
        <f t="shared" si="1"/>
        <v>0</v>
      </c>
      <c r="AN16" s="44">
        <f t="shared" si="1"/>
        <v>0</v>
      </c>
      <c r="AO16" s="44">
        <f t="shared" si="1"/>
        <v>0</v>
      </c>
      <c r="AP16" s="44">
        <f t="shared" si="1"/>
        <v>0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6.8399999999999239E-2</v>
      </c>
      <c r="R17" s="44">
        <f t="shared" ref="R17" si="41">R14-Q14</f>
        <v>4.0699999999999625E-2</v>
      </c>
      <c r="S17" s="44">
        <f t="shared" ref="S17" si="42">S14-R14</f>
        <v>3.490000000000143E-2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194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W231"/>
  <sheetViews>
    <sheetView tabSelected="1" zoomScale="120" zoomScaleNormal="120" workbookViewId="0">
      <pane xSplit="5" topLeftCell="J1" activePane="topRight" state="frozen"/>
      <selection pane="topRight" activeCell="X20" sqref="X20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0.54296875" customWidth="1"/>
    <col min="6" max="6" width="5.7265625" customWidth="1"/>
    <col min="7" max="7" width="5.81640625" customWidth="1"/>
    <col min="8" max="8" width="5.26953125" customWidth="1"/>
    <col min="9" max="9" width="6.26953125" customWidth="1"/>
    <col min="10" max="10" width="6.0898437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</cols>
  <sheetData>
    <row r="1" spans="1:22" x14ac:dyDescent="0.35">
      <c r="A1" t="s">
        <v>38</v>
      </c>
      <c r="D1" s="16">
        <v>46206</v>
      </c>
    </row>
    <row r="2" spans="1:22" ht="18.5" x14ac:dyDescent="0.45">
      <c r="A2" s="21" t="s">
        <v>51</v>
      </c>
      <c r="B2" s="21"/>
      <c r="K2" s="161" t="s">
        <v>10</v>
      </c>
      <c r="L2" s="161"/>
      <c r="M2" s="161"/>
      <c r="N2" s="161" t="s">
        <v>12</v>
      </c>
      <c r="O2" s="161"/>
      <c r="P2" s="161"/>
      <c r="Q2" s="161" t="s">
        <v>11</v>
      </c>
      <c r="R2" s="161"/>
      <c r="S2" s="161"/>
      <c r="T2" s="161" t="s">
        <v>13</v>
      </c>
      <c r="U2" s="161"/>
      <c r="V2" s="161"/>
    </row>
    <row r="3" spans="1:22" s="64" customFormat="1" ht="19" x14ac:dyDescent="0.25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</row>
    <row r="4" spans="1:22" s="64" customFormat="1" ht="9.5" x14ac:dyDescent="0.25">
      <c r="A4" s="70" t="s">
        <v>61</v>
      </c>
      <c r="B4" s="70" t="s">
        <v>62</v>
      </c>
      <c r="C4" s="70" t="s">
        <v>63</v>
      </c>
      <c r="D4" s="70" t="s">
        <v>287</v>
      </c>
      <c r="E4" s="70" t="s">
        <v>5</v>
      </c>
      <c r="F4" s="66">
        <f t="shared" ref="F4:H8" si="0">(COUNTIFS(K4,"&lt;="&amp;$D$1)*50%)+(COUNTIFS(N4,"&lt;="&amp;$D$1)*20%)+(COUNTIFS(Q4,"&lt;="&amp;$D$1)*10%)+(COUNTIFS(T4,"&lt;="&amp;$D$1)*20%)</f>
        <v>0.79999999999999993</v>
      </c>
      <c r="G4" s="66">
        <f t="shared" si="0"/>
        <v>0.79999999999999993</v>
      </c>
      <c r="H4" s="66">
        <f t="shared" si="0"/>
        <v>0.5</v>
      </c>
      <c r="I4" s="66">
        <f>H4-F4</f>
        <v>-0.29999999999999993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/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</row>
    <row r="5" spans="1:22" s="64" customFormat="1" ht="9.5" x14ac:dyDescent="0.25">
      <c r="A5" s="70" t="s">
        <v>61</v>
      </c>
      <c r="B5" s="70" t="s">
        <v>62</v>
      </c>
      <c r="C5" s="65" t="s">
        <v>63</v>
      </c>
      <c r="D5" s="65" t="s">
        <v>305</v>
      </c>
      <c r="E5" s="65" t="s">
        <v>6</v>
      </c>
      <c r="F5" s="66">
        <f t="shared" si="0"/>
        <v>0.79999999999999993</v>
      </c>
      <c r="G5" s="66">
        <f t="shared" si="0"/>
        <v>0.79999999999999993</v>
      </c>
      <c r="H5" s="66">
        <f t="shared" si="0"/>
        <v>0.5</v>
      </c>
      <c r="I5" s="66">
        <f t="shared" ref="I5:I61" si="1">H5-F5</f>
        <v>-0.29999999999999993</v>
      </c>
      <c r="J5" s="71">
        <v>1</v>
      </c>
      <c r="K5" s="72">
        <v>46122</v>
      </c>
      <c r="L5" s="68">
        <f t="shared" ref="L5:L75" si="2">K5</f>
        <v>46122</v>
      </c>
      <c r="M5" s="72">
        <v>46135</v>
      </c>
      <c r="N5" s="72">
        <f t="shared" ref="N5:N75" si="3">K5+42</f>
        <v>46164</v>
      </c>
      <c r="O5" s="68">
        <f t="shared" ref="O5:O75" si="4">N5</f>
        <v>46164</v>
      </c>
      <c r="P5" s="74"/>
      <c r="Q5" s="72">
        <f t="shared" ref="Q5:Q75" si="5">N5+42</f>
        <v>46206</v>
      </c>
      <c r="R5" s="72">
        <f t="shared" ref="R5:R75" si="6">Q5</f>
        <v>46206</v>
      </c>
      <c r="S5" s="74"/>
      <c r="T5" s="74">
        <f t="shared" ref="T5:T75" si="7">Q5+14</f>
        <v>46220</v>
      </c>
      <c r="U5" s="68">
        <f t="shared" ref="U5:U75" si="8">T5</f>
        <v>46220</v>
      </c>
      <c r="V5" s="72"/>
    </row>
    <row r="6" spans="1:22" s="64" customFormat="1" ht="9.5" x14ac:dyDescent="0.25">
      <c r="A6" s="70" t="s">
        <v>61</v>
      </c>
      <c r="B6" s="70" t="s">
        <v>62</v>
      </c>
      <c r="C6" s="65" t="s">
        <v>63</v>
      </c>
      <c r="D6" s="81" t="s">
        <v>304</v>
      </c>
      <c r="E6" s="65" t="s">
        <v>7</v>
      </c>
      <c r="F6" s="66">
        <f t="shared" si="0"/>
        <v>0.79999999999999993</v>
      </c>
      <c r="G6" s="66">
        <f t="shared" si="0"/>
        <v>0.79999999999999993</v>
      </c>
      <c r="H6" s="66">
        <f t="shared" si="0"/>
        <v>1</v>
      </c>
      <c r="I6" s="66">
        <f t="shared" si="1"/>
        <v>0.20000000000000007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</row>
    <row r="7" spans="1:22" s="64" customFormat="1" ht="9.5" x14ac:dyDescent="0.25">
      <c r="A7" s="87" t="s">
        <v>61</v>
      </c>
      <c r="B7" s="87" t="s">
        <v>64</v>
      </c>
      <c r="C7" s="87" t="s">
        <v>63</v>
      </c>
      <c r="D7" s="132" t="s">
        <v>280</v>
      </c>
      <c r="E7" s="87" t="s">
        <v>66</v>
      </c>
      <c r="F7" s="88">
        <f t="shared" si="0"/>
        <v>0.7</v>
      </c>
      <c r="G7" s="88">
        <f t="shared" si="0"/>
        <v>0.7</v>
      </c>
      <c r="H7" s="88">
        <f t="shared" si="0"/>
        <v>0.5</v>
      </c>
      <c r="I7" s="88">
        <f t="shared" si="1"/>
        <v>-0.19999999999999996</v>
      </c>
      <c r="J7" s="133"/>
      <c r="K7" s="89">
        <v>46136</v>
      </c>
      <c r="L7" s="89">
        <f t="shared" si="2"/>
        <v>46136</v>
      </c>
      <c r="M7" s="100">
        <v>46142</v>
      </c>
      <c r="N7" s="89">
        <f t="shared" si="3"/>
        <v>46178</v>
      </c>
      <c r="O7" s="89">
        <f t="shared" si="4"/>
        <v>46178</v>
      </c>
      <c r="P7" s="100"/>
      <c r="Q7" s="89">
        <f t="shared" si="5"/>
        <v>46220</v>
      </c>
      <c r="R7" s="89">
        <f t="shared" si="6"/>
        <v>46220</v>
      </c>
      <c r="S7" s="89"/>
      <c r="T7" s="89">
        <f t="shared" si="7"/>
        <v>46234</v>
      </c>
      <c r="U7" s="89">
        <f t="shared" si="8"/>
        <v>46234</v>
      </c>
      <c r="V7" s="89"/>
    </row>
    <row r="8" spans="1:22" s="64" customFormat="1" ht="9.5" x14ac:dyDescent="0.25">
      <c r="A8" s="84" t="s">
        <v>61</v>
      </c>
      <c r="B8" s="84" t="s">
        <v>67</v>
      </c>
      <c r="C8" s="84" t="s">
        <v>63</v>
      </c>
      <c r="D8" s="129" t="s">
        <v>65</v>
      </c>
      <c r="E8" s="84" t="s">
        <v>69</v>
      </c>
      <c r="F8" s="85">
        <f t="shared" si="0"/>
        <v>0.79999999999999993</v>
      </c>
      <c r="G8" s="85">
        <f t="shared" si="0"/>
        <v>0.79999999999999993</v>
      </c>
      <c r="H8" s="85">
        <f t="shared" si="0"/>
        <v>0.5</v>
      </c>
      <c r="I8" s="85">
        <f t="shared" si="1"/>
        <v>-0.29999999999999993</v>
      </c>
      <c r="J8" s="109"/>
      <c r="K8" s="86">
        <v>46115</v>
      </c>
      <c r="L8" s="86">
        <f t="shared" si="2"/>
        <v>46115</v>
      </c>
      <c r="M8" s="97">
        <v>46142</v>
      </c>
      <c r="N8" s="86">
        <f t="shared" si="3"/>
        <v>46157</v>
      </c>
      <c r="O8" s="86">
        <f t="shared" si="4"/>
        <v>46157</v>
      </c>
      <c r="P8" s="97"/>
      <c r="Q8" s="86">
        <f t="shared" si="5"/>
        <v>46199</v>
      </c>
      <c r="R8" s="86">
        <f t="shared" si="6"/>
        <v>46199</v>
      </c>
      <c r="S8" s="97"/>
      <c r="T8" s="97">
        <f t="shared" si="7"/>
        <v>46213</v>
      </c>
      <c r="U8" s="86">
        <f t="shared" si="8"/>
        <v>46213</v>
      </c>
      <c r="V8" s="86"/>
    </row>
    <row r="9" spans="1:22" s="64" customFormat="1" ht="9.5" x14ac:dyDescent="0.25">
      <c r="A9" s="112" t="s">
        <v>61</v>
      </c>
      <c r="B9" s="112" t="s">
        <v>70</v>
      </c>
      <c r="C9" s="112" t="s">
        <v>63</v>
      </c>
      <c r="D9" s="131" t="s">
        <v>68</v>
      </c>
      <c r="E9" s="112" t="s">
        <v>72</v>
      </c>
      <c r="F9" s="113">
        <f t="shared" ref="F9" si="9">(COUNTIFS(K9,"&lt;="&amp;$D$1)*50%)+(COUNTIFS(N9,"&lt;="&amp;$D$1)*20%)+(COUNTIFS(Q9,"&lt;="&amp;$D$1)*10%)+(COUNTIFS(T9,"&lt;="&amp;$D$1)*20%)</f>
        <v>0.7</v>
      </c>
      <c r="G9" s="113">
        <f t="shared" ref="G9" si="10">(COUNTIFS(L9,"&lt;="&amp;$D$1)*50%)+(COUNTIFS(O9,"&lt;="&amp;$D$1)*20%)+(COUNTIFS(R9,"&lt;="&amp;$D$1)*10%)+(COUNTIFS(U9,"&lt;="&amp;$D$1)*20%)</f>
        <v>0.7</v>
      </c>
      <c r="H9" s="113">
        <f t="shared" ref="H9" si="11">(COUNTIFS(M9,"&lt;="&amp;$D$1)*50%)+(COUNTIFS(P9,"&lt;="&amp;$D$1)*20%)+(COUNTIFS(S9,"&lt;="&amp;$D$1)*10%)+(COUNTIFS(V9,"&lt;="&amp;$D$1)*20%)</f>
        <v>0.5</v>
      </c>
      <c r="I9" s="113">
        <f t="shared" ref="I9" si="12">H9-F9</f>
        <v>-0.19999999999999996</v>
      </c>
      <c r="J9" s="114"/>
      <c r="K9" s="115">
        <v>46136</v>
      </c>
      <c r="L9" s="115">
        <f t="shared" si="2"/>
        <v>46136</v>
      </c>
      <c r="M9" s="117">
        <v>46142</v>
      </c>
      <c r="N9" s="115">
        <f t="shared" si="3"/>
        <v>46178</v>
      </c>
      <c r="O9" s="115">
        <f t="shared" si="4"/>
        <v>46178</v>
      </c>
      <c r="P9" s="117"/>
      <c r="Q9" s="115">
        <f t="shared" si="5"/>
        <v>46220</v>
      </c>
      <c r="R9" s="115">
        <f t="shared" si="6"/>
        <v>46220</v>
      </c>
      <c r="S9" s="117"/>
      <c r="T9" s="117">
        <f t="shared" si="7"/>
        <v>46234</v>
      </c>
      <c r="U9" s="115">
        <f t="shared" si="8"/>
        <v>46234</v>
      </c>
      <c r="V9" s="117"/>
    </row>
    <row r="10" spans="1:22" s="64" customFormat="1" ht="9.5" x14ac:dyDescent="0.25">
      <c r="A10" s="92" t="s">
        <v>61</v>
      </c>
      <c r="B10" s="92" t="s">
        <v>73</v>
      </c>
      <c r="C10" s="92" t="s">
        <v>63</v>
      </c>
      <c r="D10" s="130" t="s">
        <v>71</v>
      </c>
      <c r="E10" s="92" t="s">
        <v>74</v>
      </c>
      <c r="F10" s="93">
        <f t="shared" ref="F10:H11" si="13">(COUNTIFS(K10,"&lt;="&amp;$D$1)*50%)+(COUNTIFS(N10,"&lt;="&amp;$D$1)*20%)+(COUNTIFS(Q10,"&lt;="&amp;$D$1)*10%)+(COUNTIFS(T10,"&lt;="&amp;$D$1)*20%)</f>
        <v>0.79999999999999993</v>
      </c>
      <c r="G10" s="93">
        <f t="shared" si="13"/>
        <v>0.79999999999999993</v>
      </c>
      <c r="H10" s="93">
        <f t="shared" si="13"/>
        <v>0.5</v>
      </c>
      <c r="I10" s="93">
        <f t="shared" si="1"/>
        <v>-0.29999999999999993</v>
      </c>
      <c r="J10" s="96"/>
      <c r="K10" s="94">
        <v>46122</v>
      </c>
      <c r="L10" s="94">
        <f t="shared" si="2"/>
        <v>46122</v>
      </c>
      <c r="M10" s="94">
        <v>46142</v>
      </c>
      <c r="N10" s="98">
        <f t="shared" si="3"/>
        <v>46164</v>
      </c>
      <c r="O10" s="94">
        <f t="shared" si="4"/>
        <v>46164</v>
      </c>
      <c r="P10" s="94"/>
      <c r="Q10" s="98">
        <f t="shared" si="5"/>
        <v>46206</v>
      </c>
      <c r="R10" s="94">
        <f t="shared" si="6"/>
        <v>46206</v>
      </c>
      <c r="S10" s="94"/>
      <c r="T10" s="98">
        <f t="shared" si="7"/>
        <v>46220</v>
      </c>
      <c r="U10" s="94">
        <f t="shared" si="8"/>
        <v>46220</v>
      </c>
      <c r="V10" s="94"/>
    </row>
    <row r="11" spans="1:22" s="110" customFormat="1" ht="9.5" x14ac:dyDescent="0.25">
      <c r="A11" s="70" t="s">
        <v>61</v>
      </c>
      <c r="B11" s="70" t="s">
        <v>62</v>
      </c>
      <c r="C11" s="70" t="s">
        <v>63</v>
      </c>
      <c r="D11" s="83" t="s">
        <v>440</v>
      </c>
      <c r="E11" s="70" t="s">
        <v>441</v>
      </c>
      <c r="F11" s="118">
        <f t="shared" si="13"/>
        <v>0.79999999999999993</v>
      </c>
      <c r="G11" s="118">
        <f t="shared" si="13"/>
        <v>0.79999999999999993</v>
      </c>
      <c r="H11" s="118">
        <f t="shared" si="13"/>
        <v>1</v>
      </c>
      <c r="I11" s="118">
        <f t="shared" ref="I11" si="14">H11-F11</f>
        <v>0.20000000000000007</v>
      </c>
      <c r="J11" s="90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</row>
    <row r="12" spans="1:22" s="64" customFormat="1" ht="9.5" x14ac:dyDescent="0.25">
      <c r="A12" s="70" t="s">
        <v>61</v>
      </c>
      <c r="B12" s="70" t="s">
        <v>62</v>
      </c>
      <c r="C12" s="65" t="s">
        <v>63</v>
      </c>
      <c r="D12" s="83" t="s">
        <v>288</v>
      </c>
      <c r="E12" s="65" t="s">
        <v>75</v>
      </c>
      <c r="F12" s="66">
        <f t="shared" ref="F12" si="22">(COUNTIFS(K12,"&lt;="&amp;$D$1)*50%)+(COUNTIFS(N12,"&lt;="&amp;$D$1)*20%)+(COUNTIFS(Q12,"&lt;="&amp;$D$1)*10%)+(COUNTIFS(T12,"&lt;="&amp;$D$1)*20%)</f>
        <v>0.7</v>
      </c>
      <c r="G12" s="66">
        <f t="shared" ref="G12" si="23">(COUNTIFS(L12,"&lt;="&amp;$D$1)*50%)+(COUNTIFS(O12,"&lt;="&amp;$D$1)*20%)+(COUNTIFS(R12,"&lt;="&amp;$D$1)*10%)+(COUNTIFS(U12,"&lt;="&amp;$D$1)*20%)</f>
        <v>0.7</v>
      </c>
      <c r="H12" s="66">
        <f t="shared" ref="H12:H13" si="24">(COUNTIFS(M12,"&lt;="&amp;$D$1)*50%)+(COUNTIFS(P12,"&lt;="&amp;$D$1)*20%)+(COUNTIFS(S12,"&lt;="&amp;$D$1)*10%)+(COUNTIFS(V12,"&lt;="&amp;$D$1)*20%)</f>
        <v>0.7</v>
      </c>
      <c r="I12" s="66">
        <f t="shared" ref="I12:I13" si="25">H12-F12</f>
        <v>0</v>
      </c>
      <c r="J12" s="90">
        <v>2</v>
      </c>
      <c r="K12" s="74">
        <v>46136</v>
      </c>
      <c r="L12" s="74">
        <f t="shared" si="2"/>
        <v>46136</v>
      </c>
      <c r="M12" s="72">
        <v>46136</v>
      </c>
      <c r="N12" s="74">
        <f t="shared" si="3"/>
        <v>46178</v>
      </c>
      <c r="O12" s="74">
        <f t="shared" si="4"/>
        <v>46178</v>
      </c>
      <c r="P12" s="72">
        <v>46188</v>
      </c>
      <c r="Q12" s="74">
        <f t="shared" si="5"/>
        <v>46220</v>
      </c>
      <c r="R12" s="74">
        <f t="shared" si="6"/>
        <v>46220</v>
      </c>
      <c r="S12" s="72"/>
      <c r="T12" s="74">
        <f t="shared" si="7"/>
        <v>46234</v>
      </c>
      <c r="U12" s="74">
        <f t="shared" si="8"/>
        <v>46234</v>
      </c>
      <c r="V12" s="72"/>
    </row>
    <row r="13" spans="1:22" s="64" customFormat="1" ht="9.5" x14ac:dyDescent="0.25">
      <c r="A13" s="70" t="s">
        <v>61</v>
      </c>
      <c r="B13" s="70" t="s">
        <v>62</v>
      </c>
      <c r="C13" s="65" t="s">
        <v>63</v>
      </c>
      <c r="D13" s="83" t="s">
        <v>289</v>
      </c>
      <c r="E13" s="65" t="s">
        <v>76</v>
      </c>
      <c r="F13" s="66">
        <f t="shared" ref="F13" si="26">(COUNTIFS(K13,"&lt;="&amp;$D$1)*50%)+(COUNTIFS(N13,"&lt;="&amp;$D$1)*20%)+(COUNTIFS(Q13,"&lt;="&amp;$D$1)*10%)+(COUNTIFS(T13,"&lt;="&amp;$D$1)*20%)</f>
        <v>0.7</v>
      </c>
      <c r="G13" s="66">
        <f t="shared" ref="G13" si="27">(COUNTIFS(L13,"&lt;="&amp;$D$1)*50%)+(COUNTIFS(O13,"&lt;="&amp;$D$1)*20%)+(COUNTIFS(R13,"&lt;="&amp;$D$1)*10%)+(COUNTIFS(U13,"&lt;="&amp;$D$1)*20%)</f>
        <v>0.7</v>
      </c>
      <c r="H13" s="66">
        <f t="shared" si="24"/>
        <v>0.5</v>
      </c>
      <c r="I13" s="66">
        <f t="shared" si="25"/>
        <v>-0.19999999999999996</v>
      </c>
      <c r="J13" s="90">
        <v>2</v>
      </c>
      <c r="K13" s="74">
        <v>46136</v>
      </c>
      <c r="L13" s="74">
        <f t="shared" si="2"/>
        <v>46136</v>
      </c>
      <c r="M13" s="72">
        <v>46142</v>
      </c>
      <c r="N13" s="74">
        <f t="shared" si="3"/>
        <v>46178</v>
      </c>
      <c r="O13" s="74">
        <f t="shared" si="4"/>
        <v>46178</v>
      </c>
      <c r="P13" s="72"/>
      <c r="Q13" s="74">
        <f t="shared" si="5"/>
        <v>46220</v>
      </c>
      <c r="R13" s="74">
        <f t="shared" si="6"/>
        <v>46220</v>
      </c>
      <c r="S13" s="72"/>
      <c r="T13" s="74">
        <f t="shared" si="7"/>
        <v>46234</v>
      </c>
      <c r="U13" s="74">
        <f t="shared" si="8"/>
        <v>46234</v>
      </c>
      <c r="V13" s="72"/>
    </row>
    <row r="14" spans="1:22" s="64" customFormat="1" ht="9.5" x14ac:dyDescent="0.25">
      <c r="A14" s="70" t="s">
        <v>61</v>
      </c>
      <c r="B14" s="70" t="s">
        <v>62</v>
      </c>
      <c r="C14" s="65" t="s">
        <v>63</v>
      </c>
      <c r="D14" s="83" t="s">
        <v>290</v>
      </c>
      <c r="E14" s="65" t="s">
        <v>77</v>
      </c>
      <c r="F14" s="66">
        <f t="shared" ref="F14:F35" si="28">(COUNTIFS(K14,"&lt;="&amp;$D$1)*50%)+(COUNTIFS(N14,"&lt;="&amp;$D$1)*20%)+(COUNTIFS(Q14,"&lt;="&amp;$D$1)*10%)+(COUNTIFS(T14,"&lt;="&amp;$D$1)*20%)</f>
        <v>0.7</v>
      </c>
      <c r="G14" s="66">
        <f t="shared" ref="G14:G35" si="29">(COUNTIFS(L14,"&lt;="&amp;$D$1)*50%)+(COUNTIFS(O14,"&lt;="&amp;$D$1)*20%)+(COUNTIFS(R14,"&lt;="&amp;$D$1)*10%)+(COUNTIFS(U14,"&lt;="&amp;$D$1)*20%)</f>
        <v>0.7</v>
      </c>
      <c r="H14" s="66">
        <f t="shared" ref="H14:H35" si="30">(COUNTIFS(M14,"&lt;="&amp;$D$1)*50%)+(COUNTIFS(P14,"&lt;="&amp;$D$1)*20%)+(COUNTIFS(S14,"&lt;="&amp;$D$1)*10%)+(COUNTIFS(V14,"&lt;="&amp;$D$1)*20%)</f>
        <v>0.5</v>
      </c>
      <c r="I14" s="66">
        <f t="shared" si="1"/>
        <v>-0.19999999999999996</v>
      </c>
      <c r="J14" s="90">
        <v>2</v>
      </c>
      <c r="K14" s="74">
        <v>46143</v>
      </c>
      <c r="L14" s="69">
        <f t="shared" si="2"/>
        <v>46143</v>
      </c>
      <c r="M14" s="72">
        <v>46161</v>
      </c>
      <c r="N14" s="74">
        <f t="shared" si="3"/>
        <v>46185</v>
      </c>
      <c r="O14" s="69">
        <f t="shared" si="4"/>
        <v>46185</v>
      </c>
      <c r="P14" s="74"/>
      <c r="Q14" s="74">
        <f t="shared" si="5"/>
        <v>46227</v>
      </c>
      <c r="R14" s="69">
        <f t="shared" si="6"/>
        <v>46227</v>
      </c>
      <c r="S14" s="74"/>
      <c r="T14" s="74">
        <f t="shared" si="7"/>
        <v>46241</v>
      </c>
      <c r="U14" s="69">
        <f t="shared" si="8"/>
        <v>46241</v>
      </c>
      <c r="V14" s="72"/>
    </row>
    <row r="15" spans="1:22" s="64" customFormat="1" ht="9.5" x14ac:dyDescent="0.25">
      <c r="A15" s="70" t="s">
        <v>61</v>
      </c>
      <c r="B15" s="70" t="s">
        <v>62</v>
      </c>
      <c r="C15" s="65" t="s">
        <v>63</v>
      </c>
      <c r="D15" s="83" t="s">
        <v>291</v>
      </c>
      <c r="E15" s="81" t="s">
        <v>78</v>
      </c>
      <c r="F15" s="66">
        <f t="shared" si="28"/>
        <v>0.7</v>
      </c>
      <c r="G15" s="66">
        <f t="shared" si="29"/>
        <v>0.7</v>
      </c>
      <c r="H15" s="66">
        <f t="shared" si="30"/>
        <v>0.5</v>
      </c>
      <c r="I15" s="66">
        <f t="shared" si="1"/>
        <v>-0.19999999999999996</v>
      </c>
      <c r="J15" s="90">
        <v>2</v>
      </c>
      <c r="K15" s="74">
        <v>46150</v>
      </c>
      <c r="L15" s="69">
        <f t="shared" si="2"/>
        <v>46150</v>
      </c>
      <c r="M15" s="72">
        <v>46155</v>
      </c>
      <c r="N15" s="74">
        <f t="shared" si="3"/>
        <v>46192</v>
      </c>
      <c r="O15" s="69">
        <f t="shared" si="4"/>
        <v>46192</v>
      </c>
      <c r="P15" s="72"/>
      <c r="Q15" s="74">
        <f t="shared" si="5"/>
        <v>46234</v>
      </c>
      <c r="R15" s="69">
        <f t="shared" si="6"/>
        <v>46234</v>
      </c>
      <c r="S15" s="74"/>
      <c r="T15" s="74">
        <f t="shared" si="7"/>
        <v>46248</v>
      </c>
      <c r="U15" s="69">
        <f t="shared" si="8"/>
        <v>46248</v>
      </c>
      <c r="V15" s="72"/>
    </row>
    <row r="16" spans="1:22" s="64" customFormat="1" ht="9.5" x14ac:dyDescent="0.25">
      <c r="A16" s="70" t="s">
        <v>61</v>
      </c>
      <c r="B16" s="70" t="s">
        <v>62</v>
      </c>
      <c r="C16" s="65" t="s">
        <v>63</v>
      </c>
      <c r="D16" s="83" t="s">
        <v>292</v>
      </c>
      <c r="E16" s="81" t="s">
        <v>79</v>
      </c>
      <c r="F16" s="66">
        <f t="shared" si="28"/>
        <v>0.5</v>
      </c>
      <c r="G16" s="66">
        <f t="shared" si="29"/>
        <v>0.5</v>
      </c>
      <c r="H16" s="66">
        <f t="shared" si="30"/>
        <v>0.5</v>
      </c>
      <c r="I16" s="66">
        <f t="shared" ref="I16:I22" si="31">H16-F16</f>
        <v>0</v>
      </c>
      <c r="J16" s="71">
        <v>2</v>
      </c>
      <c r="K16" s="72">
        <v>46171</v>
      </c>
      <c r="L16" s="68">
        <f t="shared" si="2"/>
        <v>46171</v>
      </c>
      <c r="M16" s="72">
        <v>46178</v>
      </c>
      <c r="N16" s="72">
        <f t="shared" si="3"/>
        <v>46213</v>
      </c>
      <c r="O16" s="68">
        <f t="shared" si="4"/>
        <v>46213</v>
      </c>
      <c r="P16" s="72"/>
      <c r="Q16" s="72">
        <f t="shared" si="5"/>
        <v>46255</v>
      </c>
      <c r="R16" s="68">
        <f t="shared" si="6"/>
        <v>46255</v>
      </c>
      <c r="S16" s="74"/>
      <c r="T16" s="74">
        <f t="shared" si="7"/>
        <v>46269</v>
      </c>
      <c r="U16" s="68">
        <f t="shared" si="8"/>
        <v>46269</v>
      </c>
      <c r="V16" s="72"/>
    </row>
    <row r="17" spans="1:22" s="64" customFormat="1" ht="9.5" x14ac:dyDescent="0.25">
      <c r="A17" s="70" t="s">
        <v>61</v>
      </c>
      <c r="B17" s="70" t="s">
        <v>62</v>
      </c>
      <c r="C17" s="65" t="s">
        <v>63</v>
      </c>
      <c r="D17" s="83" t="s">
        <v>293</v>
      </c>
      <c r="E17" s="81" t="s">
        <v>80</v>
      </c>
      <c r="F17" s="66">
        <f t="shared" si="28"/>
        <v>0.5</v>
      </c>
      <c r="G17" s="66">
        <f t="shared" si="29"/>
        <v>0.5</v>
      </c>
      <c r="H17" s="66">
        <f t="shared" si="30"/>
        <v>0.5</v>
      </c>
      <c r="I17" s="66">
        <f t="shared" si="31"/>
        <v>0</v>
      </c>
      <c r="J17" s="71">
        <v>2</v>
      </c>
      <c r="K17" s="72">
        <v>46185</v>
      </c>
      <c r="L17" s="68">
        <f t="shared" si="2"/>
        <v>46185</v>
      </c>
      <c r="M17" s="143">
        <v>46205</v>
      </c>
      <c r="N17" s="72">
        <f t="shared" si="3"/>
        <v>46227</v>
      </c>
      <c r="O17" s="68">
        <f t="shared" si="4"/>
        <v>46227</v>
      </c>
      <c r="P17" s="72"/>
      <c r="Q17" s="72">
        <f t="shared" si="5"/>
        <v>46269</v>
      </c>
      <c r="R17" s="68">
        <f t="shared" si="6"/>
        <v>46269</v>
      </c>
      <c r="S17" s="74"/>
      <c r="T17" s="74">
        <f t="shared" si="7"/>
        <v>46283</v>
      </c>
      <c r="U17" s="68">
        <f t="shared" si="8"/>
        <v>46283</v>
      </c>
      <c r="V17" s="72"/>
    </row>
    <row r="18" spans="1:22" s="64" customFormat="1" ht="9.5" x14ac:dyDescent="0.25">
      <c r="A18" s="70" t="s">
        <v>61</v>
      </c>
      <c r="B18" s="70" t="s">
        <v>62</v>
      </c>
      <c r="C18" s="65" t="s">
        <v>63</v>
      </c>
      <c r="D18" s="83" t="s">
        <v>294</v>
      </c>
      <c r="E18" s="81" t="s">
        <v>81</v>
      </c>
      <c r="F18" s="66">
        <f t="shared" si="28"/>
        <v>0.7</v>
      </c>
      <c r="G18" s="66">
        <f t="shared" si="29"/>
        <v>0.7</v>
      </c>
      <c r="H18" s="66">
        <f t="shared" si="30"/>
        <v>0.5</v>
      </c>
      <c r="I18" s="66">
        <f t="shared" si="31"/>
        <v>-0.19999999999999996</v>
      </c>
      <c r="J18" s="71">
        <v>2</v>
      </c>
      <c r="K18" s="72">
        <v>46164</v>
      </c>
      <c r="L18" s="68">
        <f t="shared" si="2"/>
        <v>46164</v>
      </c>
      <c r="M18" s="72">
        <v>46157</v>
      </c>
      <c r="N18" s="72">
        <f t="shared" si="3"/>
        <v>46206</v>
      </c>
      <c r="O18" s="68">
        <f t="shared" si="4"/>
        <v>46206</v>
      </c>
      <c r="P18" s="72"/>
      <c r="Q18" s="72">
        <f t="shared" si="5"/>
        <v>46248</v>
      </c>
      <c r="R18" s="68">
        <f t="shared" si="6"/>
        <v>46248</v>
      </c>
      <c r="S18" s="74"/>
      <c r="T18" s="74">
        <f t="shared" si="7"/>
        <v>46262</v>
      </c>
      <c r="U18" s="68">
        <f t="shared" si="8"/>
        <v>46262</v>
      </c>
      <c r="V18" s="72"/>
    </row>
    <row r="19" spans="1:22" s="64" customFormat="1" ht="9.5" x14ac:dyDescent="0.25">
      <c r="A19" s="70" t="s">
        <v>61</v>
      </c>
      <c r="B19" s="70" t="s">
        <v>62</v>
      </c>
      <c r="C19" s="65" t="s">
        <v>63</v>
      </c>
      <c r="D19" s="83" t="s">
        <v>295</v>
      </c>
      <c r="E19" s="65" t="s">
        <v>82</v>
      </c>
      <c r="F19" s="66">
        <f t="shared" si="28"/>
        <v>0.5</v>
      </c>
      <c r="G19" s="66">
        <f t="shared" si="29"/>
        <v>0.5</v>
      </c>
      <c r="H19" s="66">
        <f t="shared" si="30"/>
        <v>0.5</v>
      </c>
      <c r="I19" s="66">
        <f t="shared" si="31"/>
        <v>0</v>
      </c>
      <c r="J19" s="71">
        <v>4.0999999999999996</v>
      </c>
      <c r="K19" s="72">
        <v>46199</v>
      </c>
      <c r="L19" s="68">
        <f t="shared" si="2"/>
        <v>46199</v>
      </c>
      <c r="M19" s="72">
        <v>46196</v>
      </c>
      <c r="N19" s="72">
        <f t="shared" si="3"/>
        <v>46241</v>
      </c>
      <c r="O19" s="68">
        <f t="shared" si="4"/>
        <v>46241</v>
      </c>
      <c r="P19" s="72"/>
      <c r="Q19" s="72">
        <f t="shared" si="5"/>
        <v>46283</v>
      </c>
      <c r="R19" s="68">
        <f t="shared" si="6"/>
        <v>46283</v>
      </c>
      <c r="S19" s="74"/>
      <c r="T19" s="74">
        <f t="shared" si="7"/>
        <v>46297</v>
      </c>
      <c r="U19" s="68">
        <f t="shared" si="8"/>
        <v>46297</v>
      </c>
      <c r="V19" s="72"/>
    </row>
    <row r="20" spans="1:22" s="64" customFormat="1" ht="9.5" x14ac:dyDescent="0.25">
      <c r="A20" s="70" t="s">
        <v>61</v>
      </c>
      <c r="B20" s="70" t="s">
        <v>62</v>
      </c>
      <c r="C20" s="65" t="s">
        <v>63</v>
      </c>
      <c r="D20" s="83" t="s">
        <v>296</v>
      </c>
      <c r="E20" s="81" t="s">
        <v>83</v>
      </c>
      <c r="F20" s="66">
        <f t="shared" si="28"/>
        <v>0.5</v>
      </c>
      <c r="G20" s="66">
        <f t="shared" si="29"/>
        <v>0.5</v>
      </c>
      <c r="H20" s="66">
        <f t="shared" si="30"/>
        <v>0</v>
      </c>
      <c r="I20" s="66">
        <f t="shared" si="31"/>
        <v>-0.5</v>
      </c>
      <c r="J20" s="90">
        <v>2</v>
      </c>
      <c r="K20" s="72">
        <v>46206</v>
      </c>
      <c r="L20" s="72">
        <f t="shared" si="2"/>
        <v>46206</v>
      </c>
      <c r="M20" s="74"/>
      <c r="N20" s="74">
        <f t="shared" si="3"/>
        <v>46248</v>
      </c>
      <c r="O20" s="72">
        <f t="shared" si="4"/>
        <v>46248</v>
      </c>
      <c r="P20" s="72"/>
      <c r="Q20" s="74">
        <f t="shared" si="5"/>
        <v>46290</v>
      </c>
      <c r="R20" s="72">
        <f t="shared" si="6"/>
        <v>46290</v>
      </c>
      <c r="S20" s="74"/>
      <c r="T20" s="74">
        <f t="shared" si="7"/>
        <v>46304</v>
      </c>
      <c r="U20" s="72">
        <f t="shared" si="8"/>
        <v>46304</v>
      </c>
      <c r="V20" s="72"/>
    </row>
    <row r="21" spans="1:22" s="64" customFormat="1" ht="9.5" x14ac:dyDescent="0.25">
      <c r="A21" s="87" t="s">
        <v>61</v>
      </c>
      <c r="B21" s="87" t="s">
        <v>64</v>
      </c>
      <c r="C21" s="87" t="s">
        <v>63</v>
      </c>
      <c r="D21" s="132" t="s">
        <v>88</v>
      </c>
      <c r="E21" s="99" t="s">
        <v>85</v>
      </c>
      <c r="F21" s="88">
        <f t="shared" si="28"/>
        <v>0.5</v>
      </c>
      <c r="G21" s="88">
        <f t="shared" si="29"/>
        <v>0.5</v>
      </c>
      <c r="H21" s="88">
        <f t="shared" si="30"/>
        <v>0</v>
      </c>
      <c r="I21" s="88">
        <f t="shared" si="31"/>
        <v>-0.5</v>
      </c>
      <c r="J21" s="107">
        <v>2</v>
      </c>
      <c r="K21" s="100">
        <v>46199</v>
      </c>
      <c r="L21" s="100">
        <f t="shared" si="2"/>
        <v>46199</v>
      </c>
      <c r="M21" s="89"/>
      <c r="N21" s="100">
        <f t="shared" si="3"/>
        <v>46241</v>
      </c>
      <c r="O21" s="100">
        <f t="shared" si="4"/>
        <v>46241</v>
      </c>
      <c r="P21" s="100"/>
      <c r="Q21" s="100">
        <f t="shared" si="5"/>
        <v>46283</v>
      </c>
      <c r="R21" s="100">
        <f t="shared" si="6"/>
        <v>46283</v>
      </c>
      <c r="S21" s="89"/>
      <c r="T21" s="100">
        <f t="shared" si="7"/>
        <v>46297</v>
      </c>
      <c r="U21" s="100">
        <f t="shared" si="8"/>
        <v>46297</v>
      </c>
      <c r="V21" s="134"/>
    </row>
    <row r="22" spans="1:22" s="64" customFormat="1" ht="9.5" x14ac:dyDescent="0.25">
      <c r="A22" s="84" t="s">
        <v>61</v>
      </c>
      <c r="B22" s="84" t="s">
        <v>67</v>
      </c>
      <c r="C22" s="84" t="s">
        <v>63</v>
      </c>
      <c r="D22" s="129" t="s">
        <v>86</v>
      </c>
      <c r="E22" s="84" t="s">
        <v>87</v>
      </c>
      <c r="F22" s="85">
        <f t="shared" si="28"/>
        <v>0.7</v>
      </c>
      <c r="G22" s="85">
        <f t="shared" si="29"/>
        <v>0.7</v>
      </c>
      <c r="H22" s="85">
        <f t="shared" si="30"/>
        <v>0.5</v>
      </c>
      <c r="I22" s="85">
        <f t="shared" si="31"/>
        <v>-0.19999999999999996</v>
      </c>
      <c r="J22" s="106">
        <v>2</v>
      </c>
      <c r="K22" s="86">
        <v>46157</v>
      </c>
      <c r="L22" s="86">
        <f t="shared" si="2"/>
        <v>46157</v>
      </c>
      <c r="M22" s="86">
        <v>46188</v>
      </c>
      <c r="N22" s="86">
        <f t="shared" si="3"/>
        <v>46199</v>
      </c>
      <c r="O22" s="86">
        <f t="shared" si="4"/>
        <v>46199</v>
      </c>
      <c r="P22" s="86"/>
      <c r="Q22" s="86">
        <f t="shared" si="5"/>
        <v>46241</v>
      </c>
      <c r="R22" s="86">
        <f t="shared" si="6"/>
        <v>46241</v>
      </c>
      <c r="S22" s="97"/>
      <c r="T22" s="97">
        <f t="shared" si="7"/>
        <v>46255</v>
      </c>
      <c r="U22" s="86">
        <f t="shared" si="8"/>
        <v>46255</v>
      </c>
      <c r="V22" s="86"/>
    </row>
    <row r="23" spans="1:22" s="64" customFormat="1" ht="9.5" x14ac:dyDescent="0.25">
      <c r="A23" s="112" t="s">
        <v>61</v>
      </c>
      <c r="B23" s="112" t="s">
        <v>70</v>
      </c>
      <c r="C23" s="112" t="s">
        <v>63</v>
      </c>
      <c r="D23" s="131" t="s">
        <v>90</v>
      </c>
      <c r="E23" s="116" t="s">
        <v>89</v>
      </c>
      <c r="F23" s="113">
        <f t="shared" si="28"/>
        <v>0.5</v>
      </c>
      <c r="G23" s="113">
        <f t="shared" si="29"/>
        <v>0.5</v>
      </c>
      <c r="H23" s="113">
        <f t="shared" si="30"/>
        <v>0</v>
      </c>
      <c r="I23" s="113">
        <f t="shared" si="1"/>
        <v>-0.5</v>
      </c>
      <c r="J23" s="114">
        <v>2</v>
      </c>
      <c r="K23" s="117">
        <v>46185</v>
      </c>
      <c r="L23" s="117">
        <f t="shared" si="2"/>
        <v>46185</v>
      </c>
      <c r="M23" s="115"/>
      <c r="N23" s="117">
        <f t="shared" si="3"/>
        <v>46227</v>
      </c>
      <c r="O23" s="117">
        <f t="shared" si="4"/>
        <v>46227</v>
      </c>
      <c r="P23" s="115"/>
      <c r="Q23" s="117">
        <f t="shared" si="5"/>
        <v>46269</v>
      </c>
      <c r="R23" s="117">
        <f t="shared" si="6"/>
        <v>46269</v>
      </c>
      <c r="S23" s="117"/>
      <c r="T23" s="117">
        <f t="shared" si="7"/>
        <v>46283</v>
      </c>
      <c r="U23" s="117">
        <f t="shared" si="8"/>
        <v>46283</v>
      </c>
      <c r="V23" s="115"/>
    </row>
    <row r="24" spans="1:22" s="64" customFormat="1" ht="9.5" x14ac:dyDescent="0.25">
      <c r="A24" s="92" t="s">
        <v>61</v>
      </c>
      <c r="B24" s="92" t="s">
        <v>73</v>
      </c>
      <c r="C24" s="92" t="s">
        <v>63</v>
      </c>
      <c r="D24" s="130" t="s">
        <v>84</v>
      </c>
      <c r="E24" s="111" t="s">
        <v>91</v>
      </c>
      <c r="F24" s="93">
        <f t="shared" si="28"/>
        <v>0.5</v>
      </c>
      <c r="G24" s="93">
        <f t="shared" si="29"/>
        <v>0.5</v>
      </c>
      <c r="H24" s="93">
        <f t="shared" si="30"/>
        <v>0.5</v>
      </c>
      <c r="I24" s="93">
        <f t="shared" si="1"/>
        <v>0</v>
      </c>
      <c r="J24" s="96">
        <v>2</v>
      </c>
      <c r="K24" s="94">
        <v>46171</v>
      </c>
      <c r="L24" s="94">
        <f t="shared" si="2"/>
        <v>46171</v>
      </c>
      <c r="M24" s="98">
        <v>46199</v>
      </c>
      <c r="N24" s="98">
        <f t="shared" si="3"/>
        <v>46213</v>
      </c>
      <c r="O24" s="94">
        <f t="shared" si="4"/>
        <v>46213</v>
      </c>
      <c r="P24" s="94"/>
      <c r="Q24" s="98">
        <f t="shared" si="5"/>
        <v>46255</v>
      </c>
      <c r="R24" s="94">
        <f t="shared" si="6"/>
        <v>46255</v>
      </c>
      <c r="S24" s="98"/>
      <c r="T24" s="98">
        <f t="shared" si="7"/>
        <v>46269</v>
      </c>
      <c r="U24" s="94">
        <f t="shared" si="8"/>
        <v>46269</v>
      </c>
      <c r="V24" s="94"/>
    </row>
    <row r="25" spans="1:22" s="64" customFormat="1" ht="9.5" x14ac:dyDescent="0.25">
      <c r="A25" s="87" t="s">
        <v>61</v>
      </c>
      <c r="B25" s="87" t="s">
        <v>64</v>
      </c>
      <c r="C25" s="87" t="s">
        <v>63</v>
      </c>
      <c r="D25" s="132" t="s">
        <v>100</v>
      </c>
      <c r="E25" s="99" t="s">
        <v>93</v>
      </c>
      <c r="F25" s="88">
        <f t="shared" si="28"/>
        <v>0</v>
      </c>
      <c r="G25" s="88">
        <f t="shared" si="29"/>
        <v>0</v>
      </c>
      <c r="H25" s="88">
        <f t="shared" si="30"/>
        <v>0.5</v>
      </c>
      <c r="I25" s="88">
        <f t="shared" si="1"/>
        <v>0.5</v>
      </c>
      <c r="J25" s="107">
        <v>2</v>
      </c>
      <c r="K25" s="89">
        <v>46220</v>
      </c>
      <c r="L25" s="89">
        <f t="shared" si="2"/>
        <v>46220</v>
      </c>
      <c r="M25" s="89">
        <v>46188</v>
      </c>
      <c r="N25" s="89">
        <f t="shared" si="3"/>
        <v>46262</v>
      </c>
      <c r="O25" s="89">
        <f t="shared" si="4"/>
        <v>46262</v>
      </c>
      <c r="P25" s="89"/>
      <c r="Q25" s="89">
        <f t="shared" si="5"/>
        <v>46304</v>
      </c>
      <c r="R25" s="89">
        <f t="shared" si="6"/>
        <v>46304</v>
      </c>
      <c r="S25" s="100"/>
      <c r="T25" s="100">
        <f t="shared" si="7"/>
        <v>46318</v>
      </c>
      <c r="U25" s="89">
        <f t="shared" si="8"/>
        <v>46318</v>
      </c>
      <c r="V25" s="89"/>
    </row>
    <row r="26" spans="1:22" s="64" customFormat="1" ht="9.5" x14ac:dyDescent="0.25">
      <c r="A26" s="87" t="s">
        <v>61</v>
      </c>
      <c r="B26" s="87" t="s">
        <v>64</v>
      </c>
      <c r="C26" s="87" t="s">
        <v>63</v>
      </c>
      <c r="D26" s="132" t="s">
        <v>102</v>
      </c>
      <c r="E26" s="99" t="s">
        <v>95</v>
      </c>
      <c r="F26" s="88">
        <f t="shared" si="28"/>
        <v>0</v>
      </c>
      <c r="G26" s="88">
        <f t="shared" si="29"/>
        <v>0</v>
      </c>
      <c r="H26" s="88">
        <f t="shared" si="30"/>
        <v>0</v>
      </c>
      <c r="I26" s="88">
        <f t="shared" si="1"/>
        <v>0</v>
      </c>
      <c r="J26" s="107">
        <v>2</v>
      </c>
      <c r="K26" s="89">
        <v>46227</v>
      </c>
      <c r="L26" s="89">
        <f t="shared" si="2"/>
        <v>46227</v>
      </c>
      <c r="M26" s="89"/>
      <c r="N26" s="89">
        <f t="shared" si="3"/>
        <v>46269</v>
      </c>
      <c r="O26" s="89">
        <f t="shared" si="4"/>
        <v>46269</v>
      </c>
      <c r="P26" s="89"/>
      <c r="Q26" s="89">
        <f t="shared" si="5"/>
        <v>46311</v>
      </c>
      <c r="R26" s="89">
        <f t="shared" si="6"/>
        <v>46311</v>
      </c>
      <c r="S26" s="100"/>
      <c r="T26" s="100">
        <f t="shared" si="7"/>
        <v>46325</v>
      </c>
      <c r="U26" s="89">
        <f t="shared" si="8"/>
        <v>46325</v>
      </c>
      <c r="V26" s="89"/>
    </row>
    <row r="27" spans="1:22" s="64" customFormat="1" ht="9.5" x14ac:dyDescent="0.25">
      <c r="A27" s="84" t="s">
        <v>61</v>
      </c>
      <c r="B27" s="84" t="s">
        <v>67</v>
      </c>
      <c r="C27" s="84" t="s">
        <v>63</v>
      </c>
      <c r="D27" s="129" t="s">
        <v>96</v>
      </c>
      <c r="E27" s="101" t="s">
        <v>97</v>
      </c>
      <c r="F27" s="85">
        <f t="shared" si="28"/>
        <v>0.5</v>
      </c>
      <c r="G27" s="85">
        <f t="shared" si="29"/>
        <v>0.5</v>
      </c>
      <c r="H27" s="85">
        <f t="shared" si="30"/>
        <v>0.5</v>
      </c>
      <c r="I27" s="85">
        <f t="shared" si="1"/>
        <v>0</v>
      </c>
      <c r="J27" s="106">
        <v>2</v>
      </c>
      <c r="K27" s="86">
        <v>46178</v>
      </c>
      <c r="L27" s="86">
        <f t="shared" si="2"/>
        <v>46178</v>
      </c>
      <c r="M27" s="86">
        <v>46171</v>
      </c>
      <c r="N27" s="86">
        <f t="shared" si="3"/>
        <v>46220</v>
      </c>
      <c r="O27" s="86">
        <f t="shared" si="4"/>
        <v>46220</v>
      </c>
      <c r="P27" s="86"/>
      <c r="Q27" s="86">
        <f t="shared" si="5"/>
        <v>46262</v>
      </c>
      <c r="R27" s="86">
        <f t="shared" si="6"/>
        <v>46262</v>
      </c>
      <c r="S27" s="97"/>
      <c r="T27" s="97">
        <f t="shared" si="7"/>
        <v>46276</v>
      </c>
      <c r="U27" s="86">
        <f t="shared" si="8"/>
        <v>46276</v>
      </c>
      <c r="V27" s="86"/>
    </row>
    <row r="28" spans="1:22" s="64" customFormat="1" ht="9.5" x14ac:dyDescent="0.25">
      <c r="A28" s="84" t="s">
        <v>61</v>
      </c>
      <c r="B28" s="84" t="s">
        <v>67</v>
      </c>
      <c r="C28" s="84" t="s">
        <v>63</v>
      </c>
      <c r="D28" s="129" t="s">
        <v>98</v>
      </c>
      <c r="E28" s="101" t="s">
        <v>99</v>
      </c>
      <c r="F28" s="85">
        <f t="shared" si="28"/>
        <v>0.5</v>
      </c>
      <c r="G28" s="85">
        <f t="shared" si="29"/>
        <v>0.5</v>
      </c>
      <c r="H28" s="85">
        <f t="shared" si="30"/>
        <v>0.5</v>
      </c>
      <c r="I28" s="85">
        <f t="shared" si="1"/>
        <v>0</v>
      </c>
      <c r="J28" s="106">
        <v>2</v>
      </c>
      <c r="K28" s="86">
        <v>46185</v>
      </c>
      <c r="L28" s="86">
        <f t="shared" si="2"/>
        <v>46185</v>
      </c>
      <c r="M28" s="86">
        <v>46171</v>
      </c>
      <c r="N28" s="86">
        <f t="shared" si="3"/>
        <v>46227</v>
      </c>
      <c r="O28" s="86">
        <f t="shared" si="4"/>
        <v>46227</v>
      </c>
      <c r="P28" s="86"/>
      <c r="Q28" s="86">
        <f t="shared" si="5"/>
        <v>46269</v>
      </c>
      <c r="R28" s="86">
        <f t="shared" si="6"/>
        <v>46269</v>
      </c>
      <c r="S28" s="97"/>
      <c r="T28" s="97">
        <f t="shared" si="7"/>
        <v>46283</v>
      </c>
      <c r="U28" s="86">
        <f t="shared" si="8"/>
        <v>46283</v>
      </c>
      <c r="V28" s="86"/>
    </row>
    <row r="29" spans="1:22" s="64" customFormat="1" ht="9.5" x14ac:dyDescent="0.25">
      <c r="A29" s="112" t="s">
        <v>61</v>
      </c>
      <c r="B29" s="112" t="s">
        <v>70</v>
      </c>
      <c r="C29" s="112" t="s">
        <v>63</v>
      </c>
      <c r="D29" s="131" t="s">
        <v>104</v>
      </c>
      <c r="E29" s="116" t="s">
        <v>101</v>
      </c>
      <c r="F29" s="113">
        <f t="shared" si="28"/>
        <v>0.5</v>
      </c>
      <c r="G29" s="113">
        <f t="shared" si="29"/>
        <v>0.5</v>
      </c>
      <c r="H29" s="113">
        <f t="shared" si="30"/>
        <v>0.5</v>
      </c>
      <c r="I29" s="113">
        <f t="shared" si="1"/>
        <v>0</v>
      </c>
      <c r="J29" s="114">
        <v>2</v>
      </c>
      <c r="K29" s="115">
        <v>46206</v>
      </c>
      <c r="L29" s="115">
        <f t="shared" si="2"/>
        <v>46206</v>
      </c>
      <c r="M29" s="115">
        <v>46185</v>
      </c>
      <c r="N29" s="115">
        <f t="shared" si="3"/>
        <v>46248</v>
      </c>
      <c r="O29" s="115">
        <f t="shared" si="4"/>
        <v>46248</v>
      </c>
      <c r="P29" s="115"/>
      <c r="Q29" s="115">
        <f t="shared" si="5"/>
        <v>46290</v>
      </c>
      <c r="R29" s="115">
        <f t="shared" si="6"/>
        <v>46290</v>
      </c>
      <c r="S29" s="117"/>
      <c r="T29" s="117">
        <f t="shared" si="7"/>
        <v>46304</v>
      </c>
      <c r="U29" s="115">
        <f t="shared" si="8"/>
        <v>46304</v>
      </c>
      <c r="V29" s="115"/>
    </row>
    <row r="30" spans="1:22" s="64" customFormat="1" ht="9.5" x14ac:dyDescent="0.25">
      <c r="A30" s="112" t="s">
        <v>61</v>
      </c>
      <c r="B30" s="112" t="s">
        <v>70</v>
      </c>
      <c r="C30" s="112" t="s">
        <v>63</v>
      </c>
      <c r="D30" s="131" t="s">
        <v>106</v>
      </c>
      <c r="E30" s="116" t="s">
        <v>103</v>
      </c>
      <c r="F30" s="113">
        <f t="shared" si="28"/>
        <v>0</v>
      </c>
      <c r="G30" s="113">
        <f t="shared" si="29"/>
        <v>0</v>
      </c>
      <c r="H30" s="113">
        <f t="shared" si="30"/>
        <v>0.5</v>
      </c>
      <c r="I30" s="113">
        <f t="shared" si="1"/>
        <v>0.5</v>
      </c>
      <c r="J30" s="114">
        <v>2</v>
      </c>
      <c r="K30" s="115">
        <v>46213</v>
      </c>
      <c r="L30" s="115">
        <f t="shared" si="2"/>
        <v>46213</v>
      </c>
      <c r="M30" s="115">
        <v>46188</v>
      </c>
      <c r="N30" s="115">
        <f t="shared" si="3"/>
        <v>46255</v>
      </c>
      <c r="O30" s="115">
        <f t="shared" si="4"/>
        <v>46255</v>
      </c>
      <c r="P30" s="115"/>
      <c r="Q30" s="115">
        <f t="shared" si="5"/>
        <v>46297</v>
      </c>
      <c r="R30" s="115">
        <f t="shared" si="6"/>
        <v>46297</v>
      </c>
      <c r="S30" s="115"/>
      <c r="T30" s="115">
        <f t="shared" si="7"/>
        <v>46311</v>
      </c>
      <c r="U30" s="115">
        <f t="shared" si="8"/>
        <v>46311</v>
      </c>
      <c r="V30" s="115"/>
    </row>
    <row r="31" spans="1:22" s="64" customFormat="1" ht="9.5" x14ac:dyDescent="0.25">
      <c r="A31" s="92" t="s">
        <v>61</v>
      </c>
      <c r="B31" s="92" t="s">
        <v>73</v>
      </c>
      <c r="C31" s="92" t="s">
        <v>63</v>
      </c>
      <c r="D31" s="130" t="s">
        <v>92</v>
      </c>
      <c r="E31" s="111" t="s">
        <v>105</v>
      </c>
      <c r="F31" s="93">
        <f t="shared" si="28"/>
        <v>0.5</v>
      </c>
      <c r="G31" s="93">
        <f t="shared" si="29"/>
        <v>0.5</v>
      </c>
      <c r="H31" s="93">
        <f t="shared" si="30"/>
        <v>0.5</v>
      </c>
      <c r="I31" s="93">
        <f t="shared" si="1"/>
        <v>0</v>
      </c>
      <c r="J31" s="96">
        <v>2</v>
      </c>
      <c r="K31" s="94">
        <v>46192</v>
      </c>
      <c r="L31" s="94">
        <f t="shared" si="2"/>
        <v>46192</v>
      </c>
      <c r="M31" s="94">
        <v>46178</v>
      </c>
      <c r="N31" s="94">
        <f t="shared" si="3"/>
        <v>46234</v>
      </c>
      <c r="O31" s="94">
        <f t="shared" si="4"/>
        <v>46234</v>
      </c>
      <c r="P31" s="94"/>
      <c r="Q31" s="94">
        <f t="shared" si="5"/>
        <v>46276</v>
      </c>
      <c r="R31" s="94">
        <f t="shared" si="6"/>
        <v>46276</v>
      </c>
      <c r="S31" s="94"/>
      <c r="T31" s="94">
        <f t="shared" si="7"/>
        <v>46290</v>
      </c>
      <c r="U31" s="94">
        <f t="shared" si="8"/>
        <v>46290</v>
      </c>
      <c r="V31" s="94"/>
    </row>
    <row r="32" spans="1:22" s="64" customFormat="1" ht="9.5" x14ac:dyDescent="0.25">
      <c r="A32" s="92" t="s">
        <v>61</v>
      </c>
      <c r="B32" s="92" t="s">
        <v>73</v>
      </c>
      <c r="C32" s="92" t="s">
        <v>63</v>
      </c>
      <c r="D32" s="130" t="s">
        <v>94</v>
      </c>
      <c r="E32" s="111" t="s">
        <v>107</v>
      </c>
      <c r="F32" s="93">
        <f t="shared" si="28"/>
        <v>0.5</v>
      </c>
      <c r="G32" s="93">
        <f t="shared" si="29"/>
        <v>0.5</v>
      </c>
      <c r="H32" s="93">
        <f t="shared" si="30"/>
        <v>0.5</v>
      </c>
      <c r="I32" s="93">
        <f t="shared" si="1"/>
        <v>0</v>
      </c>
      <c r="J32" s="96">
        <v>2</v>
      </c>
      <c r="K32" s="94">
        <v>46199</v>
      </c>
      <c r="L32" s="94">
        <f t="shared" si="2"/>
        <v>46199</v>
      </c>
      <c r="M32" s="94">
        <v>46181</v>
      </c>
      <c r="N32" s="94">
        <f t="shared" si="3"/>
        <v>46241</v>
      </c>
      <c r="O32" s="94">
        <f t="shared" si="4"/>
        <v>46241</v>
      </c>
      <c r="P32" s="94"/>
      <c r="Q32" s="94">
        <f t="shared" si="5"/>
        <v>46283</v>
      </c>
      <c r="R32" s="94">
        <f t="shared" si="6"/>
        <v>46283</v>
      </c>
      <c r="S32" s="94"/>
      <c r="T32" s="94">
        <f t="shared" si="7"/>
        <v>46297</v>
      </c>
      <c r="U32" s="94">
        <f t="shared" si="8"/>
        <v>46297</v>
      </c>
      <c r="V32" s="94"/>
    </row>
    <row r="33" spans="1:22" s="64" customFormat="1" ht="9.5" x14ac:dyDescent="0.25">
      <c r="A33" s="70" t="s">
        <v>61</v>
      </c>
      <c r="B33" s="70" t="s">
        <v>62</v>
      </c>
      <c r="C33" s="65" t="s">
        <v>63</v>
      </c>
      <c r="D33" s="83" t="s">
        <v>306</v>
      </c>
      <c r="E33" s="81" t="s">
        <v>108</v>
      </c>
      <c r="F33" s="66">
        <f t="shared" si="28"/>
        <v>0.7</v>
      </c>
      <c r="G33" s="66">
        <f>(COUNTIFS(L33,"&lt;="&amp;$D$1)*50%)+(COUNTIFS(O33,"&lt;="&amp;$D$1)*20%)+(COUNTIFS(R33,"&lt;="&amp;$D$1)*10%)+(COUNTIFS(U33,"&lt;="&amp;$D$1)*20%)</f>
        <v>0.7</v>
      </c>
      <c r="H33" s="66">
        <f t="shared" si="30"/>
        <v>0.5</v>
      </c>
      <c r="I33" s="66">
        <f t="shared" si="1"/>
        <v>-0.19999999999999996</v>
      </c>
      <c r="J33" s="71">
        <v>2</v>
      </c>
      <c r="K33" s="72">
        <v>46164</v>
      </c>
      <c r="L33" s="68">
        <f t="shared" si="2"/>
        <v>46164</v>
      </c>
      <c r="M33" s="143">
        <v>46202</v>
      </c>
      <c r="N33" s="74">
        <f t="shared" si="3"/>
        <v>46206</v>
      </c>
      <c r="O33" s="68">
        <f t="shared" si="4"/>
        <v>46206</v>
      </c>
      <c r="P33" s="72"/>
      <c r="Q33" s="74">
        <f t="shared" si="5"/>
        <v>46248</v>
      </c>
      <c r="R33" s="68">
        <f t="shared" si="6"/>
        <v>46248</v>
      </c>
      <c r="S33" s="74"/>
      <c r="T33" s="74">
        <f t="shared" si="7"/>
        <v>46262</v>
      </c>
      <c r="U33" s="68">
        <f t="shared" si="8"/>
        <v>46262</v>
      </c>
      <c r="V33" s="72"/>
    </row>
    <row r="34" spans="1:22" s="64" customFormat="1" ht="9.5" x14ac:dyDescent="0.25">
      <c r="A34" s="70" t="s">
        <v>61</v>
      </c>
      <c r="B34" s="70" t="s">
        <v>62</v>
      </c>
      <c r="C34" s="65" t="s">
        <v>63</v>
      </c>
      <c r="D34" s="83" t="s">
        <v>289</v>
      </c>
      <c r="E34" s="81" t="s">
        <v>109</v>
      </c>
      <c r="F34" s="66">
        <f t="shared" si="28"/>
        <v>0.5</v>
      </c>
      <c r="G34" s="66">
        <f>(COUNTIFS(L34,"&lt;="&amp;$D$1)*50%)+(COUNTIFS(O34,"&lt;="&amp;$D$1)*20%)+(COUNTIFS(R34,"&lt;="&amp;$D$1)*10%)+(COUNTIFS(U34,"&lt;="&amp;$D$1)*20%)</f>
        <v>0.5</v>
      </c>
      <c r="H34" s="66">
        <f t="shared" si="30"/>
        <v>0.5</v>
      </c>
      <c r="I34" s="66">
        <f t="shared" si="1"/>
        <v>0</v>
      </c>
      <c r="J34" s="67">
        <v>2</v>
      </c>
      <c r="K34" s="72">
        <v>46171</v>
      </c>
      <c r="L34" s="68">
        <f t="shared" si="2"/>
        <v>46171</v>
      </c>
      <c r="M34" s="74">
        <v>46188</v>
      </c>
      <c r="N34" s="74">
        <f t="shared" si="3"/>
        <v>46213</v>
      </c>
      <c r="O34" s="68">
        <f t="shared" si="4"/>
        <v>46213</v>
      </c>
      <c r="P34" s="72"/>
      <c r="Q34" s="74">
        <f t="shared" si="5"/>
        <v>46255</v>
      </c>
      <c r="R34" s="68">
        <f t="shared" si="6"/>
        <v>46255</v>
      </c>
      <c r="S34" s="74"/>
      <c r="T34" s="74">
        <f t="shared" si="7"/>
        <v>46269</v>
      </c>
      <c r="U34" s="68">
        <f t="shared" si="8"/>
        <v>46269</v>
      </c>
      <c r="V34" s="72"/>
    </row>
    <row r="35" spans="1:22" s="64" customFormat="1" ht="9.5" x14ac:dyDescent="0.25">
      <c r="A35" s="70" t="s">
        <v>61</v>
      </c>
      <c r="B35" s="70" t="s">
        <v>62</v>
      </c>
      <c r="C35" s="65" t="s">
        <v>63</v>
      </c>
      <c r="D35" s="83" t="s">
        <v>297</v>
      </c>
      <c r="E35" s="81" t="s">
        <v>110</v>
      </c>
      <c r="F35" s="66">
        <f t="shared" si="28"/>
        <v>0.5</v>
      </c>
      <c r="G35" s="66">
        <f t="shared" si="29"/>
        <v>0.5</v>
      </c>
      <c r="H35" s="66">
        <f t="shared" si="30"/>
        <v>0.7</v>
      </c>
      <c r="I35" s="66">
        <f t="shared" si="1"/>
        <v>0.19999999999999996</v>
      </c>
      <c r="J35" s="90">
        <v>2</v>
      </c>
      <c r="K35" s="74">
        <v>46178</v>
      </c>
      <c r="L35" s="68">
        <f t="shared" si="2"/>
        <v>46178</v>
      </c>
      <c r="M35" s="143">
        <v>46202</v>
      </c>
      <c r="N35" s="74">
        <f t="shared" si="3"/>
        <v>46220</v>
      </c>
      <c r="O35" s="74">
        <f t="shared" si="4"/>
        <v>46220</v>
      </c>
      <c r="P35" s="153">
        <v>46204</v>
      </c>
      <c r="Q35" s="74">
        <f t="shared" si="5"/>
        <v>46262</v>
      </c>
      <c r="R35" s="74">
        <f t="shared" si="6"/>
        <v>46262</v>
      </c>
      <c r="S35" s="74"/>
      <c r="T35" s="74">
        <f t="shared" si="7"/>
        <v>46276</v>
      </c>
      <c r="U35" s="74">
        <f t="shared" si="8"/>
        <v>46276</v>
      </c>
      <c r="V35" s="72"/>
    </row>
    <row r="36" spans="1:22" s="64" customFormat="1" ht="9.5" x14ac:dyDescent="0.25">
      <c r="A36" s="70" t="s">
        <v>61</v>
      </c>
      <c r="B36" s="70" t="s">
        <v>62</v>
      </c>
      <c r="C36" s="65" t="s">
        <v>63</v>
      </c>
      <c r="D36" s="83" t="s">
        <v>298</v>
      </c>
      <c r="E36" s="135" t="s">
        <v>281</v>
      </c>
      <c r="F36" s="66">
        <f t="shared" ref="F36:F41" si="32">(COUNTIFS(K36,"&lt;="&amp;$D$1)*50%)+(COUNTIFS(N36,"&lt;="&amp;$D$1)*20%)+(COUNTIFS(Q36,"&lt;="&amp;$D$1)*10%)+(COUNTIFS(T36,"&lt;="&amp;$D$1)*20%)</f>
        <v>0.79999999999999993</v>
      </c>
      <c r="G36" s="66">
        <f t="shared" ref="G36:G41" si="33">(COUNTIFS(L36,"&lt;="&amp;$D$1)*50%)+(COUNTIFS(O36,"&lt;="&amp;$D$1)*20%)+(COUNTIFS(R36,"&lt;="&amp;$D$1)*10%)+(COUNTIFS(U36,"&lt;="&amp;$D$1)*20%)</f>
        <v>0.79999999999999993</v>
      </c>
      <c r="H36" s="66">
        <f t="shared" ref="H36:H41" si="34">(COUNTIFS(M36,"&lt;="&amp;$D$1)*50%)+(COUNTIFS(P36,"&lt;="&amp;$D$1)*20%)+(COUNTIFS(S36,"&lt;="&amp;$D$1)*10%)+(COUNTIFS(V36,"&lt;="&amp;$D$1)*20%)</f>
        <v>0.7</v>
      </c>
      <c r="I36" s="66">
        <f t="shared" ref="I36:I41" si="35">H36-F36</f>
        <v>-9.9999999999999978E-2</v>
      </c>
      <c r="J36" s="90">
        <v>1.5</v>
      </c>
      <c r="K36" s="74">
        <v>46122</v>
      </c>
      <c r="L36" s="68">
        <f t="shared" si="2"/>
        <v>46122</v>
      </c>
      <c r="M36" s="72">
        <v>46122</v>
      </c>
      <c r="N36" s="74">
        <f t="shared" ref="N36:N41" si="36">K36+42</f>
        <v>46164</v>
      </c>
      <c r="O36" s="68">
        <f t="shared" ref="O36:O41" si="37">N36</f>
        <v>46164</v>
      </c>
      <c r="P36" s="72">
        <v>46191</v>
      </c>
      <c r="Q36" s="74">
        <f t="shared" ref="Q36:Q41" si="38">N36+42</f>
        <v>46206</v>
      </c>
      <c r="R36" s="68">
        <f t="shared" ref="R36:R41" si="39">Q36</f>
        <v>46206</v>
      </c>
      <c r="S36" s="74"/>
      <c r="T36" s="74">
        <f t="shared" ref="T36:T41" si="40">Q36+14</f>
        <v>46220</v>
      </c>
      <c r="U36" s="68">
        <f t="shared" ref="U36:U41" si="41">T36</f>
        <v>46220</v>
      </c>
      <c r="V36" s="72"/>
    </row>
    <row r="37" spans="1:22" s="64" customFormat="1" ht="19" x14ac:dyDescent="0.25">
      <c r="A37" s="136" t="s">
        <v>61</v>
      </c>
      <c r="B37" s="136" t="s">
        <v>62</v>
      </c>
      <c r="C37" s="137" t="s">
        <v>63</v>
      </c>
      <c r="D37" s="138" t="s">
        <v>299</v>
      </c>
      <c r="E37" s="139" t="s">
        <v>282</v>
      </c>
      <c r="F37" s="140">
        <f t="shared" si="32"/>
        <v>0.7</v>
      </c>
      <c r="G37" s="140">
        <f t="shared" si="33"/>
        <v>0.7</v>
      </c>
      <c r="H37" s="140">
        <f t="shared" si="34"/>
        <v>0.7</v>
      </c>
      <c r="I37" s="140">
        <f t="shared" si="35"/>
        <v>0</v>
      </c>
      <c r="J37" s="141">
        <v>1.5</v>
      </c>
      <c r="K37" s="108">
        <v>46142</v>
      </c>
      <c r="L37" s="68">
        <f t="shared" si="2"/>
        <v>46142</v>
      </c>
      <c r="M37" s="72">
        <v>46164</v>
      </c>
      <c r="N37" s="74">
        <f t="shared" si="36"/>
        <v>46184</v>
      </c>
      <c r="O37" s="74">
        <f t="shared" si="37"/>
        <v>46184</v>
      </c>
      <c r="P37" s="72">
        <v>46191</v>
      </c>
      <c r="Q37" s="74">
        <f t="shared" si="38"/>
        <v>46226</v>
      </c>
      <c r="R37" s="74">
        <f t="shared" si="39"/>
        <v>46226</v>
      </c>
      <c r="S37" s="74"/>
      <c r="T37" s="74">
        <f t="shared" si="40"/>
        <v>46240</v>
      </c>
      <c r="U37" s="74">
        <f t="shared" si="41"/>
        <v>46240</v>
      </c>
      <c r="V37" s="142"/>
    </row>
    <row r="38" spans="1:22" s="64" customFormat="1" ht="19" x14ac:dyDescent="0.25">
      <c r="A38" s="136" t="s">
        <v>61</v>
      </c>
      <c r="B38" s="136" t="s">
        <v>62</v>
      </c>
      <c r="C38" s="137" t="s">
        <v>63</v>
      </c>
      <c r="D38" s="138" t="s">
        <v>300</v>
      </c>
      <c r="E38" s="139" t="s">
        <v>283</v>
      </c>
      <c r="F38" s="140">
        <f t="shared" si="32"/>
        <v>0.79999999999999993</v>
      </c>
      <c r="G38" s="140">
        <f t="shared" si="33"/>
        <v>0.79999999999999993</v>
      </c>
      <c r="H38" s="140">
        <f t="shared" si="34"/>
        <v>0.7</v>
      </c>
      <c r="I38" s="140">
        <f t="shared" si="35"/>
        <v>-9.9999999999999978E-2</v>
      </c>
      <c r="J38" s="90">
        <v>1.5</v>
      </c>
      <c r="K38" s="108">
        <v>46122</v>
      </c>
      <c r="L38" s="68">
        <f t="shared" si="2"/>
        <v>46122</v>
      </c>
      <c r="M38" s="72">
        <v>46122</v>
      </c>
      <c r="N38" s="74">
        <f t="shared" si="36"/>
        <v>46164</v>
      </c>
      <c r="O38" s="68">
        <f t="shared" si="37"/>
        <v>46164</v>
      </c>
      <c r="P38" s="72">
        <v>46191</v>
      </c>
      <c r="Q38" s="74">
        <f t="shared" si="38"/>
        <v>46206</v>
      </c>
      <c r="R38" s="68">
        <f t="shared" si="39"/>
        <v>46206</v>
      </c>
      <c r="S38" s="74"/>
      <c r="T38" s="74">
        <f t="shared" si="40"/>
        <v>46220</v>
      </c>
      <c r="U38" s="68">
        <f t="shared" si="41"/>
        <v>46220</v>
      </c>
      <c r="V38" s="142"/>
    </row>
    <row r="39" spans="1:22" s="64" customFormat="1" ht="19" x14ac:dyDescent="0.25">
      <c r="A39" s="136" t="s">
        <v>61</v>
      </c>
      <c r="B39" s="136" t="s">
        <v>62</v>
      </c>
      <c r="C39" s="137" t="s">
        <v>63</v>
      </c>
      <c r="D39" s="138" t="s">
        <v>301</v>
      </c>
      <c r="E39" s="139" t="s">
        <v>284</v>
      </c>
      <c r="F39" s="140">
        <f t="shared" si="32"/>
        <v>0.7</v>
      </c>
      <c r="G39" s="140">
        <f t="shared" si="33"/>
        <v>0.7</v>
      </c>
      <c r="H39" s="140">
        <f t="shared" si="34"/>
        <v>0.7</v>
      </c>
      <c r="I39" s="140">
        <f t="shared" si="35"/>
        <v>0</v>
      </c>
      <c r="J39" s="141">
        <v>1.5</v>
      </c>
      <c r="K39" s="108">
        <v>46142</v>
      </c>
      <c r="L39" s="68">
        <f t="shared" si="2"/>
        <v>46142</v>
      </c>
      <c r="M39" s="72">
        <v>46164</v>
      </c>
      <c r="N39" s="74">
        <f t="shared" si="36"/>
        <v>46184</v>
      </c>
      <c r="O39" s="74">
        <f t="shared" si="37"/>
        <v>46184</v>
      </c>
      <c r="P39" s="72">
        <v>46191</v>
      </c>
      <c r="Q39" s="74">
        <f t="shared" si="38"/>
        <v>46226</v>
      </c>
      <c r="R39" s="74">
        <f t="shared" si="39"/>
        <v>46226</v>
      </c>
      <c r="S39" s="74"/>
      <c r="T39" s="74">
        <f t="shared" si="40"/>
        <v>46240</v>
      </c>
      <c r="U39" s="74">
        <f t="shared" si="41"/>
        <v>46240</v>
      </c>
      <c r="V39" s="142"/>
    </row>
    <row r="40" spans="1:22" s="64" customFormat="1" ht="9.5" x14ac:dyDescent="0.25">
      <c r="A40" s="70" t="s">
        <v>61</v>
      </c>
      <c r="B40" s="70" t="s">
        <v>62</v>
      </c>
      <c r="C40" s="65" t="s">
        <v>63</v>
      </c>
      <c r="D40" s="83" t="s">
        <v>302</v>
      </c>
      <c r="E40" s="135" t="s">
        <v>285</v>
      </c>
      <c r="F40" s="66">
        <f t="shared" si="32"/>
        <v>0.7</v>
      </c>
      <c r="G40" s="66">
        <f t="shared" si="33"/>
        <v>0.7</v>
      </c>
      <c r="H40" s="66">
        <f t="shared" si="34"/>
        <v>0.7</v>
      </c>
      <c r="I40" s="66">
        <f t="shared" si="35"/>
        <v>0</v>
      </c>
      <c r="J40" s="90">
        <v>1.5</v>
      </c>
      <c r="K40" s="74">
        <v>46136</v>
      </c>
      <c r="L40" s="68">
        <f t="shared" si="2"/>
        <v>46136</v>
      </c>
      <c r="M40" s="72">
        <v>46135</v>
      </c>
      <c r="N40" s="74">
        <f t="shared" si="36"/>
        <v>46178</v>
      </c>
      <c r="O40" s="68">
        <f t="shared" si="37"/>
        <v>46178</v>
      </c>
      <c r="P40" s="72">
        <v>46191</v>
      </c>
      <c r="Q40" s="74">
        <f t="shared" si="38"/>
        <v>46220</v>
      </c>
      <c r="R40" s="68">
        <f t="shared" si="39"/>
        <v>46220</v>
      </c>
      <c r="S40" s="74"/>
      <c r="T40" s="74">
        <f t="shared" si="40"/>
        <v>46234</v>
      </c>
      <c r="U40" s="68">
        <f t="shared" si="41"/>
        <v>46234</v>
      </c>
      <c r="V40" s="72"/>
    </row>
    <row r="41" spans="1:22" s="64" customFormat="1" ht="9.5" x14ac:dyDescent="0.25">
      <c r="A41" s="70" t="s">
        <v>61</v>
      </c>
      <c r="B41" s="70" t="s">
        <v>62</v>
      </c>
      <c r="C41" s="65" t="s">
        <v>63</v>
      </c>
      <c r="D41" s="83" t="s">
        <v>303</v>
      </c>
      <c r="E41" s="135" t="s">
        <v>286</v>
      </c>
      <c r="F41" s="66">
        <f t="shared" si="32"/>
        <v>0.7</v>
      </c>
      <c r="G41" s="66">
        <f t="shared" si="33"/>
        <v>0.7</v>
      </c>
      <c r="H41" s="66">
        <f t="shared" si="34"/>
        <v>0.7</v>
      </c>
      <c r="I41" s="66">
        <f t="shared" si="35"/>
        <v>0</v>
      </c>
      <c r="J41" s="141">
        <v>1.5</v>
      </c>
      <c r="K41" s="74">
        <v>46142</v>
      </c>
      <c r="L41" s="68">
        <f t="shared" si="2"/>
        <v>46142</v>
      </c>
      <c r="M41" s="72">
        <v>46171</v>
      </c>
      <c r="N41" s="74">
        <f t="shared" si="36"/>
        <v>46184</v>
      </c>
      <c r="O41" s="74">
        <f t="shared" si="37"/>
        <v>46184</v>
      </c>
      <c r="P41" s="72">
        <v>46191</v>
      </c>
      <c r="Q41" s="74">
        <f t="shared" si="38"/>
        <v>46226</v>
      </c>
      <c r="R41" s="74">
        <f t="shared" si="39"/>
        <v>46226</v>
      </c>
      <c r="S41" s="74"/>
      <c r="T41" s="74">
        <f t="shared" si="40"/>
        <v>46240</v>
      </c>
      <c r="U41" s="74">
        <f t="shared" si="41"/>
        <v>46240</v>
      </c>
      <c r="V41" s="72"/>
    </row>
    <row r="42" spans="1:22" s="64" customFormat="1" ht="9.5" x14ac:dyDescent="0.25">
      <c r="A42" s="70" t="s">
        <v>61</v>
      </c>
      <c r="B42" s="70" t="s">
        <v>58</v>
      </c>
      <c r="C42" s="65" t="s">
        <v>63</v>
      </c>
      <c r="D42" s="83" t="s">
        <v>242</v>
      </c>
      <c r="E42" s="81" t="s">
        <v>243</v>
      </c>
      <c r="F42" s="66">
        <f t="shared" ref="F42:F57" si="42">(COUNTIFS(K42,"&lt;="&amp;$D$1)*50%)+(COUNTIFS(N42,"&lt;="&amp;$D$1)*20%)+(COUNTIFS(Q42,"&lt;="&amp;$D$1)*10%)+(COUNTIFS(T42,"&lt;="&amp;$D$1)*20%)</f>
        <v>0</v>
      </c>
      <c r="G42" s="66">
        <f t="shared" ref="G42:G57" si="43">(COUNTIFS(L42,"&lt;="&amp;$D$1)*50%)+(COUNTIFS(O42,"&lt;="&amp;$D$1)*20%)+(COUNTIFS(R42,"&lt;="&amp;$D$1)*10%)+(COUNTIFS(U42,"&lt;="&amp;$D$1)*20%)</f>
        <v>0</v>
      </c>
      <c r="H42" s="66">
        <f t="shared" ref="H42:H57" si="44">(COUNTIFS(M42,"&lt;="&amp;$D$1)*50%)+(COUNTIFS(P42,"&lt;="&amp;$D$1)*20%)+(COUNTIFS(S42,"&lt;="&amp;$D$1)*10%)+(COUNTIFS(V42,"&lt;="&amp;$D$1)*20%)</f>
        <v>0</v>
      </c>
      <c r="I42" s="66">
        <f t="shared" ref="I42:I57" si="45">H42-F42</f>
        <v>0</v>
      </c>
      <c r="J42" s="67">
        <v>0.25</v>
      </c>
      <c r="K42" s="74"/>
      <c r="L42" s="74"/>
      <c r="M42" s="72"/>
      <c r="N42" s="74"/>
      <c r="O42" s="74"/>
      <c r="P42" s="72"/>
      <c r="Q42" s="74"/>
      <c r="R42" s="74"/>
      <c r="S42" s="74"/>
      <c r="T42" s="74"/>
      <c r="U42" s="74"/>
      <c r="V42" s="72"/>
    </row>
    <row r="43" spans="1:22" s="64" customFormat="1" ht="9.5" x14ac:dyDescent="0.25">
      <c r="A43" s="70" t="s">
        <v>61</v>
      </c>
      <c r="B43" s="70" t="s">
        <v>58</v>
      </c>
      <c r="C43" s="65" t="s">
        <v>63</v>
      </c>
      <c r="D43" s="83" t="s">
        <v>244</v>
      </c>
      <c r="E43" s="81" t="s">
        <v>269</v>
      </c>
      <c r="F43" s="66">
        <f t="shared" si="42"/>
        <v>0</v>
      </c>
      <c r="G43" s="66">
        <f t="shared" si="43"/>
        <v>0</v>
      </c>
      <c r="H43" s="66">
        <f t="shared" si="44"/>
        <v>0</v>
      </c>
      <c r="I43" s="66">
        <f t="shared" si="45"/>
        <v>0</v>
      </c>
      <c r="J43" s="90">
        <v>0.25</v>
      </c>
      <c r="K43" s="74"/>
      <c r="L43" s="74"/>
      <c r="M43" s="72"/>
      <c r="N43" s="74"/>
      <c r="O43" s="74"/>
      <c r="P43" s="72"/>
      <c r="Q43" s="74"/>
      <c r="R43" s="74"/>
      <c r="S43" s="74"/>
      <c r="T43" s="74"/>
      <c r="U43" s="74"/>
      <c r="V43" s="72"/>
    </row>
    <row r="44" spans="1:22" s="64" customFormat="1" ht="9.5" x14ac:dyDescent="0.25">
      <c r="A44" s="70" t="s">
        <v>61</v>
      </c>
      <c r="B44" s="70" t="s">
        <v>58</v>
      </c>
      <c r="C44" s="65" t="s">
        <v>63</v>
      </c>
      <c r="D44" s="83" t="s">
        <v>245</v>
      </c>
      <c r="E44" s="81" t="s">
        <v>246</v>
      </c>
      <c r="F44" s="66">
        <f t="shared" si="42"/>
        <v>0</v>
      </c>
      <c r="G44" s="66">
        <f t="shared" si="43"/>
        <v>0</v>
      </c>
      <c r="H44" s="66">
        <f t="shared" si="44"/>
        <v>0</v>
      </c>
      <c r="I44" s="66">
        <f t="shared" si="45"/>
        <v>0</v>
      </c>
      <c r="J44" s="67">
        <v>0.25</v>
      </c>
      <c r="K44" s="74"/>
      <c r="L44" s="74"/>
      <c r="M44" s="72"/>
      <c r="N44" s="74"/>
      <c r="O44" s="74"/>
      <c r="P44" s="72"/>
      <c r="Q44" s="74"/>
      <c r="R44" s="74"/>
      <c r="S44" s="74"/>
      <c r="T44" s="74"/>
      <c r="U44" s="74"/>
      <c r="V44" s="72"/>
    </row>
    <row r="45" spans="1:22" s="64" customFormat="1" ht="9.5" x14ac:dyDescent="0.25">
      <c r="A45" s="70" t="s">
        <v>61</v>
      </c>
      <c r="B45" s="70" t="s">
        <v>58</v>
      </c>
      <c r="C45" s="65" t="s">
        <v>63</v>
      </c>
      <c r="D45" s="83" t="s">
        <v>247</v>
      </c>
      <c r="E45" s="81" t="s">
        <v>271</v>
      </c>
      <c r="F45" s="66">
        <f t="shared" si="42"/>
        <v>0</v>
      </c>
      <c r="G45" s="66">
        <f t="shared" si="43"/>
        <v>0</v>
      </c>
      <c r="H45" s="66">
        <f t="shared" si="44"/>
        <v>0</v>
      </c>
      <c r="I45" s="66">
        <f t="shared" si="45"/>
        <v>0</v>
      </c>
      <c r="J45" s="90">
        <v>0.25</v>
      </c>
      <c r="K45" s="74"/>
      <c r="L45" s="74"/>
      <c r="M45" s="72"/>
      <c r="N45" s="74"/>
      <c r="O45" s="74"/>
      <c r="P45" s="72"/>
      <c r="Q45" s="74"/>
      <c r="R45" s="74"/>
      <c r="S45" s="74"/>
      <c r="T45" s="74"/>
      <c r="U45" s="74"/>
      <c r="V45" s="72"/>
    </row>
    <row r="46" spans="1:22" s="64" customFormat="1" ht="9.5" x14ac:dyDescent="0.25">
      <c r="A46" s="70" t="s">
        <v>61</v>
      </c>
      <c r="B46" s="70" t="s">
        <v>58</v>
      </c>
      <c r="C46" s="65" t="s">
        <v>63</v>
      </c>
      <c r="D46" s="83" t="s">
        <v>248</v>
      </c>
      <c r="E46" s="81" t="s">
        <v>249</v>
      </c>
      <c r="F46" s="66">
        <f t="shared" si="42"/>
        <v>0</v>
      </c>
      <c r="G46" s="66">
        <f t="shared" si="43"/>
        <v>0</v>
      </c>
      <c r="H46" s="66">
        <f t="shared" si="44"/>
        <v>0</v>
      </c>
      <c r="I46" s="66">
        <f t="shared" si="45"/>
        <v>0</v>
      </c>
      <c r="J46" s="67">
        <v>0.25</v>
      </c>
      <c r="K46" s="74"/>
      <c r="L46" s="74"/>
      <c r="M46" s="72"/>
      <c r="N46" s="74"/>
      <c r="O46" s="74"/>
      <c r="P46" s="72"/>
      <c r="Q46" s="74"/>
      <c r="R46" s="74"/>
      <c r="S46" s="74"/>
      <c r="T46" s="74"/>
      <c r="U46" s="74"/>
      <c r="V46" s="72"/>
    </row>
    <row r="47" spans="1:22" s="64" customFormat="1" ht="9.5" x14ac:dyDescent="0.25">
      <c r="A47" s="70" t="s">
        <v>61</v>
      </c>
      <c r="B47" s="70" t="s">
        <v>58</v>
      </c>
      <c r="C47" s="65" t="s">
        <v>63</v>
      </c>
      <c r="D47" s="83" t="s">
        <v>250</v>
      </c>
      <c r="E47" s="81" t="s">
        <v>272</v>
      </c>
      <c r="F47" s="66">
        <f t="shared" si="42"/>
        <v>0</v>
      </c>
      <c r="G47" s="66">
        <f t="shared" si="43"/>
        <v>0</v>
      </c>
      <c r="H47" s="66">
        <f t="shared" si="44"/>
        <v>0</v>
      </c>
      <c r="I47" s="66">
        <f t="shared" si="45"/>
        <v>0</v>
      </c>
      <c r="J47" s="90">
        <v>0.25</v>
      </c>
      <c r="K47" s="74"/>
      <c r="L47" s="74"/>
      <c r="M47" s="72"/>
      <c r="N47" s="74"/>
      <c r="O47" s="74"/>
      <c r="P47" s="72"/>
      <c r="Q47" s="74"/>
      <c r="R47" s="74"/>
      <c r="S47" s="74"/>
      <c r="T47" s="74"/>
      <c r="U47" s="74"/>
      <c r="V47" s="72"/>
    </row>
    <row r="48" spans="1:22" s="64" customFormat="1" ht="9.5" x14ac:dyDescent="0.25">
      <c r="A48" s="70" t="s">
        <v>61</v>
      </c>
      <c r="B48" s="70" t="s">
        <v>58</v>
      </c>
      <c r="C48" s="65" t="s">
        <v>63</v>
      </c>
      <c r="D48" s="83" t="s">
        <v>251</v>
      </c>
      <c r="E48" s="81" t="s">
        <v>252</v>
      </c>
      <c r="F48" s="66">
        <f t="shared" si="42"/>
        <v>0</v>
      </c>
      <c r="G48" s="66">
        <f t="shared" si="43"/>
        <v>0</v>
      </c>
      <c r="H48" s="66">
        <f t="shared" si="44"/>
        <v>0</v>
      </c>
      <c r="I48" s="66">
        <f t="shared" si="45"/>
        <v>0</v>
      </c>
      <c r="J48" s="67">
        <v>0.25</v>
      </c>
      <c r="K48" s="74"/>
      <c r="L48" s="74"/>
      <c r="M48" s="72"/>
      <c r="N48" s="74"/>
      <c r="O48" s="74"/>
      <c r="P48" s="72"/>
      <c r="Q48" s="74"/>
      <c r="R48" s="74"/>
      <c r="S48" s="74"/>
      <c r="T48" s="74"/>
      <c r="U48" s="74"/>
      <c r="V48" s="72"/>
    </row>
    <row r="49" spans="1:23" s="64" customFormat="1" ht="9.5" x14ac:dyDescent="0.25">
      <c r="A49" s="70" t="s">
        <v>61</v>
      </c>
      <c r="B49" s="70" t="s">
        <v>58</v>
      </c>
      <c r="C49" s="65" t="s">
        <v>63</v>
      </c>
      <c r="D49" s="83" t="s">
        <v>253</v>
      </c>
      <c r="E49" s="81" t="s">
        <v>254</v>
      </c>
      <c r="F49" s="66">
        <f t="shared" si="42"/>
        <v>0</v>
      </c>
      <c r="G49" s="66">
        <f t="shared" si="43"/>
        <v>0</v>
      </c>
      <c r="H49" s="66">
        <f t="shared" si="44"/>
        <v>0</v>
      </c>
      <c r="I49" s="66">
        <f t="shared" si="45"/>
        <v>0</v>
      </c>
      <c r="J49" s="90">
        <v>0.25</v>
      </c>
      <c r="K49" s="74"/>
      <c r="L49" s="74"/>
      <c r="M49" s="72"/>
      <c r="N49" s="74"/>
      <c r="O49" s="74"/>
      <c r="P49" s="72"/>
      <c r="Q49" s="74"/>
      <c r="R49" s="74"/>
      <c r="S49" s="74"/>
      <c r="T49" s="74"/>
      <c r="U49" s="74"/>
      <c r="V49" s="72"/>
    </row>
    <row r="50" spans="1:23" s="64" customFormat="1" ht="9.5" x14ac:dyDescent="0.25">
      <c r="A50" s="70" t="s">
        <v>61</v>
      </c>
      <c r="B50" s="70" t="s">
        <v>58</v>
      </c>
      <c r="C50" s="65" t="s">
        <v>63</v>
      </c>
      <c r="D50" s="83" t="s">
        <v>255</v>
      </c>
      <c r="E50" s="81" t="s">
        <v>256</v>
      </c>
      <c r="F50" s="66">
        <f t="shared" si="42"/>
        <v>0</v>
      </c>
      <c r="G50" s="66">
        <f t="shared" si="43"/>
        <v>0</v>
      </c>
      <c r="H50" s="66">
        <f t="shared" si="44"/>
        <v>0</v>
      </c>
      <c r="I50" s="66">
        <f t="shared" si="45"/>
        <v>0</v>
      </c>
      <c r="J50" s="67">
        <v>0.25</v>
      </c>
      <c r="K50" s="74"/>
      <c r="L50" s="74"/>
      <c r="M50" s="72"/>
      <c r="N50" s="74"/>
      <c r="O50" s="74"/>
      <c r="P50" s="72"/>
      <c r="Q50" s="74"/>
      <c r="R50" s="74"/>
      <c r="S50" s="74"/>
      <c r="T50" s="74"/>
      <c r="U50" s="74"/>
      <c r="V50" s="72"/>
    </row>
    <row r="51" spans="1:23" s="64" customFormat="1" ht="9.5" x14ac:dyDescent="0.25">
      <c r="A51" s="70" t="s">
        <v>61</v>
      </c>
      <c r="B51" s="70" t="s">
        <v>58</v>
      </c>
      <c r="C51" s="65" t="s">
        <v>63</v>
      </c>
      <c r="D51" s="83" t="s">
        <v>257</v>
      </c>
      <c r="E51" s="81" t="s">
        <v>273</v>
      </c>
      <c r="F51" s="66">
        <f t="shared" si="42"/>
        <v>0</v>
      </c>
      <c r="G51" s="66">
        <f t="shared" si="43"/>
        <v>0</v>
      </c>
      <c r="H51" s="66">
        <f t="shared" si="44"/>
        <v>0</v>
      </c>
      <c r="I51" s="66">
        <f t="shared" si="45"/>
        <v>0</v>
      </c>
      <c r="J51" s="90">
        <v>0.25</v>
      </c>
      <c r="K51" s="74"/>
      <c r="L51" s="74"/>
      <c r="M51" s="72"/>
      <c r="N51" s="74"/>
      <c r="O51" s="74"/>
      <c r="P51" s="72"/>
      <c r="Q51" s="74"/>
      <c r="R51" s="74"/>
      <c r="S51" s="74"/>
      <c r="T51" s="74"/>
      <c r="U51" s="74"/>
      <c r="V51" s="72"/>
    </row>
    <row r="52" spans="1:23" s="64" customFormat="1" ht="9.5" x14ac:dyDescent="0.25">
      <c r="A52" s="70" t="s">
        <v>61</v>
      </c>
      <c r="B52" s="70" t="s">
        <v>58</v>
      </c>
      <c r="C52" s="65" t="s">
        <v>63</v>
      </c>
      <c r="D52" s="83" t="s">
        <v>258</v>
      </c>
      <c r="E52" s="81" t="s">
        <v>259</v>
      </c>
      <c r="F52" s="66">
        <f t="shared" si="42"/>
        <v>0</v>
      </c>
      <c r="G52" s="66">
        <f t="shared" si="43"/>
        <v>0</v>
      </c>
      <c r="H52" s="66">
        <f t="shared" si="44"/>
        <v>0</v>
      </c>
      <c r="I52" s="66">
        <f t="shared" si="45"/>
        <v>0</v>
      </c>
      <c r="J52" s="67">
        <v>0.25</v>
      </c>
      <c r="K52" s="74"/>
      <c r="L52" s="74"/>
      <c r="M52" s="72"/>
      <c r="N52" s="74"/>
      <c r="O52" s="74"/>
      <c r="P52" s="72"/>
      <c r="Q52" s="74"/>
      <c r="R52" s="74"/>
      <c r="S52" s="74"/>
      <c r="T52" s="74"/>
      <c r="U52" s="74"/>
      <c r="V52" s="72"/>
    </row>
    <row r="53" spans="1:23" s="64" customFormat="1" ht="9.5" x14ac:dyDescent="0.25">
      <c r="A53" s="70" t="s">
        <v>61</v>
      </c>
      <c r="B53" s="70" t="s">
        <v>58</v>
      </c>
      <c r="C53" s="65" t="s">
        <v>63</v>
      </c>
      <c r="D53" s="83" t="s">
        <v>260</v>
      </c>
      <c r="E53" s="81" t="s">
        <v>261</v>
      </c>
      <c r="F53" s="66">
        <f t="shared" si="42"/>
        <v>0</v>
      </c>
      <c r="G53" s="66">
        <f t="shared" si="43"/>
        <v>0</v>
      </c>
      <c r="H53" s="66">
        <f t="shared" si="44"/>
        <v>0</v>
      </c>
      <c r="I53" s="66">
        <f t="shared" si="45"/>
        <v>0</v>
      </c>
      <c r="J53" s="90">
        <v>0.25</v>
      </c>
      <c r="K53" s="74"/>
      <c r="L53" s="74"/>
      <c r="M53" s="72"/>
      <c r="N53" s="74"/>
      <c r="O53" s="74"/>
      <c r="P53" s="72"/>
      <c r="Q53" s="74"/>
      <c r="R53" s="74"/>
      <c r="S53" s="74"/>
      <c r="T53" s="74"/>
      <c r="U53" s="74"/>
      <c r="V53" s="72"/>
    </row>
    <row r="54" spans="1:23" s="64" customFormat="1" ht="9.5" x14ac:dyDescent="0.25">
      <c r="A54" s="70" t="s">
        <v>61</v>
      </c>
      <c r="B54" s="70" t="s">
        <v>58</v>
      </c>
      <c r="C54" s="65" t="s">
        <v>63</v>
      </c>
      <c r="D54" s="83" t="s">
        <v>262</v>
      </c>
      <c r="E54" s="81" t="s">
        <v>263</v>
      </c>
      <c r="F54" s="66">
        <f t="shared" si="42"/>
        <v>0</v>
      </c>
      <c r="G54" s="66">
        <f t="shared" si="43"/>
        <v>0</v>
      </c>
      <c r="H54" s="66">
        <f t="shared" si="44"/>
        <v>0</v>
      </c>
      <c r="I54" s="66">
        <f t="shared" si="45"/>
        <v>0</v>
      </c>
      <c r="J54" s="67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</row>
    <row r="55" spans="1:23" s="64" customFormat="1" ht="9.5" x14ac:dyDescent="0.25">
      <c r="A55" s="70" t="s">
        <v>61</v>
      </c>
      <c r="B55" s="70" t="s">
        <v>58</v>
      </c>
      <c r="C55" s="65" t="s">
        <v>63</v>
      </c>
      <c r="D55" s="83" t="s">
        <v>264</v>
      </c>
      <c r="E55" s="81" t="s">
        <v>270</v>
      </c>
      <c r="F55" s="66">
        <f t="shared" si="42"/>
        <v>0</v>
      </c>
      <c r="G55" s="66">
        <f t="shared" si="43"/>
        <v>0</v>
      </c>
      <c r="H55" s="66">
        <f t="shared" si="44"/>
        <v>0</v>
      </c>
      <c r="I55" s="66">
        <f t="shared" si="45"/>
        <v>0</v>
      </c>
      <c r="J55" s="90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</row>
    <row r="56" spans="1:23" s="64" customFormat="1" ht="9.5" x14ac:dyDescent="0.25">
      <c r="A56" s="70" t="s">
        <v>61</v>
      </c>
      <c r="B56" s="70" t="s">
        <v>58</v>
      </c>
      <c r="C56" s="65" t="s">
        <v>63</v>
      </c>
      <c r="D56" s="83" t="s">
        <v>265</v>
      </c>
      <c r="E56" s="81" t="s">
        <v>266</v>
      </c>
      <c r="F56" s="66">
        <f t="shared" si="42"/>
        <v>0</v>
      </c>
      <c r="G56" s="66">
        <f t="shared" si="43"/>
        <v>0</v>
      </c>
      <c r="H56" s="66">
        <f t="shared" si="44"/>
        <v>0</v>
      </c>
      <c r="I56" s="66">
        <f t="shared" si="45"/>
        <v>0</v>
      </c>
      <c r="J56" s="67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</row>
    <row r="57" spans="1:23" s="64" customFormat="1" ht="9.5" x14ac:dyDescent="0.25">
      <c r="A57" s="70" t="s">
        <v>61</v>
      </c>
      <c r="B57" s="70" t="s">
        <v>58</v>
      </c>
      <c r="C57" s="65" t="s">
        <v>63</v>
      </c>
      <c r="D57" s="83" t="s">
        <v>267</v>
      </c>
      <c r="E57" s="81" t="s">
        <v>268</v>
      </c>
      <c r="F57" s="66">
        <f t="shared" si="42"/>
        <v>0</v>
      </c>
      <c r="G57" s="66">
        <f t="shared" si="43"/>
        <v>0</v>
      </c>
      <c r="H57" s="66">
        <f t="shared" si="44"/>
        <v>0</v>
      </c>
      <c r="I57" s="66">
        <f t="shared" si="45"/>
        <v>0</v>
      </c>
      <c r="J57" s="90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</row>
    <row r="58" spans="1:23" s="64" customFormat="1" ht="9.5" x14ac:dyDescent="0.25">
      <c r="A58" s="119"/>
      <c r="B58" s="119"/>
      <c r="C58" s="119"/>
      <c r="D58" s="120"/>
      <c r="E58" s="121"/>
      <c r="F58" s="122"/>
      <c r="G58" s="122"/>
      <c r="H58" s="122"/>
      <c r="I58" s="122"/>
      <c r="J58" s="123"/>
      <c r="K58" s="124"/>
      <c r="L58" s="124"/>
      <c r="M58" s="125"/>
      <c r="N58" s="124"/>
      <c r="O58" s="124"/>
      <c r="P58" s="125"/>
      <c r="Q58" s="124"/>
      <c r="R58" s="124"/>
      <c r="S58" s="125"/>
      <c r="T58" s="124"/>
      <c r="U58" s="124"/>
      <c r="V58" s="125"/>
    </row>
    <row r="59" spans="1:23" s="64" customFormat="1" ht="9.5" x14ac:dyDescent="0.25">
      <c r="A59" s="70" t="s">
        <v>61</v>
      </c>
      <c r="B59" s="70" t="s">
        <v>62</v>
      </c>
      <c r="C59" s="65" t="s">
        <v>111</v>
      </c>
      <c r="D59" s="83" t="s">
        <v>307</v>
      </c>
      <c r="E59" s="65" t="s">
        <v>112</v>
      </c>
      <c r="F59" s="66">
        <f t="shared" ref="F59:H61" si="46">(COUNTIFS(K59,"&lt;="&amp;$D$1)*50%)+(COUNTIFS(N59,"&lt;="&amp;$D$1)*20%)+(COUNTIFS(Q59,"&lt;="&amp;$D$1)*10%)+(COUNTIFS(T59,"&lt;="&amp;$D$1)*20%)</f>
        <v>0.7</v>
      </c>
      <c r="G59" s="66">
        <f t="shared" si="46"/>
        <v>0.7</v>
      </c>
      <c r="H59" s="66">
        <f t="shared" si="46"/>
        <v>1</v>
      </c>
      <c r="I59" s="66">
        <f t="shared" si="1"/>
        <v>0.30000000000000004</v>
      </c>
      <c r="J59" s="82">
        <v>0.05</v>
      </c>
      <c r="K59" s="68">
        <v>46157</v>
      </c>
      <c r="L59" s="68">
        <f t="shared" si="2"/>
        <v>46157</v>
      </c>
      <c r="M59" s="72">
        <v>46135</v>
      </c>
      <c r="N59" s="72">
        <f t="shared" si="3"/>
        <v>46199</v>
      </c>
      <c r="O59" s="68">
        <f t="shared" si="4"/>
        <v>46199</v>
      </c>
      <c r="P59" s="72">
        <v>46185</v>
      </c>
      <c r="Q59" s="72">
        <f t="shared" si="5"/>
        <v>46241</v>
      </c>
      <c r="R59" s="72">
        <f t="shared" si="6"/>
        <v>46241</v>
      </c>
      <c r="S59" s="72">
        <v>46185</v>
      </c>
      <c r="T59" s="72">
        <f t="shared" si="7"/>
        <v>46255</v>
      </c>
      <c r="U59" s="72">
        <f t="shared" si="8"/>
        <v>46255</v>
      </c>
      <c r="V59" s="72">
        <v>46192</v>
      </c>
    </row>
    <row r="60" spans="1:23" s="64" customFormat="1" ht="9.5" x14ac:dyDescent="0.25">
      <c r="A60" s="70" t="s">
        <v>61</v>
      </c>
      <c r="B60" s="70" t="s">
        <v>62</v>
      </c>
      <c r="C60" s="65" t="s">
        <v>111</v>
      </c>
      <c r="D60" s="83" t="s">
        <v>308</v>
      </c>
      <c r="E60" s="65" t="s">
        <v>113</v>
      </c>
      <c r="F60" s="66">
        <f t="shared" si="46"/>
        <v>0.7</v>
      </c>
      <c r="G60" s="66">
        <f t="shared" si="46"/>
        <v>0.7</v>
      </c>
      <c r="H60" s="66">
        <f t="shared" si="46"/>
        <v>1</v>
      </c>
      <c r="I60" s="66">
        <f t="shared" si="1"/>
        <v>0.30000000000000004</v>
      </c>
      <c r="J60" s="82">
        <v>0.05</v>
      </c>
      <c r="K60" s="68">
        <v>46157</v>
      </c>
      <c r="L60" s="68">
        <f t="shared" si="2"/>
        <v>46157</v>
      </c>
      <c r="M60" s="72">
        <v>46135</v>
      </c>
      <c r="N60" s="72">
        <f t="shared" si="3"/>
        <v>46199</v>
      </c>
      <c r="O60" s="68">
        <f t="shared" si="4"/>
        <v>46199</v>
      </c>
      <c r="P60" s="72">
        <v>46185</v>
      </c>
      <c r="Q60" s="72">
        <f t="shared" si="5"/>
        <v>46241</v>
      </c>
      <c r="R60" s="72">
        <f t="shared" si="6"/>
        <v>46241</v>
      </c>
      <c r="S60" s="72">
        <v>46185</v>
      </c>
      <c r="T60" s="72">
        <f t="shared" si="7"/>
        <v>46255</v>
      </c>
      <c r="U60" s="72">
        <f t="shared" si="8"/>
        <v>46255</v>
      </c>
      <c r="V60" s="72">
        <v>46192</v>
      </c>
    </row>
    <row r="61" spans="1:23" s="64" customFormat="1" ht="9.5" x14ac:dyDescent="0.25">
      <c r="A61" s="70" t="s">
        <v>61</v>
      </c>
      <c r="B61" s="70" t="s">
        <v>62</v>
      </c>
      <c r="C61" s="65" t="s">
        <v>111</v>
      </c>
      <c r="D61" s="73" t="s">
        <v>309</v>
      </c>
      <c r="E61" s="65" t="s">
        <v>114</v>
      </c>
      <c r="F61" s="66">
        <f t="shared" si="46"/>
        <v>0.7</v>
      </c>
      <c r="G61" s="66">
        <f t="shared" si="46"/>
        <v>0.7</v>
      </c>
      <c r="H61" s="66">
        <f t="shared" si="46"/>
        <v>1</v>
      </c>
      <c r="I61" s="66">
        <f t="shared" si="1"/>
        <v>0.30000000000000004</v>
      </c>
      <c r="J61" s="82">
        <v>0.1</v>
      </c>
      <c r="K61" s="68">
        <v>46157</v>
      </c>
      <c r="L61" s="72">
        <f t="shared" si="2"/>
        <v>46157</v>
      </c>
      <c r="M61" s="72">
        <v>46135</v>
      </c>
      <c r="N61" s="72">
        <f t="shared" si="3"/>
        <v>46199</v>
      </c>
      <c r="O61" s="72">
        <f t="shared" si="4"/>
        <v>46199</v>
      </c>
      <c r="P61" s="72">
        <v>46185</v>
      </c>
      <c r="Q61" s="72">
        <f t="shared" si="5"/>
        <v>46241</v>
      </c>
      <c r="R61" s="72">
        <f t="shared" si="6"/>
        <v>46241</v>
      </c>
      <c r="S61" s="72">
        <v>46185</v>
      </c>
      <c r="T61" s="72">
        <f t="shared" si="7"/>
        <v>46255</v>
      </c>
      <c r="U61" s="72">
        <f t="shared" si="8"/>
        <v>46255</v>
      </c>
      <c r="V61" s="72">
        <v>46192</v>
      </c>
      <c r="W61" s="78"/>
    </row>
    <row r="62" spans="1:23" s="64" customFormat="1" ht="9.5" x14ac:dyDescent="0.25">
      <c r="A62" s="70" t="s">
        <v>61</v>
      </c>
      <c r="B62" s="70" t="s">
        <v>62</v>
      </c>
      <c r="C62" s="65" t="s">
        <v>111</v>
      </c>
      <c r="D62" s="73" t="s">
        <v>310</v>
      </c>
      <c r="E62" s="65" t="s">
        <v>115</v>
      </c>
      <c r="F62" s="66">
        <f t="shared" ref="F62:F74" si="47">(COUNTIFS(K62,"&lt;="&amp;$D$1)*50%)+(COUNTIFS(N62,"&lt;="&amp;$D$1)*20%)+(COUNTIFS(Q62,"&lt;="&amp;$D$1)*10%)+(COUNTIFS(T62,"&lt;="&amp;$D$1)*20%)</f>
        <v>0.7</v>
      </c>
      <c r="G62" s="66">
        <f t="shared" ref="G62:G74" si="48">(COUNTIFS(L62,"&lt;="&amp;$D$1)*50%)+(COUNTIFS(O62,"&lt;="&amp;$D$1)*20%)+(COUNTIFS(R62,"&lt;="&amp;$D$1)*10%)+(COUNTIFS(U62,"&lt;="&amp;$D$1)*20%)</f>
        <v>0.7</v>
      </c>
      <c r="H62" s="66">
        <f t="shared" ref="H62:H74" si="49">(COUNTIFS(M62,"&lt;="&amp;$D$1)*50%)+(COUNTIFS(P62,"&lt;="&amp;$D$1)*20%)+(COUNTIFS(S62,"&lt;="&amp;$D$1)*10%)+(COUNTIFS(V62,"&lt;="&amp;$D$1)*20%)</f>
        <v>0.7</v>
      </c>
      <c r="I62" s="66">
        <f t="shared" ref="I62:I74" si="50">H62-F62</f>
        <v>0</v>
      </c>
      <c r="J62" s="82">
        <v>0.15</v>
      </c>
      <c r="K62" s="68">
        <v>46157</v>
      </c>
      <c r="L62" s="72">
        <f t="shared" si="2"/>
        <v>46157</v>
      </c>
      <c r="M62" s="72">
        <v>46135</v>
      </c>
      <c r="N62" s="72">
        <f t="shared" si="3"/>
        <v>46199</v>
      </c>
      <c r="O62" s="72">
        <f t="shared" si="4"/>
        <v>46199</v>
      </c>
      <c r="P62" s="72">
        <v>46191</v>
      </c>
      <c r="Q62" s="72">
        <f t="shared" si="5"/>
        <v>46241</v>
      </c>
      <c r="R62" s="72">
        <f t="shared" si="6"/>
        <v>46241</v>
      </c>
      <c r="S62" s="72"/>
      <c r="T62" s="72">
        <f t="shared" si="7"/>
        <v>46255</v>
      </c>
      <c r="U62" s="72">
        <f t="shared" si="8"/>
        <v>46255</v>
      </c>
      <c r="V62" s="76"/>
    </row>
    <row r="63" spans="1:23" s="64" customFormat="1" ht="9.5" x14ac:dyDescent="0.25">
      <c r="A63" s="70" t="s">
        <v>61</v>
      </c>
      <c r="B63" s="70" t="s">
        <v>62</v>
      </c>
      <c r="C63" s="65" t="s">
        <v>111</v>
      </c>
      <c r="D63" s="83" t="s">
        <v>311</v>
      </c>
      <c r="E63" s="65" t="s">
        <v>116</v>
      </c>
      <c r="F63" s="66">
        <f t="shared" si="47"/>
        <v>0.7</v>
      </c>
      <c r="G63" s="66">
        <f t="shared" si="48"/>
        <v>0.7</v>
      </c>
      <c r="H63" s="66">
        <f t="shared" si="49"/>
        <v>1</v>
      </c>
      <c r="I63" s="66">
        <f t="shared" si="50"/>
        <v>0.30000000000000004</v>
      </c>
      <c r="J63" s="82">
        <v>0.15</v>
      </c>
      <c r="K63" s="68">
        <v>46157</v>
      </c>
      <c r="L63" s="72">
        <f t="shared" si="2"/>
        <v>46157</v>
      </c>
      <c r="M63" s="72">
        <v>46135</v>
      </c>
      <c r="N63" s="72">
        <f t="shared" si="3"/>
        <v>46199</v>
      </c>
      <c r="O63" s="72">
        <f t="shared" si="4"/>
        <v>46199</v>
      </c>
      <c r="P63" s="72">
        <v>46185</v>
      </c>
      <c r="Q63" s="72">
        <f t="shared" si="5"/>
        <v>46241</v>
      </c>
      <c r="R63" s="72">
        <f t="shared" si="6"/>
        <v>46241</v>
      </c>
      <c r="S63" s="72">
        <v>46185</v>
      </c>
      <c r="T63" s="72">
        <f t="shared" si="7"/>
        <v>46255</v>
      </c>
      <c r="U63" s="72">
        <f t="shared" si="8"/>
        <v>46255</v>
      </c>
      <c r="V63" s="72">
        <v>46192</v>
      </c>
    </row>
    <row r="64" spans="1:23" s="64" customFormat="1" ht="9.5" x14ac:dyDescent="0.25">
      <c r="A64" s="70" t="s">
        <v>61</v>
      </c>
      <c r="B64" s="70" t="s">
        <v>62</v>
      </c>
      <c r="C64" s="65" t="s">
        <v>111</v>
      </c>
      <c r="D64" s="83" t="s">
        <v>312</v>
      </c>
      <c r="E64" s="65" t="s">
        <v>117</v>
      </c>
      <c r="F64" s="66">
        <f t="shared" si="47"/>
        <v>0.7</v>
      </c>
      <c r="G64" s="66">
        <f t="shared" si="48"/>
        <v>0.7</v>
      </c>
      <c r="H64" s="66">
        <f t="shared" si="49"/>
        <v>0.7</v>
      </c>
      <c r="I64" s="66">
        <f t="shared" si="50"/>
        <v>0</v>
      </c>
      <c r="J64" s="82">
        <v>0.15</v>
      </c>
      <c r="K64" s="68">
        <v>46157</v>
      </c>
      <c r="L64" s="72">
        <f t="shared" si="2"/>
        <v>46157</v>
      </c>
      <c r="M64" s="72">
        <v>46135</v>
      </c>
      <c r="N64" s="72">
        <f t="shared" si="3"/>
        <v>46199</v>
      </c>
      <c r="O64" s="72">
        <f t="shared" si="4"/>
        <v>46199</v>
      </c>
      <c r="P64" s="72">
        <v>46191</v>
      </c>
      <c r="Q64" s="72">
        <f t="shared" si="5"/>
        <v>46241</v>
      </c>
      <c r="R64" s="72">
        <f t="shared" si="6"/>
        <v>46241</v>
      </c>
      <c r="S64" s="72"/>
      <c r="T64" s="72">
        <f t="shared" si="7"/>
        <v>46255</v>
      </c>
      <c r="U64" s="72">
        <f t="shared" si="8"/>
        <v>46255</v>
      </c>
      <c r="V64" s="72"/>
    </row>
    <row r="65" spans="1:22" s="64" customFormat="1" ht="9.5" x14ac:dyDescent="0.25">
      <c r="A65" s="70" t="s">
        <v>61</v>
      </c>
      <c r="B65" s="70" t="s">
        <v>62</v>
      </c>
      <c r="C65" s="65" t="s">
        <v>111</v>
      </c>
      <c r="D65" s="73" t="s">
        <v>313</v>
      </c>
      <c r="E65" s="65" t="s">
        <v>118</v>
      </c>
      <c r="F65" s="66">
        <f t="shared" si="47"/>
        <v>0.7</v>
      </c>
      <c r="G65" s="66">
        <f t="shared" si="48"/>
        <v>0.7</v>
      </c>
      <c r="H65" s="66">
        <f t="shared" si="49"/>
        <v>1</v>
      </c>
      <c r="I65" s="66">
        <f t="shared" si="50"/>
        <v>0.30000000000000004</v>
      </c>
      <c r="J65" s="82">
        <v>0.15</v>
      </c>
      <c r="K65" s="68">
        <v>46157</v>
      </c>
      <c r="L65" s="72">
        <f t="shared" si="2"/>
        <v>46157</v>
      </c>
      <c r="M65" s="72">
        <v>46135</v>
      </c>
      <c r="N65" s="72">
        <f t="shared" si="3"/>
        <v>46199</v>
      </c>
      <c r="O65" s="72">
        <f t="shared" si="4"/>
        <v>46199</v>
      </c>
      <c r="P65" s="72">
        <v>46185</v>
      </c>
      <c r="Q65" s="72">
        <f t="shared" si="5"/>
        <v>46241</v>
      </c>
      <c r="R65" s="72">
        <f t="shared" si="6"/>
        <v>46241</v>
      </c>
      <c r="S65" s="72">
        <v>46185</v>
      </c>
      <c r="T65" s="72">
        <f t="shared" si="7"/>
        <v>46255</v>
      </c>
      <c r="U65" s="72">
        <f t="shared" si="8"/>
        <v>46255</v>
      </c>
      <c r="V65" s="72">
        <v>46192</v>
      </c>
    </row>
    <row r="66" spans="1:22" s="64" customFormat="1" ht="9.5" x14ac:dyDescent="0.25">
      <c r="A66" s="70" t="s">
        <v>61</v>
      </c>
      <c r="B66" s="70" t="s">
        <v>62</v>
      </c>
      <c r="C66" s="65" t="s">
        <v>111</v>
      </c>
      <c r="D66" s="73" t="s">
        <v>314</v>
      </c>
      <c r="E66" s="65" t="s">
        <v>119</v>
      </c>
      <c r="F66" s="66">
        <f t="shared" si="47"/>
        <v>0.7</v>
      </c>
      <c r="G66" s="66">
        <f t="shared" si="48"/>
        <v>0.7</v>
      </c>
      <c r="H66" s="66">
        <f t="shared" si="49"/>
        <v>1</v>
      </c>
      <c r="I66" s="66">
        <f t="shared" si="50"/>
        <v>0.30000000000000004</v>
      </c>
      <c r="J66" s="82">
        <v>0.15</v>
      </c>
      <c r="K66" s="68">
        <v>46157</v>
      </c>
      <c r="L66" s="68">
        <f t="shared" si="2"/>
        <v>46157</v>
      </c>
      <c r="M66" s="72">
        <v>46135</v>
      </c>
      <c r="N66" s="68">
        <f t="shared" si="3"/>
        <v>46199</v>
      </c>
      <c r="O66" s="68">
        <f t="shared" si="4"/>
        <v>46199</v>
      </c>
      <c r="P66" s="72">
        <v>46185</v>
      </c>
      <c r="Q66" s="72">
        <f t="shared" si="5"/>
        <v>46241</v>
      </c>
      <c r="R66" s="72">
        <f t="shared" si="6"/>
        <v>46241</v>
      </c>
      <c r="S66" s="72">
        <v>46185</v>
      </c>
      <c r="T66" s="72">
        <f t="shared" si="7"/>
        <v>46255</v>
      </c>
      <c r="U66" s="72">
        <f t="shared" si="8"/>
        <v>46255</v>
      </c>
      <c r="V66" s="72">
        <v>46192</v>
      </c>
    </row>
    <row r="67" spans="1:22" s="64" customFormat="1" ht="9.5" x14ac:dyDescent="0.25">
      <c r="A67" s="70" t="s">
        <v>61</v>
      </c>
      <c r="B67" s="70" t="s">
        <v>62</v>
      </c>
      <c r="C67" s="65" t="s">
        <v>111</v>
      </c>
      <c r="D67" s="83" t="s">
        <v>315</v>
      </c>
      <c r="E67" s="65" t="s">
        <v>120</v>
      </c>
      <c r="F67" s="66">
        <f t="shared" si="47"/>
        <v>0.7</v>
      </c>
      <c r="G67" s="66">
        <f t="shared" si="48"/>
        <v>0.7</v>
      </c>
      <c r="H67" s="66">
        <f t="shared" si="49"/>
        <v>0.7</v>
      </c>
      <c r="I67" s="66">
        <f t="shared" si="50"/>
        <v>0</v>
      </c>
      <c r="J67" s="82">
        <v>0.15</v>
      </c>
      <c r="K67" s="68">
        <v>46157</v>
      </c>
      <c r="L67" s="68">
        <f t="shared" si="2"/>
        <v>46157</v>
      </c>
      <c r="M67" s="72">
        <v>46135</v>
      </c>
      <c r="N67" s="68">
        <f t="shared" si="3"/>
        <v>46199</v>
      </c>
      <c r="O67" s="68">
        <f t="shared" si="4"/>
        <v>46199</v>
      </c>
      <c r="P67" s="72">
        <v>46191</v>
      </c>
      <c r="Q67" s="72">
        <f t="shared" si="5"/>
        <v>46241</v>
      </c>
      <c r="R67" s="72">
        <f t="shared" si="6"/>
        <v>46241</v>
      </c>
      <c r="S67" s="72"/>
      <c r="T67" s="72">
        <f t="shared" si="7"/>
        <v>46255</v>
      </c>
      <c r="U67" s="72">
        <f t="shared" si="8"/>
        <v>46255</v>
      </c>
      <c r="V67" s="76"/>
    </row>
    <row r="68" spans="1:22" s="64" customFormat="1" ht="9.5" x14ac:dyDescent="0.25">
      <c r="A68" s="70" t="s">
        <v>61</v>
      </c>
      <c r="B68" s="70" t="s">
        <v>62</v>
      </c>
      <c r="C68" s="65" t="s">
        <v>111</v>
      </c>
      <c r="D68" s="83" t="s">
        <v>316</v>
      </c>
      <c r="E68" s="65" t="s">
        <v>121</v>
      </c>
      <c r="F68" s="66">
        <f t="shared" si="47"/>
        <v>0.7</v>
      </c>
      <c r="G68" s="66">
        <f t="shared" si="48"/>
        <v>0.7</v>
      </c>
      <c r="H68" s="66">
        <f t="shared" si="49"/>
        <v>1</v>
      </c>
      <c r="I68" s="66">
        <f t="shared" si="50"/>
        <v>0.30000000000000004</v>
      </c>
      <c r="J68" s="82">
        <v>0.15</v>
      </c>
      <c r="K68" s="68">
        <v>46157</v>
      </c>
      <c r="L68" s="68">
        <f t="shared" si="2"/>
        <v>46157</v>
      </c>
      <c r="M68" s="72">
        <v>46135</v>
      </c>
      <c r="N68" s="68">
        <f t="shared" si="3"/>
        <v>46199</v>
      </c>
      <c r="O68" s="68">
        <f t="shared" si="4"/>
        <v>46199</v>
      </c>
      <c r="P68" s="72">
        <v>46185</v>
      </c>
      <c r="Q68" s="72">
        <f t="shared" si="5"/>
        <v>46241</v>
      </c>
      <c r="R68" s="72">
        <f t="shared" si="6"/>
        <v>46241</v>
      </c>
      <c r="S68" s="72">
        <v>46185</v>
      </c>
      <c r="T68" s="72">
        <f t="shared" si="7"/>
        <v>46255</v>
      </c>
      <c r="U68" s="72">
        <f t="shared" si="8"/>
        <v>46255</v>
      </c>
      <c r="V68" s="76">
        <v>46198</v>
      </c>
    </row>
    <row r="69" spans="1:22" s="64" customFormat="1" ht="9.5" x14ac:dyDescent="0.25">
      <c r="A69" s="70" t="s">
        <v>61</v>
      </c>
      <c r="B69" s="70" t="s">
        <v>62</v>
      </c>
      <c r="C69" s="65" t="s">
        <v>111</v>
      </c>
      <c r="D69" s="73" t="s">
        <v>317</v>
      </c>
      <c r="E69" s="65" t="s">
        <v>122</v>
      </c>
      <c r="F69" s="66">
        <f t="shared" si="47"/>
        <v>0.7</v>
      </c>
      <c r="G69" s="66">
        <f t="shared" si="48"/>
        <v>0.7</v>
      </c>
      <c r="H69" s="66">
        <f t="shared" si="49"/>
        <v>0.7</v>
      </c>
      <c r="I69" s="66">
        <f t="shared" si="50"/>
        <v>0</v>
      </c>
      <c r="J69" s="82">
        <v>0.15</v>
      </c>
      <c r="K69" s="68">
        <v>46157</v>
      </c>
      <c r="L69" s="68">
        <f t="shared" si="2"/>
        <v>46157</v>
      </c>
      <c r="M69" s="72">
        <v>46135</v>
      </c>
      <c r="N69" s="68">
        <f t="shared" si="3"/>
        <v>46199</v>
      </c>
      <c r="O69" s="68">
        <f t="shared" si="4"/>
        <v>46199</v>
      </c>
      <c r="P69" s="72">
        <v>46191</v>
      </c>
      <c r="Q69" s="72">
        <f t="shared" si="5"/>
        <v>46241</v>
      </c>
      <c r="R69" s="72">
        <f t="shared" si="6"/>
        <v>46241</v>
      </c>
      <c r="S69" s="72"/>
      <c r="T69" s="72">
        <f t="shared" si="7"/>
        <v>46255</v>
      </c>
      <c r="U69" s="72">
        <f t="shared" si="8"/>
        <v>46255</v>
      </c>
      <c r="V69" s="76"/>
    </row>
    <row r="70" spans="1:22" s="64" customFormat="1" ht="9.5" x14ac:dyDescent="0.25">
      <c r="A70" s="70" t="s">
        <v>61</v>
      </c>
      <c r="B70" s="70" t="s">
        <v>62</v>
      </c>
      <c r="C70" s="65" t="s">
        <v>111</v>
      </c>
      <c r="D70" s="73" t="s">
        <v>318</v>
      </c>
      <c r="E70" s="65" t="s">
        <v>123</v>
      </c>
      <c r="F70" s="66">
        <f t="shared" si="47"/>
        <v>0.7</v>
      </c>
      <c r="G70" s="66">
        <f t="shared" si="48"/>
        <v>0.7</v>
      </c>
      <c r="H70" s="66">
        <f t="shared" si="49"/>
        <v>0.7</v>
      </c>
      <c r="I70" s="66">
        <f t="shared" si="50"/>
        <v>0</v>
      </c>
      <c r="J70" s="82">
        <v>0.15</v>
      </c>
      <c r="K70" s="68">
        <v>46157</v>
      </c>
      <c r="L70" s="68">
        <f t="shared" si="2"/>
        <v>46157</v>
      </c>
      <c r="M70" s="72">
        <v>46135</v>
      </c>
      <c r="N70" s="68">
        <f t="shared" si="3"/>
        <v>46199</v>
      </c>
      <c r="O70" s="68">
        <f t="shared" si="4"/>
        <v>46199</v>
      </c>
      <c r="P70" s="72">
        <v>46191</v>
      </c>
      <c r="Q70" s="72">
        <f t="shared" si="5"/>
        <v>46241</v>
      </c>
      <c r="R70" s="72">
        <f t="shared" si="6"/>
        <v>46241</v>
      </c>
      <c r="S70" s="72"/>
      <c r="T70" s="72">
        <f t="shared" si="7"/>
        <v>46255</v>
      </c>
      <c r="U70" s="72">
        <f t="shared" si="8"/>
        <v>46255</v>
      </c>
      <c r="V70" s="76"/>
    </row>
    <row r="71" spans="1:22" s="64" customFormat="1" ht="9.5" x14ac:dyDescent="0.25">
      <c r="A71" s="70" t="s">
        <v>61</v>
      </c>
      <c r="B71" s="70" t="s">
        <v>62</v>
      </c>
      <c r="C71" s="65" t="s">
        <v>111</v>
      </c>
      <c r="D71" s="83" t="s">
        <v>319</v>
      </c>
      <c r="E71" s="65" t="s">
        <v>124</v>
      </c>
      <c r="F71" s="66">
        <f t="shared" si="47"/>
        <v>0.7</v>
      </c>
      <c r="G71" s="66">
        <f t="shared" si="48"/>
        <v>0.7</v>
      </c>
      <c r="H71" s="66">
        <f t="shared" si="49"/>
        <v>0.5</v>
      </c>
      <c r="I71" s="66">
        <f t="shared" si="50"/>
        <v>-0.19999999999999996</v>
      </c>
      <c r="J71" s="82">
        <v>0.15</v>
      </c>
      <c r="K71" s="68">
        <v>46157</v>
      </c>
      <c r="L71" s="68">
        <f t="shared" si="2"/>
        <v>46157</v>
      </c>
      <c r="M71" s="72">
        <v>46135</v>
      </c>
      <c r="N71" s="68">
        <f t="shared" si="3"/>
        <v>46199</v>
      </c>
      <c r="O71" s="68">
        <f t="shared" si="4"/>
        <v>46199</v>
      </c>
      <c r="P71" s="72"/>
      <c r="Q71" s="72">
        <f t="shared" si="5"/>
        <v>46241</v>
      </c>
      <c r="R71" s="72">
        <f t="shared" si="6"/>
        <v>46241</v>
      </c>
      <c r="S71" s="72"/>
      <c r="T71" s="72">
        <f t="shared" si="7"/>
        <v>46255</v>
      </c>
      <c r="U71" s="72">
        <f t="shared" si="8"/>
        <v>46255</v>
      </c>
      <c r="V71" s="76"/>
    </row>
    <row r="72" spans="1:22" s="64" customFormat="1" ht="9.5" x14ac:dyDescent="0.25">
      <c r="A72" s="70" t="s">
        <v>61</v>
      </c>
      <c r="B72" s="70" t="s">
        <v>62</v>
      </c>
      <c r="C72" s="65" t="s">
        <v>111</v>
      </c>
      <c r="D72" s="83" t="s">
        <v>320</v>
      </c>
      <c r="E72" s="65" t="s">
        <v>125</v>
      </c>
      <c r="F72" s="66">
        <f t="shared" si="47"/>
        <v>0.7</v>
      </c>
      <c r="G72" s="66">
        <f t="shared" si="48"/>
        <v>0.7</v>
      </c>
      <c r="H72" s="66">
        <f t="shared" si="49"/>
        <v>1</v>
      </c>
      <c r="I72" s="66">
        <f t="shared" si="50"/>
        <v>0.30000000000000004</v>
      </c>
      <c r="J72" s="82">
        <v>0.15</v>
      </c>
      <c r="K72" s="68">
        <v>46157</v>
      </c>
      <c r="L72" s="68">
        <f t="shared" si="2"/>
        <v>46157</v>
      </c>
      <c r="M72" s="72">
        <v>46135</v>
      </c>
      <c r="N72" s="68">
        <f t="shared" si="3"/>
        <v>46199</v>
      </c>
      <c r="O72" s="68">
        <f t="shared" si="4"/>
        <v>46199</v>
      </c>
      <c r="P72" s="72">
        <v>46185</v>
      </c>
      <c r="Q72" s="72">
        <f t="shared" si="5"/>
        <v>46241</v>
      </c>
      <c r="R72" s="72">
        <f t="shared" si="6"/>
        <v>46241</v>
      </c>
      <c r="S72" s="72">
        <v>46185</v>
      </c>
      <c r="T72" s="72">
        <f t="shared" si="7"/>
        <v>46255</v>
      </c>
      <c r="U72" s="72">
        <f t="shared" si="8"/>
        <v>46255</v>
      </c>
      <c r="V72" s="72">
        <v>46192</v>
      </c>
    </row>
    <row r="73" spans="1:22" s="64" customFormat="1" ht="8.5" customHeight="1" x14ac:dyDescent="0.25">
      <c r="A73" s="70" t="s">
        <v>61</v>
      </c>
      <c r="B73" s="70" t="s">
        <v>62</v>
      </c>
      <c r="C73" s="65" t="s">
        <v>111</v>
      </c>
      <c r="D73" s="73" t="s">
        <v>321</v>
      </c>
      <c r="E73" s="65" t="s">
        <v>126</v>
      </c>
      <c r="F73" s="66">
        <f t="shared" si="47"/>
        <v>0.7</v>
      </c>
      <c r="G73" s="66">
        <f t="shared" si="48"/>
        <v>0.7</v>
      </c>
      <c r="H73" s="66">
        <f t="shared" si="49"/>
        <v>1</v>
      </c>
      <c r="I73" s="66">
        <f t="shared" si="50"/>
        <v>0.30000000000000004</v>
      </c>
      <c r="J73" s="82">
        <v>0.15</v>
      </c>
      <c r="K73" s="68">
        <v>46157</v>
      </c>
      <c r="L73" s="68">
        <f t="shared" si="2"/>
        <v>46157</v>
      </c>
      <c r="M73" s="72">
        <v>46135</v>
      </c>
      <c r="N73" s="68">
        <f t="shared" si="3"/>
        <v>46199</v>
      </c>
      <c r="O73" s="68">
        <f t="shared" si="4"/>
        <v>46199</v>
      </c>
      <c r="P73" s="72">
        <v>46185</v>
      </c>
      <c r="Q73" s="72">
        <f t="shared" si="5"/>
        <v>46241</v>
      </c>
      <c r="R73" s="72">
        <f t="shared" si="6"/>
        <v>46241</v>
      </c>
      <c r="S73" s="72">
        <v>46185</v>
      </c>
      <c r="T73" s="72">
        <f t="shared" si="7"/>
        <v>46255</v>
      </c>
      <c r="U73" s="72">
        <f t="shared" si="8"/>
        <v>46255</v>
      </c>
      <c r="V73" s="76">
        <v>46198</v>
      </c>
    </row>
    <row r="74" spans="1:22" s="64" customFormat="1" ht="8.5" customHeight="1" x14ac:dyDescent="0.25">
      <c r="A74" s="70" t="s">
        <v>61</v>
      </c>
      <c r="B74" s="70" t="s">
        <v>62</v>
      </c>
      <c r="C74" s="65" t="s">
        <v>111</v>
      </c>
      <c r="D74" s="73" t="s">
        <v>322</v>
      </c>
      <c r="E74" s="65" t="s">
        <v>127</v>
      </c>
      <c r="F74" s="66">
        <f t="shared" si="47"/>
        <v>0.7</v>
      </c>
      <c r="G74" s="66">
        <f t="shared" si="48"/>
        <v>0.7</v>
      </c>
      <c r="H74" s="66">
        <f t="shared" si="49"/>
        <v>0.5</v>
      </c>
      <c r="I74" s="66">
        <f t="shared" si="50"/>
        <v>-0.19999999999999996</v>
      </c>
      <c r="J74" s="82">
        <v>0.15</v>
      </c>
      <c r="K74" s="68">
        <v>46157</v>
      </c>
      <c r="L74" s="68">
        <f t="shared" si="2"/>
        <v>46157</v>
      </c>
      <c r="M74" s="72">
        <v>46135</v>
      </c>
      <c r="N74" s="68">
        <f t="shared" si="3"/>
        <v>46199</v>
      </c>
      <c r="O74" s="68">
        <f t="shared" si="4"/>
        <v>46199</v>
      </c>
      <c r="P74" s="72"/>
      <c r="Q74" s="72">
        <f t="shared" si="5"/>
        <v>46241</v>
      </c>
      <c r="R74" s="72">
        <f t="shared" si="6"/>
        <v>46241</v>
      </c>
      <c r="S74" s="72"/>
      <c r="T74" s="72">
        <f t="shared" si="7"/>
        <v>46255</v>
      </c>
      <c r="U74" s="72">
        <f t="shared" si="8"/>
        <v>46255</v>
      </c>
      <c r="V74" s="76"/>
    </row>
    <row r="75" spans="1:22" s="64" customFormat="1" ht="9.5" x14ac:dyDescent="0.25">
      <c r="A75" s="70" t="s">
        <v>61</v>
      </c>
      <c r="B75" s="70" t="s">
        <v>62</v>
      </c>
      <c r="C75" s="70" t="s">
        <v>111</v>
      </c>
      <c r="D75" s="75" t="s">
        <v>323</v>
      </c>
      <c r="E75" s="75" t="s">
        <v>128</v>
      </c>
      <c r="F75" s="118">
        <f t="shared" ref="F75:G90" si="51">(COUNTIFS(K75,"&lt;="&amp;$D$1)*50%)+(COUNTIFS(N75,"&lt;="&amp;$D$1)*20%)+(COUNTIFS(Q75,"&lt;="&amp;$D$1)*10%)+(COUNTIFS(T75,"&lt;="&amp;$D$1)*20%)</f>
        <v>0.7</v>
      </c>
      <c r="G75" s="118">
        <f>(COUNTIFS(L75,"&lt;="&amp;$D$1)*50%)+(COUNTIFS(O75,"&lt;="&amp;$D$1)*20%)+(COUNTIFS(R75,"&lt;="&amp;$D$1)*10%)+(COUNTIFS(U75,"&lt;="&amp;$D$1)*20%)</f>
        <v>0.7</v>
      </c>
      <c r="H75" s="118">
        <f t="shared" ref="G75:H97" si="52">(COUNTIFS(M75,"&lt;="&amp;$D$1)*50%)+(COUNTIFS(P75,"&lt;="&amp;$D$1)*20%)+(COUNTIFS(S75,"&lt;="&amp;$D$1)*10%)+(COUNTIFS(V75,"&lt;="&amp;$D$1)*20%)</f>
        <v>0.5</v>
      </c>
      <c r="I75" s="118">
        <f t="shared" ref="I75:I134" si="53">H75-F75</f>
        <v>-0.19999999999999996</v>
      </c>
      <c r="J75" s="82">
        <v>0.15</v>
      </c>
      <c r="K75" s="68">
        <v>46157</v>
      </c>
      <c r="L75" s="72">
        <f t="shared" si="2"/>
        <v>46157</v>
      </c>
      <c r="M75" s="72">
        <v>46135</v>
      </c>
      <c r="N75" s="72">
        <f t="shared" si="3"/>
        <v>46199</v>
      </c>
      <c r="O75" s="72">
        <f t="shared" si="4"/>
        <v>46199</v>
      </c>
      <c r="P75" s="74"/>
      <c r="Q75" s="72">
        <f t="shared" si="5"/>
        <v>46241</v>
      </c>
      <c r="R75" s="72">
        <f t="shared" si="6"/>
        <v>46241</v>
      </c>
      <c r="S75" s="74"/>
      <c r="T75" s="72">
        <f t="shared" si="7"/>
        <v>46255</v>
      </c>
      <c r="U75" s="72">
        <f t="shared" si="8"/>
        <v>46255</v>
      </c>
      <c r="V75" s="72"/>
    </row>
    <row r="76" spans="1:22" s="64" customFormat="1" ht="9.5" x14ac:dyDescent="0.25">
      <c r="A76" s="70" t="s">
        <v>61</v>
      </c>
      <c r="B76" s="70" t="s">
        <v>62</v>
      </c>
      <c r="C76" s="70" t="s">
        <v>111</v>
      </c>
      <c r="D76" s="75" t="s">
        <v>324</v>
      </c>
      <c r="E76" s="75" t="s">
        <v>129</v>
      </c>
      <c r="F76" s="118">
        <f t="shared" si="51"/>
        <v>0.7</v>
      </c>
      <c r="G76" s="118">
        <f t="shared" si="51"/>
        <v>0.7</v>
      </c>
      <c r="H76" s="118">
        <f t="shared" si="52"/>
        <v>1</v>
      </c>
      <c r="I76" s="118">
        <f t="shared" si="53"/>
        <v>0.30000000000000004</v>
      </c>
      <c r="J76" s="82">
        <v>0.15</v>
      </c>
      <c r="K76" s="68">
        <v>46157</v>
      </c>
      <c r="L76" s="72">
        <f t="shared" ref="L76:L147" si="54">K76</f>
        <v>46157</v>
      </c>
      <c r="M76" s="72">
        <v>46135</v>
      </c>
      <c r="N76" s="72">
        <f t="shared" ref="N76:N147" si="55">K76+42</f>
        <v>46199</v>
      </c>
      <c r="O76" s="72">
        <f t="shared" ref="O76:O147" si="56">N76</f>
        <v>46199</v>
      </c>
      <c r="P76" s="72">
        <v>46185</v>
      </c>
      <c r="Q76" s="72">
        <f t="shared" ref="Q76:Q147" si="57">N76+42</f>
        <v>46241</v>
      </c>
      <c r="R76" s="72">
        <f t="shared" ref="R76:R147" si="58">Q76</f>
        <v>46241</v>
      </c>
      <c r="S76" s="72">
        <v>46185</v>
      </c>
      <c r="T76" s="72">
        <f t="shared" ref="T76:T147" si="59">Q76+14</f>
        <v>46255</v>
      </c>
      <c r="U76" s="72">
        <f t="shared" ref="U76:U147" si="60">T76</f>
        <v>46255</v>
      </c>
      <c r="V76" s="76">
        <v>46198</v>
      </c>
    </row>
    <row r="77" spans="1:22" s="64" customFormat="1" ht="9.5" x14ac:dyDescent="0.25">
      <c r="A77" s="70" t="s">
        <v>61</v>
      </c>
      <c r="B77" s="70" t="s">
        <v>62</v>
      </c>
      <c r="C77" s="70" t="s">
        <v>111</v>
      </c>
      <c r="D77" s="75" t="s">
        <v>325</v>
      </c>
      <c r="E77" s="75" t="s">
        <v>130</v>
      </c>
      <c r="F77" s="118">
        <f t="shared" si="51"/>
        <v>0.7</v>
      </c>
      <c r="G77" s="118">
        <f t="shared" si="51"/>
        <v>0.7</v>
      </c>
      <c r="H77" s="118">
        <f t="shared" si="52"/>
        <v>1</v>
      </c>
      <c r="I77" s="118">
        <f t="shared" si="53"/>
        <v>0.30000000000000004</v>
      </c>
      <c r="J77" s="82">
        <v>0.15</v>
      </c>
      <c r="K77" s="68">
        <v>46157</v>
      </c>
      <c r="L77" s="72">
        <f t="shared" si="54"/>
        <v>46157</v>
      </c>
      <c r="M77" s="72">
        <v>46135</v>
      </c>
      <c r="N77" s="72">
        <f t="shared" si="55"/>
        <v>46199</v>
      </c>
      <c r="O77" s="72">
        <f t="shared" si="56"/>
        <v>46199</v>
      </c>
      <c r="P77" s="72">
        <v>46185</v>
      </c>
      <c r="Q77" s="72">
        <f t="shared" si="57"/>
        <v>46241</v>
      </c>
      <c r="R77" s="72">
        <f t="shared" si="58"/>
        <v>46241</v>
      </c>
      <c r="S77" s="72">
        <v>46185</v>
      </c>
      <c r="T77" s="72">
        <f t="shared" si="59"/>
        <v>46255</v>
      </c>
      <c r="U77" s="72">
        <f t="shared" si="60"/>
        <v>46255</v>
      </c>
      <c r="V77" s="76">
        <v>46198</v>
      </c>
    </row>
    <row r="78" spans="1:22" s="64" customFormat="1" ht="9.5" x14ac:dyDescent="0.25">
      <c r="A78" s="70" t="s">
        <v>61</v>
      </c>
      <c r="B78" s="70" t="s">
        <v>62</v>
      </c>
      <c r="C78" s="70" t="s">
        <v>111</v>
      </c>
      <c r="D78" s="75" t="s">
        <v>508</v>
      </c>
      <c r="E78" s="75" t="s">
        <v>509</v>
      </c>
      <c r="F78" s="118">
        <f t="shared" si="51"/>
        <v>0.7</v>
      </c>
      <c r="G78" s="118">
        <f t="shared" si="51"/>
        <v>0.7</v>
      </c>
      <c r="H78" s="118">
        <f t="shared" si="52"/>
        <v>1</v>
      </c>
      <c r="I78" s="118">
        <f t="shared" si="53"/>
        <v>0.30000000000000004</v>
      </c>
      <c r="J78" s="82">
        <v>0.15</v>
      </c>
      <c r="K78" s="68">
        <v>46157</v>
      </c>
      <c r="L78" s="72">
        <f t="shared" si="54"/>
        <v>46157</v>
      </c>
      <c r="M78" s="72">
        <v>46135</v>
      </c>
      <c r="N78" s="72">
        <f t="shared" si="55"/>
        <v>46199</v>
      </c>
      <c r="O78" s="72">
        <f t="shared" si="56"/>
        <v>46199</v>
      </c>
      <c r="P78" s="72">
        <v>46185</v>
      </c>
      <c r="Q78" s="72">
        <f t="shared" si="57"/>
        <v>46241</v>
      </c>
      <c r="R78" s="72">
        <f t="shared" si="58"/>
        <v>46241</v>
      </c>
      <c r="S78" s="72">
        <v>46185</v>
      </c>
      <c r="T78" s="72">
        <f t="shared" si="59"/>
        <v>46255</v>
      </c>
      <c r="U78" s="72">
        <f t="shared" si="60"/>
        <v>46255</v>
      </c>
      <c r="V78" s="72">
        <v>46192</v>
      </c>
    </row>
    <row r="79" spans="1:22" s="64" customFormat="1" ht="9.5" x14ac:dyDescent="0.25">
      <c r="A79" s="70" t="s">
        <v>61</v>
      </c>
      <c r="B79" s="70" t="s">
        <v>62</v>
      </c>
      <c r="C79" s="70" t="s">
        <v>111</v>
      </c>
      <c r="D79" s="75" t="s">
        <v>326</v>
      </c>
      <c r="E79" s="75" t="s">
        <v>131</v>
      </c>
      <c r="F79" s="118">
        <f t="shared" si="51"/>
        <v>0</v>
      </c>
      <c r="G79" s="118">
        <f t="shared" si="51"/>
        <v>0</v>
      </c>
      <c r="H79" s="118">
        <f t="shared" si="52"/>
        <v>0</v>
      </c>
      <c r="I79" s="118">
        <f t="shared" si="53"/>
        <v>0</v>
      </c>
      <c r="J79" s="82">
        <v>0.05</v>
      </c>
      <c r="K79" s="72">
        <v>46234</v>
      </c>
      <c r="L79" s="72">
        <f t="shared" si="54"/>
        <v>46234</v>
      </c>
      <c r="M79" s="72"/>
      <c r="N79" s="72">
        <f t="shared" si="55"/>
        <v>46276</v>
      </c>
      <c r="O79" s="72">
        <f t="shared" si="56"/>
        <v>46276</v>
      </c>
      <c r="P79" s="74"/>
      <c r="Q79" s="72">
        <f t="shared" si="57"/>
        <v>46318</v>
      </c>
      <c r="R79" s="72">
        <f t="shared" si="58"/>
        <v>46318</v>
      </c>
      <c r="S79" s="74"/>
      <c r="T79" s="72">
        <f t="shared" si="59"/>
        <v>46332</v>
      </c>
      <c r="U79" s="72">
        <f t="shared" si="60"/>
        <v>46332</v>
      </c>
      <c r="V79" s="72"/>
    </row>
    <row r="80" spans="1:22" s="64" customFormat="1" ht="9.5" x14ac:dyDescent="0.25">
      <c r="A80" s="70" t="s">
        <v>61</v>
      </c>
      <c r="B80" s="70" t="s">
        <v>62</v>
      </c>
      <c r="C80" s="70" t="s">
        <v>111</v>
      </c>
      <c r="D80" s="75" t="s">
        <v>327</v>
      </c>
      <c r="E80" s="75" t="s">
        <v>132</v>
      </c>
      <c r="F80" s="118">
        <f t="shared" si="51"/>
        <v>0</v>
      </c>
      <c r="G80" s="118">
        <f t="shared" si="51"/>
        <v>0</v>
      </c>
      <c r="H80" s="118">
        <f t="shared" si="52"/>
        <v>0</v>
      </c>
      <c r="I80" s="118">
        <f t="shared" si="53"/>
        <v>0</v>
      </c>
      <c r="J80" s="82">
        <v>0.05</v>
      </c>
      <c r="K80" s="72">
        <v>46234</v>
      </c>
      <c r="L80" s="72">
        <f t="shared" si="54"/>
        <v>46234</v>
      </c>
      <c r="M80" s="72"/>
      <c r="N80" s="72">
        <f t="shared" si="55"/>
        <v>46276</v>
      </c>
      <c r="O80" s="72">
        <f t="shared" si="56"/>
        <v>46276</v>
      </c>
      <c r="P80" s="74"/>
      <c r="Q80" s="72">
        <f t="shared" si="57"/>
        <v>46318</v>
      </c>
      <c r="R80" s="72">
        <f t="shared" si="58"/>
        <v>46318</v>
      </c>
      <c r="S80" s="74"/>
      <c r="T80" s="72">
        <f t="shared" si="59"/>
        <v>46332</v>
      </c>
      <c r="U80" s="72">
        <f t="shared" si="60"/>
        <v>46332</v>
      </c>
      <c r="V80" s="72"/>
    </row>
    <row r="81" spans="1:22" s="64" customFormat="1" ht="9.5" x14ac:dyDescent="0.25">
      <c r="A81" s="70" t="s">
        <v>61</v>
      </c>
      <c r="B81" s="70" t="s">
        <v>62</v>
      </c>
      <c r="C81" s="70" t="s">
        <v>111</v>
      </c>
      <c r="D81" s="75" t="s">
        <v>444</v>
      </c>
      <c r="E81" s="75" t="s">
        <v>445</v>
      </c>
      <c r="F81" s="118">
        <f t="shared" ref="F81" si="61">(COUNTIFS(K81,"&lt;="&amp;$D$1)*50%)+(COUNTIFS(N81,"&lt;="&amp;$D$1)*20%)+(COUNTIFS(Q81,"&lt;="&amp;$D$1)*10%)+(COUNTIFS(T81,"&lt;="&amp;$D$1)*20%)</f>
        <v>0</v>
      </c>
      <c r="G81" s="118">
        <f t="shared" ref="G81" si="62">(COUNTIFS(L81,"&lt;="&amp;$D$1)*50%)+(COUNTIFS(O81,"&lt;="&amp;$D$1)*20%)+(COUNTIFS(R81,"&lt;="&amp;$D$1)*10%)+(COUNTIFS(U81,"&lt;="&amp;$D$1)*20%)</f>
        <v>0</v>
      </c>
      <c r="H81" s="118">
        <f t="shared" ref="H81" si="63">(COUNTIFS(M81,"&lt;="&amp;$D$1)*50%)+(COUNTIFS(P81,"&lt;="&amp;$D$1)*20%)+(COUNTIFS(S81,"&lt;="&amp;$D$1)*10%)+(COUNTIFS(V81,"&lt;="&amp;$D$1)*20%)</f>
        <v>0</v>
      </c>
      <c r="I81" s="118">
        <f t="shared" ref="I81" si="64">H81-F81</f>
        <v>0</v>
      </c>
      <c r="J81" s="82">
        <v>0.05</v>
      </c>
      <c r="K81" s="72">
        <v>46234</v>
      </c>
      <c r="L81" s="72">
        <f t="shared" ref="L81" si="65">K81</f>
        <v>46234</v>
      </c>
      <c r="M81" s="72"/>
      <c r="N81" s="72">
        <f t="shared" ref="N81" si="66">K81+42</f>
        <v>46276</v>
      </c>
      <c r="O81" s="72">
        <f t="shared" ref="O81" si="67">N81</f>
        <v>46276</v>
      </c>
      <c r="P81" s="74"/>
      <c r="Q81" s="72">
        <f t="shared" ref="Q81" si="68">N81+42</f>
        <v>46318</v>
      </c>
      <c r="R81" s="72">
        <f t="shared" ref="R81" si="69">Q81</f>
        <v>46318</v>
      </c>
      <c r="S81" s="74"/>
      <c r="T81" s="72">
        <f t="shared" ref="T81" si="70">Q81+14</f>
        <v>46332</v>
      </c>
      <c r="U81" s="72">
        <f t="shared" ref="U81" si="71">T81</f>
        <v>46332</v>
      </c>
      <c r="V81" s="72"/>
    </row>
    <row r="82" spans="1:22" s="64" customFormat="1" ht="9.5" x14ac:dyDescent="0.25">
      <c r="A82" s="70" t="s">
        <v>61</v>
      </c>
      <c r="B82" s="70" t="s">
        <v>62</v>
      </c>
      <c r="C82" s="70" t="s">
        <v>111</v>
      </c>
      <c r="D82" s="75" t="s">
        <v>328</v>
      </c>
      <c r="E82" s="75" t="s">
        <v>133</v>
      </c>
      <c r="F82" s="118">
        <f t="shared" si="51"/>
        <v>0</v>
      </c>
      <c r="G82" s="118">
        <f t="shared" si="51"/>
        <v>0</v>
      </c>
      <c r="H82" s="118">
        <f t="shared" si="52"/>
        <v>0.5</v>
      </c>
      <c r="I82" s="118">
        <f t="shared" si="53"/>
        <v>0.5</v>
      </c>
      <c r="J82" s="82">
        <v>0.15</v>
      </c>
      <c r="K82" s="72">
        <v>46234</v>
      </c>
      <c r="L82" s="72">
        <f t="shared" si="54"/>
        <v>46234</v>
      </c>
      <c r="M82" s="72">
        <v>46150</v>
      </c>
      <c r="N82" s="72">
        <f t="shared" si="55"/>
        <v>46276</v>
      </c>
      <c r="O82" s="72">
        <f t="shared" si="56"/>
        <v>46276</v>
      </c>
      <c r="P82" s="74"/>
      <c r="Q82" s="72">
        <f t="shared" si="57"/>
        <v>46318</v>
      </c>
      <c r="R82" s="72">
        <f t="shared" si="58"/>
        <v>46318</v>
      </c>
      <c r="S82" s="74"/>
      <c r="T82" s="72">
        <f t="shared" si="59"/>
        <v>46332</v>
      </c>
      <c r="U82" s="72">
        <f t="shared" si="60"/>
        <v>46332</v>
      </c>
      <c r="V82" s="72"/>
    </row>
    <row r="83" spans="1:22" s="64" customFormat="1" ht="9.5" x14ac:dyDescent="0.25">
      <c r="A83" s="70" t="s">
        <v>61</v>
      </c>
      <c r="B83" s="70" t="s">
        <v>62</v>
      </c>
      <c r="C83" s="70" t="s">
        <v>111</v>
      </c>
      <c r="D83" s="75" t="s">
        <v>329</v>
      </c>
      <c r="E83" s="75" t="s">
        <v>134</v>
      </c>
      <c r="F83" s="118">
        <f t="shared" si="51"/>
        <v>0.5</v>
      </c>
      <c r="G83" s="118">
        <f t="shared" si="51"/>
        <v>0.5</v>
      </c>
      <c r="H83" s="118">
        <f t="shared" si="52"/>
        <v>0.5</v>
      </c>
      <c r="I83" s="118">
        <f t="shared" si="53"/>
        <v>0</v>
      </c>
      <c r="J83" s="82">
        <v>0.15</v>
      </c>
      <c r="K83" s="72">
        <v>46171</v>
      </c>
      <c r="L83" s="72">
        <f t="shared" si="54"/>
        <v>46171</v>
      </c>
      <c r="M83" s="72">
        <v>46150</v>
      </c>
      <c r="N83" s="72">
        <f t="shared" si="55"/>
        <v>46213</v>
      </c>
      <c r="O83" s="72">
        <f t="shared" si="56"/>
        <v>46213</v>
      </c>
      <c r="P83" s="74"/>
      <c r="Q83" s="72">
        <f t="shared" si="57"/>
        <v>46255</v>
      </c>
      <c r="R83" s="72">
        <f t="shared" si="58"/>
        <v>46255</v>
      </c>
      <c r="S83" s="74"/>
      <c r="T83" s="72">
        <f t="shared" si="59"/>
        <v>46269</v>
      </c>
      <c r="U83" s="72">
        <f t="shared" si="60"/>
        <v>46269</v>
      </c>
      <c r="V83" s="72"/>
    </row>
    <row r="84" spans="1:22" s="64" customFormat="1" ht="9.5" x14ac:dyDescent="0.25">
      <c r="A84" s="70" t="s">
        <v>61</v>
      </c>
      <c r="B84" s="70" t="s">
        <v>62</v>
      </c>
      <c r="C84" s="70" t="s">
        <v>111</v>
      </c>
      <c r="D84" s="75" t="s">
        <v>330</v>
      </c>
      <c r="E84" s="75" t="s">
        <v>135</v>
      </c>
      <c r="F84" s="118">
        <f t="shared" si="51"/>
        <v>0.5</v>
      </c>
      <c r="G84" s="118">
        <f t="shared" si="51"/>
        <v>0.5</v>
      </c>
      <c r="H84" s="118">
        <f t="shared" si="52"/>
        <v>0.5</v>
      </c>
      <c r="I84" s="118">
        <f t="shared" si="53"/>
        <v>0</v>
      </c>
      <c r="J84" s="82">
        <v>0.15</v>
      </c>
      <c r="K84" s="72">
        <v>46171</v>
      </c>
      <c r="L84" s="72">
        <f t="shared" si="54"/>
        <v>46171</v>
      </c>
      <c r="M84" s="72">
        <v>46150</v>
      </c>
      <c r="N84" s="72">
        <f t="shared" si="55"/>
        <v>46213</v>
      </c>
      <c r="O84" s="72">
        <f t="shared" si="56"/>
        <v>46213</v>
      </c>
      <c r="P84" s="74"/>
      <c r="Q84" s="72">
        <f t="shared" si="57"/>
        <v>46255</v>
      </c>
      <c r="R84" s="72">
        <f t="shared" si="58"/>
        <v>46255</v>
      </c>
      <c r="S84" s="74"/>
      <c r="T84" s="72">
        <f t="shared" si="59"/>
        <v>46269</v>
      </c>
      <c r="U84" s="72">
        <f t="shared" si="60"/>
        <v>46269</v>
      </c>
      <c r="V84" s="72"/>
    </row>
    <row r="85" spans="1:22" s="64" customFormat="1" ht="9.5" x14ac:dyDescent="0.25">
      <c r="A85" s="70" t="s">
        <v>61</v>
      </c>
      <c r="B85" s="70" t="s">
        <v>62</v>
      </c>
      <c r="C85" s="70" t="s">
        <v>111</v>
      </c>
      <c r="D85" s="75" t="s">
        <v>331</v>
      </c>
      <c r="E85" s="75" t="s">
        <v>136</v>
      </c>
      <c r="F85" s="118">
        <f t="shared" si="51"/>
        <v>0.5</v>
      </c>
      <c r="G85" s="118">
        <f t="shared" si="51"/>
        <v>0.5</v>
      </c>
      <c r="H85" s="118">
        <f t="shared" si="52"/>
        <v>0.5</v>
      </c>
      <c r="I85" s="118">
        <f t="shared" si="53"/>
        <v>0</v>
      </c>
      <c r="J85" s="82">
        <v>0.15</v>
      </c>
      <c r="K85" s="72">
        <v>46171</v>
      </c>
      <c r="L85" s="72">
        <f t="shared" si="54"/>
        <v>46171</v>
      </c>
      <c r="M85" s="72">
        <v>46150</v>
      </c>
      <c r="N85" s="72">
        <f t="shared" si="55"/>
        <v>46213</v>
      </c>
      <c r="O85" s="72">
        <f t="shared" si="56"/>
        <v>46213</v>
      </c>
      <c r="P85" s="74"/>
      <c r="Q85" s="72">
        <f t="shared" si="57"/>
        <v>46255</v>
      </c>
      <c r="R85" s="72">
        <f t="shared" si="58"/>
        <v>46255</v>
      </c>
      <c r="S85" s="74"/>
      <c r="T85" s="72">
        <f t="shared" si="59"/>
        <v>46269</v>
      </c>
      <c r="U85" s="72">
        <f t="shared" si="60"/>
        <v>46269</v>
      </c>
      <c r="V85" s="72"/>
    </row>
    <row r="86" spans="1:22" s="64" customFormat="1" ht="9.5" x14ac:dyDescent="0.25">
      <c r="A86" s="70" t="s">
        <v>61</v>
      </c>
      <c r="B86" s="70" t="s">
        <v>62</v>
      </c>
      <c r="C86" s="70" t="s">
        <v>111</v>
      </c>
      <c r="D86" s="75" t="s">
        <v>332</v>
      </c>
      <c r="E86" s="75" t="s">
        <v>137</v>
      </c>
      <c r="F86" s="118">
        <f t="shared" si="51"/>
        <v>0.5</v>
      </c>
      <c r="G86" s="118">
        <f t="shared" si="51"/>
        <v>0.5</v>
      </c>
      <c r="H86" s="118">
        <f t="shared" si="52"/>
        <v>0.5</v>
      </c>
      <c r="I86" s="118">
        <f t="shared" si="53"/>
        <v>0</v>
      </c>
      <c r="J86" s="82">
        <v>0.15</v>
      </c>
      <c r="K86" s="72">
        <v>46171</v>
      </c>
      <c r="L86" s="72">
        <f t="shared" si="54"/>
        <v>46171</v>
      </c>
      <c r="M86" s="72">
        <v>46150</v>
      </c>
      <c r="N86" s="72">
        <f t="shared" si="55"/>
        <v>46213</v>
      </c>
      <c r="O86" s="72">
        <f t="shared" si="56"/>
        <v>46213</v>
      </c>
      <c r="P86" s="74"/>
      <c r="Q86" s="72">
        <f t="shared" si="57"/>
        <v>46255</v>
      </c>
      <c r="R86" s="72">
        <f t="shared" si="58"/>
        <v>46255</v>
      </c>
      <c r="S86" s="74"/>
      <c r="T86" s="72">
        <f t="shared" si="59"/>
        <v>46269</v>
      </c>
      <c r="U86" s="72">
        <f t="shared" si="60"/>
        <v>46269</v>
      </c>
      <c r="V86" s="72"/>
    </row>
    <row r="87" spans="1:22" s="64" customFormat="1" ht="9.5" x14ac:dyDescent="0.25">
      <c r="A87" s="70" t="s">
        <v>61</v>
      </c>
      <c r="B87" s="70" t="s">
        <v>62</v>
      </c>
      <c r="C87" s="70" t="s">
        <v>111</v>
      </c>
      <c r="D87" s="75" t="s">
        <v>333</v>
      </c>
      <c r="E87" s="75" t="s">
        <v>138</v>
      </c>
      <c r="F87" s="118">
        <f t="shared" si="51"/>
        <v>0.5</v>
      </c>
      <c r="G87" s="118">
        <f t="shared" si="51"/>
        <v>0.5</v>
      </c>
      <c r="H87" s="118">
        <f t="shared" si="52"/>
        <v>0.5</v>
      </c>
      <c r="I87" s="118">
        <f t="shared" si="53"/>
        <v>0</v>
      </c>
      <c r="J87" s="82">
        <v>0.15</v>
      </c>
      <c r="K87" s="72">
        <v>46171</v>
      </c>
      <c r="L87" s="72">
        <f t="shared" si="54"/>
        <v>46171</v>
      </c>
      <c r="M87" s="72">
        <v>46150</v>
      </c>
      <c r="N87" s="72">
        <f t="shared" si="55"/>
        <v>46213</v>
      </c>
      <c r="O87" s="72">
        <f t="shared" si="56"/>
        <v>46213</v>
      </c>
      <c r="P87" s="74"/>
      <c r="Q87" s="72">
        <f t="shared" si="57"/>
        <v>46255</v>
      </c>
      <c r="R87" s="72">
        <f t="shared" si="58"/>
        <v>46255</v>
      </c>
      <c r="S87" s="74"/>
      <c r="T87" s="72">
        <f t="shared" si="59"/>
        <v>46269</v>
      </c>
      <c r="U87" s="72">
        <f t="shared" si="60"/>
        <v>46269</v>
      </c>
      <c r="V87" s="72"/>
    </row>
    <row r="88" spans="1:22" s="64" customFormat="1" ht="9.5" x14ac:dyDescent="0.25">
      <c r="A88" s="70" t="s">
        <v>61</v>
      </c>
      <c r="B88" s="70" t="s">
        <v>62</v>
      </c>
      <c r="C88" s="70" t="s">
        <v>111</v>
      </c>
      <c r="D88" s="75" t="s">
        <v>334</v>
      </c>
      <c r="E88" s="75" t="s">
        <v>139</v>
      </c>
      <c r="F88" s="118">
        <f t="shared" si="51"/>
        <v>0.5</v>
      </c>
      <c r="G88" s="118">
        <f t="shared" si="51"/>
        <v>0.5</v>
      </c>
      <c r="H88" s="118">
        <f t="shared" si="52"/>
        <v>0.5</v>
      </c>
      <c r="I88" s="118">
        <f t="shared" si="53"/>
        <v>0</v>
      </c>
      <c r="J88" s="82">
        <v>0.15</v>
      </c>
      <c r="K88" s="72">
        <v>46171</v>
      </c>
      <c r="L88" s="72">
        <f t="shared" si="54"/>
        <v>46171</v>
      </c>
      <c r="M88" s="72">
        <v>46150</v>
      </c>
      <c r="N88" s="72">
        <f t="shared" si="55"/>
        <v>46213</v>
      </c>
      <c r="O88" s="72">
        <f t="shared" si="56"/>
        <v>46213</v>
      </c>
      <c r="P88" s="74"/>
      <c r="Q88" s="72">
        <f t="shared" si="57"/>
        <v>46255</v>
      </c>
      <c r="R88" s="72">
        <f t="shared" si="58"/>
        <v>46255</v>
      </c>
      <c r="S88" s="74"/>
      <c r="T88" s="72">
        <f t="shared" si="59"/>
        <v>46269</v>
      </c>
      <c r="U88" s="72">
        <f t="shared" si="60"/>
        <v>46269</v>
      </c>
      <c r="V88" s="72"/>
    </row>
    <row r="89" spans="1:22" s="64" customFormat="1" ht="9.5" x14ac:dyDescent="0.25">
      <c r="A89" s="70" t="s">
        <v>61</v>
      </c>
      <c r="B89" s="70" t="s">
        <v>62</v>
      </c>
      <c r="C89" s="70" t="s">
        <v>111</v>
      </c>
      <c r="D89" s="75" t="s">
        <v>335</v>
      </c>
      <c r="E89" s="75" t="s">
        <v>140</v>
      </c>
      <c r="F89" s="118">
        <f t="shared" si="51"/>
        <v>0.5</v>
      </c>
      <c r="G89" s="118">
        <f t="shared" si="51"/>
        <v>0.5</v>
      </c>
      <c r="H89" s="118">
        <f t="shared" si="52"/>
        <v>0.5</v>
      </c>
      <c r="I89" s="118">
        <f t="shared" si="53"/>
        <v>0</v>
      </c>
      <c r="J89" s="82">
        <v>0.15</v>
      </c>
      <c r="K89" s="72">
        <v>46171</v>
      </c>
      <c r="L89" s="72">
        <f t="shared" si="54"/>
        <v>46171</v>
      </c>
      <c r="M89" s="72">
        <v>46150</v>
      </c>
      <c r="N89" s="74">
        <f t="shared" si="55"/>
        <v>46213</v>
      </c>
      <c r="O89" s="72">
        <f t="shared" si="56"/>
        <v>46213</v>
      </c>
      <c r="P89" s="74"/>
      <c r="Q89" s="74">
        <f t="shared" si="57"/>
        <v>46255</v>
      </c>
      <c r="R89" s="72">
        <f t="shared" si="58"/>
        <v>46255</v>
      </c>
      <c r="S89" s="74"/>
      <c r="T89" s="72">
        <f t="shared" si="59"/>
        <v>46269</v>
      </c>
      <c r="U89" s="72">
        <f t="shared" si="60"/>
        <v>46269</v>
      </c>
      <c r="V89" s="72"/>
    </row>
    <row r="90" spans="1:22" s="64" customFormat="1" ht="9.5" x14ac:dyDescent="0.25">
      <c r="A90" s="70" t="s">
        <v>61</v>
      </c>
      <c r="B90" s="70" t="s">
        <v>62</v>
      </c>
      <c r="C90" s="70" t="s">
        <v>111</v>
      </c>
      <c r="D90" s="75" t="s">
        <v>336</v>
      </c>
      <c r="E90" s="75" t="s">
        <v>141</v>
      </c>
      <c r="F90" s="118">
        <f t="shared" si="51"/>
        <v>0.5</v>
      </c>
      <c r="G90" s="118">
        <f t="shared" si="51"/>
        <v>0.5</v>
      </c>
      <c r="H90" s="118">
        <f t="shared" si="52"/>
        <v>0.5</v>
      </c>
      <c r="I90" s="118">
        <f t="shared" si="53"/>
        <v>0</v>
      </c>
      <c r="J90" s="82">
        <v>0.15</v>
      </c>
      <c r="K90" s="72">
        <v>46178</v>
      </c>
      <c r="L90" s="72">
        <f t="shared" si="54"/>
        <v>46178</v>
      </c>
      <c r="M90" s="72">
        <v>46150</v>
      </c>
      <c r="N90" s="74">
        <f t="shared" si="55"/>
        <v>46220</v>
      </c>
      <c r="O90" s="72">
        <f t="shared" si="56"/>
        <v>46220</v>
      </c>
      <c r="P90" s="74"/>
      <c r="Q90" s="74">
        <f t="shared" si="57"/>
        <v>46262</v>
      </c>
      <c r="R90" s="72">
        <f t="shared" si="58"/>
        <v>46262</v>
      </c>
      <c r="S90" s="74"/>
      <c r="T90" s="72">
        <f t="shared" si="59"/>
        <v>46276</v>
      </c>
      <c r="U90" s="72">
        <f t="shared" si="60"/>
        <v>46276</v>
      </c>
      <c r="V90" s="72"/>
    </row>
    <row r="91" spans="1:22" s="64" customFormat="1" ht="9.5" x14ac:dyDescent="0.25">
      <c r="A91" s="70" t="s">
        <v>61</v>
      </c>
      <c r="B91" s="70" t="s">
        <v>62</v>
      </c>
      <c r="C91" s="70" t="s">
        <v>111</v>
      </c>
      <c r="D91" s="75" t="s">
        <v>337</v>
      </c>
      <c r="E91" s="75" t="s">
        <v>142</v>
      </c>
      <c r="F91" s="118">
        <f t="shared" ref="F91:H166" si="72">(COUNTIFS(K91,"&lt;="&amp;$D$1)*50%)+(COUNTIFS(N91,"&lt;="&amp;$D$1)*20%)+(COUNTIFS(Q91,"&lt;="&amp;$D$1)*10%)+(COUNTIFS(T91,"&lt;="&amp;$D$1)*20%)</f>
        <v>0.5</v>
      </c>
      <c r="G91" s="118">
        <f t="shared" si="72"/>
        <v>0.5</v>
      </c>
      <c r="H91" s="118">
        <f t="shared" si="52"/>
        <v>0.5</v>
      </c>
      <c r="I91" s="118">
        <f t="shared" si="53"/>
        <v>0</v>
      </c>
      <c r="J91" s="82">
        <v>0.15</v>
      </c>
      <c r="K91" s="72">
        <v>46178</v>
      </c>
      <c r="L91" s="72">
        <f t="shared" si="54"/>
        <v>46178</v>
      </c>
      <c r="M91" s="72">
        <v>46150</v>
      </c>
      <c r="N91" s="74">
        <f t="shared" si="55"/>
        <v>46220</v>
      </c>
      <c r="O91" s="72">
        <f t="shared" si="56"/>
        <v>46220</v>
      </c>
      <c r="P91" s="74"/>
      <c r="Q91" s="74">
        <f t="shared" si="57"/>
        <v>46262</v>
      </c>
      <c r="R91" s="72">
        <f t="shared" si="58"/>
        <v>46262</v>
      </c>
      <c r="S91" s="74"/>
      <c r="T91" s="72">
        <f t="shared" si="59"/>
        <v>46276</v>
      </c>
      <c r="U91" s="72">
        <f t="shared" si="60"/>
        <v>46276</v>
      </c>
      <c r="V91" s="72"/>
    </row>
    <row r="92" spans="1:22" s="64" customFormat="1" ht="9.5" x14ac:dyDescent="0.25">
      <c r="A92" s="70" t="s">
        <v>61</v>
      </c>
      <c r="B92" s="70" t="s">
        <v>62</v>
      </c>
      <c r="C92" s="70" t="s">
        <v>111</v>
      </c>
      <c r="D92" s="75" t="s">
        <v>338</v>
      </c>
      <c r="E92" s="75" t="s">
        <v>143</v>
      </c>
      <c r="F92" s="118">
        <f t="shared" si="72"/>
        <v>0.5</v>
      </c>
      <c r="G92" s="118">
        <f t="shared" si="72"/>
        <v>0.5</v>
      </c>
      <c r="H92" s="118">
        <f t="shared" si="52"/>
        <v>0.5</v>
      </c>
      <c r="I92" s="118">
        <f t="shared" si="53"/>
        <v>0</v>
      </c>
      <c r="J92" s="82">
        <v>0.15</v>
      </c>
      <c r="K92" s="72">
        <v>46178</v>
      </c>
      <c r="L92" s="72">
        <f t="shared" si="54"/>
        <v>46178</v>
      </c>
      <c r="M92" s="72">
        <v>46150</v>
      </c>
      <c r="N92" s="74">
        <f t="shared" si="55"/>
        <v>46220</v>
      </c>
      <c r="O92" s="72">
        <f t="shared" si="56"/>
        <v>46220</v>
      </c>
      <c r="P92" s="74"/>
      <c r="Q92" s="74">
        <f t="shared" si="57"/>
        <v>46262</v>
      </c>
      <c r="R92" s="72">
        <f t="shared" si="58"/>
        <v>46262</v>
      </c>
      <c r="S92" s="74"/>
      <c r="T92" s="72">
        <f t="shared" si="59"/>
        <v>46276</v>
      </c>
      <c r="U92" s="72">
        <f t="shared" si="60"/>
        <v>46276</v>
      </c>
      <c r="V92" s="72"/>
    </row>
    <row r="93" spans="1:22" s="64" customFormat="1" ht="9.5" x14ac:dyDescent="0.25">
      <c r="A93" s="70" t="s">
        <v>61</v>
      </c>
      <c r="B93" s="70" t="s">
        <v>62</v>
      </c>
      <c r="C93" s="70" t="s">
        <v>111</v>
      </c>
      <c r="D93" s="75" t="s">
        <v>339</v>
      </c>
      <c r="E93" s="75" t="s">
        <v>144</v>
      </c>
      <c r="F93" s="118">
        <f t="shared" si="72"/>
        <v>0.5</v>
      </c>
      <c r="G93" s="118">
        <f t="shared" si="72"/>
        <v>0.5</v>
      </c>
      <c r="H93" s="118">
        <f t="shared" si="52"/>
        <v>0.5</v>
      </c>
      <c r="I93" s="118">
        <f t="shared" si="53"/>
        <v>0</v>
      </c>
      <c r="J93" s="82">
        <v>0.15</v>
      </c>
      <c r="K93" s="72">
        <v>46178</v>
      </c>
      <c r="L93" s="72">
        <f t="shared" si="54"/>
        <v>46178</v>
      </c>
      <c r="M93" s="72">
        <v>46150</v>
      </c>
      <c r="N93" s="74">
        <f t="shared" si="55"/>
        <v>46220</v>
      </c>
      <c r="O93" s="72">
        <f t="shared" si="56"/>
        <v>46220</v>
      </c>
      <c r="P93" s="74"/>
      <c r="Q93" s="74">
        <f t="shared" si="57"/>
        <v>46262</v>
      </c>
      <c r="R93" s="72">
        <f t="shared" si="58"/>
        <v>46262</v>
      </c>
      <c r="S93" s="74"/>
      <c r="T93" s="72">
        <f t="shared" si="59"/>
        <v>46276</v>
      </c>
      <c r="U93" s="72">
        <f t="shared" si="60"/>
        <v>46276</v>
      </c>
      <c r="V93" s="72"/>
    </row>
    <row r="94" spans="1:22" s="64" customFormat="1" ht="9.5" x14ac:dyDescent="0.25">
      <c r="A94" s="70" t="s">
        <v>61</v>
      </c>
      <c r="B94" s="70" t="s">
        <v>62</v>
      </c>
      <c r="C94" s="70" t="s">
        <v>111</v>
      </c>
      <c r="D94" s="75" t="s">
        <v>340</v>
      </c>
      <c r="E94" s="75" t="s">
        <v>145</v>
      </c>
      <c r="F94" s="118">
        <f t="shared" si="72"/>
        <v>0.5</v>
      </c>
      <c r="G94" s="118">
        <f t="shared" si="72"/>
        <v>0.5</v>
      </c>
      <c r="H94" s="118">
        <f t="shared" si="52"/>
        <v>0.5</v>
      </c>
      <c r="I94" s="118">
        <f t="shared" si="53"/>
        <v>0</v>
      </c>
      <c r="J94" s="82">
        <v>0.15</v>
      </c>
      <c r="K94" s="72">
        <v>46178</v>
      </c>
      <c r="L94" s="72">
        <f t="shared" si="54"/>
        <v>46178</v>
      </c>
      <c r="M94" s="72">
        <v>46150</v>
      </c>
      <c r="N94" s="74">
        <f t="shared" si="55"/>
        <v>46220</v>
      </c>
      <c r="O94" s="72">
        <f t="shared" si="56"/>
        <v>46220</v>
      </c>
      <c r="P94" s="74"/>
      <c r="Q94" s="74">
        <f t="shared" si="57"/>
        <v>46262</v>
      </c>
      <c r="R94" s="72">
        <f t="shared" si="58"/>
        <v>46262</v>
      </c>
      <c r="S94" s="74"/>
      <c r="T94" s="72">
        <f t="shared" si="59"/>
        <v>46276</v>
      </c>
      <c r="U94" s="72">
        <f t="shared" si="60"/>
        <v>46276</v>
      </c>
      <c r="V94" s="72"/>
    </row>
    <row r="95" spans="1:22" s="64" customFormat="1" ht="9.5" x14ac:dyDescent="0.25">
      <c r="A95" s="70" t="s">
        <v>61</v>
      </c>
      <c r="B95" s="70" t="s">
        <v>62</v>
      </c>
      <c r="C95" s="70" t="s">
        <v>111</v>
      </c>
      <c r="D95" s="75" t="s">
        <v>341</v>
      </c>
      <c r="E95" s="75" t="s">
        <v>146</v>
      </c>
      <c r="F95" s="118">
        <f t="shared" si="72"/>
        <v>0.5</v>
      </c>
      <c r="G95" s="118">
        <f t="shared" si="72"/>
        <v>0.5</v>
      </c>
      <c r="H95" s="118">
        <f t="shared" si="52"/>
        <v>0.5</v>
      </c>
      <c r="I95" s="118">
        <f t="shared" si="53"/>
        <v>0</v>
      </c>
      <c r="J95" s="82">
        <v>0.15</v>
      </c>
      <c r="K95" s="72">
        <v>46178</v>
      </c>
      <c r="L95" s="72">
        <f t="shared" si="54"/>
        <v>46178</v>
      </c>
      <c r="M95" s="72">
        <v>46150</v>
      </c>
      <c r="N95" s="74">
        <f t="shared" si="55"/>
        <v>46220</v>
      </c>
      <c r="O95" s="72">
        <f t="shared" si="56"/>
        <v>46220</v>
      </c>
      <c r="P95" s="74"/>
      <c r="Q95" s="74">
        <f t="shared" si="57"/>
        <v>46262</v>
      </c>
      <c r="R95" s="72">
        <f t="shared" si="58"/>
        <v>46262</v>
      </c>
      <c r="S95" s="74"/>
      <c r="T95" s="72">
        <f t="shared" si="59"/>
        <v>46276</v>
      </c>
      <c r="U95" s="72">
        <f t="shared" si="60"/>
        <v>46276</v>
      </c>
      <c r="V95" s="72"/>
    </row>
    <row r="96" spans="1:22" s="64" customFormat="1" ht="9.5" x14ac:dyDescent="0.25">
      <c r="A96" s="70" t="s">
        <v>61</v>
      </c>
      <c r="B96" s="70" t="s">
        <v>62</v>
      </c>
      <c r="C96" s="70" t="s">
        <v>111</v>
      </c>
      <c r="D96" s="75" t="s">
        <v>342</v>
      </c>
      <c r="E96" s="75" t="s">
        <v>147</v>
      </c>
      <c r="F96" s="118">
        <f t="shared" si="72"/>
        <v>0.5</v>
      </c>
      <c r="G96" s="118">
        <f>(COUNTIFS(L96,"&lt;="&amp;$D$1)*50%)+(COUNTIFS(O96,"&lt;="&amp;$D$1)*20%)+(COUNTIFS(R96,"&lt;="&amp;$D$1)*10%)+(COUNTIFS(U96,"&lt;="&amp;$D$1)*20%)</f>
        <v>0.5</v>
      </c>
      <c r="H96" s="118">
        <f t="shared" si="52"/>
        <v>0.5</v>
      </c>
      <c r="I96" s="118">
        <f t="shared" si="53"/>
        <v>0</v>
      </c>
      <c r="J96" s="82">
        <v>0.15</v>
      </c>
      <c r="K96" s="72">
        <v>46178</v>
      </c>
      <c r="L96" s="72">
        <f t="shared" si="54"/>
        <v>46178</v>
      </c>
      <c r="M96" s="72">
        <v>46150</v>
      </c>
      <c r="N96" s="72">
        <f t="shared" si="55"/>
        <v>46220</v>
      </c>
      <c r="O96" s="72">
        <f t="shared" si="56"/>
        <v>46220</v>
      </c>
      <c r="P96" s="74"/>
      <c r="Q96" s="72">
        <f t="shared" si="57"/>
        <v>46262</v>
      </c>
      <c r="R96" s="72">
        <f t="shared" si="58"/>
        <v>46262</v>
      </c>
      <c r="S96" s="74"/>
      <c r="T96" s="72">
        <f t="shared" si="59"/>
        <v>46276</v>
      </c>
      <c r="U96" s="72">
        <f t="shared" si="60"/>
        <v>46276</v>
      </c>
      <c r="V96" s="72"/>
    </row>
    <row r="97" spans="1:22" s="64" customFormat="1" ht="9.5" x14ac:dyDescent="0.25">
      <c r="A97" s="70" t="s">
        <v>61</v>
      </c>
      <c r="B97" s="70" t="s">
        <v>62</v>
      </c>
      <c r="C97" s="70" t="s">
        <v>111</v>
      </c>
      <c r="D97" s="75" t="s">
        <v>343</v>
      </c>
      <c r="E97" s="75" t="s">
        <v>148</v>
      </c>
      <c r="F97" s="118">
        <f t="shared" si="72"/>
        <v>0.5</v>
      </c>
      <c r="G97" s="118">
        <f t="shared" si="52"/>
        <v>0.5</v>
      </c>
      <c r="H97" s="118">
        <f t="shared" si="52"/>
        <v>0.5</v>
      </c>
      <c r="I97" s="118">
        <f t="shared" si="53"/>
        <v>0</v>
      </c>
      <c r="J97" s="82">
        <v>0.15</v>
      </c>
      <c r="K97" s="72">
        <v>46178</v>
      </c>
      <c r="L97" s="72">
        <f t="shared" si="54"/>
        <v>46178</v>
      </c>
      <c r="M97" s="72">
        <v>46150</v>
      </c>
      <c r="N97" s="72">
        <f t="shared" si="55"/>
        <v>46220</v>
      </c>
      <c r="O97" s="72">
        <f t="shared" si="56"/>
        <v>46220</v>
      </c>
      <c r="P97" s="72"/>
      <c r="Q97" s="72">
        <f t="shared" si="57"/>
        <v>46262</v>
      </c>
      <c r="R97" s="72">
        <f t="shared" si="58"/>
        <v>46262</v>
      </c>
      <c r="S97" s="72"/>
      <c r="T97" s="72">
        <f t="shared" si="59"/>
        <v>46276</v>
      </c>
      <c r="U97" s="72">
        <f t="shared" si="60"/>
        <v>46276</v>
      </c>
      <c r="V97" s="72"/>
    </row>
    <row r="98" spans="1:22" s="64" customFormat="1" ht="9.5" x14ac:dyDescent="0.25">
      <c r="A98" s="70" t="s">
        <v>61</v>
      </c>
      <c r="B98" s="70" t="s">
        <v>62</v>
      </c>
      <c r="C98" s="70" t="s">
        <v>111</v>
      </c>
      <c r="D98" s="75" t="s">
        <v>344</v>
      </c>
      <c r="E98" s="75" t="s">
        <v>149</v>
      </c>
      <c r="F98" s="118">
        <f t="shared" si="72"/>
        <v>0.5</v>
      </c>
      <c r="G98" s="118">
        <f t="shared" si="72"/>
        <v>0.5</v>
      </c>
      <c r="H98" s="118">
        <f t="shared" si="72"/>
        <v>0.5</v>
      </c>
      <c r="I98" s="118">
        <f t="shared" si="53"/>
        <v>0</v>
      </c>
      <c r="J98" s="82">
        <v>0.15</v>
      </c>
      <c r="K98" s="72">
        <v>46178</v>
      </c>
      <c r="L98" s="72">
        <f t="shared" si="54"/>
        <v>46178</v>
      </c>
      <c r="M98" s="72">
        <v>46150</v>
      </c>
      <c r="N98" s="72">
        <f t="shared" si="55"/>
        <v>46220</v>
      </c>
      <c r="O98" s="72">
        <f t="shared" si="56"/>
        <v>46220</v>
      </c>
      <c r="P98" s="72"/>
      <c r="Q98" s="72">
        <f t="shared" si="57"/>
        <v>46262</v>
      </c>
      <c r="R98" s="72">
        <f t="shared" si="58"/>
        <v>46262</v>
      </c>
      <c r="S98" s="72"/>
      <c r="T98" s="72">
        <f t="shared" si="59"/>
        <v>46276</v>
      </c>
      <c r="U98" s="72">
        <f t="shared" si="60"/>
        <v>46276</v>
      </c>
      <c r="V98" s="72"/>
    </row>
    <row r="99" spans="1:22" s="64" customFormat="1" ht="9.5" x14ac:dyDescent="0.25">
      <c r="A99" s="70" t="s">
        <v>61</v>
      </c>
      <c r="B99" s="70" t="s">
        <v>62</v>
      </c>
      <c r="C99" s="70" t="s">
        <v>111</v>
      </c>
      <c r="D99" s="75" t="s">
        <v>345</v>
      </c>
      <c r="E99" s="75" t="s">
        <v>150</v>
      </c>
      <c r="F99" s="118">
        <f t="shared" ref="F99" si="73">(COUNTIFS(K99,"&lt;="&amp;$D$1)*50%)+(COUNTIFS(N99,"&lt;="&amp;$D$1)*20%)+(COUNTIFS(Q99,"&lt;="&amp;$D$1)*10%)+(COUNTIFS(T99,"&lt;="&amp;$D$1)*20%)</f>
        <v>0.5</v>
      </c>
      <c r="G99" s="118">
        <f t="shared" ref="G99" si="74">(COUNTIFS(L99,"&lt;="&amp;$D$1)*50%)+(COUNTIFS(O99,"&lt;="&amp;$D$1)*20%)+(COUNTIFS(R99,"&lt;="&amp;$D$1)*10%)+(COUNTIFS(U99,"&lt;="&amp;$D$1)*20%)</f>
        <v>0.5</v>
      </c>
      <c r="H99" s="118">
        <f t="shared" ref="H99" si="75">(COUNTIFS(M99,"&lt;="&amp;$D$1)*50%)+(COUNTIFS(P99,"&lt;="&amp;$D$1)*20%)+(COUNTIFS(S99,"&lt;="&amp;$D$1)*10%)+(COUNTIFS(V99,"&lt;="&amp;$D$1)*20%)</f>
        <v>0.5</v>
      </c>
      <c r="I99" s="118">
        <f t="shared" ref="I99" si="76">H99-F99</f>
        <v>0</v>
      </c>
      <c r="J99" s="82">
        <v>0.15</v>
      </c>
      <c r="K99" s="72">
        <v>46178</v>
      </c>
      <c r="L99" s="72">
        <f t="shared" si="54"/>
        <v>46178</v>
      </c>
      <c r="M99" s="72">
        <v>46150</v>
      </c>
      <c r="N99" s="72">
        <f t="shared" si="55"/>
        <v>46220</v>
      </c>
      <c r="O99" s="72">
        <f t="shared" si="56"/>
        <v>46220</v>
      </c>
      <c r="P99" s="72"/>
      <c r="Q99" s="72">
        <f t="shared" si="57"/>
        <v>46262</v>
      </c>
      <c r="R99" s="72">
        <f t="shared" si="58"/>
        <v>46262</v>
      </c>
      <c r="S99" s="72"/>
      <c r="T99" s="72">
        <f t="shared" si="59"/>
        <v>46276</v>
      </c>
      <c r="U99" s="72">
        <f t="shared" si="60"/>
        <v>46276</v>
      </c>
      <c r="V99" s="72"/>
    </row>
    <row r="100" spans="1:22" s="64" customFormat="1" ht="9.5" x14ac:dyDescent="0.25">
      <c r="A100" s="70" t="s">
        <v>61</v>
      </c>
      <c r="B100" s="70" t="s">
        <v>62</v>
      </c>
      <c r="C100" s="70" t="s">
        <v>111</v>
      </c>
      <c r="D100" s="75" t="s">
        <v>346</v>
      </c>
      <c r="E100" s="75" t="s">
        <v>151</v>
      </c>
      <c r="F100" s="118">
        <f t="shared" si="72"/>
        <v>0.5</v>
      </c>
      <c r="G100" s="118">
        <f t="shared" si="72"/>
        <v>0.5</v>
      </c>
      <c r="H100" s="118">
        <f t="shared" si="72"/>
        <v>0.5</v>
      </c>
      <c r="I100" s="118">
        <f t="shared" si="53"/>
        <v>0</v>
      </c>
      <c r="J100" s="82">
        <v>0.15</v>
      </c>
      <c r="K100" s="72">
        <v>46178</v>
      </c>
      <c r="L100" s="72">
        <f t="shared" si="54"/>
        <v>46178</v>
      </c>
      <c r="M100" s="72">
        <v>46150</v>
      </c>
      <c r="N100" s="72">
        <f t="shared" si="55"/>
        <v>46220</v>
      </c>
      <c r="O100" s="72">
        <f t="shared" si="56"/>
        <v>46220</v>
      </c>
      <c r="P100" s="72"/>
      <c r="Q100" s="72">
        <f t="shared" si="57"/>
        <v>46262</v>
      </c>
      <c r="R100" s="72">
        <f t="shared" si="58"/>
        <v>46262</v>
      </c>
      <c r="S100" s="72"/>
      <c r="T100" s="72">
        <f t="shared" si="59"/>
        <v>46276</v>
      </c>
      <c r="U100" s="72">
        <f t="shared" si="60"/>
        <v>46276</v>
      </c>
      <c r="V100" s="72"/>
    </row>
    <row r="101" spans="1:22" s="64" customFormat="1" ht="9.5" x14ac:dyDescent="0.25">
      <c r="A101" s="70" t="s">
        <v>61</v>
      </c>
      <c r="B101" s="70" t="s">
        <v>62</v>
      </c>
      <c r="C101" s="70" t="s">
        <v>111</v>
      </c>
      <c r="D101" s="75" t="s">
        <v>347</v>
      </c>
      <c r="E101" s="75" t="s">
        <v>152</v>
      </c>
      <c r="F101" s="118">
        <f t="shared" si="72"/>
        <v>0.5</v>
      </c>
      <c r="G101" s="118">
        <f t="shared" si="72"/>
        <v>0.5</v>
      </c>
      <c r="H101" s="118">
        <f t="shared" si="72"/>
        <v>0.5</v>
      </c>
      <c r="I101" s="118">
        <f t="shared" si="53"/>
        <v>0</v>
      </c>
      <c r="J101" s="82">
        <v>0.15</v>
      </c>
      <c r="K101" s="72">
        <v>46178</v>
      </c>
      <c r="L101" s="72">
        <f t="shared" si="54"/>
        <v>46178</v>
      </c>
      <c r="M101" s="72">
        <v>46150</v>
      </c>
      <c r="N101" s="72">
        <f t="shared" si="55"/>
        <v>46220</v>
      </c>
      <c r="O101" s="72">
        <f t="shared" si="56"/>
        <v>46220</v>
      </c>
      <c r="P101" s="72"/>
      <c r="Q101" s="72">
        <f t="shared" si="57"/>
        <v>46262</v>
      </c>
      <c r="R101" s="72">
        <f t="shared" si="58"/>
        <v>46262</v>
      </c>
      <c r="S101" s="72"/>
      <c r="T101" s="72">
        <f t="shared" si="59"/>
        <v>46276</v>
      </c>
      <c r="U101" s="72">
        <f t="shared" si="60"/>
        <v>46276</v>
      </c>
      <c r="V101" s="72"/>
    </row>
    <row r="102" spans="1:22" s="64" customFormat="1" ht="9.5" x14ac:dyDescent="0.25">
      <c r="A102" s="70" t="s">
        <v>61</v>
      </c>
      <c r="B102" s="70" t="s">
        <v>62</v>
      </c>
      <c r="C102" s="70" t="s">
        <v>111</v>
      </c>
      <c r="D102" s="75" t="s">
        <v>348</v>
      </c>
      <c r="E102" s="75" t="s">
        <v>153</v>
      </c>
      <c r="F102" s="118">
        <f t="shared" si="72"/>
        <v>0.5</v>
      </c>
      <c r="G102" s="118">
        <f t="shared" si="72"/>
        <v>0.5</v>
      </c>
      <c r="H102" s="118">
        <f t="shared" si="72"/>
        <v>0.5</v>
      </c>
      <c r="I102" s="118">
        <f t="shared" si="53"/>
        <v>0</v>
      </c>
      <c r="J102" s="82">
        <v>0.15</v>
      </c>
      <c r="K102" s="72">
        <v>46178</v>
      </c>
      <c r="L102" s="72">
        <f t="shared" si="54"/>
        <v>46178</v>
      </c>
      <c r="M102" s="72">
        <v>46150</v>
      </c>
      <c r="N102" s="72">
        <f t="shared" si="55"/>
        <v>46220</v>
      </c>
      <c r="O102" s="72">
        <f t="shared" si="56"/>
        <v>46220</v>
      </c>
      <c r="P102" s="72"/>
      <c r="Q102" s="72">
        <f t="shared" si="57"/>
        <v>46262</v>
      </c>
      <c r="R102" s="72">
        <f t="shared" si="58"/>
        <v>46262</v>
      </c>
      <c r="S102" s="72"/>
      <c r="T102" s="72">
        <f t="shared" si="59"/>
        <v>46276</v>
      </c>
      <c r="U102" s="72">
        <f t="shared" si="60"/>
        <v>46276</v>
      </c>
      <c r="V102" s="72"/>
    </row>
    <row r="103" spans="1:22" s="64" customFormat="1" ht="9.5" x14ac:dyDescent="0.25">
      <c r="A103" s="70" t="s">
        <v>61</v>
      </c>
      <c r="B103" s="70" t="s">
        <v>62</v>
      </c>
      <c r="C103" s="70" t="s">
        <v>111</v>
      </c>
      <c r="D103" s="75" t="s">
        <v>349</v>
      </c>
      <c r="E103" s="75" t="s">
        <v>154</v>
      </c>
      <c r="F103" s="118">
        <f t="shared" si="72"/>
        <v>0.5</v>
      </c>
      <c r="G103" s="118">
        <f t="shared" si="72"/>
        <v>0.5</v>
      </c>
      <c r="H103" s="118">
        <f t="shared" si="72"/>
        <v>0.5</v>
      </c>
      <c r="I103" s="118">
        <f t="shared" si="53"/>
        <v>0</v>
      </c>
      <c r="J103" s="82">
        <v>0.15</v>
      </c>
      <c r="K103" s="72">
        <v>46178</v>
      </c>
      <c r="L103" s="72">
        <f t="shared" si="54"/>
        <v>46178</v>
      </c>
      <c r="M103" s="72">
        <v>46150</v>
      </c>
      <c r="N103" s="72">
        <f t="shared" si="55"/>
        <v>46220</v>
      </c>
      <c r="O103" s="72">
        <f t="shared" si="56"/>
        <v>46220</v>
      </c>
      <c r="P103" s="72"/>
      <c r="Q103" s="72">
        <f t="shared" si="57"/>
        <v>46262</v>
      </c>
      <c r="R103" s="72">
        <f t="shared" si="58"/>
        <v>46262</v>
      </c>
      <c r="S103" s="72"/>
      <c r="T103" s="72">
        <f t="shared" si="59"/>
        <v>46276</v>
      </c>
      <c r="U103" s="72">
        <f t="shared" si="60"/>
        <v>46276</v>
      </c>
      <c r="V103" s="72"/>
    </row>
    <row r="104" spans="1:22" s="64" customFormat="1" ht="9.5" x14ac:dyDescent="0.25">
      <c r="A104" s="70" t="s">
        <v>61</v>
      </c>
      <c r="B104" s="70" t="s">
        <v>62</v>
      </c>
      <c r="C104" s="70" t="s">
        <v>111</v>
      </c>
      <c r="D104" s="75" t="s">
        <v>350</v>
      </c>
      <c r="E104" s="75" t="s">
        <v>155</v>
      </c>
      <c r="F104" s="118">
        <f t="shared" si="72"/>
        <v>0.5</v>
      </c>
      <c r="G104" s="118">
        <f t="shared" si="72"/>
        <v>0.5</v>
      </c>
      <c r="H104" s="118">
        <f t="shared" si="72"/>
        <v>0.5</v>
      </c>
      <c r="I104" s="118">
        <f t="shared" si="53"/>
        <v>0</v>
      </c>
      <c r="J104" s="82">
        <v>0.15</v>
      </c>
      <c r="K104" s="72">
        <v>46178</v>
      </c>
      <c r="L104" s="72">
        <f t="shared" si="54"/>
        <v>46178</v>
      </c>
      <c r="M104" s="72">
        <v>46150</v>
      </c>
      <c r="N104" s="72">
        <f t="shared" si="55"/>
        <v>46220</v>
      </c>
      <c r="O104" s="72">
        <f t="shared" si="56"/>
        <v>46220</v>
      </c>
      <c r="P104" s="72"/>
      <c r="Q104" s="72">
        <f t="shared" si="57"/>
        <v>46262</v>
      </c>
      <c r="R104" s="72">
        <f t="shared" si="58"/>
        <v>46262</v>
      </c>
      <c r="S104" s="72"/>
      <c r="T104" s="72">
        <f t="shared" si="59"/>
        <v>46276</v>
      </c>
      <c r="U104" s="72">
        <f t="shared" si="60"/>
        <v>46276</v>
      </c>
      <c r="V104" s="72"/>
    </row>
    <row r="105" spans="1:22" s="64" customFormat="1" ht="9.5" x14ac:dyDescent="0.25">
      <c r="A105" s="70" t="s">
        <v>61</v>
      </c>
      <c r="B105" s="70" t="s">
        <v>62</v>
      </c>
      <c r="C105" s="70" t="s">
        <v>111</v>
      </c>
      <c r="D105" s="75" t="s">
        <v>351</v>
      </c>
      <c r="E105" s="75" t="s">
        <v>156</v>
      </c>
      <c r="F105" s="118">
        <f t="shared" si="72"/>
        <v>0.5</v>
      </c>
      <c r="G105" s="118">
        <f t="shared" si="72"/>
        <v>0.5</v>
      </c>
      <c r="H105" s="118">
        <f t="shared" si="72"/>
        <v>0.5</v>
      </c>
      <c r="I105" s="118">
        <f t="shared" si="53"/>
        <v>0</v>
      </c>
      <c r="J105" s="82">
        <v>0.15</v>
      </c>
      <c r="K105" s="72">
        <v>46178</v>
      </c>
      <c r="L105" s="72">
        <f t="shared" si="54"/>
        <v>46178</v>
      </c>
      <c r="M105" s="72">
        <v>46150</v>
      </c>
      <c r="N105" s="72">
        <f t="shared" si="55"/>
        <v>46220</v>
      </c>
      <c r="O105" s="72">
        <f t="shared" si="56"/>
        <v>46220</v>
      </c>
      <c r="P105" s="72"/>
      <c r="Q105" s="72">
        <f t="shared" si="57"/>
        <v>46262</v>
      </c>
      <c r="R105" s="72">
        <f t="shared" si="58"/>
        <v>46262</v>
      </c>
      <c r="S105" s="72"/>
      <c r="T105" s="72">
        <f t="shared" si="59"/>
        <v>46276</v>
      </c>
      <c r="U105" s="72">
        <f t="shared" si="60"/>
        <v>46276</v>
      </c>
      <c r="V105" s="72"/>
    </row>
    <row r="106" spans="1:22" s="64" customFormat="1" ht="9.5" x14ac:dyDescent="0.25">
      <c r="A106" s="70" t="s">
        <v>61</v>
      </c>
      <c r="B106" s="70" t="s">
        <v>62</v>
      </c>
      <c r="C106" s="70" t="s">
        <v>111</v>
      </c>
      <c r="D106" s="75" t="s">
        <v>352</v>
      </c>
      <c r="E106" s="75" t="s">
        <v>157</v>
      </c>
      <c r="F106" s="118">
        <f t="shared" si="72"/>
        <v>0.5</v>
      </c>
      <c r="G106" s="118">
        <f t="shared" si="72"/>
        <v>0.5</v>
      </c>
      <c r="H106" s="118">
        <f t="shared" si="72"/>
        <v>0.5</v>
      </c>
      <c r="I106" s="118">
        <f t="shared" si="53"/>
        <v>0</v>
      </c>
      <c r="J106" s="82">
        <v>0.15</v>
      </c>
      <c r="K106" s="72">
        <v>46178</v>
      </c>
      <c r="L106" s="72">
        <f t="shared" si="54"/>
        <v>46178</v>
      </c>
      <c r="M106" s="72">
        <v>46150</v>
      </c>
      <c r="N106" s="72">
        <f t="shared" si="55"/>
        <v>46220</v>
      </c>
      <c r="O106" s="72">
        <f t="shared" si="56"/>
        <v>46220</v>
      </c>
      <c r="P106" s="72"/>
      <c r="Q106" s="72">
        <f t="shared" si="57"/>
        <v>46262</v>
      </c>
      <c r="R106" s="72">
        <f t="shared" si="58"/>
        <v>46262</v>
      </c>
      <c r="S106" s="72"/>
      <c r="T106" s="72">
        <f t="shared" si="59"/>
        <v>46276</v>
      </c>
      <c r="U106" s="72">
        <f t="shared" si="60"/>
        <v>46276</v>
      </c>
      <c r="V106" s="72"/>
    </row>
    <row r="107" spans="1:22" s="64" customFormat="1" ht="9.5" x14ac:dyDescent="0.25">
      <c r="A107" s="70" t="s">
        <v>61</v>
      </c>
      <c r="B107" s="70" t="s">
        <v>62</v>
      </c>
      <c r="C107" s="70" t="s">
        <v>111</v>
      </c>
      <c r="D107" s="75" t="s">
        <v>353</v>
      </c>
      <c r="E107" s="75" t="s">
        <v>158</v>
      </c>
      <c r="F107" s="118">
        <f t="shared" si="72"/>
        <v>0.5</v>
      </c>
      <c r="G107" s="118">
        <f t="shared" si="72"/>
        <v>0.5</v>
      </c>
      <c r="H107" s="118">
        <f t="shared" si="72"/>
        <v>0.5</v>
      </c>
      <c r="I107" s="118">
        <f t="shared" si="53"/>
        <v>0</v>
      </c>
      <c r="J107" s="82">
        <v>0.15</v>
      </c>
      <c r="K107" s="72">
        <v>46178</v>
      </c>
      <c r="L107" s="72">
        <f t="shared" si="54"/>
        <v>46178</v>
      </c>
      <c r="M107" s="72">
        <v>46150</v>
      </c>
      <c r="N107" s="72">
        <f t="shared" si="55"/>
        <v>46220</v>
      </c>
      <c r="O107" s="72">
        <f t="shared" si="56"/>
        <v>46220</v>
      </c>
      <c r="P107" s="72"/>
      <c r="Q107" s="72">
        <f t="shared" si="57"/>
        <v>46262</v>
      </c>
      <c r="R107" s="72">
        <f t="shared" si="58"/>
        <v>46262</v>
      </c>
      <c r="S107" s="72"/>
      <c r="T107" s="72">
        <f t="shared" si="59"/>
        <v>46276</v>
      </c>
      <c r="U107" s="72">
        <f t="shared" si="60"/>
        <v>46276</v>
      </c>
      <c r="V107" s="72"/>
    </row>
    <row r="108" spans="1:22" s="64" customFormat="1" ht="9.5" x14ac:dyDescent="0.25">
      <c r="A108" s="70" t="s">
        <v>61</v>
      </c>
      <c r="B108" s="70" t="s">
        <v>62</v>
      </c>
      <c r="C108" s="70" t="s">
        <v>111</v>
      </c>
      <c r="D108" s="75" t="s">
        <v>354</v>
      </c>
      <c r="E108" s="75" t="s">
        <v>159</v>
      </c>
      <c r="F108" s="118">
        <f t="shared" si="72"/>
        <v>0.5</v>
      </c>
      <c r="G108" s="118">
        <f t="shared" si="72"/>
        <v>0.5</v>
      </c>
      <c r="H108" s="118">
        <f t="shared" si="72"/>
        <v>0.5</v>
      </c>
      <c r="I108" s="118">
        <f t="shared" si="53"/>
        <v>0</v>
      </c>
      <c r="J108" s="82">
        <v>0.15</v>
      </c>
      <c r="K108" s="72">
        <v>46178</v>
      </c>
      <c r="L108" s="72">
        <f t="shared" si="54"/>
        <v>46178</v>
      </c>
      <c r="M108" s="72">
        <v>46150</v>
      </c>
      <c r="N108" s="72">
        <f t="shared" si="55"/>
        <v>46220</v>
      </c>
      <c r="O108" s="72">
        <f t="shared" si="56"/>
        <v>46220</v>
      </c>
      <c r="P108" s="72"/>
      <c r="Q108" s="72">
        <f t="shared" si="57"/>
        <v>46262</v>
      </c>
      <c r="R108" s="72">
        <f t="shared" si="58"/>
        <v>46262</v>
      </c>
      <c r="S108" s="72"/>
      <c r="T108" s="72">
        <f t="shared" si="59"/>
        <v>46276</v>
      </c>
      <c r="U108" s="72">
        <f t="shared" si="60"/>
        <v>46276</v>
      </c>
      <c r="V108" s="72"/>
    </row>
    <row r="109" spans="1:22" s="64" customFormat="1" ht="9.5" x14ac:dyDescent="0.25">
      <c r="A109" s="70" t="s">
        <v>61</v>
      </c>
      <c r="B109" s="70" t="s">
        <v>62</v>
      </c>
      <c r="C109" s="70" t="s">
        <v>111</v>
      </c>
      <c r="D109" s="75" t="s">
        <v>355</v>
      </c>
      <c r="E109" s="75" t="s">
        <v>160</v>
      </c>
      <c r="F109" s="118">
        <f t="shared" si="72"/>
        <v>0.5</v>
      </c>
      <c r="G109" s="118">
        <f t="shared" si="72"/>
        <v>0.5</v>
      </c>
      <c r="H109" s="118">
        <f t="shared" si="72"/>
        <v>0.5</v>
      </c>
      <c r="I109" s="118">
        <f t="shared" si="53"/>
        <v>0</v>
      </c>
      <c r="J109" s="82">
        <v>0.15</v>
      </c>
      <c r="K109" s="72">
        <v>46178</v>
      </c>
      <c r="L109" s="72">
        <f t="shared" si="54"/>
        <v>46178</v>
      </c>
      <c r="M109" s="72">
        <v>46150</v>
      </c>
      <c r="N109" s="72">
        <f t="shared" si="55"/>
        <v>46220</v>
      </c>
      <c r="O109" s="72">
        <f t="shared" si="56"/>
        <v>46220</v>
      </c>
      <c r="P109" s="72"/>
      <c r="Q109" s="72">
        <f t="shared" si="57"/>
        <v>46262</v>
      </c>
      <c r="R109" s="72">
        <f t="shared" si="58"/>
        <v>46262</v>
      </c>
      <c r="S109" s="72"/>
      <c r="T109" s="72">
        <f t="shared" si="59"/>
        <v>46276</v>
      </c>
      <c r="U109" s="72">
        <f t="shared" si="60"/>
        <v>46276</v>
      </c>
      <c r="V109" s="72"/>
    </row>
    <row r="110" spans="1:22" s="64" customFormat="1" ht="9.5" x14ac:dyDescent="0.25">
      <c r="A110" s="70" t="s">
        <v>61</v>
      </c>
      <c r="B110" s="70" t="s">
        <v>62</v>
      </c>
      <c r="C110" s="70" t="s">
        <v>111</v>
      </c>
      <c r="D110" s="75" t="s">
        <v>356</v>
      </c>
      <c r="E110" s="75" t="s">
        <v>161</v>
      </c>
      <c r="F110" s="118">
        <f t="shared" si="72"/>
        <v>0.5</v>
      </c>
      <c r="G110" s="118">
        <f t="shared" si="72"/>
        <v>0.5</v>
      </c>
      <c r="H110" s="118">
        <f t="shared" si="72"/>
        <v>0.5</v>
      </c>
      <c r="I110" s="118">
        <f t="shared" si="53"/>
        <v>0</v>
      </c>
      <c r="J110" s="82">
        <v>0.15</v>
      </c>
      <c r="K110" s="72">
        <v>46178</v>
      </c>
      <c r="L110" s="72">
        <f t="shared" si="54"/>
        <v>46178</v>
      </c>
      <c r="M110" s="72">
        <v>46150</v>
      </c>
      <c r="N110" s="72">
        <f t="shared" si="55"/>
        <v>46220</v>
      </c>
      <c r="O110" s="72">
        <f t="shared" si="56"/>
        <v>46220</v>
      </c>
      <c r="P110" s="72"/>
      <c r="Q110" s="72">
        <f t="shared" si="57"/>
        <v>46262</v>
      </c>
      <c r="R110" s="72">
        <f t="shared" si="58"/>
        <v>46262</v>
      </c>
      <c r="S110" s="72"/>
      <c r="T110" s="72">
        <f t="shared" si="59"/>
        <v>46276</v>
      </c>
      <c r="U110" s="72">
        <f t="shared" si="60"/>
        <v>46276</v>
      </c>
      <c r="V110" s="72"/>
    </row>
    <row r="111" spans="1:22" s="64" customFormat="1" ht="9.5" x14ac:dyDescent="0.25">
      <c r="A111" s="70" t="s">
        <v>61</v>
      </c>
      <c r="B111" s="70" t="s">
        <v>62</v>
      </c>
      <c r="C111" s="70" t="s">
        <v>111</v>
      </c>
      <c r="D111" s="75" t="s">
        <v>357</v>
      </c>
      <c r="E111" s="75" t="s">
        <v>162</v>
      </c>
      <c r="F111" s="118">
        <f t="shared" si="72"/>
        <v>0.5</v>
      </c>
      <c r="G111" s="118">
        <f t="shared" si="72"/>
        <v>0.5</v>
      </c>
      <c r="H111" s="118">
        <f t="shared" si="72"/>
        <v>0.5</v>
      </c>
      <c r="I111" s="118">
        <f t="shared" si="53"/>
        <v>0</v>
      </c>
      <c r="J111" s="82">
        <v>0.15</v>
      </c>
      <c r="K111" s="72">
        <v>46178</v>
      </c>
      <c r="L111" s="72">
        <f t="shared" si="54"/>
        <v>46178</v>
      </c>
      <c r="M111" s="72">
        <v>46150</v>
      </c>
      <c r="N111" s="72">
        <f t="shared" si="55"/>
        <v>46220</v>
      </c>
      <c r="O111" s="72">
        <f t="shared" si="56"/>
        <v>46220</v>
      </c>
      <c r="P111" s="72"/>
      <c r="Q111" s="72">
        <f t="shared" si="57"/>
        <v>46262</v>
      </c>
      <c r="R111" s="72">
        <f t="shared" si="58"/>
        <v>46262</v>
      </c>
      <c r="S111" s="72"/>
      <c r="T111" s="72">
        <f t="shared" si="59"/>
        <v>46276</v>
      </c>
      <c r="U111" s="72">
        <f t="shared" si="60"/>
        <v>46276</v>
      </c>
      <c r="V111" s="72"/>
    </row>
    <row r="112" spans="1:22" s="64" customFormat="1" ht="9.5" x14ac:dyDescent="0.25">
      <c r="A112" s="70" t="s">
        <v>61</v>
      </c>
      <c r="B112" s="70" t="s">
        <v>62</v>
      </c>
      <c r="C112" s="70" t="s">
        <v>111</v>
      </c>
      <c r="D112" s="75" t="s">
        <v>442</v>
      </c>
      <c r="E112" s="75" t="s">
        <v>443</v>
      </c>
      <c r="F112" s="118">
        <f t="shared" ref="F112" si="77">(COUNTIFS(K112,"&lt;="&amp;$D$1)*50%)+(COUNTIFS(N112,"&lt;="&amp;$D$1)*20%)+(COUNTIFS(Q112,"&lt;="&amp;$D$1)*10%)+(COUNTIFS(T112,"&lt;="&amp;$D$1)*20%)</f>
        <v>0.5</v>
      </c>
      <c r="G112" s="118">
        <f t="shared" ref="G112" si="78">(COUNTIFS(L112,"&lt;="&amp;$D$1)*50%)+(COUNTIFS(O112,"&lt;="&amp;$D$1)*20%)+(COUNTIFS(R112,"&lt;="&amp;$D$1)*10%)+(COUNTIFS(U112,"&lt;="&amp;$D$1)*20%)</f>
        <v>0.5</v>
      </c>
      <c r="H112" s="118">
        <f t="shared" ref="H112" si="79">(COUNTIFS(M112,"&lt;="&amp;$D$1)*50%)+(COUNTIFS(P112,"&lt;="&amp;$D$1)*20%)+(COUNTIFS(S112,"&lt;="&amp;$D$1)*10%)+(COUNTIFS(V112,"&lt;="&amp;$D$1)*20%)</f>
        <v>0.5</v>
      </c>
      <c r="I112" s="118">
        <f t="shared" ref="I112" si="80">H112-F112</f>
        <v>0</v>
      </c>
      <c r="J112" s="82">
        <v>0.15</v>
      </c>
      <c r="K112" s="72">
        <v>46178</v>
      </c>
      <c r="L112" s="72">
        <f t="shared" ref="L112" si="81">K112</f>
        <v>46178</v>
      </c>
      <c r="M112" s="72">
        <v>46150</v>
      </c>
      <c r="N112" s="72">
        <f t="shared" ref="N112" si="82">K112+42</f>
        <v>46220</v>
      </c>
      <c r="O112" s="72">
        <f t="shared" ref="O112" si="83">N112</f>
        <v>46220</v>
      </c>
      <c r="P112" s="72"/>
      <c r="Q112" s="72">
        <f t="shared" ref="Q112" si="84">N112+42</f>
        <v>46262</v>
      </c>
      <c r="R112" s="72">
        <f t="shared" ref="R112" si="85">Q112</f>
        <v>46262</v>
      </c>
      <c r="S112" s="72"/>
      <c r="T112" s="72">
        <f t="shared" ref="T112" si="86">Q112+14</f>
        <v>46276</v>
      </c>
      <c r="U112" s="72">
        <f t="shared" ref="U112" si="87">T112</f>
        <v>46276</v>
      </c>
      <c r="V112" s="72"/>
    </row>
    <row r="113" spans="1:22" s="64" customFormat="1" ht="9.5" x14ac:dyDescent="0.25">
      <c r="A113" s="70" t="s">
        <v>61</v>
      </c>
      <c r="B113" s="70" t="s">
        <v>62</v>
      </c>
      <c r="C113" s="70" t="s">
        <v>111</v>
      </c>
      <c r="D113" s="75" t="s">
        <v>358</v>
      </c>
      <c r="E113" s="75" t="s">
        <v>163</v>
      </c>
      <c r="F113" s="118">
        <f t="shared" si="72"/>
        <v>0.5</v>
      </c>
      <c r="G113" s="118">
        <f t="shared" si="72"/>
        <v>0.5</v>
      </c>
      <c r="H113" s="118">
        <f t="shared" si="72"/>
        <v>0.5</v>
      </c>
      <c r="I113" s="118">
        <f t="shared" si="53"/>
        <v>0</v>
      </c>
      <c r="J113" s="82">
        <v>0.15</v>
      </c>
      <c r="K113" s="72">
        <v>46185</v>
      </c>
      <c r="L113" s="72">
        <f t="shared" si="54"/>
        <v>46185</v>
      </c>
      <c r="M113" s="72">
        <v>46171</v>
      </c>
      <c r="N113" s="72">
        <f t="shared" si="55"/>
        <v>46227</v>
      </c>
      <c r="O113" s="72">
        <f t="shared" si="56"/>
        <v>46227</v>
      </c>
      <c r="P113" s="72"/>
      <c r="Q113" s="72">
        <f t="shared" si="57"/>
        <v>46269</v>
      </c>
      <c r="R113" s="72">
        <f t="shared" si="58"/>
        <v>46269</v>
      </c>
      <c r="S113" s="72"/>
      <c r="T113" s="72">
        <f t="shared" si="59"/>
        <v>46283</v>
      </c>
      <c r="U113" s="72">
        <f t="shared" si="60"/>
        <v>46283</v>
      </c>
      <c r="V113" s="72"/>
    </row>
    <row r="114" spans="1:22" s="64" customFormat="1" ht="9.5" x14ac:dyDescent="0.25">
      <c r="A114" s="70" t="s">
        <v>61</v>
      </c>
      <c r="B114" s="70" t="s">
        <v>62</v>
      </c>
      <c r="C114" s="70" t="s">
        <v>111</v>
      </c>
      <c r="D114" s="75" t="s">
        <v>359</v>
      </c>
      <c r="E114" s="75" t="s">
        <v>164</v>
      </c>
      <c r="F114" s="118">
        <f t="shared" si="72"/>
        <v>0.5</v>
      </c>
      <c r="G114" s="118">
        <f t="shared" si="72"/>
        <v>0.5</v>
      </c>
      <c r="H114" s="118">
        <f t="shared" si="72"/>
        <v>0.5</v>
      </c>
      <c r="I114" s="118">
        <f t="shared" si="53"/>
        <v>0</v>
      </c>
      <c r="J114" s="82">
        <v>0.15</v>
      </c>
      <c r="K114" s="72">
        <v>46185</v>
      </c>
      <c r="L114" s="72">
        <f t="shared" si="54"/>
        <v>46185</v>
      </c>
      <c r="M114" s="72">
        <v>46171</v>
      </c>
      <c r="N114" s="72">
        <f t="shared" si="55"/>
        <v>46227</v>
      </c>
      <c r="O114" s="72">
        <f t="shared" si="56"/>
        <v>46227</v>
      </c>
      <c r="P114" s="72"/>
      <c r="Q114" s="72">
        <f t="shared" si="57"/>
        <v>46269</v>
      </c>
      <c r="R114" s="72">
        <f t="shared" si="58"/>
        <v>46269</v>
      </c>
      <c r="S114" s="72"/>
      <c r="T114" s="72">
        <f t="shared" si="59"/>
        <v>46283</v>
      </c>
      <c r="U114" s="72">
        <f t="shared" si="60"/>
        <v>46283</v>
      </c>
      <c r="V114" s="72"/>
    </row>
    <row r="115" spans="1:22" s="64" customFormat="1" ht="9.5" x14ac:dyDescent="0.25">
      <c r="A115" s="70" t="s">
        <v>61</v>
      </c>
      <c r="B115" s="70" t="s">
        <v>62</v>
      </c>
      <c r="C115" s="70" t="s">
        <v>111</v>
      </c>
      <c r="D115" s="75" t="s">
        <v>360</v>
      </c>
      <c r="E115" s="75" t="s">
        <v>165</v>
      </c>
      <c r="F115" s="118">
        <f t="shared" si="72"/>
        <v>0.5</v>
      </c>
      <c r="G115" s="118">
        <f t="shared" si="72"/>
        <v>0.5</v>
      </c>
      <c r="H115" s="118">
        <f t="shared" si="72"/>
        <v>0.5</v>
      </c>
      <c r="I115" s="118">
        <f t="shared" si="53"/>
        <v>0</v>
      </c>
      <c r="J115" s="82">
        <v>0.15</v>
      </c>
      <c r="K115" s="72">
        <v>46185</v>
      </c>
      <c r="L115" s="72">
        <f t="shared" si="54"/>
        <v>46185</v>
      </c>
      <c r="M115" s="72">
        <v>46161</v>
      </c>
      <c r="N115" s="72">
        <f t="shared" si="55"/>
        <v>46227</v>
      </c>
      <c r="O115" s="72">
        <f t="shared" si="56"/>
        <v>46227</v>
      </c>
      <c r="P115" s="72"/>
      <c r="Q115" s="72">
        <f t="shared" si="57"/>
        <v>46269</v>
      </c>
      <c r="R115" s="72">
        <f t="shared" si="58"/>
        <v>46269</v>
      </c>
      <c r="S115" s="72"/>
      <c r="T115" s="72">
        <f t="shared" si="59"/>
        <v>46283</v>
      </c>
      <c r="U115" s="72">
        <f t="shared" si="60"/>
        <v>46283</v>
      </c>
      <c r="V115" s="72"/>
    </row>
    <row r="116" spans="1:22" s="64" customFormat="1" ht="9.5" x14ac:dyDescent="0.25">
      <c r="A116" s="70" t="s">
        <v>61</v>
      </c>
      <c r="B116" s="70" t="s">
        <v>62</v>
      </c>
      <c r="C116" s="70" t="s">
        <v>111</v>
      </c>
      <c r="D116" s="75" t="s">
        <v>361</v>
      </c>
      <c r="E116" s="75" t="s">
        <v>166</v>
      </c>
      <c r="F116" s="118">
        <f t="shared" si="72"/>
        <v>0.5</v>
      </c>
      <c r="G116" s="118">
        <f t="shared" si="72"/>
        <v>0.5</v>
      </c>
      <c r="H116" s="118">
        <f t="shared" si="72"/>
        <v>0.5</v>
      </c>
      <c r="I116" s="118">
        <f t="shared" si="53"/>
        <v>0</v>
      </c>
      <c r="J116" s="82">
        <v>0.15</v>
      </c>
      <c r="K116" s="72">
        <v>46185</v>
      </c>
      <c r="L116" s="72">
        <f t="shared" si="54"/>
        <v>46185</v>
      </c>
      <c r="M116" s="72">
        <v>46161</v>
      </c>
      <c r="N116" s="72">
        <f t="shared" si="55"/>
        <v>46227</v>
      </c>
      <c r="O116" s="72">
        <f t="shared" si="56"/>
        <v>46227</v>
      </c>
      <c r="P116" s="72"/>
      <c r="Q116" s="72">
        <f t="shared" si="57"/>
        <v>46269</v>
      </c>
      <c r="R116" s="72">
        <f t="shared" si="58"/>
        <v>46269</v>
      </c>
      <c r="S116" s="72"/>
      <c r="T116" s="72">
        <f t="shared" si="59"/>
        <v>46283</v>
      </c>
      <c r="U116" s="72">
        <f t="shared" si="60"/>
        <v>46283</v>
      </c>
      <c r="V116" s="72"/>
    </row>
    <row r="117" spans="1:22" s="64" customFormat="1" ht="9.5" x14ac:dyDescent="0.25">
      <c r="A117" s="70" t="s">
        <v>61</v>
      </c>
      <c r="B117" s="70" t="s">
        <v>62</v>
      </c>
      <c r="C117" s="70" t="s">
        <v>111</v>
      </c>
      <c r="D117" s="75" t="s">
        <v>362</v>
      </c>
      <c r="E117" s="75" t="s">
        <v>167</v>
      </c>
      <c r="F117" s="118">
        <f t="shared" si="72"/>
        <v>0.5</v>
      </c>
      <c r="G117" s="118">
        <f t="shared" si="72"/>
        <v>0.5</v>
      </c>
      <c r="H117" s="118">
        <f t="shared" si="72"/>
        <v>0.5</v>
      </c>
      <c r="I117" s="118">
        <f t="shared" si="53"/>
        <v>0</v>
      </c>
      <c r="J117" s="82">
        <v>0.15</v>
      </c>
      <c r="K117" s="72">
        <v>46185</v>
      </c>
      <c r="L117" s="72">
        <f t="shared" si="54"/>
        <v>46185</v>
      </c>
      <c r="M117" s="72">
        <v>46161</v>
      </c>
      <c r="N117" s="72">
        <f t="shared" si="55"/>
        <v>46227</v>
      </c>
      <c r="O117" s="72">
        <f t="shared" si="56"/>
        <v>46227</v>
      </c>
      <c r="P117" s="72"/>
      <c r="Q117" s="72">
        <f t="shared" si="57"/>
        <v>46269</v>
      </c>
      <c r="R117" s="72">
        <f t="shared" si="58"/>
        <v>46269</v>
      </c>
      <c r="S117" s="72"/>
      <c r="T117" s="72">
        <f t="shared" si="59"/>
        <v>46283</v>
      </c>
      <c r="U117" s="72">
        <f t="shared" si="60"/>
        <v>46283</v>
      </c>
      <c r="V117" s="72"/>
    </row>
    <row r="118" spans="1:22" s="64" customFormat="1" ht="9.5" x14ac:dyDescent="0.25">
      <c r="A118" s="70" t="s">
        <v>61</v>
      </c>
      <c r="B118" s="70" t="s">
        <v>62</v>
      </c>
      <c r="C118" s="70" t="s">
        <v>111</v>
      </c>
      <c r="D118" s="75" t="s">
        <v>363</v>
      </c>
      <c r="E118" s="75" t="s">
        <v>168</v>
      </c>
      <c r="F118" s="118">
        <f t="shared" si="72"/>
        <v>0.5</v>
      </c>
      <c r="G118" s="118">
        <f t="shared" si="72"/>
        <v>0.5</v>
      </c>
      <c r="H118" s="118">
        <f t="shared" si="72"/>
        <v>0.5</v>
      </c>
      <c r="I118" s="118">
        <f t="shared" si="53"/>
        <v>0</v>
      </c>
      <c r="J118" s="82">
        <v>0.15</v>
      </c>
      <c r="K118" s="72">
        <v>46185</v>
      </c>
      <c r="L118" s="72">
        <f t="shared" si="54"/>
        <v>46185</v>
      </c>
      <c r="M118" s="72">
        <v>46161</v>
      </c>
      <c r="N118" s="72">
        <f t="shared" si="55"/>
        <v>46227</v>
      </c>
      <c r="O118" s="72">
        <f t="shared" si="56"/>
        <v>46227</v>
      </c>
      <c r="P118" s="72"/>
      <c r="Q118" s="72">
        <f t="shared" si="57"/>
        <v>46269</v>
      </c>
      <c r="R118" s="72">
        <f t="shared" si="58"/>
        <v>46269</v>
      </c>
      <c r="S118" s="72"/>
      <c r="T118" s="72">
        <f t="shared" si="59"/>
        <v>46283</v>
      </c>
      <c r="U118" s="72">
        <f t="shared" si="60"/>
        <v>46283</v>
      </c>
      <c r="V118" s="72"/>
    </row>
    <row r="119" spans="1:22" s="64" customFormat="1" ht="9.5" x14ac:dyDescent="0.25">
      <c r="A119" s="70" t="s">
        <v>61</v>
      </c>
      <c r="B119" s="70" t="s">
        <v>62</v>
      </c>
      <c r="C119" s="70" t="s">
        <v>111</v>
      </c>
      <c r="D119" s="75" t="s">
        <v>364</v>
      </c>
      <c r="E119" s="75" t="s">
        <v>169</v>
      </c>
      <c r="F119" s="118">
        <f t="shared" si="72"/>
        <v>0.5</v>
      </c>
      <c r="G119" s="118">
        <f t="shared" si="72"/>
        <v>0.5</v>
      </c>
      <c r="H119" s="118">
        <f t="shared" si="72"/>
        <v>0.5</v>
      </c>
      <c r="I119" s="118">
        <f t="shared" si="53"/>
        <v>0</v>
      </c>
      <c r="J119" s="82">
        <v>0.15</v>
      </c>
      <c r="K119" s="72">
        <v>46185</v>
      </c>
      <c r="L119" s="72">
        <f t="shared" si="54"/>
        <v>46185</v>
      </c>
      <c r="M119" s="72">
        <v>46161</v>
      </c>
      <c r="N119" s="72">
        <f t="shared" si="55"/>
        <v>46227</v>
      </c>
      <c r="O119" s="72">
        <f t="shared" si="56"/>
        <v>46227</v>
      </c>
      <c r="P119" s="72"/>
      <c r="Q119" s="72">
        <f t="shared" si="57"/>
        <v>46269</v>
      </c>
      <c r="R119" s="72">
        <f t="shared" si="58"/>
        <v>46269</v>
      </c>
      <c r="S119" s="72"/>
      <c r="T119" s="72">
        <f t="shared" si="59"/>
        <v>46283</v>
      </c>
      <c r="U119" s="72">
        <f t="shared" si="60"/>
        <v>46283</v>
      </c>
      <c r="V119" s="72"/>
    </row>
    <row r="120" spans="1:22" s="64" customFormat="1" ht="9.5" x14ac:dyDescent="0.25">
      <c r="A120" s="70" t="s">
        <v>61</v>
      </c>
      <c r="B120" s="70" t="s">
        <v>62</v>
      </c>
      <c r="C120" s="70" t="s">
        <v>111</v>
      </c>
      <c r="D120" s="75" t="s">
        <v>365</v>
      </c>
      <c r="E120" s="75" t="s">
        <v>170</v>
      </c>
      <c r="F120" s="118">
        <f t="shared" si="72"/>
        <v>0.5</v>
      </c>
      <c r="G120" s="118">
        <f t="shared" si="72"/>
        <v>0.5</v>
      </c>
      <c r="H120" s="118">
        <f t="shared" si="72"/>
        <v>0.5</v>
      </c>
      <c r="I120" s="118">
        <f t="shared" si="53"/>
        <v>0</v>
      </c>
      <c r="J120" s="82">
        <v>0.15</v>
      </c>
      <c r="K120" s="72">
        <v>46185</v>
      </c>
      <c r="L120" s="72">
        <f t="shared" si="54"/>
        <v>46185</v>
      </c>
      <c r="M120" s="72">
        <v>46161</v>
      </c>
      <c r="N120" s="72">
        <f t="shared" si="55"/>
        <v>46227</v>
      </c>
      <c r="O120" s="72">
        <f t="shared" si="56"/>
        <v>46227</v>
      </c>
      <c r="P120" s="72"/>
      <c r="Q120" s="72">
        <f t="shared" si="57"/>
        <v>46269</v>
      </c>
      <c r="R120" s="72">
        <f t="shared" si="58"/>
        <v>46269</v>
      </c>
      <c r="S120" s="72"/>
      <c r="T120" s="72">
        <f t="shared" si="59"/>
        <v>46283</v>
      </c>
      <c r="U120" s="72">
        <f t="shared" si="60"/>
        <v>46283</v>
      </c>
      <c r="V120" s="72"/>
    </row>
    <row r="121" spans="1:22" s="64" customFormat="1" ht="9.5" x14ac:dyDescent="0.25">
      <c r="A121" s="70" t="s">
        <v>61</v>
      </c>
      <c r="B121" s="70" t="s">
        <v>62</v>
      </c>
      <c r="C121" s="70" t="s">
        <v>111</v>
      </c>
      <c r="D121" s="75" t="s">
        <v>366</v>
      </c>
      <c r="E121" s="75" t="s">
        <v>171</v>
      </c>
      <c r="F121" s="118">
        <f t="shared" si="72"/>
        <v>0.5</v>
      </c>
      <c r="G121" s="118">
        <f t="shared" si="72"/>
        <v>0.5</v>
      </c>
      <c r="H121" s="118">
        <f t="shared" si="72"/>
        <v>0.5</v>
      </c>
      <c r="I121" s="118">
        <f t="shared" si="53"/>
        <v>0</v>
      </c>
      <c r="J121" s="82">
        <v>0.15</v>
      </c>
      <c r="K121" s="72">
        <v>46185</v>
      </c>
      <c r="L121" s="72">
        <f t="shared" si="54"/>
        <v>46185</v>
      </c>
      <c r="M121" s="72">
        <v>46161</v>
      </c>
      <c r="N121" s="72">
        <f t="shared" si="55"/>
        <v>46227</v>
      </c>
      <c r="O121" s="72">
        <f t="shared" si="56"/>
        <v>46227</v>
      </c>
      <c r="P121" s="72"/>
      <c r="Q121" s="72">
        <f t="shared" si="57"/>
        <v>46269</v>
      </c>
      <c r="R121" s="72">
        <f t="shared" si="58"/>
        <v>46269</v>
      </c>
      <c r="S121" s="72"/>
      <c r="T121" s="72">
        <f t="shared" si="59"/>
        <v>46283</v>
      </c>
      <c r="U121" s="72">
        <f t="shared" si="60"/>
        <v>46283</v>
      </c>
      <c r="V121" s="72"/>
    </row>
    <row r="122" spans="1:22" s="64" customFormat="1" ht="9.5" x14ac:dyDescent="0.25">
      <c r="A122" s="70" t="s">
        <v>61</v>
      </c>
      <c r="B122" s="70" t="s">
        <v>62</v>
      </c>
      <c r="C122" s="70" t="s">
        <v>111</v>
      </c>
      <c r="D122" s="75" t="s">
        <v>367</v>
      </c>
      <c r="E122" s="75" t="s">
        <v>172</v>
      </c>
      <c r="F122" s="118">
        <f t="shared" si="72"/>
        <v>0.5</v>
      </c>
      <c r="G122" s="118">
        <f t="shared" si="72"/>
        <v>0.5</v>
      </c>
      <c r="H122" s="118">
        <f t="shared" si="72"/>
        <v>0.5</v>
      </c>
      <c r="I122" s="118">
        <f t="shared" si="53"/>
        <v>0</v>
      </c>
      <c r="J122" s="82">
        <v>0.15</v>
      </c>
      <c r="K122" s="72">
        <v>46185</v>
      </c>
      <c r="L122" s="72">
        <f t="shared" si="54"/>
        <v>46185</v>
      </c>
      <c r="M122" s="72">
        <v>46161</v>
      </c>
      <c r="N122" s="72">
        <f t="shared" si="55"/>
        <v>46227</v>
      </c>
      <c r="O122" s="72">
        <f t="shared" si="56"/>
        <v>46227</v>
      </c>
      <c r="P122" s="72"/>
      <c r="Q122" s="72">
        <f t="shared" si="57"/>
        <v>46269</v>
      </c>
      <c r="R122" s="72">
        <f t="shared" si="58"/>
        <v>46269</v>
      </c>
      <c r="S122" s="72"/>
      <c r="T122" s="72">
        <f t="shared" si="59"/>
        <v>46283</v>
      </c>
      <c r="U122" s="72">
        <f t="shared" si="60"/>
        <v>46283</v>
      </c>
      <c r="V122" s="72"/>
    </row>
    <row r="123" spans="1:22" s="64" customFormat="1" ht="9.5" x14ac:dyDescent="0.25">
      <c r="A123" s="70" t="s">
        <v>61</v>
      </c>
      <c r="B123" s="70" t="s">
        <v>62</v>
      </c>
      <c r="C123" s="70" t="s">
        <v>111</v>
      </c>
      <c r="D123" s="75" t="s">
        <v>368</v>
      </c>
      <c r="E123" s="75" t="s">
        <v>173</v>
      </c>
      <c r="F123" s="118">
        <f t="shared" si="72"/>
        <v>0.5</v>
      </c>
      <c r="G123" s="118">
        <f t="shared" si="72"/>
        <v>0.5</v>
      </c>
      <c r="H123" s="118">
        <f t="shared" si="72"/>
        <v>0.5</v>
      </c>
      <c r="I123" s="118">
        <f t="shared" si="53"/>
        <v>0</v>
      </c>
      <c r="J123" s="82">
        <v>0.15</v>
      </c>
      <c r="K123" s="72">
        <v>46185</v>
      </c>
      <c r="L123" s="72">
        <f t="shared" si="54"/>
        <v>46185</v>
      </c>
      <c r="M123" s="72">
        <v>46161</v>
      </c>
      <c r="N123" s="72">
        <f t="shared" si="55"/>
        <v>46227</v>
      </c>
      <c r="O123" s="72">
        <f t="shared" si="56"/>
        <v>46227</v>
      </c>
      <c r="P123" s="72"/>
      <c r="Q123" s="72">
        <f t="shared" si="57"/>
        <v>46269</v>
      </c>
      <c r="R123" s="72">
        <f t="shared" si="58"/>
        <v>46269</v>
      </c>
      <c r="S123" s="72"/>
      <c r="T123" s="72">
        <f t="shared" si="59"/>
        <v>46283</v>
      </c>
      <c r="U123" s="72">
        <f t="shared" si="60"/>
        <v>46283</v>
      </c>
      <c r="V123" s="72"/>
    </row>
    <row r="124" spans="1:22" s="64" customFormat="1" ht="9.5" x14ac:dyDescent="0.25">
      <c r="A124" s="70" t="s">
        <v>61</v>
      </c>
      <c r="B124" s="70" t="s">
        <v>62</v>
      </c>
      <c r="C124" s="70" t="s">
        <v>111</v>
      </c>
      <c r="D124" s="75" t="s">
        <v>369</v>
      </c>
      <c r="E124" s="75" t="s">
        <v>174</v>
      </c>
      <c r="F124" s="118">
        <f t="shared" si="72"/>
        <v>0.5</v>
      </c>
      <c r="G124" s="118">
        <f t="shared" si="72"/>
        <v>0.5</v>
      </c>
      <c r="H124" s="118">
        <f t="shared" si="72"/>
        <v>0.5</v>
      </c>
      <c r="I124" s="118">
        <f t="shared" si="53"/>
        <v>0</v>
      </c>
      <c r="J124" s="82">
        <v>0.15</v>
      </c>
      <c r="K124" s="72">
        <v>46185</v>
      </c>
      <c r="L124" s="72">
        <f t="shared" si="54"/>
        <v>46185</v>
      </c>
      <c r="M124" s="72">
        <v>46161</v>
      </c>
      <c r="N124" s="72">
        <f t="shared" si="55"/>
        <v>46227</v>
      </c>
      <c r="O124" s="72">
        <f t="shared" si="56"/>
        <v>46227</v>
      </c>
      <c r="P124" s="72"/>
      <c r="Q124" s="72">
        <f t="shared" si="57"/>
        <v>46269</v>
      </c>
      <c r="R124" s="72">
        <f t="shared" si="58"/>
        <v>46269</v>
      </c>
      <c r="S124" s="72"/>
      <c r="T124" s="72">
        <f t="shared" si="59"/>
        <v>46283</v>
      </c>
      <c r="U124" s="72">
        <f t="shared" si="60"/>
        <v>46283</v>
      </c>
      <c r="V124" s="72"/>
    </row>
    <row r="125" spans="1:22" s="64" customFormat="1" ht="9.5" x14ac:dyDescent="0.25">
      <c r="A125" s="70" t="s">
        <v>61</v>
      </c>
      <c r="B125" s="70" t="s">
        <v>62</v>
      </c>
      <c r="C125" s="70" t="s">
        <v>111</v>
      </c>
      <c r="D125" s="75" t="s">
        <v>370</v>
      </c>
      <c r="E125" s="75" t="s">
        <v>175</v>
      </c>
      <c r="F125" s="118">
        <f t="shared" si="72"/>
        <v>0.5</v>
      </c>
      <c r="G125" s="118">
        <f t="shared" si="72"/>
        <v>0.5</v>
      </c>
      <c r="H125" s="118">
        <f t="shared" si="72"/>
        <v>0.5</v>
      </c>
      <c r="I125" s="118">
        <f t="shared" si="53"/>
        <v>0</v>
      </c>
      <c r="J125" s="82">
        <v>0.15</v>
      </c>
      <c r="K125" s="72">
        <v>46185</v>
      </c>
      <c r="L125" s="72">
        <f t="shared" si="54"/>
        <v>46185</v>
      </c>
      <c r="M125" s="72">
        <v>46161</v>
      </c>
      <c r="N125" s="72">
        <f t="shared" si="55"/>
        <v>46227</v>
      </c>
      <c r="O125" s="72">
        <f t="shared" si="56"/>
        <v>46227</v>
      </c>
      <c r="P125" s="72"/>
      <c r="Q125" s="72">
        <f t="shared" si="57"/>
        <v>46269</v>
      </c>
      <c r="R125" s="72">
        <f t="shared" si="58"/>
        <v>46269</v>
      </c>
      <c r="S125" s="72"/>
      <c r="T125" s="72">
        <f t="shared" si="59"/>
        <v>46283</v>
      </c>
      <c r="U125" s="72">
        <f t="shared" si="60"/>
        <v>46283</v>
      </c>
      <c r="V125" s="72"/>
    </row>
    <row r="126" spans="1:22" s="64" customFormat="1" ht="9.5" x14ac:dyDescent="0.25">
      <c r="A126" s="70" t="s">
        <v>61</v>
      </c>
      <c r="B126" s="70" t="s">
        <v>62</v>
      </c>
      <c r="C126" s="70" t="s">
        <v>111</v>
      </c>
      <c r="D126" s="75" t="s">
        <v>371</v>
      </c>
      <c r="E126" s="75" t="s">
        <v>176</v>
      </c>
      <c r="F126" s="118">
        <f t="shared" si="72"/>
        <v>0.5</v>
      </c>
      <c r="G126" s="118">
        <f t="shared" si="72"/>
        <v>0.5</v>
      </c>
      <c r="H126" s="118">
        <f t="shared" si="72"/>
        <v>0.5</v>
      </c>
      <c r="I126" s="118">
        <f t="shared" si="53"/>
        <v>0</v>
      </c>
      <c r="J126" s="82">
        <v>0.15</v>
      </c>
      <c r="K126" s="72">
        <v>46185</v>
      </c>
      <c r="L126" s="72">
        <f t="shared" si="54"/>
        <v>46185</v>
      </c>
      <c r="M126" s="72">
        <v>46161</v>
      </c>
      <c r="N126" s="72">
        <f t="shared" si="55"/>
        <v>46227</v>
      </c>
      <c r="O126" s="72">
        <f t="shared" si="56"/>
        <v>46227</v>
      </c>
      <c r="P126" s="72"/>
      <c r="Q126" s="72">
        <f t="shared" si="57"/>
        <v>46269</v>
      </c>
      <c r="R126" s="72">
        <f t="shared" si="58"/>
        <v>46269</v>
      </c>
      <c r="S126" s="72"/>
      <c r="T126" s="72">
        <f t="shared" si="59"/>
        <v>46283</v>
      </c>
      <c r="U126" s="72">
        <f t="shared" si="60"/>
        <v>46283</v>
      </c>
      <c r="V126" s="72"/>
    </row>
    <row r="127" spans="1:22" s="64" customFormat="1" ht="9.5" x14ac:dyDescent="0.25">
      <c r="A127" s="70" t="s">
        <v>61</v>
      </c>
      <c r="B127" s="70" t="s">
        <v>62</v>
      </c>
      <c r="C127" s="70" t="s">
        <v>111</v>
      </c>
      <c r="D127" s="75" t="s">
        <v>372</v>
      </c>
      <c r="E127" s="75" t="s">
        <v>177</v>
      </c>
      <c r="F127" s="118">
        <f t="shared" si="72"/>
        <v>0.5</v>
      </c>
      <c r="G127" s="118">
        <f t="shared" si="72"/>
        <v>0.5</v>
      </c>
      <c r="H127" s="118">
        <f>(COUNTIFS(M127,"&lt;="&amp;$D$1)*50%)+(COUNTIFS(P127,"&lt;="&amp;$D$1)*20%)+(COUNTIFS(S127,"&lt;="&amp;$D$1)*10%)+(COUNTIFS(V127,"&lt;="&amp;$D$1)*20%)</f>
        <v>0.5</v>
      </c>
      <c r="I127" s="118">
        <f t="shared" si="53"/>
        <v>0</v>
      </c>
      <c r="J127" s="82">
        <v>0.15</v>
      </c>
      <c r="K127" s="72">
        <v>46185</v>
      </c>
      <c r="L127" s="72">
        <f t="shared" si="54"/>
        <v>46185</v>
      </c>
      <c r="M127" s="72">
        <v>46199</v>
      </c>
      <c r="N127" s="72">
        <f t="shared" si="55"/>
        <v>46227</v>
      </c>
      <c r="O127" s="72">
        <f t="shared" si="56"/>
        <v>46227</v>
      </c>
      <c r="P127" s="72"/>
      <c r="Q127" s="72">
        <f t="shared" si="57"/>
        <v>46269</v>
      </c>
      <c r="R127" s="72">
        <f t="shared" si="58"/>
        <v>46269</v>
      </c>
      <c r="S127" s="72"/>
      <c r="T127" s="72">
        <f t="shared" si="59"/>
        <v>46283</v>
      </c>
      <c r="U127" s="72">
        <f t="shared" si="60"/>
        <v>46283</v>
      </c>
      <c r="V127" s="72"/>
    </row>
    <row r="128" spans="1:22" s="64" customFormat="1" ht="9.5" x14ac:dyDescent="0.25">
      <c r="A128" s="70" t="s">
        <v>61</v>
      </c>
      <c r="B128" s="70" t="s">
        <v>62</v>
      </c>
      <c r="C128" s="70" t="s">
        <v>111</v>
      </c>
      <c r="D128" s="75" t="s">
        <v>373</v>
      </c>
      <c r="E128" s="75" t="s">
        <v>447</v>
      </c>
      <c r="F128" s="118">
        <f t="shared" si="72"/>
        <v>0.5</v>
      </c>
      <c r="G128" s="118">
        <f t="shared" si="72"/>
        <v>0.5</v>
      </c>
      <c r="H128" s="118">
        <f>(COUNTIFS(M128,"&lt;="&amp;$D$1)*50%)+(COUNTIFS(P128,"&lt;="&amp;$D$1)*20%)+(COUNTIFS(S128,"&lt;="&amp;$D$1)*10%)+(COUNTIFS(V128,"&lt;="&amp;$D$1)*20%)</f>
        <v>0.5</v>
      </c>
      <c r="I128" s="118">
        <f t="shared" si="53"/>
        <v>0</v>
      </c>
      <c r="J128" s="82">
        <v>0.15</v>
      </c>
      <c r="K128" s="72">
        <v>46185</v>
      </c>
      <c r="L128" s="72">
        <f t="shared" si="54"/>
        <v>46185</v>
      </c>
      <c r="M128" s="72">
        <v>46199</v>
      </c>
      <c r="N128" s="72">
        <f t="shared" si="55"/>
        <v>46227</v>
      </c>
      <c r="O128" s="72">
        <f t="shared" si="56"/>
        <v>46227</v>
      </c>
      <c r="P128" s="72"/>
      <c r="Q128" s="72">
        <f t="shared" si="57"/>
        <v>46269</v>
      </c>
      <c r="R128" s="72">
        <f t="shared" si="58"/>
        <v>46269</v>
      </c>
      <c r="S128" s="72"/>
      <c r="T128" s="72">
        <f t="shared" si="59"/>
        <v>46283</v>
      </c>
      <c r="U128" s="72">
        <f t="shared" si="60"/>
        <v>46283</v>
      </c>
      <c r="V128" s="72"/>
    </row>
    <row r="129" spans="1:22" s="64" customFormat="1" ht="9.5" x14ac:dyDescent="0.25">
      <c r="A129" s="70" t="s">
        <v>61</v>
      </c>
      <c r="B129" s="70" t="s">
        <v>62</v>
      </c>
      <c r="C129" s="70" t="s">
        <v>111</v>
      </c>
      <c r="D129" s="75" t="s">
        <v>446</v>
      </c>
      <c r="E129" s="75" t="s">
        <v>448</v>
      </c>
      <c r="F129" s="118">
        <f t="shared" ref="F129" si="88">(COUNTIFS(K129,"&lt;="&amp;$D$1)*50%)+(COUNTIFS(N129,"&lt;="&amp;$D$1)*20%)+(COUNTIFS(Q129,"&lt;="&amp;$D$1)*10%)+(COUNTIFS(T129,"&lt;="&amp;$D$1)*20%)</f>
        <v>0.5</v>
      </c>
      <c r="G129" s="118">
        <f t="shared" ref="G129" si="89">(COUNTIFS(L129,"&lt;="&amp;$D$1)*50%)+(COUNTIFS(O129,"&lt;="&amp;$D$1)*20%)+(COUNTIFS(R129,"&lt;="&amp;$D$1)*10%)+(COUNTIFS(U129,"&lt;="&amp;$D$1)*20%)</f>
        <v>0.5</v>
      </c>
      <c r="H129" s="118">
        <f t="shared" ref="H129" si="90">(COUNTIFS(M129,"&lt;="&amp;$D$1)*50%)+(COUNTIFS(P129,"&lt;="&amp;$D$1)*20%)+(COUNTIFS(S129,"&lt;="&amp;$D$1)*10%)+(COUNTIFS(V129,"&lt;="&amp;$D$1)*20%)</f>
        <v>0</v>
      </c>
      <c r="I129" s="118">
        <f t="shared" ref="I129" si="91">H129-F129</f>
        <v>-0.5</v>
      </c>
      <c r="J129" s="82">
        <v>0.15</v>
      </c>
      <c r="K129" s="72">
        <v>46185</v>
      </c>
      <c r="L129" s="72">
        <f t="shared" ref="L129" si="92">K129</f>
        <v>46185</v>
      </c>
      <c r="M129" s="72"/>
      <c r="N129" s="72">
        <f t="shared" ref="N129" si="93">K129+42</f>
        <v>46227</v>
      </c>
      <c r="O129" s="72">
        <f t="shared" ref="O129" si="94">N129</f>
        <v>46227</v>
      </c>
      <c r="P129" s="72"/>
      <c r="Q129" s="72">
        <f t="shared" ref="Q129" si="95">N129+42</f>
        <v>46269</v>
      </c>
      <c r="R129" s="72">
        <f t="shared" ref="R129" si="96">Q129</f>
        <v>46269</v>
      </c>
      <c r="S129" s="72"/>
      <c r="T129" s="72">
        <f t="shared" ref="T129" si="97">Q129+14</f>
        <v>46283</v>
      </c>
      <c r="U129" s="72">
        <f t="shared" ref="U129" si="98">T129</f>
        <v>46283</v>
      </c>
      <c r="V129" s="72"/>
    </row>
    <row r="130" spans="1:22" s="64" customFormat="1" ht="9.5" x14ac:dyDescent="0.25">
      <c r="A130" s="70" t="s">
        <v>61</v>
      </c>
      <c r="B130" s="70" t="s">
        <v>62</v>
      </c>
      <c r="C130" s="70" t="s">
        <v>111</v>
      </c>
      <c r="D130" s="75" t="s">
        <v>374</v>
      </c>
      <c r="E130" s="75" t="s">
        <v>178</v>
      </c>
      <c r="F130" s="118">
        <f t="shared" si="72"/>
        <v>0.5</v>
      </c>
      <c r="G130" s="118">
        <f t="shared" si="72"/>
        <v>0.5</v>
      </c>
      <c r="H130" s="118">
        <f t="shared" si="72"/>
        <v>0.5</v>
      </c>
      <c r="I130" s="118">
        <f t="shared" si="53"/>
        <v>0</v>
      </c>
      <c r="J130" s="82">
        <v>0.15</v>
      </c>
      <c r="K130" s="72">
        <v>46199</v>
      </c>
      <c r="L130" s="72">
        <f t="shared" si="54"/>
        <v>46199</v>
      </c>
      <c r="M130" s="72">
        <v>46171</v>
      </c>
      <c r="N130" s="72">
        <f t="shared" si="55"/>
        <v>46241</v>
      </c>
      <c r="O130" s="72">
        <f t="shared" si="56"/>
        <v>46241</v>
      </c>
      <c r="P130" s="72"/>
      <c r="Q130" s="72">
        <f t="shared" si="57"/>
        <v>46283</v>
      </c>
      <c r="R130" s="72">
        <f t="shared" si="58"/>
        <v>46283</v>
      </c>
      <c r="S130" s="72"/>
      <c r="T130" s="72">
        <f t="shared" si="59"/>
        <v>46297</v>
      </c>
      <c r="U130" s="72">
        <f t="shared" si="60"/>
        <v>46297</v>
      </c>
      <c r="V130" s="72"/>
    </row>
    <row r="131" spans="1:22" s="64" customFormat="1" ht="9.5" x14ac:dyDescent="0.25">
      <c r="A131" s="70" t="s">
        <v>61</v>
      </c>
      <c r="B131" s="70" t="s">
        <v>62</v>
      </c>
      <c r="C131" s="70" t="s">
        <v>111</v>
      </c>
      <c r="D131" s="75" t="s">
        <v>375</v>
      </c>
      <c r="E131" s="75" t="s">
        <v>179</v>
      </c>
      <c r="F131" s="118">
        <f t="shared" si="72"/>
        <v>0.5</v>
      </c>
      <c r="G131" s="118">
        <f t="shared" si="72"/>
        <v>0.5</v>
      </c>
      <c r="H131" s="118">
        <f t="shared" si="72"/>
        <v>0.5</v>
      </c>
      <c r="I131" s="118">
        <f t="shared" si="53"/>
        <v>0</v>
      </c>
      <c r="J131" s="82">
        <v>0.15</v>
      </c>
      <c r="K131" s="72">
        <v>46199</v>
      </c>
      <c r="L131" s="72">
        <f t="shared" si="54"/>
        <v>46199</v>
      </c>
      <c r="M131" s="72">
        <v>46171</v>
      </c>
      <c r="N131" s="72">
        <f t="shared" si="55"/>
        <v>46241</v>
      </c>
      <c r="O131" s="72">
        <f t="shared" si="56"/>
        <v>46241</v>
      </c>
      <c r="P131" s="72"/>
      <c r="Q131" s="72">
        <f t="shared" si="57"/>
        <v>46283</v>
      </c>
      <c r="R131" s="72">
        <f t="shared" si="58"/>
        <v>46283</v>
      </c>
      <c r="S131" s="72"/>
      <c r="T131" s="72">
        <f t="shared" si="59"/>
        <v>46297</v>
      </c>
      <c r="U131" s="72">
        <f t="shared" si="60"/>
        <v>46297</v>
      </c>
      <c r="V131" s="72"/>
    </row>
    <row r="132" spans="1:22" s="95" customFormat="1" ht="9.5" x14ac:dyDescent="0.25">
      <c r="A132" s="70" t="s">
        <v>61</v>
      </c>
      <c r="B132" s="70" t="s">
        <v>62</v>
      </c>
      <c r="C132" s="70" t="s">
        <v>111</v>
      </c>
      <c r="D132" s="126" t="s">
        <v>376</v>
      </c>
      <c r="E132" s="126" t="s">
        <v>180</v>
      </c>
      <c r="F132" s="127">
        <f t="shared" ref="F132" si="99">(COUNTIFS(K132,"&lt;="&amp;$D$1)*50%)+(COUNTIFS(N132,"&lt;="&amp;$D$1)*20%)+(COUNTIFS(Q132,"&lt;="&amp;$D$1)*10%)+(COUNTIFS(T132,"&lt;="&amp;$D$1)*20%)</f>
        <v>0.5</v>
      </c>
      <c r="G132" s="127">
        <f t="shared" ref="G132" si="100">(COUNTIFS(L132,"&lt;="&amp;$D$1)*50%)+(COUNTIFS(O132,"&lt;="&amp;$D$1)*20%)+(COUNTIFS(R132,"&lt;="&amp;$D$1)*10%)+(COUNTIFS(U132,"&lt;="&amp;$D$1)*20%)</f>
        <v>0.5</v>
      </c>
      <c r="H132" s="127">
        <f t="shared" ref="H132" si="101">(COUNTIFS(M132,"&lt;="&amp;$D$1)*50%)+(COUNTIFS(P132,"&lt;="&amp;$D$1)*20%)+(COUNTIFS(S132,"&lt;="&amp;$D$1)*10%)+(COUNTIFS(V132,"&lt;="&amp;$D$1)*20%)</f>
        <v>0.5</v>
      </c>
      <c r="I132" s="127">
        <f t="shared" ref="I132" si="102">H132-F132</f>
        <v>0</v>
      </c>
      <c r="J132" s="82">
        <v>0.15</v>
      </c>
      <c r="K132" s="72">
        <v>46199</v>
      </c>
      <c r="L132" s="74">
        <f t="shared" si="54"/>
        <v>46199</v>
      </c>
      <c r="M132" s="72">
        <v>46171</v>
      </c>
      <c r="N132" s="74">
        <f t="shared" si="55"/>
        <v>46241</v>
      </c>
      <c r="O132" s="74">
        <f t="shared" si="56"/>
        <v>46241</v>
      </c>
      <c r="P132" s="74"/>
      <c r="Q132" s="74">
        <f t="shared" si="57"/>
        <v>46283</v>
      </c>
      <c r="R132" s="74">
        <f t="shared" si="58"/>
        <v>46283</v>
      </c>
      <c r="S132" s="74"/>
      <c r="T132" s="74">
        <f t="shared" si="59"/>
        <v>46297</v>
      </c>
      <c r="U132" s="74">
        <f t="shared" si="60"/>
        <v>46297</v>
      </c>
      <c r="V132" s="72"/>
    </row>
    <row r="133" spans="1:22" s="64" customFormat="1" ht="9.5" x14ac:dyDescent="0.25">
      <c r="A133" s="70" t="s">
        <v>61</v>
      </c>
      <c r="B133" s="70" t="s">
        <v>62</v>
      </c>
      <c r="C133" s="70" t="s">
        <v>111</v>
      </c>
      <c r="D133" s="75" t="s">
        <v>377</v>
      </c>
      <c r="E133" s="75" t="s">
        <v>181</v>
      </c>
      <c r="F133" s="118">
        <f t="shared" si="72"/>
        <v>0.5</v>
      </c>
      <c r="G133" s="118">
        <f t="shared" si="72"/>
        <v>0.5</v>
      </c>
      <c r="H133" s="118">
        <f t="shared" si="72"/>
        <v>0.5</v>
      </c>
      <c r="I133" s="118">
        <f t="shared" si="53"/>
        <v>0</v>
      </c>
      <c r="J133" s="82">
        <v>0.15</v>
      </c>
      <c r="K133" s="72">
        <v>46199</v>
      </c>
      <c r="L133" s="72">
        <f t="shared" si="54"/>
        <v>46199</v>
      </c>
      <c r="M133" s="72">
        <v>46171</v>
      </c>
      <c r="N133" s="72">
        <f t="shared" si="55"/>
        <v>46241</v>
      </c>
      <c r="O133" s="72">
        <f t="shared" si="56"/>
        <v>46241</v>
      </c>
      <c r="P133" s="72"/>
      <c r="Q133" s="72">
        <f t="shared" si="57"/>
        <v>46283</v>
      </c>
      <c r="R133" s="72">
        <f t="shared" si="58"/>
        <v>46283</v>
      </c>
      <c r="S133" s="72"/>
      <c r="T133" s="72">
        <f t="shared" si="59"/>
        <v>46297</v>
      </c>
      <c r="U133" s="72">
        <f t="shared" si="60"/>
        <v>46297</v>
      </c>
      <c r="V133" s="72"/>
    </row>
    <row r="134" spans="1:22" s="64" customFormat="1" ht="9.5" x14ac:dyDescent="0.25">
      <c r="A134" s="70" t="s">
        <v>61</v>
      </c>
      <c r="B134" s="70" t="s">
        <v>62</v>
      </c>
      <c r="C134" s="70" t="s">
        <v>111</v>
      </c>
      <c r="D134" s="75" t="s">
        <v>378</v>
      </c>
      <c r="E134" s="75" t="s">
        <v>182</v>
      </c>
      <c r="F134" s="118">
        <f t="shared" si="72"/>
        <v>0.5</v>
      </c>
      <c r="G134" s="118">
        <f t="shared" si="72"/>
        <v>0.5</v>
      </c>
      <c r="H134" s="118">
        <f t="shared" si="72"/>
        <v>0.5</v>
      </c>
      <c r="I134" s="118">
        <f t="shared" si="53"/>
        <v>0</v>
      </c>
      <c r="J134" s="82">
        <v>0.15</v>
      </c>
      <c r="K134" s="72">
        <v>46199</v>
      </c>
      <c r="L134" s="72">
        <f t="shared" si="54"/>
        <v>46199</v>
      </c>
      <c r="M134" s="72">
        <v>46171</v>
      </c>
      <c r="N134" s="72">
        <f t="shared" si="55"/>
        <v>46241</v>
      </c>
      <c r="O134" s="72">
        <f t="shared" si="56"/>
        <v>46241</v>
      </c>
      <c r="P134" s="72"/>
      <c r="Q134" s="72">
        <f t="shared" si="57"/>
        <v>46283</v>
      </c>
      <c r="R134" s="72">
        <f t="shared" si="58"/>
        <v>46283</v>
      </c>
      <c r="S134" s="72"/>
      <c r="T134" s="72">
        <f t="shared" si="59"/>
        <v>46297</v>
      </c>
      <c r="U134" s="72">
        <f t="shared" si="60"/>
        <v>46297</v>
      </c>
      <c r="V134" s="72"/>
    </row>
    <row r="135" spans="1:22" s="64" customFormat="1" ht="9.5" x14ac:dyDescent="0.25">
      <c r="A135" s="70" t="s">
        <v>61</v>
      </c>
      <c r="B135" s="70" t="s">
        <v>62</v>
      </c>
      <c r="C135" s="70" t="s">
        <v>111</v>
      </c>
      <c r="D135" s="75" t="s">
        <v>449</v>
      </c>
      <c r="E135" s="75" t="s">
        <v>450</v>
      </c>
      <c r="F135" s="118">
        <f t="shared" ref="F135:F137" si="103">(COUNTIFS(K135,"&lt;="&amp;$D$1)*50%)+(COUNTIFS(N135,"&lt;="&amp;$D$1)*20%)+(COUNTIFS(Q135,"&lt;="&amp;$D$1)*10%)+(COUNTIFS(T135,"&lt;="&amp;$D$1)*20%)</f>
        <v>0.5</v>
      </c>
      <c r="G135" s="118">
        <f t="shared" ref="G135:G137" si="104">(COUNTIFS(L135,"&lt;="&amp;$D$1)*50%)+(COUNTIFS(O135,"&lt;="&amp;$D$1)*20%)+(COUNTIFS(R135,"&lt;="&amp;$D$1)*10%)+(COUNTIFS(U135,"&lt;="&amp;$D$1)*20%)</f>
        <v>0.5</v>
      </c>
      <c r="H135" s="118">
        <f t="shared" ref="H135:H137" si="105">(COUNTIFS(M135,"&lt;="&amp;$D$1)*50%)+(COUNTIFS(P135,"&lt;="&amp;$D$1)*20%)+(COUNTIFS(S135,"&lt;="&amp;$D$1)*10%)+(COUNTIFS(V135,"&lt;="&amp;$D$1)*20%)</f>
        <v>0.5</v>
      </c>
      <c r="I135" s="118">
        <f t="shared" ref="I135:I137" si="106">H135-F135</f>
        <v>0</v>
      </c>
      <c r="J135" s="82">
        <v>0.15</v>
      </c>
      <c r="K135" s="72">
        <v>46199</v>
      </c>
      <c r="L135" s="72">
        <f t="shared" ref="L135:L137" si="107">K135</f>
        <v>46199</v>
      </c>
      <c r="M135" s="72">
        <v>46178</v>
      </c>
      <c r="N135" s="72">
        <f t="shared" ref="N135:N137" si="108">K135+42</f>
        <v>46241</v>
      </c>
      <c r="O135" s="72">
        <f t="shared" ref="O135:O137" si="109">N135</f>
        <v>46241</v>
      </c>
      <c r="P135" s="72"/>
      <c r="Q135" s="72">
        <f t="shared" ref="Q135:Q137" si="110">N135+42</f>
        <v>46283</v>
      </c>
      <c r="R135" s="72">
        <f t="shared" ref="R135:R137" si="111">Q135</f>
        <v>46283</v>
      </c>
      <c r="S135" s="72"/>
      <c r="T135" s="72">
        <f t="shared" ref="T135:T137" si="112">Q135+14</f>
        <v>46297</v>
      </c>
      <c r="U135" s="72">
        <f t="shared" ref="U135:U137" si="113">T135</f>
        <v>46297</v>
      </c>
      <c r="V135" s="72"/>
    </row>
    <row r="136" spans="1:22" s="64" customFormat="1" ht="9.5" x14ac:dyDescent="0.25">
      <c r="A136" s="70" t="s">
        <v>61</v>
      </c>
      <c r="B136" s="70" t="s">
        <v>62</v>
      </c>
      <c r="C136" s="70" t="s">
        <v>111</v>
      </c>
      <c r="D136" s="75" t="s">
        <v>451</v>
      </c>
      <c r="E136" s="75" t="s">
        <v>452</v>
      </c>
      <c r="F136" s="118">
        <f t="shared" si="103"/>
        <v>0.5</v>
      </c>
      <c r="G136" s="118">
        <f t="shared" si="104"/>
        <v>0.5</v>
      </c>
      <c r="H136" s="118">
        <f t="shared" si="105"/>
        <v>0.5</v>
      </c>
      <c r="I136" s="118">
        <f t="shared" si="106"/>
        <v>0</v>
      </c>
      <c r="J136" s="82">
        <v>0.1</v>
      </c>
      <c r="K136" s="72">
        <v>46199</v>
      </c>
      <c r="L136" s="72">
        <f t="shared" si="107"/>
        <v>46199</v>
      </c>
      <c r="M136" s="72">
        <v>46178</v>
      </c>
      <c r="N136" s="72">
        <f t="shared" si="108"/>
        <v>46241</v>
      </c>
      <c r="O136" s="72">
        <f t="shared" si="109"/>
        <v>46241</v>
      </c>
      <c r="P136" s="72"/>
      <c r="Q136" s="72">
        <f t="shared" si="110"/>
        <v>46283</v>
      </c>
      <c r="R136" s="72">
        <f t="shared" si="111"/>
        <v>46283</v>
      </c>
      <c r="S136" s="72"/>
      <c r="T136" s="72">
        <f t="shared" si="112"/>
        <v>46297</v>
      </c>
      <c r="U136" s="72">
        <f t="shared" si="113"/>
        <v>46297</v>
      </c>
      <c r="V136" s="72"/>
    </row>
    <row r="137" spans="1:22" s="149" customFormat="1" ht="9.5" x14ac:dyDescent="0.25">
      <c r="A137" s="144" t="s">
        <v>61</v>
      </c>
      <c r="B137" s="144" t="s">
        <v>62</v>
      </c>
      <c r="C137" s="144" t="s">
        <v>111</v>
      </c>
      <c r="D137" s="145" t="s">
        <v>453</v>
      </c>
      <c r="E137" s="145" t="s">
        <v>450</v>
      </c>
      <c r="F137" s="146">
        <f t="shared" si="103"/>
        <v>0.5</v>
      </c>
      <c r="G137" s="146">
        <f t="shared" si="104"/>
        <v>0.5</v>
      </c>
      <c r="H137" s="146">
        <f t="shared" si="105"/>
        <v>0</v>
      </c>
      <c r="I137" s="146">
        <f t="shared" si="106"/>
        <v>-0.5</v>
      </c>
      <c r="J137" s="147"/>
      <c r="K137" s="148">
        <v>46199</v>
      </c>
      <c r="L137" s="148">
        <f t="shared" si="107"/>
        <v>46199</v>
      </c>
      <c r="M137" s="148"/>
      <c r="N137" s="148">
        <f t="shared" si="108"/>
        <v>46241</v>
      </c>
      <c r="O137" s="148">
        <f t="shared" si="109"/>
        <v>46241</v>
      </c>
      <c r="P137" s="148"/>
      <c r="Q137" s="148">
        <f t="shared" si="110"/>
        <v>46283</v>
      </c>
      <c r="R137" s="148">
        <f t="shared" si="111"/>
        <v>46283</v>
      </c>
      <c r="S137" s="148"/>
      <c r="T137" s="148">
        <f t="shared" si="112"/>
        <v>46297</v>
      </c>
      <c r="U137" s="148">
        <f t="shared" si="113"/>
        <v>46297</v>
      </c>
      <c r="V137" s="148"/>
    </row>
    <row r="138" spans="1:22" s="64" customFormat="1" ht="9.5" x14ac:dyDescent="0.25">
      <c r="A138" s="70" t="s">
        <v>61</v>
      </c>
      <c r="B138" s="70" t="s">
        <v>62</v>
      </c>
      <c r="C138" s="70" t="s">
        <v>111</v>
      </c>
      <c r="D138" s="75" t="s">
        <v>379</v>
      </c>
      <c r="E138" s="75" t="s">
        <v>183</v>
      </c>
      <c r="F138" s="118">
        <f t="shared" si="72"/>
        <v>0.5</v>
      </c>
      <c r="G138" s="118">
        <f t="shared" si="72"/>
        <v>0.5</v>
      </c>
      <c r="H138" s="118">
        <f t="shared" si="72"/>
        <v>0.5</v>
      </c>
      <c r="I138" s="118">
        <f t="shared" ref="I138:I224" si="114">H138-F138</f>
        <v>0</v>
      </c>
      <c r="J138" s="82">
        <v>0.15</v>
      </c>
      <c r="K138" s="72">
        <v>46199</v>
      </c>
      <c r="L138" s="72">
        <f t="shared" si="54"/>
        <v>46199</v>
      </c>
      <c r="M138" s="72">
        <v>46199</v>
      </c>
      <c r="N138" s="72">
        <f t="shared" si="55"/>
        <v>46241</v>
      </c>
      <c r="O138" s="72">
        <f t="shared" si="56"/>
        <v>46241</v>
      </c>
      <c r="P138" s="72"/>
      <c r="Q138" s="72">
        <f t="shared" si="57"/>
        <v>46283</v>
      </c>
      <c r="R138" s="72">
        <f t="shared" si="58"/>
        <v>46283</v>
      </c>
      <c r="S138" s="72"/>
      <c r="T138" s="72">
        <f t="shared" si="59"/>
        <v>46297</v>
      </c>
      <c r="U138" s="72">
        <f t="shared" si="60"/>
        <v>46297</v>
      </c>
      <c r="V138" s="72"/>
    </row>
    <row r="139" spans="1:22" s="64" customFormat="1" ht="9.5" x14ac:dyDescent="0.25">
      <c r="A139" s="70" t="s">
        <v>61</v>
      </c>
      <c r="B139" s="70" t="s">
        <v>62</v>
      </c>
      <c r="C139" s="70" t="s">
        <v>111</v>
      </c>
      <c r="D139" s="75" t="s">
        <v>380</v>
      </c>
      <c r="E139" s="75" t="s">
        <v>184</v>
      </c>
      <c r="F139" s="118">
        <f t="shared" si="72"/>
        <v>0.5</v>
      </c>
      <c r="G139" s="118">
        <f t="shared" si="72"/>
        <v>0.5</v>
      </c>
      <c r="H139" s="118">
        <f t="shared" si="72"/>
        <v>0.5</v>
      </c>
      <c r="I139" s="118">
        <f t="shared" si="114"/>
        <v>0</v>
      </c>
      <c r="J139" s="82">
        <v>0.15</v>
      </c>
      <c r="K139" s="72">
        <v>46199</v>
      </c>
      <c r="L139" s="72">
        <f t="shared" si="54"/>
        <v>46199</v>
      </c>
      <c r="M139" s="72">
        <v>46199</v>
      </c>
      <c r="N139" s="72">
        <f t="shared" si="55"/>
        <v>46241</v>
      </c>
      <c r="O139" s="72">
        <f t="shared" si="56"/>
        <v>46241</v>
      </c>
      <c r="P139" s="72"/>
      <c r="Q139" s="72">
        <f t="shared" si="57"/>
        <v>46283</v>
      </c>
      <c r="R139" s="72">
        <f t="shared" si="58"/>
        <v>46283</v>
      </c>
      <c r="S139" s="72"/>
      <c r="T139" s="72">
        <f t="shared" si="59"/>
        <v>46297</v>
      </c>
      <c r="U139" s="72">
        <f t="shared" si="60"/>
        <v>46297</v>
      </c>
      <c r="V139" s="72"/>
    </row>
    <row r="140" spans="1:22" s="64" customFormat="1" ht="9.5" x14ac:dyDescent="0.25">
      <c r="A140" s="70" t="s">
        <v>61</v>
      </c>
      <c r="B140" s="70" t="s">
        <v>62</v>
      </c>
      <c r="C140" s="70" t="s">
        <v>111</v>
      </c>
      <c r="D140" s="75" t="s">
        <v>381</v>
      </c>
      <c r="E140" s="75" t="s">
        <v>185</v>
      </c>
      <c r="F140" s="118">
        <f t="shared" si="72"/>
        <v>0.5</v>
      </c>
      <c r="G140" s="118">
        <f t="shared" si="72"/>
        <v>0.5</v>
      </c>
      <c r="H140" s="118">
        <f t="shared" si="72"/>
        <v>0.5</v>
      </c>
      <c r="I140" s="118">
        <f t="shared" si="114"/>
        <v>0</v>
      </c>
      <c r="J140" s="82">
        <v>0.15</v>
      </c>
      <c r="K140" s="72">
        <v>46199</v>
      </c>
      <c r="L140" s="72">
        <f t="shared" si="54"/>
        <v>46199</v>
      </c>
      <c r="M140" s="72">
        <v>46199</v>
      </c>
      <c r="N140" s="72">
        <f t="shared" si="55"/>
        <v>46241</v>
      </c>
      <c r="O140" s="72">
        <f t="shared" si="56"/>
        <v>46241</v>
      </c>
      <c r="P140" s="72"/>
      <c r="Q140" s="72">
        <f t="shared" si="57"/>
        <v>46283</v>
      </c>
      <c r="R140" s="72">
        <f t="shared" si="58"/>
        <v>46283</v>
      </c>
      <c r="S140" s="72"/>
      <c r="T140" s="72">
        <f t="shared" si="59"/>
        <v>46297</v>
      </c>
      <c r="U140" s="72">
        <f t="shared" si="60"/>
        <v>46297</v>
      </c>
      <c r="V140" s="72"/>
    </row>
    <row r="141" spans="1:22" s="64" customFormat="1" ht="9.5" x14ac:dyDescent="0.25">
      <c r="A141" s="70" t="s">
        <v>61</v>
      </c>
      <c r="B141" s="70" t="s">
        <v>62</v>
      </c>
      <c r="C141" s="70" t="s">
        <v>111</v>
      </c>
      <c r="D141" s="75" t="s">
        <v>382</v>
      </c>
      <c r="E141" s="75" t="s">
        <v>186</v>
      </c>
      <c r="F141" s="118">
        <f t="shared" si="72"/>
        <v>0.5</v>
      </c>
      <c r="G141" s="118">
        <f t="shared" si="72"/>
        <v>0.5</v>
      </c>
      <c r="H141" s="118">
        <f t="shared" si="72"/>
        <v>0.5</v>
      </c>
      <c r="I141" s="118">
        <f t="shared" si="114"/>
        <v>0</v>
      </c>
      <c r="J141" s="82">
        <v>0.15</v>
      </c>
      <c r="K141" s="72">
        <v>46199</v>
      </c>
      <c r="L141" s="72">
        <f t="shared" si="54"/>
        <v>46199</v>
      </c>
      <c r="M141" s="72">
        <v>46199</v>
      </c>
      <c r="N141" s="72">
        <f t="shared" si="55"/>
        <v>46241</v>
      </c>
      <c r="O141" s="72">
        <f t="shared" si="56"/>
        <v>46241</v>
      </c>
      <c r="P141" s="72"/>
      <c r="Q141" s="72">
        <f t="shared" si="57"/>
        <v>46283</v>
      </c>
      <c r="R141" s="72">
        <f t="shared" si="58"/>
        <v>46283</v>
      </c>
      <c r="S141" s="72"/>
      <c r="T141" s="72">
        <f t="shared" si="59"/>
        <v>46297</v>
      </c>
      <c r="U141" s="72">
        <f t="shared" si="60"/>
        <v>46297</v>
      </c>
      <c r="V141" s="72"/>
    </row>
    <row r="142" spans="1:22" s="64" customFormat="1" ht="9.5" x14ac:dyDescent="0.25">
      <c r="A142" s="70" t="s">
        <v>61</v>
      </c>
      <c r="B142" s="70" t="s">
        <v>62</v>
      </c>
      <c r="C142" s="70" t="s">
        <v>111</v>
      </c>
      <c r="D142" s="75" t="s">
        <v>383</v>
      </c>
      <c r="E142" s="75" t="s">
        <v>454</v>
      </c>
      <c r="F142" s="118">
        <f t="shared" si="72"/>
        <v>0.5</v>
      </c>
      <c r="G142" s="118">
        <f t="shared" si="72"/>
        <v>0.5</v>
      </c>
      <c r="H142" s="118">
        <f t="shared" si="72"/>
        <v>0.5</v>
      </c>
      <c r="I142" s="118">
        <f t="shared" si="114"/>
        <v>0</v>
      </c>
      <c r="J142" s="82">
        <v>0.1</v>
      </c>
      <c r="K142" s="72">
        <v>46199</v>
      </c>
      <c r="L142" s="72">
        <f t="shared" si="54"/>
        <v>46199</v>
      </c>
      <c r="M142" s="72">
        <v>46171</v>
      </c>
      <c r="N142" s="72">
        <f t="shared" si="55"/>
        <v>46241</v>
      </c>
      <c r="O142" s="72">
        <f t="shared" si="56"/>
        <v>46241</v>
      </c>
      <c r="P142" s="72"/>
      <c r="Q142" s="72">
        <f t="shared" si="57"/>
        <v>46283</v>
      </c>
      <c r="R142" s="72">
        <f t="shared" si="58"/>
        <v>46283</v>
      </c>
      <c r="S142" s="72"/>
      <c r="T142" s="72">
        <f t="shared" si="59"/>
        <v>46297</v>
      </c>
      <c r="U142" s="72">
        <f t="shared" si="60"/>
        <v>46297</v>
      </c>
      <c r="V142" s="72"/>
    </row>
    <row r="143" spans="1:22" s="149" customFormat="1" ht="9.5" x14ac:dyDescent="0.25">
      <c r="A143" s="144" t="s">
        <v>61</v>
      </c>
      <c r="B143" s="144" t="s">
        <v>62</v>
      </c>
      <c r="C143" s="144" t="s">
        <v>111</v>
      </c>
      <c r="D143" s="145" t="s">
        <v>455</v>
      </c>
      <c r="E143" s="145" t="s">
        <v>456</v>
      </c>
      <c r="F143" s="146"/>
      <c r="G143" s="146">
        <f t="shared" ref="G143:G144" si="115">(COUNTIFS(L143,"&lt;="&amp;$D$1)*50%)+(COUNTIFS(O143,"&lt;="&amp;$D$1)*20%)+(COUNTIFS(R143,"&lt;="&amp;$D$1)*10%)+(COUNTIFS(U143,"&lt;="&amp;$D$1)*20%)</f>
        <v>0.5</v>
      </c>
      <c r="H143" s="146">
        <f t="shared" ref="H143:H144" si="116">(COUNTIFS(M143,"&lt;="&amp;$D$1)*50%)+(COUNTIFS(P143,"&lt;="&amp;$D$1)*20%)+(COUNTIFS(S143,"&lt;="&amp;$D$1)*10%)+(COUNTIFS(V143,"&lt;="&amp;$D$1)*20%)</f>
        <v>0</v>
      </c>
      <c r="I143" s="146">
        <f t="shared" ref="I143:I144" si="117">H143-F143</f>
        <v>0</v>
      </c>
      <c r="J143" s="147"/>
      <c r="K143" s="148">
        <v>46199</v>
      </c>
      <c r="L143" s="148">
        <f t="shared" ref="L143:L144" si="118">K143</f>
        <v>46199</v>
      </c>
      <c r="M143" s="148"/>
      <c r="N143" s="148">
        <f t="shared" ref="N143:N144" si="119">K143+42</f>
        <v>46241</v>
      </c>
      <c r="O143" s="148">
        <f t="shared" ref="O143:O144" si="120">N143</f>
        <v>46241</v>
      </c>
      <c r="P143" s="148"/>
      <c r="Q143" s="148">
        <f t="shared" ref="Q143:Q144" si="121">N143+42</f>
        <v>46283</v>
      </c>
      <c r="R143" s="148">
        <f t="shared" ref="R143:R144" si="122">Q143</f>
        <v>46283</v>
      </c>
      <c r="S143" s="148"/>
      <c r="T143" s="148">
        <f t="shared" ref="T143:T144" si="123">Q143+14</f>
        <v>46297</v>
      </c>
      <c r="U143" s="148">
        <f t="shared" ref="U143:U144" si="124">T143</f>
        <v>46297</v>
      </c>
      <c r="V143" s="148"/>
    </row>
    <row r="144" spans="1:22" s="149" customFormat="1" ht="9.5" x14ac:dyDescent="0.25">
      <c r="A144" s="144" t="s">
        <v>61</v>
      </c>
      <c r="B144" s="144" t="s">
        <v>62</v>
      </c>
      <c r="C144" s="144" t="s">
        <v>111</v>
      </c>
      <c r="D144" s="145" t="s">
        <v>457</v>
      </c>
      <c r="E144" s="145" t="s">
        <v>458</v>
      </c>
      <c r="F144" s="146"/>
      <c r="G144" s="146">
        <f t="shared" si="115"/>
        <v>0.5</v>
      </c>
      <c r="H144" s="146">
        <f t="shared" si="116"/>
        <v>0</v>
      </c>
      <c r="I144" s="146">
        <f t="shared" si="117"/>
        <v>0</v>
      </c>
      <c r="J144" s="147"/>
      <c r="K144" s="148">
        <v>46199</v>
      </c>
      <c r="L144" s="148">
        <f t="shared" si="118"/>
        <v>46199</v>
      </c>
      <c r="M144" s="148"/>
      <c r="N144" s="148">
        <f t="shared" si="119"/>
        <v>46241</v>
      </c>
      <c r="O144" s="148">
        <f t="shared" si="120"/>
        <v>46241</v>
      </c>
      <c r="P144" s="148"/>
      <c r="Q144" s="148">
        <f t="shared" si="121"/>
        <v>46283</v>
      </c>
      <c r="R144" s="148">
        <f t="shared" si="122"/>
        <v>46283</v>
      </c>
      <c r="S144" s="148"/>
      <c r="T144" s="148">
        <f t="shared" si="123"/>
        <v>46297</v>
      </c>
      <c r="U144" s="148">
        <f t="shared" si="124"/>
        <v>46297</v>
      </c>
      <c r="V144" s="148"/>
    </row>
    <row r="145" spans="1:22" s="64" customFormat="1" ht="9.5" x14ac:dyDescent="0.25">
      <c r="A145" s="70" t="s">
        <v>61</v>
      </c>
      <c r="B145" s="70" t="s">
        <v>62</v>
      </c>
      <c r="C145" s="70" t="s">
        <v>111</v>
      </c>
      <c r="D145" s="75" t="s">
        <v>384</v>
      </c>
      <c r="E145" s="75" t="s">
        <v>187</v>
      </c>
      <c r="F145" s="118">
        <f t="shared" si="72"/>
        <v>0</v>
      </c>
      <c r="G145" s="118">
        <f t="shared" si="72"/>
        <v>0</v>
      </c>
      <c r="H145" s="118">
        <f t="shared" si="72"/>
        <v>0.5</v>
      </c>
      <c r="I145" s="118">
        <f t="shared" si="114"/>
        <v>0.5</v>
      </c>
      <c r="J145" s="82">
        <v>0.1</v>
      </c>
      <c r="K145" s="72">
        <v>46213</v>
      </c>
      <c r="L145" s="72">
        <f t="shared" si="54"/>
        <v>46213</v>
      </c>
      <c r="M145" s="72">
        <v>46171</v>
      </c>
      <c r="N145" s="72">
        <f t="shared" si="55"/>
        <v>46255</v>
      </c>
      <c r="O145" s="72">
        <f t="shared" si="56"/>
        <v>46255</v>
      </c>
      <c r="P145" s="72"/>
      <c r="Q145" s="72">
        <f t="shared" si="57"/>
        <v>46297</v>
      </c>
      <c r="R145" s="72">
        <f t="shared" si="58"/>
        <v>46297</v>
      </c>
      <c r="S145" s="72"/>
      <c r="T145" s="72">
        <f t="shared" si="59"/>
        <v>46311</v>
      </c>
      <c r="U145" s="72">
        <f t="shared" si="60"/>
        <v>46311</v>
      </c>
      <c r="V145" s="72"/>
    </row>
    <row r="146" spans="1:22" s="64" customFormat="1" ht="9.5" x14ac:dyDescent="0.25">
      <c r="A146" s="70" t="s">
        <v>61</v>
      </c>
      <c r="B146" s="70" t="s">
        <v>62</v>
      </c>
      <c r="C146" s="70" t="s">
        <v>111</v>
      </c>
      <c r="D146" s="75" t="s">
        <v>385</v>
      </c>
      <c r="E146" s="75" t="s">
        <v>188</v>
      </c>
      <c r="F146" s="118">
        <f t="shared" si="72"/>
        <v>0</v>
      </c>
      <c r="G146" s="118">
        <f t="shared" si="72"/>
        <v>0</v>
      </c>
      <c r="H146" s="118">
        <f t="shared" si="72"/>
        <v>0.5</v>
      </c>
      <c r="I146" s="118">
        <f t="shared" si="114"/>
        <v>0.5</v>
      </c>
      <c r="J146" s="82">
        <v>0.1</v>
      </c>
      <c r="K146" s="72">
        <v>46213</v>
      </c>
      <c r="L146" s="72">
        <f t="shared" si="54"/>
        <v>46213</v>
      </c>
      <c r="M146" s="72">
        <v>46171</v>
      </c>
      <c r="N146" s="72">
        <f t="shared" si="55"/>
        <v>46255</v>
      </c>
      <c r="O146" s="72">
        <f t="shared" si="56"/>
        <v>46255</v>
      </c>
      <c r="P146" s="72"/>
      <c r="Q146" s="72">
        <f t="shared" si="57"/>
        <v>46297</v>
      </c>
      <c r="R146" s="72">
        <f t="shared" si="58"/>
        <v>46297</v>
      </c>
      <c r="S146" s="72"/>
      <c r="T146" s="72">
        <f t="shared" si="59"/>
        <v>46311</v>
      </c>
      <c r="U146" s="72">
        <f t="shared" si="60"/>
        <v>46311</v>
      </c>
      <c r="V146" s="72"/>
    </row>
    <row r="147" spans="1:22" s="64" customFormat="1" ht="9.5" x14ac:dyDescent="0.25">
      <c r="A147" s="70" t="s">
        <v>61</v>
      </c>
      <c r="B147" s="70" t="s">
        <v>62</v>
      </c>
      <c r="C147" s="70" t="s">
        <v>111</v>
      </c>
      <c r="D147" s="75" t="s">
        <v>386</v>
      </c>
      <c r="E147" s="75" t="s">
        <v>189</v>
      </c>
      <c r="F147" s="118">
        <f t="shared" si="72"/>
        <v>0</v>
      </c>
      <c r="G147" s="118">
        <f t="shared" si="72"/>
        <v>0</v>
      </c>
      <c r="H147" s="118">
        <f t="shared" si="72"/>
        <v>0.5</v>
      </c>
      <c r="I147" s="118">
        <f t="shared" si="114"/>
        <v>0.5</v>
      </c>
      <c r="J147" s="82">
        <v>0.1</v>
      </c>
      <c r="K147" s="72">
        <v>46213</v>
      </c>
      <c r="L147" s="72">
        <f t="shared" si="54"/>
        <v>46213</v>
      </c>
      <c r="M147" s="72">
        <v>46171</v>
      </c>
      <c r="N147" s="72">
        <f t="shared" si="55"/>
        <v>46255</v>
      </c>
      <c r="O147" s="72">
        <f t="shared" si="56"/>
        <v>46255</v>
      </c>
      <c r="P147" s="72"/>
      <c r="Q147" s="72">
        <f t="shared" si="57"/>
        <v>46297</v>
      </c>
      <c r="R147" s="72">
        <f t="shared" si="58"/>
        <v>46297</v>
      </c>
      <c r="S147" s="72"/>
      <c r="T147" s="72">
        <f t="shared" si="59"/>
        <v>46311</v>
      </c>
      <c r="U147" s="72">
        <f t="shared" si="60"/>
        <v>46311</v>
      </c>
      <c r="V147" s="72"/>
    </row>
    <row r="148" spans="1:22" s="64" customFormat="1" ht="9.5" x14ac:dyDescent="0.25">
      <c r="A148" s="70" t="s">
        <v>61</v>
      </c>
      <c r="B148" s="70" t="s">
        <v>62</v>
      </c>
      <c r="C148" s="70" t="s">
        <v>111</v>
      </c>
      <c r="D148" s="75" t="s">
        <v>387</v>
      </c>
      <c r="E148" s="75" t="s">
        <v>190</v>
      </c>
      <c r="F148" s="118">
        <f t="shared" si="72"/>
        <v>0</v>
      </c>
      <c r="G148" s="118">
        <f t="shared" si="72"/>
        <v>0</v>
      </c>
      <c r="H148" s="118">
        <f t="shared" si="72"/>
        <v>0.7</v>
      </c>
      <c r="I148" s="118">
        <f t="shared" si="114"/>
        <v>0.7</v>
      </c>
      <c r="J148" s="82">
        <v>0.1</v>
      </c>
      <c r="K148" s="72">
        <v>46213</v>
      </c>
      <c r="L148" s="72">
        <f t="shared" ref="L148:L225" si="125">K148</f>
        <v>46213</v>
      </c>
      <c r="M148" s="72">
        <v>46171</v>
      </c>
      <c r="N148" s="72">
        <f t="shared" ref="N148:N225" si="126">K148+42</f>
        <v>46255</v>
      </c>
      <c r="O148" s="72">
        <f t="shared" ref="O148:O225" si="127">N148</f>
        <v>46255</v>
      </c>
      <c r="P148" s="72">
        <v>46191</v>
      </c>
      <c r="Q148" s="72">
        <f t="shared" ref="Q148:Q225" si="128">N148+42</f>
        <v>46297</v>
      </c>
      <c r="R148" s="72">
        <f t="shared" ref="R148:R225" si="129">Q148</f>
        <v>46297</v>
      </c>
      <c r="S148" s="72"/>
      <c r="T148" s="72">
        <f t="shared" ref="T148:T225" si="130">Q148+14</f>
        <v>46311</v>
      </c>
      <c r="U148" s="72">
        <f t="shared" ref="U148:U225" si="131">T148</f>
        <v>46311</v>
      </c>
      <c r="V148" s="72"/>
    </row>
    <row r="149" spans="1:22" s="64" customFormat="1" ht="9.5" x14ac:dyDescent="0.25">
      <c r="A149" s="70" t="s">
        <v>61</v>
      </c>
      <c r="B149" s="70" t="s">
        <v>62</v>
      </c>
      <c r="C149" s="70" t="s">
        <v>111</v>
      </c>
      <c r="D149" s="75" t="s">
        <v>388</v>
      </c>
      <c r="E149" s="75" t="s">
        <v>191</v>
      </c>
      <c r="F149" s="118">
        <f t="shared" si="72"/>
        <v>0</v>
      </c>
      <c r="G149" s="118">
        <f t="shared" si="72"/>
        <v>0</v>
      </c>
      <c r="H149" s="118">
        <f t="shared" si="72"/>
        <v>0.5</v>
      </c>
      <c r="I149" s="118">
        <f t="shared" si="114"/>
        <v>0.5</v>
      </c>
      <c r="J149" s="82">
        <v>0.1</v>
      </c>
      <c r="K149" s="72">
        <v>46213</v>
      </c>
      <c r="L149" s="72">
        <f t="shared" si="125"/>
        <v>46213</v>
      </c>
      <c r="M149" s="72">
        <v>46171</v>
      </c>
      <c r="N149" s="72">
        <f t="shared" si="126"/>
        <v>46255</v>
      </c>
      <c r="O149" s="72">
        <f t="shared" si="127"/>
        <v>46255</v>
      </c>
      <c r="P149" s="72"/>
      <c r="Q149" s="72">
        <f t="shared" si="128"/>
        <v>46297</v>
      </c>
      <c r="R149" s="72">
        <f t="shared" si="129"/>
        <v>46297</v>
      </c>
      <c r="S149" s="72"/>
      <c r="T149" s="72">
        <f t="shared" si="130"/>
        <v>46311</v>
      </c>
      <c r="U149" s="72">
        <f t="shared" si="131"/>
        <v>46311</v>
      </c>
      <c r="V149" s="72"/>
    </row>
    <row r="150" spans="1:22" s="64" customFormat="1" ht="9.5" x14ac:dyDescent="0.25">
      <c r="A150" s="70" t="s">
        <v>61</v>
      </c>
      <c r="B150" s="70" t="s">
        <v>62</v>
      </c>
      <c r="C150" s="70" t="s">
        <v>111</v>
      </c>
      <c r="D150" s="75" t="s">
        <v>389</v>
      </c>
      <c r="E150" s="75" t="s">
        <v>192</v>
      </c>
      <c r="F150" s="118">
        <f t="shared" si="72"/>
        <v>0</v>
      </c>
      <c r="G150" s="118">
        <f t="shared" si="72"/>
        <v>0</v>
      </c>
      <c r="H150" s="118">
        <f t="shared" si="72"/>
        <v>0.7</v>
      </c>
      <c r="I150" s="118">
        <f t="shared" si="114"/>
        <v>0.7</v>
      </c>
      <c r="J150" s="82">
        <v>0.1</v>
      </c>
      <c r="K150" s="72">
        <v>46213</v>
      </c>
      <c r="L150" s="72">
        <f t="shared" si="125"/>
        <v>46213</v>
      </c>
      <c r="M150" s="72">
        <v>46171</v>
      </c>
      <c r="N150" s="72">
        <f t="shared" si="126"/>
        <v>46255</v>
      </c>
      <c r="O150" s="72">
        <f t="shared" si="127"/>
        <v>46255</v>
      </c>
      <c r="P150" s="72">
        <v>46191</v>
      </c>
      <c r="Q150" s="72">
        <f t="shared" si="128"/>
        <v>46297</v>
      </c>
      <c r="R150" s="72">
        <f t="shared" si="129"/>
        <v>46297</v>
      </c>
      <c r="S150" s="72"/>
      <c r="T150" s="72">
        <f t="shared" si="130"/>
        <v>46311</v>
      </c>
      <c r="U150" s="72">
        <f t="shared" si="131"/>
        <v>46311</v>
      </c>
      <c r="V150" s="72"/>
    </row>
    <row r="151" spans="1:22" s="64" customFormat="1" ht="9.5" x14ac:dyDescent="0.25">
      <c r="A151" s="70" t="s">
        <v>61</v>
      </c>
      <c r="B151" s="70" t="s">
        <v>62</v>
      </c>
      <c r="C151" s="70" t="s">
        <v>111</v>
      </c>
      <c r="D151" s="75" t="s">
        <v>390</v>
      </c>
      <c r="E151" s="75" t="s">
        <v>193</v>
      </c>
      <c r="F151" s="118">
        <f t="shared" si="72"/>
        <v>0</v>
      </c>
      <c r="G151" s="118">
        <f t="shared" si="72"/>
        <v>0</v>
      </c>
      <c r="H151" s="118">
        <f t="shared" si="72"/>
        <v>0.5</v>
      </c>
      <c r="I151" s="118">
        <f t="shared" si="114"/>
        <v>0.5</v>
      </c>
      <c r="J151" s="82">
        <v>0.1</v>
      </c>
      <c r="K151" s="72">
        <v>46213</v>
      </c>
      <c r="L151" s="72">
        <f t="shared" si="125"/>
        <v>46213</v>
      </c>
      <c r="M151" s="72">
        <v>46171</v>
      </c>
      <c r="N151" s="72">
        <f t="shared" si="126"/>
        <v>46255</v>
      </c>
      <c r="O151" s="72">
        <f t="shared" si="127"/>
        <v>46255</v>
      </c>
      <c r="P151" s="72"/>
      <c r="Q151" s="72">
        <f t="shared" si="128"/>
        <v>46297</v>
      </c>
      <c r="R151" s="72">
        <f t="shared" si="129"/>
        <v>46297</v>
      </c>
      <c r="S151" s="72"/>
      <c r="T151" s="72">
        <f t="shared" si="130"/>
        <v>46311</v>
      </c>
      <c r="U151" s="72">
        <f t="shared" si="131"/>
        <v>46311</v>
      </c>
      <c r="V151" s="72"/>
    </row>
    <row r="152" spans="1:22" s="64" customFormat="1" ht="9.5" x14ac:dyDescent="0.25">
      <c r="A152" s="70" t="s">
        <v>61</v>
      </c>
      <c r="B152" s="70" t="s">
        <v>62</v>
      </c>
      <c r="C152" s="70" t="s">
        <v>111</v>
      </c>
      <c r="D152" s="75" t="s">
        <v>391</v>
      </c>
      <c r="E152" s="75" t="s">
        <v>194</v>
      </c>
      <c r="F152" s="118">
        <f t="shared" si="72"/>
        <v>0</v>
      </c>
      <c r="G152" s="118">
        <f t="shared" si="72"/>
        <v>0</v>
      </c>
      <c r="H152" s="118">
        <f t="shared" si="72"/>
        <v>0.5</v>
      </c>
      <c r="I152" s="118">
        <f t="shared" si="114"/>
        <v>0.5</v>
      </c>
      <c r="J152" s="82">
        <v>0.1</v>
      </c>
      <c r="K152" s="72">
        <v>46213</v>
      </c>
      <c r="L152" s="72">
        <f t="shared" si="125"/>
        <v>46213</v>
      </c>
      <c r="M152" s="72">
        <v>46171</v>
      </c>
      <c r="N152" s="72">
        <f t="shared" si="126"/>
        <v>46255</v>
      </c>
      <c r="O152" s="72">
        <f t="shared" si="127"/>
        <v>46255</v>
      </c>
      <c r="P152" s="72"/>
      <c r="Q152" s="72">
        <f t="shared" si="128"/>
        <v>46297</v>
      </c>
      <c r="R152" s="72">
        <f t="shared" si="129"/>
        <v>46297</v>
      </c>
      <c r="S152" s="72"/>
      <c r="T152" s="72">
        <f t="shared" si="130"/>
        <v>46311</v>
      </c>
      <c r="U152" s="72">
        <f t="shared" si="131"/>
        <v>46311</v>
      </c>
      <c r="V152" s="72"/>
    </row>
    <row r="153" spans="1:22" s="64" customFormat="1" ht="9.5" x14ac:dyDescent="0.25">
      <c r="A153" s="70" t="s">
        <v>61</v>
      </c>
      <c r="B153" s="70" t="s">
        <v>62</v>
      </c>
      <c r="C153" s="70" t="s">
        <v>111</v>
      </c>
      <c r="D153" s="75" t="s">
        <v>510</v>
      </c>
      <c r="E153" s="75" t="s">
        <v>511</v>
      </c>
      <c r="F153" s="118">
        <f t="shared" ref="F153" si="132">(COUNTIFS(K153,"&lt;="&amp;$D$1)*50%)+(COUNTIFS(N153,"&lt;="&amp;$D$1)*20%)+(COUNTIFS(Q153,"&lt;="&amp;$D$1)*10%)+(COUNTIFS(T153,"&lt;="&amp;$D$1)*20%)</f>
        <v>0</v>
      </c>
      <c r="G153" s="118">
        <f t="shared" ref="G153" si="133">(COUNTIFS(L153,"&lt;="&amp;$D$1)*50%)+(COUNTIFS(O153,"&lt;="&amp;$D$1)*20%)+(COUNTIFS(R153,"&lt;="&amp;$D$1)*10%)+(COUNTIFS(U153,"&lt;="&amp;$D$1)*20%)</f>
        <v>0</v>
      </c>
      <c r="H153" s="118">
        <f t="shared" ref="H153" si="134">(COUNTIFS(M153,"&lt;="&amp;$D$1)*50%)+(COUNTIFS(P153,"&lt;="&amp;$D$1)*20%)+(COUNTIFS(S153,"&lt;="&amp;$D$1)*10%)+(COUNTIFS(V153,"&lt;="&amp;$D$1)*20%)</f>
        <v>0.5</v>
      </c>
      <c r="I153" s="118">
        <f t="shared" ref="I153" si="135">H153-F153</f>
        <v>0.5</v>
      </c>
      <c r="J153" s="82">
        <v>0.1</v>
      </c>
      <c r="K153" s="72">
        <v>46213</v>
      </c>
      <c r="L153" s="72">
        <f t="shared" ref="L153" si="136">K153</f>
        <v>46213</v>
      </c>
      <c r="M153" s="72">
        <v>46171</v>
      </c>
      <c r="N153" s="72">
        <f t="shared" ref="N153" si="137">K153+42</f>
        <v>46255</v>
      </c>
      <c r="O153" s="72">
        <f t="shared" ref="O153" si="138">N153</f>
        <v>46255</v>
      </c>
      <c r="P153" s="72"/>
      <c r="Q153" s="72">
        <f t="shared" ref="Q153" si="139">N153+42</f>
        <v>46297</v>
      </c>
      <c r="R153" s="72">
        <f t="shared" ref="R153" si="140">Q153</f>
        <v>46297</v>
      </c>
      <c r="S153" s="72"/>
      <c r="T153" s="72">
        <f t="shared" ref="T153" si="141">Q153+14</f>
        <v>46311</v>
      </c>
      <c r="U153" s="72">
        <f t="shared" ref="U153" si="142">T153</f>
        <v>46311</v>
      </c>
      <c r="V153" s="72"/>
    </row>
    <row r="154" spans="1:22" s="64" customFormat="1" ht="19" x14ac:dyDescent="0.25">
      <c r="A154" s="70" t="s">
        <v>61</v>
      </c>
      <c r="B154" s="70" t="s">
        <v>62</v>
      </c>
      <c r="C154" s="70" t="s">
        <v>111</v>
      </c>
      <c r="D154" s="126" t="s">
        <v>392</v>
      </c>
      <c r="E154" s="126" t="s">
        <v>459</v>
      </c>
      <c r="F154" s="127">
        <f t="shared" si="72"/>
        <v>0</v>
      </c>
      <c r="G154" s="127">
        <f t="shared" si="72"/>
        <v>0</v>
      </c>
      <c r="H154" s="127">
        <f t="shared" si="72"/>
        <v>0.5</v>
      </c>
      <c r="I154" s="127">
        <f t="shared" si="114"/>
        <v>0.5</v>
      </c>
      <c r="J154" s="82">
        <v>0.15</v>
      </c>
      <c r="K154" s="72">
        <v>46213</v>
      </c>
      <c r="L154" s="74">
        <f t="shared" ref="L154:L155" si="143">K154</f>
        <v>46213</v>
      </c>
      <c r="M154" s="72">
        <v>46199</v>
      </c>
      <c r="N154" s="74">
        <f t="shared" ref="N154:N155" si="144">K154+42</f>
        <v>46255</v>
      </c>
      <c r="O154" s="74">
        <f t="shared" ref="O154:O155" si="145">N154</f>
        <v>46255</v>
      </c>
      <c r="P154" s="72"/>
      <c r="Q154" s="74">
        <f t="shared" ref="Q154:Q155" si="146">N154+42</f>
        <v>46297</v>
      </c>
      <c r="R154" s="74">
        <f t="shared" ref="R154:R155" si="147">Q154</f>
        <v>46297</v>
      </c>
      <c r="S154" s="72"/>
      <c r="T154" s="74">
        <f t="shared" ref="T154:T155" si="148">Q154+14</f>
        <v>46311</v>
      </c>
      <c r="U154" s="74">
        <f t="shared" ref="U154:U155" si="149">T154</f>
        <v>46311</v>
      </c>
      <c r="V154" s="74"/>
    </row>
    <row r="155" spans="1:22" s="64" customFormat="1" ht="9.5" x14ac:dyDescent="0.25">
      <c r="A155" s="70" t="s">
        <v>61</v>
      </c>
      <c r="B155" s="70" t="s">
        <v>62</v>
      </c>
      <c r="C155" s="70" t="s">
        <v>111</v>
      </c>
      <c r="D155" s="126" t="s">
        <v>460</v>
      </c>
      <c r="E155" s="126" t="s">
        <v>461</v>
      </c>
      <c r="F155" s="127"/>
      <c r="G155" s="118">
        <f t="shared" ref="G155:G158" si="150">(COUNTIFS(L155,"&lt;="&amp;$D$1)*50%)+(COUNTIFS(O155,"&lt;="&amp;$D$1)*20%)+(COUNTIFS(R155,"&lt;="&amp;$D$1)*10%)+(COUNTIFS(U155,"&lt;="&amp;$D$1)*20%)</f>
        <v>0</v>
      </c>
      <c r="H155" s="118">
        <f t="shared" ref="H155:H158" si="151">(COUNTIFS(M155,"&lt;="&amp;$D$1)*50%)+(COUNTIFS(P155,"&lt;="&amp;$D$1)*20%)+(COUNTIFS(S155,"&lt;="&amp;$D$1)*10%)+(COUNTIFS(V155,"&lt;="&amp;$D$1)*20%)</f>
        <v>0.7</v>
      </c>
      <c r="I155" s="118">
        <f t="shared" ref="I155:I158" si="152">H155-F155</f>
        <v>0.7</v>
      </c>
      <c r="J155" s="82">
        <v>0.15</v>
      </c>
      <c r="K155" s="72">
        <v>46213</v>
      </c>
      <c r="L155" s="72">
        <f t="shared" si="143"/>
        <v>46213</v>
      </c>
      <c r="M155" s="72">
        <v>46199</v>
      </c>
      <c r="N155" s="72">
        <f t="shared" si="144"/>
        <v>46255</v>
      </c>
      <c r="O155" s="72">
        <f t="shared" si="145"/>
        <v>46255</v>
      </c>
      <c r="P155" s="143">
        <v>46205</v>
      </c>
      <c r="Q155" s="72">
        <f t="shared" si="146"/>
        <v>46297</v>
      </c>
      <c r="R155" s="72">
        <f t="shared" si="147"/>
        <v>46297</v>
      </c>
      <c r="S155" s="72"/>
      <c r="T155" s="72">
        <f t="shared" si="148"/>
        <v>46311</v>
      </c>
      <c r="U155" s="72">
        <f t="shared" si="149"/>
        <v>46311</v>
      </c>
      <c r="V155" s="74"/>
    </row>
    <row r="156" spans="1:22" s="64" customFormat="1" ht="19" x14ac:dyDescent="0.25">
      <c r="A156" s="70" t="s">
        <v>61</v>
      </c>
      <c r="B156" s="70" t="s">
        <v>62</v>
      </c>
      <c r="C156" s="70" t="s">
        <v>111</v>
      </c>
      <c r="D156" s="126" t="s">
        <v>462</v>
      </c>
      <c r="E156" s="126" t="s">
        <v>463</v>
      </c>
      <c r="F156" s="127"/>
      <c r="G156" s="127">
        <f t="shared" si="150"/>
        <v>0</v>
      </c>
      <c r="H156" s="127">
        <f t="shared" si="151"/>
        <v>0.5</v>
      </c>
      <c r="I156" s="127">
        <f t="shared" si="152"/>
        <v>0.5</v>
      </c>
      <c r="J156" s="82">
        <v>0.15</v>
      </c>
      <c r="K156" s="72">
        <v>46213</v>
      </c>
      <c r="L156" s="74">
        <f t="shared" ref="L156:L158" si="153">K156</f>
        <v>46213</v>
      </c>
      <c r="M156" s="72">
        <v>46199</v>
      </c>
      <c r="N156" s="74">
        <f t="shared" ref="N156:N158" si="154">K156+42</f>
        <v>46255</v>
      </c>
      <c r="O156" s="74">
        <f t="shared" ref="O156:O158" si="155">N156</f>
        <v>46255</v>
      </c>
      <c r="P156" s="72"/>
      <c r="Q156" s="74">
        <f t="shared" ref="Q156:Q158" si="156">N156+42</f>
        <v>46297</v>
      </c>
      <c r="R156" s="74">
        <f t="shared" ref="R156:R158" si="157">Q156</f>
        <v>46297</v>
      </c>
      <c r="S156" s="72"/>
      <c r="T156" s="74">
        <f t="shared" ref="T156:T158" si="158">Q156+14</f>
        <v>46311</v>
      </c>
      <c r="U156" s="74">
        <f t="shared" ref="U156:U158" si="159">T156</f>
        <v>46311</v>
      </c>
      <c r="V156" s="74"/>
    </row>
    <row r="157" spans="1:22" s="64" customFormat="1" ht="19" x14ac:dyDescent="0.25">
      <c r="A157" s="70" t="s">
        <v>61</v>
      </c>
      <c r="B157" s="70" t="s">
        <v>62</v>
      </c>
      <c r="C157" s="70" t="s">
        <v>111</v>
      </c>
      <c r="D157" s="126" t="s">
        <v>464</v>
      </c>
      <c r="E157" s="126" t="s">
        <v>465</v>
      </c>
      <c r="F157" s="127"/>
      <c r="G157" s="118">
        <f t="shared" si="150"/>
        <v>0</v>
      </c>
      <c r="H157" s="118">
        <f t="shared" si="151"/>
        <v>0.5</v>
      </c>
      <c r="I157" s="118">
        <f t="shared" si="152"/>
        <v>0.5</v>
      </c>
      <c r="J157" s="82">
        <v>0.15</v>
      </c>
      <c r="K157" s="72">
        <v>46213</v>
      </c>
      <c r="L157" s="72">
        <f t="shared" si="153"/>
        <v>46213</v>
      </c>
      <c r="M157" s="72">
        <v>46199</v>
      </c>
      <c r="N157" s="72">
        <f t="shared" si="154"/>
        <v>46255</v>
      </c>
      <c r="O157" s="72">
        <f t="shared" si="155"/>
        <v>46255</v>
      </c>
      <c r="P157" s="72"/>
      <c r="Q157" s="72">
        <f t="shared" si="156"/>
        <v>46297</v>
      </c>
      <c r="R157" s="72">
        <f t="shared" si="157"/>
        <v>46297</v>
      </c>
      <c r="S157" s="72"/>
      <c r="T157" s="72">
        <f t="shared" si="158"/>
        <v>46311</v>
      </c>
      <c r="U157" s="72">
        <f t="shared" si="159"/>
        <v>46311</v>
      </c>
      <c r="V157" s="74"/>
    </row>
    <row r="158" spans="1:22" s="149" customFormat="1" ht="19" x14ac:dyDescent="0.25">
      <c r="A158" s="144" t="s">
        <v>61</v>
      </c>
      <c r="B158" s="144" t="s">
        <v>62</v>
      </c>
      <c r="C158" s="144" t="s">
        <v>111</v>
      </c>
      <c r="D158" s="150" t="s">
        <v>466</v>
      </c>
      <c r="E158" s="150" t="s">
        <v>467</v>
      </c>
      <c r="F158" s="151"/>
      <c r="G158" s="151">
        <f t="shared" si="150"/>
        <v>0</v>
      </c>
      <c r="H158" s="151">
        <f t="shared" si="151"/>
        <v>0</v>
      </c>
      <c r="I158" s="151">
        <f t="shared" si="152"/>
        <v>0</v>
      </c>
      <c r="J158" s="147"/>
      <c r="K158" s="148">
        <v>46213</v>
      </c>
      <c r="L158" s="152">
        <f t="shared" si="153"/>
        <v>46213</v>
      </c>
      <c r="M158" s="152"/>
      <c r="N158" s="152">
        <f t="shared" si="154"/>
        <v>46255</v>
      </c>
      <c r="O158" s="152">
        <f t="shared" si="155"/>
        <v>46255</v>
      </c>
      <c r="P158" s="148"/>
      <c r="Q158" s="152">
        <f t="shared" si="156"/>
        <v>46297</v>
      </c>
      <c r="R158" s="152">
        <f t="shared" si="157"/>
        <v>46297</v>
      </c>
      <c r="S158" s="148"/>
      <c r="T158" s="152">
        <f t="shared" si="158"/>
        <v>46311</v>
      </c>
      <c r="U158" s="152">
        <f t="shared" si="159"/>
        <v>46311</v>
      </c>
      <c r="V158" s="152"/>
    </row>
    <row r="159" spans="1:22" s="149" customFormat="1" ht="19" x14ac:dyDescent="0.25">
      <c r="A159" s="144" t="s">
        <v>61</v>
      </c>
      <c r="B159" s="144" t="s">
        <v>62</v>
      </c>
      <c r="C159" s="144" t="s">
        <v>111</v>
      </c>
      <c r="D159" s="150" t="s">
        <v>468</v>
      </c>
      <c r="E159" s="150" t="s">
        <v>469</v>
      </c>
      <c r="F159" s="151">
        <f t="shared" ref="F159" si="160">(COUNTIFS(K159,"&lt;="&amp;$D$1)*50%)+(COUNTIFS(N159,"&lt;="&amp;$D$1)*20%)+(COUNTIFS(Q159,"&lt;="&amp;$D$1)*10%)+(COUNTIFS(T159,"&lt;="&amp;$D$1)*20%)</f>
        <v>0</v>
      </c>
      <c r="G159" s="151">
        <f t="shared" ref="G159" si="161">(COUNTIFS(L159,"&lt;="&amp;$D$1)*50%)+(COUNTIFS(O159,"&lt;="&amp;$D$1)*20%)+(COUNTIFS(R159,"&lt;="&amp;$D$1)*10%)+(COUNTIFS(U159,"&lt;="&amp;$D$1)*20%)</f>
        <v>0</v>
      </c>
      <c r="H159" s="151">
        <f t="shared" ref="H159" si="162">(COUNTIFS(M159,"&lt;="&amp;$D$1)*50%)+(COUNTIFS(P159,"&lt;="&amp;$D$1)*20%)+(COUNTIFS(S159,"&lt;="&amp;$D$1)*10%)+(COUNTIFS(V159,"&lt;="&amp;$D$1)*20%)</f>
        <v>0</v>
      </c>
      <c r="I159" s="151">
        <f t="shared" ref="I159" si="163">H159-F159</f>
        <v>0</v>
      </c>
      <c r="J159" s="147"/>
      <c r="K159" s="148">
        <v>46213</v>
      </c>
      <c r="L159" s="152">
        <f t="shared" si="125"/>
        <v>46213</v>
      </c>
      <c r="M159" s="152"/>
      <c r="N159" s="152">
        <f t="shared" si="126"/>
        <v>46255</v>
      </c>
      <c r="O159" s="152">
        <f t="shared" si="127"/>
        <v>46255</v>
      </c>
      <c r="P159" s="148"/>
      <c r="Q159" s="152">
        <f t="shared" si="128"/>
        <v>46297</v>
      </c>
      <c r="R159" s="152">
        <f t="shared" si="129"/>
        <v>46297</v>
      </c>
      <c r="S159" s="148"/>
      <c r="T159" s="152">
        <f t="shared" si="130"/>
        <v>46311</v>
      </c>
      <c r="U159" s="152">
        <f t="shared" si="131"/>
        <v>46311</v>
      </c>
      <c r="V159" s="152"/>
    </row>
    <row r="160" spans="1:22" s="64" customFormat="1" ht="9.5" x14ac:dyDescent="0.25">
      <c r="A160" s="70" t="s">
        <v>61</v>
      </c>
      <c r="B160" s="70" t="s">
        <v>62</v>
      </c>
      <c r="C160" s="70" t="s">
        <v>111</v>
      </c>
      <c r="D160" s="75" t="s">
        <v>393</v>
      </c>
      <c r="E160" s="75" t="s">
        <v>195</v>
      </c>
      <c r="F160" s="118">
        <f t="shared" si="72"/>
        <v>0</v>
      </c>
      <c r="G160" s="118">
        <f t="shared" si="72"/>
        <v>0</v>
      </c>
      <c r="H160" s="118">
        <f t="shared" si="72"/>
        <v>0.5</v>
      </c>
      <c r="I160" s="118">
        <f t="shared" si="114"/>
        <v>0.5</v>
      </c>
      <c r="J160" s="82">
        <v>0.1</v>
      </c>
      <c r="K160" s="72">
        <v>46213</v>
      </c>
      <c r="L160" s="72">
        <f t="shared" si="125"/>
        <v>46213</v>
      </c>
      <c r="M160" s="72">
        <v>46171</v>
      </c>
      <c r="N160" s="72">
        <f t="shared" si="126"/>
        <v>46255</v>
      </c>
      <c r="O160" s="72">
        <f t="shared" si="127"/>
        <v>46255</v>
      </c>
      <c r="P160" s="72"/>
      <c r="Q160" s="72">
        <f t="shared" si="128"/>
        <v>46297</v>
      </c>
      <c r="R160" s="72">
        <f t="shared" si="129"/>
        <v>46297</v>
      </c>
      <c r="S160" s="72"/>
      <c r="T160" s="72">
        <f t="shared" si="130"/>
        <v>46311</v>
      </c>
      <c r="U160" s="72">
        <f t="shared" si="131"/>
        <v>46311</v>
      </c>
      <c r="V160" s="72"/>
    </row>
    <row r="161" spans="1:22" s="64" customFormat="1" ht="9.5" x14ac:dyDescent="0.25">
      <c r="A161" s="70" t="s">
        <v>61</v>
      </c>
      <c r="B161" s="70" t="s">
        <v>62</v>
      </c>
      <c r="C161" s="70" t="s">
        <v>111</v>
      </c>
      <c r="D161" s="75" t="s">
        <v>394</v>
      </c>
      <c r="E161" s="75" t="s">
        <v>196</v>
      </c>
      <c r="F161" s="118">
        <f t="shared" si="72"/>
        <v>0</v>
      </c>
      <c r="G161" s="118">
        <f t="shared" si="72"/>
        <v>0</v>
      </c>
      <c r="H161" s="118">
        <f t="shared" si="72"/>
        <v>0.5</v>
      </c>
      <c r="I161" s="118">
        <f t="shared" si="114"/>
        <v>0.5</v>
      </c>
      <c r="J161" s="82">
        <v>0.1</v>
      </c>
      <c r="K161" s="72">
        <v>46213</v>
      </c>
      <c r="L161" s="72">
        <f t="shared" si="125"/>
        <v>46213</v>
      </c>
      <c r="M161" s="72">
        <v>46171</v>
      </c>
      <c r="N161" s="72">
        <f t="shared" si="126"/>
        <v>46255</v>
      </c>
      <c r="O161" s="72">
        <f t="shared" si="127"/>
        <v>46255</v>
      </c>
      <c r="P161" s="72"/>
      <c r="Q161" s="72">
        <f t="shared" si="128"/>
        <v>46297</v>
      </c>
      <c r="R161" s="72">
        <f t="shared" si="129"/>
        <v>46297</v>
      </c>
      <c r="S161" s="72"/>
      <c r="T161" s="72">
        <f t="shared" si="130"/>
        <v>46311</v>
      </c>
      <c r="U161" s="72">
        <f t="shared" si="131"/>
        <v>46311</v>
      </c>
      <c r="V161" s="72"/>
    </row>
    <row r="162" spans="1:22" s="64" customFormat="1" ht="9.5" x14ac:dyDescent="0.25">
      <c r="A162" s="70" t="s">
        <v>61</v>
      </c>
      <c r="B162" s="70" t="s">
        <v>62</v>
      </c>
      <c r="C162" s="70" t="s">
        <v>111</v>
      </c>
      <c r="D162" s="75" t="s">
        <v>395</v>
      </c>
      <c r="E162" s="75" t="s">
        <v>197</v>
      </c>
      <c r="F162" s="118">
        <f t="shared" si="72"/>
        <v>0</v>
      </c>
      <c r="G162" s="118">
        <f t="shared" si="72"/>
        <v>0</v>
      </c>
      <c r="H162" s="118">
        <f t="shared" si="72"/>
        <v>0.5</v>
      </c>
      <c r="I162" s="118">
        <f t="shared" si="114"/>
        <v>0.5</v>
      </c>
      <c r="J162" s="82">
        <v>0.1</v>
      </c>
      <c r="K162" s="72">
        <v>46213</v>
      </c>
      <c r="L162" s="72">
        <f t="shared" si="125"/>
        <v>46213</v>
      </c>
      <c r="M162" s="72">
        <v>46171</v>
      </c>
      <c r="N162" s="72">
        <f t="shared" si="126"/>
        <v>46255</v>
      </c>
      <c r="O162" s="72">
        <f t="shared" si="127"/>
        <v>46255</v>
      </c>
      <c r="P162" s="72"/>
      <c r="Q162" s="72">
        <f t="shared" si="128"/>
        <v>46297</v>
      </c>
      <c r="R162" s="72">
        <f t="shared" si="129"/>
        <v>46297</v>
      </c>
      <c r="S162" s="72"/>
      <c r="T162" s="72">
        <f t="shared" si="130"/>
        <v>46311</v>
      </c>
      <c r="U162" s="72">
        <f t="shared" si="131"/>
        <v>46311</v>
      </c>
      <c r="V162" s="72"/>
    </row>
    <row r="163" spans="1:22" s="64" customFormat="1" ht="9.5" x14ac:dyDescent="0.25">
      <c r="A163" s="70" t="s">
        <v>61</v>
      </c>
      <c r="B163" s="70" t="s">
        <v>62</v>
      </c>
      <c r="C163" s="70" t="s">
        <v>111</v>
      </c>
      <c r="D163" s="75" t="s">
        <v>396</v>
      </c>
      <c r="E163" s="75" t="s">
        <v>198</v>
      </c>
      <c r="F163" s="118">
        <f t="shared" si="72"/>
        <v>0</v>
      </c>
      <c r="G163" s="118">
        <f t="shared" si="72"/>
        <v>0</v>
      </c>
      <c r="H163" s="118">
        <f t="shared" si="72"/>
        <v>0.5</v>
      </c>
      <c r="I163" s="118">
        <f t="shared" si="114"/>
        <v>0.5</v>
      </c>
      <c r="J163" s="82">
        <v>0.1</v>
      </c>
      <c r="K163" s="72">
        <v>46213</v>
      </c>
      <c r="L163" s="72">
        <f t="shared" si="125"/>
        <v>46213</v>
      </c>
      <c r="M163" s="72">
        <v>46171</v>
      </c>
      <c r="N163" s="72">
        <f t="shared" si="126"/>
        <v>46255</v>
      </c>
      <c r="O163" s="72">
        <f t="shared" si="127"/>
        <v>46255</v>
      </c>
      <c r="P163" s="72"/>
      <c r="Q163" s="72">
        <f t="shared" si="128"/>
        <v>46297</v>
      </c>
      <c r="R163" s="72">
        <f t="shared" si="129"/>
        <v>46297</v>
      </c>
      <c r="S163" s="72"/>
      <c r="T163" s="72">
        <f t="shared" si="130"/>
        <v>46311</v>
      </c>
      <c r="U163" s="72">
        <f t="shared" si="131"/>
        <v>46311</v>
      </c>
      <c r="V163" s="72"/>
    </row>
    <row r="164" spans="1:22" s="64" customFormat="1" ht="9.5" x14ac:dyDescent="0.25">
      <c r="A164" s="70" t="s">
        <v>61</v>
      </c>
      <c r="B164" s="70" t="s">
        <v>62</v>
      </c>
      <c r="C164" s="70" t="s">
        <v>111</v>
      </c>
      <c r="D164" s="75" t="s">
        <v>397</v>
      </c>
      <c r="E164" s="75" t="s">
        <v>199</v>
      </c>
      <c r="F164" s="118">
        <f t="shared" si="72"/>
        <v>0</v>
      </c>
      <c r="G164" s="118">
        <f t="shared" si="72"/>
        <v>0</v>
      </c>
      <c r="H164" s="118">
        <f t="shared" si="72"/>
        <v>0.5</v>
      </c>
      <c r="I164" s="118">
        <f t="shared" si="114"/>
        <v>0.5</v>
      </c>
      <c r="J164" s="82">
        <v>0.1</v>
      </c>
      <c r="K164" s="72">
        <v>46213</v>
      </c>
      <c r="L164" s="72">
        <f t="shared" si="125"/>
        <v>46213</v>
      </c>
      <c r="M164" s="72">
        <v>46171</v>
      </c>
      <c r="N164" s="72">
        <f t="shared" si="126"/>
        <v>46255</v>
      </c>
      <c r="O164" s="72">
        <f t="shared" si="127"/>
        <v>46255</v>
      </c>
      <c r="P164" s="72"/>
      <c r="Q164" s="72">
        <f t="shared" si="128"/>
        <v>46297</v>
      </c>
      <c r="R164" s="72">
        <f t="shared" si="129"/>
        <v>46297</v>
      </c>
      <c r="S164" s="72"/>
      <c r="T164" s="72">
        <f t="shared" si="130"/>
        <v>46311</v>
      </c>
      <c r="U164" s="72">
        <f t="shared" si="131"/>
        <v>46311</v>
      </c>
      <c r="V164" s="72"/>
    </row>
    <row r="165" spans="1:22" s="64" customFormat="1" ht="9.5" x14ac:dyDescent="0.25">
      <c r="A165" s="70" t="s">
        <v>61</v>
      </c>
      <c r="B165" s="70" t="s">
        <v>62</v>
      </c>
      <c r="C165" s="70" t="s">
        <v>111</v>
      </c>
      <c r="D165" s="75" t="s">
        <v>398</v>
      </c>
      <c r="E165" s="75" t="s">
        <v>200</v>
      </c>
      <c r="F165" s="118">
        <f t="shared" si="72"/>
        <v>0</v>
      </c>
      <c r="G165" s="118">
        <f t="shared" si="72"/>
        <v>0</v>
      </c>
      <c r="H165" s="118">
        <f t="shared" si="72"/>
        <v>0.5</v>
      </c>
      <c r="I165" s="118">
        <f t="shared" si="114"/>
        <v>0.5</v>
      </c>
      <c r="J165" s="82">
        <v>0.1</v>
      </c>
      <c r="K165" s="72">
        <v>46213</v>
      </c>
      <c r="L165" s="72">
        <f t="shared" si="125"/>
        <v>46213</v>
      </c>
      <c r="M165" s="72">
        <v>46171</v>
      </c>
      <c r="N165" s="72">
        <f t="shared" si="126"/>
        <v>46255</v>
      </c>
      <c r="O165" s="72">
        <f t="shared" si="127"/>
        <v>46255</v>
      </c>
      <c r="P165" s="72"/>
      <c r="Q165" s="72">
        <f t="shared" si="128"/>
        <v>46297</v>
      </c>
      <c r="R165" s="72">
        <f t="shared" si="129"/>
        <v>46297</v>
      </c>
      <c r="S165" s="72"/>
      <c r="T165" s="72">
        <f t="shared" si="130"/>
        <v>46311</v>
      </c>
      <c r="U165" s="72">
        <f t="shared" si="131"/>
        <v>46311</v>
      </c>
      <c r="V165" s="72"/>
    </row>
    <row r="166" spans="1:22" s="64" customFormat="1" ht="9.5" x14ac:dyDescent="0.25">
      <c r="A166" s="70" t="s">
        <v>61</v>
      </c>
      <c r="B166" s="70" t="s">
        <v>62</v>
      </c>
      <c r="C166" s="70" t="s">
        <v>111</v>
      </c>
      <c r="D166" s="75" t="s">
        <v>399</v>
      </c>
      <c r="E166" s="75" t="s">
        <v>201</v>
      </c>
      <c r="F166" s="118">
        <f t="shared" si="72"/>
        <v>0</v>
      </c>
      <c r="G166" s="118">
        <f t="shared" si="72"/>
        <v>0</v>
      </c>
      <c r="H166" s="118">
        <f t="shared" si="72"/>
        <v>0.5</v>
      </c>
      <c r="I166" s="118">
        <f t="shared" si="114"/>
        <v>0.5</v>
      </c>
      <c r="J166" s="82">
        <v>0.1</v>
      </c>
      <c r="K166" s="72">
        <v>46213</v>
      </c>
      <c r="L166" s="72">
        <f t="shared" si="125"/>
        <v>46213</v>
      </c>
      <c r="M166" s="72">
        <v>46171</v>
      </c>
      <c r="N166" s="72">
        <f t="shared" si="126"/>
        <v>46255</v>
      </c>
      <c r="O166" s="72">
        <f t="shared" si="127"/>
        <v>46255</v>
      </c>
      <c r="P166" s="72"/>
      <c r="Q166" s="72">
        <f t="shared" si="128"/>
        <v>46297</v>
      </c>
      <c r="R166" s="72">
        <f t="shared" si="129"/>
        <v>46297</v>
      </c>
      <c r="S166" s="72"/>
      <c r="T166" s="72">
        <f t="shared" si="130"/>
        <v>46311</v>
      </c>
      <c r="U166" s="72">
        <f t="shared" si="131"/>
        <v>46311</v>
      </c>
      <c r="V166" s="72"/>
    </row>
    <row r="167" spans="1:22" s="64" customFormat="1" ht="9.5" x14ac:dyDescent="0.25">
      <c r="A167" s="70" t="s">
        <v>61</v>
      </c>
      <c r="B167" s="70" t="s">
        <v>62</v>
      </c>
      <c r="C167" s="70" t="s">
        <v>111</v>
      </c>
      <c r="D167" s="126" t="s">
        <v>400</v>
      </c>
      <c r="E167" s="126" t="s">
        <v>202</v>
      </c>
      <c r="F167" s="127">
        <f t="shared" ref="F167" si="164">(COUNTIFS(K167,"&lt;="&amp;$D$1)*50%)+(COUNTIFS(N167,"&lt;="&amp;$D$1)*20%)+(COUNTIFS(Q167,"&lt;="&amp;$D$1)*10%)+(COUNTIFS(T167,"&lt;="&amp;$D$1)*20%)</f>
        <v>0</v>
      </c>
      <c r="G167" s="127">
        <f t="shared" ref="G167" si="165">(COUNTIFS(L167,"&lt;="&amp;$D$1)*50%)+(COUNTIFS(O167,"&lt;="&amp;$D$1)*20%)+(COUNTIFS(R167,"&lt;="&amp;$D$1)*10%)+(COUNTIFS(U167,"&lt;="&amp;$D$1)*20%)</f>
        <v>0</v>
      </c>
      <c r="H167" s="127">
        <f t="shared" ref="H167" si="166">(COUNTIFS(M167,"&lt;="&amp;$D$1)*50%)+(COUNTIFS(P167,"&lt;="&amp;$D$1)*20%)+(COUNTIFS(S167,"&lt;="&amp;$D$1)*10%)+(COUNTIFS(V167,"&lt;="&amp;$D$1)*20%)</f>
        <v>0.5</v>
      </c>
      <c r="I167" s="127">
        <f t="shared" si="114"/>
        <v>0.5</v>
      </c>
      <c r="J167" s="82">
        <v>0.1</v>
      </c>
      <c r="K167" s="72">
        <v>46213</v>
      </c>
      <c r="L167" s="108">
        <f t="shared" si="125"/>
        <v>46213</v>
      </c>
      <c r="M167" s="72">
        <v>46171</v>
      </c>
      <c r="N167" s="108">
        <f t="shared" si="126"/>
        <v>46255</v>
      </c>
      <c r="O167" s="108">
        <f t="shared" si="127"/>
        <v>46255</v>
      </c>
      <c r="P167" s="108"/>
      <c r="Q167" s="108">
        <f t="shared" si="128"/>
        <v>46297</v>
      </c>
      <c r="R167" s="108">
        <f t="shared" si="129"/>
        <v>46297</v>
      </c>
      <c r="S167" s="108"/>
      <c r="T167" s="108">
        <f t="shared" si="130"/>
        <v>46311</v>
      </c>
      <c r="U167" s="108">
        <f t="shared" si="131"/>
        <v>46311</v>
      </c>
      <c r="V167" s="108"/>
    </row>
    <row r="168" spans="1:22" s="64" customFormat="1" ht="9.5" x14ac:dyDescent="0.25">
      <c r="A168" s="70" t="s">
        <v>61</v>
      </c>
      <c r="B168" s="70" t="s">
        <v>62</v>
      </c>
      <c r="C168" s="70" t="s">
        <v>111</v>
      </c>
      <c r="D168" s="75" t="s">
        <v>401</v>
      </c>
      <c r="E168" s="75" t="s">
        <v>203</v>
      </c>
      <c r="F168" s="118">
        <f t="shared" ref="F168:H224" si="167">(COUNTIFS(K168,"&lt;="&amp;$D$1)*50%)+(COUNTIFS(N168,"&lt;="&amp;$D$1)*20%)+(COUNTIFS(Q168,"&lt;="&amp;$D$1)*10%)+(COUNTIFS(T168,"&lt;="&amp;$D$1)*20%)</f>
        <v>0</v>
      </c>
      <c r="G168" s="118">
        <f t="shared" si="167"/>
        <v>0</v>
      </c>
      <c r="H168" s="118">
        <f t="shared" si="167"/>
        <v>0.5</v>
      </c>
      <c r="I168" s="118">
        <f t="shared" si="114"/>
        <v>0.5</v>
      </c>
      <c r="J168" s="82">
        <v>0.1</v>
      </c>
      <c r="K168" s="72">
        <v>46213</v>
      </c>
      <c r="L168" s="72">
        <f t="shared" si="125"/>
        <v>46213</v>
      </c>
      <c r="M168" s="72">
        <v>46171</v>
      </c>
      <c r="N168" s="72">
        <f t="shared" si="126"/>
        <v>46255</v>
      </c>
      <c r="O168" s="72">
        <f t="shared" si="127"/>
        <v>46255</v>
      </c>
      <c r="P168" s="72"/>
      <c r="Q168" s="72">
        <f t="shared" si="128"/>
        <v>46297</v>
      </c>
      <c r="R168" s="72">
        <f t="shared" si="129"/>
        <v>46297</v>
      </c>
      <c r="S168" s="72"/>
      <c r="T168" s="72">
        <f t="shared" si="130"/>
        <v>46311</v>
      </c>
      <c r="U168" s="72">
        <f t="shared" si="131"/>
        <v>46311</v>
      </c>
      <c r="V168" s="72"/>
    </row>
    <row r="169" spans="1:22" s="64" customFormat="1" ht="9.5" x14ac:dyDescent="0.25">
      <c r="A169" s="70" t="s">
        <v>61</v>
      </c>
      <c r="B169" s="70" t="s">
        <v>62</v>
      </c>
      <c r="C169" s="70" t="s">
        <v>111</v>
      </c>
      <c r="D169" s="75" t="s">
        <v>402</v>
      </c>
      <c r="E169" s="75" t="s">
        <v>204</v>
      </c>
      <c r="F169" s="118">
        <f t="shared" si="167"/>
        <v>0</v>
      </c>
      <c r="G169" s="118">
        <f t="shared" si="167"/>
        <v>0</v>
      </c>
      <c r="H169" s="118">
        <f t="shared" si="167"/>
        <v>0.5</v>
      </c>
      <c r="I169" s="118">
        <f t="shared" si="114"/>
        <v>0.5</v>
      </c>
      <c r="J169" s="82">
        <v>0.1</v>
      </c>
      <c r="K169" s="72">
        <v>46213</v>
      </c>
      <c r="L169" s="72">
        <f t="shared" si="125"/>
        <v>46213</v>
      </c>
      <c r="M169" s="72">
        <v>46171</v>
      </c>
      <c r="N169" s="72">
        <f t="shared" si="126"/>
        <v>46255</v>
      </c>
      <c r="O169" s="72">
        <f t="shared" si="127"/>
        <v>46255</v>
      </c>
      <c r="P169" s="72"/>
      <c r="Q169" s="72">
        <f t="shared" si="128"/>
        <v>46297</v>
      </c>
      <c r="R169" s="72">
        <f t="shared" si="129"/>
        <v>46297</v>
      </c>
      <c r="S169" s="72"/>
      <c r="T169" s="72">
        <f t="shared" si="130"/>
        <v>46311</v>
      </c>
      <c r="U169" s="72">
        <f t="shared" si="131"/>
        <v>46311</v>
      </c>
      <c r="V169" s="72"/>
    </row>
    <row r="170" spans="1:22" s="149" customFormat="1" ht="9.5" x14ac:dyDescent="0.25">
      <c r="A170" s="144" t="s">
        <v>61</v>
      </c>
      <c r="B170" s="144" t="s">
        <v>62</v>
      </c>
      <c r="C170" s="144" t="s">
        <v>111</v>
      </c>
      <c r="D170" s="145" t="s">
        <v>470</v>
      </c>
      <c r="E170" s="145" t="s">
        <v>471</v>
      </c>
      <c r="F170" s="146"/>
      <c r="G170" s="146">
        <f t="shared" ref="G170" si="168">(COUNTIFS(L170,"&lt;="&amp;$D$1)*50%)+(COUNTIFS(O170,"&lt;="&amp;$D$1)*20%)+(COUNTIFS(R170,"&lt;="&amp;$D$1)*10%)+(COUNTIFS(U170,"&lt;="&amp;$D$1)*20%)</f>
        <v>0</v>
      </c>
      <c r="H170" s="146">
        <f t="shared" ref="H170" si="169">(COUNTIFS(M170,"&lt;="&amp;$D$1)*50%)+(COUNTIFS(P170,"&lt;="&amp;$D$1)*20%)+(COUNTIFS(S170,"&lt;="&amp;$D$1)*10%)+(COUNTIFS(V170,"&lt;="&amp;$D$1)*20%)</f>
        <v>0</v>
      </c>
      <c r="I170" s="146">
        <f t="shared" ref="I170" si="170">H170-F170</f>
        <v>0</v>
      </c>
      <c r="J170" s="147"/>
      <c r="K170" s="148">
        <v>46213</v>
      </c>
      <c r="L170" s="148">
        <f t="shared" ref="L170" si="171">K170</f>
        <v>46213</v>
      </c>
      <c r="M170" s="148"/>
      <c r="N170" s="148">
        <f t="shared" ref="N170" si="172">K170+42</f>
        <v>46255</v>
      </c>
      <c r="O170" s="148">
        <f t="shared" ref="O170" si="173">N170</f>
        <v>46255</v>
      </c>
      <c r="P170" s="148"/>
      <c r="Q170" s="148">
        <f t="shared" ref="Q170" si="174">N170+42</f>
        <v>46297</v>
      </c>
      <c r="R170" s="148">
        <f t="shared" ref="R170" si="175">Q170</f>
        <v>46297</v>
      </c>
      <c r="S170" s="148"/>
      <c r="T170" s="148">
        <f t="shared" ref="T170" si="176">Q170+14</f>
        <v>46311</v>
      </c>
      <c r="U170" s="148">
        <f t="shared" ref="U170" si="177">T170</f>
        <v>46311</v>
      </c>
      <c r="V170" s="148"/>
    </row>
    <row r="171" spans="1:22" s="64" customFormat="1" ht="9.5" x14ac:dyDescent="0.25">
      <c r="A171" s="70" t="s">
        <v>61</v>
      </c>
      <c r="B171" s="70" t="s">
        <v>62</v>
      </c>
      <c r="C171" s="70" t="s">
        <v>111</v>
      </c>
      <c r="D171" s="75" t="s">
        <v>403</v>
      </c>
      <c r="E171" s="75" t="s">
        <v>205</v>
      </c>
      <c r="F171" s="118">
        <f t="shared" si="167"/>
        <v>0</v>
      </c>
      <c r="G171" s="118">
        <f t="shared" si="167"/>
        <v>0</v>
      </c>
      <c r="H171" s="118">
        <f t="shared" si="167"/>
        <v>0.5</v>
      </c>
      <c r="I171" s="118">
        <f t="shared" si="114"/>
        <v>0.5</v>
      </c>
      <c r="J171" s="82">
        <v>0.1</v>
      </c>
      <c r="K171" s="72">
        <v>46220</v>
      </c>
      <c r="L171" s="72">
        <f t="shared" si="125"/>
        <v>46220</v>
      </c>
      <c r="M171" s="72">
        <v>46178</v>
      </c>
      <c r="N171" s="72">
        <f t="shared" si="126"/>
        <v>46262</v>
      </c>
      <c r="O171" s="72">
        <f t="shared" si="127"/>
        <v>46262</v>
      </c>
      <c r="P171" s="72"/>
      <c r="Q171" s="72">
        <f t="shared" si="128"/>
        <v>46304</v>
      </c>
      <c r="R171" s="72">
        <f t="shared" si="129"/>
        <v>46304</v>
      </c>
      <c r="S171" s="72"/>
      <c r="T171" s="72">
        <f t="shared" si="130"/>
        <v>46318</v>
      </c>
      <c r="U171" s="72">
        <f t="shared" si="131"/>
        <v>46318</v>
      </c>
      <c r="V171" s="72"/>
    </row>
    <row r="172" spans="1:22" s="64" customFormat="1" ht="9.5" x14ac:dyDescent="0.25">
      <c r="A172" s="70" t="s">
        <v>61</v>
      </c>
      <c r="B172" s="70" t="s">
        <v>62</v>
      </c>
      <c r="C172" s="70" t="s">
        <v>111</v>
      </c>
      <c r="D172" s="75" t="s">
        <v>404</v>
      </c>
      <c r="E172" s="75" t="s">
        <v>206</v>
      </c>
      <c r="F172" s="118">
        <f t="shared" si="167"/>
        <v>0</v>
      </c>
      <c r="G172" s="118">
        <f>(COUNTIFS(L172,"&lt;="&amp;$D$1)*50%)+(COUNTIFS(O172,"&lt;="&amp;$D$1)*20%)+(COUNTIFS(R172,"&lt;="&amp;$D$1)*10%)+(COUNTIFS(U172,"&lt;="&amp;$D$1)*20%)</f>
        <v>0</v>
      </c>
      <c r="H172" s="118">
        <f t="shared" si="167"/>
        <v>0.5</v>
      </c>
      <c r="I172" s="118">
        <f t="shared" si="114"/>
        <v>0.5</v>
      </c>
      <c r="J172" s="82">
        <v>0.1</v>
      </c>
      <c r="K172" s="72">
        <v>46220</v>
      </c>
      <c r="L172" s="72">
        <f t="shared" si="125"/>
        <v>46220</v>
      </c>
      <c r="M172" s="72">
        <v>46178</v>
      </c>
      <c r="N172" s="72">
        <f t="shared" si="126"/>
        <v>46262</v>
      </c>
      <c r="O172" s="72">
        <f t="shared" si="127"/>
        <v>46262</v>
      </c>
      <c r="P172" s="72"/>
      <c r="Q172" s="72">
        <f t="shared" si="128"/>
        <v>46304</v>
      </c>
      <c r="R172" s="72">
        <f t="shared" si="129"/>
        <v>46304</v>
      </c>
      <c r="S172" s="72"/>
      <c r="T172" s="72">
        <f t="shared" si="130"/>
        <v>46318</v>
      </c>
      <c r="U172" s="72">
        <f t="shared" si="131"/>
        <v>46318</v>
      </c>
      <c r="V172" s="72"/>
    </row>
    <row r="173" spans="1:22" s="64" customFormat="1" ht="9.5" customHeight="1" x14ac:dyDescent="0.25">
      <c r="A173" s="70" t="s">
        <v>61</v>
      </c>
      <c r="B173" s="70" t="s">
        <v>62</v>
      </c>
      <c r="C173" s="70" t="s">
        <v>111</v>
      </c>
      <c r="D173" s="75" t="s">
        <v>405</v>
      </c>
      <c r="E173" s="75" t="s">
        <v>207</v>
      </c>
      <c r="F173" s="118">
        <f t="shared" si="167"/>
        <v>0</v>
      </c>
      <c r="G173" s="118">
        <f>(COUNTIFS(L173,"&lt;="&amp;$D$1)*50%)+(COUNTIFS(O173,"&lt;="&amp;$D$1)*20%)+(COUNTIFS(R173,"&lt;="&amp;$D$1)*10%)+(COUNTIFS(U173,"&lt;="&amp;$D$1)*20%)</f>
        <v>0</v>
      </c>
      <c r="H173" s="118">
        <f t="shared" si="167"/>
        <v>0.5</v>
      </c>
      <c r="I173" s="118">
        <f t="shared" si="114"/>
        <v>0.5</v>
      </c>
      <c r="J173" s="82">
        <v>0.1</v>
      </c>
      <c r="K173" s="72">
        <v>46220</v>
      </c>
      <c r="L173" s="72">
        <f t="shared" si="125"/>
        <v>46220</v>
      </c>
      <c r="M173" s="72">
        <v>46178</v>
      </c>
      <c r="N173" s="72">
        <f t="shared" si="126"/>
        <v>46262</v>
      </c>
      <c r="O173" s="72">
        <f t="shared" si="127"/>
        <v>46262</v>
      </c>
      <c r="P173" s="72"/>
      <c r="Q173" s="72">
        <f t="shared" si="128"/>
        <v>46304</v>
      </c>
      <c r="R173" s="72">
        <f t="shared" si="129"/>
        <v>46304</v>
      </c>
      <c r="S173" s="72"/>
      <c r="T173" s="72">
        <f t="shared" si="130"/>
        <v>46318</v>
      </c>
      <c r="U173" s="72">
        <f t="shared" si="131"/>
        <v>46318</v>
      </c>
      <c r="V173" s="72"/>
    </row>
    <row r="174" spans="1:22" s="64" customFormat="1" ht="9.5" customHeight="1" x14ac:dyDescent="0.25">
      <c r="A174" s="70" t="s">
        <v>61</v>
      </c>
      <c r="B174" s="70" t="s">
        <v>62</v>
      </c>
      <c r="C174" s="70" t="s">
        <v>111</v>
      </c>
      <c r="D174" s="75" t="s">
        <v>406</v>
      </c>
      <c r="E174" s="75" t="s">
        <v>208</v>
      </c>
      <c r="F174" s="118">
        <f t="shared" si="167"/>
        <v>0</v>
      </c>
      <c r="G174" s="118">
        <f>(COUNTIFS(L174,"&lt;="&amp;$D$1)*50%)+(COUNTIFS(O174,"&lt;="&amp;$D$1)*20%)+(COUNTIFS(R174,"&lt;="&amp;$D$1)*10%)+(COUNTIFS(U174,"&lt;="&amp;$D$1)*20%)</f>
        <v>0</v>
      </c>
      <c r="H174" s="118">
        <f t="shared" si="167"/>
        <v>0.5</v>
      </c>
      <c r="I174" s="118">
        <f t="shared" si="114"/>
        <v>0.5</v>
      </c>
      <c r="J174" s="82">
        <v>0.1</v>
      </c>
      <c r="K174" s="72">
        <v>46220</v>
      </c>
      <c r="L174" s="72">
        <f t="shared" si="125"/>
        <v>46220</v>
      </c>
      <c r="M174" s="72">
        <v>46178</v>
      </c>
      <c r="N174" s="72">
        <f t="shared" si="126"/>
        <v>46262</v>
      </c>
      <c r="O174" s="72">
        <f t="shared" si="127"/>
        <v>46262</v>
      </c>
      <c r="P174" s="72"/>
      <c r="Q174" s="72">
        <f t="shared" si="128"/>
        <v>46304</v>
      </c>
      <c r="R174" s="72">
        <f t="shared" si="129"/>
        <v>46304</v>
      </c>
      <c r="S174" s="72"/>
      <c r="T174" s="72">
        <f t="shared" si="130"/>
        <v>46318</v>
      </c>
      <c r="U174" s="72">
        <f t="shared" si="131"/>
        <v>46318</v>
      </c>
      <c r="V174" s="72"/>
    </row>
    <row r="175" spans="1:22" s="64" customFormat="1" ht="9.5" customHeight="1" x14ac:dyDescent="0.25">
      <c r="A175" s="70" t="s">
        <v>61</v>
      </c>
      <c r="B175" s="70" t="s">
        <v>62</v>
      </c>
      <c r="C175" s="70" t="s">
        <v>111</v>
      </c>
      <c r="D175" s="75" t="s">
        <v>407</v>
      </c>
      <c r="E175" s="75" t="s">
        <v>209</v>
      </c>
      <c r="F175" s="118">
        <f t="shared" si="167"/>
        <v>0</v>
      </c>
      <c r="G175" s="118">
        <f t="shared" si="167"/>
        <v>0</v>
      </c>
      <c r="H175" s="118">
        <f t="shared" si="167"/>
        <v>0.5</v>
      </c>
      <c r="I175" s="118">
        <f t="shared" si="114"/>
        <v>0.5</v>
      </c>
      <c r="J175" s="82">
        <v>0.1</v>
      </c>
      <c r="K175" s="72">
        <v>46220</v>
      </c>
      <c r="L175" s="72">
        <f t="shared" si="125"/>
        <v>46220</v>
      </c>
      <c r="M175" s="72">
        <v>46178</v>
      </c>
      <c r="N175" s="72">
        <f t="shared" si="126"/>
        <v>46262</v>
      </c>
      <c r="O175" s="72">
        <f t="shared" si="127"/>
        <v>46262</v>
      </c>
      <c r="P175" s="72"/>
      <c r="Q175" s="72">
        <f t="shared" si="128"/>
        <v>46304</v>
      </c>
      <c r="R175" s="72">
        <f t="shared" si="129"/>
        <v>46304</v>
      </c>
      <c r="S175" s="72"/>
      <c r="T175" s="72">
        <f t="shared" si="130"/>
        <v>46318</v>
      </c>
      <c r="U175" s="72">
        <f t="shared" si="131"/>
        <v>46318</v>
      </c>
      <c r="V175" s="72"/>
    </row>
    <row r="176" spans="1:22" s="64" customFormat="1" ht="9.5" customHeight="1" x14ac:dyDescent="0.25">
      <c r="A176" s="70" t="s">
        <v>61</v>
      </c>
      <c r="B176" s="70" t="s">
        <v>62</v>
      </c>
      <c r="C176" s="70" t="s">
        <v>111</v>
      </c>
      <c r="D176" s="75" t="s">
        <v>408</v>
      </c>
      <c r="E176" s="75" t="s">
        <v>210</v>
      </c>
      <c r="F176" s="118">
        <f t="shared" si="167"/>
        <v>0</v>
      </c>
      <c r="G176" s="118">
        <f t="shared" si="167"/>
        <v>0</v>
      </c>
      <c r="H176" s="118">
        <f>(COUNTIFS(M176,"&lt;="&amp;$D$1)*50%)+(COUNTIFS(P176,"&lt;="&amp;$D$1)*20%)+(COUNTIFS(S176,"&lt;="&amp;$D$1)*10%)+(COUNTIFS(V176,"&lt;="&amp;$D$1)*20%)</f>
        <v>0.5</v>
      </c>
      <c r="I176" s="118">
        <f t="shared" si="114"/>
        <v>0.5</v>
      </c>
      <c r="J176" s="82">
        <v>0.1</v>
      </c>
      <c r="K176" s="72">
        <v>46220</v>
      </c>
      <c r="L176" s="72">
        <f t="shared" si="125"/>
        <v>46220</v>
      </c>
      <c r="M176" s="72">
        <v>46178</v>
      </c>
      <c r="N176" s="72">
        <f t="shared" si="126"/>
        <v>46262</v>
      </c>
      <c r="O176" s="72">
        <f t="shared" si="127"/>
        <v>46262</v>
      </c>
      <c r="P176" s="72"/>
      <c r="Q176" s="72">
        <f t="shared" si="128"/>
        <v>46304</v>
      </c>
      <c r="R176" s="72">
        <f t="shared" si="129"/>
        <v>46304</v>
      </c>
      <c r="S176" s="72"/>
      <c r="T176" s="72">
        <f t="shared" si="130"/>
        <v>46318</v>
      </c>
      <c r="U176" s="72">
        <f t="shared" si="131"/>
        <v>46318</v>
      </c>
      <c r="V176" s="72"/>
    </row>
    <row r="177" spans="1:22" s="64" customFormat="1" ht="9.5" customHeight="1" x14ac:dyDescent="0.25">
      <c r="A177" s="70" t="s">
        <v>61</v>
      </c>
      <c r="B177" s="70" t="s">
        <v>62</v>
      </c>
      <c r="C177" s="70" t="s">
        <v>111</v>
      </c>
      <c r="D177" s="75" t="s">
        <v>472</v>
      </c>
      <c r="E177" s="75" t="s">
        <v>473</v>
      </c>
      <c r="F177" s="118"/>
      <c r="G177" s="118">
        <f t="shared" ref="G177" si="178">(COUNTIFS(L177,"&lt;="&amp;$D$1)*50%)+(COUNTIFS(O177,"&lt;="&amp;$D$1)*20%)+(COUNTIFS(R177,"&lt;="&amp;$D$1)*10%)+(COUNTIFS(U177,"&lt;="&amp;$D$1)*20%)</f>
        <v>0</v>
      </c>
      <c r="H177" s="118">
        <f>(COUNTIFS(M177,"&lt;="&amp;$D$1)*50%)+(COUNTIFS(P177,"&lt;="&amp;$D$1)*20%)+(COUNTIFS(S177,"&lt;="&amp;$D$1)*10%)+(COUNTIFS(V177,"&lt;="&amp;$D$1)*20%)</f>
        <v>0.5</v>
      </c>
      <c r="I177" s="118">
        <f t="shared" ref="I177" si="179">H177-F177</f>
        <v>0.5</v>
      </c>
      <c r="J177" s="82">
        <v>0.1</v>
      </c>
      <c r="K177" s="72">
        <v>46220</v>
      </c>
      <c r="L177" s="72">
        <f t="shared" ref="L177" si="180">K177</f>
        <v>46220</v>
      </c>
      <c r="M177" s="72">
        <v>46185</v>
      </c>
      <c r="N177" s="72">
        <f t="shared" ref="N177" si="181">K177+42</f>
        <v>46262</v>
      </c>
      <c r="O177" s="72">
        <f t="shared" ref="O177" si="182">N177</f>
        <v>46262</v>
      </c>
      <c r="P177" s="72"/>
      <c r="Q177" s="72">
        <f t="shared" ref="Q177" si="183">N177+42</f>
        <v>46304</v>
      </c>
      <c r="R177" s="72">
        <f t="shared" ref="R177" si="184">Q177</f>
        <v>46304</v>
      </c>
      <c r="S177" s="72"/>
      <c r="T177" s="72">
        <f t="shared" ref="T177" si="185">Q177+14</f>
        <v>46318</v>
      </c>
      <c r="U177" s="72">
        <f t="shared" ref="U177" si="186">T177</f>
        <v>46318</v>
      </c>
      <c r="V177" s="72"/>
    </row>
    <row r="178" spans="1:22" s="64" customFormat="1" ht="9.5" customHeight="1" x14ac:dyDescent="0.25">
      <c r="A178" s="70" t="s">
        <v>61</v>
      </c>
      <c r="B178" s="70" t="s">
        <v>62</v>
      </c>
      <c r="C178" s="70" t="s">
        <v>111</v>
      </c>
      <c r="D178" s="75" t="s">
        <v>409</v>
      </c>
      <c r="E178" s="75" t="s">
        <v>211</v>
      </c>
      <c r="F178" s="118">
        <f t="shared" si="167"/>
        <v>0</v>
      </c>
      <c r="G178" s="118">
        <f t="shared" si="167"/>
        <v>0</v>
      </c>
      <c r="H178" s="118">
        <f t="shared" si="167"/>
        <v>0.5</v>
      </c>
      <c r="I178" s="118">
        <f t="shared" si="114"/>
        <v>0.5</v>
      </c>
      <c r="J178" s="82">
        <v>0.1</v>
      </c>
      <c r="K178" s="72">
        <v>46220</v>
      </c>
      <c r="L178" s="72">
        <f t="shared" si="125"/>
        <v>46220</v>
      </c>
      <c r="M178" s="72">
        <v>46171</v>
      </c>
      <c r="N178" s="72">
        <f t="shared" si="126"/>
        <v>46262</v>
      </c>
      <c r="O178" s="72">
        <f t="shared" si="127"/>
        <v>46262</v>
      </c>
      <c r="P178" s="72"/>
      <c r="Q178" s="72">
        <f t="shared" si="128"/>
        <v>46304</v>
      </c>
      <c r="R178" s="72">
        <f t="shared" si="129"/>
        <v>46304</v>
      </c>
      <c r="S178" s="72"/>
      <c r="T178" s="72">
        <f t="shared" si="130"/>
        <v>46318</v>
      </c>
      <c r="U178" s="72">
        <f t="shared" si="131"/>
        <v>46318</v>
      </c>
      <c r="V178" s="72"/>
    </row>
    <row r="179" spans="1:22" s="64" customFormat="1" ht="9.5" customHeight="1" x14ac:dyDescent="0.25">
      <c r="A179" s="70" t="s">
        <v>61</v>
      </c>
      <c r="B179" s="70" t="s">
        <v>62</v>
      </c>
      <c r="C179" s="70" t="s">
        <v>111</v>
      </c>
      <c r="D179" s="75" t="s">
        <v>410</v>
      </c>
      <c r="E179" s="75" t="s">
        <v>212</v>
      </c>
      <c r="F179" s="118">
        <f t="shared" si="167"/>
        <v>0</v>
      </c>
      <c r="G179" s="118">
        <f t="shared" si="167"/>
        <v>0</v>
      </c>
      <c r="H179" s="118">
        <f t="shared" si="167"/>
        <v>0</v>
      </c>
      <c r="I179" s="118">
        <f t="shared" si="114"/>
        <v>0</v>
      </c>
      <c r="J179" s="82">
        <v>0.1</v>
      </c>
      <c r="K179" s="72">
        <v>46220</v>
      </c>
      <c r="L179" s="72">
        <f t="shared" si="125"/>
        <v>46220</v>
      </c>
      <c r="M179" s="74"/>
      <c r="N179" s="72">
        <f t="shared" si="126"/>
        <v>46262</v>
      </c>
      <c r="O179" s="72">
        <f t="shared" si="127"/>
        <v>46262</v>
      </c>
      <c r="P179" s="72"/>
      <c r="Q179" s="72">
        <f t="shared" si="128"/>
        <v>46304</v>
      </c>
      <c r="R179" s="72">
        <f t="shared" si="129"/>
        <v>46304</v>
      </c>
      <c r="S179" s="72"/>
      <c r="T179" s="72">
        <f t="shared" si="130"/>
        <v>46318</v>
      </c>
      <c r="U179" s="72">
        <f t="shared" si="131"/>
        <v>46318</v>
      </c>
      <c r="V179" s="72"/>
    </row>
    <row r="180" spans="1:22" s="64" customFormat="1" ht="9.5" customHeight="1" x14ac:dyDescent="0.25">
      <c r="A180" s="70" t="s">
        <v>61</v>
      </c>
      <c r="B180" s="70" t="s">
        <v>62</v>
      </c>
      <c r="C180" s="70" t="s">
        <v>111</v>
      </c>
      <c r="D180" s="75" t="s">
        <v>411</v>
      </c>
      <c r="E180" s="75" t="s">
        <v>213</v>
      </c>
      <c r="F180" s="118">
        <f t="shared" si="167"/>
        <v>0</v>
      </c>
      <c r="G180" s="118">
        <f t="shared" si="167"/>
        <v>0</v>
      </c>
      <c r="H180" s="118">
        <f t="shared" si="167"/>
        <v>0.7</v>
      </c>
      <c r="I180" s="118">
        <f t="shared" si="114"/>
        <v>0.7</v>
      </c>
      <c r="J180" s="82">
        <v>0.15</v>
      </c>
      <c r="K180" s="72">
        <v>46220</v>
      </c>
      <c r="L180" s="72">
        <f t="shared" si="125"/>
        <v>46220</v>
      </c>
      <c r="M180" s="72">
        <v>46199</v>
      </c>
      <c r="N180" s="72">
        <f t="shared" si="126"/>
        <v>46262</v>
      </c>
      <c r="O180" s="72">
        <f t="shared" si="127"/>
        <v>46262</v>
      </c>
      <c r="P180" s="153">
        <v>46204</v>
      </c>
      <c r="Q180" s="72">
        <f t="shared" si="128"/>
        <v>46304</v>
      </c>
      <c r="R180" s="72">
        <f t="shared" si="129"/>
        <v>46304</v>
      </c>
      <c r="S180" s="72"/>
      <c r="T180" s="72">
        <f t="shared" si="130"/>
        <v>46318</v>
      </c>
      <c r="U180" s="72">
        <f t="shared" si="131"/>
        <v>46318</v>
      </c>
      <c r="V180" s="72"/>
    </row>
    <row r="181" spans="1:22" s="64" customFormat="1" ht="9.5" customHeight="1" x14ac:dyDescent="0.25">
      <c r="A181" s="70" t="s">
        <v>61</v>
      </c>
      <c r="B181" s="70" t="s">
        <v>62</v>
      </c>
      <c r="C181" s="70" t="s">
        <v>111</v>
      </c>
      <c r="D181" s="75" t="s">
        <v>412</v>
      </c>
      <c r="E181" s="75" t="s">
        <v>214</v>
      </c>
      <c r="F181" s="118">
        <f t="shared" si="167"/>
        <v>0</v>
      </c>
      <c r="G181" s="118">
        <f t="shared" si="167"/>
        <v>0</v>
      </c>
      <c r="H181" s="118">
        <f t="shared" si="167"/>
        <v>0.7</v>
      </c>
      <c r="I181" s="118">
        <f t="shared" si="114"/>
        <v>0.7</v>
      </c>
      <c r="J181" s="82">
        <v>0.15</v>
      </c>
      <c r="K181" s="72">
        <v>46220</v>
      </c>
      <c r="L181" s="72">
        <f t="shared" si="125"/>
        <v>46220</v>
      </c>
      <c r="M181" s="72">
        <v>46199</v>
      </c>
      <c r="N181" s="72">
        <f t="shared" si="126"/>
        <v>46262</v>
      </c>
      <c r="O181" s="72">
        <f t="shared" si="127"/>
        <v>46262</v>
      </c>
      <c r="P181" s="153">
        <v>46204</v>
      </c>
      <c r="Q181" s="72">
        <f t="shared" si="128"/>
        <v>46304</v>
      </c>
      <c r="R181" s="72">
        <f t="shared" si="129"/>
        <v>46304</v>
      </c>
      <c r="S181" s="72"/>
      <c r="T181" s="72">
        <f t="shared" si="130"/>
        <v>46318</v>
      </c>
      <c r="U181" s="72">
        <f t="shared" si="131"/>
        <v>46318</v>
      </c>
      <c r="V181" s="72"/>
    </row>
    <row r="182" spans="1:22" s="64" customFormat="1" ht="9.5" customHeight="1" x14ac:dyDescent="0.25">
      <c r="A182" s="70" t="s">
        <v>61</v>
      </c>
      <c r="B182" s="70" t="s">
        <v>62</v>
      </c>
      <c r="C182" s="70" t="s">
        <v>111</v>
      </c>
      <c r="D182" s="75" t="s">
        <v>413</v>
      </c>
      <c r="E182" s="75" t="s">
        <v>215</v>
      </c>
      <c r="F182" s="118">
        <f t="shared" si="167"/>
        <v>0</v>
      </c>
      <c r="G182" s="118">
        <f t="shared" si="167"/>
        <v>0</v>
      </c>
      <c r="H182" s="118">
        <f t="shared" si="167"/>
        <v>0.5</v>
      </c>
      <c r="I182" s="118">
        <f t="shared" si="114"/>
        <v>0.5</v>
      </c>
      <c r="J182" s="82">
        <v>0.1</v>
      </c>
      <c r="K182" s="72">
        <v>46227</v>
      </c>
      <c r="L182" s="72">
        <f t="shared" si="125"/>
        <v>46227</v>
      </c>
      <c r="M182" s="72">
        <v>46178</v>
      </c>
      <c r="N182" s="72">
        <f t="shared" si="126"/>
        <v>46269</v>
      </c>
      <c r="O182" s="72">
        <f t="shared" si="127"/>
        <v>46269</v>
      </c>
      <c r="P182" s="72"/>
      <c r="Q182" s="72">
        <f t="shared" si="128"/>
        <v>46311</v>
      </c>
      <c r="R182" s="72">
        <f t="shared" si="129"/>
        <v>46311</v>
      </c>
      <c r="S182" s="72"/>
      <c r="T182" s="72">
        <f t="shared" si="130"/>
        <v>46325</v>
      </c>
      <c r="U182" s="72">
        <f t="shared" si="131"/>
        <v>46325</v>
      </c>
      <c r="V182" s="72"/>
    </row>
    <row r="183" spans="1:22" s="64" customFormat="1" ht="9.5" customHeight="1" x14ac:dyDescent="0.25">
      <c r="A183" s="70" t="s">
        <v>61</v>
      </c>
      <c r="B183" s="70" t="s">
        <v>62</v>
      </c>
      <c r="C183" s="70" t="s">
        <v>111</v>
      </c>
      <c r="D183" s="75" t="s">
        <v>414</v>
      </c>
      <c r="E183" s="75" t="s">
        <v>216</v>
      </c>
      <c r="F183" s="118">
        <f t="shared" si="167"/>
        <v>0</v>
      </c>
      <c r="G183" s="118">
        <f t="shared" si="167"/>
        <v>0</v>
      </c>
      <c r="H183" s="118">
        <f t="shared" si="167"/>
        <v>0.5</v>
      </c>
      <c r="I183" s="118">
        <f t="shared" si="114"/>
        <v>0.5</v>
      </c>
      <c r="J183" s="82">
        <v>0.1</v>
      </c>
      <c r="K183" s="72">
        <v>46227</v>
      </c>
      <c r="L183" s="72">
        <f t="shared" si="125"/>
        <v>46227</v>
      </c>
      <c r="M183" s="72">
        <v>46178</v>
      </c>
      <c r="N183" s="72">
        <f t="shared" si="126"/>
        <v>46269</v>
      </c>
      <c r="O183" s="72">
        <f t="shared" si="127"/>
        <v>46269</v>
      </c>
      <c r="P183" s="72"/>
      <c r="Q183" s="72">
        <f t="shared" si="128"/>
        <v>46311</v>
      </c>
      <c r="R183" s="72">
        <f t="shared" si="129"/>
        <v>46311</v>
      </c>
      <c r="S183" s="72"/>
      <c r="T183" s="72">
        <f t="shared" si="130"/>
        <v>46325</v>
      </c>
      <c r="U183" s="72">
        <f t="shared" si="131"/>
        <v>46325</v>
      </c>
      <c r="V183" s="72"/>
    </row>
    <row r="184" spans="1:22" s="64" customFormat="1" ht="9.5" customHeight="1" x14ac:dyDescent="0.25">
      <c r="A184" s="70" t="s">
        <v>61</v>
      </c>
      <c r="B184" s="70" t="s">
        <v>62</v>
      </c>
      <c r="C184" s="70" t="s">
        <v>111</v>
      </c>
      <c r="D184" s="126" t="s">
        <v>415</v>
      </c>
      <c r="E184" s="126" t="s">
        <v>217</v>
      </c>
      <c r="F184" s="127">
        <f t="shared" si="167"/>
        <v>0</v>
      </c>
      <c r="G184" s="127">
        <f t="shared" si="167"/>
        <v>0</v>
      </c>
      <c r="H184" s="127">
        <f t="shared" si="167"/>
        <v>0.5</v>
      </c>
      <c r="I184" s="127">
        <f t="shared" si="114"/>
        <v>0.5</v>
      </c>
      <c r="J184" s="82">
        <v>0.1</v>
      </c>
      <c r="K184" s="72">
        <v>46227</v>
      </c>
      <c r="L184" s="74">
        <f t="shared" si="125"/>
        <v>46227</v>
      </c>
      <c r="M184" s="72">
        <v>46178</v>
      </c>
      <c r="N184" s="74">
        <f t="shared" si="126"/>
        <v>46269</v>
      </c>
      <c r="O184" s="74">
        <f t="shared" si="127"/>
        <v>46269</v>
      </c>
      <c r="P184" s="74"/>
      <c r="Q184" s="74">
        <f t="shared" si="128"/>
        <v>46311</v>
      </c>
      <c r="R184" s="74">
        <f t="shared" si="129"/>
        <v>46311</v>
      </c>
      <c r="S184" s="74"/>
      <c r="T184" s="74">
        <f t="shared" si="130"/>
        <v>46325</v>
      </c>
      <c r="U184" s="74">
        <f t="shared" si="131"/>
        <v>46325</v>
      </c>
      <c r="V184" s="72"/>
    </row>
    <row r="185" spans="1:22" s="64" customFormat="1" ht="9.5" customHeight="1" x14ac:dyDescent="0.25">
      <c r="A185" s="70" t="s">
        <v>61</v>
      </c>
      <c r="B185" s="70" t="s">
        <v>62</v>
      </c>
      <c r="C185" s="70" t="s">
        <v>111</v>
      </c>
      <c r="D185" s="126" t="s">
        <v>416</v>
      </c>
      <c r="E185" s="126" t="s">
        <v>218</v>
      </c>
      <c r="F185" s="127">
        <f t="shared" si="167"/>
        <v>0</v>
      </c>
      <c r="G185" s="127">
        <f t="shared" si="167"/>
        <v>0</v>
      </c>
      <c r="H185" s="127">
        <f t="shared" si="167"/>
        <v>0.5</v>
      </c>
      <c r="I185" s="127">
        <f t="shared" si="114"/>
        <v>0.5</v>
      </c>
      <c r="J185" s="82">
        <v>0.1</v>
      </c>
      <c r="K185" s="72">
        <v>46227</v>
      </c>
      <c r="L185" s="74">
        <f t="shared" si="125"/>
        <v>46227</v>
      </c>
      <c r="M185" s="72">
        <v>46178</v>
      </c>
      <c r="N185" s="74">
        <f t="shared" si="126"/>
        <v>46269</v>
      </c>
      <c r="O185" s="74">
        <f t="shared" si="127"/>
        <v>46269</v>
      </c>
      <c r="P185" s="74"/>
      <c r="Q185" s="74">
        <f t="shared" si="128"/>
        <v>46311</v>
      </c>
      <c r="R185" s="74">
        <f t="shared" si="129"/>
        <v>46311</v>
      </c>
      <c r="S185" s="74"/>
      <c r="T185" s="74">
        <f t="shared" si="130"/>
        <v>46325</v>
      </c>
      <c r="U185" s="74">
        <f t="shared" si="131"/>
        <v>46325</v>
      </c>
      <c r="V185" s="72"/>
    </row>
    <row r="186" spans="1:22" s="64" customFormat="1" ht="9.5" customHeight="1" x14ac:dyDescent="0.25">
      <c r="A186" s="70" t="s">
        <v>61</v>
      </c>
      <c r="B186" s="70" t="s">
        <v>62</v>
      </c>
      <c r="C186" s="70" t="s">
        <v>111</v>
      </c>
      <c r="D186" s="126" t="s">
        <v>417</v>
      </c>
      <c r="E186" s="126" t="s">
        <v>219</v>
      </c>
      <c r="F186" s="127">
        <f t="shared" si="167"/>
        <v>0</v>
      </c>
      <c r="G186" s="127">
        <f t="shared" si="167"/>
        <v>0</v>
      </c>
      <c r="H186" s="127">
        <f t="shared" si="167"/>
        <v>0.5</v>
      </c>
      <c r="I186" s="127">
        <f t="shared" si="114"/>
        <v>0.5</v>
      </c>
      <c r="J186" s="82">
        <v>0.1</v>
      </c>
      <c r="K186" s="72">
        <v>46227</v>
      </c>
      <c r="L186" s="74">
        <f t="shared" si="125"/>
        <v>46227</v>
      </c>
      <c r="M186" s="72">
        <v>46178</v>
      </c>
      <c r="N186" s="74">
        <f t="shared" si="126"/>
        <v>46269</v>
      </c>
      <c r="O186" s="74">
        <f t="shared" si="127"/>
        <v>46269</v>
      </c>
      <c r="P186" s="74"/>
      <c r="Q186" s="74">
        <f t="shared" si="128"/>
        <v>46311</v>
      </c>
      <c r="R186" s="74">
        <f t="shared" si="129"/>
        <v>46311</v>
      </c>
      <c r="S186" s="74"/>
      <c r="T186" s="74">
        <f t="shared" si="130"/>
        <v>46325</v>
      </c>
      <c r="U186" s="74">
        <f t="shared" si="131"/>
        <v>46325</v>
      </c>
      <c r="V186" s="74"/>
    </row>
    <row r="187" spans="1:22" s="64" customFormat="1" ht="9.5" customHeight="1" x14ac:dyDescent="0.25">
      <c r="A187" s="70" t="s">
        <v>61</v>
      </c>
      <c r="B187" s="70" t="s">
        <v>62</v>
      </c>
      <c r="C187" s="70" t="s">
        <v>111</v>
      </c>
      <c r="D187" s="126" t="s">
        <v>418</v>
      </c>
      <c r="E187" s="126" t="s">
        <v>220</v>
      </c>
      <c r="F187" s="127">
        <f t="shared" ref="F187:F190" si="187">(COUNTIFS(K187,"&lt;="&amp;$D$1)*50%)+(COUNTIFS(N187,"&lt;="&amp;$D$1)*20%)+(COUNTIFS(Q187,"&lt;="&amp;$D$1)*10%)+(COUNTIFS(T187,"&lt;="&amp;$D$1)*20%)</f>
        <v>0</v>
      </c>
      <c r="G187" s="127">
        <f t="shared" ref="G187:G190" si="188">(COUNTIFS(L187,"&lt;="&amp;$D$1)*50%)+(COUNTIFS(O187,"&lt;="&amp;$D$1)*20%)+(COUNTIFS(R187,"&lt;="&amp;$D$1)*10%)+(COUNTIFS(U187,"&lt;="&amp;$D$1)*20%)</f>
        <v>0</v>
      </c>
      <c r="H187" s="127">
        <f t="shared" ref="H187:H190" si="189">(COUNTIFS(M187,"&lt;="&amp;$D$1)*50%)+(COUNTIFS(P187,"&lt;="&amp;$D$1)*20%)+(COUNTIFS(S187,"&lt;="&amp;$D$1)*10%)+(COUNTIFS(V187,"&lt;="&amp;$D$1)*20%)</f>
        <v>0.5</v>
      </c>
      <c r="I187" s="127">
        <f t="shared" ref="I187:I190" si="190">H187-F187</f>
        <v>0.5</v>
      </c>
      <c r="J187" s="82">
        <v>0.1</v>
      </c>
      <c r="K187" s="72">
        <v>46227</v>
      </c>
      <c r="L187" s="74">
        <f t="shared" si="125"/>
        <v>46227</v>
      </c>
      <c r="M187" s="72">
        <v>46178</v>
      </c>
      <c r="N187" s="74">
        <f t="shared" si="126"/>
        <v>46269</v>
      </c>
      <c r="O187" s="74">
        <f t="shared" si="127"/>
        <v>46269</v>
      </c>
      <c r="P187" s="74"/>
      <c r="Q187" s="74">
        <f t="shared" si="128"/>
        <v>46311</v>
      </c>
      <c r="R187" s="74">
        <f t="shared" si="129"/>
        <v>46311</v>
      </c>
      <c r="S187" s="74"/>
      <c r="T187" s="74">
        <f t="shared" si="130"/>
        <v>46325</v>
      </c>
      <c r="U187" s="74">
        <f t="shared" si="131"/>
        <v>46325</v>
      </c>
      <c r="V187" s="74"/>
    </row>
    <row r="188" spans="1:22" s="64" customFormat="1" ht="9.5" customHeight="1" x14ac:dyDescent="0.25">
      <c r="A188" s="70" t="s">
        <v>61</v>
      </c>
      <c r="B188" s="70" t="s">
        <v>62</v>
      </c>
      <c r="C188" s="70" t="s">
        <v>111</v>
      </c>
      <c r="D188" s="126" t="s">
        <v>419</v>
      </c>
      <c r="E188" s="126" t="s">
        <v>221</v>
      </c>
      <c r="F188" s="127">
        <f t="shared" si="187"/>
        <v>0</v>
      </c>
      <c r="G188" s="127">
        <f t="shared" si="188"/>
        <v>0</v>
      </c>
      <c r="H188" s="127">
        <f t="shared" si="189"/>
        <v>0.5</v>
      </c>
      <c r="I188" s="127">
        <f t="shared" si="190"/>
        <v>0.5</v>
      </c>
      <c r="J188" s="82">
        <v>0.1</v>
      </c>
      <c r="K188" s="72">
        <v>46227</v>
      </c>
      <c r="L188" s="74">
        <f t="shared" si="125"/>
        <v>46227</v>
      </c>
      <c r="M188" s="72">
        <v>46178</v>
      </c>
      <c r="N188" s="74">
        <f t="shared" si="126"/>
        <v>46269</v>
      </c>
      <c r="O188" s="74">
        <f t="shared" si="127"/>
        <v>46269</v>
      </c>
      <c r="P188" s="74"/>
      <c r="Q188" s="74">
        <f t="shared" si="128"/>
        <v>46311</v>
      </c>
      <c r="R188" s="74">
        <f t="shared" si="129"/>
        <v>46311</v>
      </c>
      <c r="S188" s="74"/>
      <c r="T188" s="74">
        <f t="shared" si="130"/>
        <v>46325</v>
      </c>
      <c r="U188" s="74">
        <f t="shared" si="131"/>
        <v>46325</v>
      </c>
      <c r="V188" s="74"/>
    </row>
    <row r="189" spans="1:22" s="64" customFormat="1" ht="9.5" customHeight="1" x14ac:dyDescent="0.25">
      <c r="A189" s="70" t="s">
        <v>61</v>
      </c>
      <c r="B189" s="70" t="s">
        <v>62</v>
      </c>
      <c r="C189" s="70" t="s">
        <v>111</v>
      </c>
      <c r="D189" s="126" t="s">
        <v>420</v>
      </c>
      <c r="E189" s="126" t="s">
        <v>222</v>
      </c>
      <c r="F189" s="127">
        <f t="shared" si="187"/>
        <v>0</v>
      </c>
      <c r="G189" s="127">
        <f t="shared" si="188"/>
        <v>0</v>
      </c>
      <c r="H189" s="127">
        <f t="shared" si="189"/>
        <v>0.5</v>
      </c>
      <c r="I189" s="127">
        <f t="shared" si="190"/>
        <v>0.5</v>
      </c>
      <c r="J189" s="82">
        <v>0.1</v>
      </c>
      <c r="K189" s="72">
        <v>46227</v>
      </c>
      <c r="L189" s="74">
        <f t="shared" si="125"/>
        <v>46227</v>
      </c>
      <c r="M189" s="72">
        <v>46178</v>
      </c>
      <c r="N189" s="74">
        <f t="shared" si="126"/>
        <v>46269</v>
      </c>
      <c r="O189" s="74">
        <f t="shared" si="127"/>
        <v>46269</v>
      </c>
      <c r="P189" s="74"/>
      <c r="Q189" s="74">
        <f t="shared" si="128"/>
        <v>46311</v>
      </c>
      <c r="R189" s="74">
        <f t="shared" si="129"/>
        <v>46311</v>
      </c>
      <c r="S189" s="74"/>
      <c r="T189" s="74">
        <f t="shared" si="130"/>
        <v>46325</v>
      </c>
      <c r="U189" s="74">
        <f t="shared" si="131"/>
        <v>46325</v>
      </c>
      <c r="V189" s="74"/>
    </row>
    <row r="190" spans="1:22" s="64" customFormat="1" ht="9.5" customHeight="1" x14ac:dyDescent="0.25">
      <c r="A190" s="70" t="s">
        <v>61</v>
      </c>
      <c r="B190" s="70" t="s">
        <v>62</v>
      </c>
      <c r="C190" s="70" t="s">
        <v>111</v>
      </c>
      <c r="D190" s="126" t="s">
        <v>421</v>
      </c>
      <c r="E190" s="126" t="s">
        <v>223</v>
      </c>
      <c r="F190" s="127">
        <f t="shared" si="187"/>
        <v>0</v>
      </c>
      <c r="G190" s="127">
        <f t="shared" si="188"/>
        <v>0</v>
      </c>
      <c r="H190" s="127">
        <f t="shared" si="189"/>
        <v>0.5</v>
      </c>
      <c r="I190" s="127">
        <f t="shared" si="190"/>
        <v>0.5</v>
      </c>
      <c r="J190" s="82">
        <v>0.1</v>
      </c>
      <c r="K190" s="72">
        <v>46227</v>
      </c>
      <c r="L190" s="74">
        <f t="shared" si="125"/>
        <v>46227</v>
      </c>
      <c r="M190" s="72">
        <v>46178</v>
      </c>
      <c r="N190" s="74">
        <f t="shared" si="126"/>
        <v>46269</v>
      </c>
      <c r="O190" s="74">
        <f t="shared" si="127"/>
        <v>46269</v>
      </c>
      <c r="P190" s="74"/>
      <c r="Q190" s="74">
        <f t="shared" si="128"/>
        <v>46311</v>
      </c>
      <c r="R190" s="74">
        <f t="shared" si="129"/>
        <v>46311</v>
      </c>
      <c r="S190" s="74"/>
      <c r="T190" s="74">
        <f t="shared" si="130"/>
        <v>46325</v>
      </c>
      <c r="U190" s="74">
        <f t="shared" si="131"/>
        <v>46325</v>
      </c>
      <c r="V190" s="74"/>
    </row>
    <row r="191" spans="1:22" s="64" customFormat="1" ht="9.5" customHeight="1" x14ac:dyDescent="0.25">
      <c r="A191" s="70" t="s">
        <v>61</v>
      </c>
      <c r="B191" s="70" t="s">
        <v>62</v>
      </c>
      <c r="C191" s="70" t="s">
        <v>111</v>
      </c>
      <c r="D191" s="126" t="s">
        <v>422</v>
      </c>
      <c r="E191" s="126" t="s">
        <v>224</v>
      </c>
      <c r="F191" s="127">
        <f t="shared" si="167"/>
        <v>0</v>
      </c>
      <c r="G191" s="127">
        <f t="shared" si="167"/>
        <v>0</v>
      </c>
      <c r="H191" s="127">
        <f t="shared" si="167"/>
        <v>0.5</v>
      </c>
      <c r="I191" s="127">
        <f t="shared" si="114"/>
        <v>0.5</v>
      </c>
      <c r="J191" s="82">
        <v>0.1</v>
      </c>
      <c r="K191" s="72">
        <v>46227</v>
      </c>
      <c r="L191" s="74">
        <f t="shared" si="125"/>
        <v>46227</v>
      </c>
      <c r="M191" s="72">
        <v>46178</v>
      </c>
      <c r="N191" s="74">
        <f t="shared" si="126"/>
        <v>46269</v>
      </c>
      <c r="O191" s="74">
        <f t="shared" si="127"/>
        <v>46269</v>
      </c>
      <c r="P191" s="74"/>
      <c r="Q191" s="74">
        <f t="shared" si="128"/>
        <v>46311</v>
      </c>
      <c r="R191" s="74">
        <f t="shared" si="129"/>
        <v>46311</v>
      </c>
      <c r="S191" s="74"/>
      <c r="T191" s="74">
        <f t="shared" si="130"/>
        <v>46325</v>
      </c>
      <c r="U191" s="74">
        <f t="shared" si="131"/>
        <v>46325</v>
      </c>
      <c r="V191" s="72"/>
    </row>
    <row r="192" spans="1:22" s="64" customFormat="1" ht="9.5" customHeight="1" x14ac:dyDescent="0.25">
      <c r="A192" s="70" t="s">
        <v>61</v>
      </c>
      <c r="B192" s="70" t="s">
        <v>62</v>
      </c>
      <c r="C192" s="70" t="s">
        <v>111</v>
      </c>
      <c r="D192" s="126" t="s">
        <v>423</v>
      </c>
      <c r="E192" s="126" t="s">
        <v>225</v>
      </c>
      <c r="F192" s="127">
        <f t="shared" si="167"/>
        <v>0</v>
      </c>
      <c r="G192" s="127">
        <f t="shared" si="167"/>
        <v>0</v>
      </c>
      <c r="H192" s="127">
        <f t="shared" si="167"/>
        <v>0.5</v>
      </c>
      <c r="I192" s="127">
        <f t="shared" si="114"/>
        <v>0.5</v>
      </c>
      <c r="J192" s="82">
        <v>0.1</v>
      </c>
      <c r="K192" s="72">
        <v>46227</v>
      </c>
      <c r="L192" s="74">
        <f t="shared" si="125"/>
        <v>46227</v>
      </c>
      <c r="M192" s="72">
        <v>46185</v>
      </c>
      <c r="N192" s="74">
        <f t="shared" si="126"/>
        <v>46269</v>
      </c>
      <c r="O192" s="74">
        <f t="shared" si="127"/>
        <v>46269</v>
      </c>
      <c r="P192" s="74"/>
      <c r="Q192" s="74">
        <f t="shared" si="128"/>
        <v>46311</v>
      </c>
      <c r="R192" s="74">
        <f t="shared" si="129"/>
        <v>46311</v>
      </c>
      <c r="S192" s="74"/>
      <c r="T192" s="74">
        <f t="shared" si="130"/>
        <v>46325</v>
      </c>
      <c r="U192" s="74">
        <f t="shared" si="131"/>
        <v>46325</v>
      </c>
      <c r="V192" s="72"/>
    </row>
    <row r="193" spans="1:22" s="64" customFormat="1" ht="9.5" customHeight="1" x14ac:dyDescent="0.25">
      <c r="A193" s="70" t="s">
        <v>61</v>
      </c>
      <c r="B193" s="70" t="s">
        <v>62</v>
      </c>
      <c r="C193" s="70" t="s">
        <v>111</v>
      </c>
      <c r="D193" s="75" t="s">
        <v>424</v>
      </c>
      <c r="E193" s="75" t="s">
        <v>226</v>
      </c>
      <c r="F193" s="118">
        <f t="shared" si="167"/>
        <v>0</v>
      </c>
      <c r="G193" s="118">
        <f t="shared" si="167"/>
        <v>0</v>
      </c>
      <c r="H193" s="118">
        <f t="shared" si="167"/>
        <v>0.5</v>
      </c>
      <c r="I193" s="118">
        <f t="shared" si="114"/>
        <v>0.5</v>
      </c>
      <c r="J193" s="82">
        <v>0.1</v>
      </c>
      <c r="K193" s="72">
        <v>46227</v>
      </c>
      <c r="L193" s="72">
        <f t="shared" si="125"/>
        <v>46227</v>
      </c>
      <c r="M193" s="72">
        <v>46178</v>
      </c>
      <c r="N193" s="72">
        <f t="shared" si="126"/>
        <v>46269</v>
      </c>
      <c r="O193" s="72">
        <f t="shared" si="127"/>
        <v>46269</v>
      </c>
      <c r="P193" s="72"/>
      <c r="Q193" s="72">
        <f t="shared" si="128"/>
        <v>46311</v>
      </c>
      <c r="R193" s="72">
        <f t="shared" si="129"/>
        <v>46311</v>
      </c>
      <c r="S193" s="72"/>
      <c r="T193" s="72">
        <f t="shared" si="130"/>
        <v>46325</v>
      </c>
      <c r="U193" s="72">
        <f t="shared" si="131"/>
        <v>46325</v>
      </c>
      <c r="V193" s="72"/>
    </row>
    <row r="194" spans="1:22" s="64" customFormat="1" ht="9.5" customHeight="1" x14ac:dyDescent="0.25">
      <c r="A194" s="70" t="s">
        <v>61</v>
      </c>
      <c r="B194" s="70" t="s">
        <v>62</v>
      </c>
      <c r="C194" s="70" t="s">
        <v>111</v>
      </c>
      <c r="D194" s="75" t="s">
        <v>474</v>
      </c>
      <c r="E194" s="75" t="s">
        <v>475</v>
      </c>
      <c r="F194" s="118"/>
      <c r="G194" s="127">
        <f t="shared" si="167"/>
        <v>0</v>
      </c>
      <c r="H194" s="127">
        <f t="shared" si="167"/>
        <v>0.5</v>
      </c>
      <c r="I194" s="127">
        <f t="shared" si="114"/>
        <v>0.5</v>
      </c>
      <c r="J194" s="82">
        <v>0.1</v>
      </c>
      <c r="K194" s="72">
        <v>46227</v>
      </c>
      <c r="L194" s="74">
        <f t="shared" ref="L194:L210" si="191">K194</f>
        <v>46227</v>
      </c>
      <c r="M194" s="72">
        <v>46185</v>
      </c>
      <c r="N194" s="74">
        <f t="shared" ref="N194:N210" si="192">K194+42</f>
        <v>46269</v>
      </c>
      <c r="O194" s="74">
        <f t="shared" ref="O194:O210" si="193">N194</f>
        <v>46269</v>
      </c>
      <c r="P194" s="74"/>
      <c r="Q194" s="74">
        <f t="shared" ref="Q194:Q210" si="194">N194+42</f>
        <v>46311</v>
      </c>
      <c r="R194" s="74">
        <f t="shared" ref="R194:R210" si="195">Q194</f>
        <v>46311</v>
      </c>
      <c r="S194" s="74"/>
      <c r="T194" s="74">
        <f t="shared" ref="T194:T210" si="196">Q194+14</f>
        <v>46325</v>
      </c>
      <c r="U194" s="74">
        <f t="shared" ref="U194:U210" si="197">T194</f>
        <v>46325</v>
      </c>
      <c r="V194" s="72"/>
    </row>
    <row r="195" spans="1:22" s="64" customFormat="1" ht="9.5" customHeight="1" x14ac:dyDescent="0.25">
      <c r="A195" s="70" t="s">
        <v>61</v>
      </c>
      <c r="B195" s="70" t="s">
        <v>62</v>
      </c>
      <c r="C195" s="70" t="s">
        <v>111</v>
      </c>
      <c r="D195" s="75" t="s">
        <v>476</v>
      </c>
      <c r="E195" s="75" t="s">
        <v>477</v>
      </c>
      <c r="F195" s="118"/>
      <c r="G195" s="127">
        <f t="shared" ref="G195:G210" si="198">(COUNTIFS(L195,"&lt;="&amp;$D$1)*50%)+(COUNTIFS(O195,"&lt;="&amp;$D$1)*20%)+(COUNTIFS(R195,"&lt;="&amp;$D$1)*10%)+(COUNTIFS(U195,"&lt;="&amp;$D$1)*20%)</f>
        <v>0</v>
      </c>
      <c r="H195" s="127">
        <f t="shared" ref="H195:H210" si="199">(COUNTIFS(M195,"&lt;="&amp;$D$1)*50%)+(COUNTIFS(P195,"&lt;="&amp;$D$1)*20%)+(COUNTIFS(S195,"&lt;="&amp;$D$1)*10%)+(COUNTIFS(V195,"&lt;="&amp;$D$1)*20%)</f>
        <v>0.5</v>
      </c>
      <c r="I195" s="127">
        <f t="shared" ref="I195:I210" si="200">H195-F195</f>
        <v>0.5</v>
      </c>
      <c r="J195" s="82">
        <v>0.1</v>
      </c>
      <c r="K195" s="72">
        <v>46227</v>
      </c>
      <c r="L195" s="74">
        <f t="shared" si="191"/>
        <v>46227</v>
      </c>
      <c r="M195" s="72">
        <v>46185</v>
      </c>
      <c r="N195" s="74">
        <f t="shared" si="192"/>
        <v>46269</v>
      </c>
      <c r="O195" s="74">
        <f t="shared" si="193"/>
        <v>46269</v>
      </c>
      <c r="P195" s="74"/>
      <c r="Q195" s="74">
        <f t="shared" si="194"/>
        <v>46311</v>
      </c>
      <c r="R195" s="74">
        <f t="shared" si="195"/>
        <v>46311</v>
      </c>
      <c r="S195" s="74"/>
      <c r="T195" s="74">
        <f t="shared" si="196"/>
        <v>46325</v>
      </c>
      <c r="U195" s="74">
        <f t="shared" si="197"/>
        <v>46325</v>
      </c>
      <c r="V195" s="72"/>
    </row>
    <row r="196" spans="1:22" s="64" customFormat="1" ht="9.5" customHeight="1" x14ac:dyDescent="0.25">
      <c r="A196" s="70" t="s">
        <v>61</v>
      </c>
      <c r="B196" s="70" t="s">
        <v>62</v>
      </c>
      <c r="C196" s="70" t="s">
        <v>111</v>
      </c>
      <c r="D196" s="75" t="s">
        <v>478</v>
      </c>
      <c r="E196" s="75" t="s">
        <v>479</v>
      </c>
      <c r="F196" s="118"/>
      <c r="G196" s="127">
        <f t="shared" si="198"/>
        <v>0</v>
      </c>
      <c r="H196" s="127">
        <f t="shared" si="199"/>
        <v>0</v>
      </c>
      <c r="I196" s="127">
        <f t="shared" si="200"/>
        <v>0</v>
      </c>
      <c r="J196" s="82">
        <v>0.1</v>
      </c>
      <c r="K196" s="72">
        <v>46227</v>
      </c>
      <c r="L196" s="74">
        <f t="shared" si="191"/>
        <v>46227</v>
      </c>
      <c r="M196" s="74"/>
      <c r="N196" s="74">
        <f t="shared" si="192"/>
        <v>46269</v>
      </c>
      <c r="O196" s="74">
        <f t="shared" si="193"/>
        <v>46269</v>
      </c>
      <c r="P196" s="74"/>
      <c r="Q196" s="74">
        <f t="shared" si="194"/>
        <v>46311</v>
      </c>
      <c r="R196" s="74">
        <f t="shared" si="195"/>
        <v>46311</v>
      </c>
      <c r="S196" s="74"/>
      <c r="T196" s="74">
        <f t="shared" si="196"/>
        <v>46325</v>
      </c>
      <c r="U196" s="74">
        <f t="shared" si="197"/>
        <v>46325</v>
      </c>
      <c r="V196" s="72"/>
    </row>
    <row r="197" spans="1:22" s="64" customFormat="1" ht="9.5" customHeight="1" x14ac:dyDescent="0.25">
      <c r="A197" s="70" t="s">
        <v>61</v>
      </c>
      <c r="B197" s="70" t="s">
        <v>62</v>
      </c>
      <c r="C197" s="70" t="s">
        <v>111</v>
      </c>
      <c r="D197" s="75" t="s">
        <v>480</v>
      </c>
      <c r="E197" s="75" t="s">
        <v>481</v>
      </c>
      <c r="F197" s="118"/>
      <c r="G197" s="118">
        <f t="shared" si="198"/>
        <v>0</v>
      </c>
      <c r="H197" s="118">
        <f t="shared" si="199"/>
        <v>0</v>
      </c>
      <c r="I197" s="118">
        <f t="shared" si="200"/>
        <v>0</v>
      </c>
      <c r="J197" s="82">
        <v>0.1</v>
      </c>
      <c r="K197" s="72">
        <v>46227</v>
      </c>
      <c r="L197" s="72">
        <f t="shared" si="191"/>
        <v>46227</v>
      </c>
      <c r="M197" s="72"/>
      <c r="N197" s="72">
        <f t="shared" si="192"/>
        <v>46269</v>
      </c>
      <c r="O197" s="72">
        <f t="shared" si="193"/>
        <v>46269</v>
      </c>
      <c r="P197" s="72"/>
      <c r="Q197" s="72">
        <f t="shared" si="194"/>
        <v>46311</v>
      </c>
      <c r="R197" s="72">
        <f t="shared" si="195"/>
        <v>46311</v>
      </c>
      <c r="S197" s="72"/>
      <c r="T197" s="72">
        <f t="shared" si="196"/>
        <v>46325</v>
      </c>
      <c r="U197" s="72">
        <f t="shared" si="197"/>
        <v>46325</v>
      </c>
      <c r="V197" s="72"/>
    </row>
    <row r="198" spans="1:22" s="64" customFormat="1" ht="9.5" customHeight="1" x14ac:dyDescent="0.25">
      <c r="A198" s="70" t="s">
        <v>61</v>
      </c>
      <c r="B198" s="70" t="s">
        <v>62</v>
      </c>
      <c r="C198" s="70" t="s">
        <v>111</v>
      </c>
      <c r="D198" s="75" t="s">
        <v>482</v>
      </c>
      <c r="E198" s="75" t="s">
        <v>483</v>
      </c>
      <c r="F198" s="118"/>
      <c r="G198" s="127">
        <f t="shared" si="198"/>
        <v>0</v>
      </c>
      <c r="H198" s="127">
        <f t="shared" si="199"/>
        <v>0</v>
      </c>
      <c r="I198" s="127">
        <f t="shared" si="200"/>
        <v>0</v>
      </c>
      <c r="J198" s="82">
        <v>0.1</v>
      </c>
      <c r="K198" s="72">
        <v>46227</v>
      </c>
      <c r="L198" s="74">
        <f t="shared" si="191"/>
        <v>46227</v>
      </c>
      <c r="M198" s="74"/>
      <c r="N198" s="74">
        <f t="shared" si="192"/>
        <v>46269</v>
      </c>
      <c r="O198" s="74">
        <f t="shared" si="193"/>
        <v>46269</v>
      </c>
      <c r="P198" s="74"/>
      <c r="Q198" s="74">
        <f t="shared" si="194"/>
        <v>46311</v>
      </c>
      <c r="R198" s="74">
        <f t="shared" si="195"/>
        <v>46311</v>
      </c>
      <c r="S198" s="74"/>
      <c r="T198" s="74">
        <f t="shared" si="196"/>
        <v>46325</v>
      </c>
      <c r="U198" s="74">
        <f t="shared" si="197"/>
        <v>46325</v>
      </c>
      <c r="V198" s="72"/>
    </row>
    <row r="199" spans="1:22" s="64" customFormat="1" ht="9.5" customHeight="1" x14ac:dyDescent="0.25">
      <c r="A199" s="70" t="s">
        <v>61</v>
      </c>
      <c r="B199" s="70" t="s">
        <v>62</v>
      </c>
      <c r="C199" s="70" t="s">
        <v>111</v>
      </c>
      <c r="D199" s="75" t="s">
        <v>484</v>
      </c>
      <c r="E199" s="75" t="s">
        <v>485</v>
      </c>
      <c r="F199" s="118"/>
      <c r="G199" s="127">
        <f t="shared" si="198"/>
        <v>0</v>
      </c>
      <c r="H199" s="127">
        <f t="shared" si="199"/>
        <v>0</v>
      </c>
      <c r="I199" s="127">
        <f t="shared" si="200"/>
        <v>0</v>
      </c>
      <c r="J199" s="82">
        <v>0.1</v>
      </c>
      <c r="K199" s="72">
        <v>46227</v>
      </c>
      <c r="L199" s="74">
        <f t="shared" si="191"/>
        <v>46227</v>
      </c>
      <c r="M199" s="74"/>
      <c r="N199" s="74">
        <f t="shared" si="192"/>
        <v>46269</v>
      </c>
      <c r="O199" s="74">
        <f t="shared" si="193"/>
        <v>46269</v>
      </c>
      <c r="P199" s="74"/>
      <c r="Q199" s="74">
        <f t="shared" si="194"/>
        <v>46311</v>
      </c>
      <c r="R199" s="74">
        <f t="shared" si="195"/>
        <v>46311</v>
      </c>
      <c r="S199" s="74"/>
      <c r="T199" s="74">
        <f t="shared" si="196"/>
        <v>46325</v>
      </c>
      <c r="U199" s="74">
        <f t="shared" si="197"/>
        <v>46325</v>
      </c>
      <c r="V199" s="72"/>
    </row>
    <row r="200" spans="1:22" s="64" customFormat="1" ht="9.5" customHeight="1" x14ac:dyDescent="0.25">
      <c r="A200" s="70" t="s">
        <v>61</v>
      </c>
      <c r="B200" s="70" t="s">
        <v>62</v>
      </c>
      <c r="C200" s="70" t="s">
        <v>111</v>
      </c>
      <c r="D200" s="75" t="s">
        <v>486</v>
      </c>
      <c r="E200" s="75" t="s">
        <v>487</v>
      </c>
      <c r="F200" s="118"/>
      <c r="G200" s="127">
        <f t="shared" si="198"/>
        <v>0</v>
      </c>
      <c r="H200" s="127">
        <f t="shared" si="199"/>
        <v>0</v>
      </c>
      <c r="I200" s="127">
        <f t="shared" si="200"/>
        <v>0</v>
      </c>
      <c r="J200" s="82">
        <v>0.1</v>
      </c>
      <c r="K200" s="72">
        <v>46227</v>
      </c>
      <c r="L200" s="74">
        <f t="shared" si="191"/>
        <v>46227</v>
      </c>
      <c r="M200" s="74"/>
      <c r="N200" s="74">
        <f t="shared" si="192"/>
        <v>46269</v>
      </c>
      <c r="O200" s="74">
        <f t="shared" si="193"/>
        <v>46269</v>
      </c>
      <c r="P200" s="74"/>
      <c r="Q200" s="74">
        <f t="shared" si="194"/>
        <v>46311</v>
      </c>
      <c r="R200" s="74">
        <f t="shared" si="195"/>
        <v>46311</v>
      </c>
      <c r="S200" s="74"/>
      <c r="T200" s="74">
        <f t="shared" si="196"/>
        <v>46325</v>
      </c>
      <c r="U200" s="74">
        <f t="shared" si="197"/>
        <v>46325</v>
      </c>
      <c r="V200" s="72"/>
    </row>
    <row r="201" spans="1:22" s="64" customFormat="1" ht="9.5" customHeight="1" x14ac:dyDescent="0.25">
      <c r="A201" s="70" t="s">
        <v>61</v>
      </c>
      <c r="B201" s="70" t="s">
        <v>62</v>
      </c>
      <c r="C201" s="70" t="s">
        <v>111</v>
      </c>
      <c r="D201" s="75" t="s">
        <v>488</v>
      </c>
      <c r="E201" s="75" t="s">
        <v>489</v>
      </c>
      <c r="F201" s="118"/>
      <c r="G201" s="118">
        <f t="shared" si="198"/>
        <v>0</v>
      </c>
      <c r="H201" s="118">
        <f t="shared" si="199"/>
        <v>0</v>
      </c>
      <c r="I201" s="118">
        <f t="shared" si="200"/>
        <v>0</v>
      </c>
      <c r="J201" s="82">
        <v>0.1</v>
      </c>
      <c r="K201" s="72">
        <v>46227</v>
      </c>
      <c r="L201" s="72">
        <f t="shared" si="191"/>
        <v>46227</v>
      </c>
      <c r="M201" s="72"/>
      <c r="N201" s="72">
        <f t="shared" si="192"/>
        <v>46269</v>
      </c>
      <c r="O201" s="72">
        <f t="shared" si="193"/>
        <v>46269</v>
      </c>
      <c r="P201" s="72"/>
      <c r="Q201" s="72">
        <f t="shared" si="194"/>
        <v>46311</v>
      </c>
      <c r="R201" s="72">
        <f t="shared" si="195"/>
        <v>46311</v>
      </c>
      <c r="S201" s="72"/>
      <c r="T201" s="72">
        <f t="shared" si="196"/>
        <v>46325</v>
      </c>
      <c r="U201" s="72">
        <f t="shared" si="197"/>
        <v>46325</v>
      </c>
      <c r="V201" s="72"/>
    </row>
    <row r="202" spans="1:22" s="64" customFormat="1" ht="9.5" customHeight="1" x14ac:dyDescent="0.25">
      <c r="A202" s="70" t="s">
        <v>61</v>
      </c>
      <c r="B202" s="70" t="s">
        <v>62</v>
      </c>
      <c r="C202" s="70" t="s">
        <v>111</v>
      </c>
      <c r="D202" s="75" t="s">
        <v>490</v>
      </c>
      <c r="E202" s="75" t="s">
        <v>491</v>
      </c>
      <c r="F202" s="118"/>
      <c r="G202" s="127">
        <f t="shared" si="198"/>
        <v>0</v>
      </c>
      <c r="H202" s="127">
        <f t="shared" si="199"/>
        <v>0</v>
      </c>
      <c r="I202" s="127">
        <f t="shared" si="200"/>
        <v>0</v>
      </c>
      <c r="J202" s="82">
        <v>0.1</v>
      </c>
      <c r="K202" s="72">
        <v>46227</v>
      </c>
      <c r="L202" s="74">
        <f t="shared" si="191"/>
        <v>46227</v>
      </c>
      <c r="M202" s="74"/>
      <c r="N202" s="74">
        <f t="shared" si="192"/>
        <v>46269</v>
      </c>
      <c r="O202" s="74">
        <f t="shared" si="193"/>
        <v>46269</v>
      </c>
      <c r="P202" s="74"/>
      <c r="Q202" s="74">
        <f t="shared" si="194"/>
        <v>46311</v>
      </c>
      <c r="R202" s="74">
        <f t="shared" si="195"/>
        <v>46311</v>
      </c>
      <c r="S202" s="74"/>
      <c r="T202" s="74">
        <f t="shared" si="196"/>
        <v>46325</v>
      </c>
      <c r="U202" s="74">
        <f t="shared" si="197"/>
        <v>46325</v>
      </c>
      <c r="V202" s="72"/>
    </row>
    <row r="203" spans="1:22" s="64" customFormat="1" ht="9.5" customHeight="1" x14ac:dyDescent="0.25">
      <c r="A203" s="70" t="s">
        <v>61</v>
      </c>
      <c r="B203" s="70" t="s">
        <v>62</v>
      </c>
      <c r="C203" s="70" t="s">
        <v>111</v>
      </c>
      <c r="D203" s="75" t="s">
        <v>492</v>
      </c>
      <c r="E203" s="75" t="s">
        <v>493</v>
      </c>
      <c r="F203" s="118"/>
      <c r="G203" s="127">
        <f t="shared" si="198"/>
        <v>0</v>
      </c>
      <c r="H203" s="127">
        <f t="shared" si="199"/>
        <v>0</v>
      </c>
      <c r="I203" s="127">
        <f t="shared" si="200"/>
        <v>0</v>
      </c>
      <c r="J203" s="82">
        <v>0.1</v>
      </c>
      <c r="K203" s="72">
        <v>46227</v>
      </c>
      <c r="L203" s="74">
        <f t="shared" si="191"/>
        <v>46227</v>
      </c>
      <c r="M203" s="74"/>
      <c r="N203" s="74">
        <f t="shared" si="192"/>
        <v>46269</v>
      </c>
      <c r="O203" s="74">
        <f t="shared" si="193"/>
        <v>46269</v>
      </c>
      <c r="P203" s="74"/>
      <c r="Q203" s="74">
        <f t="shared" si="194"/>
        <v>46311</v>
      </c>
      <c r="R203" s="74">
        <f t="shared" si="195"/>
        <v>46311</v>
      </c>
      <c r="S203" s="74"/>
      <c r="T203" s="74">
        <f t="shared" si="196"/>
        <v>46325</v>
      </c>
      <c r="U203" s="74">
        <f t="shared" si="197"/>
        <v>46325</v>
      </c>
      <c r="V203" s="72"/>
    </row>
    <row r="204" spans="1:22" s="64" customFormat="1" ht="9.5" customHeight="1" x14ac:dyDescent="0.25">
      <c r="A204" s="70" t="s">
        <v>61</v>
      </c>
      <c r="B204" s="70" t="s">
        <v>62</v>
      </c>
      <c r="C204" s="70" t="s">
        <v>111</v>
      </c>
      <c r="D204" s="75" t="s">
        <v>494</v>
      </c>
      <c r="E204" s="75" t="s">
        <v>495</v>
      </c>
      <c r="F204" s="118"/>
      <c r="G204" s="127">
        <f t="shared" si="198"/>
        <v>0</v>
      </c>
      <c r="H204" s="127">
        <f t="shared" si="199"/>
        <v>0</v>
      </c>
      <c r="I204" s="127">
        <f t="shared" si="200"/>
        <v>0</v>
      </c>
      <c r="J204" s="82">
        <v>0.1</v>
      </c>
      <c r="K204" s="72">
        <v>46227</v>
      </c>
      <c r="L204" s="74">
        <f t="shared" si="191"/>
        <v>46227</v>
      </c>
      <c r="M204" s="74"/>
      <c r="N204" s="74">
        <f t="shared" si="192"/>
        <v>46269</v>
      </c>
      <c r="O204" s="74">
        <f t="shared" si="193"/>
        <v>46269</v>
      </c>
      <c r="P204" s="74"/>
      <c r="Q204" s="74">
        <f t="shared" si="194"/>
        <v>46311</v>
      </c>
      <c r="R204" s="74">
        <f t="shared" si="195"/>
        <v>46311</v>
      </c>
      <c r="S204" s="74"/>
      <c r="T204" s="74">
        <f t="shared" si="196"/>
        <v>46325</v>
      </c>
      <c r="U204" s="74">
        <f t="shared" si="197"/>
        <v>46325</v>
      </c>
      <c r="V204" s="72"/>
    </row>
    <row r="205" spans="1:22" s="64" customFormat="1" ht="9.5" customHeight="1" x14ac:dyDescent="0.25">
      <c r="A205" s="70" t="s">
        <v>61</v>
      </c>
      <c r="B205" s="70" t="s">
        <v>62</v>
      </c>
      <c r="C205" s="70" t="s">
        <v>111</v>
      </c>
      <c r="D205" s="75" t="s">
        <v>496</v>
      </c>
      <c r="E205" s="75" t="s">
        <v>497</v>
      </c>
      <c r="F205" s="118"/>
      <c r="G205" s="118">
        <f t="shared" si="198"/>
        <v>0</v>
      </c>
      <c r="H205" s="118">
        <f t="shared" si="199"/>
        <v>0</v>
      </c>
      <c r="I205" s="118">
        <f t="shared" si="200"/>
        <v>0</v>
      </c>
      <c r="J205" s="82">
        <v>0.1</v>
      </c>
      <c r="K205" s="72">
        <v>46227</v>
      </c>
      <c r="L205" s="72">
        <f t="shared" si="191"/>
        <v>46227</v>
      </c>
      <c r="M205" s="72"/>
      <c r="N205" s="72">
        <f t="shared" si="192"/>
        <v>46269</v>
      </c>
      <c r="O205" s="72">
        <f t="shared" si="193"/>
        <v>46269</v>
      </c>
      <c r="P205" s="72"/>
      <c r="Q205" s="72">
        <f t="shared" si="194"/>
        <v>46311</v>
      </c>
      <c r="R205" s="72">
        <f t="shared" si="195"/>
        <v>46311</v>
      </c>
      <c r="S205" s="72"/>
      <c r="T205" s="72">
        <f t="shared" si="196"/>
        <v>46325</v>
      </c>
      <c r="U205" s="72">
        <f t="shared" si="197"/>
        <v>46325</v>
      </c>
      <c r="V205" s="72"/>
    </row>
    <row r="206" spans="1:22" s="64" customFormat="1" ht="9.5" customHeight="1" x14ac:dyDescent="0.25">
      <c r="A206" s="70" t="s">
        <v>61</v>
      </c>
      <c r="B206" s="70" t="s">
        <v>62</v>
      </c>
      <c r="C206" s="70" t="s">
        <v>111</v>
      </c>
      <c r="D206" s="75" t="s">
        <v>498</v>
      </c>
      <c r="E206" s="75" t="s">
        <v>499</v>
      </c>
      <c r="F206" s="118"/>
      <c r="G206" s="127">
        <f t="shared" si="198"/>
        <v>0</v>
      </c>
      <c r="H206" s="127">
        <f t="shared" si="199"/>
        <v>0</v>
      </c>
      <c r="I206" s="127">
        <f t="shared" si="200"/>
        <v>0</v>
      </c>
      <c r="J206" s="82">
        <v>0.1</v>
      </c>
      <c r="K206" s="72">
        <v>46227</v>
      </c>
      <c r="L206" s="74">
        <f t="shared" si="191"/>
        <v>46227</v>
      </c>
      <c r="M206" s="74"/>
      <c r="N206" s="74">
        <f t="shared" si="192"/>
        <v>46269</v>
      </c>
      <c r="O206" s="74">
        <f t="shared" si="193"/>
        <v>46269</v>
      </c>
      <c r="P206" s="74"/>
      <c r="Q206" s="74">
        <f t="shared" si="194"/>
        <v>46311</v>
      </c>
      <c r="R206" s="74">
        <f t="shared" si="195"/>
        <v>46311</v>
      </c>
      <c r="S206" s="74"/>
      <c r="T206" s="74">
        <f t="shared" si="196"/>
        <v>46325</v>
      </c>
      <c r="U206" s="74">
        <f t="shared" si="197"/>
        <v>46325</v>
      </c>
      <c r="V206" s="72"/>
    </row>
    <row r="207" spans="1:22" s="64" customFormat="1" ht="9.5" customHeight="1" x14ac:dyDescent="0.25">
      <c r="A207" s="70" t="s">
        <v>61</v>
      </c>
      <c r="B207" s="70" t="s">
        <v>62</v>
      </c>
      <c r="C207" s="70" t="s">
        <v>111</v>
      </c>
      <c r="D207" s="75" t="s">
        <v>500</v>
      </c>
      <c r="E207" s="75" t="s">
        <v>501</v>
      </c>
      <c r="F207" s="118"/>
      <c r="G207" s="127">
        <f t="shared" si="198"/>
        <v>0</v>
      </c>
      <c r="H207" s="127">
        <f t="shared" si="199"/>
        <v>0</v>
      </c>
      <c r="I207" s="127">
        <f t="shared" si="200"/>
        <v>0</v>
      </c>
      <c r="J207" s="82">
        <v>0.1</v>
      </c>
      <c r="K207" s="72">
        <v>46227</v>
      </c>
      <c r="L207" s="74">
        <f t="shared" si="191"/>
        <v>46227</v>
      </c>
      <c r="M207" s="74"/>
      <c r="N207" s="74">
        <f t="shared" si="192"/>
        <v>46269</v>
      </c>
      <c r="O207" s="74">
        <f t="shared" si="193"/>
        <v>46269</v>
      </c>
      <c r="P207" s="74"/>
      <c r="Q207" s="74">
        <f t="shared" si="194"/>
        <v>46311</v>
      </c>
      <c r="R207" s="74">
        <f t="shared" si="195"/>
        <v>46311</v>
      </c>
      <c r="S207" s="74"/>
      <c r="T207" s="74">
        <f t="shared" si="196"/>
        <v>46325</v>
      </c>
      <c r="U207" s="74">
        <f t="shared" si="197"/>
        <v>46325</v>
      </c>
      <c r="V207" s="72"/>
    </row>
    <row r="208" spans="1:22" s="64" customFormat="1" ht="9.5" customHeight="1" x14ac:dyDescent="0.25">
      <c r="A208" s="70" t="s">
        <v>61</v>
      </c>
      <c r="B208" s="70" t="s">
        <v>62</v>
      </c>
      <c r="C208" s="70" t="s">
        <v>111</v>
      </c>
      <c r="D208" s="75" t="s">
        <v>502</v>
      </c>
      <c r="E208" s="75" t="s">
        <v>503</v>
      </c>
      <c r="F208" s="118"/>
      <c r="G208" s="127">
        <f t="shared" si="198"/>
        <v>0</v>
      </c>
      <c r="H208" s="127">
        <f t="shared" si="199"/>
        <v>0</v>
      </c>
      <c r="I208" s="127">
        <f t="shared" si="200"/>
        <v>0</v>
      </c>
      <c r="J208" s="82">
        <v>0.1</v>
      </c>
      <c r="K208" s="72">
        <v>46227</v>
      </c>
      <c r="L208" s="74">
        <f t="shared" si="191"/>
        <v>46227</v>
      </c>
      <c r="M208" s="74"/>
      <c r="N208" s="74">
        <f t="shared" si="192"/>
        <v>46269</v>
      </c>
      <c r="O208" s="74">
        <f t="shared" si="193"/>
        <v>46269</v>
      </c>
      <c r="P208" s="74"/>
      <c r="Q208" s="74">
        <f t="shared" si="194"/>
        <v>46311</v>
      </c>
      <c r="R208" s="74">
        <f t="shared" si="195"/>
        <v>46311</v>
      </c>
      <c r="S208" s="74"/>
      <c r="T208" s="74">
        <f t="shared" si="196"/>
        <v>46325</v>
      </c>
      <c r="U208" s="74">
        <f t="shared" si="197"/>
        <v>46325</v>
      </c>
      <c r="V208" s="72"/>
    </row>
    <row r="209" spans="1:22" s="64" customFormat="1" ht="9.5" customHeight="1" x14ac:dyDescent="0.25">
      <c r="A209" s="70" t="s">
        <v>61</v>
      </c>
      <c r="B209" s="70" t="s">
        <v>62</v>
      </c>
      <c r="C209" s="70" t="s">
        <v>111</v>
      </c>
      <c r="D209" s="75" t="s">
        <v>504</v>
      </c>
      <c r="E209" s="75" t="s">
        <v>505</v>
      </c>
      <c r="F209" s="118"/>
      <c r="G209" s="118">
        <f t="shared" si="198"/>
        <v>0</v>
      </c>
      <c r="H209" s="118">
        <f t="shared" si="199"/>
        <v>0</v>
      </c>
      <c r="I209" s="118">
        <f t="shared" si="200"/>
        <v>0</v>
      </c>
      <c r="J209" s="82">
        <v>0.1</v>
      </c>
      <c r="K209" s="72">
        <v>46227</v>
      </c>
      <c r="L209" s="72">
        <f t="shared" si="191"/>
        <v>46227</v>
      </c>
      <c r="M209" s="72"/>
      <c r="N209" s="72">
        <f t="shared" si="192"/>
        <v>46269</v>
      </c>
      <c r="O209" s="72">
        <f t="shared" si="193"/>
        <v>46269</v>
      </c>
      <c r="P209" s="72"/>
      <c r="Q209" s="72">
        <f t="shared" si="194"/>
        <v>46311</v>
      </c>
      <c r="R209" s="72">
        <f t="shared" si="195"/>
        <v>46311</v>
      </c>
      <c r="S209" s="72"/>
      <c r="T209" s="72">
        <f t="shared" si="196"/>
        <v>46325</v>
      </c>
      <c r="U209" s="72">
        <f t="shared" si="197"/>
        <v>46325</v>
      </c>
      <c r="V209" s="72"/>
    </row>
    <row r="210" spans="1:22" s="149" customFormat="1" ht="9.5" customHeight="1" x14ac:dyDescent="0.25">
      <c r="A210" s="144" t="s">
        <v>61</v>
      </c>
      <c r="B210" s="144" t="s">
        <v>62</v>
      </c>
      <c r="C210" s="144" t="s">
        <v>111</v>
      </c>
      <c r="D210" s="145" t="s">
        <v>506</v>
      </c>
      <c r="E210" s="145" t="s">
        <v>507</v>
      </c>
      <c r="F210" s="146"/>
      <c r="G210" s="151">
        <f t="shared" si="198"/>
        <v>0</v>
      </c>
      <c r="H210" s="151">
        <f t="shared" si="199"/>
        <v>0</v>
      </c>
      <c r="I210" s="151">
        <f t="shared" si="200"/>
        <v>0</v>
      </c>
      <c r="J210" s="147"/>
      <c r="K210" s="148">
        <v>46227</v>
      </c>
      <c r="L210" s="152">
        <f t="shared" si="191"/>
        <v>46227</v>
      </c>
      <c r="M210" s="152"/>
      <c r="N210" s="152">
        <f t="shared" si="192"/>
        <v>46269</v>
      </c>
      <c r="O210" s="152">
        <f t="shared" si="193"/>
        <v>46269</v>
      </c>
      <c r="P210" s="152"/>
      <c r="Q210" s="152">
        <f t="shared" si="194"/>
        <v>46311</v>
      </c>
      <c r="R210" s="152">
        <f t="shared" si="195"/>
        <v>46311</v>
      </c>
      <c r="S210" s="152"/>
      <c r="T210" s="152">
        <f t="shared" si="196"/>
        <v>46325</v>
      </c>
      <c r="U210" s="152">
        <f t="shared" si="197"/>
        <v>46325</v>
      </c>
      <c r="V210" s="148"/>
    </row>
    <row r="211" spans="1:22" s="64" customFormat="1" ht="9.5" customHeight="1" x14ac:dyDescent="0.25">
      <c r="A211" s="70" t="s">
        <v>61</v>
      </c>
      <c r="B211" s="70" t="s">
        <v>62</v>
      </c>
      <c r="C211" s="70" t="s">
        <v>111</v>
      </c>
      <c r="D211" s="75" t="s">
        <v>425</v>
      </c>
      <c r="E211" s="75" t="s">
        <v>227</v>
      </c>
      <c r="F211" s="118">
        <f t="shared" si="167"/>
        <v>0</v>
      </c>
      <c r="G211" s="118">
        <f t="shared" si="167"/>
        <v>0</v>
      </c>
      <c r="H211" s="118">
        <f t="shared" si="167"/>
        <v>0.5</v>
      </c>
      <c r="I211" s="118">
        <f t="shared" si="114"/>
        <v>0.5</v>
      </c>
      <c r="J211" s="82">
        <v>0.1</v>
      </c>
      <c r="K211" s="72">
        <v>46227</v>
      </c>
      <c r="L211" s="72">
        <f t="shared" si="125"/>
        <v>46227</v>
      </c>
      <c r="M211" s="72">
        <v>46185</v>
      </c>
      <c r="N211" s="72">
        <f t="shared" si="126"/>
        <v>46269</v>
      </c>
      <c r="O211" s="72">
        <f t="shared" si="127"/>
        <v>46269</v>
      </c>
      <c r="P211" s="72"/>
      <c r="Q211" s="72">
        <f t="shared" si="128"/>
        <v>46311</v>
      </c>
      <c r="R211" s="72">
        <f t="shared" si="129"/>
        <v>46311</v>
      </c>
      <c r="S211" s="72"/>
      <c r="T211" s="72">
        <f t="shared" si="130"/>
        <v>46325</v>
      </c>
      <c r="U211" s="72">
        <f t="shared" si="131"/>
        <v>46325</v>
      </c>
      <c r="V211" s="72"/>
    </row>
    <row r="212" spans="1:22" s="64" customFormat="1" ht="9.5" customHeight="1" x14ac:dyDescent="0.25">
      <c r="A212" s="70" t="s">
        <v>61</v>
      </c>
      <c r="B212" s="70" t="s">
        <v>62</v>
      </c>
      <c r="C212" s="70" t="s">
        <v>111</v>
      </c>
      <c r="D212" s="75" t="s">
        <v>426</v>
      </c>
      <c r="E212" s="75" t="s">
        <v>228</v>
      </c>
      <c r="F212" s="118">
        <f t="shared" si="167"/>
        <v>0</v>
      </c>
      <c r="G212" s="118">
        <f t="shared" si="167"/>
        <v>0</v>
      </c>
      <c r="H212" s="118">
        <f t="shared" si="167"/>
        <v>0.7</v>
      </c>
      <c r="I212" s="118">
        <f t="shared" si="114"/>
        <v>0.7</v>
      </c>
      <c r="J212" s="82">
        <v>0.1</v>
      </c>
      <c r="K212" s="72">
        <v>46227</v>
      </c>
      <c r="L212" s="72">
        <f t="shared" si="125"/>
        <v>46227</v>
      </c>
      <c r="M212" s="72">
        <v>46185</v>
      </c>
      <c r="N212" s="72">
        <f t="shared" si="126"/>
        <v>46269</v>
      </c>
      <c r="O212" s="72">
        <f t="shared" si="127"/>
        <v>46269</v>
      </c>
      <c r="P212" s="72">
        <v>46192</v>
      </c>
      <c r="Q212" s="72">
        <f t="shared" si="128"/>
        <v>46311</v>
      </c>
      <c r="R212" s="72">
        <f t="shared" si="129"/>
        <v>46311</v>
      </c>
      <c r="S212" s="72"/>
      <c r="T212" s="72">
        <f t="shared" si="130"/>
        <v>46325</v>
      </c>
      <c r="U212" s="72">
        <f t="shared" si="131"/>
        <v>46325</v>
      </c>
      <c r="V212" s="72"/>
    </row>
    <row r="213" spans="1:22" s="64" customFormat="1" ht="9.5" customHeight="1" x14ac:dyDescent="0.25">
      <c r="A213" s="70" t="s">
        <v>61</v>
      </c>
      <c r="B213" s="70" t="s">
        <v>62</v>
      </c>
      <c r="C213" s="70" t="s">
        <v>111</v>
      </c>
      <c r="D213" s="75" t="s">
        <v>427</v>
      </c>
      <c r="E213" s="75" t="s">
        <v>229</v>
      </c>
      <c r="F213" s="118">
        <f t="shared" si="167"/>
        <v>0</v>
      </c>
      <c r="G213" s="118">
        <f t="shared" si="167"/>
        <v>0</v>
      </c>
      <c r="H213" s="118">
        <f t="shared" si="167"/>
        <v>0.7</v>
      </c>
      <c r="I213" s="118">
        <f t="shared" si="114"/>
        <v>0.7</v>
      </c>
      <c r="J213" s="82">
        <v>0.1</v>
      </c>
      <c r="K213" s="72">
        <v>46227</v>
      </c>
      <c r="L213" s="72">
        <f t="shared" si="125"/>
        <v>46227</v>
      </c>
      <c r="M213" s="72">
        <v>46185</v>
      </c>
      <c r="N213" s="72">
        <f t="shared" si="126"/>
        <v>46269</v>
      </c>
      <c r="O213" s="72">
        <f t="shared" si="127"/>
        <v>46269</v>
      </c>
      <c r="P213" s="72">
        <v>46192</v>
      </c>
      <c r="Q213" s="72">
        <f t="shared" si="128"/>
        <v>46311</v>
      </c>
      <c r="R213" s="72">
        <f t="shared" si="129"/>
        <v>46311</v>
      </c>
      <c r="S213" s="72"/>
      <c r="T213" s="72">
        <f t="shared" si="130"/>
        <v>46325</v>
      </c>
      <c r="U213" s="72">
        <f t="shared" si="131"/>
        <v>46325</v>
      </c>
      <c r="V213" s="72"/>
    </row>
    <row r="214" spans="1:22" s="64" customFormat="1" ht="9.5" customHeight="1" x14ac:dyDescent="0.25">
      <c r="A214" s="70" t="s">
        <v>61</v>
      </c>
      <c r="B214" s="70" t="s">
        <v>62</v>
      </c>
      <c r="C214" s="70" t="s">
        <v>111</v>
      </c>
      <c r="D214" s="75" t="s">
        <v>428</v>
      </c>
      <c r="E214" s="75" t="s">
        <v>230</v>
      </c>
      <c r="F214" s="118">
        <f t="shared" si="167"/>
        <v>0</v>
      </c>
      <c r="G214" s="118">
        <f t="shared" si="167"/>
        <v>0</v>
      </c>
      <c r="H214" s="118">
        <f t="shared" si="167"/>
        <v>0.5</v>
      </c>
      <c r="I214" s="118">
        <f t="shared" si="114"/>
        <v>0.5</v>
      </c>
      <c r="J214" s="82">
        <v>0.1</v>
      </c>
      <c r="K214" s="72">
        <v>46227</v>
      </c>
      <c r="L214" s="72">
        <f t="shared" si="125"/>
        <v>46227</v>
      </c>
      <c r="M214" s="72">
        <v>46171</v>
      </c>
      <c r="N214" s="72">
        <f t="shared" si="126"/>
        <v>46269</v>
      </c>
      <c r="O214" s="72">
        <f t="shared" si="127"/>
        <v>46269</v>
      </c>
      <c r="P214" s="72"/>
      <c r="Q214" s="72">
        <f t="shared" si="128"/>
        <v>46311</v>
      </c>
      <c r="R214" s="72">
        <f t="shared" si="129"/>
        <v>46311</v>
      </c>
      <c r="S214" s="72"/>
      <c r="T214" s="72">
        <f t="shared" si="130"/>
        <v>46325</v>
      </c>
      <c r="U214" s="72">
        <f t="shared" si="131"/>
        <v>46325</v>
      </c>
      <c r="V214" s="72"/>
    </row>
    <row r="215" spans="1:22" s="64" customFormat="1" ht="9.5" customHeight="1" x14ac:dyDescent="0.25">
      <c r="A215" s="70" t="s">
        <v>61</v>
      </c>
      <c r="B215" s="70" t="s">
        <v>62</v>
      </c>
      <c r="C215" s="70" t="s">
        <v>111</v>
      </c>
      <c r="D215" s="75" t="s">
        <v>429</v>
      </c>
      <c r="E215" s="75" t="s">
        <v>231</v>
      </c>
      <c r="F215" s="118">
        <f t="shared" si="167"/>
        <v>0</v>
      </c>
      <c r="G215" s="118">
        <f t="shared" si="167"/>
        <v>0</v>
      </c>
      <c r="H215" s="118">
        <f t="shared" si="167"/>
        <v>0.5</v>
      </c>
      <c r="I215" s="118">
        <f t="shared" si="114"/>
        <v>0.5</v>
      </c>
      <c r="J215" s="82">
        <v>0.1</v>
      </c>
      <c r="K215" s="72">
        <v>46227</v>
      </c>
      <c r="L215" s="72">
        <f t="shared" si="125"/>
        <v>46227</v>
      </c>
      <c r="M215" s="72">
        <v>46171</v>
      </c>
      <c r="N215" s="72">
        <f t="shared" si="126"/>
        <v>46269</v>
      </c>
      <c r="O215" s="72">
        <f t="shared" si="127"/>
        <v>46269</v>
      </c>
      <c r="P215" s="72"/>
      <c r="Q215" s="72">
        <f t="shared" si="128"/>
        <v>46311</v>
      </c>
      <c r="R215" s="72">
        <f t="shared" si="129"/>
        <v>46311</v>
      </c>
      <c r="S215" s="72"/>
      <c r="T215" s="72">
        <f t="shared" si="130"/>
        <v>46325</v>
      </c>
      <c r="U215" s="72">
        <f t="shared" si="131"/>
        <v>46325</v>
      </c>
      <c r="V215" s="72"/>
    </row>
    <row r="216" spans="1:22" s="64" customFormat="1" ht="9.5" customHeight="1" x14ac:dyDescent="0.25">
      <c r="A216" s="70" t="s">
        <v>61</v>
      </c>
      <c r="B216" s="70" t="s">
        <v>62</v>
      </c>
      <c r="C216" s="70" t="s">
        <v>111</v>
      </c>
      <c r="D216" s="75" t="s">
        <v>430</v>
      </c>
      <c r="E216" s="75" t="s">
        <v>232</v>
      </c>
      <c r="F216" s="118">
        <f t="shared" si="167"/>
        <v>0</v>
      </c>
      <c r="G216" s="118">
        <f t="shared" si="167"/>
        <v>0</v>
      </c>
      <c r="H216" s="118">
        <f t="shared" si="167"/>
        <v>0</v>
      </c>
      <c r="I216" s="118">
        <f t="shared" si="114"/>
        <v>0</v>
      </c>
      <c r="J216" s="82">
        <v>0.1</v>
      </c>
      <c r="K216" s="72">
        <v>46227</v>
      </c>
      <c r="L216" s="72">
        <f t="shared" si="125"/>
        <v>46227</v>
      </c>
      <c r="M216" s="72"/>
      <c r="N216" s="72">
        <f t="shared" si="126"/>
        <v>46269</v>
      </c>
      <c r="O216" s="72">
        <f t="shared" si="127"/>
        <v>46269</v>
      </c>
      <c r="P216" s="72"/>
      <c r="Q216" s="72">
        <f t="shared" si="128"/>
        <v>46311</v>
      </c>
      <c r="R216" s="72">
        <f t="shared" si="129"/>
        <v>46311</v>
      </c>
      <c r="S216" s="72"/>
      <c r="T216" s="72">
        <f t="shared" si="130"/>
        <v>46325</v>
      </c>
      <c r="U216" s="72">
        <f t="shared" si="131"/>
        <v>46325</v>
      </c>
      <c r="V216" s="72"/>
    </row>
    <row r="217" spans="1:22" s="64" customFormat="1" ht="9.5" customHeight="1" x14ac:dyDescent="0.25">
      <c r="A217" s="70" t="s">
        <v>61</v>
      </c>
      <c r="B217" s="70" t="s">
        <v>62</v>
      </c>
      <c r="C217" s="70" t="s">
        <v>111</v>
      </c>
      <c r="D217" s="75" t="s">
        <v>431</v>
      </c>
      <c r="E217" s="75" t="s">
        <v>233</v>
      </c>
      <c r="F217" s="118">
        <f t="shared" si="167"/>
        <v>0</v>
      </c>
      <c r="G217" s="118">
        <f t="shared" si="167"/>
        <v>0</v>
      </c>
      <c r="H217" s="118">
        <f t="shared" si="167"/>
        <v>0</v>
      </c>
      <c r="I217" s="118">
        <f t="shared" si="114"/>
        <v>0</v>
      </c>
      <c r="J217" s="82">
        <v>0.1</v>
      </c>
      <c r="K217" s="72">
        <v>46227</v>
      </c>
      <c r="L217" s="72">
        <f t="shared" si="125"/>
        <v>46227</v>
      </c>
      <c r="M217" s="72"/>
      <c r="N217" s="72">
        <f t="shared" si="126"/>
        <v>46269</v>
      </c>
      <c r="O217" s="72">
        <f t="shared" si="127"/>
        <v>46269</v>
      </c>
      <c r="P217" s="72"/>
      <c r="Q217" s="72">
        <f t="shared" si="128"/>
        <v>46311</v>
      </c>
      <c r="R217" s="72">
        <f t="shared" si="129"/>
        <v>46311</v>
      </c>
      <c r="S217" s="72"/>
      <c r="T217" s="72">
        <f t="shared" si="130"/>
        <v>46325</v>
      </c>
      <c r="U217" s="72">
        <f t="shared" si="131"/>
        <v>46325</v>
      </c>
      <c r="V217" s="72"/>
    </row>
    <row r="218" spans="1:22" s="64" customFormat="1" ht="9.5" customHeight="1" x14ac:dyDescent="0.25">
      <c r="A218" s="70" t="s">
        <v>61</v>
      </c>
      <c r="B218" s="70" t="s">
        <v>62</v>
      </c>
      <c r="C218" s="70" t="s">
        <v>111</v>
      </c>
      <c r="D218" s="75" t="s">
        <v>432</v>
      </c>
      <c r="E218" s="75" t="s">
        <v>234</v>
      </c>
      <c r="F218" s="118">
        <f t="shared" si="167"/>
        <v>0</v>
      </c>
      <c r="G218" s="118">
        <f t="shared" si="167"/>
        <v>0</v>
      </c>
      <c r="H218" s="118">
        <f t="shared" si="167"/>
        <v>0.5</v>
      </c>
      <c r="I218" s="118">
        <f t="shared" si="114"/>
        <v>0.5</v>
      </c>
      <c r="J218" s="82">
        <v>0.1</v>
      </c>
      <c r="K218" s="72">
        <v>46227</v>
      </c>
      <c r="L218" s="72">
        <f t="shared" si="125"/>
        <v>46227</v>
      </c>
      <c r="M218" s="72">
        <v>46185</v>
      </c>
      <c r="N218" s="72">
        <f t="shared" si="126"/>
        <v>46269</v>
      </c>
      <c r="O218" s="72">
        <f t="shared" si="127"/>
        <v>46269</v>
      </c>
      <c r="P218" s="72"/>
      <c r="Q218" s="72">
        <f t="shared" si="128"/>
        <v>46311</v>
      </c>
      <c r="R218" s="72">
        <f t="shared" si="129"/>
        <v>46311</v>
      </c>
      <c r="S218" s="72"/>
      <c r="T218" s="72">
        <f t="shared" si="130"/>
        <v>46325</v>
      </c>
      <c r="U218" s="72">
        <f t="shared" si="131"/>
        <v>46325</v>
      </c>
      <c r="V218" s="72"/>
    </row>
    <row r="219" spans="1:22" s="64" customFormat="1" ht="9.5" customHeight="1" x14ac:dyDescent="0.25">
      <c r="A219" s="70" t="s">
        <v>61</v>
      </c>
      <c r="B219" s="70" t="s">
        <v>62</v>
      </c>
      <c r="C219" s="70" t="s">
        <v>111</v>
      </c>
      <c r="D219" s="75" t="s">
        <v>433</v>
      </c>
      <c r="E219" s="75" t="s">
        <v>235</v>
      </c>
      <c r="F219" s="118">
        <f t="shared" si="167"/>
        <v>0</v>
      </c>
      <c r="G219" s="118">
        <f t="shared" si="167"/>
        <v>0</v>
      </c>
      <c r="H219" s="118">
        <f t="shared" si="167"/>
        <v>0.7</v>
      </c>
      <c r="I219" s="118">
        <f t="shared" si="114"/>
        <v>0.7</v>
      </c>
      <c r="J219" s="82">
        <v>0.1</v>
      </c>
      <c r="K219" s="72">
        <v>46227</v>
      </c>
      <c r="L219" s="72">
        <f t="shared" si="125"/>
        <v>46227</v>
      </c>
      <c r="M219" s="72">
        <v>46185</v>
      </c>
      <c r="N219" s="72">
        <f t="shared" si="126"/>
        <v>46269</v>
      </c>
      <c r="O219" s="72">
        <f t="shared" si="127"/>
        <v>46269</v>
      </c>
      <c r="P219" s="72">
        <v>46192</v>
      </c>
      <c r="Q219" s="72">
        <f t="shared" si="128"/>
        <v>46311</v>
      </c>
      <c r="R219" s="72">
        <f t="shared" si="129"/>
        <v>46311</v>
      </c>
      <c r="S219" s="74"/>
      <c r="T219" s="72">
        <f t="shared" si="130"/>
        <v>46325</v>
      </c>
      <c r="U219" s="72">
        <f t="shared" si="131"/>
        <v>46325</v>
      </c>
      <c r="V219" s="72"/>
    </row>
    <row r="220" spans="1:22" s="64" customFormat="1" ht="9.5" customHeight="1" x14ac:dyDescent="0.25">
      <c r="A220" s="70" t="s">
        <v>61</v>
      </c>
      <c r="B220" s="70" t="s">
        <v>62</v>
      </c>
      <c r="C220" s="70" t="s">
        <v>111</v>
      </c>
      <c r="D220" s="75" t="s">
        <v>434</v>
      </c>
      <c r="E220" s="75" t="s">
        <v>236</v>
      </c>
      <c r="F220" s="118">
        <f t="shared" si="167"/>
        <v>0</v>
      </c>
      <c r="G220" s="118">
        <f t="shared" si="167"/>
        <v>0</v>
      </c>
      <c r="H220" s="118">
        <f t="shared" si="167"/>
        <v>0.5</v>
      </c>
      <c r="I220" s="118">
        <f t="shared" si="114"/>
        <v>0.5</v>
      </c>
      <c r="J220" s="82">
        <v>0.1</v>
      </c>
      <c r="K220" s="72">
        <v>46227</v>
      </c>
      <c r="L220" s="72">
        <f t="shared" si="125"/>
        <v>46227</v>
      </c>
      <c r="M220" s="72">
        <v>46171</v>
      </c>
      <c r="N220" s="72">
        <f t="shared" si="126"/>
        <v>46269</v>
      </c>
      <c r="O220" s="72">
        <f t="shared" si="127"/>
        <v>46269</v>
      </c>
      <c r="P220" s="72"/>
      <c r="Q220" s="72">
        <f t="shared" si="128"/>
        <v>46311</v>
      </c>
      <c r="R220" s="72">
        <f t="shared" si="129"/>
        <v>46311</v>
      </c>
      <c r="S220" s="74"/>
      <c r="T220" s="72">
        <f t="shared" si="130"/>
        <v>46325</v>
      </c>
      <c r="U220" s="72">
        <f t="shared" si="131"/>
        <v>46325</v>
      </c>
      <c r="V220" s="72"/>
    </row>
    <row r="221" spans="1:22" s="64" customFormat="1" ht="9.5" customHeight="1" x14ac:dyDescent="0.25">
      <c r="A221" s="70" t="s">
        <v>61</v>
      </c>
      <c r="B221" s="70" t="s">
        <v>62</v>
      </c>
      <c r="C221" s="70" t="s">
        <v>111</v>
      </c>
      <c r="D221" s="75" t="s">
        <v>435</v>
      </c>
      <c r="E221" s="75" t="s">
        <v>237</v>
      </c>
      <c r="F221" s="118">
        <f t="shared" si="167"/>
        <v>0</v>
      </c>
      <c r="G221" s="118">
        <f t="shared" si="167"/>
        <v>0</v>
      </c>
      <c r="H221" s="118">
        <f t="shared" si="167"/>
        <v>0.5</v>
      </c>
      <c r="I221" s="118">
        <f t="shared" si="114"/>
        <v>0.5</v>
      </c>
      <c r="J221" s="82">
        <v>0.1</v>
      </c>
      <c r="K221" s="72">
        <v>46227</v>
      </c>
      <c r="L221" s="72">
        <f t="shared" si="125"/>
        <v>46227</v>
      </c>
      <c r="M221" s="72">
        <v>46171</v>
      </c>
      <c r="N221" s="72">
        <f t="shared" si="126"/>
        <v>46269</v>
      </c>
      <c r="O221" s="72">
        <f t="shared" si="127"/>
        <v>46269</v>
      </c>
      <c r="P221" s="72"/>
      <c r="Q221" s="72">
        <f t="shared" si="128"/>
        <v>46311</v>
      </c>
      <c r="R221" s="72">
        <f t="shared" si="129"/>
        <v>46311</v>
      </c>
      <c r="S221" s="74"/>
      <c r="T221" s="72">
        <f t="shared" si="130"/>
        <v>46325</v>
      </c>
      <c r="U221" s="72">
        <f t="shared" si="131"/>
        <v>46325</v>
      </c>
      <c r="V221" s="72"/>
    </row>
    <row r="222" spans="1:22" s="64" customFormat="1" ht="9.5" customHeight="1" x14ac:dyDescent="0.25">
      <c r="A222" s="70" t="s">
        <v>61</v>
      </c>
      <c r="B222" s="70" t="s">
        <v>62</v>
      </c>
      <c r="C222" s="70" t="s">
        <v>111</v>
      </c>
      <c r="D222" s="75" t="s">
        <v>436</v>
      </c>
      <c r="E222" s="75" t="s">
        <v>238</v>
      </c>
      <c r="F222" s="118">
        <f t="shared" si="167"/>
        <v>0</v>
      </c>
      <c r="G222" s="118">
        <f t="shared" si="167"/>
        <v>0</v>
      </c>
      <c r="H222" s="118">
        <f t="shared" si="167"/>
        <v>0.5</v>
      </c>
      <c r="I222" s="118">
        <f t="shared" si="114"/>
        <v>0.5</v>
      </c>
      <c r="J222" s="82">
        <v>0.1</v>
      </c>
      <c r="K222" s="72">
        <v>46227</v>
      </c>
      <c r="L222" s="72">
        <f t="shared" si="125"/>
        <v>46227</v>
      </c>
      <c r="M222" s="72">
        <v>46171</v>
      </c>
      <c r="N222" s="72">
        <f t="shared" si="126"/>
        <v>46269</v>
      </c>
      <c r="O222" s="72">
        <f t="shared" si="127"/>
        <v>46269</v>
      </c>
      <c r="P222" s="72"/>
      <c r="Q222" s="72">
        <f t="shared" si="128"/>
        <v>46311</v>
      </c>
      <c r="R222" s="72">
        <f t="shared" si="129"/>
        <v>46311</v>
      </c>
      <c r="S222" s="74"/>
      <c r="T222" s="72">
        <f t="shared" si="130"/>
        <v>46325</v>
      </c>
      <c r="U222" s="72">
        <f t="shared" si="131"/>
        <v>46325</v>
      </c>
      <c r="V222" s="72"/>
    </row>
    <row r="223" spans="1:22" s="64" customFormat="1" ht="9.5" customHeight="1" x14ac:dyDescent="0.25">
      <c r="A223" s="70" t="s">
        <v>61</v>
      </c>
      <c r="B223" s="70" t="s">
        <v>62</v>
      </c>
      <c r="C223" s="70" t="s">
        <v>111</v>
      </c>
      <c r="D223" s="75" t="s">
        <v>437</v>
      </c>
      <c r="E223" s="75" t="s">
        <v>239</v>
      </c>
      <c r="F223" s="118">
        <f t="shared" si="167"/>
        <v>0</v>
      </c>
      <c r="G223" s="118">
        <f t="shared" si="167"/>
        <v>0</v>
      </c>
      <c r="H223" s="118">
        <f t="shared" si="167"/>
        <v>0.5</v>
      </c>
      <c r="I223" s="118">
        <f t="shared" si="114"/>
        <v>0.5</v>
      </c>
      <c r="J223" s="82">
        <v>0.1</v>
      </c>
      <c r="K223" s="72">
        <v>46227</v>
      </c>
      <c r="L223" s="72">
        <f t="shared" si="125"/>
        <v>46227</v>
      </c>
      <c r="M223" s="72">
        <v>46171</v>
      </c>
      <c r="N223" s="72">
        <f t="shared" si="126"/>
        <v>46269</v>
      </c>
      <c r="O223" s="72">
        <f t="shared" si="127"/>
        <v>46269</v>
      </c>
      <c r="P223" s="72"/>
      <c r="Q223" s="72">
        <f t="shared" si="128"/>
        <v>46311</v>
      </c>
      <c r="R223" s="72">
        <f t="shared" si="129"/>
        <v>46311</v>
      </c>
      <c r="S223" s="74"/>
      <c r="T223" s="72">
        <f t="shared" si="130"/>
        <v>46325</v>
      </c>
      <c r="U223" s="72">
        <f t="shared" si="131"/>
        <v>46325</v>
      </c>
      <c r="V223" s="72"/>
    </row>
    <row r="224" spans="1:22" s="64" customFormat="1" ht="9.5" customHeight="1" x14ac:dyDescent="0.25">
      <c r="A224" s="70" t="s">
        <v>61</v>
      </c>
      <c r="B224" s="70" t="s">
        <v>62</v>
      </c>
      <c r="C224" s="70" t="s">
        <v>111</v>
      </c>
      <c r="D224" s="75" t="s">
        <v>438</v>
      </c>
      <c r="E224" s="75" t="s">
        <v>240</v>
      </c>
      <c r="F224" s="118">
        <f t="shared" si="167"/>
        <v>0.5</v>
      </c>
      <c r="G224" s="118">
        <f t="shared" si="167"/>
        <v>0.5</v>
      </c>
      <c r="H224" s="118">
        <f t="shared" si="167"/>
        <v>0.5</v>
      </c>
      <c r="I224" s="118">
        <f t="shared" si="114"/>
        <v>0</v>
      </c>
      <c r="J224" s="82">
        <v>0.1</v>
      </c>
      <c r="K224" s="72">
        <v>46185</v>
      </c>
      <c r="L224" s="72">
        <f t="shared" si="125"/>
        <v>46185</v>
      </c>
      <c r="M224" s="72">
        <v>46185</v>
      </c>
      <c r="N224" s="72">
        <f t="shared" si="126"/>
        <v>46227</v>
      </c>
      <c r="O224" s="72">
        <f t="shared" si="127"/>
        <v>46227</v>
      </c>
      <c r="P224" s="72"/>
      <c r="Q224" s="72">
        <f t="shared" si="128"/>
        <v>46269</v>
      </c>
      <c r="R224" s="72">
        <f t="shared" si="129"/>
        <v>46269</v>
      </c>
      <c r="S224" s="74"/>
      <c r="T224" s="72">
        <f t="shared" si="130"/>
        <v>46283</v>
      </c>
      <c r="U224" s="72">
        <f t="shared" si="131"/>
        <v>46283</v>
      </c>
      <c r="V224" s="108"/>
    </row>
    <row r="225" spans="1:22" s="64" customFormat="1" ht="9.5" customHeight="1" x14ac:dyDescent="0.25">
      <c r="A225" s="70" t="s">
        <v>61</v>
      </c>
      <c r="B225" s="70" t="s">
        <v>62</v>
      </c>
      <c r="C225" s="81" t="s">
        <v>111</v>
      </c>
      <c r="D225" s="126" t="s">
        <v>439</v>
      </c>
      <c r="E225" s="126" t="s">
        <v>241</v>
      </c>
      <c r="F225" s="127">
        <f t="shared" ref="F225" si="201">(COUNTIFS(K225,"&lt;="&amp;$D$1)*50%)+(COUNTIFS(N225,"&lt;="&amp;$D$1)*20%)+(COUNTIFS(Q225,"&lt;="&amp;$D$1)*10%)+(COUNTIFS(T225,"&lt;="&amp;$D$1)*20%)</f>
        <v>0.5</v>
      </c>
      <c r="G225" s="127">
        <f t="shared" ref="G225" si="202">(COUNTIFS(L225,"&lt;="&amp;$D$1)*50%)+(COUNTIFS(O225,"&lt;="&amp;$D$1)*20%)+(COUNTIFS(R225,"&lt;="&amp;$D$1)*10%)+(COUNTIFS(U225,"&lt;="&amp;$D$1)*20%)</f>
        <v>0.5</v>
      </c>
      <c r="H225" s="127">
        <f t="shared" ref="H225" si="203">(COUNTIFS(M225,"&lt;="&amp;$D$1)*50%)+(COUNTIFS(P225,"&lt;="&amp;$D$1)*20%)+(COUNTIFS(S225,"&lt;="&amp;$D$1)*10%)+(COUNTIFS(V225,"&lt;="&amp;$D$1)*20%)</f>
        <v>0.5</v>
      </c>
      <c r="I225" s="127">
        <f t="shared" ref="I225" si="204">H225-F225</f>
        <v>0</v>
      </c>
      <c r="J225" s="82">
        <v>0.1</v>
      </c>
      <c r="K225" s="74">
        <v>46185</v>
      </c>
      <c r="L225" s="74">
        <f t="shared" si="125"/>
        <v>46185</v>
      </c>
      <c r="M225" s="72">
        <v>46185</v>
      </c>
      <c r="N225" s="74">
        <f t="shared" si="126"/>
        <v>46227</v>
      </c>
      <c r="O225" s="74">
        <f t="shared" si="127"/>
        <v>46227</v>
      </c>
      <c r="P225" s="74"/>
      <c r="Q225" s="74">
        <f t="shared" si="128"/>
        <v>46269</v>
      </c>
      <c r="R225" s="74">
        <f t="shared" si="129"/>
        <v>46269</v>
      </c>
      <c r="S225" s="74"/>
      <c r="T225" s="74">
        <f t="shared" si="130"/>
        <v>46283</v>
      </c>
      <c r="U225" s="74">
        <f t="shared" si="131"/>
        <v>46283</v>
      </c>
      <c r="V225" s="74"/>
    </row>
    <row r="226" spans="1:22" s="64" customFormat="1" ht="9.5" customHeight="1" x14ac:dyDescent="0.25">
      <c r="A226" s="70" t="s">
        <v>61</v>
      </c>
      <c r="B226" s="70" t="s">
        <v>62</v>
      </c>
      <c r="C226" s="70" t="s">
        <v>111</v>
      </c>
      <c r="D226" s="126" t="s">
        <v>512</v>
      </c>
      <c r="E226" s="126" t="s">
        <v>513</v>
      </c>
      <c r="F226" s="127">
        <f t="shared" ref="F226" si="205">(COUNTIFS(K226,"&lt;="&amp;$D$1)*50%)+(COUNTIFS(N226,"&lt;="&amp;$D$1)*20%)+(COUNTIFS(Q226,"&lt;="&amp;$D$1)*10%)+(COUNTIFS(T226,"&lt;="&amp;$D$1)*20%)</f>
        <v>0.5</v>
      </c>
      <c r="G226" s="127">
        <f t="shared" ref="G226" si="206">(COUNTIFS(L226,"&lt;="&amp;$D$1)*50%)+(COUNTIFS(O226,"&lt;="&amp;$D$1)*20%)+(COUNTIFS(R226,"&lt;="&amp;$D$1)*10%)+(COUNTIFS(U226,"&lt;="&amp;$D$1)*20%)</f>
        <v>0.5</v>
      </c>
      <c r="H226" s="127">
        <f t="shared" ref="H226" si="207">(COUNTIFS(M226,"&lt;="&amp;$D$1)*50%)+(COUNTIFS(P226,"&lt;="&amp;$D$1)*20%)+(COUNTIFS(S226,"&lt;="&amp;$D$1)*10%)+(COUNTIFS(V226,"&lt;="&amp;$D$1)*20%)</f>
        <v>0.5</v>
      </c>
      <c r="I226" s="127">
        <f t="shared" ref="I226" si="208">H226-F226</f>
        <v>0</v>
      </c>
      <c r="J226" s="82">
        <v>0.1</v>
      </c>
      <c r="K226" s="74">
        <v>46185</v>
      </c>
      <c r="L226" s="74">
        <f t="shared" ref="L226" si="209">K226</f>
        <v>46185</v>
      </c>
      <c r="M226" s="72">
        <v>46185</v>
      </c>
      <c r="N226" s="74">
        <f t="shared" ref="N226" si="210">K226+42</f>
        <v>46227</v>
      </c>
      <c r="O226" s="74">
        <f t="shared" ref="O226" si="211">N226</f>
        <v>46227</v>
      </c>
      <c r="P226" s="74"/>
      <c r="Q226" s="74">
        <f t="shared" ref="Q226" si="212">N226+42</f>
        <v>46269</v>
      </c>
      <c r="R226" s="74">
        <f t="shared" ref="R226" si="213">Q226</f>
        <v>46269</v>
      </c>
      <c r="S226" s="74"/>
      <c r="T226" s="74">
        <f t="shared" ref="T226" si="214">Q226+14</f>
        <v>46283</v>
      </c>
      <c r="U226" s="74">
        <f t="shared" ref="U226" si="215">T226</f>
        <v>46283</v>
      </c>
      <c r="V226" s="74"/>
    </row>
    <row r="227" spans="1:22" s="64" customFormat="1" ht="10.5" customHeight="1" x14ac:dyDescent="0.25">
      <c r="A227" s="70" t="s">
        <v>61</v>
      </c>
      <c r="B227" s="70" t="s">
        <v>58</v>
      </c>
      <c r="C227" s="70" t="s">
        <v>111</v>
      </c>
      <c r="D227" s="75" t="s">
        <v>274</v>
      </c>
      <c r="E227" s="75" t="s">
        <v>59</v>
      </c>
      <c r="F227" s="118">
        <f t="shared" ref="F227:H230" si="216">(COUNTIFS(K227,"&lt;="&amp;$D$1)*50%)+(COUNTIFS(N227,"&lt;="&amp;$D$1)*20%)+(COUNTIFS(Q227,"&lt;="&amp;$D$1)*10%)+(COUNTIFS(T227,"&lt;="&amp;$D$1)*20%)</f>
        <v>0</v>
      </c>
      <c r="G227" s="118">
        <f t="shared" si="216"/>
        <v>0</v>
      </c>
      <c r="H227" s="118">
        <f t="shared" si="216"/>
        <v>0</v>
      </c>
      <c r="I227" s="118">
        <f t="shared" ref="I227:I229" si="217">H227-F227</f>
        <v>0</v>
      </c>
      <c r="J227" s="90">
        <v>1.5</v>
      </c>
      <c r="K227" s="72"/>
      <c r="L227" s="72"/>
      <c r="M227" s="76"/>
      <c r="N227" s="72"/>
      <c r="O227" s="72"/>
      <c r="P227" s="76"/>
      <c r="Q227" s="72"/>
      <c r="R227" s="72"/>
      <c r="S227" s="76"/>
      <c r="T227" s="72"/>
      <c r="U227" s="72"/>
      <c r="V227" s="72"/>
    </row>
    <row r="228" spans="1:22" s="64" customFormat="1" ht="10.5" customHeight="1" x14ac:dyDescent="0.25">
      <c r="A228" s="70" t="s">
        <v>61</v>
      </c>
      <c r="B228" s="70" t="s">
        <v>58</v>
      </c>
      <c r="C228" s="81" t="s">
        <v>111</v>
      </c>
      <c r="D228" s="75" t="s">
        <v>275</v>
      </c>
      <c r="E228" s="75" t="s">
        <v>59</v>
      </c>
      <c r="F228" s="118">
        <f t="shared" si="216"/>
        <v>0</v>
      </c>
      <c r="G228" s="118">
        <f t="shared" si="216"/>
        <v>0</v>
      </c>
      <c r="H228" s="118">
        <f t="shared" si="216"/>
        <v>0</v>
      </c>
      <c r="I228" s="118">
        <f t="shared" si="217"/>
        <v>0</v>
      </c>
      <c r="J228" s="90">
        <v>1.5</v>
      </c>
      <c r="K228" s="72"/>
      <c r="L228" s="72"/>
      <c r="M228" s="76"/>
      <c r="N228" s="72"/>
      <c r="O228" s="72"/>
      <c r="P228" s="76"/>
      <c r="Q228" s="72"/>
      <c r="R228" s="72"/>
      <c r="S228" s="76"/>
      <c r="T228" s="72"/>
      <c r="U228" s="72"/>
      <c r="V228" s="72"/>
    </row>
    <row r="229" spans="1:22" s="64" customFormat="1" ht="10.5" customHeight="1" x14ac:dyDescent="0.25">
      <c r="A229" s="70" t="s">
        <v>61</v>
      </c>
      <c r="B229" s="70" t="s">
        <v>58</v>
      </c>
      <c r="C229" s="70" t="s">
        <v>111</v>
      </c>
      <c r="D229" s="75" t="s">
        <v>276</v>
      </c>
      <c r="E229" s="75" t="s">
        <v>59</v>
      </c>
      <c r="F229" s="118">
        <f t="shared" si="216"/>
        <v>0</v>
      </c>
      <c r="G229" s="118">
        <f t="shared" si="216"/>
        <v>0</v>
      </c>
      <c r="H229" s="118">
        <f t="shared" si="216"/>
        <v>0</v>
      </c>
      <c r="I229" s="118">
        <f t="shared" si="217"/>
        <v>0</v>
      </c>
      <c r="J229" s="90">
        <v>1.5</v>
      </c>
      <c r="K229" s="72"/>
      <c r="L229" s="72"/>
      <c r="M229" s="76"/>
      <c r="N229" s="72"/>
      <c r="O229" s="72"/>
      <c r="P229" s="76"/>
      <c r="Q229" s="72"/>
      <c r="R229" s="72"/>
      <c r="S229" s="76"/>
      <c r="T229" s="72"/>
      <c r="U229" s="72"/>
      <c r="V229" s="72"/>
    </row>
    <row r="230" spans="1:22" s="64" customFormat="1" ht="10.5" customHeight="1" x14ac:dyDescent="0.25">
      <c r="A230" s="70" t="s">
        <v>61</v>
      </c>
      <c r="B230" s="70" t="s">
        <v>58</v>
      </c>
      <c r="C230" s="81" t="s">
        <v>111</v>
      </c>
      <c r="D230" s="75" t="s">
        <v>277</v>
      </c>
      <c r="E230" s="75" t="s">
        <v>59</v>
      </c>
      <c r="F230" s="118">
        <f t="shared" si="216"/>
        <v>0</v>
      </c>
      <c r="G230" s="118">
        <f t="shared" si="216"/>
        <v>0</v>
      </c>
      <c r="H230" s="118">
        <f t="shared" si="216"/>
        <v>0</v>
      </c>
      <c r="I230" s="118">
        <f t="shared" ref="I230" si="218">H230-F230</f>
        <v>0</v>
      </c>
      <c r="J230" s="91">
        <v>1.5</v>
      </c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</row>
    <row r="231" spans="1:22" s="64" customFormat="1" ht="10.5" customHeight="1" x14ac:dyDescent="0.25">
      <c r="C231" s="110"/>
      <c r="D231" s="110"/>
      <c r="E231" s="77" t="s">
        <v>37</v>
      </c>
      <c r="F231" s="118"/>
      <c r="G231" s="118"/>
      <c r="H231" s="118"/>
      <c r="I231" s="118"/>
      <c r="J231" s="128">
        <f>SUM(J4:J230)</f>
        <v>100.00000000000001</v>
      </c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</row>
  </sheetData>
  <autoFilter ref="A3:V231" xr:uid="{5A1295D6-99E8-46B3-B573-A79B1DC59D48}"/>
  <mergeCells count="4">
    <mergeCell ref="K2:M2"/>
    <mergeCell ref="N2:P2"/>
    <mergeCell ref="Q2:S2"/>
    <mergeCell ref="T2:V2"/>
  </mergeCells>
  <phoneticPr fontId="27" type="noConversion"/>
  <conditionalFormatting sqref="K13">
    <cfRule type="expression" dxfId="193" priority="357">
      <formula>"if $G$4&gt;$C$1 and $H$4 is ""null"""</formula>
    </cfRule>
    <cfRule type="expression" dxfId="192" priority="356">
      <formula>"if $C$1&lt;"</formula>
    </cfRule>
    <cfRule type="cellIs" dxfId="191" priority="355" operator="equal">
      <formula>45443</formula>
    </cfRule>
  </conditionalFormatting>
  <conditionalFormatting sqref="K4:L4 L5:L7 L75:L166">
    <cfRule type="expression" dxfId="190" priority="796">
      <formula>"if $G$4&gt;$C$1 and $H$4 is ""null"""</formula>
    </cfRule>
  </conditionalFormatting>
  <conditionalFormatting sqref="K4:L7 O4:O7 K8:K10 K9:L12 T15:T58 K42:L161 K224:L231 K14:L31 O35 R35 O37 R37 O39 R39 O41:O166 R41:R166 L162:L166 L218:L223 O218:O226 R218:R226 N227:O230 Q227:R230 O9:O12 O14:O31 R4:R7 R9:R12 R14:R31 U4:U7 U9:U12 U14:U31 U35 U37 U39 U41:U166 U218:U230 K32:K41 K162:K170">
    <cfRule type="expression" dxfId="189" priority="795">
      <formula>"if $C$1&lt;"</formula>
    </cfRule>
  </conditionalFormatting>
  <conditionalFormatting sqref="K9:L12">
    <cfRule type="expression" dxfId="188" priority="748">
      <formula>"if $G$4&gt;$C$1 and $H$4 is ""null"""</formula>
    </cfRule>
    <cfRule type="cellIs" dxfId="187" priority="747" operator="equal">
      <formula>45443</formula>
    </cfRule>
  </conditionalFormatting>
  <conditionalFormatting sqref="K225:L226">
    <cfRule type="expression" dxfId="186" priority="389">
      <formula>"if $G$4&gt;$C$1 and $H$4 is ""null"""</formula>
    </cfRule>
    <cfRule type="cellIs" dxfId="185" priority="387" operator="equal">
      <formula>45443</formula>
    </cfRule>
  </conditionalFormatting>
  <conditionalFormatting sqref="L13">
    <cfRule type="expression" dxfId="184" priority="353">
      <formula>"if $C$1&lt;"</formula>
    </cfRule>
  </conditionalFormatting>
  <conditionalFormatting sqref="L13:L31 P230 O41:O166 O218:O230 R41:R166 R218:R231 S16 O35 R35 O37 R37 O39:P39 R39 L42:L166 L218:L1048576 O231:P1048576">
    <cfRule type="cellIs" dxfId="183" priority="370" operator="equal">
      <formula>45443</formula>
    </cfRule>
  </conditionalFormatting>
  <conditionalFormatting sqref="L168:L169 L170:M170 K171:L172 K173:K181">
    <cfRule type="expression" dxfId="182" priority="109">
      <formula>"if $G$4&gt;$C$1 and $H$4 is ""null"""</formula>
    </cfRule>
    <cfRule type="expression" dxfId="181" priority="108">
      <formula>"if $C$1&lt;"</formula>
    </cfRule>
    <cfRule type="cellIs" dxfId="180" priority="107" operator="equal">
      <formula>45443</formula>
    </cfRule>
  </conditionalFormatting>
  <conditionalFormatting sqref="L176">
    <cfRule type="expression" dxfId="179" priority="647">
      <formula>"if $G$4&gt;$C$1 and $H$4 is ""null"""</formula>
    </cfRule>
    <cfRule type="expression" dxfId="178" priority="646">
      <formula>"if $C$1&lt;"</formula>
    </cfRule>
    <cfRule type="cellIs" dxfId="177" priority="645" operator="equal">
      <formula>45443</formula>
    </cfRule>
  </conditionalFormatting>
  <conditionalFormatting sqref="L178:L181 K182:L183 L184 K184:K223">
    <cfRule type="expression" dxfId="176" priority="703">
      <formula>"if $C$1&lt;"</formula>
    </cfRule>
  </conditionalFormatting>
  <conditionalFormatting sqref="L178:L184">
    <cfRule type="expression" dxfId="175" priority="704">
      <formula>"if $G$4&gt;$C$1 and $H$4 is ""null"""</formula>
    </cfRule>
    <cfRule type="cellIs" dxfId="174" priority="702" operator="equal">
      <formula>45443</formula>
    </cfRule>
  </conditionalFormatting>
  <conditionalFormatting sqref="L191:L192 L195 L196:M196 L199:M200 L203:M204 L207:M208">
    <cfRule type="cellIs" dxfId="173" priority="638" operator="equal">
      <formula>45443</formula>
    </cfRule>
    <cfRule type="expression" dxfId="172" priority="640">
      <formula>"if $G$4&gt;$C$1 and $H$4 is ""null"""</formula>
    </cfRule>
  </conditionalFormatting>
  <conditionalFormatting sqref="L191:L192 L195:L196 L199:L200 L203:L204 L207:L208">
    <cfRule type="expression" dxfId="171" priority="716">
      <formula>"if $C$1&lt;"</formula>
    </cfRule>
  </conditionalFormatting>
  <conditionalFormatting sqref="L218:L231 O35 R35 O37 R37 O39 R39 O41:O58 R41:R58 L42:L58 O218:O230 R218:R230">
    <cfRule type="expression" dxfId="170" priority="717">
      <formula>"if $G$4&gt;$C$1 and $H$4 is ""null"""</formula>
    </cfRule>
  </conditionalFormatting>
  <conditionalFormatting sqref="M7:M9">
    <cfRule type="cellIs" dxfId="169" priority="47" operator="equal">
      <formula>45443</formula>
    </cfRule>
  </conditionalFormatting>
  <conditionalFormatting sqref="M16">
    <cfRule type="cellIs" dxfId="168" priority="35" operator="equal">
      <formula>45443</formula>
    </cfRule>
    <cfRule type="expression" dxfId="167" priority="36">
      <formula>"if $C$1&lt;"</formula>
    </cfRule>
    <cfRule type="expression" dxfId="166" priority="37">
      <formula>"if $G$4&gt;$C$1 and $H$4 is ""null"""</formula>
    </cfRule>
  </conditionalFormatting>
  <conditionalFormatting sqref="M19">
    <cfRule type="cellIs" dxfId="165" priority="20" operator="equal">
      <formula>45443</formula>
    </cfRule>
  </conditionalFormatting>
  <conditionalFormatting sqref="M21">
    <cfRule type="cellIs" dxfId="164" priority="546" operator="equal">
      <formula>45443</formula>
    </cfRule>
  </conditionalFormatting>
  <conditionalFormatting sqref="M31:M33">
    <cfRule type="expression" dxfId="163" priority="34">
      <formula>"if $G$4&gt;$C$1 and $H$4 is ""null"""</formula>
    </cfRule>
    <cfRule type="expression" dxfId="162" priority="33">
      <formula>"if $C$1&lt;"</formula>
    </cfRule>
    <cfRule type="cellIs" dxfId="161" priority="32" operator="equal">
      <formula>45443</formula>
    </cfRule>
  </conditionalFormatting>
  <conditionalFormatting sqref="M35">
    <cfRule type="cellIs" dxfId="160" priority="4" operator="equal">
      <formula>45443</formula>
    </cfRule>
    <cfRule type="expression" dxfId="159" priority="5">
      <formula>"if $C$1&lt;"</formula>
    </cfRule>
    <cfRule type="expression" dxfId="158" priority="6">
      <formula>"if $G$4&gt;$C$1 and $H$4 is ""null"""</formula>
    </cfRule>
  </conditionalFormatting>
  <conditionalFormatting sqref="M42:M58">
    <cfRule type="cellIs" dxfId="157" priority="622" operator="equal">
      <formula>45443</formula>
    </cfRule>
  </conditionalFormatting>
  <conditionalFormatting sqref="M135:M136">
    <cfRule type="expression" dxfId="156" priority="31">
      <formula>"if $G$4&gt;$C$1 and $H$4 is ""null"""</formula>
    </cfRule>
    <cfRule type="expression" dxfId="155" priority="30">
      <formula>"if $C$1&lt;"</formula>
    </cfRule>
    <cfRule type="cellIs" dxfId="154" priority="29" operator="equal">
      <formula>45443</formula>
    </cfRule>
  </conditionalFormatting>
  <conditionalFormatting sqref="M158:M159">
    <cfRule type="expression" dxfId="153" priority="541">
      <formula>"if $C$1&lt;"</formula>
    </cfRule>
    <cfRule type="cellIs" dxfId="152" priority="540" operator="equal">
      <formula>45443</formula>
    </cfRule>
    <cfRule type="expression" dxfId="151" priority="542">
      <formula>"if $G$4&gt;$C$1 and $H$4 is ""null"""</formula>
    </cfRule>
  </conditionalFormatting>
  <conditionalFormatting sqref="M171:M176">
    <cfRule type="expression" dxfId="150" priority="27">
      <formula>"if $C$1&lt;"</formula>
    </cfRule>
    <cfRule type="cellIs" dxfId="149" priority="26" operator="equal">
      <formula>45443</formula>
    </cfRule>
    <cfRule type="expression" dxfId="148" priority="28">
      <formula>"if $G$4&gt;$C$1 and $H$4 is ""null"""</formula>
    </cfRule>
  </conditionalFormatting>
  <conditionalFormatting sqref="M182:M191 M193">
    <cfRule type="expression" dxfId="147" priority="24">
      <formula>"if $C$1&lt;"</formula>
    </cfRule>
    <cfRule type="expression" dxfId="146" priority="25">
      <formula>"if $G$4&gt;$C$1 and $H$4 is ""null"""</formula>
    </cfRule>
    <cfRule type="cellIs" dxfId="145" priority="23" operator="equal">
      <formula>45443</formula>
    </cfRule>
  </conditionalFormatting>
  <conditionalFormatting sqref="M196:M197 M199:M201 M203:M205 M207:M209 M216:M217">
    <cfRule type="expression" dxfId="144" priority="639">
      <formula>"if $C$1&lt;"</formula>
    </cfRule>
  </conditionalFormatting>
  <conditionalFormatting sqref="N7:N13">
    <cfRule type="expression" dxfId="143" priority="350">
      <formula>"if $C$1&lt;"</formula>
    </cfRule>
  </conditionalFormatting>
  <conditionalFormatting sqref="N9:N13">
    <cfRule type="cellIs" dxfId="142" priority="346" operator="equal">
      <formula>45443</formula>
    </cfRule>
    <cfRule type="expression" dxfId="141" priority="351">
      <formula>"if $G$4&gt;$C$1 and $H$4 is ""null"""</formula>
    </cfRule>
  </conditionalFormatting>
  <conditionalFormatting sqref="N25:N26 O4:O7 O1:P3 L1:L7 P4:P5 P7:P9">
    <cfRule type="cellIs" dxfId="140" priority="794" operator="equal">
      <formula>45443</formula>
    </cfRule>
  </conditionalFormatting>
  <conditionalFormatting sqref="N25:N26">
    <cfRule type="expression" dxfId="139" priority="742">
      <formula>"if $C$1&lt;"</formula>
    </cfRule>
    <cfRule type="expression" dxfId="138" priority="743">
      <formula>"if $G$4&gt;$C$1 and $H$4 is ""null"""</formula>
    </cfRule>
  </conditionalFormatting>
  <conditionalFormatting sqref="N59:N74">
    <cfRule type="expression" dxfId="137" priority="135">
      <formula>"if $C$1&lt;"</formula>
    </cfRule>
  </conditionalFormatting>
  <conditionalFormatting sqref="O4:O7 O75:O166">
    <cfRule type="expression" dxfId="136" priority="106">
      <formula>"if $G$4&gt;$C$1 and $H$4 is ""null"""</formula>
    </cfRule>
  </conditionalFormatting>
  <conditionalFormatting sqref="O9:O12">
    <cfRule type="expression" dxfId="135" priority="105">
      <formula>"if $G$4&gt;$C$1 and $H$4 is ""null"""</formula>
    </cfRule>
  </conditionalFormatting>
  <conditionalFormatting sqref="O9:O31">
    <cfRule type="cellIs" dxfId="134" priority="104" operator="equal">
      <formula>45443</formula>
    </cfRule>
  </conditionalFormatting>
  <conditionalFormatting sqref="O13">
    <cfRule type="expression" dxfId="133" priority="94">
      <formula>"if $C$1&lt;"</formula>
    </cfRule>
  </conditionalFormatting>
  <conditionalFormatting sqref="O13:O31">
    <cfRule type="expression" dxfId="132" priority="99">
      <formula>"if $G$4&gt;$C$1 and $H$4 is ""null"""</formula>
    </cfRule>
  </conditionalFormatting>
  <conditionalFormatting sqref="O168:O172">
    <cfRule type="expression" dxfId="131" priority="93">
      <formula>"if $G$4&gt;$C$1 and $H$4 is ""null"""</formula>
    </cfRule>
    <cfRule type="cellIs" dxfId="130" priority="91" operator="equal">
      <formula>45443</formula>
    </cfRule>
    <cfRule type="expression" dxfId="129" priority="92">
      <formula>"if $C$1&lt;"</formula>
    </cfRule>
  </conditionalFormatting>
  <conditionalFormatting sqref="O176 O178:O184">
    <cfRule type="cellIs" dxfId="128" priority="100" operator="equal">
      <formula>45443</formula>
    </cfRule>
    <cfRule type="expression" dxfId="127" priority="102">
      <formula>"if $G$4&gt;$C$1 and $H$4 is ""null"""</formula>
    </cfRule>
    <cfRule type="expression" dxfId="126" priority="101">
      <formula>"if $C$1&lt;"</formula>
    </cfRule>
  </conditionalFormatting>
  <conditionalFormatting sqref="O191:O192 O195:O196 O199:O200 O203:O204 O207:O208">
    <cfRule type="expression" dxfId="125" priority="98">
      <formula>"if $G$4&gt;$C$1 and $H$4 is ""null"""</formula>
    </cfRule>
    <cfRule type="cellIs" dxfId="124" priority="97" operator="equal">
      <formula>45443</formula>
    </cfRule>
    <cfRule type="expression" dxfId="123" priority="103">
      <formula>"if $C$1&lt;"</formula>
    </cfRule>
  </conditionalFormatting>
  <conditionalFormatting sqref="O225:O226">
    <cfRule type="expression" dxfId="122" priority="96">
      <formula>"if $G$4&gt;$C$1 and $H$4 is ""null"""</formula>
    </cfRule>
    <cfRule type="cellIs" dxfId="121" priority="95" operator="equal">
      <formula>45443</formula>
    </cfRule>
  </conditionalFormatting>
  <conditionalFormatting sqref="P14:P34 P36:P58">
    <cfRule type="cellIs" dxfId="120" priority="1" operator="equal">
      <formula>45443</formula>
    </cfRule>
  </conditionalFormatting>
  <conditionalFormatting sqref="P27:P28">
    <cfRule type="expression" dxfId="119" priority="3">
      <formula>"if $G$4&gt;$C$1 and $H$4 is ""null"""</formula>
    </cfRule>
    <cfRule type="expression" dxfId="118" priority="2">
      <formula>"if $C$1&lt;"</formula>
    </cfRule>
  </conditionalFormatting>
  <conditionalFormatting sqref="P62">
    <cfRule type="cellIs" dxfId="117" priority="7" operator="equal">
      <formula>45443</formula>
    </cfRule>
  </conditionalFormatting>
  <conditionalFormatting sqref="P64 P67 P69:P71 P74:P75 P79:P99">
    <cfRule type="cellIs" dxfId="116" priority="362" operator="equal">
      <formula>45443</formula>
    </cfRule>
  </conditionalFormatting>
  <conditionalFormatting sqref="P100:P147 P149 P151:P153 P155 P157">
    <cfRule type="cellIs" dxfId="115" priority="545" operator="equal">
      <formula>45443</formula>
    </cfRule>
    <cfRule type="expression" dxfId="114" priority="518">
      <formula>"if $G$4&gt;$C$1 and $H$4 is ""null"""</formula>
    </cfRule>
    <cfRule type="expression" dxfId="113" priority="517">
      <formula>"if $C$1&lt;"</formula>
    </cfRule>
  </conditionalFormatting>
  <conditionalFormatting sqref="P148">
    <cfRule type="cellIs" dxfId="112" priority="22" operator="equal">
      <formula>45443</formula>
    </cfRule>
  </conditionalFormatting>
  <conditionalFormatting sqref="P150">
    <cfRule type="cellIs" dxfId="111" priority="21" operator="equal">
      <formula>45443</formula>
    </cfRule>
  </conditionalFormatting>
  <conditionalFormatting sqref="P158:P174 S167:S174 P154 P156">
    <cfRule type="cellIs" dxfId="110" priority="360" operator="equal">
      <formula>45443</formula>
    </cfRule>
  </conditionalFormatting>
  <conditionalFormatting sqref="P160:P167 S167">
    <cfRule type="expression" dxfId="109" priority="359">
      <formula>"if $G$4&gt;$C$1 and $H$4 is ""null"""</formula>
    </cfRule>
    <cfRule type="expression" dxfId="108" priority="358">
      <formula>"if $C$1&lt;"</formula>
    </cfRule>
  </conditionalFormatting>
  <conditionalFormatting sqref="P188:P226 S218:S226">
    <cfRule type="cellIs" dxfId="107" priority="457" operator="equal">
      <formula>45443</formula>
    </cfRule>
  </conditionalFormatting>
  <conditionalFormatting sqref="P188:P226 S219:S226">
    <cfRule type="expression" dxfId="106" priority="383">
      <formula>"if $G$4&gt;$C$1 and $H$4 is ""null"""</formula>
    </cfRule>
    <cfRule type="expression" dxfId="105" priority="382">
      <formula>"if $C$1&lt;"</formula>
    </cfRule>
  </conditionalFormatting>
  <conditionalFormatting sqref="P230">
    <cfRule type="expression" dxfId="104" priority="124">
      <formula>"if $C$1&lt;"</formula>
    </cfRule>
    <cfRule type="expression" dxfId="103" priority="123">
      <formula>"if $G$4&gt;$C$1 and $H$4 is ""null"""</formula>
    </cfRule>
  </conditionalFormatting>
  <conditionalFormatting sqref="Q7:Q13">
    <cfRule type="expression" dxfId="102" priority="51">
      <formula>"if $C$1&lt;"</formula>
    </cfRule>
  </conditionalFormatting>
  <conditionalFormatting sqref="Q9:Q13">
    <cfRule type="expression" dxfId="101" priority="52">
      <formula>"if $G$4&gt;$C$1 and $H$4 is ""null"""</formula>
    </cfRule>
    <cfRule type="cellIs" dxfId="100" priority="50" operator="equal">
      <formula>45443</formula>
    </cfRule>
  </conditionalFormatting>
  <conditionalFormatting sqref="Q25:Q26">
    <cfRule type="cellIs" dxfId="99" priority="55" operator="equal">
      <formula>45443</formula>
    </cfRule>
    <cfRule type="expression" dxfId="98" priority="54">
      <formula>"if $G$4&gt;$C$1 and $H$4 is ""null"""</formula>
    </cfRule>
    <cfRule type="expression" dxfId="97" priority="53">
      <formula>"if $C$1&lt;"</formula>
    </cfRule>
  </conditionalFormatting>
  <conditionalFormatting sqref="Q59:Q74">
    <cfRule type="expression" dxfId="96" priority="48">
      <formula>"if $C$1&lt;"</formula>
    </cfRule>
  </conditionalFormatting>
  <conditionalFormatting sqref="R4:R7 R75:R166">
    <cfRule type="expression" dxfId="95" priority="90">
      <formula>"if $G$4&gt;$C$1 and $H$4 is ""null"""</formula>
    </cfRule>
  </conditionalFormatting>
  <conditionalFormatting sqref="R4:R7">
    <cfRule type="cellIs" dxfId="94" priority="89" operator="equal">
      <formula>45443</formula>
    </cfRule>
  </conditionalFormatting>
  <conditionalFormatting sqref="R9:R12">
    <cfRule type="expression" dxfId="93" priority="88">
      <formula>"if $G$4&gt;$C$1 and $H$4 is ""null"""</formula>
    </cfRule>
  </conditionalFormatting>
  <conditionalFormatting sqref="R9:R31">
    <cfRule type="cellIs" dxfId="92" priority="87" operator="equal">
      <formula>45443</formula>
    </cfRule>
  </conditionalFormatting>
  <conditionalFormatting sqref="R13">
    <cfRule type="expression" dxfId="91" priority="77">
      <formula>"if $C$1&lt;"</formula>
    </cfRule>
  </conditionalFormatting>
  <conditionalFormatting sqref="R13:R31">
    <cfRule type="expression" dxfId="90" priority="82">
      <formula>"if $G$4&gt;$C$1 and $H$4 is ""null"""</formula>
    </cfRule>
  </conditionalFormatting>
  <conditionalFormatting sqref="R168:R172">
    <cfRule type="expression" dxfId="89" priority="76">
      <formula>"if $G$4&gt;$C$1 and $H$4 is ""null"""</formula>
    </cfRule>
    <cfRule type="expression" dxfId="88" priority="75">
      <formula>"if $C$1&lt;"</formula>
    </cfRule>
    <cfRule type="cellIs" dxfId="87" priority="74" operator="equal">
      <formula>45443</formula>
    </cfRule>
  </conditionalFormatting>
  <conditionalFormatting sqref="R176 R178:R184">
    <cfRule type="expression" dxfId="86" priority="85">
      <formula>"if $G$4&gt;$C$1 and $H$4 is ""null"""</formula>
    </cfRule>
    <cfRule type="expression" dxfId="85" priority="84">
      <formula>"if $C$1&lt;"</formula>
    </cfRule>
    <cfRule type="cellIs" dxfId="84" priority="83" operator="equal">
      <formula>45443</formula>
    </cfRule>
  </conditionalFormatting>
  <conditionalFormatting sqref="R191:R192 R195:R196 R199:R200 R203:R204 R207:R208">
    <cfRule type="expression" dxfId="83" priority="81">
      <formula>"if $G$4&gt;$C$1 and $H$4 is ""null"""</formula>
    </cfRule>
    <cfRule type="expression" dxfId="82" priority="86">
      <formula>"if $C$1&lt;"</formula>
    </cfRule>
    <cfRule type="cellIs" dxfId="81" priority="80" operator="equal">
      <formula>45443</formula>
    </cfRule>
  </conditionalFormatting>
  <conditionalFormatting sqref="R225:R226">
    <cfRule type="expression" dxfId="80" priority="79">
      <formula>"if $G$4&gt;$C$1 and $H$4 is ""null"""</formula>
    </cfRule>
    <cfRule type="cellIs" dxfId="79" priority="78" operator="equal">
      <formula>45443</formula>
    </cfRule>
  </conditionalFormatting>
  <conditionalFormatting sqref="S14">
    <cfRule type="cellIs" dxfId="78" priority="469" operator="equal">
      <formula>45443</formula>
    </cfRule>
  </conditionalFormatting>
  <conditionalFormatting sqref="S23">
    <cfRule type="cellIs" dxfId="77" priority="445" operator="equal">
      <formula>45443</formula>
    </cfRule>
  </conditionalFormatting>
  <conditionalFormatting sqref="S27">
    <cfRule type="cellIs" dxfId="76" priority="465" operator="equal">
      <formula>45443</formula>
    </cfRule>
  </conditionalFormatting>
  <conditionalFormatting sqref="S58">
    <cfRule type="cellIs" dxfId="75" priority="363" operator="equal">
      <formula>45443</formula>
    </cfRule>
  </conditionalFormatting>
  <conditionalFormatting sqref="S75 S79:S99">
    <cfRule type="cellIs" dxfId="74" priority="339" operator="equal">
      <formula>45443</formula>
    </cfRule>
  </conditionalFormatting>
  <conditionalFormatting sqref="S101:S106">
    <cfRule type="expression" dxfId="73" priority="659">
      <formula>"if $G$4&gt;$C$1 and $H$4 is ""null"""</formula>
    </cfRule>
    <cfRule type="expression" dxfId="72" priority="658">
      <formula>"if $C$1&lt;"</formula>
    </cfRule>
  </conditionalFormatting>
  <conditionalFormatting sqref="S101:S145">
    <cfRule type="cellIs" dxfId="71" priority="657" operator="equal">
      <formula>45443</formula>
    </cfRule>
  </conditionalFormatting>
  <conditionalFormatting sqref="S107:S153 S155 S157">
    <cfRule type="expression" dxfId="70" priority="484">
      <formula>"if $C$1&lt;"</formula>
    </cfRule>
    <cfRule type="expression" dxfId="69" priority="485">
      <formula>"if $G$4&gt;$C$1 and $H$4 is ""null"""</formula>
    </cfRule>
  </conditionalFormatting>
  <conditionalFormatting sqref="S146:S151">
    <cfRule type="cellIs" dxfId="68" priority="483" operator="equal">
      <formula>45443</formula>
    </cfRule>
  </conditionalFormatting>
  <conditionalFormatting sqref="S152:S153 S155 S157">
    <cfRule type="expression" dxfId="67" priority="712">
      <formula>"if $G$4&gt;$C$1 and $H$4 is ""null"""</formula>
    </cfRule>
    <cfRule type="expression" dxfId="66" priority="711">
      <formula>"if $C$1&lt;"</formula>
    </cfRule>
    <cfRule type="cellIs" dxfId="65" priority="587" operator="equal">
      <formula>45443</formula>
    </cfRule>
  </conditionalFormatting>
  <conditionalFormatting sqref="S154 S156 S158:S164">
    <cfRule type="cellIs" dxfId="64" priority="472" operator="equal">
      <formula>45443</formula>
    </cfRule>
  </conditionalFormatting>
  <conditionalFormatting sqref="S160:S164">
    <cfRule type="expression" dxfId="63" priority="481">
      <formula>"if $C$1&lt;"</formula>
    </cfRule>
    <cfRule type="expression" dxfId="62" priority="482">
      <formula>"if $G$4&gt;$C$1 and $H$4 is ""null"""</formula>
    </cfRule>
  </conditionalFormatting>
  <conditionalFormatting sqref="S188:S210">
    <cfRule type="cellIs" dxfId="61" priority="464" operator="equal">
      <formula>45443</formula>
    </cfRule>
    <cfRule type="expression" dxfId="60" priority="462">
      <formula>"if $C$1&lt;"</formula>
    </cfRule>
    <cfRule type="expression" dxfId="59" priority="463">
      <formula>"if $G$4&gt;$C$1 and $H$4 is ""null"""</formula>
    </cfRule>
  </conditionalFormatting>
  <conditionalFormatting sqref="S212">
    <cfRule type="expression" dxfId="58" priority="488">
      <formula>"if $G$4&gt;$C$1 and $H$4 is ""null"""</formula>
    </cfRule>
    <cfRule type="cellIs" dxfId="57" priority="486" operator="equal">
      <formula>45443</formula>
    </cfRule>
    <cfRule type="expression" dxfId="56" priority="487">
      <formula>"if $C$1&lt;"</formula>
    </cfRule>
  </conditionalFormatting>
  <conditionalFormatting sqref="S218">
    <cfRule type="expression" dxfId="55" priority="528">
      <formula>"if $G$4&gt;$C$1 and $H$4 is ""null"""</formula>
    </cfRule>
    <cfRule type="expression" dxfId="54" priority="527">
      <formula>"if $C$1&lt;"</formula>
    </cfRule>
  </conditionalFormatting>
  <conditionalFormatting sqref="S230">
    <cfRule type="expression" dxfId="53" priority="121">
      <formula>"if $C$1&lt;"</formula>
    </cfRule>
    <cfRule type="cellIs" dxfId="52" priority="119" operator="equal">
      <formula>45443</formula>
    </cfRule>
    <cfRule type="expression" dxfId="51" priority="120">
      <formula>"if $G$4&gt;$C$1 and $H$4 is ""null"""</formula>
    </cfRule>
  </conditionalFormatting>
  <conditionalFormatting sqref="T4:T5">
    <cfRule type="cellIs" dxfId="50" priority="773" operator="equal">
      <formula>45443</formula>
    </cfRule>
    <cfRule type="expression" dxfId="49" priority="774">
      <formula>"if $C$1&lt;"</formula>
    </cfRule>
    <cfRule type="expression" dxfId="48" priority="775">
      <formula>"if $G$4&gt;$C$1 and $H$4 is ""null"""</formula>
    </cfRule>
  </conditionalFormatting>
  <conditionalFormatting sqref="T7:T13">
    <cfRule type="expression" dxfId="47" priority="733">
      <formula>"if $C$1&lt;"</formula>
    </cfRule>
  </conditionalFormatting>
  <conditionalFormatting sqref="T9:T13">
    <cfRule type="cellIs" dxfId="46" priority="732" operator="equal">
      <formula>45443</formula>
    </cfRule>
    <cfRule type="expression" dxfId="45" priority="734">
      <formula>"if $G$4&gt;$C$1 and $H$4 is ""null"""</formula>
    </cfRule>
  </conditionalFormatting>
  <conditionalFormatting sqref="T15:T58 K97:K99 L13:L31">
    <cfRule type="expression" dxfId="44" priority="685">
      <formula>"if $G$4&gt;$C$1 and $H$4 is ""null"""</formula>
    </cfRule>
  </conditionalFormatting>
  <conditionalFormatting sqref="T15:T58 K97:K99">
    <cfRule type="cellIs" dxfId="43" priority="684" operator="equal">
      <formula>45443</formula>
    </cfRule>
  </conditionalFormatting>
  <conditionalFormatting sqref="T59:T74">
    <cfRule type="expression" dxfId="42" priority="157">
      <formula>"if $C$1&lt;"</formula>
    </cfRule>
  </conditionalFormatting>
  <conditionalFormatting sqref="T222 V222">
    <cfRule type="expression" dxfId="41" priority="516">
      <formula>"if $G$4&gt;$C$1 and $H$4 is ""null"""</formula>
    </cfRule>
    <cfRule type="cellIs" dxfId="40" priority="514" operator="equal">
      <formula>45443</formula>
    </cfRule>
    <cfRule type="expression" dxfId="39" priority="515">
      <formula>"if $C$1&lt;"</formula>
    </cfRule>
  </conditionalFormatting>
  <conditionalFormatting sqref="T227:T230 M230">
    <cfRule type="cellIs" dxfId="38" priority="131" operator="equal">
      <formula>45443</formula>
    </cfRule>
    <cfRule type="expression" dxfId="37" priority="132">
      <formula>"if $G$4&gt;$C$1 and $H$4 is ""null"""</formula>
    </cfRule>
    <cfRule type="expression" dxfId="36" priority="133">
      <formula>"if $C$1&lt;"</formula>
    </cfRule>
  </conditionalFormatting>
  <conditionalFormatting sqref="U4:U7 U75:U166">
    <cfRule type="expression" dxfId="35" priority="73">
      <formula>"if $G$4&gt;$C$1 and $H$4 is ""null"""</formula>
    </cfRule>
  </conditionalFormatting>
  <conditionalFormatting sqref="U4:U7">
    <cfRule type="cellIs" dxfId="34" priority="72" operator="equal">
      <formula>45443</formula>
    </cfRule>
  </conditionalFormatting>
  <conditionalFormatting sqref="U9:U31 U35 U37 U39 U41:U166 U218:U230">
    <cfRule type="cellIs" dxfId="33" priority="60" operator="equal">
      <formula>45443</formula>
    </cfRule>
  </conditionalFormatting>
  <conditionalFormatting sqref="U9:U31">
    <cfRule type="expression" dxfId="32" priority="71">
      <formula>"if $G$4&gt;$C$1 and $H$4 is ""null"""</formula>
    </cfRule>
  </conditionalFormatting>
  <conditionalFormatting sqref="U13">
    <cfRule type="expression" dxfId="31" priority="59">
      <formula>"if $C$1&lt;"</formula>
    </cfRule>
  </conditionalFormatting>
  <conditionalFormatting sqref="U35 U37 U39 U41:U58">
    <cfRule type="expression" dxfId="30" priority="69">
      <formula>"if $G$4&gt;$C$1 and $H$4 is ""null"""</formula>
    </cfRule>
  </conditionalFormatting>
  <conditionalFormatting sqref="U168:U172">
    <cfRule type="expression" dxfId="29" priority="58">
      <formula>"if $G$4&gt;$C$1 and $H$4 is ""null"""</formula>
    </cfRule>
    <cfRule type="expression" dxfId="28" priority="57">
      <formula>"if $C$1&lt;"</formula>
    </cfRule>
    <cfRule type="cellIs" dxfId="27" priority="56" operator="equal">
      <formula>45443</formula>
    </cfRule>
  </conditionalFormatting>
  <conditionalFormatting sqref="U176 U178:U184">
    <cfRule type="expression" dxfId="26" priority="66">
      <formula>"if $C$1&lt;"</formula>
    </cfRule>
    <cfRule type="expression" dxfId="25" priority="67">
      <formula>"if $G$4&gt;$C$1 and $H$4 is ""null"""</formula>
    </cfRule>
    <cfRule type="cellIs" dxfId="24" priority="65" operator="equal">
      <formula>45443</formula>
    </cfRule>
  </conditionalFormatting>
  <conditionalFormatting sqref="U191:U192 U195:U196 U199:U200 U203:U204 U207:U208">
    <cfRule type="expression" dxfId="23" priority="68">
      <formula>"if $C$1&lt;"</formula>
    </cfRule>
    <cfRule type="expression" dxfId="22" priority="64">
      <formula>"if $G$4&gt;$C$1 and $H$4 is ""null"""</formula>
    </cfRule>
    <cfRule type="cellIs" dxfId="21" priority="63" operator="equal">
      <formula>45443</formula>
    </cfRule>
  </conditionalFormatting>
  <conditionalFormatting sqref="U218:U230">
    <cfRule type="expression" dxfId="20" priority="62">
      <formula>"if $G$4&gt;$C$1 and $H$4 is ""null"""</formula>
    </cfRule>
  </conditionalFormatting>
  <conditionalFormatting sqref="V59:V61">
    <cfRule type="cellIs" dxfId="19" priority="16" operator="equal">
      <formula>45443</formula>
    </cfRule>
    <cfRule type="expression" dxfId="18" priority="15">
      <formula>"if $G$4&gt;$C$1 and $H$4 is ""null"""</formula>
    </cfRule>
    <cfRule type="expression" dxfId="17" priority="14">
      <formula>"if $C$1&lt;"</formula>
    </cfRule>
  </conditionalFormatting>
  <conditionalFormatting sqref="V63">
    <cfRule type="expression" dxfId="16" priority="11">
      <formula>"if $C$1&lt;"</formula>
    </cfRule>
    <cfRule type="cellIs" dxfId="15" priority="13" operator="equal">
      <formula>45443</formula>
    </cfRule>
    <cfRule type="expression" dxfId="14" priority="12">
      <formula>"if $G$4&gt;$C$1 and $H$4 is ""null"""</formula>
    </cfRule>
  </conditionalFormatting>
  <conditionalFormatting sqref="V65:V66">
    <cfRule type="cellIs" dxfId="13" priority="10" operator="equal">
      <formula>45443</formula>
    </cfRule>
    <cfRule type="expression" dxfId="12" priority="9">
      <formula>"if $G$4&gt;$C$1 and $H$4 is ""null"""</formula>
    </cfRule>
    <cfRule type="expression" dxfId="11" priority="8">
      <formula>"if $C$1&lt;"</formula>
    </cfRule>
  </conditionalFormatting>
  <conditionalFormatting sqref="V160:V161 V163:V164 V168">
    <cfRule type="expression" dxfId="10" priority="710">
      <formula>"if $G$4&gt;$C$1 and $H$4 is ""null"""</formula>
    </cfRule>
    <cfRule type="cellIs" dxfId="9" priority="707" operator="equal">
      <formula>45443</formula>
    </cfRule>
    <cfRule type="expression" dxfId="8" priority="709">
      <formula>"if $C$1&lt;"</formula>
    </cfRule>
  </conditionalFormatting>
  <conditionalFormatting sqref="V171:V172">
    <cfRule type="cellIs" dxfId="7" priority="110" operator="equal">
      <formula>45443</formula>
    </cfRule>
    <cfRule type="expression" dxfId="6" priority="112">
      <formula>"if $G$4&gt;$C$1 and $H$4 is ""null"""</formula>
    </cfRule>
    <cfRule type="expression" dxfId="5" priority="111">
      <formula>"if $C$1&lt;"</formula>
    </cfRule>
  </conditionalFormatting>
  <conditionalFormatting sqref="V225:V226">
    <cfRule type="cellIs" dxfId="4" priority="384" operator="equal">
      <formula>45443</formula>
    </cfRule>
    <cfRule type="expression" dxfId="3" priority="385">
      <formula>"if $C$1&lt;"</formula>
    </cfRule>
    <cfRule type="expression" dxfId="2" priority="386">
      <formula>"if $G$4&gt;$C$1 and $H$4 is ""null"""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159" t="s">
        <v>36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27"/>
    </row>
    <row r="5" spans="1:97" ht="45" x14ac:dyDescent="0.35">
      <c r="B5" s="26"/>
      <c r="C5" s="160" t="s">
        <v>56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0"/>
      <c r="CP5" s="160"/>
      <c r="CQ5" s="160"/>
      <c r="CR5" s="160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154" t="s">
        <v>25</v>
      </c>
      <c r="E6" s="154" t="s">
        <v>26</v>
      </c>
      <c r="F6" s="156" t="s">
        <v>30</v>
      </c>
      <c r="G6" s="157"/>
      <c r="H6" s="157"/>
      <c r="I6" s="158"/>
      <c r="J6" s="156" t="s">
        <v>27</v>
      </c>
      <c r="K6" s="157"/>
      <c r="L6" s="157"/>
      <c r="M6" s="158"/>
      <c r="N6" s="156" t="s">
        <v>28</v>
      </c>
      <c r="O6" s="157"/>
      <c r="P6" s="157"/>
      <c r="Q6" s="158"/>
    </row>
    <row r="7" spans="1:17" ht="24.5" customHeight="1" thickBot="1" x14ac:dyDescent="0.4">
      <c r="D7" s="155"/>
      <c r="E7" s="155"/>
      <c r="F7" s="103" t="s">
        <v>44</v>
      </c>
      <c r="G7" s="103" t="s">
        <v>45</v>
      </c>
      <c r="H7" s="103" t="s">
        <v>46</v>
      </c>
      <c r="I7" s="103" t="s">
        <v>47</v>
      </c>
      <c r="J7" s="103" t="s">
        <v>44</v>
      </c>
      <c r="K7" s="103" t="s">
        <v>45</v>
      </c>
      <c r="L7" s="103" t="s">
        <v>46</v>
      </c>
      <c r="M7" s="103" t="s">
        <v>47</v>
      </c>
      <c r="N7" s="103" t="s">
        <v>44</v>
      </c>
      <c r="O7" s="103" t="s">
        <v>45</v>
      </c>
      <c r="P7" s="103" t="s">
        <v>46</v>
      </c>
      <c r="Q7" s="103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9" t="s">
        <v>9</v>
      </c>
      <c r="E8" s="80">
        <f>592.7%/100</f>
        <v>5.9270000000000003E-2</v>
      </c>
      <c r="F8" s="80" t="e">
        <f>'Progress Summary'!#REF!*100/EDSR!#REF!</f>
        <v>#REF!</v>
      </c>
      <c r="G8" s="80" t="e">
        <f>'Progress Summary'!#REF!*100/EDSR!#REF!</f>
        <v>#REF!</v>
      </c>
      <c r="H8" s="80" t="e">
        <f>'Progress Summary'!#REF!*100/EDSR!#REF!</f>
        <v>#REF!</v>
      </c>
      <c r="I8" s="80" t="e">
        <f>'Progress Summary'!#REF!*100/EDSR!#REF!</f>
        <v>#REF!</v>
      </c>
      <c r="J8" s="80" t="e">
        <f>'Progress Summary'!#REF!*100/EDSR!#REF!</f>
        <v>#REF!</v>
      </c>
      <c r="K8" s="80" t="e">
        <f>'Progress Summary'!#REF!*100/EDSR!#REF!</f>
        <v>#REF!</v>
      </c>
      <c r="L8" s="80" t="e">
        <f>'Progress Summary'!#REF!*100/EDSR!#REF!</f>
        <v>#REF!</v>
      </c>
      <c r="M8" s="80" t="e">
        <f>'Progress Summary'!#REF!*100/EDSR!#REF!</f>
        <v>#REF!</v>
      </c>
      <c r="N8" s="80" t="e">
        <f>'Progress Summary'!#REF!*100/EDSR!#REF!</f>
        <v>#REF!</v>
      </c>
      <c r="O8" s="80" t="e">
        <f>'Progress Summary'!#REF!*100/EDSR!#REF!</f>
        <v>#REF!</v>
      </c>
      <c r="P8" s="80" t="e">
        <f>'Progress Summary'!#REF!*100/EDSR!#REF!</f>
        <v>#REF!</v>
      </c>
      <c r="Q8" s="80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9" t="s">
        <v>15</v>
      </c>
      <c r="E9" s="80">
        <f>592.7%/100</f>
        <v>5.9270000000000003E-2</v>
      </c>
      <c r="F9" s="80" t="e">
        <f>'Progress Summary'!#REF!*100/EDSR!#REF!</f>
        <v>#REF!</v>
      </c>
      <c r="G9" s="80" t="e">
        <f>'Progress Summary'!#REF!*100/EDSR!#REF!</f>
        <v>#REF!</v>
      </c>
      <c r="H9" s="80" t="e">
        <f>'Progress Summary'!#REF!*100/EDSR!#REF!</f>
        <v>#REF!</v>
      </c>
      <c r="I9" s="80" t="e">
        <f>'Progress Summary'!#REF!*100/EDSR!#REF!</f>
        <v>#REF!</v>
      </c>
      <c r="J9" s="80" t="e">
        <f>'Progress Summary'!#REF!*100/EDSR!#REF!</f>
        <v>#REF!</v>
      </c>
      <c r="K9" s="80" t="e">
        <f>'Progress Summary'!#REF!*100/EDSR!#REF!</f>
        <v>#REF!</v>
      </c>
      <c r="L9" s="80" t="e">
        <f>'Progress Summary'!#REF!*100/EDSR!#REF!</f>
        <v>#REF!</v>
      </c>
      <c r="M9" s="80" t="e">
        <f>'Progress Summary'!#REF!*100/EDSR!#REF!</f>
        <v>#REF!</v>
      </c>
      <c r="N9" s="80" t="e">
        <f>'Progress Summary'!#REF!*100/EDSR!#REF!</f>
        <v>#REF!</v>
      </c>
      <c r="O9" s="80" t="e">
        <f>'Progress Summary'!#REF!*100/EDSR!#REF!</f>
        <v>#REF!</v>
      </c>
      <c r="P9" s="80" t="e">
        <f>'Progress Summary'!#REF!*100/EDSR!#REF!</f>
        <v>#REF!</v>
      </c>
      <c r="Q9" s="80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9" t="s">
        <v>8</v>
      </c>
      <c r="E10" s="80">
        <f>8221.9%/100</f>
        <v>0.82218999999999998</v>
      </c>
      <c r="F10" s="80" t="e">
        <f>'Progress Summary'!F8*100/EDSR!#REF!</f>
        <v>#REF!</v>
      </c>
      <c r="G10" s="80" t="e">
        <f>'Progress Summary'!G8*100/EDSR!#REF!</f>
        <v>#REF!</v>
      </c>
      <c r="H10" s="80" t="e">
        <f>'Progress Summary'!H8*100/EDSR!#REF!</f>
        <v>#REF!</v>
      </c>
      <c r="I10" s="80" t="e">
        <f>'Progress Summary'!I8*100/EDSR!#REF!</f>
        <v>#REF!</v>
      </c>
      <c r="J10" s="80" t="e">
        <f>'Progress Summary'!J8*100/EDSR!#REF!</f>
        <v>#REF!</v>
      </c>
      <c r="K10" s="80" t="e">
        <f>'Progress Summary'!K8*100/EDSR!#REF!</f>
        <v>#REF!</v>
      </c>
      <c r="L10" s="80" t="e">
        <f>'Progress Summary'!L8*100/EDSR!#REF!</f>
        <v>#REF!</v>
      </c>
      <c r="M10" s="80" t="e">
        <f>'Progress Summary'!M8*100/EDSR!#REF!</f>
        <v>#REF!</v>
      </c>
      <c r="N10" s="80" t="e">
        <f>'Progress Summary'!N8*100/EDSR!#REF!</f>
        <v>#REF!</v>
      </c>
      <c r="O10" s="80" t="e">
        <f>'Progress Summary'!O8*100/EDSR!#REF!</f>
        <v>#REF!</v>
      </c>
      <c r="P10" s="80" t="e">
        <f>'Progress Summary'!P8*100/EDSR!#REF!</f>
        <v>#REF!</v>
      </c>
      <c r="Q10" s="80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9" t="s">
        <v>14</v>
      </c>
      <c r="E11" s="80">
        <f>592.7%/100</f>
        <v>5.9270000000000003E-2</v>
      </c>
      <c r="F11" s="80" t="e">
        <f>'Progress Summary'!#REF!*100/EDSR!#REF!</f>
        <v>#REF!</v>
      </c>
      <c r="G11" s="80" t="e">
        <f>'Progress Summary'!#REF!*100/EDSR!#REF!</f>
        <v>#REF!</v>
      </c>
      <c r="H11" s="80" t="e">
        <f>'Progress Summary'!#REF!*100/EDSR!#REF!</f>
        <v>#REF!</v>
      </c>
      <c r="I11" s="80" t="e">
        <f>'Progress Summary'!#REF!*100/EDSR!#REF!</f>
        <v>#REF!</v>
      </c>
      <c r="J11" s="80" t="e">
        <f>'Progress Summary'!#REF!*100/EDSR!#REF!</f>
        <v>#REF!</v>
      </c>
      <c r="K11" s="80" t="e">
        <f>'Progress Summary'!#REF!*100/EDSR!#REF!</f>
        <v>#REF!</v>
      </c>
      <c r="L11" s="80" t="e">
        <f>'Progress Summary'!#REF!*100/EDSR!#REF!</f>
        <v>#REF!</v>
      </c>
      <c r="M11" s="80" t="e">
        <f>'Progress Summary'!#REF!*100/EDSR!#REF!</f>
        <v>#REF!</v>
      </c>
      <c r="N11" s="80" t="e">
        <f>'Progress Summary'!#REF!*100/EDSR!#REF!</f>
        <v>#REF!</v>
      </c>
      <c r="O11" s="80" t="e">
        <f>'Progress Summary'!#REF!*100/EDSR!#REF!</f>
        <v>#REF!</v>
      </c>
      <c r="P11" s="80" t="e">
        <f>'Progress Summary'!#REF!*100/EDSR!#REF!</f>
        <v>#REF!</v>
      </c>
      <c r="Q11" s="80" t="e">
        <f>'Progress Summary'!#REF!*100/EDSR!#REF!</f>
        <v>#REF!</v>
      </c>
    </row>
    <row r="12" spans="1:17" ht="37.5" customHeight="1" thickBot="1" x14ac:dyDescent="0.4">
      <c r="D12" s="104" t="s">
        <v>53</v>
      </c>
      <c r="E12" s="105">
        <f>SUM(E8:E11)</f>
        <v>1</v>
      </c>
      <c r="F12" s="105" t="e">
        <f t="shared" ref="F12:Q12" si="2">SUMPRODUCT($E8:$E11,F8:F11)/$E12</f>
        <v>#REF!</v>
      </c>
      <c r="G12" s="105" t="e">
        <f>SUMPRODUCT($E8:$E11,G8:G11)/$E12</f>
        <v>#REF!</v>
      </c>
      <c r="H12" s="105" t="e">
        <f>SUMPRODUCT($E8:$E11,H8:H11)/$E12</f>
        <v>#REF!</v>
      </c>
      <c r="I12" s="105" t="e">
        <f t="shared" si="2"/>
        <v>#REF!</v>
      </c>
      <c r="J12" s="105" t="e">
        <f t="shared" si="2"/>
        <v>#REF!</v>
      </c>
      <c r="K12" s="105" t="e">
        <f t="shared" si="2"/>
        <v>#REF!</v>
      </c>
      <c r="L12" s="105" t="e">
        <f t="shared" si="2"/>
        <v>#REF!</v>
      </c>
      <c r="M12" s="105" t="e">
        <f t="shared" si="2"/>
        <v>#REF!</v>
      </c>
      <c r="N12" s="105" t="e">
        <f>SUMPRODUCT($E8:$E11,N8:N11)/$E12</f>
        <v>#REF!</v>
      </c>
      <c r="O12" s="105" t="e">
        <f>SUMPRODUCT($E8:$E11,O8:O11)/$E12</f>
        <v>#REF!</v>
      </c>
      <c r="P12" s="105" t="e">
        <f t="shared" si="2"/>
        <v>#REF!</v>
      </c>
      <c r="Q12" s="105" t="e">
        <f t="shared" si="2"/>
        <v>#REF!</v>
      </c>
    </row>
    <row r="19" spans="4:4" x14ac:dyDescent="0.35">
      <c r="D19" s="102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2026-07-04T08:17:35Z</cp:lastPrinted>
  <dcterms:created xsi:type="dcterms:W3CDTF">2024-04-23T01:26:48Z</dcterms:created>
  <dcterms:modified xsi:type="dcterms:W3CDTF">2026-07-04T08:51:45Z</dcterms:modified>
</cp:coreProperties>
</file>