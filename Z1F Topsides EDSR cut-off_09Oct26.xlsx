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AppData\Local\Microsoft\Windows\INetCache\Content.Outlook\BSUB98AT\"/>
    </mc:Choice>
  </mc:AlternateContent>
  <xr:revisionPtr revIDLastSave="0" documentId="13_ncr:1_{621582E6-9F93-40EF-B11A-B0C3067EA8CE}" xr6:coauthVersionLast="47" xr6:coauthVersionMax="47" xr10:uidLastSave="{00000000-0000-0000-0000-000000000000}"/>
  <bookViews>
    <workbookView xWindow="-110" yWindow="-110" windowWidth="25820" windowHeight="15500" firstSheet="1" activeTab="1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EDSR!$A$3:$W$260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2" i="1" l="1"/>
  <c r="Y32" i="1"/>
  <c r="N32" i="1"/>
  <c r="L32" i="1"/>
  <c r="H32" i="1"/>
  <c r="Z27" i="1"/>
  <c r="Y27" i="1"/>
  <c r="Q27" i="1"/>
  <c r="T27" i="1" s="1"/>
  <c r="O27" i="1"/>
  <c r="L27" i="1"/>
  <c r="H27" i="1"/>
  <c r="AA24" i="1"/>
  <c r="Z24" i="1"/>
  <c r="Y24" i="1"/>
  <c r="N24" i="1"/>
  <c r="L24" i="1"/>
  <c r="H24" i="1"/>
  <c r="AA17" i="1"/>
  <c r="Z17" i="1"/>
  <c r="Y17" i="1"/>
  <c r="N17" i="1"/>
  <c r="Q17" i="1" s="1"/>
  <c r="T17" i="1" s="1"/>
  <c r="L17" i="1"/>
  <c r="H17" i="1"/>
  <c r="AA14" i="1"/>
  <c r="Z14" i="1"/>
  <c r="Y14" i="1"/>
  <c r="N14" i="1"/>
  <c r="Q14" i="1" s="1"/>
  <c r="L14" i="1"/>
  <c r="H14" i="1"/>
  <c r="Z34" i="1"/>
  <c r="Y34" i="1"/>
  <c r="N34" i="1"/>
  <c r="Q34" i="1" s="1"/>
  <c r="L34" i="1"/>
  <c r="H34" i="1"/>
  <c r="H33" i="1"/>
  <c r="L33" i="1"/>
  <c r="N33" i="1"/>
  <c r="O33" i="1" s="1"/>
  <c r="Y33" i="1"/>
  <c r="Z33" i="1"/>
  <c r="Z31" i="1"/>
  <c r="Y31" i="1"/>
  <c r="N31" i="1"/>
  <c r="Q31" i="1" s="1"/>
  <c r="L31" i="1"/>
  <c r="H31" i="1"/>
  <c r="Z56" i="1"/>
  <c r="Y56" i="1"/>
  <c r="N56" i="1"/>
  <c r="Q56" i="1" s="1"/>
  <c r="L56" i="1"/>
  <c r="H56" i="1"/>
  <c r="Z55" i="1"/>
  <c r="Y55" i="1"/>
  <c r="N55" i="1"/>
  <c r="Q55" i="1" s="1"/>
  <c r="L55" i="1"/>
  <c r="H55" i="1"/>
  <c r="Z62" i="1"/>
  <c r="Y62" i="1"/>
  <c r="N62" i="1"/>
  <c r="L62" i="1"/>
  <c r="H62" i="1"/>
  <c r="Z61" i="1"/>
  <c r="Y61" i="1"/>
  <c r="N61" i="1"/>
  <c r="Q61" i="1" s="1"/>
  <c r="T61" i="1" s="1"/>
  <c r="L61" i="1"/>
  <c r="H61" i="1"/>
  <c r="Z28" i="1"/>
  <c r="Y28" i="1"/>
  <c r="N28" i="1"/>
  <c r="O28" i="1" s="1"/>
  <c r="L28" i="1"/>
  <c r="H28" i="1"/>
  <c r="Z20" i="1"/>
  <c r="Y20" i="1"/>
  <c r="N20" i="1"/>
  <c r="O20" i="1" s="1"/>
  <c r="L20" i="1"/>
  <c r="H20" i="1"/>
  <c r="Z19" i="1"/>
  <c r="Y19" i="1"/>
  <c r="N19" i="1"/>
  <c r="Q19" i="1" s="1"/>
  <c r="L19" i="1"/>
  <c r="H19" i="1"/>
  <c r="Z16" i="1"/>
  <c r="Y16" i="1"/>
  <c r="N16" i="1"/>
  <c r="Q16" i="1" s="1"/>
  <c r="L16" i="1"/>
  <c r="H16" i="1"/>
  <c r="Z140" i="1"/>
  <c r="Y140" i="1"/>
  <c r="N140" i="1"/>
  <c r="Q140" i="1" s="1"/>
  <c r="L140" i="1"/>
  <c r="H225" i="1"/>
  <c r="Y225" i="1"/>
  <c r="N225" i="1"/>
  <c r="O225" i="1" s="1"/>
  <c r="Z225" i="1" s="1"/>
  <c r="L225" i="1"/>
  <c r="O32" i="1" l="1"/>
  <c r="Q32" i="1"/>
  <c r="F27" i="1"/>
  <c r="I27" i="1" s="1"/>
  <c r="U27" i="1"/>
  <c r="AB27" i="1" s="1"/>
  <c r="R27" i="1"/>
  <c r="AA27" i="1" s="1"/>
  <c r="O24" i="1"/>
  <c r="Q24" i="1"/>
  <c r="O17" i="1"/>
  <c r="F17" i="1"/>
  <c r="I17" i="1" s="1"/>
  <c r="U17" i="1"/>
  <c r="AB17" i="1" s="1"/>
  <c r="R17" i="1"/>
  <c r="T14" i="1"/>
  <c r="U14" i="1" s="1"/>
  <c r="AB14" i="1" s="1"/>
  <c r="R14" i="1"/>
  <c r="O14" i="1"/>
  <c r="Q33" i="1"/>
  <c r="O34" i="1"/>
  <c r="T34" i="1"/>
  <c r="U34" i="1" s="1"/>
  <c r="AB34" i="1" s="1"/>
  <c r="R34" i="1"/>
  <c r="T31" i="1"/>
  <c r="U31" i="1" s="1"/>
  <c r="AB31" i="1" s="1"/>
  <c r="R31" i="1"/>
  <c r="AA31" i="1" s="1"/>
  <c r="O31" i="1"/>
  <c r="T55" i="1"/>
  <c r="U55" i="1" s="1"/>
  <c r="AB55" i="1" s="1"/>
  <c r="R55" i="1"/>
  <c r="AA55" i="1" s="1"/>
  <c r="T56" i="1"/>
  <c r="U56" i="1" s="1"/>
  <c r="AB56" i="1" s="1"/>
  <c r="R56" i="1"/>
  <c r="AA56" i="1" s="1"/>
  <c r="O55" i="1"/>
  <c r="O56" i="1"/>
  <c r="O61" i="1"/>
  <c r="U61" i="1"/>
  <c r="AB61" i="1" s="1"/>
  <c r="F61" i="1"/>
  <c r="I61" i="1" s="1"/>
  <c r="Q62" i="1"/>
  <c r="R61" i="1"/>
  <c r="AA61" i="1" s="1"/>
  <c r="O62" i="1"/>
  <c r="Q28" i="1"/>
  <c r="Q20" i="1"/>
  <c r="T20" i="1" s="1"/>
  <c r="U20" i="1" s="1"/>
  <c r="AB20" i="1" s="1"/>
  <c r="F20" i="1"/>
  <c r="I20" i="1" s="1"/>
  <c r="T19" i="1"/>
  <c r="U19" i="1" s="1"/>
  <c r="AB19" i="1" s="1"/>
  <c r="R19" i="1"/>
  <c r="AA19" i="1" s="1"/>
  <c r="O19" i="1"/>
  <c r="R16" i="1"/>
  <c r="AA16" i="1" s="1"/>
  <c r="T16" i="1"/>
  <c r="U16" i="1" s="1"/>
  <c r="AB16" i="1" s="1"/>
  <c r="O16" i="1"/>
  <c r="R140" i="1"/>
  <c r="AA140" i="1" s="1"/>
  <c r="T140" i="1"/>
  <c r="U140" i="1" s="1"/>
  <c r="AB140" i="1" s="1"/>
  <c r="O140" i="1"/>
  <c r="Q225" i="1"/>
  <c r="AB224" i="1"/>
  <c r="AA224" i="1"/>
  <c r="Z224" i="1"/>
  <c r="Y224" i="1"/>
  <c r="N224" i="1"/>
  <c r="O224" i="1" s="1"/>
  <c r="L224" i="1"/>
  <c r="G17" i="1" l="1"/>
  <c r="G14" i="1"/>
  <c r="T32" i="1"/>
  <c r="U32" i="1" s="1"/>
  <c r="AB32" i="1" s="1"/>
  <c r="R32" i="1"/>
  <c r="F14" i="1"/>
  <c r="I14" i="1" s="1"/>
  <c r="G27" i="1"/>
  <c r="T24" i="1"/>
  <c r="U24" i="1" s="1"/>
  <c r="AB24" i="1" s="1"/>
  <c r="R24" i="1"/>
  <c r="G31" i="1"/>
  <c r="F34" i="1"/>
  <c r="I34" i="1" s="1"/>
  <c r="R33" i="1"/>
  <c r="T33" i="1"/>
  <c r="G55" i="1"/>
  <c r="AA34" i="1"/>
  <c r="G34" i="1"/>
  <c r="F31" i="1"/>
  <c r="I31" i="1" s="1"/>
  <c r="G56" i="1"/>
  <c r="R20" i="1"/>
  <c r="AA20" i="1" s="1"/>
  <c r="F55" i="1"/>
  <c r="I55" i="1" s="1"/>
  <c r="F56" i="1"/>
  <c r="I56" i="1" s="1"/>
  <c r="F19" i="1"/>
  <c r="I19" i="1" s="1"/>
  <c r="G19" i="1"/>
  <c r="R62" i="1"/>
  <c r="AA62" i="1" s="1"/>
  <c r="T62" i="1"/>
  <c r="G61" i="1"/>
  <c r="G16" i="1"/>
  <c r="T28" i="1"/>
  <c r="U28" i="1" s="1"/>
  <c r="AB28" i="1" s="1"/>
  <c r="R28" i="1"/>
  <c r="F16" i="1"/>
  <c r="I16" i="1" s="1"/>
  <c r="R225" i="1"/>
  <c r="T225" i="1"/>
  <c r="U225" i="1" s="1"/>
  <c r="AB225" i="1" s="1"/>
  <c r="Q224" i="1"/>
  <c r="T224" i="1" s="1"/>
  <c r="U224" i="1" s="1"/>
  <c r="F32" i="1" l="1"/>
  <c r="I32" i="1" s="1"/>
  <c r="G24" i="1"/>
  <c r="F24" i="1"/>
  <c r="I24" i="1" s="1"/>
  <c r="AA32" i="1"/>
  <c r="G32" i="1"/>
  <c r="U33" i="1"/>
  <c r="AB33" i="1" s="1"/>
  <c r="F33" i="1"/>
  <c r="I33" i="1" s="1"/>
  <c r="G20" i="1"/>
  <c r="AA33" i="1"/>
  <c r="G33" i="1"/>
  <c r="U62" i="1"/>
  <c r="AB62" i="1" s="1"/>
  <c r="F62" i="1"/>
  <c r="I62" i="1" s="1"/>
  <c r="F28" i="1"/>
  <c r="I28" i="1" s="1"/>
  <c r="AA28" i="1"/>
  <c r="G28" i="1"/>
  <c r="G225" i="1"/>
  <c r="AA225" i="1"/>
  <c r="F225" i="1"/>
  <c r="I225" i="1" s="1"/>
  <c r="R224" i="1"/>
  <c r="H12" i="1"/>
  <c r="L12" i="1"/>
  <c r="N12" i="1"/>
  <c r="O12" i="1" s="1"/>
  <c r="Y12" i="1"/>
  <c r="Z12" i="1"/>
  <c r="Z13" i="1"/>
  <c r="Y13" i="1"/>
  <c r="N13" i="1"/>
  <c r="Q13" i="1" s="1"/>
  <c r="L13" i="1"/>
  <c r="H13" i="1"/>
  <c r="Z15" i="1"/>
  <c r="Y15" i="1"/>
  <c r="N15" i="1"/>
  <c r="O15" i="1" s="1"/>
  <c r="L15" i="1"/>
  <c r="H15" i="1"/>
  <c r="G62" i="1" l="1"/>
  <c r="Q12" i="1"/>
  <c r="R12" i="1" s="1"/>
  <c r="AA12" i="1" s="1"/>
  <c r="T13" i="1"/>
  <c r="U13" i="1" s="1"/>
  <c r="AB13" i="1" s="1"/>
  <c r="R13" i="1"/>
  <c r="AA13" i="1" s="1"/>
  <c r="O13" i="1"/>
  <c r="G13" i="1" s="1"/>
  <c r="Q15" i="1"/>
  <c r="T12" i="1" l="1"/>
  <c r="F13" i="1"/>
  <c r="I13" i="1" s="1"/>
  <c r="T15" i="1"/>
  <c r="U15" i="1" s="1"/>
  <c r="AB15" i="1" s="1"/>
  <c r="R15" i="1"/>
  <c r="U12" i="1" l="1"/>
  <c r="F12" i="1"/>
  <c r="I12" i="1" s="1"/>
  <c r="F15" i="1"/>
  <c r="I15" i="1" s="1"/>
  <c r="AA15" i="1"/>
  <c r="G15" i="1"/>
  <c r="AB12" i="1" l="1"/>
  <c r="G12" i="1"/>
  <c r="Y52" i="1"/>
  <c r="N52" i="1"/>
  <c r="Q52" i="1" s="1"/>
  <c r="L52" i="1"/>
  <c r="H52" i="1"/>
  <c r="Y51" i="1"/>
  <c r="N51" i="1"/>
  <c r="Q51" i="1" s="1"/>
  <c r="L51" i="1"/>
  <c r="H51" i="1"/>
  <c r="N58" i="1"/>
  <c r="Q58" i="1" s="1"/>
  <c r="Y58" i="1"/>
  <c r="L58" i="1"/>
  <c r="H58" i="1"/>
  <c r="Y26" i="1"/>
  <c r="Q26" i="1"/>
  <c r="L26" i="1"/>
  <c r="H26" i="1"/>
  <c r="Y23" i="1"/>
  <c r="N23" i="1"/>
  <c r="Q23" i="1" s="1"/>
  <c r="L23" i="1"/>
  <c r="H23" i="1"/>
  <c r="T51" i="1" l="1"/>
  <c r="U51" i="1" s="1"/>
  <c r="AB51" i="1" s="1"/>
  <c r="R51" i="1"/>
  <c r="AA51" i="1" s="1"/>
  <c r="T52" i="1"/>
  <c r="U52" i="1" s="1"/>
  <c r="AB52" i="1" s="1"/>
  <c r="R52" i="1"/>
  <c r="AA52" i="1" s="1"/>
  <c r="O51" i="1"/>
  <c r="O52" i="1"/>
  <c r="T58" i="1"/>
  <c r="U58" i="1" s="1"/>
  <c r="AB58" i="1" s="1"/>
  <c r="R58" i="1"/>
  <c r="AA58" i="1" s="1"/>
  <c r="O58" i="1"/>
  <c r="Z58" i="1" s="1"/>
  <c r="T26" i="1"/>
  <c r="U26" i="1" s="1"/>
  <c r="AB26" i="1" s="1"/>
  <c r="R26" i="1"/>
  <c r="AA26" i="1" s="1"/>
  <c r="O26" i="1"/>
  <c r="T23" i="1"/>
  <c r="U23" i="1" s="1"/>
  <c r="AB23" i="1" s="1"/>
  <c r="R23" i="1"/>
  <c r="AA23" i="1" s="1"/>
  <c r="O23" i="1"/>
  <c r="F23" i="1" l="1"/>
  <c r="I23" i="1" s="1"/>
  <c r="F51" i="1"/>
  <c r="I51" i="1" s="1"/>
  <c r="F52" i="1"/>
  <c r="I52" i="1" s="1"/>
  <c r="F26" i="1"/>
  <c r="I26" i="1" s="1"/>
  <c r="G52" i="1"/>
  <c r="Z52" i="1"/>
  <c r="G51" i="1"/>
  <c r="Z51" i="1"/>
  <c r="F58" i="1"/>
  <c r="I58" i="1" s="1"/>
  <c r="G58" i="1"/>
  <c r="G26" i="1"/>
  <c r="Z26" i="1"/>
  <c r="Z23" i="1"/>
  <c r="G23" i="1"/>
  <c r="AB259" i="1" l="1"/>
  <c r="AA259" i="1"/>
  <c r="Z259" i="1"/>
  <c r="Y259" i="1"/>
  <c r="AB258" i="1"/>
  <c r="AA258" i="1"/>
  <c r="Z258" i="1"/>
  <c r="Y258" i="1"/>
  <c r="AB257" i="1"/>
  <c r="AA257" i="1"/>
  <c r="Z257" i="1"/>
  <c r="Y257" i="1"/>
  <c r="AB256" i="1"/>
  <c r="AA256" i="1"/>
  <c r="Z256" i="1"/>
  <c r="Y256" i="1"/>
  <c r="Y255" i="1"/>
  <c r="Y254" i="1"/>
  <c r="Y253" i="1"/>
  <c r="Y252" i="1"/>
  <c r="Y251" i="1"/>
  <c r="Y250" i="1"/>
  <c r="Y249" i="1"/>
  <c r="Z248" i="1"/>
  <c r="Y248" i="1"/>
  <c r="Y247" i="1"/>
  <c r="Y244" i="1"/>
  <c r="Y243" i="1"/>
  <c r="Z242" i="1"/>
  <c r="Y242" i="1"/>
  <c r="Z241" i="1"/>
  <c r="Y241" i="1"/>
  <c r="Y240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Z209" i="1"/>
  <c r="Y209" i="1"/>
  <c r="Z208" i="1"/>
  <c r="Y208" i="1"/>
  <c r="Y206" i="1"/>
  <c r="Y205" i="1"/>
  <c r="Y204" i="1"/>
  <c r="Y203" i="1"/>
  <c r="Y202" i="1"/>
  <c r="Y201" i="1"/>
  <c r="Y200" i="1"/>
  <c r="Y199" i="1"/>
  <c r="Y197" i="1"/>
  <c r="Y196" i="1"/>
  <c r="Y195" i="1"/>
  <c r="Y194" i="1"/>
  <c r="Y193" i="1"/>
  <c r="Y192" i="1"/>
  <c r="Y191" i="1"/>
  <c r="Y190" i="1"/>
  <c r="Y189" i="1"/>
  <c r="Y188" i="1"/>
  <c r="Y185" i="1"/>
  <c r="Y184" i="1"/>
  <c r="Z183" i="1"/>
  <c r="Y183" i="1"/>
  <c r="Y182" i="1"/>
  <c r="Y181" i="1"/>
  <c r="Y180" i="1"/>
  <c r="Y179" i="1"/>
  <c r="Z178" i="1"/>
  <c r="Y178" i="1"/>
  <c r="Y177" i="1"/>
  <c r="Z176" i="1"/>
  <c r="Y176" i="1"/>
  <c r="Y175" i="1"/>
  <c r="Y174" i="1"/>
  <c r="Y173" i="1"/>
  <c r="Y170" i="1"/>
  <c r="Y169" i="1"/>
  <c r="Y168" i="1"/>
  <c r="Y167" i="1"/>
  <c r="Y166" i="1"/>
  <c r="Y164" i="1"/>
  <c r="Y163" i="1"/>
  <c r="Y162" i="1"/>
  <c r="Y161" i="1"/>
  <c r="Y160" i="1"/>
  <c r="Y159" i="1"/>
  <c r="Y158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AB105" i="1"/>
  <c r="AA105" i="1"/>
  <c r="Z105" i="1"/>
  <c r="Y105" i="1"/>
  <c r="AB104" i="1"/>
  <c r="AA104" i="1"/>
  <c r="Z104" i="1"/>
  <c r="Y104" i="1"/>
  <c r="AB103" i="1"/>
  <c r="AA103" i="1"/>
  <c r="Z103" i="1"/>
  <c r="Y103" i="1"/>
  <c r="Y102" i="1"/>
  <c r="Y101" i="1"/>
  <c r="AB100" i="1"/>
  <c r="AA100" i="1"/>
  <c r="Z100" i="1"/>
  <c r="Y100" i="1"/>
  <c r="AB99" i="1"/>
  <c r="AA99" i="1"/>
  <c r="Z99" i="1"/>
  <c r="Y99" i="1"/>
  <c r="Y98" i="1"/>
  <c r="Z97" i="1"/>
  <c r="Y97" i="1"/>
  <c r="Z96" i="1"/>
  <c r="Y96" i="1"/>
  <c r="AB95" i="1"/>
  <c r="AA95" i="1"/>
  <c r="Z95" i="1"/>
  <c r="Y95" i="1"/>
  <c r="Z94" i="1"/>
  <c r="Y94" i="1"/>
  <c r="AB93" i="1"/>
  <c r="AA93" i="1"/>
  <c r="Z93" i="1"/>
  <c r="Y93" i="1"/>
  <c r="AB92" i="1"/>
  <c r="AA92" i="1"/>
  <c r="Z92" i="1"/>
  <c r="Y92" i="1"/>
  <c r="Z91" i="1"/>
  <c r="Y91" i="1"/>
  <c r="AB90" i="1"/>
  <c r="AA90" i="1"/>
  <c r="Z90" i="1"/>
  <c r="Y90" i="1"/>
  <c r="Z89" i="1"/>
  <c r="Y89" i="1"/>
  <c r="AB88" i="1"/>
  <c r="AA88" i="1"/>
  <c r="Z88" i="1"/>
  <c r="Y88" i="1"/>
  <c r="AB87" i="1"/>
  <c r="AA87" i="1"/>
  <c r="Z87" i="1"/>
  <c r="Y87" i="1"/>
  <c r="AB86" i="1"/>
  <c r="AA86" i="1"/>
  <c r="Z86" i="1"/>
  <c r="Y86" i="1"/>
  <c r="AB85" i="1"/>
  <c r="AA85" i="1"/>
  <c r="Z85" i="1"/>
  <c r="Y85" i="1"/>
  <c r="AB84" i="1"/>
  <c r="AA84" i="1"/>
  <c r="Z84" i="1"/>
  <c r="Y84" i="1"/>
  <c r="AB83" i="1"/>
  <c r="AA83" i="1"/>
  <c r="Z83" i="1"/>
  <c r="Y83" i="1"/>
  <c r="AB82" i="1"/>
  <c r="AA82" i="1"/>
  <c r="Z82" i="1"/>
  <c r="Y82" i="1"/>
  <c r="AB81" i="1"/>
  <c r="AA81" i="1"/>
  <c r="Z81" i="1"/>
  <c r="Y81" i="1"/>
  <c r="AB80" i="1"/>
  <c r="AA80" i="1"/>
  <c r="Z80" i="1"/>
  <c r="Y80" i="1"/>
  <c r="AB79" i="1"/>
  <c r="AA79" i="1"/>
  <c r="Z79" i="1"/>
  <c r="Y79" i="1"/>
  <c r="AB78" i="1"/>
  <c r="AA78" i="1"/>
  <c r="Z78" i="1"/>
  <c r="Y78" i="1"/>
  <c r="AB77" i="1"/>
  <c r="AA77" i="1"/>
  <c r="Z77" i="1"/>
  <c r="Y77" i="1"/>
  <c r="AB76" i="1"/>
  <c r="AA76" i="1"/>
  <c r="Z76" i="1"/>
  <c r="Y76" i="1"/>
  <c r="AB75" i="1"/>
  <c r="AA75" i="1"/>
  <c r="Z75" i="1"/>
  <c r="Y75" i="1"/>
  <c r="AB74" i="1"/>
  <c r="AA74" i="1"/>
  <c r="Z74" i="1"/>
  <c r="Y74" i="1"/>
  <c r="AB73" i="1"/>
  <c r="AA73" i="1"/>
  <c r="Z73" i="1"/>
  <c r="Y73" i="1"/>
  <c r="AB72" i="1"/>
  <c r="AA72" i="1"/>
  <c r="Z72" i="1"/>
  <c r="Y72" i="1"/>
  <c r="AB71" i="1"/>
  <c r="AA71" i="1"/>
  <c r="Z71" i="1"/>
  <c r="Y71" i="1"/>
  <c r="AB70" i="1"/>
  <c r="AA70" i="1"/>
  <c r="Z70" i="1"/>
  <c r="Y70" i="1"/>
  <c r="AB69" i="1"/>
  <c r="AA69" i="1"/>
  <c r="Z69" i="1"/>
  <c r="Y69" i="1"/>
  <c r="Z68" i="1"/>
  <c r="Y68" i="1"/>
  <c r="AA67" i="1"/>
  <c r="Z67" i="1"/>
  <c r="Y67" i="1"/>
  <c r="AA66" i="1"/>
  <c r="Z66" i="1"/>
  <c r="Y66" i="1"/>
  <c r="AA65" i="1"/>
  <c r="Z65" i="1"/>
  <c r="Y65" i="1"/>
  <c r="AA64" i="1"/>
  <c r="Z64" i="1"/>
  <c r="Y64" i="1"/>
  <c r="AA63" i="1"/>
  <c r="Z63" i="1"/>
  <c r="Y63" i="1"/>
  <c r="Z60" i="1"/>
  <c r="Y60" i="1"/>
  <c r="Z59" i="1"/>
  <c r="Y59" i="1"/>
  <c r="Y57" i="1"/>
  <c r="Z54" i="1"/>
  <c r="Y54" i="1"/>
  <c r="Z53" i="1"/>
  <c r="Y53" i="1"/>
  <c r="Y50" i="1"/>
  <c r="Y49" i="1"/>
  <c r="Z48" i="1"/>
  <c r="Y48" i="1"/>
  <c r="Z47" i="1"/>
  <c r="Y47" i="1"/>
  <c r="Y45" i="1"/>
  <c r="AB44" i="1"/>
  <c r="AA44" i="1"/>
  <c r="Z44" i="1"/>
  <c r="Y44" i="1"/>
  <c r="AB43" i="1"/>
  <c r="AA43" i="1"/>
  <c r="Z43" i="1"/>
  <c r="Y43" i="1"/>
  <c r="Y42" i="1"/>
  <c r="AB41" i="1"/>
  <c r="AA41" i="1"/>
  <c r="Z41" i="1"/>
  <c r="Y41" i="1"/>
  <c r="AB39" i="1"/>
  <c r="AA39" i="1"/>
  <c r="Z39" i="1"/>
  <c r="Y39" i="1"/>
  <c r="Z38" i="1"/>
  <c r="Y38" i="1"/>
  <c r="AB37" i="1"/>
  <c r="AA37" i="1"/>
  <c r="Z37" i="1"/>
  <c r="Y37" i="1"/>
  <c r="AB35" i="1"/>
  <c r="AA35" i="1"/>
  <c r="Z35" i="1"/>
  <c r="Y35" i="1"/>
  <c r="Y30" i="1"/>
  <c r="Z29" i="1"/>
  <c r="Y29" i="1"/>
  <c r="Y25" i="1"/>
  <c r="Y22" i="1"/>
  <c r="Z21" i="1"/>
  <c r="Y21" i="1"/>
  <c r="Y18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Y5" i="1"/>
  <c r="Z4" i="1"/>
  <c r="Y4" i="1"/>
  <c r="N46" i="1" l="1"/>
  <c r="O46" i="1" s="1"/>
  <c r="Z46" i="1" s="1"/>
  <c r="L46" i="1"/>
  <c r="Y46" i="1" s="1"/>
  <c r="H46" i="1"/>
  <c r="N45" i="1"/>
  <c r="L45" i="1"/>
  <c r="H45" i="1"/>
  <c r="Q45" i="1" l="1"/>
  <c r="T45" i="1" s="1"/>
  <c r="U45" i="1" s="1"/>
  <c r="AB45" i="1" s="1"/>
  <c r="O45" i="1"/>
  <c r="Q46" i="1"/>
  <c r="J260" i="1"/>
  <c r="R45" i="1" l="1"/>
  <c r="AA45" i="1" s="1"/>
  <c r="F45" i="1"/>
  <c r="I45" i="1" s="1"/>
  <c r="Z45" i="1"/>
  <c r="T46" i="1"/>
  <c r="U46" i="1" s="1"/>
  <c r="AB46" i="1" s="1"/>
  <c r="R46" i="1"/>
  <c r="L40" i="1"/>
  <c r="Y40" i="1" s="1"/>
  <c r="N38" i="1"/>
  <c r="Q38" i="1" s="1"/>
  <c r="L38" i="1"/>
  <c r="H38" i="1"/>
  <c r="Q42" i="1"/>
  <c r="L42" i="1"/>
  <c r="H42" i="1"/>
  <c r="N40" i="1"/>
  <c r="Q40" i="1" s="1"/>
  <c r="H40" i="1"/>
  <c r="N36" i="1"/>
  <c r="Q36" i="1" s="1"/>
  <c r="L36" i="1"/>
  <c r="Y36" i="1" s="1"/>
  <c r="H36" i="1"/>
  <c r="H255" i="1"/>
  <c r="N255" i="1"/>
  <c r="Q255" i="1" s="1"/>
  <c r="L255" i="1"/>
  <c r="N181" i="1"/>
  <c r="O181" i="1" s="1"/>
  <c r="Z181" i="1" s="1"/>
  <c r="L181" i="1"/>
  <c r="H181" i="1"/>
  <c r="H222" i="1"/>
  <c r="L222" i="1"/>
  <c r="N222" i="1"/>
  <c r="H223" i="1"/>
  <c r="L223" i="1"/>
  <c r="N223" i="1"/>
  <c r="H226" i="1"/>
  <c r="L226" i="1"/>
  <c r="Y226" i="1" s="1"/>
  <c r="N226" i="1"/>
  <c r="H227" i="1"/>
  <c r="L227" i="1"/>
  <c r="Y227" i="1" s="1"/>
  <c r="N227" i="1"/>
  <c r="H228" i="1"/>
  <c r="L228" i="1"/>
  <c r="Y228" i="1" s="1"/>
  <c r="N228" i="1"/>
  <c r="L229" i="1"/>
  <c r="Y229" i="1" s="1"/>
  <c r="N229" i="1"/>
  <c r="H230" i="1"/>
  <c r="L230" i="1"/>
  <c r="Y230" i="1" s="1"/>
  <c r="N230" i="1"/>
  <c r="H231" i="1"/>
  <c r="L231" i="1"/>
  <c r="Y231" i="1" s="1"/>
  <c r="N231" i="1"/>
  <c r="L232" i="1"/>
  <c r="Y232" i="1" s="1"/>
  <c r="N232" i="1"/>
  <c r="H233" i="1"/>
  <c r="L233" i="1"/>
  <c r="Y233" i="1" s="1"/>
  <c r="N233" i="1"/>
  <c r="H234" i="1"/>
  <c r="L234" i="1"/>
  <c r="Y234" i="1" s="1"/>
  <c r="N234" i="1"/>
  <c r="H235" i="1"/>
  <c r="L235" i="1"/>
  <c r="Y235" i="1" s="1"/>
  <c r="N235" i="1"/>
  <c r="L236" i="1"/>
  <c r="Y236" i="1" s="1"/>
  <c r="N236" i="1"/>
  <c r="L237" i="1"/>
  <c r="Y237" i="1" s="1"/>
  <c r="N237" i="1"/>
  <c r="L238" i="1"/>
  <c r="Y238" i="1" s="1"/>
  <c r="N238" i="1"/>
  <c r="L239" i="1"/>
  <c r="Y239" i="1" s="1"/>
  <c r="N239" i="1"/>
  <c r="H205" i="1"/>
  <c r="L205" i="1"/>
  <c r="N205" i="1"/>
  <c r="H183" i="1"/>
  <c r="I183" i="1" s="1"/>
  <c r="L183" i="1"/>
  <c r="N183" i="1"/>
  <c r="O183" i="1" s="1"/>
  <c r="H184" i="1"/>
  <c r="I184" i="1" s="1"/>
  <c r="L184" i="1"/>
  <c r="N184" i="1"/>
  <c r="O184" i="1" s="1"/>
  <c r="Z184" i="1" s="1"/>
  <c r="H185" i="1"/>
  <c r="I185" i="1" s="1"/>
  <c r="L185" i="1"/>
  <c r="N185" i="1"/>
  <c r="O185" i="1" s="1"/>
  <c r="Z185" i="1" s="1"/>
  <c r="Z186" i="1"/>
  <c r="H163" i="1"/>
  <c r="L163" i="1"/>
  <c r="N163" i="1"/>
  <c r="Q163" i="1" s="1"/>
  <c r="H164" i="1"/>
  <c r="L164" i="1"/>
  <c r="N164" i="1"/>
  <c r="O164" i="1" s="1"/>
  <c r="Z164" i="1" s="1"/>
  <c r="N157" i="1"/>
  <c r="Q157" i="1" s="1"/>
  <c r="L157" i="1"/>
  <c r="Y157" i="1" s="1"/>
  <c r="N108" i="1"/>
  <c r="O108" i="1" s="1"/>
  <c r="Z108" i="1" s="1"/>
  <c r="G45" i="1" l="1"/>
  <c r="O205" i="1"/>
  <c r="Z205" i="1" s="1"/>
  <c r="O223" i="1"/>
  <c r="Z223" i="1" s="1"/>
  <c r="O239" i="1"/>
  <c r="Z239" i="1" s="1"/>
  <c r="O222" i="1"/>
  <c r="Z222" i="1" s="1"/>
  <c r="F46" i="1"/>
  <c r="I46" i="1" s="1"/>
  <c r="G46" i="1"/>
  <c r="AA46" i="1"/>
  <c r="O235" i="1"/>
  <c r="Z235" i="1" s="1"/>
  <c r="O228" i="1"/>
  <c r="Z228" i="1" s="1"/>
  <c r="O236" i="1"/>
  <c r="Z236" i="1" s="1"/>
  <c r="O231" i="1"/>
  <c r="Z231" i="1" s="1"/>
  <c r="O227" i="1"/>
  <c r="Z227" i="1" s="1"/>
  <c r="Q238" i="1"/>
  <c r="T238" i="1" s="1"/>
  <c r="U238" i="1" s="1"/>
  <c r="AB238" i="1" s="1"/>
  <c r="O234" i="1"/>
  <c r="Z234" i="1" s="1"/>
  <c r="O230" i="1"/>
  <c r="Z230" i="1" s="1"/>
  <c r="Q226" i="1"/>
  <c r="R226" i="1" s="1"/>
  <c r="AA226" i="1" s="1"/>
  <c r="O237" i="1"/>
  <c r="Z237" i="1" s="1"/>
  <c r="O233" i="1"/>
  <c r="Z233" i="1" s="1"/>
  <c r="O229" i="1"/>
  <c r="Z229" i="1" s="1"/>
  <c r="Q232" i="1"/>
  <c r="T232" i="1" s="1"/>
  <c r="T38" i="1"/>
  <c r="U38" i="1" s="1"/>
  <c r="AB38" i="1" s="1"/>
  <c r="R38" i="1"/>
  <c r="AA38" i="1" s="1"/>
  <c r="O38" i="1"/>
  <c r="T42" i="1"/>
  <c r="U42" i="1" s="1"/>
  <c r="AB42" i="1" s="1"/>
  <c r="R42" i="1"/>
  <c r="AA42" i="1" s="1"/>
  <c r="O42" i="1"/>
  <c r="Z42" i="1" s="1"/>
  <c r="T40" i="1"/>
  <c r="U40" i="1" s="1"/>
  <c r="AB40" i="1" s="1"/>
  <c r="R40" i="1"/>
  <c r="AA40" i="1" s="1"/>
  <c r="O40" i="1"/>
  <c r="Z40" i="1" s="1"/>
  <c r="O36" i="1"/>
  <c r="Z36" i="1" s="1"/>
  <c r="T36" i="1"/>
  <c r="U36" i="1" s="1"/>
  <c r="AB36" i="1" s="1"/>
  <c r="R36" i="1"/>
  <c r="AA36" i="1" s="1"/>
  <c r="T255" i="1"/>
  <c r="R255" i="1"/>
  <c r="AA255" i="1" s="1"/>
  <c r="O255" i="1"/>
  <c r="Z255" i="1" s="1"/>
  <c r="Q228" i="1"/>
  <c r="T228" i="1" s="1"/>
  <c r="U228" i="1" s="1"/>
  <c r="AB228" i="1" s="1"/>
  <c r="Q231" i="1"/>
  <c r="R231" i="1" s="1"/>
  <c r="AA231" i="1" s="1"/>
  <c r="Q237" i="1"/>
  <c r="R237" i="1" s="1"/>
  <c r="AA237" i="1" s="1"/>
  <c r="Q108" i="1"/>
  <c r="T108" i="1" s="1"/>
  <c r="U108" i="1" s="1"/>
  <c r="AB108" i="1" s="1"/>
  <c r="O163" i="1"/>
  <c r="Z163" i="1" s="1"/>
  <c r="AB165" i="1"/>
  <c r="AA165" i="1"/>
  <c r="AB171" i="1"/>
  <c r="O226" i="1"/>
  <c r="Z226" i="1" s="1"/>
  <c r="O232" i="1"/>
  <c r="Z232" i="1" s="1"/>
  <c r="Q164" i="1"/>
  <c r="AA186" i="1"/>
  <c r="Q235" i="1"/>
  <c r="Q222" i="1"/>
  <c r="R222" i="1" s="1"/>
  <c r="AA222" i="1" s="1"/>
  <c r="Q239" i="1"/>
  <c r="T239" i="1" s="1"/>
  <c r="U239" i="1" s="1"/>
  <c r="AB239" i="1" s="1"/>
  <c r="Q227" i="1"/>
  <c r="T227" i="1" s="1"/>
  <c r="U227" i="1" s="1"/>
  <c r="AB227" i="1" s="1"/>
  <c r="Q223" i="1"/>
  <c r="Q181" i="1"/>
  <c r="R163" i="1"/>
  <c r="AA163" i="1" s="1"/>
  <c r="T163" i="1"/>
  <c r="U163" i="1" s="1"/>
  <c r="AB163" i="1" s="1"/>
  <c r="Q233" i="1"/>
  <c r="Q234" i="1"/>
  <c r="Q183" i="1"/>
  <c r="Q205" i="1"/>
  <c r="O238" i="1"/>
  <c r="Z238" i="1" s="1"/>
  <c r="Q229" i="1"/>
  <c r="Q236" i="1"/>
  <c r="Q230" i="1"/>
  <c r="Q184" i="1"/>
  <c r="Q185" i="1"/>
  <c r="T157" i="1"/>
  <c r="U157" i="1" s="1"/>
  <c r="AB157" i="1" s="1"/>
  <c r="R157" i="1"/>
  <c r="AA157" i="1" s="1"/>
  <c r="O157" i="1"/>
  <c r="Z157" i="1" s="1"/>
  <c r="H108" i="1"/>
  <c r="L108" i="1"/>
  <c r="Y108" i="1" s="1"/>
  <c r="H109" i="1"/>
  <c r="L109" i="1"/>
  <c r="N182" i="1"/>
  <c r="Q182" i="1" s="1"/>
  <c r="L182" i="1"/>
  <c r="H182" i="1"/>
  <c r="F36" i="1" l="1"/>
  <c r="I36" i="1" s="1"/>
  <c r="F38" i="1"/>
  <c r="I38" i="1" s="1"/>
  <c r="R232" i="1"/>
  <c r="AA232" i="1" s="1"/>
  <c r="G38" i="1"/>
  <c r="F227" i="1"/>
  <c r="I227" i="1" s="1"/>
  <c r="R238" i="1"/>
  <c r="AA238" i="1" s="1"/>
  <c r="G40" i="1"/>
  <c r="F40" i="1"/>
  <c r="I40" i="1" s="1"/>
  <c r="T226" i="1"/>
  <c r="F228" i="1"/>
  <c r="I228" i="1" s="1"/>
  <c r="U232" i="1"/>
  <c r="AB232" i="1" s="1"/>
  <c r="G36" i="1"/>
  <c r="G42" i="1"/>
  <c r="F42" i="1"/>
  <c r="I42" i="1" s="1"/>
  <c r="T231" i="1"/>
  <c r="T237" i="1"/>
  <c r="U237" i="1" s="1"/>
  <c r="R228" i="1"/>
  <c r="U255" i="1"/>
  <c r="F255" i="1"/>
  <c r="I255" i="1" s="1"/>
  <c r="F108" i="1"/>
  <c r="I108" i="1" s="1"/>
  <c r="G163" i="1"/>
  <c r="R108" i="1"/>
  <c r="F163" i="1"/>
  <c r="I163" i="1" s="1"/>
  <c r="T222" i="1"/>
  <c r="R239" i="1"/>
  <c r="T164" i="1"/>
  <c r="U164" i="1" s="1"/>
  <c r="AB164" i="1" s="1"/>
  <c r="R164" i="1"/>
  <c r="AA164" i="1" s="1"/>
  <c r="R227" i="1"/>
  <c r="R223" i="1"/>
  <c r="AA223" i="1" s="1"/>
  <c r="T223" i="1"/>
  <c r="U223" i="1" s="1"/>
  <c r="AB223" i="1" s="1"/>
  <c r="T235" i="1"/>
  <c r="U235" i="1" s="1"/>
  <c r="AB235" i="1" s="1"/>
  <c r="R235" i="1"/>
  <c r="AA235" i="1" s="1"/>
  <c r="T181" i="1"/>
  <c r="U181" i="1" s="1"/>
  <c r="AB181" i="1" s="1"/>
  <c r="R181" i="1"/>
  <c r="AA181" i="1" s="1"/>
  <c r="R205" i="1"/>
  <c r="AA205" i="1" s="1"/>
  <c r="T205" i="1"/>
  <c r="U205" i="1" s="1"/>
  <c r="AB205" i="1" s="1"/>
  <c r="R229" i="1"/>
  <c r="AA229" i="1" s="1"/>
  <c r="T229" i="1"/>
  <c r="T233" i="1"/>
  <c r="R233" i="1"/>
  <c r="AA233" i="1" s="1"/>
  <c r="R234" i="1"/>
  <c r="AA234" i="1" s="1"/>
  <c r="T234" i="1"/>
  <c r="R183" i="1"/>
  <c r="AA183" i="1" s="1"/>
  <c r="T183" i="1"/>
  <c r="U183" i="1" s="1"/>
  <c r="AB183" i="1" s="1"/>
  <c r="T230" i="1"/>
  <c r="R230" i="1"/>
  <c r="AA230" i="1" s="1"/>
  <c r="T236" i="1"/>
  <c r="R236" i="1"/>
  <c r="AA236" i="1" s="1"/>
  <c r="R185" i="1"/>
  <c r="AA185" i="1" s="1"/>
  <c r="T185" i="1"/>
  <c r="U185" i="1" s="1"/>
  <c r="AB185" i="1" s="1"/>
  <c r="R184" i="1"/>
  <c r="AA184" i="1" s="1"/>
  <c r="T184" i="1"/>
  <c r="U184" i="1" s="1"/>
  <c r="AB184" i="1" s="1"/>
  <c r="R182" i="1"/>
  <c r="AA182" i="1" s="1"/>
  <c r="T182" i="1"/>
  <c r="U182" i="1" s="1"/>
  <c r="AB182" i="1" s="1"/>
  <c r="O182" i="1"/>
  <c r="Z182" i="1" s="1"/>
  <c r="F205" i="1" l="1"/>
  <c r="I205" i="1" s="1"/>
  <c r="U222" i="1"/>
  <c r="G222" i="1" s="1"/>
  <c r="F222" i="1"/>
  <c r="I222" i="1" s="1"/>
  <c r="F223" i="1"/>
  <c r="I223" i="1" s="1"/>
  <c r="AA239" i="1"/>
  <c r="G255" i="1"/>
  <c r="AB255" i="1"/>
  <c r="G227" i="1"/>
  <c r="AA227" i="1"/>
  <c r="AB172" i="1"/>
  <c r="AB186" i="1"/>
  <c r="G228" i="1"/>
  <c r="AA228" i="1"/>
  <c r="AB237" i="1"/>
  <c r="G108" i="1"/>
  <c r="AA108" i="1"/>
  <c r="U226" i="1"/>
  <c r="F226" i="1"/>
  <c r="I226" i="1" s="1"/>
  <c r="U231" i="1"/>
  <c r="F231" i="1"/>
  <c r="I231" i="1" s="1"/>
  <c r="U234" i="1"/>
  <c r="AB234" i="1" s="1"/>
  <c r="F234" i="1"/>
  <c r="I234" i="1" s="1"/>
  <c r="U233" i="1"/>
  <c r="AB233" i="1" s="1"/>
  <c r="F233" i="1"/>
  <c r="I233" i="1" s="1"/>
  <c r="F235" i="1"/>
  <c r="I235" i="1" s="1"/>
  <c r="U229" i="1"/>
  <c r="U236" i="1"/>
  <c r="AB236" i="1" s="1"/>
  <c r="U230" i="1"/>
  <c r="AB230" i="1" s="1"/>
  <c r="F230" i="1"/>
  <c r="I230" i="1" s="1"/>
  <c r="G235" i="1"/>
  <c r="G164" i="1"/>
  <c r="G205" i="1"/>
  <c r="G183" i="1"/>
  <c r="G223" i="1"/>
  <c r="G184" i="1"/>
  <c r="F182" i="1"/>
  <c r="I182" i="1" s="1"/>
  <c r="G181" i="1"/>
  <c r="F164" i="1"/>
  <c r="I164" i="1" s="1"/>
  <c r="F181" i="1"/>
  <c r="I181" i="1" s="1"/>
  <c r="G182" i="1"/>
  <c r="G185" i="1"/>
  <c r="G233" i="1" l="1"/>
  <c r="AB222" i="1"/>
  <c r="G230" i="1"/>
  <c r="G231" i="1"/>
  <c r="AB231" i="1"/>
  <c r="G226" i="1"/>
  <c r="AB226" i="1"/>
  <c r="AB229" i="1"/>
  <c r="G234" i="1"/>
  <c r="L139" i="1"/>
  <c r="N139" i="1"/>
  <c r="Q139" i="1" s="1"/>
  <c r="H139" i="1"/>
  <c r="O139" i="1" l="1"/>
  <c r="T139" i="1"/>
  <c r="U139" i="1" s="1"/>
  <c r="AB139" i="1" s="1"/>
  <c r="R139" i="1"/>
  <c r="AA139" i="1" s="1"/>
  <c r="H11" i="1"/>
  <c r="L11" i="1"/>
  <c r="N11" i="1"/>
  <c r="Q11" i="1" l="1"/>
  <c r="O11" i="1"/>
  <c r="F9" i="3"/>
  <c r="G139" i="1" l="1"/>
  <c r="F139" i="1"/>
  <c r="I139" i="1" s="1"/>
  <c r="R11" i="1"/>
  <c r="T11" i="1"/>
  <c r="L59" i="1"/>
  <c r="L60" i="1"/>
  <c r="L63" i="1"/>
  <c r="L64" i="1"/>
  <c r="L65" i="1"/>
  <c r="L66" i="1"/>
  <c r="L67" i="1"/>
  <c r="L68" i="1"/>
  <c r="L57" i="1"/>
  <c r="N63" i="1"/>
  <c r="O63" i="1" s="1"/>
  <c r="N64" i="1"/>
  <c r="N65" i="1"/>
  <c r="O65" i="1" s="1"/>
  <c r="N66" i="1"/>
  <c r="O66" i="1" s="1"/>
  <c r="N67" i="1"/>
  <c r="O67" i="1" s="1"/>
  <c r="N68" i="1"/>
  <c r="O68" i="1" s="1"/>
  <c r="H63" i="1"/>
  <c r="H64" i="1"/>
  <c r="H65" i="1"/>
  <c r="H66" i="1"/>
  <c r="H67" i="1"/>
  <c r="H68" i="1"/>
  <c r="Q65" i="1" l="1"/>
  <c r="Q66" i="1"/>
  <c r="R66" i="1" s="1"/>
  <c r="Q68" i="1"/>
  <c r="U11" i="1"/>
  <c r="G11" i="1" s="1"/>
  <c r="F11" i="1"/>
  <c r="I11" i="1" s="1"/>
  <c r="Q63" i="1"/>
  <c r="T63" i="1" s="1"/>
  <c r="U63" i="1" s="1"/>
  <c r="AB63" i="1" s="1"/>
  <c r="T68" i="1"/>
  <c r="U68" i="1" s="1"/>
  <c r="AB68" i="1" s="1"/>
  <c r="R68" i="1"/>
  <c r="Q67" i="1"/>
  <c r="R67" i="1" s="1"/>
  <c r="Q64" i="1"/>
  <c r="O64" i="1"/>
  <c r="A12" i="7"/>
  <c r="G68" i="1" l="1"/>
  <c r="AA68" i="1"/>
  <c r="T66" i="1"/>
  <c r="R65" i="1"/>
  <c r="T65" i="1"/>
  <c r="T67" i="1"/>
  <c r="U67" i="1" s="1"/>
  <c r="R63" i="1"/>
  <c r="G63" i="1" s="1"/>
  <c r="F68" i="1"/>
  <c r="I68" i="1" s="1"/>
  <c r="R64" i="1"/>
  <c r="T64" i="1"/>
  <c r="F63" i="1"/>
  <c r="I63" i="1" s="1"/>
  <c r="N254" i="1"/>
  <c r="Q254" i="1" s="1"/>
  <c r="T254" i="1" s="1"/>
  <c r="N253" i="1"/>
  <c r="O253" i="1" s="1"/>
  <c r="Z253" i="1" s="1"/>
  <c r="N252" i="1"/>
  <c r="O252" i="1" s="1"/>
  <c r="Z252" i="1" s="1"/>
  <c r="N251" i="1"/>
  <c r="O251" i="1" s="1"/>
  <c r="Z251" i="1" s="1"/>
  <c r="N250" i="1"/>
  <c r="O250" i="1" s="1"/>
  <c r="Z250" i="1" s="1"/>
  <c r="N249" i="1"/>
  <c r="O249" i="1" s="1"/>
  <c r="Z249" i="1" s="1"/>
  <c r="N248" i="1"/>
  <c r="O248" i="1" s="1"/>
  <c r="N247" i="1"/>
  <c r="O247" i="1" s="1"/>
  <c r="Z247" i="1" s="1"/>
  <c r="N246" i="1"/>
  <c r="Q246" i="1" s="1"/>
  <c r="N245" i="1"/>
  <c r="Q245" i="1" s="1"/>
  <c r="T245" i="1" s="1"/>
  <c r="N244" i="1"/>
  <c r="O244" i="1" s="1"/>
  <c r="Z244" i="1" s="1"/>
  <c r="N243" i="1"/>
  <c r="O243" i="1" s="1"/>
  <c r="Z243" i="1" s="1"/>
  <c r="N242" i="1"/>
  <c r="O242" i="1" s="1"/>
  <c r="N241" i="1"/>
  <c r="O241" i="1" s="1"/>
  <c r="N240" i="1"/>
  <c r="O240" i="1" s="1"/>
  <c r="Z240" i="1" s="1"/>
  <c r="N221" i="1"/>
  <c r="O221" i="1" s="1"/>
  <c r="Z221" i="1" s="1"/>
  <c r="N220" i="1"/>
  <c r="O220" i="1" s="1"/>
  <c r="Z220" i="1" s="1"/>
  <c r="N219" i="1"/>
  <c r="O219" i="1" s="1"/>
  <c r="Z219" i="1" s="1"/>
  <c r="N218" i="1"/>
  <c r="O218" i="1" s="1"/>
  <c r="Z218" i="1" s="1"/>
  <c r="N217" i="1"/>
  <c r="O217" i="1" s="1"/>
  <c r="Z217" i="1" s="1"/>
  <c r="N216" i="1"/>
  <c r="Q216" i="1" s="1"/>
  <c r="T216" i="1" s="1"/>
  <c r="N215" i="1"/>
  <c r="Q215" i="1" s="1"/>
  <c r="T215" i="1" s="1"/>
  <c r="N214" i="1"/>
  <c r="O214" i="1" s="1"/>
  <c r="Z214" i="1" s="1"/>
  <c r="N213" i="1"/>
  <c r="O213" i="1" s="1"/>
  <c r="Z213" i="1" s="1"/>
  <c r="N212" i="1"/>
  <c r="Q212" i="1" s="1"/>
  <c r="T212" i="1" s="1"/>
  <c r="N211" i="1"/>
  <c r="O211" i="1" s="1"/>
  <c r="Z211" i="1" s="1"/>
  <c r="N210" i="1"/>
  <c r="O210" i="1" s="1"/>
  <c r="Z210" i="1" s="1"/>
  <c r="N209" i="1"/>
  <c r="O209" i="1" s="1"/>
  <c r="N208" i="1"/>
  <c r="O208" i="1" s="1"/>
  <c r="N207" i="1"/>
  <c r="O207" i="1" s="1"/>
  <c r="Z207" i="1" s="1"/>
  <c r="N206" i="1"/>
  <c r="O206" i="1" s="1"/>
  <c r="Z206" i="1" s="1"/>
  <c r="N204" i="1"/>
  <c r="O204" i="1" s="1"/>
  <c r="Z204" i="1" s="1"/>
  <c r="N203" i="1"/>
  <c r="Q203" i="1" s="1"/>
  <c r="T203" i="1" s="1"/>
  <c r="N202" i="1"/>
  <c r="Q202" i="1" s="1"/>
  <c r="T202" i="1" s="1"/>
  <c r="N201" i="1"/>
  <c r="Q201" i="1" s="1"/>
  <c r="T201" i="1" s="1"/>
  <c r="N200" i="1"/>
  <c r="Q200" i="1" s="1"/>
  <c r="N199" i="1"/>
  <c r="O199" i="1" s="1"/>
  <c r="Z199" i="1" s="1"/>
  <c r="N197" i="1"/>
  <c r="Q197" i="1" s="1"/>
  <c r="N196" i="1"/>
  <c r="O196" i="1" s="1"/>
  <c r="Z196" i="1" s="1"/>
  <c r="N195" i="1"/>
  <c r="O195" i="1" s="1"/>
  <c r="Z195" i="1" s="1"/>
  <c r="N194" i="1"/>
  <c r="O194" i="1" s="1"/>
  <c r="Z194" i="1" s="1"/>
  <c r="N193" i="1"/>
  <c r="O193" i="1" s="1"/>
  <c r="Z193" i="1" s="1"/>
  <c r="N192" i="1"/>
  <c r="O192" i="1" s="1"/>
  <c r="Z192" i="1" s="1"/>
  <c r="N191" i="1"/>
  <c r="O191" i="1" s="1"/>
  <c r="Z191" i="1" s="1"/>
  <c r="N190" i="1"/>
  <c r="O190" i="1" s="1"/>
  <c r="Z190" i="1" s="1"/>
  <c r="N189" i="1"/>
  <c r="Q189" i="1" s="1"/>
  <c r="T189" i="1" s="1"/>
  <c r="N188" i="1"/>
  <c r="O188" i="1" s="1"/>
  <c r="Z188" i="1" s="1"/>
  <c r="Z187" i="1"/>
  <c r="N180" i="1"/>
  <c r="O180" i="1" s="1"/>
  <c r="Z180" i="1" s="1"/>
  <c r="N179" i="1"/>
  <c r="O179" i="1" s="1"/>
  <c r="Z179" i="1" s="1"/>
  <c r="N178" i="1"/>
  <c r="O178" i="1" s="1"/>
  <c r="N177" i="1"/>
  <c r="O177" i="1" s="1"/>
  <c r="Z177" i="1" s="1"/>
  <c r="N176" i="1"/>
  <c r="O176" i="1" s="1"/>
  <c r="N175" i="1"/>
  <c r="O175" i="1" s="1"/>
  <c r="Z175" i="1" s="1"/>
  <c r="N174" i="1"/>
  <c r="O174" i="1" s="1"/>
  <c r="Z174" i="1" s="1"/>
  <c r="N173" i="1"/>
  <c r="Q173" i="1" s="1"/>
  <c r="T173" i="1" s="1"/>
  <c r="N170" i="1"/>
  <c r="O170" i="1" s="1"/>
  <c r="Z170" i="1" s="1"/>
  <c r="N169" i="1"/>
  <c r="O169" i="1" s="1"/>
  <c r="Z169" i="1" s="1"/>
  <c r="N168" i="1"/>
  <c r="O168" i="1" s="1"/>
  <c r="Z168" i="1" s="1"/>
  <c r="N167" i="1"/>
  <c r="Q167" i="1" s="1"/>
  <c r="T167" i="1" s="1"/>
  <c r="N166" i="1"/>
  <c r="Q166" i="1" s="1"/>
  <c r="T166" i="1" s="1"/>
  <c r="N162" i="1"/>
  <c r="O162" i="1" s="1"/>
  <c r="Z162" i="1" s="1"/>
  <c r="N161" i="1"/>
  <c r="O161" i="1" s="1"/>
  <c r="Z161" i="1" s="1"/>
  <c r="N160" i="1"/>
  <c r="O160" i="1" s="1"/>
  <c r="Z160" i="1" s="1"/>
  <c r="N159" i="1"/>
  <c r="O159" i="1" s="1"/>
  <c r="Z159" i="1" s="1"/>
  <c r="N158" i="1"/>
  <c r="O158" i="1" s="1"/>
  <c r="Z158" i="1" s="1"/>
  <c r="N156" i="1"/>
  <c r="O156" i="1" s="1"/>
  <c r="Z156" i="1" s="1"/>
  <c r="N155" i="1"/>
  <c r="O155" i="1" s="1"/>
  <c r="Z155" i="1" s="1"/>
  <c r="N154" i="1"/>
  <c r="O154" i="1" s="1"/>
  <c r="Z154" i="1" s="1"/>
  <c r="N153" i="1"/>
  <c r="Q153" i="1" s="1"/>
  <c r="T153" i="1" s="1"/>
  <c r="N152" i="1"/>
  <c r="Q152" i="1" s="1"/>
  <c r="T152" i="1" s="1"/>
  <c r="N151" i="1"/>
  <c r="Q151" i="1" s="1"/>
  <c r="T151" i="1" s="1"/>
  <c r="N150" i="1"/>
  <c r="Q150" i="1" s="1"/>
  <c r="N149" i="1"/>
  <c r="O149" i="1" s="1"/>
  <c r="Z149" i="1" s="1"/>
  <c r="N148" i="1"/>
  <c r="O148" i="1" s="1"/>
  <c r="Z148" i="1" s="1"/>
  <c r="N147" i="1"/>
  <c r="O147" i="1" s="1"/>
  <c r="Z147" i="1" s="1"/>
  <c r="N146" i="1"/>
  <c r="O146" i="1" s="1"/>
  <c r="Z146" i="1" s="1"/>
  <c r="N145" i="1"/>
  <c r="O145" i="1" s="1"/>
  <c r="Z145" i="1" s="1"/>
  <c r="N144" i="1"/>
  <c r="O144" i="1" s="1"/>
  <c r="Z144" i="1" s="1"/>
  <c r="N143" i="1"/>
  <c r="O143" i="1" s="1"/>
  <c r="Z143" i="1" s="1"/>
  <c r="N142" i="1"/>
  <c r="Q142" i="1" s="1"/>
  <c r="T142" i="1" s="1"/>
  <c r="N141" i="1"/>
  <c r="Q141" i="1" s="1"/>
  <c r="T141" i="1" s="1"/>
  <c r="N138" i="1"/>
  <c r="O138" i="1" s="1"/>
  <c r="N137" i="1"/>
  <c r="Q137" i="1" s="1"/>
  <c r="T137" i="1" s="1"/>
  <c r="N136" i="1"/>
  <c r="Q136" i="1" s="1"/>
  <c r="T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Q129" i="1" s="1"/>
  <c r="N128" i="1"/>
  <c r="O128" i="1" s="1"/>
  <c r="N127" i="1"/>
  <c r="Q127" i="1" s="1"/>
  <c r="N126" i="1"/>
  <c r="O126" i="1" s="1"/>
  <c r="N125" i="1"/>
  <c r="Q125" i="1" s="1"/>
  <c r="T125" i="1" s="1"/>
  <c r="N124" i="1"/>
  <c r="Q124" i="1" s="1"/>
  <c r="T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Q117" i="1" s="1"/>
  <c r="N116" i="1"/>
  <c r="O116" i="1" s="1"/>
  <c r="N115" i="1"/>
  <c r="O115" i="1" s="1"/>
  <c r="N114" i="1"/>
  <c r="Q114" i="1" s="1"/>
  <c r="N113" i="1"/>
  <c r="Q113" i="1" s="1"/>
  <c r="N112" i="1"/>
  <c r="O112" i="1" s="1"/>
  <c r="N111" i="1"/>
  <c r="O111" i="1" s="1"/>
  <c r="N110" i="1"/>
  <c r="O110" i="1" s="1"/>
  <c r="N109" i="1"/>
  <c r="N107" i="1"/>
  <c r="O107" i="1" s="1"/>
  <c r="Z107" i="1" s="1"/>
  <c r="N106" i="1"/>
  <c r="O106" i="1" s="1"/>
  <c r="Z106" i="1" s="1"/>
  <c r="N105" i="1"/>
  <c r="O105" i="1" s="1"/>
  <c r="N104" i="1"/>
  <c r="Q104" i="1" s="1"/>
  <c r="N103" i="1"/>
  <c r="O103" i="1" s="1"/>
  <c r="N102" i="1"/>
  <c r="Q102" i="1" s="1"/>
  <c r="T102" i="1" s="1"/>
  <c r="N101" i="1"/>
  <c r="Q101" i="1" s="1"/>
  <c r="T101" i="1" s="1"/>
  <c r="N100" i="1"/>
  <c r="Q100" i="1" s="1"/>
  <c r="T100" i="1" s="1"/>
  <c r="N99" i="1"/>
  <c r="Q99" i="1" s="1"/>
  <c r="T99" i="1" s="1"/>
  <c r="N98" i="1"/>
  <c r="O98" i="1" s="1"/>
  <c r="Z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Q90" i="1" s="1"/>
  <c r="T90" i="1" s="1"/>
  <c r="N89" i="1"/>
  <c r="Q89" i="1" s="1"/>
  <c r="T89" i="1" s="1"/>
  <c r="N88" i="1"/>
  <c r="Q88" i="1" s="1"/>
  <c r="T88" i="1" s="1"/>
  <c r="N87" i="1"/>
  <c r="O87" i="1" s="1"/>
  <c r="N86" i="1"/>
  <c r="O86" i="1" s="1"/>
  <c r="N60" i="1"/>
  <c r="Q60" i="1" s="1"/>
  <c r="N59" i="1"/>
  <c r="Q59" i="1" s="1"/>
  <c r="T59" i="1" s="1"/>
  <c r="N57" i="1"/>
  <c r="Q57" i="1" s="1"/>
  <c r="T57" i="1" s="1"/>
  <c r="N54" i="1"/>
  <c r="O54" i="1" s="1"/>
  <c r="N53" i="1"/>
  <c r="Q53" i="1" s="1"/>
  <c r="T53" i="1" s="1"/>
  <c r="N50" i="1"/>
  <c r="Q50" i="1" s="1"/>
  <c r="T50" i="1" s="1"/>
  <c r="N49" i="1"/>
  <c r="O49" i="1" s="1"/>
  <c r="Z49" i="1" s="1"/>
  <c r="N48" i="1"/>
  <c r="O48" i="1" s="1"/>
  <c r="N47" i="1"/>
  <c r="O47" i="1" s="1"/>
  <c r="N44" i="1"/>
  <c r="O44" i="1" s="1"/>
  <c r="N43" i="1"/>
  <c r="O43" i="1" s="1"/>
  <c r="N41" i="1"/>
  <c r="O41" i="1" s="1"/>
  <c r="N39" i="1"/>
  <c r="O39" i="1" s="1"/>
  <c r="N37" i="1"/>
  <c r="Q37" i="1" s="1"/>
  <c r="N35" i="1"/>
  <c r="O35" i="1" s="1"/>
  <c r="N30" i="1"/>
  <c r="O30" i="1" s="1"/>
  <c r="Z30" i="1" s="1"/>
  <c r="N29" i="1"/>
  <c r="Q29" i="1" s="1"/>
  <c r="N25" i="1"/>
  <c r="O25" i="1" s="1"/>
  <c r="Z25" i="1" s="1"/>
  <c r="N22" i="1"/>
  <c r="Q22" i="1" s="1"/>
  <c r="T22" i="1" s="1"/>
  <c r="N21" i="1"/>
  <c r="O21" i="1" s="1"/>
  <c r="N18" i="1"/>
  <c r="O18" i="1" s="1"/>
  <c r="Z18" i="1" s="1"/>
  <c r="N6" i="1"/>
  <c r="O6" i="1" s="1"/>
  <c r="N5" i="1"/>
  <c r="O5" i="1" s="1"/>
  <c r="Z5" i="1" s="1"/>
  <c r="N4" i="1"/>
  <c r="O4" i="1" s="1"/>
  <c r="L254" i="1"/>
  <c r="L253" i="1"/>
  <c r="L252" i="1"/>
  <c r="L251" i="1"/>
  <c r="L250" i="1"/>
  <c r="L249" i="1"/>
  <c r="L248" i="1"/>
  <c r="L247" i="1"/>
  <c r="L246" i="1"/>
  <c r="Y246" i="1" s="1"/>
  <c r="L245" i="1"/>
  <c r="Y245" i="1" s="1"/>
  <c r="L244" i="1"/>
  <c r="L243" i="1"/>
  <c r="L242" i="1"/>
  <c r="L241" i="1"/>
  <c r="L240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Y207" i="1" s="1"/>
  <c r="L206" i="1"/>
  <c r="L204" i="1"/>
  <c r="L203" i="1"/>
  <c r="L202" i="1"/>
  <c r="L201" i="1"/>
  <c r="L200" i="1"/>
  <c r="L199" i="1"/>
  <c r="L197" i="1"/>
  <c r="L196" i="1"/>
  <c r="L195" i="1"/>
  <c r="L194" i="1"/>
  <c r="L193" i="1"/>
  <c r="L192" i="1"/>
  <c r="L191" i="1"/>
  <c r="L190" i="1"/>
  <c r="L189" i="1"/>
  <c r="L188" i="1"/>
  <c r="L180" i="1"/>
  <c r="L179" i="1"/>
  <c r="L178" i="1"/>
  <c r="L177" i="1"/>
  <c r="L176" i="1"/>
  <c r="L175" i="1"/>
  <c r="L174" i="1"/>
  <c r="L173" i="1"/>
  <c r="L170" i="1"/>
  <c r="L169" i="1"/>
  <c r="L168" i="1"/>
  <c r="L167" i="1"/>
  <c r="L166" i="1"/>
  <c r="L162" i="1"/>
  <c r="L161" i="1"/>
  <c r="L160" i="1"/>
  <c r="L159" i="1"/>
  <c r="L158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7" i="1"/>
  <c r="Y107" i="1" s="1"/>
  <c r="L106" i="1"/>
  <c r="Y106" i="1" s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54" i="1"/>
  <c r="L53" i="1"/>
  <c r="L50" i="1"/>
  <c r="L49" i="1"/>
  <c r="L48" i="1"/>
  <c r="L47" i="1"/>
  <c r="L44" i="1"/>
  <c r="L43" i="1"/>
  <c r="L41" i="1"/>
  <c r="L39" i="1"/>
  <c r="L37" i="1"/>
  <c r="L35" i="1"/>
  <c r="L30" i="1"/>
  <c r="L29" i="1"/>
  <c r="L25" i="1"/>
  <c r="L22" i="1"/>
  <c r="L21" i="1"/>
  <c r="L18" i="1"/>
  <c r="L6" i="1"/>
  <c r="L5" i="1"/>
  <c r="L4" i="1"/>
  <c r="G67" i="1" l="1"/>
  <c r="AB67" i="1"/>
  <c r="U66" i="1"/>
  <c r="F66" i="1"/>
  <c r="I66" i="1" s="1"/>
  <c r="U65" i="1"/>
  <c r="F65" i="1"/>
  <c r="I65" i="1" s="1"/>
  <c r="O109" i="1"/>
  <c r="F67" i="1"/>
  <c r="I67" i="1" s="1"/>
  <c r="O88" i="1"/>
  <c r="O200" i="1"/>
  <c r="Z200" i="1" s="1"/>
  <c r="O151" i="1"/>
  <c r="Z151" i="1" s="1"/>
  <c r="O254" i="1"/>
  <c r="Z254" i="1" s="1"/>
  <c r="U64" i="1"/>
  <c r="F64" i="1"/>
  <c r="I64" i="1" s="1"/>
  <c r="O197" i="1"/>
  <c r="Z197" i="1" s="1"/>
  <c r="O127" i="1"/>
  <c r="O129" i="1"/>
  <c r="O141" i="1"/>
  <c r="Z141" i="1" s="1"/>
  <c r="O246" i="1"/>
  <c r="Z246" i="1" s="1"/>
  <c r="Q130" i="1"/>
  <c r="R130" i="1" s="1"/>
  <c r="AA130" i="1" s="1"/>
  <c r="O57" i="1"/>
  <c r="Z57" i="1" s="1"/>
  <c r="Q112" i="1"/>
  <c r="R112" i="1" s="1"/>
  <c r="AA112" i="1" s="1"/>
  <c r="Q138" i="1"/>
  <c r="R138" i="1" s="1"/>
  <c r="AA138" i="1" s="1"/>
  <c r="O99" i="1"/>
  <c r="O100" i="1"/>
  <c r="Q158" i="1"/>
  <c r="R158" i="1" s="1"/>
  <c r="AA158" i="1" s="1"/>
  <c r="O102" i="1"/>
  <c r="Z102" i="1" s="1"/>
  <c r="Q169" i="1"/>
  <c r="R169" i="1" s="1"/>
  <c r="AA169" i="1" s="1"/>
  <c r="O60" i="1"/>
  <c r="O125" i="1"/>
  <c r="Q175" i="1"/>
  <c r="R175" i="1" s="1"/>
  <c r="AA175" i="1" s="1"/>
  <c r="O150" i="1"/>
  <c r="Z150" i="1" s="1"/>
  <c r="Q43" i="1"/>
  <c r="R43" i="1" s="1"/>
  <c r="O113" i="1"/>
  <c r="Q44" i="1"/>
  <c r="R44" i="1" s="1"/>
  <c r="Q176" i="1"/>
  <c r="R176" i="1" s="1"/>
  <c r="AA176" i="1" s="1"/>
  <c r="O124" i="1"/>
  <c r="Q48" i="1"/>
  <c r="R48" i="1" s="1"/>
  <c r="AA48" i="1" s="1"/>
  <c r="Q106" i="1"/>
  <c r="R106" i="1" s="1"/>
  <c r="AA106" i="1" s="1"/>
  <c r="Q199" i="1"/>
  <c r="R199" i="1" s="1"/>
  <c r="AA199" i="1" s="1"/>
  <c r="O37" i="1"/>
  <c r="Q109" i="1"/>
  <c r="R109" i="1" s="1"/>
  <c r="AA109" i="1" s="1"/>
  <c r="O50" i="1"/>
  <c r="Z50" i="1" s="1"/>
  <c r="Q110" i="1"/>
  <c r="T110" i="1" s="1"/>
  <c r="U110" i="1" s="1"/>
  <c r="AB110" i="1" s="1"/>
  <c r="Q217" i="1"/>
  <c r="T217" i="1" s="1"/>
  <c r="U217" i="1" s="1"/>
  <c r="AB217" i="1" s="1"/>
  <c r="Q111" i="1"/>
  <c r="T111" i="1" s="1"/>
  <c r="U111" i="1" s="1"/>
  <c r="AB111" i="1" s="1"/>
  <c r="Q219" i="1"/>
  <c r="R219" i="1" s="1"/>
  <c r="AA219" i="1" s="1"/>
  <c r="R113" i="1"/>
  <c r="AA113" i="1" s="1"/>
  <c r="T113" i="1"/>
  <c r="U113" i="1" s="1"/>
  <c r="AB113" i="1" s="1"/>
  <c r="T127" i="1"/>
  <c r="U127" i="1" s="1"/>
  <c r="AB127" i="1" s="1"/>
  <c r="R127" i="1"/>
  <c r="AA127" i="1" s="1"/>
  <c r="R29" i="1"/>
  <c r="AA29" i="1" s="1"/>
  <c r="T29" i="1"/>
  <c r="U29" i="1" s="1"/>
  <c r="AB29" i="1" s="1"/>
  <c r="T117" i="1"/>
  <c r="U117" i="1" s="1"/>
  <c r="AB117" i="1" s="1"/>
  <c r="T37" i="1"/>
  <c r="U37" i="1" s="1"/>
  <c r="T150" i="1"/>
  <c r="U150" i="1" s="1"/>
  <c r="AB150" i="1" s="1"/>
  <c r="R150" i="1"/>
  <c r="AA150" i="1" s="1"/>
  <c r="T104" i="1"/>
  <c r="U104" i="1" s="1"/>
  <c r="R104" i="1"/>
  <c r="T129" i="1"/>
  <c r="U129" i="1" s="1"/>
  <c r="AB129" i="1" s="1"/>
  <c r="R129" i="1"/>
  <c r="AA129" i="1" s="1"/>
  <c r="T60" i="1"/>
  <c r="U60" i="1" s="1"/>
  <c r="AB60" i="1" s="1"/>
  <c r="R114" i="1"/>
  <c r="AA114" i="1" s="1"/>
  <c r="T114" i="1"/>
  <c r="U114" i="1" s="1"/>
  <c r="AB114" i="1" s="1"/>
  <c r="T246" i="1"/>
  <c r="U246" i="1" s="1"/>
  <c r="AB246" i="1" s="1"/>
  <c r="O29" i="1"/>
  <c r="Q128" i="1"/>
  <c r="R197" i="1"/>
  <c r="AA197" i="1" s="1"/>
  <c r="T197" i="1"/>
  <c r="U197" i="1" s="1"/>
  <c r="AB197" i="1" s="1"/>
  <c r="O101" i="1"/>
  <c r="Z101" i="1" s="1"/>
  <c r="O245" i="1"/>
  <c r="Z245" i="1" s="1"/>
  <c r="Q107" i="1"/>
  <c r="Q168" i="1"/>
  <c r="R200" i="1"/>
  <c r="AA200" i="1" s="1"/>
  <c r="T200" i="1"/>
  <c r="U200" i="1" s="1"/>
  <c r="AB200" i="1" s="1"/>
  <c r="Q170" i="1"/>
  <c r="Q4" i="1"/>
  <c r="Q49" i="1"/>
  <c r="Q144" i="1"/>
  <c r="Q143" i="1"/>
  <c r="R143" i="1" s="1"/>
  <c r="AA143" i="1" s="1"/>
  <c r="Q5" i="1"/>
  <c r="Q54" i="1"/>
  <c r="Q145" i="1"/>
  <c r="Q177" i="1"/>
  <c r="Q247" i="1"/>
  <c r="O89" i="1"/>
  <c r="O114" i="1"/>
  <c r="O152" i="1"/>
  <c r="Z152" i="1" s="1"/>
  <c r="Q6" i="1"/>
  <c r="Q146" i="1"/>
  <c r="Q178" i="1"/>
  <c r="Q248" i="1"/>
  <c r="O90" i="1"/>
  <c r="O117" i="1"/>
  <c r="O153" i="1"/>
  <c r="Z153" i="1" s="1"/>
  <c r="Q91" i="1"/>
  <c r="Q147" i="1"/>
  <c r="Q179" i="1"/>
  <c r="Q249" i="1"/>
  <c r="O173" i="1"/>
  <c r="Z173" i="1" s="1"/>
  <c r="Q92" i="1"/>
  <c r="Q118" i="1"/>
  <c r="Q148" i="1"/>
  <c r="R148" i="1" s="1"/>
  <c r="AA148" i="1" s="1"/>
  <c r="Q194" i="1"/>
  <c r="O189" i="1"/>
  <c r="Z189" i="1" s="1"/>
  <c r="Q103" i="1"/>
  <c r="R103" i="1" s="1"/>
  <c r="Q126" i="1"/>
  <c r="Q149" i="1"/>
  <c r="Q195" i="1"/>
  <c r="O104" i="1"/>
  <c r="O22" i="1"/>
  <c r="Z22" i="1" s="1"/>
  <c r="Q25" i="1"/>
  <c r="Q196" i="1"/>
  <c r="R254" i="1"/>
  <c r="AA254" i="1" s="1"/>
  <c r="U254" i="1"/>
  <c r="AB254" i="1" s="1"/>
  <c r="Q253" i="1"/>
  <c r="T253" i="1" s="1"/>
  <c r="U245" i="1"/>
  <c r="AB245" i="1" s="1"/>
  <c r="R245" i="1"/>
  <c r="AA245" i="1" s="1"/>
  <c r="R246" i="1"/>
  <c r="AA246" i="1" s="1"/>
  <c r="Q241" i="1"/>
  <c r="T241" i="1" s="1"/>
  <c r="Q240" i="1"/>
  <c r="T240" i="1" s="1"/>
  <c r="Q242" i="1"/>
  <c r="T242" i="1" s="1"/>
  <c r="Q250" i="1"/>
  <c r="T250" i="1" s="1"/>
  <c r="Q243" i="1"/>
  <c r="T243" i="1" s="1"/>
  <c r="Q252" i="1"/>
  <c r="T252" i="1" s="1"/>
  <c r="Q244" i="1"/>
  <c r="T244" i="1" s="1"/>
  <c r="Q251" i="1"/>
  <c r="T251" i="1" s="1"/>
  <c r="R212" i="1"/>
  <c r="AA212" i="1" s="1"/>
  <c r="U212" i="1"/>
  <c r="AB212" i="1" s="1"/>
  <c r="R215" i="1"/>
  <c r="AA215" i="1" s="1"/>
  <c r="U215" i="1"/>
  <c r="AB215" i="1" s="1"/>
  <c r="U216" i="1"/>
  <c r="AB216" i="1" s="1"/>
  <c r="R216" i="1"/>
  <c r="AA216" i="1" s="1"/>
  <c r="Q214" i="1"/>
  <c r="T214" i="1" s="1"/>
  <c r="Q213" i="1"/>
  <c r="T213" i="1" s="1"/>
  <c r="Q218" i="1"/>
  <c r="T218" i="1" s="1"/>
  <c r="Q220" i="1"/>
  <c r="T220" i="1" s="1"/>
  <c r="O212" i="1"/>
  <c r="Z212" i="1" s="1"/>
  <c r="O216" i="1"/>
  <c r="Z216" i="1" s="1"/>
  <c r="Q221" i="1"/>
  <c r="T221" i="1" s="1"/>
  <c r="O215" i="1"/>
  <c r="Z215" i="1" s="1"/>
  <c r="Q211" i="1"/>
  <c r="T211" i="1" s="1"/>
  <c r="Q210" i="1"/>
  <c r="T210" i="1" s="1"/>
  <c r="U202" i="1"/>
  <c r="AB202" i="1" s="1"/>
  <c r="R202" i="1"/>
  <c r="AA202" i="1" s="1"/>
  <c r="U201" i="1"/>
  <c r="AB201" i="1" s="1"/>
  <c r="R201" i="1"/>
  <c r="AA201" i="1" s="1"/>
  <c r="U203" i="1"/>
  <c r="AB203" i="1" s="1"/>
  <c r="R203" i="1"/>
  <c r="AA203" i="1" s="1"/>
  <c r="O201" i="1"/>
  <c r="Z201" i="1" s="1"/>
  <c r="O202" i="1"/>
  <c r="Z202" i="1" s="1"/>
  <c r="O203" i="1"/>
  <c r="Z203" i="1" s="1"/>
  <c r="Q204" i="1"/>
  <c r="T204" i="1" s="1"/>
  <c r="Q206" i="1"/>
  <c r="T206" i="1" s="1"/>
  <c r="Q207" i="1"/>
  <c r="T207" i="1" s="1"/>
  <c r="Q208" i="1"/>
  <c r="T208" i="1" s="1"/>
  <c r="Q209" i="1"/>
  <c r="T209" i="1" s="1"/>
  <c r="Q190" i="1"/>
  <c r="T190" i="1" s="1"/>
  <c r="Q191" i="1"/>
  <c r="T191" i="1" s="1"/>
  <c r="Q192" i="1"/>
  <c r="T192" i="1" s="1"/>
  <c r="Q193" i="1"/>
  <c r="T193" i="1" s="1"/>
  <c r="U189" i="1"/>
  <c r="AB189" i="1" s="1"/>
  <c r="R189" i="1"/>
  <c r="AA189" i="1" s="1"/>
  <c r="Q180" i="1"/>
  <c r="T180" i="1" s="1"/>
  <c r="Q188" i="1"/>
  <c r="T188" i="1" s="1"/>
  <c r="Q174" i="1"/>
  <c r="T174" i="1" s="1"/>
  <c r="U173" i="1"/>
  <c r="AB173" i="1" s="1"/>
  <c r="R173" i="1"/>
  <c r="AA173" i="1" s="1"/>
  <c r="R166" i="1"/>
  <c r="AA166" i="1" s="1"/>
  <c r="U166" i="1"/>
  <c r="AB166" i="1" s="1"/>
  <c r="U167" i="1"/>
  <c r="AB167" i="1" s="1"/>
  <c r="R167" i="1"/>
  <c r="AA167" i="1" s="1"/>
  <c r="O166" i="1"/>
  <c r="Z166" i="1" s="1"/>
  <c r="O167" i="1"/>
  <c r="Z167" i="1" s="1"/>
  <c r="Q162" i="1"/>
  <c r="T162" i="1" s="1"/>
  <c r="Q160" i="1"/>
  <c r="T160" i="1" s="1"/>
  <c r="Q161" i="1"/>
  <c r="T161" i="1" s="1"/>
  <c r="Q159" i="1"/>
  <c r="T159" i="1" s="1"/>
  <c r="Q154" i="1"/>
  <c r="T154" i="1" s="1"/>
  <c r="Q155" i="1"/>
  <c r="T155" i="1" s="1"/>
  <c r="Q156" i="1"/>
  <c r="T156" i="1" s="1"/>
  <c r="R152" i="1"/>
  <c r="AA152" i="1" s="1"/>
  <c r="U152" i="1"/>
  <c r="AB152" i="1" s="1"/>
  <c r="U153" i="1"/>
  <c r="AB153" i="1" s="1"/>
  <c r="R153" i="1"/>
  <c r="AA153" i="1" s="1"/>
  <c r="R151" i="1"/>
  <c r="AA151" i="1" s="1"/>
  <c r="U151" i="1"/>
  <c r="AB151" i="1" s="1"/>
  <c r="U142" i="1"/>
  <c r="AB142" i="1" s="1"/>
  <c r="R142" i="1"/>
  <c r="AA142" i="1" s="1"/>
  <c r="O142" i="1"/>
  <c r="Z142" i="1" s="1"/>
  <c r="U141" i="1"/>
  <c r="AB141" i="1" s="1"/>
  <c r="R141" i="1"/>
  <c r="AA141" i="1" s="1"/>
  <c r="R124" i="1"/>
  <c r="AA124" i="1" s="1"/>
  <c r="U124" i="1"/>
  <c r="AB124" i="1" s="1"/>
  <c r="R125" i="1"/>
  <c r="AA125" i="1" s="1"/>
  <c r="U125" i="1"/>
  <c r="AB125" i="1" s="1"/>
  <c r="R136" i="1"/>
  <c r="AA136" i="1" s="1"/>
  <c r="U136" i="1"/>
  <c r="AB136" i="1" s="1"/>
  <c r="R137" i="1"/>
  <c r="AA137" i="1" s="1"/>
  <c r="U137" i="1"/>
  <c r="AB137" i="1" s="1"/>
  <c r="Q119" i="1"/>
  <c r="T119" i="1" s="1"/>
  <c r="Q131" i="1"/>
  <c r="T131" i="1" s="1"/>
  <c r="Q132" i="1"/>
  <c r="T132" i="1" s="1"/>
  <c r="Q121" i="1"/>
  <c r="T121" i="1" s="1"/>
  <c r="Q133" i="1"/>
  <c r="T133" i="1" s="1"/>
  <c r="Q122" i="1"/>
  <c r="T122" i="1" s="1"/>
  <c r="Q134" i="1"/>
  <c r="T134" i="1" s="1"/>
  <c r="Q123" i="1"/>
  <c r="T123" i="1" s="1"/>
  <c r="Q135" i="1"/>
  <c r="T135" i="1" s="1"/>
  <c r="Q120" i="1"/>
  <c r="T120" i="1" s="1"/>
  <c r="O136" i="1"/>
  <c r="O137" i="1"/>
  <c r="R117" i="1"/>
  <c r="AA117" i="1" s="1"/>
  <c r="Q115" i="1"/>
  <c r="T115" i="1" s="1"/>
  <c r="Q116" i="1"/>
  <c r="T116" i="1" s="1"/>
  <c r="U99" i="1"/>
  <c r="R99" i="1"/>
  <c r="R100" i="1"/>
  <c r="U100" i="1"/>
  <c r="U88" i="1"/>
  <c r="R88" i="1"/>
  <c r="R101" i="1"/>
  <c r="AA101" i="1" s="1"/>
  <c r="U101" i="1"/>
  <c r="AB101" i="1" s="1"/>
  <c r="U102" i="1"/>
  <c r="AB102" i="1" s="1"/>
  <c r="R102" i="1"/>
  <c r="AA102" i="1" s="1"/>
  <c r="U89" i="1"/>
  <c r="AB89" i="1" s="1"/>
  <c r="R89" i="1"/>
  <c r="AA89" i="1" s="1"/>
  <c r="U90" i="1"/>
  <c r="R90" i="1"/>
  <c r="Q94" i="1"/>
  <c r="T94" i="1" s="1"/>
  <c r="Q105" i="1"/>
  <c r="T105" i="1" s="1"/>
  <c r="Q95" i="1"/>
  <c r="T95" i="1" s="1"/>
  <c r="Q96" i="1"/>
  <c r="T96" i="1" s="1"/>
  <c r="Q97" i="1"/>
  <c r="T97" i="1" s="1"/>
  <c r="Q98" i="1"/>
  <c r="T98" i="1" s="1"/>
  <c r="Q93" i="1"/>
  <c r="T93" i="1" s="1"/>
  <c r="Q87" i="1"/>
  <c r="T87" i="1" s="1"/>
  <c r="Q86" i="1"/>
  <c r="T86" i="1" s="1"/>
  <c r="R60" i="1"/>
  <c r="AA60" i="1" s="1"/>
  <c r="U59" i="1"/>
  <c r="AB59" i="1" s="1"/>
  <c r="R59" i="1"/>
  <c r="AA59" i="1" s="1"/>
  <c r="O59" i="1"/>
  <c r="U50" i="1"/>
  <c r="AB50" i="1" s="1"/>
  <c r="R50" i="1"/>
  <c r="AA50" i="1" s="1"/>
  <c r="O53" i="1"/>
  <c r="Q47" i="1"/>
  <c r="T47" i="1" s="1"/>
  <c r="Q35" i="1"/>
  <c r="T35" i="1" s="1"/>
  <c r="Q39" i="1"/>
  <c r="T39" i="1" s="1"/>
  <c r="Q41" i="1"/>
  <c r="T41" i="1" s="1"/>
  <c r="U53" i="1"/>
  <c r="AB53" i="1" s="1"/>
  <c r="R53" i="1"/>
  <c r="AA53" i="1" s="1"/>
  <c r="R37" i="1"/>
  <c r="R57" i="1"/>
  <c r="AA57" i="1" s="1"/>
  <c r="U57" i="1"/>
  <c r="AB57" i="1" s="1"/>
  <c r="Q30" i="1"/>
  <c r="T30" i="1" s="1"/>
  <c r="Q18" i="1"/>
  <c r="T18" i="1" s="1"/>
  <c r="R22" i="1"/>
  <c r="AA22" i="1" s="1"/>
  <c r="U22" i="1"/>
  <c r="AB22" i="1" s="1"/>
  <c r="Q21" i="1"/>
  <c r="T21" i="1" s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G65" i="1" l="1"/>
  <c r="AB65" i="1"/>
  <c r="G66" i="1"/>
  <c r="AB66" i="1"/>
  <c r="G64" i="1"/>
  <c r="AB64" i="1"/>
  <c r="T169" i="1"/>
  <c r="U169" i="1" s="1"/>
  <c r="AB169" i="1" s="1"/>
  <c r="R110" i="1"/>
  <c r="AA110" i="1" s="1"/>
  <c r="T112" i="1"/>
  <c r="U112" i="1" s="1"/>
  <c r="AB112" i="1" s="1"/>
  <c r="T176" i="1"/>
  <c r="U176" i="1" s="1"/>
  <c r="AB176" i="1" s="1"/>
  <c r="R111" i="1"/>
  <c r="AA111" i="1" s="1"/>
  <c r="R217" i="1"/>
  <c r="AA217" i="1" s="1"/>
  <c r="T44" i="1"/>
  <c r="U44" i="1" s="1"/>
  <c r="T43" i="1"/>
  <c r="U43" i="1" s="1"/>
  <c r="T138" i="1"/>
  <c r="U138" i="1" s="1"/>
  <c r="AB138" i="1" s="1"/>
  <c r="T130" i="1"/>
  <c r="U130" i="1" s="1"/>
  <c r="AB130" i="1" s="1"/>
  <c r="T48" i="1"/>
  <c r="U48" i="1" s="1"/>
  <c r="AB48" i="1" s="1"/>
  <c r="T175" i="1"/>
  <c r="U175" i="1" s="1"/>
  <c r="AB175" i="1" s="1"/>
  <c r="T158" i="1"/>
  <c r="U158" i="1" s="1"/>
  <c r="AB158" i="1" s="1"/>
  <c r="T219" i="1"/>
  <c r="U219" i="1" s="1"/>
  <c r="AB219" i="1" s="1"/>
  <c r="T109" i="1"/>
  <c r="U109" i="1" s="1"/>
  <c r="T199" i="1"/>
  <c r="U199" i="1" s="1"/>
  <c r="AB199" i="1" s="1"/>
  <c r="T106" i="1"/>
  <c r="U106" i="1" s="1"/>
  <c r="AB106" i="1" s="1"/>
  <c r="R118" i="1"/>
  <c r="AA118" i="1" s="1"/>
  <c r="T118" i="1"/>
  <c r="U118" i="1" s="1"/>
  <c r="AB118" i="1" s="1"/>
  <c r="T92" i="1"/>
  <c r="U92" i="1" s="1"/>
  <c r="R92" i="1"/>
  <c r="T170" i="1"/>
  <c r="U170" i="1" s="1"/>
  <c r="AB170" i="1" s="1"/>
  <c r="R195" i="1"/>
  <c r="AA195" i="1" s="1"/>
  <c r="T195" i="1"/>
  <c r="U195" i="1" s="1"/>
  <c r="AB195" i="1" s="1"/>
  <c r="R249" i="1"/>
  <c r="AA249" i="1" s="1"/>
  <c r="T249" i="1"/>
  <c r="U249" i="1" s="1"/>
  <c r="AB249" i="1" s="1"/>
  <c r="R248" i="1"/>
  <c r="AA248" i="1" s="1"/>
  <c r="T248" i="1"/>
  <c r="U248" i="1" s="1"/>
  <c r="AB248" i="1" s="1"/>
  <c r="T128" i="1"/>
  <c r="U128" i="1" s="1"/>
  <c r="AB128" i="1" s="1"/>
  <c r="R128" i="1"/>
  <c r="AA128" i="1" s="1"/>
  <c r="T149" i="1"/>
  <c r="U149" i="1" s="1"/>
  <c r="AB149" i="1" s="1"/>
  <c r="R149" i="1"/>
  <c r="AA149" i="1" s="1"/>
  <c r="R179" i="1"/>
  <c r="AA179" i="1" s="1"/>
  <c r="T179" i="1"/>
  <c r="U179" i="1" s="1"/>
  <c r="AB179" i="1" s="1"/>
  <c r="R178" i="1"/>
  <c r="AA178" i="1" s="1"/>
  <c r="T178" i="1"/>
  <c r="U178" i="1" s="1"/>
  <c r="AB178" i="1" s="1"/>
  <c r="R247" i="1"/>
  <c r="AA247" i="1" s="1"/>
  <c r="T247" i="1"/>
  <c r="U247" i="1" s="1"/>
  <c r="AB247" i="1" s="1"/>
  <c r="R126" i="1"/>
  <c r="AA126" i="1" s="1"/>
  <c r="T126" i="1"/>
  <c r="U126" i="1" s="1"/>
  <c r="AB126" i="1" s="1"/>
  <c r="T147" i="1"/>
  <c r="U147" i="1" s="1"/>
  <c r="AB147" i="1" s="1"/>
  <c r="R147" i="1"/>
  <c r="AA147" i="1" s="1"/>
  <c r="T146" i="1"/>
  <c r="U146" i="1" s="1"/>
  <c r="AB146" i="1" s="1"/>
  <c r="R146" i="1"/>
  <c r="AA146" i="1" s="1"/>
  <c r="R177" i="1"/>
  <c r="AA177" i="1" s="1"/>
  <c r="T177" i="1"/>
  <c r="U177" i="1" s="1"/>
  <c r="AB177" i="1" s="1"/>
  <c r="T103" i="1"/>
  <c r="U103" i="1" s="1"/>
  <c r="T91" i="1"/>
  <c r="U91" i="1" s="1"/>
  <c r="AB91" i="1" s="1"/>
  <c r="T6" i="1"/>
  <c r="U6" i="1" s="1"/>
  <c r="R6" i="1"/>
  <c r="R145" i="1"/>
  <c r="AA145" i="1" s="1"/>
  <c r="T145" i="1"/>
  <c r="U145" i="1" s="1"/>
  <c r="AB145" i="1" s="1"/>
  <c r="R144" i="1"/>
  <c r="AA144" i="1" s="1"/>
  <c r="T144" i="1"/>
  <c r="U144" i="1" s="1"/>
  <c r="AB144" i="1" s="1"/>
  <c r="T168" i="1"/>
  <c r="U168" i="1" s="1"/>
  <c r="AB168" i="1" s="1"/>
  <c r="R196" i="1"/>
  <c r="AA196" i="1" s="1"/>
  <c r="T196" i="1"/>
  <c r="U196" i="1" s="1"/>
  <c r="AB196" i="1" s="1"/>
  <c r="T54" i="1"/>
  <c r="U54" i="1" s="1"/>
  <c r="AB54" i="1" s="1"/>
  <c r="R54" i="1"/>
  <c r="AA54" i="1" s="1"/>
  <c r="R107" i="1"/>
  <c r="AA107" i="1" s="1"/>
  <c r="T107" i="1"/>
  <c r="U107" i="1" s="1"/>
  <c r="AB107" i="1" s="1"/>
  <c r="R168" i="1"/>
  <c r="AA168" i="1" s="1"/>
  <c r="R25" i="1"/>
  <c r="AA25" i="1" s="1"/>
  <c r="T25" i="1"/>
  <c r="U25" i="1" s="1"/>
  <c r="AB25" i="1" s="1"/>
  <c r="R5" i="1"/>
  <c r="AA5" i="1" s="1"/>
  <c r="T5" i="1"/>
  <c r="U5" i="1" s="1"/>
  <c r="AB5" i="1" s="1"/>
  <c r="R91" i="1"/>
  <c r="AA91" i="1" s="1"/>
  <c r="R170" i="1"/>
  <c r="AA170" i="1" s="1"/>
  <c r="R194" i="1"/>
  <c r="AA194" i="1" s="1"/>
  <c r="T194" i="1"/>
  <c r="U194" i="1" s="1"/>
  <c r="AB194" i="1" s="1"/>
  <c r="T143" i="1"/>
  <c r="U143" i="1" s="1"/>
  <c r="AB143" i="1" s="1"/>
  <c r="T49" i="1"/>
  <c r="U49" i="1" s="1"/>
  <c r="AB49" i="1" s="1"/>
  <c r="R49" i="1"/>
  <c r="AA49" i="1" s="1"/>
  <c r="T148" i="1"/>
  <c r="U148" i="1" s="1"/>
  <c r="AB148" i="1" s="1"/>
  <c r="R4" i="1"/>
  <c r="AA4" i="1" s="1"/>
  <c r="T4" i="1"/>
  <c r="U4" i="1" s="1"/>
  <c r="AB4" i="1" s="1"/>
  <c r="R253" i="1"/>
  <c r="AA253" i="1" s="1"/>
  <c r="U253" i="1"/>
  <c r="AB253" i="1" s="1"/>
  <c r="U244" i="1"/>
  <c r="AB244" i="1" s="1"/>
  <c r="R244" i="1"/>
  <c r="AA244" i="1" s="1"/>
  <c r="U243" i="1"/>
  <c r="AB243" i="1" s="1"/>
  <c r="R243" i="1"/>
  <c r="AA243" i="1" s="1"/>
  <c r="R242" i="1"/>
  <c r="AA242" i="1" s="1"/>
  <c r="U242" i="1"/>
  <c r="AB242" i="1" s="1"/>
  <c r="R240" i="1"/>
  <c r="AA240" i="1" s="1"/>
  <c r="U240" i="1"/>
  <c r="AB240" i="1" s="1"/>
  <c r="R251" i="1"/>
  <c r="AA251" i="1" s="1"/>
  <c r="U251" i="1"/>
  <c r="AB251" i="1" s="1"/>
  <c r="R252" i="1"/>
  <c r="AA252" i="1" s="1"/>
  <c r="U252" i="1"/>
  <c r="AB252" i="1" s="1"/>
  <c r="R250" i="1"/>
  <c r="AA250" i="1" s="1"/>
  <c r="U250" i="1"/>
  <c r="AB250" i="1" s="1"/>
  <c r="R241" i="1"/>
  <c r="AA241" i="1" s="1"/>
  <c r="U241" i="1"/>
  <c r="AB241" i="1" s="1"/>
  <c r="R220" i="1"/>
  <c r="AA220" i="1" s="1"/>
  <c r="U220" i="1"/>
  <c r="AB220" i="1" s="1"/>
  <c r="R218" i="1"/>
  <c r="AA218" i="1" s="1"/>
  <c r="U218" i="1"/>
  <c r="AB218" i="1" s="1"/>
  <c r="U214" i="1"/>
  <c r="AB214" i="1" s="1"/>
  <c r="R214" i="1"/>
  <c r="AA214" i="1" s="1"/>
  <c r="R213" i="1"/>
  <c r="AA213" i="1" s="1"/>
  <c r="U213" i="1"/>
  <c r="AB213" i="1" s="1"/>
  <c r="R221" i="1"/>
  <c r="AA221" i="1" s="1"/>
  <c r="U221" i="1"/>
  <c r="AB221" i="1" s="1"/>
  <c r="U211" i="1"/>
  <c r="AB211" i="1" s="1"/>
  <c r="R211" i="1"/>
  <c r="AA211" i="1" s="1"/>
  <c r="U210" i="1"/>
  <c r="AB210" i="1" s="1"/>
  <c r="R210" i="1"/>
  <c r="AA210" i="1" s="1"/>
  <c r="R204" i="1"/>
  <c r="AA204" i="1" s="1"/>
  <c r="U204" i="1"/>
  <c r="AB204" i="1" s="1"/>
  <c r="R206" i="1"/>
  <c r="AA206" i="1" s="1"/>
  <c r="U206" i="1"/>
  <c r="AB206" i="1" s="1"/>
  <c r="R207" i="1"/>
  <c r="AA207" i="1" s="1"/>
  <c r="U207" i="1"/>
  <c r="AB207" i="1" s="1"/>
  <c r="R209" i="1"/>
  <c r="AA209" i="1" s="1"/>
  <c r="U209" i="1"/>
  <c r="AB209" i="1" s="1"/>
  <c r="R208" i="1"/>
  <c r="AA208" i="1" s="1"/>
  <c r="U208" i="1"/>
  <c r="AB208" i="1" s="1"/>
  <c r="R193" i="1"/>
  <c r="AA193" i="1" s="1"/>
  <c r="U193" i="1"/>
  <c r="AB193" i="1" s="1"/>
  <c r="R192" i="1"/>
  <c r="AA192" i="1" s="1"/>
  <c r="U192" i="1"/>
  <c r="AB192" i="1" s="1"/>
  <c r="R191" i="1"/>
  <c r="AA191" i="1" s="1"/>
  <c r="U191" i="1"/>
  <c r="AB191" i="1" s="1"/>
  <c r="U190" i="1"/>
  <c r="AB190" i="1" s="1"/>
  <c r="R190" i="1"/>
  <c r="AA190" i="1" s="1"/>
  <c r="U188" i="1"/>
  <c r="AB188" i="1" s="1"/>
  <c r="R188" i="1"/>
  <c r="AA188" i="1" s="1"/>
  <c r="AA187" i="1"/>
  <c r="AB187" i="1"/>
  <c r="R180" i="1"/>
  <c r="AA180" i="1" s="1"/>
  <c r="U180" i="1"/>
  <c r="AB180" i="1" s="1"/>
  <c r="R174" i="1"/>
  <c r="AA174" i="1" s="1"/>
  <c r="U174" i="1"/>
  <c r="AB174" i="1" s="1"/>
  <c r="R160" i="1"/>
  <c r="AA160" i="1" s="1"/>
  <c r="U160" i="1"/>
  <c r="AB160" i="1" s="1"/>
  <c r="R161" i="1"/>
  <c r="AA161" i="1" s="1"/>
  <c r="U161" i="1"/>
  <c r="AB161" i="1" s="1"/>
  <c r="R162" i="1"/>
  <c r="AA162" i="1" s="1"/>
  <c r="U162" i="1"/>
  <c r="AB162" i="1" s="1"/>
  <c r="R159" i="1"/>
  <c r="AA159" i="1" s="1"/>
  <c r="U159" i="1"/>
  <c r="AB159" i="1" s="1"/>
  <c r="U155" i="1"/>
  <c r="AB155" i="1" s="1"/>
  <c r="R155" i="1"/>
  <c r="AA155" i="1" s="1"/>
  <c r="R156" i="1"/>
  <c r="AA156" i="1" s="1"/>
  <c r="U156" i="1"/>
  <c r="AB156" i="1" s="1"/>
  <c r="U154" i="1"/>
  <c r="AB154" i="1" s="1"/>
  <c r="R154" i="1"/>
  <c r="AA154" i="1" s="1"/>
  <c r="R121" i="1"/>
  <c r="AA121" i="1" s="1"/>
  <c r="U121" i="1"/>
  <c r="AB121" i="1" s="1"/>
  <c r="R119" i="1"/>
  <c r="AA119" i="1" s="1"/>
  <c r="U119" i="1"/>
  <c r="AB119" i="1" s="1"/>
  <c r="R120" i="1"/>
  <c r="AA120" i="1" s="1"/>
  <c r="U120" i="1"/>
  <c r="AB120" i="1" s="1"/>
  <c r="R123" i="1"/>
  <c r="AA123" i="1" s="1"/>
  <c r="U123" i="1"/>
  <c r="AB123" i="1" s="1"/>
  <c r="R132" i="1"/>
  <c r="AA132" i="1" s="1"/>
  <c r="U132" i="1"/>
  <c r="AB132" i="1" s="1"/>
  <c r="R131" i="1"/>
  <c r="AA131" i="1" s="1"/>
  <c r="U131" i="1"/>
  <c r="AB131" i="1" s="1"/>
  <c r="R134" i="1"/>
  <c r="AA134" i="1" s="1"/>
  <c r="U134" i="1"/>
  <c r="AB134" i="1" s="1"/>
  <c r="R122" i="1"/>
  <c r="AA122" i="1" s="1"/>
  <c r="U122" i="1"/>
  <c r="AB122" i="1" s="1"/>
  <c r="R135" i="1"/>
  <c r="AA135" i="1" s="1"/>
  <c r="U135" i="1"/>
  <c r="AB135" i="1" s="1"/>
  <c r="R133" i="1"/>
  <c r="AA133" i="1" s="1"/>
  <c r="U133" i="1"/>
  <c r="AB133" i="1" s="1"/>
  <c r="R116" i="1"/>
  <c r="AA116" i="1" s="1"/>
  <c r="U116" i="1"/>
  <c r="AB116" i="1" s="1"/>
  <c r="R115" i="1"/>
  <c r="AA115" i="1" s="1"/>
  <c r="U115" i="1"/>
  <c r="AB115" i="1" s="1"/>
  <c r="U98" i="1"/>
  <c r="AB98" i="1" s="1"/>
  <c r="R98" i="1"/>
  <c r="AA98" i="1" s="1"/>
  <c r="R96" i="1"/>
  <c r="AA96" i="1" s="1"/>
  <c r="U96" i="1"/>
  <c r="AB96" i="1" s="1"/>
  <c r="R95" i="1"/>
  <c r="U95" i="1"/>
  <c r="R93" i="1"/>
  <c r="U93" i="1"/>
  <c r="R97" i="1"/>
  <c r="AA97" i="1" s="1"/>
  <c r="U97" i="1"/>
  <c r="AB97" i="1" s="1"/>
  <c r="R105" i="1"/>
  <c r="U105" i="1"/>
  <c r="R94" i="1"/>
  <c r="AA94" i="1" s="1"/>
  <c r="U94" i="1"/>
  <c r="AB94" i="1" s="1"/>
  <c r="R87" i="1"/>
  <c r="U87" i="1"/>
  <c r="R86" i="1"/>
  <c r="U86" i="1"/>
  <c r="R47" i="1"/>
  <c r="AA47" i="1" s="1"/>
  <c r="U47" i="1"/>
  <c r="AB47" i="1" s="1"/>
  <c r="R35" i="1"/>
  <c r="U35" i="1"/>
  <c r="U39" i="1"/>
  <c r="R39" i="1"/>
  <c r="R41" i="1"/>
  <c r="U41" i="1"/>
  <c r="R30" i="1"/>
  <c r="AA30" i="1" s="1"/>
  <c r="U30" i="1"/>
  <c r="AB30" i="1" s="1"/>
  <c r="R18" i="1"/>
  <c r="AA18" i="1" s="1"/>
  <c r="U18" i="1"/>
  <c r="AB18" i="1" s="1"/>
  <c r="R21" i="1"/>
  <c r="AA21" i="1" s="1"/>
  <c r="U21" i="1"/>
  <c r="AB21" i="1" s="1"/>
  <c r="I69" i="1"/>
  <c r="I83" i="1"/>
  <c r="I79" i="1"/>
  <c r="I80" i="1"/>
  <c r="I84" i="1"/>
  <c r="I81" i="1"/>
  <c r="I77" i="1"/>
  <c r="I73" i="1"/>
  <c r="I76" i="1"/>
  <c r="I75" i="1"/>
  <c r="I71" i="1"/>
  <c r="I72" i="1"/>
  <c r="I82" i="1"/>
  <c r="I78" i="1"/>
  <c r="I74" i="1"/>
  <c r="I70" i="1"/>
  <c r="G109" i="1" l="1"/>
  <c r="AB109" i="1"/>
  <c r="F109" i="1"/>
  <c r="I109" i="1" s="1"/>
  <c r="F7" i="3"/>
  <c r="F2" i="5"/>
  <c r="G259" i="1" l="1"/>
  <c r="F259" i="1"/>
  <c r="H259" i="1"/>
  <c r="I259" i="1" l="1"/>
  <c r="F89" i="1" l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I91" i="1" l="1"/>
  <c r="I90" i="1"/>
  <c r="I97" i="1"/>
  <c r="I92" i="1"/>
  <c r="I100" i="1"/>
  <c r="I94" i="1"/>
  <c r="I93" i="1"/>
  <c r="I89" i="1"/>
  <c r="I99" i="1"/>
  <c r="I101" i="1"/>
  <c r="I98" i="1"/>
  <c r="I95" i="1"/>
  <c r="I96" i="1"/>
  <c r="H195" i="1"/>
  <c r="F195" i="1" l="1"/>
  <c r="I195" i="1" s="1"/>
  <c r="G195" i="1"/>
  <c r="H126" i="1"/>
  <c r="F126" i="1" l="1"/>
  <c r="I126" i="1" s="1"/>
  <c r="G126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9" i="1" l="1"/>
  <c r="H29" i="1"/>
  <c r="G29" i="1"/>
  <c r="I29" i="1" l="1"/>
  <c r="F160" i="1"/>
  <c r="G160" i="1"/>
  <c r="H160" i="1"/>
  <c r="I160" i="1" l="1"/>
  <c r="H254" i="1" l="1"/>
  <c r="F254" i="1"/>
  <c r="G254" i="1"/>
  <c r="F217" i="1"/>
  <c r="H215" i="1"/>
  <c r="F215" i="1"/>
  <c r="G215" i="1"/>
  <c r="H216" i="1"/>
  <c r="F216" i="1"/>
  <c r="G216" i="1"/>
  <c r="H217" i="1"/>
  <c r="G217" i="1"/>
  <c r="H218" i="1"/>
  <c r="F218" i="1"/>
  <c r="G218" i="1"/>
  <c r="I254" i="1" l="1"/>
  <c r="I216" i="1"/>
  <c r="I218" i="1"/>
  <c r="I215" i="1"/>
  <c r="I217" i="1"/>
  <c r="H258" i="1" l="1"/>
  <c r="G258" i="1"/>
  <c r="F258" i="1"/>
  <c r="H257" i="1"/>
  <c r="G257" i="1"/>
  <c r="F257" i="1"/>
  <c r="H256" i="1"/>
  <c r="G256" i="1"/>
  <c r="F256" i="1"/>
  <c r="F253" i="1"/>
  <c r="H253" i="1"/>
  <c r="F252" i="1"/>
  <c r="H252" i="1"/>
  <c r="F251" i="1"/>
  <c r="H251" i="1"/>
  <c r="F250" i="1"/>
  <c r="H250" i="1"/>
  <c r="F249" i="1"/>
  <c r="H249" i="1"/>
  <c r="F248" i="1"/>
  <c r="H248" i="1"/>
  <c r="G247" i="1"/>
  <c r="F247" i="1"/>
  <c r="H247" i="1"/>
  <c r="G246" i="1"/>
  <c r="F246" i="1"/>
  <c r="H246" i="1"/>
  <c r="G245" i="1"/>
  <c r="F245" i="1"/>
  <c r="H245" i="1"/>
  <c r="G244" i="1"/>
  <c r="F244" i="1"/>
  <c r="H244" i="1"/>
  <c r="G243" i="1"/>
  <c r="F243" i="1"/>
  <c r="H243" i="1"/>
  <c r="G242" i="1"/>
  <c r="F242" i="1"/>
  <c r="H242" i="1"/>
  <c r="G241" i="1"/>
  <c r="F241" i="1"/>
  <c r="H241" i="1"/>
  <c r="G240" i="1"/>
  <c r="F240" i="1"/>
  <c r="H240" i="1"/>
  <c r="G221" i="1"/>
  <c r="F221" i="1"/>
  <c r="H221" i="1"/>
  <c r="G220" i="1"/>
  <c r="F220" i="1"/>
  <c r="H220" i="1"/>
  <c r="G219" i="1"/>
  <c r="F219" i="1"/>
  <c r="H219" i="1"/>
  <c r="G214" i="1"/>
  <c r="F214" i="1"/>
  <c r="H214" i="1"/>
  <c r="G213" i="1"/>
  <c r="F213" i="1"/>
  <c r="H213" i="1"/>
  <c r="G212" i="1"/>
  <c r="F212" i="1"/>
  <c r="H212" i="1"/>
  <c r="G211" i="1"/>
  <c r="F211" i="1"/>
  <c r="H211" i="1"/>
  <c r="G210" i="1"/>
  <c r="F210" i="1"/>
  <c r="H210" i="1"/>
  <c r="G209" i="1"/>
  <c r="F209" i="1"/>
  <c r="H209" i="1"/>
  <c r="G208" i="1"/>
  <c r="F208" i="1"/>
  <c r="H208" i="1"/>
  <c r="G206" i="1"/>
  <c r="F206" i="1"/>
  <c r="H206" i="1"/>
  <c r="G204" i="1"/>
  <c r="F204" i="1"/>
  <c r="H204" i="1"/>
  <c r="G203" i="1"/>
  <c r="F203" i="1"/>
  <c r="H203" i="1"/>
  <c r="G202" i="1"/>
  <c r="F202" i="1"/>
  <c r="H202" i="1"/>
  <c r="G201" i="1"/>
  <c r="F201" i="1"/>
  <c r="H201" i="1"/>
  <c r="G200" i="1"/>
  <c r="F200" i="1"/>
  <c r="H200" i="1"/>
  <c r="G199" i="1"/>
  <c r="F199" i="1"/>
  <c r="H199" i="1"/>
  <c r="G197" i="1"/>
  <c r="F197" i="1"/>
  <c r="H197" i="1"/>
  <c r="G196" i="1"/>
  <c r="F196" i="1"/>
  <c r="H196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8" i="1"/>
  <c r="F188" i="1"/>
  <c r="H188" i="1"/>
  <c r="H180" i="1"/>
  <c r="G180" i="1"/>
  <c r="F180" i="1"/>
  <c r="G179" i="1"/>
  <c r="F179" i="1"/>
  <c r="H179" i="1"/>
  <c r="G178" i="1"/>
  <c r="F178" i="1"/>
  <c r="H178" i="1"/>
  <c r="G177" i="1"/>
  <c r="F177" i="1"/>
  <c r="H177" i="1"/>
  <c r="G176" i="1"/>
  <c r="F176" i="1"/>
  <c r="H176" i="1"/>
  <c r="G175" i="1"/>
  <c r="F175" i="1"/>
  <c r="H175" i="1"/>
  <c r="G174" i="1"/>
  <c r="F174" i="1"/>
  <c r="H174" i="1"/>
  <c r="H173" i="1"/>
  <c r="G173" i="1"/>
  <c r="F173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2" i="1"/>
  <c r="G162" i="1"/>
  <c r="F162" i="1"/>
  <c r="G161" i="1"/>
  <c r="H161" i="1"/>
  <c r="F161" i="1"/>
  <c r="H159" i="1"/>
  <c r="G159" i="1"/>
  <c r="F159" i="1"/>
  <c r="H158" i="1"/>
  <c r="G158" i="1"/>
  <c r="F158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G134" i="1"/>
  <c r="H134" i="1"/>
  <c r="F134" i="1"/>
  <c r="G133" i="1"/>
  <c r="H133" i="1"/>
  <c r="F133" i="1"/>
  <c r="G132" i="1"/>
  <c r="H132" i="1"/>
  <c r="F132" i="1"/>
  <c r="G131" i="1"/>
  <c r="H131" i="1"/>
  <c r="F131" i="1"/>
  <c r="G130" i="1"/>
  <c r="H130" i="1"/>
  <c r="F130" i="1"/>
  <c r="G129" i="1"/>
  <c r="H129" i="1"/>
  <c r="F129" i="1"/>
  <c r="G128" i="1"/>
  <c r="H128" i="1"/>
  <c r="F128" i="1"/>
  <c r="G127" i="1"/>
  <c r="F127" i="1"/>
  <c r="H127" i="1"/>
  <c r="H125" i="1"/>
  <c r="H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F124" i="1" l="1"/>
  <c r="I124" i="1" s="1"/>
  <c r="F125" i="1"/>
  <c r="I125" i="1" s="1"/>
  <c r="G249" i="1"/>
  <c r="G253" i="1"/>
  <c r="G248" i="1"/>
  <c r="G250" i="1"/>
  <c r="G252" i="1"/>
  <c r="G251" i="1"/>
  <c r="I132" i="1"/>
  <c r="G124" i="1"/>
  <c r="I242" i="1"/>
  <c r="I244" i="1"/>
  <c r="I167" i="1"/>
  <c r="I173" i="1"/>
  <c r="G125" i="1"/>
  <c r="I131" i="1"/>
  <c r="I102" i="1"/>
  <c r="I176" i="1"/>
  <c r="I202" i="1"/>
  <c r="I170" i="1"/>
  <c r="I249" i="1"/>
  <c r="I200" i="1"/>
  <c r="I117" i="1"/>
  <c r="I121" i="1"/>
  <c r="I105" i="1"/>
  <c r="I194" i="1"/>
  <c r="I204" i="1"/>
  <c r="I213" i="1"/>
  <c r="I240" i="1"/>
  <c r="I120" i="1"/>
  <c r="I142" i="1"/>
  <c r="I146" i="1"/>
  <c r="I154" i="1"/>
  <c r="I246" i="1"/>
  <c r="I115" i="1"/>
  <c r="I161" i="1"/>
  <c r="I112" i="1"/>
  <c r="I130" i="1"/>
  <c r="I133" i="1"/>
  <c r="I188" i="1"/>
  <c r="I211" i="1"/>
  <c r="I251" i="1"/>
  <c r="I253" i="1"/>
  <c r="I134" i="1"/>
  <c r="I162" i="1"/>
  <c r="I114" i="1"/>
  <c r="I118" i="1"/>
  <c r="I193" i="1"/>
  <c r="I212" i="1"/>
  <c r="I221" i="1"/>
  <c r="I145" i="1"/>
  <c r="I158" i="1"/>
  <c r="I178" i="1"/>
  <c r="I197" i="1"/>
  <c r="I245" i="1"/>
  <c r="I210" i="1"/>
  <c r="I147" i="1"/>
  <c r="I156" i="1"/>
  <c r="I144" i="1"/>
  <c r="I111" i="1"/>
  <c r="I196" i="1"/>
  <c r="I250" i="1"/>
  <c r="I104" i="1"/>
  <c r="I123" i="1"/>
  <c r="I141" i="1"/>
  <c r="I151" i="1"/>
  <c r="I243" i="1"/>
  <c r="I148" i="1"/>
  <c r="I241" i="1"/>
  <c r="I129" i="1"/>
  <c r="I175" i="1"/>
  <c r="I191" i="1"/>
  <c r="I247" i="1"/>
  <c r="I201" i="1"/>
  <c r="I116" i="1"/>
  <c r="I169" i="1"/>
  <c r="I206" i="1"/>
  <c r="I214" i="1"/>
  <c r="I209" i="1"/>
  <c r="I107" i="1"/>
  <c r="I168" i="1"/>
  <c r="I208" i="1"/>
  <c r="I256" i="1"/>
  <c r="I137" i="1"/>
  <c r="I257" i="1"/>
  <c r="I199" i="1"/>
  <c r="I127" i="1"/>
  <c r="I219" i="1"/>
  <c r="I153" i="1"/>
  <c r="I150" i="1"/>
  <c r="I136" i="1"/>
  <c r="I135" i="1"/>
  <c r="I252" i="1"/>
  <c r="I258" i="1"/>
  <c r="I203" i="1"/>
  <c r="I220" i="1"/>
  <c r="I248" i="1"/>
  <c r="I155" i="1"/>
  <c r="I189" i="1"/>
  <c r="I103" i="1"/>
  <c r="I122" i="1"/>
  <c r="I152" i="1"/>
  <c r="I177" i="1"/>
  <c r="I113" i="1"/>
  <c r="I128" i="1"/>
  <c r="I166" i="1"/>
  <c r="I110" i="1"/>
  <c r="I138" i="1"/>
  <c r="I159" i="1"/>
  <c r="I180" i="1"/>
  <c r="I106" i="1"/>
  <c r="I119" i="1"/>
  <c r="I149" i="1"/>
  <c r="I174" i="1"/>
  <c r="I143" i="1"/>
  <c r="I179" i="1"/>
  <c r="I190" i="1"/>
  <c r="I192" i="1"/>
  <c r="D3" i="3" l="1"/>
  <c r="A12" i="10" l="1"/>
  <c r="A8" i="2"/>
  <c r="A13" i="10" l="1"/>
  <c r="A14" i="10"/>
  <c r="H53" i="1"/>
  <c r="H54" i="1"/>
  <c r="H57" i="1"/>
  <c r="H59" i="1"/>
  <c r="H60" i="1"/>
  <c r="H22" i="1"/>
  <c r="H25" i="1"/>
  <c r="H30" i="1"/>
  <c r="H37" i="1"/>
  <c r="H86" i="1"/>
  <c r="H87" i="1"/>
  <c r="H88" i="1"/>
  <c r="H5" i="1"/>
  <c r="H6" i="1"/>
  <c r="H18" i="1"/>
  <c r="H35" i="1"/>
  <c r="H21" i="1"/>
  <c r="H39" i="1"/>
  <c r="H41" i="1"/>
  <c r="H43" i="1"/>
  <c r="H44" i="1"/>
  <c r="H47" i="1"/>
  <c r="H48" i="1"/>
  <c r="H49" i="1"/>
  <c r="H50" i="1"/>
  <c r="H4" i="1"/>
  <c r="F18" i="1"/>
  <c r="G18" i="1"/>
  <c r="G37" i="1"/>
  <c r="G30" i="1"/>
  <c r="G25" i="1"/>
  <c r="G22" i="1"/>
  <c r="G54" i="1"/>
  <c r="G53" i="1"/>
  <c r="G47" i="1"/>
  <c r="G39" i="1"/>
  <c r="G21" i="1"/>
  <c r="I18" i="1" l="1"/>
  <c r="G48" i="1"/>
  <c r="G59" i="1"/>
  <c r="G60" i="1"/>
  <c r="G44" i="1"/>
  <c r="G41" i="1"/>
  <c r="G88" i="1"/>
  <c r="G87" i="1"/>
  <c r="G6" i="1"/>
  <c r="G86" i="1"/>
  <c r="G57" i="1"/>
  <c r="G43" i="1"/>
  <c r="G35" i="1"/>
  <c r="G5" i="1"/>
  <c r="G50" i="1" l="1"/>
  <c r="G49" i="1"/>
  <c r="G4" i="1" l="1"/>
  <c r="F8" i="3"/>
  <c r="F5" i="1" l="1"/>
  <c r="I5" i="1" s="1"/>
  <c r="F6" i="1"/>
  <c r="I6" i="1" s="1"/>
  <c r="F35" i="1"/>
  <c r="I35" i="1" s="1"/>
  <c r="F21" i="1"/>
  <c r="I21" i="1" s="1"/>
  <c r="F39" i="1"/>
  <c r="I39" i="1" s="1"/>
  <c r="F41" i="1"/>
  <c r="I41" i="1" s="1"/>
  <c r="F43" i="1"/>
  <c r="I43" i="1" s="1"/>
  <c r="F44" i="1"/>
  <c r="I44" i="1" s="1"/>
  <c r="F47" i="1"/>
  <c r="I47" i="1" s="1"/>
  <c r="F48" i="1"/>
  <c r="I48" i="1" s="1"/>
  <c r="F49" i="1"/>
  <c r="I49" i="1" s="1"/>
  <c r="F50" i="1"/>
  <c r="I50" i="1" s="1"/>
  <c r="F53" i="1"/>
  <c r="I53" i="1" s="1"/>
  <c r="F54" i="1"/>
  <c r="I54" i="1" s="1"/>
  <c r="F57" i="1"/>
  <c r="I57" i="1" s="1"/>
  <c r="F59" i="1"/>
  <c r="I59" i="1" s="1"/>
  <c r="F60" i="1"/>
  <c r="I60" i="1" s="1"/>
  <c r="F22" i="1"/>
  <c r="I22" i="1" s="1"/>
  <c r="F25" i="1"/>
  <c r="I25" i="1" s="1"/>
  <c r="F30" i="1"/>
  <c r="I30" i="1" s="1"/>
  <c r="F37" i="1"/>
  <c r="I37" i="1" s="1"/>
  <c r="F86" i="1"/>
  <c r="I86" i="1" s="1"/>
  <c r="F87" i="1"/>
  <c r="I87" i="1" s="1"/>
  <c r="F88" i="1"/>
  <c r="I88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G12" i="7" l="1" a="1"/>
  <c r="AG12" i="7" s="1"/>
  <c r="AH15" i="7" s="1"/>
  <c r="AG14" i="7" a="1"/>
  <c r="AG14" i="7" s="1"/>
  <c r="AF12" i="7" a="1"/>
  <c r="AF12" i="7" s="1"/>
  <c r="AF14" i="7" a="1"/>
  <c r="AF14" i="7" s="1"/>
  <c r="AE12" i="7" a="1"/>
  <c r="AE12" i="7" s="1"/>
  <c r="AE12" i="10" s="1"/>
  <c r="AE14" i="7" a="1"/>
  <c r="AE14" i="7" s="1"/>
  <c r="AE14" i="10" s="1"/>
  <c r="AD12" i="7" a="1"/>
  <c r="AD12" i="7" s="1"/>
  <c r="AD14" i="7" a="1"/>
  <c r="AD14" i="7" s="1"/>
  <c r="AD14" i="10" s="1"/>
  <c r="AC12" i="7" a="1"/>
  <c r="AC12" i="7" s="1"/>
  <c r="AC12" i="10" s="1"/>
  <c r="AC14" i="7" a="1"/>
  <c r="AC14" i="7" s="1"/>
  <c r="AC14" i="10" s="1"/>
  <c r="AB12" i="7" a="1"/>
  <c r="AB12" i="7" s="1"/>
  <c r="AB12" i="10" s="1"/>
  <c r="AB14" i="7" a="1"/>
  <c r="AB14" i="7" s="1"/>
  <c r="AA12" i="7" a="1"/>
  <c r="AA12" i="7" s="1"/>
  <c r="AA12" i="10" s="1"/>
  <c r="AA14" i="7" a="1"/>
  <c r="AA14" i="7" s="1"/>
  <c r="Z12" i="7" a="1"/>
  <c r="Z12" i="7" s="1"/>
  <c r="Z12" i="10" s="1"/>
  <c r="Z14" i="7" a="1"/>
  <c r="Z14" i="7" s="1"/>
  <c r="Z14" i="10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H12" i="10"/>
  <c r="BR12" i="10"/>
  <c r="AI12" i="10"/>
  <c r="AI15" i="7"/>
  <c r="BH12" i="10"/>
  <c r="AL12" i="10"/>
  <c r="AL15" i="7"/>
  <c r="AF12" i="10"/>
  <c r="CB12" i="10"/>
  <c r="AT12" i="10"/>
  <c r="BS12" i="10"/>
  <c r="BS15" i="7"/>
  <c r="AJ12" i="10"/>
  <c r="AJ15" i="7"/>
  <c r="AV12" i="10"/>
  <c r="AK15" i="7"/>
  <c r="AK12" i="10"/>
  <c r="BU12" i="10"/>
  <c r="BJ12" i="10"/>
  <c r="AM12" i="10"/>
  <c r="AM15" i="7"/>
  <c r="BW12" i="10"/>
  <c r="BL12" i="10"/>
  <c r="BA12" i="10"/>
  <c r="AP12" i="10"/>
  <c r="BN12" i="10"/>
  <c r="BZ12" i="10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BJ14" i="10"/>
  <c r="BW14" i="10"/>
  <c r="AV14" i="10"/>
  <c r="BA14" i="10"/>
  <c r="AP14" i="10"/>
  <c r="BZ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F15" i="7" l="1"/>
  <c r="AG15" i="7"/>
  <c r="AG12" i="10"/>
  <c r="AG15" i="10" s="1"/>
  <c r="AG17" i="7"/>
  <c r="AF17" i="7"/>
  <c r="AE15" i="7"/>
  <c r="AE17" i="7"/>
  <c r="AD12" i="10"/>
  <c r="AE15" i="10" s="1"/>
  <c r="AD15" i="7"/>
  <c r="AD17" i="7"/>
  <c r="AC15" i="7"/>
  <c r="AC17" i="7"/>
  <c r="AB17" i="7"/>
  <c r="AB15" i="7"/>
  <c r="AA17" i="7"/>
  <c r="AA15" i="7"/>
  <c r="Z15" i="7"/>
  <c r="Z17" i="7"/>
  <c r="Y15" i="7"/>
  <c r="X12" i="10"/>
  <c r="Y15" i="10" s="1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AD15" i="10" l="1"/>
  <c r="X15" i="10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<sst xmlns="http://schemas.openxmlformats.org/spreadsheetml/2006/main" count="1415" uniqueCount="549">
  <si>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</si>
  <si>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</si>
  <si>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</si>
  <si>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</si>
  <si>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</si>
  <si>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</si>
  <si>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</si>
  <si>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</si>
  <si>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</si>
  <si>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</si>
  <si>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</si>
  <si>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</si>
  <si>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</si>
  <si>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</si>
  <si>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</si>
  <si>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</si>
  <si>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</si>
  <si>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</si>
  <si>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</si>
  <si>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</si>
  <si>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</si>
  <si>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</si>
  <si>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</si>
  <si>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</si>
  <si>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</si>
  <si>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</si>
  <si>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</si>
  <si>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</si>
  <si>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</si>
  <si>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</si>
  <si>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</si>
  <si>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</si>
  <si>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</si>
  <si>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</si>
  <si>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</si>
  <si>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</si>
  <si>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</si>
  <si>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</si>
  <si>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</si>
  <si>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</si>
  <si>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</si>
  <si>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</si>
  <si>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</si>
  <si>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</si>
  <si>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</si>
  <si>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</si>
  <si>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</si>
  <si>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</si>
  <si>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</si>
  <si>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</si>
  <si>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</si>
  <si>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</si>
  <si>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</si>
  <si>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</si>
  <si>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</si>
  <si>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</si>
  <si>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</si>
  <si>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</si>
  <si>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</si>
  <si>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</si>
  <si>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</si>
  <si>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</si>
  <si>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</si>
  <si>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</si>
  <si>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</si>
  <si>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</si>
  <si>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</si>
  <si>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</si>
  <si>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</si>
  <si>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</si>
  <si>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</si>
  <si>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</si>
  <si>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</si>
  <si>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</si>
  <si>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</si>
  <si>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</si>
  <si>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</si>
  <si>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</si>
  <si>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</si>
  <si>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</si>
  <si>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</si>
  <si>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</si>
  <si>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</si>
  <si>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</si>
  <si>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</si>
  <si>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</si>
  <si>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</si>
  <si>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</si>
  <si>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</si>
  <si>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</si>
  <si>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</si>
  <si>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</si>
  <si>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</si>
  <si>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</si>
  <si>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</si>
  <si>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</si>
  <si>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</si>
  <si>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</si>
  <si>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</si>
  <si>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</si>
  <si>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</si>
  <si>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</si>
  <si>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</si>
  <si>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</si>
  <si>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</si>
  <si>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</si>
  <si>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</si>
  <si>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</si>
  <si>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</si>
  <si>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</si>
  <si>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</si>
  <si>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</si>
  <si>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</si>
  <si>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</si>
  <si>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</si>
  <si>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</si>
  <si>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</si>
  <si>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</si>
  <si>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</si>
  <si>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</si>
  <si>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</si>
  <si>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</si>
  <si>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</si>
  <si>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</si>
  <si>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</si>
  <si>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</si>
  <si>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</si>
  <si>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</si>
  <si>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</si>
  <si>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</si>
  <si>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</si>
  <si>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</si>
  <si>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</si>
  <si>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</si>
  <si>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</si>
  <si>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</si>
  <si>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</si>
  <si>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</si>
  <si>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</si>
  <si>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</si>
  <si>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</si>
  <si>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</si>
  <si>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</si>
  <si>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</si>
  <si>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</si>
  <si>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</si>
  <si>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</si>
  <si>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</si>
  <si>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</si>
  <si>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</si>
  <si>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</si>
  <si>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</si>
  <si>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</si>
  <si>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</si>
  <si>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</si>
  <si>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</si>
  <si>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</si>
  <si>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</si>
  <si>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</si>
  <si>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</si>
  <si>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</si>
  <si>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</si>
  <si>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</si>
  <si>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</si>
  <si>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</si>
  <si>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</si>
  <si>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</si>
  <si>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</si>
  <si>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</si>
  <si>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</si>
  <si>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</si>
  <si>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</si>
  <si>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</si>
  <si>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</si>
  <si>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</si>
  <si>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</si>
  <si>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</si>
  <si>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</si>
  <si>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</si>
  <si>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</si>
  <si>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</si>
  <si>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</si>
  <si>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</si>
  <si>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</si>
  <si>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</si>
  <si>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</si>
  <si>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</si>
  <si>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</si>
  <si>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</si>
  <si>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</si>
  <si>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</si>
  <si>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</si>
  <si>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</si>
  <si>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</si>
  <si>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</si>
  <si>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</si>
  <si>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</si>
  <si>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</si>
  <si>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</si>
  <si>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</si>
  <si>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</si>
  <si>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</si>
  <si>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</si>
  <si>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</si>
  <si>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</si>
  <si>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</si>
  <si>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</si>
  <si>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</si>
  <si>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</si>
  <si>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</si>
  <si>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</si>
  <si>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</si>
  <si>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</si>
  <si>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</si>
  <si>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</si>
  <si>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</si>
  <si>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</si>
  <si>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</si>
  <si>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</si>
  <si>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</si>
  <si>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</si>
  <si>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</si>
  <si>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</si>
  <si>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</si>
  <si>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</si>
  <si>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</si>
  <si>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</si>
  <si>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</si>
  <si>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</si>
  <si>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</si>
  <si>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</si>
  <si>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</si>
  <si>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</si>
  <si>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</si>
  <si>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</si>
  <si>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</si>
  <si>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</si>
  <si>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</si>
  <si>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</si>
  <si>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</si>
  <si>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</si>
  <si>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</si>
  <si>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</si>
  <si>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</si>
  <si>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</si>
  <si>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</si>
  <si>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</si>
  <si>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</si>
  <si>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</si>
  <si>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</si>
  <si>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</si>
  <si>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</si>
  <si>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</si>
  <si>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</si>
  <si>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</si>
  <si>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</si>
  <si>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</si>
  <si>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</si>
  <si>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</si>
  <si>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</si>
  <si>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</si>
  <si>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</si>
  <si>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</si>
  <si>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</si>
  <si>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</si>
  <si>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</si>
  <si>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</si>
  <si>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</si>
  <si>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</si>
  <si>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</si>
  <si>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</si>
  <si>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</si>
  <si>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</si>
  <si>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</si>
  <si>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</si>
  <si>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</si>
  <si>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</si>
  <si>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</si>
  <si>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</si>
  <si>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</si>
  <si>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</si>
  <si>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</si>
  <si>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</si>
  <si>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</si>
  <si>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</si>
  <si>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</si>
  <si>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</si>
  <si>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</si>
  <si>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</si>
  <si>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</si>
  <si>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</si>
  <si>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</si>
  <si>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</si>
  <si>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</si>
  <si>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</si>
  <si>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</si>
  <si>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</si>
  <si>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</si>
  <si>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</si>
  <si>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</si>
  <si>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</si>
  <si>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</si>
  <si>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</si>
  <si>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</si>
  <si>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</si>
  <si>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</si>
  <si>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</si>
  <si>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</si>
  <si>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</si>
  <si>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</si>
  <si>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</si>
  <si>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</si>
  <si>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</si>
  <si>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</si>
  <si>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</si>
  <si>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</si>
  <si>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</si>
  <si>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</si>
  <si>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</si>
  <si>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</si>
  <si>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</si>
  <si>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</si>
  <si>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</si>
  <si>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</si>
  <si>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</si>
  <si>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</si>
  <si>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</si>
  <si>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</si>
  <si>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</si>
  <si>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</si>
  <si>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</si>
  <si>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</si>
  <si>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</si>
  <si>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</si>
  <si>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</si>
  <si>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</si>
  <si>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</si>
  <si>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</si>
  <si>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</si>
  <si>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</si>
  <si>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</si>
  <si>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</si>
  <si>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</si>
  <si>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</si>
  <si>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</si>
  <si>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</si>
  <si>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</si>
  <si>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</si>
  <si>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</si>
  <si>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</si>
  <si>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</si>
  <si>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</si>
  <si>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</si>
  <si>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</si>
  <si>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</si>
  <si>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</si>
  <si>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</si>
  <si>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</si>
  <si>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</si>
  <si>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</si>
  <si>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</si>
  <si>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</si>
  <si>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</si>
  <si>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</si>
  <si>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</si>
  <si>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</si>
  <si>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</si>
  <si>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</si>
  <si>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</si>
  <si>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</si>
  <si>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</si>
  <si>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</si>
  <si>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</si>
  <si>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</si>
  <si>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</si>
  <si>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</si>
  <si>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</si>
  <si>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</si>
  <si>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</si>
  <si>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</si>
  <si>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</si>
  <si>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</si>
  <si>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</si>
  <si>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</si>
  <si>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</si>
  <si>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</si>
  <si>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</si>
  <si>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</si>
  <si>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</si>
  <si>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</si>
  <si>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</si>
  <si>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</si>
  <si>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</si>
  <si>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</si>
  <si>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</si>
  <si>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</si>
  <si>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</si>
  <si>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</si>
  <si>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</si>
  <si>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</si>
  <si>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</si>
  <si>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</si>
  <si>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</si>
  <si>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</si>
  <si>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</si>
  <si>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</si>
  <si>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</si>
  <si>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</si>
  <si>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</si>
  <si>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</si>
  <si>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</si>
  <si>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</si>
  <si>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</si>
  <si>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</si>
  <si>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</si>
  <si>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</si>
  <si>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</si>
  <si>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</si>
  <si>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</si>
  <si>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</si>
  <si>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</si>
  <si>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</si>
  <si>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</si>
  <si>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</si>
  <si>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</si>
  <si>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</si>
  <si>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</si>
  <si>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</si>
  <si>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</si>
  <si>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</si>
  <si>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</si>
  <si>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</si>
  <si>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</si>
  <si>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</si>
  <si>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</si>
  <si>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</si>
  <si>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</si>
  <si>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</si>
  <si>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</si>
  <si>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</si>
  <si>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</si>
  <si>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</si>
  <si>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</si>
  <si>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</si>
  <si>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</si>
  <si>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</si>
  <si>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</si>
  <si>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</si>
  <si>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</si>
  <si>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</si>
  <si>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</si>
  <si>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</si>
  <si>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</si>
  <si>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</si>
  <si>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</si>
  <si>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</si>
  <si>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</si>
  <si>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</si>
  <si>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</si>
  <si>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</si>
  <si>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</si>
  <si>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</si>
  <si>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</si>
  <si>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</si>
  <si>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</si>
  <si>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</si>
  <si>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</si>
  <si>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</si>
  <si>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</si>
  <si>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</si>
  <si>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</si>
  <si>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</si>
  <si>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</si>
  <si>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</si>
  <si>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</si>
  <si>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</si>
  <si>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</si>
  <si>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</si>
  <si>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</si>
  <si>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</si>
  <si>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</si>
  <si>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</si>
  <si>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</si>
  <si>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</si>
  <si>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</si>
  <si>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</si>
  <si>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</si>
  <si>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</si>
  <si>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</si>
  <si>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</si>
  <si>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</si>
  <si>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</si>
  <si>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</si>
  <si>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</si>
  <si>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</si>
  <si>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FATIGUE ANALYSIS REPORT - SUPERSEDED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</si>
  <si>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</si>
  <si>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</si>
  <si>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</si>
  <si>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</si>
  <si>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</si>
  <si>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</si>
  <si>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</si>
  <si>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</si>
  <si>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</si>
  <si>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</si>
  <si>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</si>
  <si>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</si>
  <si>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</si>
  <si>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</si>
  <si>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</si>
  <si>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</si>
  <si>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</si>
  <si>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</si>
  <si>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</si>
  <si>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</si>
  <si>
    <t>TOPSIDES PRIMARY STEEL MTO REPORT - UPDATED INFO</t>
  </si>
  <si>
    <t>TOPSIDES SECONDARY AND TERTIARY STEEL MTO REPORT - UPDATED INFO</t>
  </si>
  <si>
    <t>TOPSIDES PRIMARY STEEL MTO REPORT - SUPERSEDED</t>
  </si>
  <si>
    <t>TOPSIDES SECONDARY AND TERTIARY STEEL MTO REPORT - SUPERSEDED</t>
  </si>
  <si>
    <t>ZWP22 COMBINED TOPSIDES AND JACKET SEISMIC ANALYSIS REPORT (EXTREME LEVEL EARTHQUAKE-ELE) - SUPERSEDED</t>
  </si>
  <si>
    <t>ZWP22 COMBINED TOPSIDES AND JACKET SEISMIC ANALYSIS REPORT (ABNORMAL LEVEL EARTHQUAKE-ALE) - SUPERSEDED</t>
  </si>
  <si>
    <t>ZWP23 COMBINED TOPSIDES AND JACKET SEISMIC ANALYSIS REPORT (EXTREME LEVEL EARTHQUAKE-ELE) - SUPERSEDED</t>
  </si>
  <si>
    <t>ZWP23 COMBINED TOPSIDES AND JACKET SEISMIC ANALYSIS REPORT (ABNORMAL LEVEL EARTHQUAKE-ALE) - SUPERSEDED</t>
  </si>
  <si>
    <t>ZWP22 COMBINED TOPSIDES AND JACKET SEISMIC ANALYSIS REPORT (EXTREME LEVEL EARTHQUAKE-ELE) - NEW WATER DEPTH</t>
  </si>
  <si>
    <t>ZWP22 COMBINED TOPSIDES AND JACKET SEISMIC ANALYSIS REPORT (ABNORMAL LEVEL EARTHQUAKE-ALE)  - NEW WATER DEPTH</t>
  </si>
  <si>
    <t>ZWP23 COMBINED TOPSIDES AND JACKET SEISMIC ANALYSIS REPORT (EXTREME LEVEL EARTHQUAKE-ELE) - NEW WATER DEPTH</t>
  </si>
  <si>
    <t>ZWP23 COMBINED TOPSIDES AND JACKET SEISMIC ANALYSIS REPORT (ABNORMAL LEVEL EARTHQUAKE-ALE)  - NEW WATER DEPTH</t>
  </si>
  <si>
    <t>TOPSIDES MISCELLANEOUSD DESIGN REPORT - SUPERSEDED</t>
  </si>
  <si>
    <t>TOPSIDES LOADOUT ANALYSIS REPORT - SUPERSEDED'</t>
  </si>
  <si>
    <t>TOPSIDES LIFTING ANALYSIS REPORT - SUPERSEDED</t>
  </si>
  <si>
    <t>MATERIAL REQUISITION FOR TOPSIDES HIGH STRENGTH TUBULAR STEEL - CANCELLED, COMPLETED BY YARD ALREADY</t>
  </si>
  <si>
    <t>MATERIAL REQUISITION FOR TOPSIDES SECONDARY AND TERTIARY TUBULAR STEEL - CANCELLED, COMPLETED BY YARD ALREADY</t>
  </si>
  <si>
    <t>MATERIAL REQUISITION FOR TOPSIDES HIGH STRENGTH HOT-ROLLED STEEL SECTIONS (SHAPES) - CANCELLED, COMPLETED BY YARD ALREADY</t>
  </si>
  <si>
    <t>MATERIAL REQUISITION FOR TOPSIDES SECONDARY AND TERTIARY HOT-ROLLED STEEL (SHAPES) - CANCELLED, COMPLETED BY YARD ALREADY</t>
  </si>
  <si>
    <t>MATERIAL REQUISITION FOR TOPSIDES HIGH STRENGTH STEEL PLATES - CANCELLED, COMPLETED BY YARD ALREADY</t>
  </si>
  <si>
    <t>MATERIAL REQUISITION FOR TOPSIDES LOW STRENGTH STEEL PLATES - CANCELLED, COMPLETED BY YARD ALREADY</t>
  </si>
  <si>
    <t>AFC</t>
  </si>
  <si>
    <t>Status (AWC)</t>
  </si>
  <si>
    <t>AWC</t>
  </si>
  <si>
    <t>AWC - Minor</t>
  </si>
  <si>
    <t>TOPSIDES WEIGHT CONTROL REPORT (UPDATE MONHLY) - MINOR AFC</t>
  </si>
  <si>
    <t>TOPSIDES COMPUTER MODELLING WITH VENT BOOM &amp; LOAD FORMULATION - MINOR AFC</t>
  </si>
  <si>
    <t>TOPSIDES TRANSPORATION ANALYSIS REPORT - UPDATED SEA-FASTENING</t>
  </si>
  <si>
    <t>TOPSIDES TRANSPORATION FATIGUE ANALYSIS REPORT - UPDATED SEA-FASTENING</t>
  </si>
  <si>
    <t>TOPSIDES MISCELLANEOUSD DESIGN REPORT - UPDATED SEA-FASTENING</t>
  </si>
  <si>
    <t>TOPSIDES TRANSPORATION ANALYSIS REPORT - UPDATED TOW ROUTE - SUPERSEDED</t>
  </si>
  <si>
    <t>TOPSIDES TRANSPORATION FATIGUE ANALYSIS REPORT - UPDATED TOW ROUTE - SUPERSEDED</t>
  </si>
  <si>
    <t xml:space="preserve">TOPSIDES MISCELLANEOUSD DESIGN REPORT - UPDATED INFO - SUPERSEDED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</si>
</sst>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7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trike/>
      <sz val="7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4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2" fillId="7" borderId="1" xfId="0" applyNumberFormat="1" applyFont="1" applyFill="1" applyBorder="1"/>
    <xf numFmtId="164" fontId="39" fillId="0" borderId="1" xfId="0" applyNumberFormat="1" applyFont="1" applyBorder="1"/>
    <xf numFmtId="171" fontId="37" fillId="0" borderId="1" xfId="0" applyNumberFormat="1" applyFont="1" applyBorder="1"/>
    <xf numFmtId="0" fontId="37" fillId="7" borderId="1" xfId="0" applyFont="1" applyFill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9" fillId="7" borderId="1" xfId="5" applyFont="1" applyFill="1" applyBorder="1" applyAlignment="1">
      <alignment vertical="center"/>
    </xf>
    <xf numFmtId="9" fontId="37" fillId="0" borderId="1" xfId="2" applyFont="1" applyFill="1" applyBorder="1" applyAlignment="1">
      <alignment vertical="center"/>
    </xf>
    <xf numFmtId="171" fontId="39" fillId="7" borderId="1" xfId="0" applyNumberFormat="1" applyFont="1" applyFill="1" applyBorder="1" applyAlignment="1">
      <alignment vertical="center"/>
    </xf>
    <xf numFmtId="164" fontId="39" fillId="7" borderId="1" xfId="0" applyNumberFormat="1" applyFont="1" applyFill="1" applyBorder="1" applyAlignment="1">
      <alignment vertical="center"/>
    </xf>
    <xf numFmtId="164" fontId="37" fillId="7" borderId="1" xfId="0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vertical="center"/>
    </xf>
    <xf numFmtId="0" fontId="45" fillId="3" borderId="2" xfId="0" applyFont="1" applyFill="1" applyBorder="1" applyAlignment="1">
      <alignment horizontal="center"/>
    </xf>
    <xf numFmtId="0" fontId="45" fillId="2" borderId="28" xfId="0" applyFont="1" applyFill="1" applyBorder="1" applyAlignment="1">
      <alignment horizontal="center" vertical="top" wrapText="1" readingOrder="1"/>
    </xf>
    <xf numFmtId="0" fontId="43" fillId="0" borderId="0" xfId="0" applyFont="1" applyAlignment="1">
      <alignment horizontal="center"/>
    </xf>
    <xf numFmtId="164" fontId="44" fillId="7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/>
    </xf>
    <xf numFmtId="164" fontId="46" fillId="10" borderId="1" xfId="0" applyNumberFormat="1" applyFont="1" applyFill="1" applyBorder="1" applyAlignment="1">
      <alignment horizontal="center"/>
    </xf>
    <xf numFmtId="164" fontId="46" fillId="14" borderId="1" xfId="0" applyNumberFormat="1" applyFont="1" applyFill="1" applyBorder="1" applyAlignment="1">
      <alignment horizontal="center"/>
    </xf>
    <xf numFmtId="164" fontId="46" fillId="13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 vertical="center"/>
    </xf>
    <xf numFmtId="164" fontId="44" fillId="12" borderId="1" xfId="0" applyNumberFormat="1" applyFont="1" applyFill="1" applyBorder="1" applyAlignment="1">
      <alignment horizontal="center" vertical="center"/>
    </xf>
    <xf numFmtId="164" fontId="44" fillId="10" borderId="1" xfId="0" applyNumberFormat="1" applyFont="1" applyFill="1" applyBorder="1" applyAlignment="1">
      <alignment horizontal="center"/>
    </xf>
    <xf numFmtId="164" fontId="44" fillId="14" borderId="1" xfId="0" applyNumberFormat="1" applyFont="1" applyFill="1" applyBorder="1" applyAlignment="1">
      <alignment horizontal="center"/>
    </xf>
    <xf numFmtId="164" fontId="44" fillId="13" borderId="1" xfId="0" applyNumberFormat="1" applyFont="1" applyFill="1" applyBorder="1" applyAlignment="1">
      <alignment horizontal="center"/>
    </xf>
    <xf numFmtId="164" fontId="44" fillId="12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center" vertical="center"/>
    </xf>
    <xf numFmtId="164" fontId="44" fillId="15" borderId="1" xfId="0" applyNumberFormat="1" applyFont="1" applyFill="1" applyBorder="1" applyAlignment="1">
      <alignment horizontal="center"/>
    </xf>
    <xf numFmtId="165" fontId="44" fillId="7" borderId="1" xfId="0" applyNumberFormat="1" applyFont="1" applyFill="1" applyBorder="1" applyAlignment="1">
      <alignment horizontal="center"/>
    </xf>
    <xf numFmtId="164" fontId="44" fillId="7" borderId="1" xfId="0" applyNumberFormat="1" applyFont="1" applyFill="1" applyBorder="1" applyAlignment="1">
      <alignment horizontal="center" vertical="center"/>
    </xf>
    <xf numFmtId="164" fontId="29" fillId="4" borderId="1" xfId="0" applyNumberFormat="1" applyFont="1" applyFill="1" applyBorder="1"/>
    <xf numFmtId="0" fontId="38" fillId="9" borderId="1" xfId="0" applyFont="1" applyFill="1" applyBorder="1" applyAlignment="1">
      <alignment vertical="center" wrapText="1" readingOrder="1"/>
    </xf>
    <xf numFmtId="9" fontId="37" fillId="7" borderId="1" xfId="2" applyFont="1" applyFill="1" applyBorder="1" applyAlignment="1">
      <alignment vertical="center"/>
    </xf>
    <xf numFmtId="9" fontId="39" fillId="7" borderId="1" xfId="2" applyFont="1" applyFill="1" applyBorder="1" applyAlignment="1">
      <alignment vertical="center"/>
    </xf>
    <xf numFmtId="171" fontId="39" fillId="0" borderId="1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7" borderId="1" xfId="0" applyFont="1" applyFill="1" applyBorder="1" applyAlignment="1">
      <alignment vertical="center"/>
    </xf>
    <xf numFmtId="0" fontId="30" fillId="9" borderId="1" xfId="0" applyFont="1" applyFill="1" applyBorder="1" applyAlignment="1">
      <alignment vertical="center" wrapText="1" readingOrder="1"/>
    </xf>
    <xf numFmtId="9" fontId="30" fillId="7" borderId="1" xfId="2" applyFont="1" applyFill="1" applyBorder="1" applyAlignment="1">
      <alignment vertical="center"/>
    </xf>
    <xf numFmtId="171" fontId="30" fillId="0" borderId="1" xfId="0" applyNumberFormat="1" applyFont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9" fontId="29" fillId="7" borderId="1" xfId="2" applyFont="1" applyFill="1" applyBorder="1" applyAlignment="1">
      <alignment vertical="center"/>
    </xf>
    <xf numFmtId="164" fontId="30" fillId="10" borderId="1" xfId="0" applyNumberFormat="1" applyFont="1" applyFill="1" applyBorder="1" applyAlignment="1">
      <alignment horizontal="center"/>
    </xf>
    <xf numFmtId="164" fontId="30" fillId="4" borderId="1" xfId="0" applyNumberFormat="1" applyFont="1" applyFill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70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0.34749999999999948</c:v>
                </c:pt>
                <c:pt idx="13">
                  <c:v>0.36149999999999949</c:v>
                </c:pt>
                <c:pt idx="14">
                  <c:v>0.41600000000000054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0.62419999999999976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0.84420000000000062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0.34749999999999948</c:v>
                </c:pt>
                <c:pt idx="13">
                  <c:v>0.36149999999999949</c:v>
                </c:pt>
                <c:pt idx="14">
                  <c:v>0.41600000000000054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0.62419999999999976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0.84420000000000062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0.44224999999999848</c:v>
                </c:pt>
                <c:pt idx="15">
                  <c:v>0.47714999999999991</c:v>
                </c:pt>
                <c:pt idx="16">
                  <c:v>0.49165000000000042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0.69570000000000021</c:v>
                </c:pt>
                <c:pt idx="23">
                  <c:v>0.72630000000000028</c:v>
                </c:pt>
                <c:pt idx="24">
                  <c:v>0.7490500000000001</c:v>
                </c:pt>
                <c:pt idx="25">
                  <c:v>0.76300000000000023</c:v>
                </c:pt>
                <c:pt idx="26">
                  <c:v>0.78</c:v>
                </c:pt>
                <c:pt idx="27">
                  <c:v>0.78805000000000025</c:v>
                </c:pt>
                <c:pt idx="28">
                  <c:v>0.80587500000000001</c:v>
                </c:pt>
                <c:pt idx="29">
                  <c:v>0.81837500000000007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60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abSelected="1" topLeftCell="D2" zoomScaleNormal="100" workbookViewId="0">
      <selection activeCell="I17" sqref="I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34</v>
      </c>
      <c r="G1" s="18">
        <f>O1-1</f>
        <v>34</v>
      </c>
      <c r="H1" s="18">
        <f t="shared" ref="H1:I1" si="0">P1-1</f>
        <v>34</v>
      </c>
      <c r="I1" s="18">
        <f t="shared" si="0"/>
        <v>34</v>
      </c>
      <c r="J1" s="18"/>
      <c r="K1" s="18"/>
      <c r="L1" s="18"/>
      <c r="M1" s="18"/>
      <c r="N1" s="18">
        <f>_xlfn.XLOOKUP(D3,'Progress%'!6:6,'Progress%'!1:1,0)</f>
        <v>35</v>
      </c>
      <c r="O1" s="18">
        <f>_xlfn.XLOOKUP(D3,'Progress%'!6:6,'Progress%'!1:1,0)</f>
        <v>35</v>
      </c>
      <c r="P1" s="18">
        <f>N1</f>
        <v>35</v>
      </c>
      <c r="Q1" s="18">
        <f>P1</f>
        <v>35</v>
      </c>
    </row>
    <row r="2" spans="1:17" collapsed="1" x14ac:dyDescent="0.35">
      <c r="D2" s="15" t="s">
        <v>31</v>
      </c>
    </row>
    <row r="3" spans="1:17" x14ac:dyDescent="0.35">
      <c r="D3" s="20">
        <v>46304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38" t="s">
        <v>25</v>
      </c>
      <c r="E6" s="238" t="s">
        <v>26</v>
      </c>
      <c r="F6" s="240" t="s">
        <v>30</v>
      </c>
      <c r="G6" s="241"/>
      <c r="H6" s="241"/>
      <c r="I6" s="242"/>
      <c r="J6" s="240" t="s">
        <v>27</v>
      </c>
      <c r="K6" s="241"/>
      <c r="L6" s="241"/>
      <c r="M6" s="242"/>
      <c r="N6" s="240" t="s">
        <v>28</v>
      </c>
      <c r="O6" s="241"/>
      <c r="P6" s="241"/>
      <c r="Q6" s="242"/>
    </row>
    <row r="7" spans="1:17" ht="24.5" customHeight="1" thickBot="1" x14ac:dyDescent="0.4">
      <c r="D7" s="239"/>
      <c r="E7" s="239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0.84420000000000062</v>
      </c>
      <c r="G8" s="79" cm="1">
        <f t="array" ref="G8">INDEX('Progress%'!$A$1:$DG$10,'Progress Summary'!$A8,'Progress Summary'!G$1)</f>
        <v>0.84420000000000062</v>
      </c>
      <c r="H8" s="79" cm="1">
        <f t="array" ref="H8">INDEX('Progress%'!$A$1:$DG$10,'Progress Summary'!$C8,'Progress Summary'!H$1)</f>
        <v>0.80587500000000001</v>
      </c>
      <c r="I8" s="79">
        <f t="shared" ref="I8" si="3">H8-F8</f>
        <v>-3.8325000000000609E-2</v>
      </c>
      <c r="J8" s="79">
        <f>N8-F8</f>
        <v>1.3200000000000323E-2</v>
      </c>
      <c r="K8" s="79">
        <f t="shared" ref="K8" si="4">O8-G8</f>
        <v>1.3200000000000323E-2</v>
      </c>
      <c r="L8" s="79">
        <f t="shared" ref="L8:M8" si="5">P8-H8</f>
        <v>1.2500000000000067E-2</v>
      </c>
      <c r="M8" s="79">
        <f t="shared" si="5"/>
        <v>-7.0000000000025597E-4</v>
      </c>
      <c r="N8" s="79" cm="1">
        <f t="array" ref="N8">INDEX('Progress%'!$A$1:$DG$10,'Progress Summary'!$A8,'Progress Summary'!N$1)</f>
        <v>0.85740000000000094</v>
      </c>
      <c r="O8" s="79" cm="1">
        <f t="array" ref="O8">INDEX('Progress%'!$A$1:$DG$10,'Progress Summary'!$B8,'Progress Summary'!O$1)</f>
        <v>0.85740000000000094</v>
      </c>
      <c r="P8" s="79" cm="1">
        <f t="array" ref="P8">INDEX('Progress%'!$A$1:$DG$10,'Progress Summary'!$C8,'Progress Summary'!P$1)</f>
        <v>0.81837500000000007</v>
      </c>
      <c r="Q8" s="79">
        <f t="shared" ref="Q8" si="6">P8-N8</f>
        <v>-3.9025000000000865E-2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46304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0.34749999999999948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0.36149999999999949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0.41600000000000054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0.62419999999999976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0.84420000000000062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0.34749999999999948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0.36149999999999949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0.41600000000000054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0.62419999999999976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0.84420000000000062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0.44224999999999848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0.47714999999999991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0.49165000000000042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0.69570000000000021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0.72630000000000028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0.7490500000000001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0.76300000000000023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0.78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0.78805000000000025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0.80587500000000001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0.81837500000000007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0.81837500000000007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0.81837500000000007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0.81837500000000007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0.81837500000000007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0.81837500000000007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0.81837500000000007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0.81837500000000007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0.81837500000000007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0.81837500000000007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0.81837500000000007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0.81837500000000007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0.81837500000000007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0.81837500000000007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0.81837500000000007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0.81837500000000007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0.81837500000000007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0.81837500000000007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0.81837500000000007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0.81837500000000007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0.81837500000000007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0.81837500000000007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0.81837500000000007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0.81837500000000007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0.81837500000000007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0.81837500000000007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0.81837500000000007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0.81837500000000007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0.81837500000000007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0.81837500000000007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0.81837500000000007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0.81837500000000007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0.81837500000000007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0.81837500000000007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0.81837500000000007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0.81837500000000007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0.81837500000000007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0.81837500000000007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0.81837500000000007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0.81837500000000007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0.81837500000000007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0.81837500000000007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0.81837500000000007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0.81837500000000007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0.81837500000000007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0.81837500000000007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0.81837500000000007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0.81837500000000007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0.81837500000000007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0.81837500000000007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0.81837500000000007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0.81837500000000007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0.81837500000000007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0.81837500000000007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0.81837500000000007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0.81837500000000007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0.81837500000000007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0.81837500000000007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0.81837500000000007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0.81837500000000007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0.81837500000000007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0.81837500000000007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0.81837500000000007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0.81837500000000007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0.81837500000000007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0.81837500000000007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0.81837500000000007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0.81837500000000007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0.81837500000000007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0.81837500000000007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0.81837500000000007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0.81837500000000007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0.81837500000000007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0.81837500000000007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0.81837500000000007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0.81837500000000007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0.81837500000000007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0.81837500000000007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0.81837500000000007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0.81837500000000007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0.81837500000000007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0.81837500000000007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0.81837500000000007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AF17" sqref="AF17:A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43" t="s">
        <v>235</v>
      </c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7"/>
    </row>
    <row r="5" spans="1:110" ht="45" x14ac:dyDescent="0.35">
      <c r="B5" s="26"/>
      <c r="C5" s="244" t="s">
        <v>56</v>
      </c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236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0.34749999999999948</v>
      </c>
      <c r="Q12" s="38" cm="1">
        <f t="array" ref="Q12">INDEX('Progress%'!$A$1:$DG$10,'S-Curves'!$A12,'S-Curves'!Q$10)</f>
        <v>0.36149999999999949</v>
      </c>
      <c r="R12" s="38" cm="1">
        <f t="array" ref="R12">INDEX('Progress%'!$A$1:$DG$10,'S-Curves'!$A12,'S-Curves'!R$10)</f>
        <v>0.41600000000000054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0.62419999999999976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0.84420000000000062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0.34749999999999948</v>
      </c>
      <c r="Q13" s="38" cm="1">
        <f t="array" ref="Q13">INDEX('Progress%'!$A$1:$DG$10,'S-Curves'!$A13,'S-Curves'!Q$10)</f>
        <v>0.36149999999999949</v>
      </c>
      <c r="R13" s="38" cm="1">
        <f t="array" ref="R13">INDEX('Progress%'!$A$1:$DG$10,'S-Curves'!$A13,'S-Curves'!R$10)</f>
        <v>0.41600000000000054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0.62419999999999976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0.84420000000000062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0.44224999999999848</v>
      </c>
      <c r="S14" s="38" cm="1">
        <f t="array" ref="S14">INDEX('Progress%'!$A$1:$DG$10,'S-Curves'!$A14,'S-Curves'!S$10)</f>
        <v>0.47714999999999991</v>
      </c>
      <c r="T14" s="38" cm="1">
        <f t="array" ref="T14">INDEX('Progress%'!$A$1:$DG$10,'S-Curves'!$A14,'S-Curves'!T$10)</f>
        <v>0.49165000000000042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0.69570000000000021</v>
      </c>
      <c r="AA14" s="38" cm="1">
        <f t="array" ref="AA14">INDEX('Progress%'!$A$1:$DG$10,'S-Curves'!$A14,'S-Curves'!AA$10)</f>
        <v>0.72630000000000028</v>
      </c>
      <c r="AB14" s="38" cm="1">
        <f t="array" ref="AB14">INDEX('Progress%'!$A$1:$DG$10,'S-Curves'!$A14,'S-Curves'!AB$10)</f>
        <v>0.7490500000000001</v>
      </c>
      <c r="AC14" s="38" cm="1">
        <f t="array" ref="AC14">INDEX('Progress%'!$A$1:$DG$10,'S-Curves'!$A14,'S-Curves'!AC$10)</f>
        <v>0.76300000000000023</v>
      </c>
      <c r="AD14" s="38" cm="1">
        <f t="array" ref="AD14">INDEX('Progress%'!$A$1:$DG$10,'S-Curves'!$A14,'S-Curves'!AD$10)</f>
        <v>0.78</v>
      </c>
      <c r="AE14" s="38" cm="1">
        <f t="array" ref="AE14">INDEX('Progress%'!$A$1:$DG$10,'S-Curves'!$A14,'S-Curves'!AE$10)</f>
        <v>0.78805000000000025</v>
      </c>
      <c r="AF14" s="38" cm="1">
        <f t="array" ref="AF14">INDEX('Progress%'!$A$1:$DG$10,'S-Curves'!$A14,'S-Curves'!AF$10)</f>
        <v>0.80587500000000001</v>
      </c>
      <c r="AG14" s="38" cm="1">
        <f t="array" ref="AG14">INDEX('Progress%'!$A$1:$DG$10,'S-Curves'!$A14,'S-Curves'!AG$10)</f>
        <v>0.81837500000000007</v>
      </c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5.2249999999999852E-2</v>
      </c>
      <c r="Q15" s="44">
        <f t="shared" si="0"/>
        <v>1.4000000000000012E-2</v>
      </c>
      <c r="R15" s="44">
        <f t="shared" si="0"/>
        <v>5.4500000000001048E-2</v>
      </c>
      <c r="S15" s="44">
        <f t="shared" si="0"/>
        <v>4.1000000000000925E-2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2.0499999999999852E-2</v>
      </c>
      <c r="X15" s="44">
        <f t="shared" si="0"/>
        <v>3.5350000000000548E-2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2.4100000000000454E-2</v>
      </c>
      <c r="AG15" s="44">
        <f t="shared" si="0"/>
        <v>1.3200000000000323E-2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5.2249999999999852E-2</v>
      </c>
      <c r="Q16" s="44">
        <f t="shared" si="0"/>
        <v>1.4000000000000012E-2</v>
      </c>
      <c r="R16" s="44">
        <f t="shared" si="0"/>
        <v>5.4500000000001048E-2</v>
      </c>
      <c r="S16" s="44">
        <f t="shared" si="0"/>
        <v>4.1000000000000925E-2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2.0499999999999852E-2</v>
      </c>
      <c r="X16" s="44">
        <f t="shared" si="0"/>
        <v>3.5350000000000548E-2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2.4100000000000454E-2</v>
      </c>
      <c r="AG16" s="44">
        <f t="shared" ref="AG16" si="36">AG13-AF13</f>
        <v>1.3200000000000323E-2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4.0699999999998959E-2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4.9000000000000099E-2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2.3599999999999843E-2</v>
      </c>
      <c r="AA17" s="44">
        <f t="shared" si="0"/>
        <v>3.0600000000000072E-2</v>
      </c>
      <c r="AB17" s="44">
        <f t="shared" si="0"/>
        <v>2.2749999999999826E-2</v>
      </c>
      <c r="AC17" s="44">
        <f t="shared" si="0"/>
        <v>1.3950000000000129E-2</v>
      </c>
      <c r="AD17" s="44">
        <f t="shared" si="0"/>
        <v>1.6999999999999793E-2</v>
      </c>
      <c r="AE17" s="44">
        <f t="shared" si="0"/>
        <v>8.0500000000002236E-3</v>
      </c>
      <c r="AF17" s="44">
        <f t="shared" si="0"/>
        <v>1.7824999999999758E-2</v>
      </c>
      <c r="AG17" s="44">
        <f t="shared" si="0"/>
        <v>1.2500000000000067E-2</v>
      </c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69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sheetPr filterMode="1"/>
  <dimension ref="A1:AB260"/>
  <sheetViews>
    <sheetView zoomScale="120" zoomScaleNormal="120" workbookViewId="0">
      <pane xSplit="5" topLeftCell="I1" activePane="topRight" state="frozen"/>
      <selection pane="topRight" activeCell="N151" sqref="N151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8.6328125" customWidth="1"/>
    <col min="5" max="5" width="42.36328125" customWidth="1"/>
    <col min="6" max="6" width="4.90625" customWidth="1"/>
    <col min="7" max="7" width="5.81640625" customWidth="1"/>
    <col min="8" max="8" width="4.7265625" customWidth="1"/>
    <col min="9" max="9" width="4.26953125" customWidth="1"/>
    <col min="10" max="10" width="4.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3" max="23" width="6.90625" style="203" customWidth="1"/>
    <col min="25" max="25" width="13.81640625" style="168" customWidth="1"/>
    <col min="26" max="28" width="14.08984375" customWidth="1"/>
  </cols>
  <sheetData>
    <row r="1" spans="1:28" ht="15" thickBot="1" x14ac:dyDescent="0.4">
      <c r="A1" t="s">
        <v>38</v>
      </c>
      <c r="D1" s="16">
        <v>46304</v>
      </c>
    </row>
    <row r="2" spans="1:28" ht="19" thickBot="1" x14ac:dyDescent="0.5">
      <c r="A2" s="21" t="s">
        <v>51</v>
      </c>
      <c r="B2" s="21"/>
      <c r="K2" s="237" t="s">
        <v>10</v>
      </c>
      <c r="L2" s="237"/>
      <c r="M2" s="237"/>
      <c r="N2" s="237" t="s">
        <v>12</v>
      </c>
      <c r="O2" s="237"/>
      <c r="P2" s="237"/>
      <c r="Q2" s="237" t="s">
        <v>11</v>
      </c>
      <c r="R2" s="237"/>
      <c r="S2" s="237"/>
      <c r="T2" s="237" t="s">
        <v>13</v>
      </c>
      <c r="U2" s="237"/>
      <c r="V2" s="237"/>
      <c r="W2" s="201" t="s">
        <v>537</v>
      </c>
      <c r="Y2" s="234" t="s">
        <v>488</v>
      </c>
      <c r="Z2" s="235"/>
      <c r="AA2" s="235"/>
      <c r="AB2" s="236"/>
    </row>
    <row r="3" spans="1:28" s="64" customFormat="1" ht="24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W3" s="202" t="s">
        <v>538</v>
      </c>
      <c r="Y3" s="169" t="s">
        <v>10</v>
      </c>
      <c r="Z3" s="170" t="s">
        <v>12</v>
      </c>
      <c r="AA3" s="171" t="s">
        <v>11</v>
      </c>
      <c r="AB3" s="172" t="s">
        <v>13</v>
      </c>
    </row>
    <row r="4" spans="1:28" s="64" customFormat="1" ht="11.5" x14ac:dyDescent="0.25">
      <c r="A4" s="70" t="s">
        <v>61</v>
      </c>
      <c r="B4" s="70" t="s">
        <v>62</v>
      </c>
      <c r="C4" s="70" t="s">
        <v>63</v>
      </c>
      <c r="D4" s="70" t="s">
        <v>238</v>
      </c>
      <c r="E4" s="70" t="s">
        <v>5</v>
      </c>
      <c r="F4" s="66">
        <f t="shared" ref="F4:G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>(COUNTIFS(M4,"&lt;="&amp;$D$1)*50%)+(COUNTIFS(P4,"&lt;="&amp;$D$1)*20%)+(COUNTIFS(S4,"&lt;="&amp;$D$1)*10%)+(COUNTIFS(V4,"&lt;="&amp;$D$1)*20%)</f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W4" s="204"/>
      <c r="Y4" s="173" t="str">
        <f t="shared" ref="Y4:Y40" ca="1" si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Z4" s="173" t="str">
        <f t="shared" ref="Z4:Z40" ca="1" si="2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AA4" s="173" t="str">
        <f t="shared" ref="AA4:AA40" ca="1" si="3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B4" s="174" t="str">
        <f t="shared" ref="AB4:AB40" ca="1" si="4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8" s="64" customFormat="1" ht="11.5" x14ac:dyDescent="0.25">
      <c r="A5" s="70" t="s">
        <v>61</v>
      </c>
      <c r="B5" s="70" t="s">
        <v>62</v>
      </c>
      <c r="C5" s="65" t="s">
        <v>63</v>
      </c>
      <c r="D5" s="65" t="s">
        <v>256</v>
      </c>
      <c r="E5" s="65" t="s">
        <v>6</v>
      </c>
      <c r="F5" s="66">
        <f t="shared" si="0"/>
        <v>1</v>
      </c>
      <c r="G5" s="66">
        <f t="shared" si="0"/>
        <v>1</v>
      </c>
      <c r="H5" s="66">
        <f>(COUNTIFS(M5,"&lt;="&amp;$D$1)*50%)+(COUNTIFS(P5,"&lt;="&amp;$D$1)*20%)+(COUNTIFS(S5,"&lt;="&amp;$D$1)*10%)+(COUNTIFS(V5,"&lt;="&amp;$D$1)*20%)</f>
        <v>0.7</v>
      </c>
      <c r="I5" s="66">
        <f t="shared" ref="I5:I88" si="5">H5-F5</f>
        <v>-0.30000000000000004</v>
      </c>
      <c r="J5" s="71">
        <v>1</v>
      </c>
      <c r="K5" s="72">
        <v>46122</v>
      </c>
      <c r="L5" s="68">
        <f t="shared" ref="L5:L102" si="6">K5</f>
        <v>46122</v>
      </c>
      <c r="M5" s="72">
        <v>46135</v>
      </c>
      <c r="N5" s="72">
        <f t="shared" ref="N5:N102" si="7">K5+42</f>
        <v>46164</v>
      </c>
      <c r="O5" s="68">
        <f t="shared" ref="O5:O102" si="8">N5</f>
        <v>46164</v>
      </c>
      <c r="P5" s="74">
        <v>46230</v>
      </c>
      <c r="Q5" s="72">
        <f t="shared" ref="Q5:Q102" si="9">N5+42</f>
        <v>46206</v>
      </c>
      <c r="R5" s="72">
        <f t="shared" ref="R5:R102" si="10">Q5</f>
        <v>46206</v>
      </c>
      <c r="S5" s="74"/>
      <c r="T5" s="74">
        <f t="shared" ref="T5:T102" si="11">Q5+14</f>
        <v>46220</v>
      </c>
      <c r="U5" s="68">
        <f t="shared" ref="U5:U102" si="12">T5</f>
        <v>46220</v>
      </c>
      <c r="V5" s="72"/>
      <c r="W5" s="204"/>
      <c r="Y5" s="175" t="str">
        <f t="shared" ca="1" si="1"/>
        <v>Completed</v>
      </c>
      <c r="Z5" s="175" t="str">
        <f t="shared" ca="1" si="2"/>
        <v>Completed</v>
      </c>
      <c r="AA5" s="175" t="str">
        <f t="shared" ca="1" si="3"/>
        <v>Overdue</v>
      </c>
      <c r="AB5" s="176" t="str">
        <f t="shared" ca="1" si="4"/>
        <v>Overdue</v>
      </c>
    </row>
    <row r="6" spans="1:28" s="64" customFormat="1" ht="11.5" x14ac:dyDescent="0.25">
      <c r="A6" s="70" t="s">
        <v>61</v>
      </c>
      <c r="B6" s="70" t="s">
        <v>62</v>
      </c>
      <c r="C6" s="65" t="s">
        <v>63</v>
      </c>
      <c r="D6" s="80" t="s">
        <v>255</v>
      </c>
      <c r="E6" s="65" t="s">
        <v>7</v>
      </c>
      <c r="F6" s="66">
        <f t="shared" si="0"/>
        <v>1</v>
      </c>
      <c r="G6" s="66">
        <f t="shared" si="0"/>
        <v>1</v>
      </c>
      <c r="H6" s="66">
        <f>(COUNTIFS(M6,"&lt;="&amp;$D$1)*50%)+(COUNTIFS(P6,"&lt;="&amp;$D$1)*20%)+(COUNTIFS(S6,"&lt;="&amp;$D$1)*10%)+(COUNTIFS(V6,"&lt;="&amp;$D$1)*20%)</f>
        <v>1</v>
      </c>
      <c r="I6" s="66">
        <f t="shared" si="5"/>
        <v>0</v>
      </c>
      <c r="J6" s="71">
        <v>1</v>
      </c>
      <c r="K6" s="72">
        <v>46122</v>
      </c>
      <c r="L6" s="68">
        <f t="shared" si="6"/>
        <v>46122</v>
      </c>
      <c r="M6" s="72">
        <v>46122</v>
      </c>
      <c r="N6" s="72">
        <f t="shared" si="7"/>
        <v>46164</v>
      </c>
      <c r="O6" s="68">
        <f t="shared" si="8"/>
        <v>46164</v>
      </c>
      <c r="P6" s="72">
        <v>46171</v>
      </c>
      <c r="Q6" s="72">
        <f t="shared" si="9"/>
        <v>46206</v>
      </c>
      <c r="R6" s="72">
        <f t="shared" si="10"/>
        <v>46206</v>
      </c>
      <c r="S6" s="72">
        <v>46171</v>
      </c>
      <c r="T6" s="72">
        <f t="shared" si="11"/>
        <v>46220</v>
      </c>
      <c r="U6" s="68">
        <f t="shared" si="12"/>
        <v>46220</v>
      </c>
      <c r="V6" s="72">
        <v>46192</v>
      </c>
      <c r="W6" s="204"/>
      <c r="Y6" s="175" t="str">
        <f t="shared" ca="1" si="1"/>
        <v>Completed</v>
      </c>
      <c r="Z6" s="175" t="str">
        <f t="shared" ca="1" si="2"/>
        <v>Completed</v>
      </c>
      <c r="AA6" s="175" t="str">
        <f t="shared" ca="1" si="3"/>
        <v>Completed</v>
      </c>
      <c r="AB6" s="176" t="str">
        <f t="shared" ca="1" si="4"/>
        <v>Completed</v>
      </c>
    </row>
    <row r="7" spans="1:28" s="64" customFormat="1" ht="11.5" hidden="1" x14ac:dyDescent="0.25">
      <c r="A7" s="141" t="s">
        <v>61</v>
      </c>
      <c r="B7" s="141" t="s">
        <v>64</v>
      </c>
      <c r="C7" s="141" t="s">
        <v>63</v>
      </c>
      <c r="D7" s="142" t="s">
        <v>237</v>
      </c>
      <c r="E7" s="141" t="s">
        <v>66</v>
      </c>
      <c r="F7" s="143"/>
      <c r="G7" s="143"/>
      <c r="H7" s="143"/>
      <c r="I7" s="143"/>
      <c r="J7" s="144"/>
      <c r="K7" s="145"/>
      <c r="L7" s="145"/>
      <c r="M7" s="146"/>
      <c r="N7" s="145"/>
      <c r="O7" s="145"/>
      <c r="P7" s="146"/>
      <c r="Q7" s="145"/>
      <c r="R7" s="145"/>
      <c r="S7" s="145"/>
      <c r="T7" s="145"/>
      <c r="U7" s="145"/>
      <c r="V7" s="145"/>
      <c r="W7" s="205"/>
      <c r="Y7" s="175" t="str">
        <f t="shared" ca="1" si="1"/>
        <v/>
      </c>
      <c r="Z7" s="175" t="str">
        <f t="shared" ca="1" si="2"/>
        <v/>
      </c>
      <c r="AA7" s="175" t="str">
        <f t="shared" ca="1" si="3"/>
        <v/>
      </c>
      <c r="AB7" s="176" t="str">
        <f t="shared" ca="1" si="4"/>
        <v/>
      </c>
    </row>
    <row r="8" spans="1:28" s="64" customFormat="1" ht="11.5" hidden="1" x14ac:dyDescent="0.25">
      <c r="A8" s="147" t="s">
        <v>61</v>
      </c>
      <c r="B8" s="147" t="s">
        <v>67</v>
      </c>
      <c r="C8" s="147" t="s">
        <v>63</v>
      </c>
      <c r="D8" s="148" t="s">
        <v>65</v>
      </c>
      <c r="E8" s="147" t="s">
        <v>69</v>
      </c>
      <c r="F8" s="149"/>
      <c r="G8" s="149"/>
      <c r="H8" s="149"/>
      <c r="I8" s="149"/>
      <c r="J8" s="150"/>
      <c r="K8" s="151"/>
      <c r="L8" s="151"/>
      <c r="M8" s="152"/>
      <c r="N8" s="151"/>
      <c r="O8" s="151"/>
      <c r="P8" s="152"/>
      <c r="Q8" s="151"/>
      <c r="R8" s="151"/>
      <c r="S8" s="152"/>
      <c r="T8" s="152"/>
      <c r="U8" s="151"/>
      <c r="V8" s="151"/>
      <c r="W8" s="206"/>
      <c r="Y8" s="175" t="str">
        <f t="shared" ca="1" si="1"/>
        <v/>
      </c>
      <c r="Z8" s="175" t="str">
        <f t="shared" ca="1" si="2"/>
        <v/>
      </c>
      <c r="AA8" s="175" t="str">
        <f t="shared" ca="1" si="3"/>
        <v/>
      </c>
      <c r="AB8" s="176" t="str">
        <f t="shared" ca="1" si="4"/>
        <v/>
      </c>
    </row>
    <row r="9" spans="1:28" s="64" customFormat="1" ht="11.5" hidden="1" x14ac:dyDescent="0.25">
      <c r="A9" s="153" t="s">
        <v>61</v>
      </c>
      <c r="B9" s="153" t="s">
        <v>70</v>
      </c>
      <c r="C9" s="153" t="s">
        <v>63</v>
      </c>
      <c r="D9" s="154" t="s">
        <v>68</v>
      </c>
      <c r="E9" s="153" t="s">
        <v>72</v>
      </c>
      <c r="F9" s="155"/>
      <c r="G9" s="155"/>
      <c r="H9" s="155"/>
      <c r="I9" s="155"/>
      <c r="J9" s="156"/>
      <c r="K9" s="157"/>
      <c r="L9" s="157"/>
      <c r="M9" s="158"/>
      <c r="N9" s="157"/>
      <c r="O9" s="157"/>
      <c r="P9" s="158"/>
      <c r="Q9" s="157"/>
      <c r="R9" s="157"/>
      <c r="S9" s="158"/>
      <c r="T9" s="158"/>
      <c r="U9" s="157"/>
      <c r="V9" s="158"/>
      <c r="W9" s="207"/>
      <c r="Y9" s="175" t="str">
        <f t="shared" ca="1" si="1"/>
        <v/>
      </c>
      <c r="Z9" s="175" t="str">
        <f t="shared" ca="1" si="2"/>
        <v/>
      </c>
      <c r="AA9" s="175" t="str">
        <f t="shared" ca="1" si="3"/>
        <v/>
      </c>
      <c r="AB9" s="176" t="str">
        <f t="shared" ca="1" si="4"/>
        <v/>
      </c>
    </row>
    <row r="10" spans="1:28" s="64" customFormat="1" ht="11.5" hidden="1" x14ac:dyDescent="0.25">
      <c r="A10" s="159" t="s">
        <v>61</v>
      </c>
      <c r="B10" s="159" t="s">
        <v>73</v>
      </c>
      <c r="C10" s="159" t="s">
        <v>63</v>
      </c>
      <c r="D10" s="160" t="s">
        <v>71</v>
      </c>
      <c r="E10" s="159" t="s">
        <v>74</v>
      </c>
      <c r="F10" s="161"/>
      <c r="G10" s="161"/>
      <c r="H10" s="161"/>
      <c r="I10" s="161"/>
      <c r="J10" s="162"/>
      <c r="K10" s="163"/>
      <c r="L10" s="163"/>
      <c r="M10" s="163"/>
      <c r="N10" s="164"/>
      <c r="O10" s="163"/>
      <c r="P10" s="163"/>
      <c r="Q10" s="164"/>
      <c r="R10" s="163"/>
      <c r="S10" s="163"/>
      <c r="T10" s="164"/>
      <c r="U10" s="163"/>
      <c r="V10" s="163"/>
      <c r="W10" s="208"/>
      <c r="Y10" s="175" t="str">
        <f t="shared" ca="1" si="1"/>
        <v/>
      </c>
      <c r="Z10" s="175" t="str">
        <f t="shared" ca="1" si="2"/>
        <v/>
      </c>
      <c r="AA10" s="175" t="str">
        <f t="shared" ca="1" si="3"/>
        <v/>
      </c>
      <c r="AB10" s="176" t="str">
        <f t="shared" ca="1" si="4"/>
        <v/>
      </c>
    </row>
    <row r="11" spans="1:28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391</v>
      </c>
      <c r="E11" s="70" t="s">
        <v>392</v>
      </c>
      <c r="F11" s="116">
        <f t="shared" ref="F11:G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ref="H11:H47" si="14">(COUNTIFS(M11,"&lt;="&amp;$D$1)*50%)+(COUNTIFS(P11,"&lt;="&amp;$D$1)*20%)+(COUNTIFS(S11,"&lt;="&amp;$D$1)*10%)+(COUNTIFS(V11,"&lt;="&amp;$D$1)*20%)</f>
        <v>1</v>
      </c>
      <c r="I11" s="116">
        <f t="shared" ref="I11" si="15">H11-F11</f>
        <v>0</v>
      </c>
      <c r="J11" s="89">
        <v>8</v>
      </c>
      <c r="K11" s="72">
        <v>46122</v>
      </c>
      <c r="L11" s="72">
        <f t="shared" ref="L11" si="16">K11</f>
        <v>46122</v>
      </c>
      <c r="M11" s="72">
        <v>46142</v>
      </c>
      <c r="N11" s="74">
        <f t="shared" ref="N11" si="17">K11+42</f>
        <v>46164</v>
      </c>
      <c r="O11" s="72">
        <f t="shared" ref="O11" si="18">N11</f>
        <v>46164</v>
      </c>
      <c r="P11" s="72">
        <v>46183</v>
      </c>
      <c r="Q11" s="74">
        <f t="shared" ref="Q11" si="19">N11+42</f>
        <v>46206</v>
      </c>
      <c r="R11" s="72">
        <f t="shared" ref="R11" si="20">Q11</f>
        <v>46206</v>
      </c>
      <c r="S11" s="72">
        <v>46183</v>
      </c>
      <c r="T11" s="74">
        <f t="shared" ref="T11" si="21">Q11+14</f>
        <v>46220</v>
      </c>
      <c r="U11" s="72">
        <f t="shared" ref="U11" si="22">T11</f>
        <v>46220</v>
      </c>
      <c r="V11" s="72">
        <v>46183</v>
      </c>
      <c r="W11" s="204"/>
      <c r="Y11" s="175" t="str">
        <f t="shared" ca="1" si="1"/>
        <v>Completed</v>
      </c>
      <c r="Z11" s="175" t="str">
        <f t="shared" ca="1" si="2"/>
        <v>Completed</v>
      </c>
      <c r="AA11" s="175" t="str">
        <f t="shared" ca="1" si="3"/>
        <v>Completed</v>
      </c>
      <c r="AB11" s="176" t="str">
        <f t="shared" ca="1" si="4"/>
        <v>Completed</v>
      </c>
    </row>
    <row r="12" spans="1:28" s="64" customFormat="1" ht="11.5" x14ac:dyDescent="0.25">
      <c r="A12" s="132" t="s">
        <v>61</v>
      </c>
      <c r="B12" s="132" t="s">
        <v>62</v>
      </c>
      <c r="C12" s="180" t="s">
        <v>63</v>
      </c>
      <c r="D12" s="181" t="s">
        <v>239</v>
      </c>
      <c r="E12" s="180" t="s">
        <v>507</v>
      </c>
      <c r="F12" s="183">
        <f t="shared" ref="F12" si="23">(COUNTIFS(K12,"&lt;="&amp;$D$1)*50%)+(COUNTIFS(N12,"&lt;="&amp;$D$1)*20%)+(COUNTIFS(Q12,"&lt;="&amp;$D$1)*10%)+(COUNTIFS(T12,"&lt;="&amp;$D$1)*20%)</f>
        <v>1</v>
      </c>
      <c r="G12" s="183">
        <f t="shared" ref="G12" si="24">(COUNTIFS(L12,"&lt;="&amp;$D$1)*50%)+(COUNTIFS(O12,"&lt;="&amp;$D$1)*20%)+(COUNTIFS(R12,"&lt;="&amp;$D$1)*10%)+(COUNTIFS(U12,"&lt;="&amp;$D$1)*20%)</f>
        <v>1</v>
      </c>
      <c r="H12" s="183">
        <f t="shared" si="14"/>
        <v>1</v>
      </c>
      <c r="I12" s="183">
        <f t="shared" ref="I12" si="25">H12-F12</f>
        <v>0</v>
      </c>
      <c r="J12" s="189">
        <v>1.25</v>
      </c>
      <c r="K12" s="140">
        <v>46136</v>
      </c>
      <c r="L12" s="140">
        <f t="shared" si="6"/>
        <v>46136</v>
      </c>
      <c r="M12" s="136">
        <v>46136</v>
      </c>
      <c r="N12" s="140">
        <f t="shared" si="7"/>
        <v>46178</v>
      </c>
      <c r="O12" s="140">
        <f t="shared" si="8"/>
        <v>46178</v>
      </c>
      <c r="P12" s="136">
        <v>46188</v>
      </c>
      <c r="Q12" s="140">
        <f t="shared" si="9"/>
        <v>46220</v>
      </c>
      <c r="R12" s="140">
        <f t="shared" si="10"/>
        <v>46220</v>
      </c>
      <c r="S12" s="136">
        <v>46255</v>
      </c>
      <c r="T12" s="140">
        <f t="shared" si="11"/>
        <v>46234</v>
      </c>
      <c r="U12" s="140">
        <f t="shared" si="12"/>
        <v>46234</v>
      </c>
      <c r="V12" s="136">
        <v>46255</v>
      </c>
      <c r="W12" s="209"/>
      <c r="Y12" s="175" t="str">
        <f t="shared" ca="1" si="1"/>
        <v>Completed</v>
      </c>
      <c r="Z12" s="175" t="str">
        <f t="shared" ca="1" si="2"/>
        <v>Completed</v>
      </c>
      <c r="AA12" s="175" t="str">
        <f t="shared" ca="1" si="3"/>
        <v>Completed</v>
      </c>
      <c r="AB12" s="176" t="str">
        <f t="shared" ca="1" si="4"/>
        <v>Completed</v>
      </c>
    </row>
    <row r="13" spans="1:28" s="64" customFormat="1" ht="11.5" x14ac:dyDescent="0.25">
      <c r="A13" s="132" t="s">
        <v>61</v>
      </c>
      <c r="B13" s="132" t="s">
        <v>62</v>
      </c>
      <c r="C13" s="180" t="s">
        <v>63</v>
      </c>
      <c r="D13" s="181" t="s">
        <v>239</v>
      </c>
      <c r="E13" s="180" t="s">
        <v>541</v>
      </c>
      <c r="F13" s="183">
        <f>(COUNTIFS(K13,"&lt;="&amp;$D$1)*50%)+(COUNTIFS(N13,"&lt;="&amp;$D$1)*20%)+(COUNTIFS(Q13,"&lt;="&amp;$D$1)*10%)+(COUNTIFS(T13,"&lt;="&amp;$D$1)*20%)</f>
        <v>1</v>
      </c>
      <c r="G13" s="183">
        <f>(COUNTIFS(L13,"&lt;="&amp;$D$1)*50%)+(COUNTIFS(O13,"&lt;="&amp;$D$1)*20%)+(COUNTIFS(R13,"&lt;="&amp;$D$1)*10%)+(COUNTIFS(U13,"&lt;="&amp;$D$1)*20%)</f>
        <v>1</v>
      </c>
      <c r="H13" s="183">
        <f t="shared" si="14"/>
        <v>1</v>
      </c>
      <c r="I13" s="183">
        <f>H13-F13</f>
        <v>0</v>
      </c>
      <c r="J13" s="189">
        <v>0.375</v>
      </c>
      <c r="K13" s="140">
        <v>46136</v>
      </c>
      <c r="L13" s="140">
        <f>K13</f>
        <v>46136</v>
      </c>
      <c r="M13" s="136">
        <v>46136</v>
      </c>
      <c r="N13" s="140">
        <f>K13+42</f>
        <v>46178</v>
      </c>
      <c r="O13" s="140">
        <f>N13</f>
        <v>46178</v>
      </c>
      <c r="P13" s="136">
        <v>46188</v>
      </c>
      <c r="Q13" s="140">
        <f>N13+42</f>
        <v>46220</v>
      </c>
      <c r="R13" s="140">
        <f>Q13</f>
        <v>46220</v>
      </c>
      <c r="S13" s="136">
        <v>46269</v>
      </c>
      <c r="T13" s="140">
        <f>Q13+14</f>
        <v>46234</v>
      </c>
      <c r="U13" s="140">
        <f>T13</f>
        <v>46234</v>
      </c>
      <c r="V13" s="136">
        <v>46297</v>
      </c>
      <c r="W13" s="204"/>
      <c r="Y13" s="175" t="str">
        <f t="shared" ca="1" si="1"/>
        <v>Completed</v>
      </c>
      <c r="Z13" s="175" t="str">
        <f t="shared" ca="1" si="2"/>
        <v>Completed</v>
      </c>
      <c r="AA13" s="175" t="str">
        <f t="shared" ca="1" si="3"/>
        <v>Completed</v>
      </c>
      <c r="AB13" s="176" t="str">
        <f t="shared" ca="1" si="4"/>
        <v>Completed</v>
      </c>
    </row>
    <row r="14" spans="1:28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239</v>
      </c>
      <c r="E14" s="65" t="s">
        <v>75</v>
      </c>
      <c r="F14" s="66">
        <f>(COUNTIFS(K14,"&lt;="&amp;$D$1)*50%)+(COUNTIFS(N14,"&lt;="&amp;$D$1)*20%)+(COUNTIFS(Q14,"&lt;="&amp;$D$1)*10%)+(COUNTIFS(T14,"&lt;="&amp;$D$1)*20%)</f>
        <v>1</v>
      </c>
      <c r="G14" s="66">
        <f>(COUNTIFS(L14,"&lt;="&amp;$D$1)*50%)+(COUNTIFS(O14,"&lt;="&amp;$D$1)*20%)+(COUNTIFS(R14,"&lt;="&amp;$D$1)*10%)+(COUNTIFS(U14,"&lt;="&amp;$D$1)*20%)</f>
        <v>1</v>
      </c>
      <c r="H14" s="66">
        <f t="shared" ref="H14" si="26">(COUNTIFS(M14,"&lt;="&amp;$D$1)*50%)+(COUNTIFS(P14,"&lt;="&amp;$D$1)*20%)+(COUNTIFS(S14,"&lt;="&amp;$D$1)*10%)+(COUNTIFS(V14,"&lt;="&amp;$D$1)*20%)</f>
        <v>0.79999999999999993</v>
      </c>
      <c r="I14" s="66">
        <f>H14-F14</f>
        <v>-0.20000000000000007</v>
      </c>
      <c r="J14" s="89">
        <v>0.375</v>
      </c>
      <c r="K14" s="74">
        <v>46136</v>
      </c>
      <c r="L14" s="74">
        <f>K14</f>
        <v>46136</v>
      </c>
      <c r="M14" s="72">
        <v>46136</v>
      </c>
      <c r="N14" s="74">
        <f>K14+42</f>
        <v>46178</v>
      </c>
      <c r="O14" s="74">
        <f>N14</f>
        <v>46178</v>
      </c>
      <c r="P14" s="72">
        <v>46188</v>
      </c>
      <c r="Q14" s="74">
        <f>N14+42</f>
        <v>46220</v>
      </c>
      <c r="R14" s="74">
        <f>Q14</f>
        <v>46220</v>
      </c>
      <c r="S14" s="72">
        <v>46269</v>
      </c>
      <c r="T14" s="74">
        <f>Q14+14</f>
        <v>46234</v>
      </c>
      <c r="U14" s="74">
        <f>T14</f>
        <v>46234</v>
      </c>
      <c r="V14" s="72"/>
      <c r="W14" s="204" t="s">
        <v>539</v>
      </c>
      <c r="Y14" s="175" t="str">
        <f t="shared" ref="Y14" ca="1" si="2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Z14" s="175" t="str">
        <f t="shared" ref="Z14" ca="1" si="2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AA14" s="175" t="str">
        <f t="shared" ref="AA14" ca="1" si="2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B14" s="176" t="str">
        <f t="shared" ref="AB14" ca="1" si="3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Overdue</v>
      </c>
    </row>
    <row r="15" spans="1:28" s="64" customFormat="1" ht="11.5" x14ac:dyDescent="0.25">
      <c r="A15" s="132" t="s">
        <v>61</v>
      </c>
      <c r="B15" s="132" t="s">
        <v>62</v>
      </c>
      <c r="C15" s="180" t="s">
        <v>63</v>
      </c>
      <c r="D15" s="181" t="s">
        <v>240</v>
      </c>
      <c r="E15" s="180" t="s">
        <v>76</v>
      </c>
      <c r="F15" s="183">
        <f t="shared" ref="F15" si="31">(COUNTIFS(K15,"&lt;="&amp;$D$1)*50%)+(COUNTIFS(N15,"&lt;="&amp;$D$1)*20%)+(COUNTIFS(Q15,"&lt;="&amp;$D$1)*10%)+(COUNTIFS(T15,"&lt;="&amp;$D$1)*20%)</f>
        <v>1</v>
      </c>
      <c r="G15" s="183">
        <f t="shared" ref="G15" si="32">(COUNTIFS(L15,"&lt;="&amp;$D$1)*50%)+(COUNTIFS(O15,"&lt;="&amp;$D$1)*20%)+(COUNTIFS(R15,"&lt;="&amp;$D$1)*10%)+(COUNTIFS(U15,"&lt;="&amp;$D$1)*20%)</f>
        <v>1</v>
      </c>
      <c r="H15" s="183">
        <f t="shared" si="14"/>
        <v>1</v>
      </c>
      <c r="I15" s="183">
        <f t="shared" ref="I15" si="33">H15-F15</f>
        <v>0</v>
      </c>
      <c r="J15" s="189">
        <v>1</v>
      </c>
      <c r="K15" s="140">
        <v>46136</v>
      </c>
      <c r="L15" s="140">
        <f t="shared" ref="L15" si="34">K15</f>
        <v>46136</v>
      </c>
      <c r="M15" s="136">
        <v>46142</v>
      </c>
      <c r="N15" s="140">
        <f t="shared" ref="N15" si="35">K15+42</f>
        <v>46178</v>
      </c>
      <c r="O15" s="140">
        <f t="shared" ref="O15" si="36">N15</f>
        <v>46178</v>
      </c>
      <c r="P15" s="140">
        <v>46220</v>
      </c>
      <c r="Q15" s="140">
        <f t="shared" ref="Q15" si="37">N15+42</f>
        <v>46220</v>
      </c>
      <c r="R15" s="140">
        <f t="shared" ref="R15" si="38">Q15</f>
        <v>46220</v>
      </c>
      <c r="S15" s="136">
        <v>46262</v>
      </c>
      <c r="T15" s="140">
        <f t="shared" ref="T15" si="39">Q15+14</f>
        <v>46234</v>
      </c>
      <c r="U15" s="140">
        <f t="shared" ref="U15" si="40">T15</f>
        <v>46234</v>
      </c>
      <c r="V15" s="136">
        <v>46262</v>
      </c>
      <c r="W15" s="209"/>
      <c r="Y15" s="175" t="str">
        <f t="shared" ca="1" si="1"/>
        <v>Completed</v>
      </c>
      <c r="Z15" s="175" t="str">
        <f t="shared" ca="1" si="2"/>
        <v>Completed</v>
      </c>
      <c r="AA15" s="175" t="str">
        <f t="shared" ca="1" si="3"/>
        <v>Completed</v>
      </c>
      <c r="AB15" s="176" t="str">
        <f t="shared" ca="1" si="4"/>
        <v>Completed</v>
      </c>
    </row>
    <row r="16" spans="1:28" s="64" customFormat="1" ht="11.5" x14ac:dyDescent="0.25">
      <c r="A16" s="132" t="s">
        <v>61</v>
      </c>
      <c r="B16" s="132" t="s">
        <v>62</v>
      </c>
      <c r="C16" s="180" t="s">
        <v>63</v>
      </c>
      <c r="D16" s="181" t="s">
        <v>240</v>
      </c>
      <c r="E16" s="180" t="s">
        <v>542</v>
      </c>
      <c r="F16" s="183">
        <f t="shared" ref="F16" si="41">(COUNTIFS(K16,"&lt;="&amp;$D$1)*50%)+(COUNTIFS(N16,"&lt;="&amp;$D$1)*20%)+(COUNTIFS(Q16,"&lt;="&amp;$D$1)*10%)+(COUNTIFS(T16,"&lt;="&amp;$D$1)*20%)</f>
        <v>1</v>
      </c>
      <c r="G16" s="183">
        <f t="shared" ref="G16" si="42">(COUNTIFS(L16,"&lt;="&amp;$D$1)*50%)+(COUNTIFS(O16,"&lt;="&amp;$D$1)*20%)+(COUNTIFS(R16,"&lt;="&amp;$D$1)*10%)+(COUNTIFS(U16,"&lt;="&amp;$D$1)*20%)</f>
        <v>1</v>
      </c>
      <c r="H16" s="183">
        <f t="shared" si="14"/>
        <v>1</v>
      </c>
      <c r="I16" s="183">
        <f t="shared" ref="I16" si="43">H16-F16</f>
        <v>0</v>
      </c>
      <c r="J16" s="189">
        <v>0.5</v>
      </c>
      <c r="K16" s="140">
        <v>46136</v>
      </c>
      <c r="L16" s="140">
        <f t="shared" ref="L16" si="44">K16</f>
        <v>46136</v>
      </c>
      <c r="M16" s="136">
        <v>46142</v>
      </c>
      <c r="N16" s="140">
        <f t="shared" ref="N16" si="45">K16+42</f>
        <v>46178</v>
      </c>
      <c r="O16" s="140">
        <f t="shared" ref="O16" si="46">N16</f>
        <v>46178</v>
      </c>
      <c r="P16" s="140">
        <v>46220</v>
      </c>
      <c r="Q16" s="140">
        <f t="shared" ref="Q16" si="47">N16+42</f>
        <v>46220</v>
      </c>
      <c r="R16" s="140">
        <f t="shared" ref="R16" si="48">Q16</f>
        <v>46220</v>
      </c>
      <c r="S16" s="136">
        <v>46283</v>
      </c>
      <c r="T16" s="140">
        <f t="shared" ref="T16" si="49">Q16+14</f>
        <v>46234</v>
      </c>
      <c r="U16" s="140">
        <f t="shared" ref="U16" si="50">T16</f>
        <v>46234</v>
      </c>
      <c r="V16" s="136">
        <v>46297</v>
      </c>
      <c r="W16" s="204"/>
      <c r="Y16" s="175" t="str">
        <f t="shared" ca="1" si="1"/>
        <v>Completed</v>
      </c>
      <c r="Z16" s="175" t="str">
        <f t="shared" ca="1" si="2"/>
        <v>Completed</v>
      </c>
      <c r="AA16" s="175" t="str">
        <f t="shared" ca="1" si="3"/>
        <v>Completed</v>
      </c>
      <c r="AB16" s="176" t="str">
        <f t="shared" ca="1" si="4"/>
        <v>Completed</v>
      </c>
    </row>
    <row r="17" spans="1:28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240</v>
      </c>
      <c r="E17" s="65" t="s">
        <v>512</v>
      </c>
      <c r="F17" s="66">
        <f t="shared" ref="F17" si="51">(COUNTIFS(K17,"&lt;="&amp;$D$1)*50%)+(COUNTIFS(N17,"&lt;="&amp;$D$1)*20%)+(COUNTIFS(Q17,"&lt;="&amp;$D$1)*10%)+(COUNTIFS(T17,"&lt;="&amp;$D$1)*20%)</f>
        <v>1</v>
      </c>
      <c r="G17" s="66">
        <f t="shared" ref="G17" si="52">(COUNTIFS(L17,"&lt;="&amp;$D$1)*50%)+(COUNTIFS(O17,"&lt;="&amp;$D$1)*20%)+(COUNTIFS(R17,"&lt;="&amp;$D$1)*10%)+(COUNTIFS(U17,"&lt;="&amp;$D$1)*20%)</f>
        <v>1</v>
      </c>
      <c r="H17" s="66">
        <f t="shared" ref="H17" si="53">(COUNTIFS(M17,"&lt;="&amp;$D$1)*50%)+(COUNTIFS(P17,"&lt;="&amp;$D$1)*20%)+(COUNTIFS(S17,"&lt;="&amp;$D$1)*10%)+(COUNTIFS(V17,"&lt;="&amp;$D$1)*20%)</f>
        <v>0.79999999999999993</v>
      </c>
      <c r="I17" s="66">
        <f t="shared" ref="I17" si="54">H17-F17</f>
        <v>-0.20000000000000007</v>
      </c>
      <c r="J17" s="89">
        <v>0.5</v>
      </c>
      <c r="K17" s="74">
        <v>46136</v>
      </c>
      <c r="L17" s="74">
        <f t="shared" ref="L17" si="55">K17</f>
        <v>46136</v>
      </c>
      <c r="M17" s="72">
        <v>46142</v>
      </c>
      <c r="N17" s="74">
        <f t="shared" ref="N17" si="56">K17+42</f>
        <v>46178</v>
      </c>
      <c r="O17" s="74">
        <f t="shared" ref="O17" si="57">N17</f>
        <v>46178</v>
      </c>
      <c r="P17" s="74">
        <v>46220</v>
      </c>
      <c r="Q17" s="74">
        <f t="shared" ref="Q17" si="58">N17+42</f>
        <v>46220</v>
      </c>
      <c r="R17" s="74">
        <f t="shared" ref="R17" si="59">Q17</f>
        <v>46220</v>
      </c>
      <c r="S17" s="72">
        <v>46283</v>
      </c>
      <c r="T17" s="74">
        <f t="shared" ref="T17" si="60">Q17+14</f>
        <v>46234</v>
      </c>
      <c r="U17" s="74">
        <f t="shared" ref="U17" si="61">T17</f>
        <v>46234</v>
      </c>
      <c r="V17" s="72"/>
      <c r="W17" s="204" t="s">
        <v>539</v>
      </c>
      <c r="Y17" s="175" t="str">
        <f t="shared" ref="Y17" ca="1" si="62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Z17" s="175" t="str">
        <f t="shared" ref="Z17" ca="1" si="63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AA17" s="175" t="str">
        <f t="shared" ref="AA17" ca="1" si="64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Completed</v>
      </c>
      <c r="AB17" s="176" t="str">
        <f t="shared" ref="AB17" ca="1" si="65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8" s="64" customFormat="1" ht="11.5" x14ac:dyDescent="0.25">
      <c r="A18" s="132" t="s">
        <v>61</v>
      </c>
      <c r="B18" s="132" t="s">
        <v>62</v>
      </c>
      <c r="C18" s="180" t="s">
        <v>63</v>
      </c>
      <c r="D18" s="181" t="s">
        <v>241</v>
      </c>
      <c r="E18" s="180" t="s">
        <v>77</v>
      </c>
      <c r="F18" s="183">
        <f t="shared" ref="F18:F60" si="66">(COUNTIFS(K18,"&lt;="&amp;$D$1)*50%)+(COUNTIFS(N18,"&lt;="&amp;$D$1)*20%)+(COUNTIFS(Q18,"&lt;="&amp;$D$1)*10%)+(COUNTIFS(T18,"&lt;="&amp;$D$1)*20%)</f>
        <v>1</v>
      </c>
      <c r="G18" s="183">
        <f t="shared" ref="G18:G60" si="67">(COUNTIFS(L18,"&lt;="&amp;$D$1)*50%)+(COUNTIFS(O18,"&lt;="&amp;$D$1)*20%)+(COUNTIFS(R18,"&lt;="&amp;$D$1)*10%)+(COUNTIFS(U18,"&lt;="&amp;$D$1)*20%)</f>
        <v>1</v>
      </c>
      <c r="H18" s="183">
        <f t="shared" si="14"/>
        <v>1</v>
      </c>
      <c r="I18" s="183">
        <f t="shared" si="5"/>
        <v>0</v>
      </c>
      <c r="J18" s="189">
        <v>1</v>
      </c>
      <c r="K18" s="140">
        <v>46143</v>
      </c>
      <c r="L18" s="191">
        <f t="shared" si="6"/>
        <v>46143</v>
      </c>
      <c r="M18" s="136">
        <v>46161</v>
      </c>
      <c r="N18" s="140">
        <f t="shared" si="7"/>
        <v>46185</v>
      </c>
      <c r="O18" s="191">
        <f t="shared" si="8"/>
        <v>46185</v>
      </c>
      <c r="P18" s="136">
        <v>46234</v>
      </c>
      <c r="Q18" s="140">
        <f t="shared" si="9"/>
        <v>46227</v>
      </c>
      <c r="R18" s="191">
        <f t="shared" si="10"/>
        <v>46227</v>
      </c>
      <c r="S18" s="140">
        <v>46262</v>
      </c>
      <c r="T18" s="140">
        <f t="shared" si="11"/>
        <v>46241</v>
      </c>
      <c r="U18" s="191">
        <f t="shared" si="12"/>
        <v>46241</v>
      </c>
      <c r="V18" s="136">
        <v>46262</v>
      </c>
      <c r="W18" s="209"/>
      <c r="Y18" s="175" t="str">
        <f t="shared" ca="1" si="1"/>
        <v>Completed</v>
      </c>
      <c r="Z18" s="175" t="str">
        <f t="shared" ca="1" si="2"/>
        <v>Completed</v>
      </c>
      <c r="AA18" s="175" t="str">
        <f t="shared" ca="1" si="3"/>
        <v>Completed</v>
      </c>
      <c r="AB18" s="176" t="str">
        <f t="shared" ca="1" si="4"/>
        <v>Completed</v>
      </c>
    </row>
    <row r="19" spans="1:28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241</v>
      </c>
      <c r="E19" s="65" t="s">
        <v>513</v>
      </c>
      <c r="F19" s="66">
        <f t="shared" ref="F19:F20" si="68">(COUNTIFS(K19,"&lt;="&amp;$D$1)*50%)+(COUNTIFS(N19,"&lt;="&amp;$D$1)*20%)+(COUNTIFS(Q19,"&lt;="&amp;$D$1)*10%)+(COUNTIFS(T19,"&lt;="&amp;$D$1)*20%)</f>
        <v>1</v>
      </c>
      <c r="G19" s="66">
        <f t="shared" ref="G19:G20" si="69">(COUNTIFS(L19,"&lt;="&amp;$D$1)*50%)+(COUNTIFS(O19,"&lt;="&amp;$D$1)*20%)+(COUNTIFS(R19,"&lt;="&amp;$D$1)*10%)+(COUNTIFS(U19,"&lt;="&amp;$D$1)*20%)</f>
        <v>1</v>
      </c>
      <c r="H19" s="66">
        <f t="shared" si="14"/>
        <v>0.79999999999999993</v>
      </c>
      <c r="I19" s="66">
        <f t="shared" ref="I19:I20" si="70">H19-F19</f>
        <v>-0.20000000000000007</v>
      </c>
      <c r="J19" s="89">
        <v>1</v>
      </c>
      <c r="K19" s="74">
        <v>46143</v>
      </c>
      <c r="L19" s="69">
        <f t="shared" ref="L19:L20" si="71">K19</f>
        <v>46143</v>
      </c>
      <c r="M19" s="72">
        <v>46161</v>
      </c>
      <c r="N19" s="74">
        <f t="shared" ref="N19:N20" si="72">K19+42</f>
        <v>46185</v>
      </c>
      <c r="O19" s="69">
        <f t="shared" ref="O19:O20" si="73">N19</f>
        <v>46185</v>
      </c>
      <c r="P19" s="72">
        <v>46234</v>
      </c>
      <c r="Q19" s="74">
        <f t="shared" ref="Q19:Q20" si="74">N19+42</f>
        <v>46227</v>
      </c>
      <c r="R19" s="69">
        <f t="shared" ref="R19:R20" si="75">Q19</f>
        <v>46227</v>
      </c>
      <c r="S19" s="74">
        <v>46290</v>
      </c>
      <c r="T19" s="74">
        <f t="shared" ref="T19:T20" si="76">Q19+14</f>
        <v>46241</v>
      </c>
      <c r="U19" s="69">
        <f t="shared" ref="U19:U20" si="77">T19</f>
        <v>46241</v>
      </c>
      <c r="V19" s="72"/>
      <c r="W19" s="204"/>
      <c r="Y19" s="175" t="str">
        <f t="shared" ca="1" si="1"/>
        <v>Completed</v>
      </c>
      <c r="Z19" s="175" t="str">
        <f t="shared" ca="1" si="2"/>
        <v>Completed</v>
      </c>
      <c r="AA19" s="175" t="str">
        <f t="shared" ca="1" si="3"/>
        <v>Completed</v>
      </c>
      <c r="AB19" s="176" t="str">
        <f t="shared" ca="1" si="4"/>
        <v>Overdue</v>
      </c>
    </row>
    <row r="20" spans="1:28" s="64" customFormat="1" ht="11.5" x14ac:dyDescent="0.25">
      <c r="A20" s="132" t="s">
        <v>61</v>
      </c>
      <c r="B20" s="132" t="s">
        <v>62</v>
      </c>
      <c r="C20" s="180" t="s">
        <v>63</v>
      </c>
      <c r="D20" s="181" t="s">
        <v>242</v>
      </c>
      <c r="E20" s="182" t="s">
        <v>529</v>
      </c>
      <c r="F20" s="183">
        <f t="shared" si="68"/>
        <v>1</v>
      </c>
      <c r="G20" s="183">
        <f t="shared" si="69"/>
        <v>1</v>
      </c>
      <c r="H20" s="183">
        <f t="shared" si="14"/>
        <v>1</v>
      </c>
      <c r="I20" s="183">
        <f t="shared" si="70"/>
        <v>0</v>
      </c>
      <c r="J20" s="189">
        <v>1</v>
      </c>
      <c r="K20" s="140">
        <v>46150</v>
      </c>
      <c r="L20" s="191">
        <f t="shared" si="71"/>
        <v>46150</v>
      </c>
      <c r="M20" s="136">
        <v>46155</v>
      </c>
      <c r="N20" s="140">
        <f t="shared" si="72"/>
        <v>46192</v>
      </c>
      <c r="O20" s="191">
        <f t="shared" si="73"/>
        <v>46192</v>
      </c>
      <c r="P20" s="140">
        <v>46226</v>
      </c>
      <c r="Q20" s="140">
        <f t="shared" si="74"/>
        <v>46234</v>
      </c>
      <c r="R20" s="140">
        <f t="shared" si="75"/>
        <v>46234</v>
      </c>
      <c r="S20" s="136">
        <v>46262</v>
      </c>
      <c r="T20" s="140">
        <f t="shared" si="76"/>
        <v>46248</v>
      </c>
      <c r="U20" s="191">
        <f t="shared" si="77"/>
        <v>46248</v>
      </c>
      <c r="V20" s="136">
        <v>46262</v>
      </c>
      <c r="W20" s="209"/>
      <c r="Y20" s="175" t="str">
        <f t="shared" ca="1" si="1"/>
        <v>Completed</v>
      </c>
      <c r="Z20" s="175" t="str">
        <f t="shared" ca="1" si="2"/>
        <v>Completed</v>
      </c>
      <c r="AA20" s="175" t="str">
        <f t="shared" ca="1" si="3"/>
        <v>Completed</v>
      </c>
      <c r="AB20" s="176" t="str">
        <f t="shared" ca="1" si="4"/>
        <v>Completed</v>
      </c>
    </row>
    <row r="21" spans="1:28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242</v>
      </c>
      <c r="E21" s="80" t="s">
        <v>514</v>
      </c>
      <c r="F21" s="66">
        <f t="shared" si="66"/>
        <v>1</v>
      </c>
      <c r="G21" s="66">
        <f t="shared" si="67"/>
        <v>1</v>
      </c>
      <c r="H21" s="66">
        <f t="shared" si="14"/>
        <v>0.79999999999999993</v>
      </c>
      <c r="I21" s="66">
        <f t="shared" si="5"/>
        <v>-0.20000000000000007</v>
      </c>
      <c r="J21" s="89">
        <v>1</v>
      </c>
      <c r="K21" s="74">
        <v>46150</v>
      </c>
      <c r="L21" s="69">
        <f t="shared" si="6"/>
        <v>46150</v>
      </c>
      <c r="M21" s="72">
        <v>46155</v>
      </c>
      <c r="N21" s="74">
        <f t="shared" si="7"/>
        <v>46192</v>
      </c>
      <c r="O21" s="69">
        <f t="shared" si="8"/>
        <v>46192</v>
      </c>
      <c r="P21" s="74">
        <v>46226</v>
      </c>
      <c r="Q21" s="74">
        <f t="shared" si="9"/>
        <v>46234</v>
      </c>
      <c r="R21" s="74">
        <f t="shared" si="10"/>
        <v>46234</v>
      </c>
      <c r="S21" s="72">
        <v>46289</v>
      </c>
      <c r="T21" s="74">
        <f t="shared" si="11"/>
        <v>46248</v>
      </c>
      <c r="U21" s="69">
        <f t="shared" si="12"/>
        <v>46248</v>
      </c>
      <c r="V21" s="72"/>
      <c r="W21" s="204"/>
      <c r="Y21" s="175" t="str">
        <f t="shared" ca="1" si="1"/>
        <v>Completed</v>
      </c>
      <c r="Z21" s="175" t="str">
        <f t="shared" ca="1" si="2"/>
        <v>Completed</v>
      </c>
      <c r="AA21" s="175" t="str">
        <f t="shared" ca="1" si="3"/>
        <v>Completed</v>
      </c>
      <c r="AB21" s="176" t="str">
        <f t="shared" ca="1" si="4"/>
        <v>Overdue</v>
      </c>
    </row>
    <row r="22" spans="1:28" s="64" customFormat="1" ht="11.5" x14ac:dyDescent="0.25">
      <c r="A22" s="132" t="s">
        <v>61</v>
      </c>
      <c r="B22" s="132" t="s">
        <v>62</v>
      </c>
      <c r="C22" s="180" t="s">
        <v>63</v>
      </c>
      <c r="D22" s="181" t="s">
        <v>243</v>
      </c>
      <c r="E22" s="182" t="s">
        <v>494</v>
      </c>
      <c r="F22" s="183">
        <f t="shared" si="66"/>
        <v>1</v>
      </c>
      <c r="G22" s="183">
        <f t="shared" si="67"/>
        <v>1</v>
      </c>
      <c r="H22" s="183">
        <f t="shared" si="14"/>
        <v>1</v>
      </c>
      <c r="I22" s="183">
        <f t="shared" ref="I22:I37" si="78">H22-F22</f>
        <v>0</v>
      </c>
      <c r="J22" s="184">
        <v>1.2</v>
      </c>
      <c r="K22" s="136">
        <v>46171</v>
      </c>
      <c r="L22" s="185">
        <f t="shared" si="6"/>
        <v>46171</v>
      </c>
      <c r="M22" s="136">
        <v>46178</v>
      </c>
      <c r="N22" s="136">
        <f t="shared" si="7"/>
        <v>46213</v>
      </c>
      <c r="O22" s="185">
        <f t="shared" si="8"/>
        <v>46213</v>
      </c>
      <c r="P22" s="136">
        <v>46234</v>
      </c>
      <c r="Q22" s="136">
        <f t="shared" si="9"/>
        <v>46255</v>
      </c>
      <c r="R22" s="136">
        <f t="shared" si="10"/>
        <v>46255</v>
      </c>
      <c r="S22" s="140">
        <v>46234</v>
      </c>
      <c r="T22" s="140">
        <f t="shared" si="11"/>
        <v>46269</v>
      </c>
      <c r="U22" s="185">
        <f t="shared" si="12"/>
        <v>46269</v>
      </c>
      <c r="V22" s="136">
        <v>46234</v>
      </c>
      <c r="W22" s="209"/>
      <c r="Y22" s="175" t="str">
        <f t="shared" ca="1" si="1"/>
        <v>Completed</v>
      </c>
      <c r="Z22" s="175" t="str">
        <f t="shared" ca="1" si="2"/>
        <v>Completed</v>
      </c>
      <c r="AA22" s="175" t="str">
        <f t="shared" ca="1" si="3"/>
        <v>Completed</v>
      </c>
      <c r="AB22" s="176" t="str">
        <f t="shared" ca="1" si="4"/>
        <v>Completed</v>
      </c>
    </row>
    <row r="23" spans="1:28" s="64" customFormat="1" ht="11.5" x14ac:dyDescent="0.25">
      <c r="A23" s="132" t="s">
        <v>61</v>
      </c>
      <c r="B23" s="132" t="s">
        <v>62</v>
      </c>
      <c r="C23" s="180" t="s">
        <v>63</v>
      </c>
      <c r="D23" s="181" t="s">
        <v>243</v>
      </c>
      <c r="E23" s="182" t="s">
        <v>546</v>
      </c>
      <c r="F23" s="183">
        <f t="shared" ref="F23" si="79">(COUNTIFS(K23,"&lt;="&amp;$D$1)*50%)+(COUNTIFS(N23,"&lt;="&amp;$D$1)*20%)+(COUNTIFS(Q23,"&lt;="&amp;$D$1)*10%)+(COUNTIFS(T23,"&lt;="&amp;$D$1)*20%)</f>
        <v>1</v>
      </c>
      <c r="G23" s="183">
        <f t="shared" ref="G23" si="80">(COUNTIFS(L23,"&lt;="&amp;$D$1)*50%)+(COUNTIFS(O23,"&lt;="&amp;$D$1)*20%)+(COUNTIFS(R23,"&lt;="&amp;$D$1)*10%)+(COUNTIFS(U23,"&lt;="&amp;$D$1)*20%)</f>
        <v>1</v>
      </c>
      <c r="H23" s="183">
        <f t="shared" si="14"/>
        <v>1</v>
      </c>
      <c r="I23" s="183">
        <f t="shared" ref="I23" si="81">H23-F23</f>
        <v>0</v>
      </c>
      <c r="J23" s="184">
        <v>0.4</v>
      </c>
      <c r="K23" s="136">
        <v>46171</v>
      </c>
      <c r="L23" s="185">
        <f t="shared" ref="L23" si="82">K23</f>
        <v>46171</v>
      </c>
      <c r="M23" s="136">
        <v>46178</v>
      </c>
      <c r="N23" s="136">
        <f t="shared" ref="N23" si="83">K23+42</f>
        <v>46213</v>
      </c>
      <c r="O23" s="185">
        <f t="shared" ref="O23" si="84">N23</f>
        <v>46213</v>
      </c>
      <c r="P23" s="136">
        <v>46244</v>
      </c>
      <c r="Q23" s="136">
        <f t="shared" ref="Q23" si="85">N23+42</f>
        <v>46255</v>
      </c>
      <c r="R23" s="136">
        <f t="shared" ref="R23" si="86">Q23</f>
        <v>46255</v>
      </c>
      <c r="S23" s="140">
        <v>46297</v>
      </c>
      <c r="T23" s="140">
        <f t="shared" ref="T23" si="87">Q23+14</f>
        <v>46269</v>
      </c>
      <c r="U23" s="185">
        <f t="shared" ref="U23" si="88">T23</f>
        <v>46269</v>
      </c>
      <c r="V23" s="136">
        <v>46297</v>
      </c>
      <c r="W23" s="204"/>
      <c r="Y23" s="175" t="str">
        <f t="shared" ca="1" si="1"/>
        <v>Completed</v>
      </c>
      <c r="Z23" s="175" t="str">
        <f t="shared" ca="1" si="2"/>
        <v>Completed</v>
      </c>
      <c r="AA23" s="175" t="str">
        <f t="shared" ca="1" si="3"/>
        <v>Completed</v>
      </c>
      <c r="AB23" s="176" t="str">
        <f t="shared" ca="1" si="4"/>
        <v>Completed</v>
      </c>
    </row>
    <row r="24" spans="1:28" s="64" customFormat="1" ht="11.5" x14ac:dyDescent="0.25">
      <c r="A24" s="70" t="s">
        <v>61</v>
      </c>
      <c r="B24" s="70" t="s">
        <v>62</v>
      </c>
      <c r="C24" s="65" t="s">
        <v>63</v>
      </c>
      <c r="D24" s="82" t="s">
        <v>243</v>
      </c>
      <c r="E24" s="80" t="s">
        <v>543</v>
      </c>
      <c r="F24" s="66">
        <f t="shared" ref="F24" si="89">(COUNTIFS(K24,"&lt;="&amp;$D$1)*50%)+(COUNTIFS(N24,"&lt;="&amp;$D$1)*20%)+(COUNTIFS(Q24,"&lt;="&amp;$D$1)*10%)+(COUNTIFS(T24,"&lt;="&amp;$D$1)*20%)</f>
        <v>1</v>
      </c>
      <c r="G24" s="66">
        <f t="shared" ref="G24" si="90">(COUNTIFS(L24,"&lt;="&amp;$D$1)*50%)+(COUNTIFS(O24,"&lt;="&amp;$D$1)*20%)+(COUNTIFS(R24,"&lt;="&amp;$D$1)*10%)+(COUNTIFS(U24,"&lt;="&amp;$D$1)*20%)</f>
        <v>1</v>
      </c>
      <c r="H24" s="66">
        <f t="shared" ref="H24" si="91">(COUNTIFS(M24,"&lt;="&amp;$D$1)*50%)+(COUNTIFS(P24,"&lt;="&amp;$D$1)*20%)+(COUNTIFS(S24,"&lt;="&amp;$D$1)*10%)+(COUNTIFS(V24,"&lt;="&amp;$D$1)*20%)</f>
        <v>0.79999999999999993</v>
      </c>
      <c r="I24" s="66">
        <f t="shared" ref="I24" si="92">H24-F24</f>
        <v>-0.20000000000000007</v>
      </c>
      <c r="J24" s="71">
        <v>0.4</v>
      </c>
      <c r="K24" s="72">
        <v>46171</v>
      </c>
      <c r="L24" s="68">
        <f t="shared" ref="L24" si="93">K24</f>
        <v>46171</v>
      </c>
      <c r="M24" s="72">
        <v>46178</v>
      </c>
      <c r="N24" s="72">
        <f t="shared" ref="N24" si="94">K24+42</f>
        <v>46213</v>
      </c>
      <c r="O24" s="68">
        <f t="shared" ref="O24" si="95">N24</f>
        <v>46213</v>
      </c>
      <c r="P24" s="72">
        <v>46244</v>
      </c>
      <c r="Q24" s="72">
        <f t="shared" ref="Q24" si="96">N24+42</f>
        <v>46255</v>
      </c>
      <c r="R24" s="72">
        <f t="shared" ref="R24" si="97">Q24</f>
        <v>46255</v>
      </c>
      <c r="S24" s="74">
        <v>46293</v>
      </c>
      <c r="T24" s="74">
        <f t="shared" ref="T24" si="98">Q24+14</f>
        <v>46269</v>
      </c>
      <c r="U24" s="68">
        <f t="shared" ref="U24" si="99">T24</f>
        <v>46269</v>
      </c>
      <c r="V24" s="72"/>
      <c r="W24" s="204"/>
      <c r="Y24" s="175" t="str">
        <f t="shared" ref="Y24" ca="1" si="100">IF(OR(M24&lt;&gt;""),"Completed",
IF(L24="","",IF(L24&lt;TODAY(),"Overdue",
IF(AND(L24&gt;=TODAY()-WEEKDAY(TODAY(),2)+1,L24&lt;=TODAY()-WEEKDAY(TODAY(),2)+7),"Follow-This Week",
IF(AND(L24&gt;=TODAY()-WEEKDAY(TODAY(),2)+8,L24&lt;=TODAY()-WEEKDAY(TODAY(),2)+14),"Follow-Next Week","")))))</f>
        <v>Completed</v>
      </c>
      <c r="Z24" s="175" t="str">
        <f t="shared" ref="Z24" ca="1" si="101">IF(OR(P24&lt;&gt;""),"Completed",IF(O24="","",
IF(O24&lt;TODAY(),"Overdue",
IF(AND(O24&gt;=TODAY()-WEEKDAY(TODAY(),2)+1,O24&lt;=TODAY()-WEEKDAY(TODAY(),2)+7),"Follow-This Week",
IF(AND(O24&gt;=TODAY()-WEEKDAY(TODAY(),2)+8,O24&lt;=TODAY()-WEEKDAY(TODAY(),2)+14),"Follow-Next Week","")))))</f>
        <v>Completed</v>
      </c>
      <c r="AA24" s="175" t="str">
        <f t="shared" ref="AA24" ca="1" si="102">IF(OR(S24&lt;&gt;""),"Completed",IF(R24="","",
IF(R24&lt;TODAY(),"Overdue",
IF(AND(R24&gt;=TODAY()-WEEKDAY(TODAY(),2)+1,R24&lt;=TODAY()-WEEKDAY(TODAY(),2)+7),"Follow-This Week",
IF(AND(R24&gt;=TODAY()-WEEKDAY(TODAY(),2)+8,R24&lt;=TODAY()-WEEKDAY(TODAY(),2)+14),"Follow-Next Week","")))))</f>
        <v>Completed</v>
      </c>
      <c r="AB24" s="176" t="str">
        <f t="shared" ref="AB24" ca="1" si="103">IF(OR(V24&lt;&gt;""),"Completed",IF(U24="","",
IF(U24&lt;TODAY(),"Overdue",
IF(AND(U24&gt;=TODAY()-WEEKDAY(TODAY(),2)+1,U24&lt;=TODAY()-WEEKDAY(TODAY(),2)+7),"Follow-This Week",
IF(AND(U24&gt;=TODAY()-WEEKDAY(TODAY(),2)+8,U24&lt;=TODAY()-WEEKDAY(TODAY(),2)+14),"Follow-Next Week","")))))</f>
        <v>Overdue</v>
      </c>
    </row>
    <row r="25" spans="1:28" s="64" customFormat="1" ht="11.5" x14ac:dyDescent="0.25">
      <c r="A25" s="132" t="s">
        <v>61</v>
      </c>
      <c r="B25" s="132" t="s">
        <v>62</v>
      </c>
      <c r="C25" s="180" t="s">
        <v>63</v>
      </c>
      <c r="D25" s="181" t="s">
        <v>244</v>
      </c>
      <c r="E25" s="182" t="s">
        <v>495</v>
      </c>
      <c r="F25" s="183">
        <f t="shared" si="66"/>
        <v>1</v>
      </c>
      <c r="G25" s="183">
        <f t="shared" si="67"/>
        <v>1</v>
      </c>
      <c r="H25" s="183">
        <f t="shared" si="14"/>
        <v>1</v>
      </c>
      <c r="I25" s="183">
        <f t="shared" si="78"/>
        <v>0</v>
      </c>
      <c r="J25" s="184">
        <v>1.2</v>
      </c>
      <c r="K25" s="136">
        <v>46185</v>
      </c>
      <c r="L25" s="185">
        <f t="shared" si="6"/>
        <v>46185</v>
      </c>
      <c r="M25" s="136">
        <v>46205</v>
      </c>
      <c r="N25" s="136">
        <f t="shared" si="7"/>
        <v>46227</v>
      </c>
      <c r="O25" s="185">
        <f t="shared" si="8"/>
        <v>46227</v>
      </c>
      <c r="P25" s="136">
        <v>46234</v>
      </c>
      <c r="Q25" s="136">
        <f t="shared" si="9"/>
        <v>46269</v>
      </c>
      <c r="R25" s="136">
        <f t="shared" si="10"/>
        <v>46269</v>
      </c>
      <c r="S25" s="136">
        <v>46234</v>
      </c>
      <c r="T25" s="140">
        <f t="shared" si="11"/>
        <v>46283</v>
      </c>
      <c r="U25" s="185">
        <f t="shared" si="12"/>
        <v>46283</v>
      </c>
      <c r="V25" s="136">
        <v>46234</v>
      </c>
      <c r="W25" s="209"/>
      <c r="Y25" s="175" t="str">
        <f t="shared" ca="1" si="1"/>
        <v>Completed</v>
      </c>
      <c r="Z25" s="175" t="str">
        <f t="shared" ca="1" si="2"/>
        <v>Completed</v>
      </c>
      <c r="AA25" s="175" t="str">
        <f t="shared" ca="1" si="3"/>
        <v>Completed</v>
      </c>
      <c r="AB25" s="176" t="str">
        <f t="shared" ca="1" si="4"/>
        <v>Completed</v>
      </c>
    </row>
    <row r="26" spans="1:28" s="64" customFormat="1" ht="11.5" x14ac:dyDescent="0.25">
      <c r="A26" s="132" t="s">
        <v>61</v>
      </c>
      <c r="B26" s="132" t="s">
        <v>62</v>
      </c>
      <c r="C26" s="180" t="s">
        <v>63</v>
      </c>
      <c r="D26" s="181" t="s">
        <v>244</v>
      </c>
      <c r="E26" s="182" t="s">
        <v>547</v>
      </c>
      <c r="F26" s="183">
        <f t="shared" ref="F26:F28" si="104">(COUNTIFS(K26,"&lt;="&amp;$D$1)*50%)+(COUNTIFS(N26,"&lt;="&amp;$D$1)*20%)+(COUNTIFS(Q26,"&lt;="&amp;$D$1)*10%)+(COUNTIFS(T26,"&lt;="&amp;$D$1)*20%)</f>
        <v>1</v>
      </c>
      <c r="G26" s="183">
        <f t="shared" ref="G26:G28" si="105">(COUNTIFS(L26,"&lt;="&amp;$D$1)*50%)+(COUNTIFS(O26,"&lt;="&amp;$D$1)*20%)+(COUNTIFS(R26,"&lt;="&amp;$D$1)*10%)+(COUNTIFS(U26,"&lt;="&amp;$D$1)*20%)</f>
        <v>1</v>
      </c>
      <c r="H26" s="183">
        <f t="shared" si="14"/>
        <v>1</v>
      </c>
      <c r="I26" s="183">
        <f t="shared" ref="I26:I28" si="106">H26-F26</f>
        <v>0</v>
      </c>
      <c r="J26" s="184">
        <v>0.4</v>
      </c>
      <c r="K26" s="136">
        <v>46185</v>
      </c>
      <c r="L26" s="185">
        <f t="shared" ref="L26:L28" si="107">K26</f>
        <v>46185</v>
      </c>
      <c r="M26" s="136">
        <v>46205</v>
      </c>
      <c r="N26" s="136">
        <v>46218</v>
      </c>
      <c r="O26" s="185">
        <f t="shared" ref="O26:O28" si="108">N26</f>
        <v>46218</v>
      </c>
      <c r="P26" s="136">
        <v>46248</v>
      </c>
      <c r="Q26" s="136">
        <f t="shared" ref="Q26:Q28" si="109">N26+42</f>
        <v>46260</v>
      </c>
      <c r="R26" s="136">
        <f t="shared" ref="R26:R28" si="110">Q26</f>
        <v>46260</v>
      </c>
      <c r="S26" s="140">
        <v>46297</v>
      </c>
      <c r="T26" s="140">
        <f t="shared" ref="T26:T28" si="111">Q26+14</f>
        <v>46274</v>
      </c>
      <c r="U26" s="185">
        <f t="shared" ref="U26:U28" si="112">T26</f>
        <v>46274</v>
      </c>
      <c r="V26" s="136">
        <v>46297</v>
      </c>
      <c r="W26" s="204"/>
      <c r="Y26" s="175" t="str">
        <f t="shared" ca="1" si="1"/>
        <v>Completed</v>
      </c>
      <c r="Z26" s="175" t="str">
        <f t="shared" ca="1" si="2"/>
        <v>Completed</v>
      </c>
      <c r="AA26" s="175" t="str">
        <f t="shared" ca="1" si="3"/>
        <v>Completed</v>
      </c>
      <c r="AB26" s="176" t="str">
        <f t="shared" ca="1" si="4"/>
        <v>Completed</v>
      </c>
    </row>
    <row r="27" spans="1:28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244</v>
      </c>
      <c r="E27" s="80" t="s">
        <v>544</v>
      </c>
      <c r="F27" s="66">
        <f t="shared" ref="F27" si="113">(COUNTIFS(K27,"&lt;="&amp;$D$1)*50%)+(COUNTIFS(N27,"&lt;="&amp;$D$1)*20%)+(COUNTIFS(Q27,"&lt;="&amp;$D$1)*10%)+(COUNTIFS(T27,"&lt;="&amp;$D$1)*20%)</f>
        <v>1</v>
      </c>
      <c r="G27" s="66">
        <f t="shared" ref="G27" si="114">(COUNTIFS(L27,"&lt;="&amp;$D$1)*50%)+(COUNTIFS(O27,"&lt;="&amp;$D$1)*20%)+(COUNTIFS(R27,"&lt;="&amp;$D$1)*10%)+(COUNTIFS(U27,"&lt;="&amp;$D$1)*20%)</f>
        <v>1</v>
      </c>
      <c r="H27" s="66">
        <f t="shared" ref="H27" si="115">(COUNTIFS(M27,"&lt;="&amp;$D$1)*50%)+(COUNTIFS(P27,"&lt;="&amp;$D$1)*20%)+(COUNTIFS(S27,"&lt;="&amp;$D$1)*10%)+(COUNTIFS(V27,"&lt;="&amp;$D$1)*20%)</f>
        <v>0.79999999999999993</v>
      </c>
      <c r="I27" s="66">
        <f t="shared" ref="I27" si="116">H27-F27</f>
        <v>-0.20000000000000007</v>
      </c>
      <c r="J27" s="71">
        <v>0.4</v>
      </c>
      <c r="K27" s="72">
        <v>46185</v>
      </c>
      <c r="L27" s="68">
        <f t="shared" ref="L27" si="117">K27</f>
        <v>46185</v>
      </c>
      <c r="M27" s="72">
        <v>46205</v>
      </c>
      <c r="N27" s="72">
        <v>46218</v>
      </c>
      <c r="O27" s="68">
        <f t="shared" ref="O27" si="118">N27</f>
        <v>46218</v>
      </c>
      <c r="P27" s="72">
        <v>46248</v>
      </c>
      <c r="Q27" s="72">
        <f t="shared" ref="Q27" si="119">N27+42</f>
        <v>46260</v>
      </c>
      <c r="R27" s="68">
        <f t="shared" ref="R27" si="120">Q27</f>
        <v>46260</v>
      </c>
      <c r="S27" s="233">
        <v>46304</v>
      </c>
      <c r="T27" s="74">
        <f t="shared" ref="T27" si="121">Q27+14</f>
        <v>46274</v>
      </c>
      <c r="U27" s="68">
        <f t="shared" ref="U27" si="122">T27</f>
        <v>46274</v>
      </c>
      <c r="V27" s="72"/>
      <c r="W27" s="204"/>
      <c r="Y27" s="175" t="str">
        <f t="shared" ref="Y27" ca="1" si="123">IF(OR(M27&lt;&gt;""),"Completed",
IF(L27="","",IF(L27&lt;TODAY(),"Overdue",
IF(AND(L27&gt;=TODAY()-WEEKDAY(TODAY(),2)+1,L27&lt;=TODAY()-WEEKDAY(TODAY(),2)+7),"Follow-This Week",
IF(AND(L27&gt;=TODAY()-WEEKDAY(TODAY(),2)+8,L27&lt;=TODAY()-WEEKDAY(TODAY(),2)+14),"Follow-Next Week","")))))</f>
        <v>Completed</v>
      </c>
      <c r="Z27" s="175" t="str">
        <f t="shared" ref="Z27" ca="1" si="124">IF(OR(P27&lt;&gt;""),"Completed",IF(O27="","",
IF(O27&lt;TODAY(),"Overdue",
IF(AND(O27&gt;=TODAY()-WEEKDAY(TODAY(),2)+1,O27&lt;=TODAY()-WEEKDAY(TODAY(),2)+7),"Follow-This Week",
IF(AND(O27&gt;=TODAY()-WEEKDAY(TODAY(),2)+8,O27&lt;=TODAY()-WEEKDAY(TODAY(),2)+14),"Follow-Next Week","")))))</f>
        <v>Completed</v>
      </c>
      <c r="AA27" s="175" t="str">
        <f t="shared" ref="AA27" ca="1" si="125">IF(OR(S27&lt;&gt;""),"Completed",IF(R27="","",
IF(R27&lt;TODAY(),"Overdue",
IF(AND(R27&gt;=TODAY()-WEEKDAY(TODAY(),2)+1,R27&lt;=TODAY()-WEEKDAY(TODAY(),2)+7),"Follow-This Week",
IF(AND(R27&gt;=TODAY()-WEEKDAY(TODAY(),2)+8,R27&lt;=TODAY()-WEEKDAY(TODAY(),2)+14),"Follow-Next Week","")))))</f>
        <v>Completed</v>
      </c>
      <c r="AB27" s="176" t="str">
        <f t="shared" ref="AB27" ca="1" si="126">IF(OR(V27&lt;&gt;""),"Completed",IF(U27="","",
IF(U27&lt;TODAY(),"Overdue",
IF(AND(U27&gt;=TODAY()-WEEKDAY(TODAY(),2)+1,U27&lt;=TODAY()-WEEKDAY(TODAY(),2)+7),"Follow-This Week",
IF(AND(U27&gt;=TODAY()-WEEKDAY(TODAY(),2)+8,U27&lt;=TODAY()-WEEKDAY(TODAY(),2)+14),"Follow-Next Week","")))))</f>
        <v>Overdue</v>
      </c>
    </row>
    <row r="28" spans="1:28" s="64" customFormat="1" ht="11.5" x14ac:dyDescent="0.25">
      <c r="A28" s="132" t="s">
        <v>61</v>
      </c>
      <c r="B28" s="132" t="s">
        <v>62</v>
      </c>
      <c r="C28" s="180" t="s">
        <v>63</v>
      </c>
      <c r="D28" s="181" t="s">
        <v>245</v>
      </c>
      <c r="E28" s="182" t="s">
        <v>530</v>
      </c>
      <c r="F28" s="183">
        <f t="shared" si="104"/>
        <v>1</v>
      </c>
      <c r="G28" s="183">
        <f t="shared" si="105"/>
        <v>1</v>
      </c>
      <c r="H28" s="183">
        <f t="shared" si="14"/>
        <v>1</v>
      </c>
      <c r="I28" s="183">
        <f t="shared" si="106"/>
        <v>0</v>
      </c>
      <c r="J28" s="184">
        <v>1</v>
      </c>
      <c r="K28" s="136">
        <v>46164</v>
      </c>
      <c r="L28" s="185">
        <f t="shared" si="107"/>
        <v>46164</v>
      </c>
      <c r="M28" s="136">
        <v>46157</v>
      </c>
      <c r="N28" s="136">
        <f t="shared" ref="N28" si="127">K28+42</f>
        <v>46206</v>
      </c>
      <c r="O28" s="185">
        <f t="shared" si="108"/>
        <v>46206</v>
      </c>
      <c r="P28" s="140">
        <v>46226</v>
      </c>
      <c r="Q28" s="136">
        <f t="shared" si="109"/>
        <v>46248</v>
      </c>
      <c r="R28" s="185">
        <f t="shared" si="110"/>
        <v>46248</v>
      </c>
      <c r="S28" s="136">
        <v>46262</v>
      </c>
      <c r="T28" s="140">
        <f t="shared" si="111"/>
        <v>46262</v>
      </c>
      <c r="U28" s="185">
        <f t="shared" si="112"/>
        <v>46262</v>
      </c>
      <c r="V28" s="136">
        <v>46262</v>
      </c>
      <c r="W28" s="209"/>
      <c r="Y28" s="175" t="str">
        <f t="shared" ca="1" si="1"/>
        <v>Completed</v>
      </c>
      <c r="Z28" s="175" t="str">
        <f t="shared" ca="1" si="2"/>
        <v>Completed</v>
      </c>
      <c r="AA28" s="175" t="str">
        <f t="shared" ca="1" si="3"/>
        <v>Completed</v>
      </c>
      <c r="AB28" s="176" t="str">
        <f t="shared" ca="1" si="4"/>
        <v>Completed</v>
      </c>
    </row>
    <row r="29" spans="1:28" s="64" customFormat="1" ht="11.5" x14ac:dyDescent="0.25">
      <c r="A29" s="70" t="s">
        <v>61</v>
      </c>
      <c r="B29" s="70" t="s">
        <v>62</v>
      </c>
      <c r="C29" s="65" t="s">
        <v>63</v>
      </c>
      <c r="D29" s="82" t="s">
        <v>245</v>
      </c>
      <c r="E29" s="80" t="s">
        <v>515</v>
      </c>
      <c r="F29" s="66">
        <f t="shared" si="66"/>
        <v>1</v>
      </c>
      <c r="G29" s="66">
        <f t="shared" si="67"/>
        <v>1</v>
      </c>
      <c r="H29" s="66">
        <f t="shared" si="14"/>
        <v>0.79999999999999993</v>
      </c>
      <c r="I29" s="66">
        <f t="shared" si="78"/>
        <v>-0.20000000000000007</v>
      </c>
      <c r="J29" s="71">
        <v>1</v>
      </c>
      <c r="K29" s="72">
        <v>46164</v>
      </c>
      <c r="L29" s="68">
        <f t="shared" si="6"/>
        <v>46164</v>
      </c>
      <c r="M29" s="72">
        <v>46157</v>
      </c>
      <c r="N29" s="72">
        <f t="shared" si="7"/>
        <v>46206</v>
      </c>
      <c r="O29" s="68">
        <f t="shared" si="8"/>
        <v>46206</v>
      </c>
      <c r="P29" s="74">
        <v>46226</v>
      </c>
      <c r="Q29" s="72">
        <f t="shared" si="9"/>
        <v>46248</v>
      </c>
      <c r="R29" s="68">
        <f t="shared" si="10"/>
        <v>46248</v>
      </c>
      <c r="S29" s="72">
        <v>46289</v>
      </c>
      <c r="T29" s="74">
        <f t="shared" si="11"/>
        <v>46262</v>
      </c>
      <c r="U29" s="68">
        <f t="shared" si="12"/>
        <v>46262</v>
      </c>
      <c r="V29" s="72"/>
      <c r="W29" s="204"/>
      <c r="Y29" s="175" t="str">
        <f t="shared" ca="1" si="1"/>
        <v>Completed</v>
      </c>
      <c r="Z29" s="175" t="str">
        <f t="shared" ca="1" si="2"/>
        <v>Completed</v>
      </c>
      <c r="AA29" s="175" t="str">
        <f t="shared" ca="1" si="3"/>
        <v>Completed</v>
      </c>
      <c r="AB29" s="176" t="str">
        <f t="shared" ca="1" si="4"/>
        <v>Overdue</v>
      </c>
    </row>
    <row r="30" spans="1:28" s="64" customFormat="1" ht="11.5" x14ac:dyDescent="0.25">
      <c r="A30" s="132" t="s">
        <v>61</v>
      </c>
      <c r="B30" s="132" t="s">
        <v>62</v>
      </c>
      <c r="C30" s="180" t="s">
        <v>63</v>
      </c>
      <c r="D30" s="181" t="s">
        <v>246</v>
      </c>
      <c r="E30" s="180" t="s">
        <v>528</v>
      </c>
      <c r="F30" s="183">
        <f t="shared" si="66"/>
        <v>1</v>
      </c>
      <c r="G30" s="183">
        <f t="shared" si="67"/>
        <v>1</v>
      </c>
      <c r="H30" s="183">
        <f t="shared" si="14"/>
        <v>1</v>
      </c>
      <c r="I30" s="183">
        <f t="shared" si="78"/>
        <v>0</v>
      </c>
      <c r="J30" s="184">
        <v>2.0499999999999998</v>
      </c>
      <c r="K30" s="136">
        <v>46199</v>
      </c>
      <c r="L30" s="185">
        <f t="shared" si="6"/>
        <v>46199</v>
      </c>
      <c r="M30" s="136">
        <v>46196</v>
      </c>
      <c r="N30" s="136">
        <f t="shared" si="7"/>
        <v>46241</v>
      </c>
      <c r="O30" s="185">
        <f t="shared" si="8"/>
        <v>46241</v>
      </c>
      <c r="P30" s="136">
        <v>46255</v>
      </c>
      <c r="Q30" s="136">
        <f t="shared" si="9"/>
        <v>46283</v>
      </c>
      <c r="R30" s="185">
        <f t="shared" si="10"/>
        <v>46283</v>
      </c>
      <c r="S30" s="140">
        <v>46276</v>
      </c>
      <c r="T30" s="140">
        <f t="shared" si="11"/>
        <v>46297</v>
      </c>
      <c r="U30" s="185">
        <f t="shared" si="12"/>
        <v>46297</v>
      </c>
      <c r="V30" s="136">
        <v>46276</v>
      </c>
      <c r="W30" s="209"/>
      <c r="Y30" s="175" t="str">
        <f t="shared" ca="1" si="1"/>
        <v>Completed</v>
      </c>
      <c r="Z30" s="175" t="str">
        <f t="shared" ca="1" si="2"/>
        <v>Completed</v>
      </c>
      <c r="AA30" s="175" t="str">
        <f t="shared" ca="1" si="3"/>
        <v>Completed</v>
      </c>
      <c r="AB30" s="176" t="str">
        <f t="shared" ca="1" si="4"/>
        <v>Completed</v>
      </c>
    </row>
    <row r="31" spans="1:28" s="64" customFormat="1" ht="11.5" x14ac:dyDescent="0.25">
      <c r="A31" s="132" t="s">
        <v>61</v>
      </c>
      <c r="B31" s="132" t="s">
        <v>62</v>
      </c>
      <c r="C31" s="180" t="s">
        <v>63</v>
      </c>
      <c r="D31" s="181" t="s">
        <v>246</v>
      </c>
      <c r="E31" s="180" t="s">
        <v>548</v>
      </c>
      <c r="F31" s="183">
        <f t="shared" ref="F31" si="128">(COUNTIFS(K31,"&lt;="&amp;$D$1)*50%)+(COUNTIFS(N31,"&lt;="&amp;$D$1)*20%)+(COUNTIFS(Q31,"&lt;="&amp;$D$1)*10%)+(COUNTIFS(T31,"&lt;="&amp;$D$1)*20%)</f>
        <v>1</v>
      </c>
      <c r="G31" s="183">
        <f t="shared" ref="G31" si="129">(COUNTIFS(L31,"&lt;="&amp;$D$1)*50%)+(COUNTIFS(O31,"&lt;="&amp;$D$1)*20%)+(COUNTIFS(R31,"&lt;="&amp;$D$1)*10%)+(COUNTIFS(U31,"&lt;="&amp;$D$1)*20%)</f>
        <v>1</v>
      </c>
      <c r="H31" s="183">
        <f t="shared" si="14"/>
        <v>1</v>
      </c>
      <c r="I31" s="183">
        <f t="shared" ref="I31" si="130">H31-F31</f>
        <v>0</v>
      </c>
      <c r="J31" s="184">
        <v>1.0249999999999999</v>
      </c>
      <c r="K31" s="136">
        <v>46199</v>
      </c>
      <c r="L31" s="185">
        <f t="shared" ref="L31" si="131">K31</f>
        <v>46199</v>
      </c>
      <c r="M31" s="136">
        <v>46196</v>
      </c>
      <c r="N31" s="136">
        <f t="shared" ref="N31" si="132">K31+42</f>
        <v>46241</v>
      </c>
      <c r="O31" s="185">
        <f t="shared" ref="O31" si="133">N31</f>
        <v>46241</v>
      </c>
      <c r="P31" s="136">
        <v>46255</v>
      </c>
      <c r="Q31" s="136">
        <f t="shared" ref="Q31" si="134">N31+42</f>
        <v>46283</v>
      </c>
      <c r="R31" s="185">
        <f t="shared" ref="R31" si="135">Q31</f>
        <v>46283</v>
      </c>
      <c r="S31" s="140">
        <v>46297</v>
      </c>
      <c r="T31" s="140">
        <f t="shared" ref="T31" si="136">Q31+14</f>
        <v>46297</v>
      </c>
      <c r="U31" s="185">
        <f t="shared" ref="U31" si="137">T31</f>
        <v>46297</v>
      </c>
      <c r="V31" s="136">
        <v>46297</v>
      </c>
      <c r="W31" s="204"/>
      <c r="Y31" s="175" t="str">
        <f t="shared" ca="1" si="1"/>
        <v>Completed</v>
      </c>
      <c r="Z31" s="175" t="str">
        <f t="shared" ca="1" si="2"/>
        <v>Completed</v>
      </c>
      <c r="AA31" s="175" t="str">
        <f t="shared" ca="1" si="3"/>
        <v>Completed</v>
      </c>
      <c r="AB31" s="176" t="str">
        <f t="shared" ca="1" si="4"/>
        <v>Completed</v>
      </c>
    </row>
    <row r="32" spans="1:28" s="64" customFormat="1" ht="11.5" x14ac:dyDescent="0.25">
      <c r="A32" s="70" t="s">
        <v>61</v>
      </c>
      <c r="B32" s="70" t="s">
        <v>62</v>
      </c>
      <c r="C32" s="65" t="s">
        <v>63</v>
      </c>
      <c r="D32" s="82" t="s">
        <v>246</v>
      </c>
      <c r="E32" s="65" t="s">
        <v>545</v>
      </c>
      <c r="F32" s="66">
        <f t="shared" ref="F32" si="138">(COUNTIFS(K32,"&lt;="&amp;$D$1)*50%)+(COUNTIFS(N32,"&lt;="&amp;$D$1)*20%)+(COUNTIFS(Q32,"&lt;="&amp;$D$1)*10%)+(COUNTIFS(T32,"&lt;="&amp;$D$1)*20%)</f>
        <v>1</v>
      </c>
      <c r="G32" s="66">
        <f t="shared" ref="G32" si="139">(COUNTIFS(L32,"&lt;="&amp;$D$1)*50%)+(COUNTIFS(O32,"&lt;="&amp;$D$1)*20%)+(COUNTIFS(R32,"&lt;="&amp;$D$1)*10%)+(COUNTIFS(U32,"&lt;="&amp;$D$1)*20%)</f>
        <v>1</v>
      </c>
      <c r="H32" s="66">
        <f t="shared" ref="H32" si="140">(COUNTIFS(M32,"&lt;="&amp;$D$1)*50%)+(COUNTIFS(P32,"&lt;="&amp;$D$1)*20%)+(COUNTIFS(S32,"&lt;="&amp;$D$1)*10%)+(COUNTIFS(V32,"&lt;="&amp;$D$1)*20%)</f>
        <v>0.7</v>
      </c>
      <c r="I32" s="66">
        <f t="shared" ref="I32" si="141">H32-F32</f>
        <v>-0.30000000000000004</v>
      </c>
      <c r="J32" s="71">
        <v>1.0249999999999999</v>
      </c>
      <c r="K32" s="72">
        <v>46199</v>
      </c>
      <c r="L32" s="68">
        <f t="shared" ref="L32" si="142">K32</f>
        <v>46199</v>
      </c>
      <c r="M32" s="72">
        <v>46196</v>
      </c>
      <c r="N32" s="72">
        <f t="shared" ref="N32" si="143">K32+42</f>
        <v>46241</v>
      </c>
      <c r="O32" s="68">
        <f t="shared" ref="O32" si="144">N32</f>
        <v>46241</v>
      </c>
      <c r="P32" s="72">
        <v>46255</v>
      </c>
      <c r="Q32" s="72">
        <f t="shared" ref="Q32" si="145">N32+42</f>
        <v>46283</v>
      </c>
      <c r="R32" s="68">
        <f t="shared" ref="R32" si="146">Q32</f>
        <v>46283</v>
      </c>
      <c r="S32" s="74"/>
      <c r="T32" s="74">
        <f t="shared" ref="T32" si="147">Q32+14</f>
        <v>46297</v>
      </c>
      <c r="U32" s="68">
        <f t="shared" ref="U32" si="148">T32</f>
        <v>46297</v>
      </c>
      <c r="V32" s="72"/>
      <c r="W32" s="204"/>
      <c r="Y32" s="175" t="str">
        <f t="shared" ref="Y32" ca="1" si="149">IF(OR(M32&lt;&gt;""),"Completed",
IF(L32="","",IF(L32&lt;TODAY(),"Overdue",
IF(AND(L32&gt;=TODAY()-WEEKDAY(TODAY(),2)+1,L32&lt;=TODAY()-WEEKDAY(TODAY(),2)+7),"Follow-This Week",
IF(AND(L32&gt;=TODAY()-WEEKDAY(TODAY(),2)+8,L32&lt;=TODAY()-WEEKDAY(TODAY(),2)+14),"Follow-Next Week","")))))</f>
        <v>Completed</v>
      </c>
      <c r="Z32" s="175" t="str">
        <f t="shared" ref="Z32" ca="1" si="150">IF(OR(P32&lt;&gt;""),"Completed",IF(O32="","",
IF(O32&lt;TODAY(),"Overdue",
IF(AND(O32&gt;=TODAY()-WEEKDAY(TODAY(),2)+1,O32&lt;=TODAY()-WEEKDAY(TODAY(),2)+7),"Follow-This Week",
IF(AND(O32&gt;=TODAY()-WEEKDAY(TODAY(),2)+8,O32&lt;=TODAY()-WEEKDAY(TODAY(),2)+14),"Follow-Next Week","")))))</f>
        <v>Completed</v>
      </c>
      <c r="AA32" s="175" t="str">
        <f t="shared" ref="AA32" ca="1" si="151">IF(OR(S32&lt;&gt;""),"Completed",IF(R32="","",
IF(R32&lt;TODAY(),"Overdue",
IF(AND(R32&gt;=TODAY()-WEEKDAY(TODAY(),2)+1,R32&lt;=TODAY()-WEEKDAY(TODAY(),2)+7),"Follow-This Week",
IF(AND(R32&gt;=TODAY()-WEEKDAY(TODAY(),2)+8,R32&lt;=TODAY()-WEEKDAY(TODAY(),2)+14),"Follow-Next Week","")))))</f>
        <v>Overdue</v>
      </c>
      <c r="AB32" s="176" t="str">
        <f t="shared" ref="AB32" ca="1" si="152">IF(OR(V32&lt;&gt;""),"Completed",IF(U32="","",
IF(U32&lt;TODAY(),"Overdue",
IF(AND(U32&gt;=TODAY()-WEEKDAY(TODAY(),2)+1,U32&lt;=TODAY()-WEEKDAY(TODAY(),2)+7),"Follow-This Week",
IF(AND(U32&gt;=TODAY()-WEEKDAY(TODAY(),2)+8,U32&lt;=TODAY()-WEEKDAY(TODAY(),2)+14),"Follow-Next Week","")))))</f>
        <v>Overdue</v>
      </c>
    </row>
    <row r="33" spans="1:28" s="64" customFormat="1" ht="11.5" x14ac:dyDescent="0.25">
      <c r="A33" s="132" t="s">
        <v>61</v>
      </c>
      <c r="B33" s="132" t="s">
        <v>62</v>
      </c>
      <c r="C33" s="180" t="s">
        <v>63</v>
      </c>
      <c r="D33" s="181" t="s">
        <v>247</v>
      </c>
      <c r="E33" s="182" t="s">
        <v>78</v>
      </c>
      <c r="F33" s="183">
        <f t="shared" si="66"/>
        <v>1</v>
      </c>
      <c r="G33" s="183">
        <f t="shared" si="67"/>
        <v>1</v>
      </c>
      <c r="H33" s="183">
        <f t="shared" si="14"/>
        <v>1</v>
      </c>
      <c r="I33" s="183">
        <f t="shared" si="78"/>
        <v>0</v>
      </c>
      <c r="J33" s="189">
        <v>1</v>
      </c>
      <c r="K33" s="136">
        <v>46206</v>
      </c>
      <c r="L33" s="136">
        <f t="shared" si="6"/>
        <v>46206</v>
      </c>
      <c r="M33" s="140">
        <v>46213</v>
      </c>
      <c r="N33" s="140">
        <f t="shared" si="7"/>
        <v>46248</v>
      </c>
      <c r="O33" s="136">
        <f t="shared" si="8"/>
        <v>46248</v>
      </c>
      <c r="P33" s="136">
        <v>46220</v>
      </c>
      <c r="Q33" s="140">
        <f t="shared" si="9"/>
        <v>46290</v>
      </c>
      <c r="R33" s="136">
        <f t="shared" si="10"/>
        <v>46290</v>
      </c>
      <c r="S33" s="140">
        <v>46290</v>
      </c>
      <c r="T33" s="140">
        <f t="shared" si="11"/>
        <v>46304</v>
      </c>
      <c r="U33" s="136">
        <f t="shared" si="12"/>
        <v>46304</v>
      </c>
      <c r="V33" s="136">
        <v>46290</v>
      </c>
      <c r="W33" s="209"/>
      <c r="Y33" s="175" t="str">
        <f t="shared" ca="1" si="1"/>
        <v>Completed</v>
      </c>
      <c r="Z33" s="175" t="str">
        <f t="shared" ca="1" si="2"/>
        <v>Completed</v>
      </c>
      <c r="AA33" s="175" t="str">
        <f t="shared" ca="1" si="3"/>
        <v>Completed</v>
      </c>
      <c r="AB33" s="176" t="str">
        <f t="shared" ca="1" si="4"/>
        <v>Completed</v>
      </c>
    </row>
    <row r="34" spans="1:28" s="64" customFormat="1" ht="11.5" x14ac:dyDescent="0.25">
      <c r="A34" s="70" t="s">
        <v>61</v>
      </c>
      <c r="B34" s="70" t="s">
        <v>62</v>
      </c>
      <c r="C34" s="65" t="s">
        <v>63</v>
      </c>
      <c r="D34" s="82" t="s">
        <v>247</v>
      </c>
      <c r="E34" s="80" t="s">
        <v>78</v>
      </c>
      <c r="F34" s="66">
        <f t="shared" ref="F34" si="153">(COUNTIFS(K34,"&lt;="&amp;$D$1)*50%)+(COUNTIFS(N34,"&lt;="&amp;$D$1)*20%)+(COUNTIFS(Q34,"&lt;="&amp;$D$1)*10%)+(COUNTIFS(T34,"&lt;="&amp;$D$1)*20%)</f>
        <v>1</v>
      </c>
      <c r="G34" s="66">
        <f t="shared" ref="G34" si="154">(COUNTIFS(L34,"&lt;="&amp;$D$1)*50%)+(COUNTIFS(O34,"&lt;="&amp;$D$1)*20%)+(COUNTIFS(R34,"&lt;="&amp;$D$1)*10%)+(COUNTIFS(U34,"&lt;="&amp;$D$1)*20%)</f>
        <v>1</v>
      </c>
      <c r="H34" s="66">
        <f t="shared" si="14"/>
        <v>0.7</v>
      </c>
      <c r="I34" s="66">
        <f t="shared" ref="I34" si="155">H34-F34</f>
        <v>-0.30000000000000004</v>
      </c>
      <c r="J34" s="89">
        <v>1</v>
      </c>
      <c r="K34" s="72">
        <v>46206</v>
      </c>
      <c r="L34" s="72">
        <f t="shared" ref="L34" si="156">K34</f>
        <v>46206</v>
      </c>
      <c r="M34" s="74">
        <v>46213</v>
      </c>
      <c r="N34" s="74">
        <f t="shared" ref="N34" si="157">K34+42</f>
        <v>46248</v>
      </c>
      <c r="O34" s="72">
        <f t="shared" ref="O34" si="158">N34</f>
        <v>46248</v>
      </c>
      <c r="P34" s="72">
        <v>46220</v>
      </c>
      <c r="Q34" s="74">
        <f t="shared" ref="Q34" si="159">N34+42</f>
        <v>46290</v>
      </c>
      <c r="R34" s="72">
        <f t="shared" ref="R34" si="160">Q34</f>
        <v>46290</v>
      </c>
      <c r="S34" s="74"/>
      <c r="T34" s="74">
        <f t="shared" ref="T34" si="161">Q34+14</f>
        <v>46304</v>
      </c>
      <c r="U34" s="72">
        <f t="shared" ref="U34" si="162">T34</f>
        <v>46304</v>
      </c>
      <c r="V34" s="72"/>
      <c r="W34" s="204"/>
      <c r="Y34" s="175" t="str">
        <f t="shared" ca="1" si="1"/>
        <v>Completed</v>
      </c>
      <c r="Z34" s="175" t="str">
        <f t="shared" ca="1" si="2"/>
        <v>Completed</v>
      </c>
      <c r="AA34" s="175" t="str">
        <f t="shared" ca="1" si="3"/>
        <v>Overdue</v>
      </c>
      <c r="AB34" s="176" t="str">
        <f t="shared" ca="1" si="4"/>
        <v>Overdue</v>
      </c>
    </row>
    <row r="35" spans="1:28" s="64" customFormat="1" ht="11.5" x14ac:dyDescent="0.25">
      <c r="A35" s="141" t="s">
        <v>61</v>
      </c>
      <c r="B35" s="141" t="s">
        <v>64</v>
      </c>
      <c r="C35" s="141" t="s">
        <v>63</v>
      </c>
      <c r="D35" s="142" t="s">
        <v>81</v>
      </c>
      <c r="E35" s="179" t="s">
        <v>479</v>
      </c>
      <c r="F35" s="143">
        <f t="shared" si="66"/>
        <v>1</v>
      </c>
      <c r="G35" s="143">
        <f t="shared" si="67"/>
        <v>1</v>
      </c>
      <c r="H35" s="143">
        <f t="shared" si="14"/>
        <v>1</v>
      </c>
      <c r="I35" s="143">
        <f t="shared" si="78"/>
        <v>0</v>
      </c>
      <c r="J35" s="165">
        <v>1</v>
      </c>
      <c r="K35" s="146">
        <v>46199</v>
      </c>
      <c r="L35" s="146">
        <f t="shared" si="6"/>
        <v>46199</v>
      </c>
      <c r="M35" s="145">
        <v>46220</v>
      </c>
      <c r="N35" s="146">
        <f t="shared" si="7"/>
        <v>46241</v>
      </c>
      <c r="O35" s="146">
        <f t="shared" si="8"/>
        <v>46241</v>
      </c>
      <c r="P35" s="146">
        <v>46220</v>
      </c>
      <c r="Q35" s="146">
        <f t="shared" si="9"/>
        <v>46283</v>
      </c>
      <c r="R35" s="146">
        <f t="shared" si="10"/>
        <v>46283</v>
      </c>
      <c r="S35" s="145">
        <v>46220</v>
      </c>
      <c r="T35" s="146">
        <f t="shared" si="11"/>
        <v>46297</v>
      </c>
      <c r="U35" s="146">
        <f t="shared" si="12"/>
        <v>46297</v>
      </c>
      <c r="V35" s="166">
        <v>46220</v>
      </c>
      <c r="W35" s="210"/>
      <c r="Y35" s="175" t="str">
        <f t="shared" ca="1" si="1"/>
        <v>Completed</v>
      </c>
      <c r="Z35" s="175" t="str">
        <f t="shared" ca="1" si="2"/>
        <v>Completed</v>
      </c>
      <c r="AA35" s="175" t="str">
        <f t="shared" ca="1" si="3"/>
        <v>Completed</v>
      </c>
      <c r="AB35" s="176" t="str">
        <f t="shared" ca="1" si="4"/>
        <v>Completed</v>
      </c>
    </row>
    <row r="36" spans="1:28" s="64" customFormat="1" ht="11.5" x14ac:dyDescent="0.25">
      <c r="A36" s="86" t="s">
        <v>61</v>
      </c>
      <c r="B36" s="86" t="s">
        <v>64</v>
      </c>
      <c r="C36" s="86" t="s">
        <v>63</v>
      </c>
      <c r="D36" s="130" t="s">
        <v>81</v>
      </c>
      <c r="E36" s="98" t="s">
        <v>478</v>
      </c>
      <c r="F36" s="87">
        <f t="shared" ref="F36" si="163">(COUNTIFS(K36,"&lt;="&amp;$D$1)*50%)+(COUNTIFS(N36,"&lt;="&amp;$D$1)*20%)+(COUNTIFS(Q36,"&lt;="&amp;$D$1)*10%)+(COUNTIFS(T36,"&lt;="&amp;$D$1)*20%)</f>
        <v>0.5</v>
      </c>
      <c r="G36" s="87">
        <f t="shared" ref="G36" si="164">(COUNTIFS(L36,"&lt;="&amp;$D$1)*50%)+(COUNTIFS(O36,"&lt;="&amp;$D$1)*20%)+(COUNTIFS(R36,"&lt;="&amp;$D$1)*10%)+(COUNTIFS(U36,"&lt;="&amp;$D$1)*20%)</f>
        <v>0.5</v>
      </c>
      <c r="H36" s="87">
        <f t="shared" si="14"/>
        <v>0.7</v>
      </c>
      <c r="I36" s="87">
        <f t="shared" ref="I36" si="165">H36-F36</f>
        <v>0.19999999999999996</v>
      </c>
      <c r="J36" s="106">
        <v>1</v>
      </c>
      <c r="K36" s="99">
        <v>46265</v>
      </c>
      <c r="L36" s="99">
        <f t="shared" ref="L36" si="166">K36</f>
        <v>46265</v>
      </c>
      <c r="M36" s="88">
        <v>46269</v>
      </c>
      <c r="N36" s="99">
        <f t="shared" ref="N36" si="167">K36+42</f>
        <v>46307</v>
      </c>
      <c r="O36" s="99">
        <f t="shared" ref="O36" si="168">N36</f>
        <v>46307</v>
      </c>
      <c r="P36" s="88">
        <v>46283</v>
      </c>
      <c r="Q36" s="99">
        <f t="shared" ref="Q36" si="169">N36+42</f>
        <v>46349</v>
      </c>
      <c r="R36" s="99">
        <f t="shared" ref="R36" si="170">Q36</f>
        <v>46349</v>
      </c>
      <c r="S36" s="88"/>
      <c r="T36" s="99">
        <f t="shared" ref="T36" si="171">Q36+14</f>
        <v>46363</v>
      </c>
      <c r="U36" s="99">
        <f t="shared" ref="U36" si="172">T36</f>
        <v>46363</v>
      </c>
      <c r="V36" s="131"/>
      <c r="W36" s="211"/>
      <c r="Y36" s="175" t="str">
        <f t="shared" ca="1" si="1"/>
        <v>Completed</v>
      </c>
      <c r="Z36" s="175" t="str">
        <f t="shared" ca="1" si="2"/>
        <v>Completed</v>
      </c>
      <c r="AA36" s="175" t="str">
        <f t="shared" ca="1" si="3"/>
        <v/>
      </c>
      <c r="AB36" s="176" t="str">
        <f t="shared" ca="1" si="4"/>
        <v/>
      </c>
    </row>
    <row r="37" spans="1:28" s="64" customFormat="1" ht="11.5" x14ac:dyDescent="0.25">
      <c r="A37" s="147" t="s">
        <v>61</v>
      </c>
      <c r="B37" s="147" t="s">
        <v>67</v>
      </c>
      <c r="C37" s="147" t="s">
        <v>63</v>
      </c>
      <c r="D37" s="148" t="s">
        <v>80</v>
      </c>
      <c r="E37" s="147" t="s">
        <v>484</v>
      </c>
      <c r="F37" s="149">
        <f t="shared" si="66"/>
        <v>1</v>
      </c>
      <c r="G37" s="149">
        <f t="shared" si="67"/>
        <v>1</v>
      </c>
      <c r="H37" s="149">
        <f t="shared" si="14"/>
        <v>1</v>
      </c>
      <c r="I37" s="149">
        <f t="shared" si="78"/>
        <v>0</v>
      </c>
      <c r="J37" s="167">
        <v>1</v>
      </c>
      <c r="K37" s="151">
        <v>46157</v>
      </c>
      <c r="L37" s="151">
        <f t="shared" si="6"/>
        <v>46157</v>
      </c>
      <c r="M37" s="151">
        <v>46188</v>
      </c>
      <c r="N37" s="151">
        <f t="shared" si="7"/>
        <v>46199</v>
      </c>
      <c r="O37" s="151">
        <f t="shared" si="8"/>
        <v>46199</v>
      </c>
      <c r="P37" s="152">
        <v>46220</v>
      </c>
      <c r="Q37" s="151">
        <f t="shared" si="9"/>
        <v>46241</v>
      </c>
      <c r="R37" s="151">
        <f t="shared" si="10"/>
        <v>46241</v>
      </c>
      <c r="S37" s="152">
        <v>46220</v>
      </c>
      <c r="T37" s="152">
        <f t="shared" si="11"/>
        <v>46255</v>
      </c>
      <c r="U37" s="151">
        <f t="shared" si="12"/>
        <v>46255</v>
      </c>
      <c r="V37" s="152">
        <v>46220</v>
      </c>
      <c r="W37" s="206"/>
      <c r="Y37" s="175" t="str">
        <f t="shared" ca="1" si="1"/>
        <v>Completed</v>
      </c>
      <c r="Z37" s="175" t="str">
        <f t="shared" ca="1" si="2"/>
        <v>Completed</v>
      </c>
      <c r="AA37" s="175" t="str">
        <f t="shared" ca="1" si="3"/>
        <v>Completed</v>
      </c>
      <c r="AB37" s="176" t="str">
        <f t="shared" ca="1" si="4"/>
        <v>Completed</v>
      </c>
    </row>
    <row r="38" spans="1:28" s="64" customFormat="1" ht="11.5" x14ac:dyDescent="0.25">
      <c r="A38" s="83" t="s">
        <v>61</v>
      </c>
      <c r="B38" s="83" t="s">
        <v>67</v>
      </c>
      <c r="C38" s="83" t="s">
        <v>63</v>
      </c>
      <c r="D38" s="127" t="s">
        <v>80</v>
      </c>
      <c r="E38" s="83" t="s">
        <v>485</v>
      </c>
      <c r="F38" s="84">
        <f t="shared" ref="F38" si="173">(COUNTIFS(K38,"&lt;="&amp;$D$1)*50%)+(COUNTIFS(N38,"&lt;="&amp;$D$1)*20%)+(COUNTIFS(Q38,"&lt;="&amp;$D$1)*10%)+(COUNTIFS(T38,"&lt;="&amp;$D$1)*20%)</f>
        <v>1</v>
      </c>
      <c r="G38" s="84">
        <f t="shared" ref="G38" si="174">(COUNTIFS(L38,"&lt;="&amp;$D$1)*50%)+(COUNTIFS(O38,"&lt;="&amp;$D$1)*20%)+(COUNTIFS(R38,"&lt;="&amp;$D$1)*10%)+(COUNTIFS(U38,"&lt;="&amp;$D$1)*20%)</f>
        <v>1</v>
      </c>
      <c r="H38" s="84">
        <f t="shared" si="14"/>
        <v>1</v>
      </c>
      <c r="I38" s="84">
        <f t="shared" ref="I38" si="175">H38-F38</f>
        <v>0</v>
      </c>
      <c r="J38" s="105">
        <v>1</v>
      </c>
      <c r="K38" s="85">
        <v>46157</v>
      </c>
      <c r="L38" s="85">
        <f t="shared" ref="L38" si="176">K38</f>
        <v>46157</v>
      </c>
      <c r="M38" s="85">
        <v>46223</v>
      </c>
      <c r="N38" s="85">
        <f t="shared" ref="N38" si="177">K38+42</f>
        <v>46199</v>
      </c>
      <c r="O38" s="85">
        <f t="shared" ref="O38" si="178">N38</f>
        <v>46199</v>
      </c>
      <c r="P38" s="85">
        <v>46223</v>
      </c>
      <c r="Q38" s="85">
        <f t="shared" ref="Q38" si="179">N38+42</f>
        <v>46241</v>
      </c>
      <c r="R38" s="85">
        <f t="shared" ref="R38" si="180">Q38</f>
        <v>46241</v>
      </c>
      <c r="S38" s="96">
        <v>46279</v>
      </c>
      <c r="T38" s="96">
        <f t="shared" ref="T38" si="181">Q38+14</f>
        <v>46255</v>
      </c>
      <c r="U38" s="85">
        <f t="shared" ref="U38" si="182">T38</f>
        <v>46255</v>
      </c>
      <c r="V38" s="232">
        <v>46295</v>
      </c>
      <c r="W38" s="212"/>
      <c r="Y38" s="175" t="str">
        <f t="shared" ca="1" si="1"/>
        <v>Completed</v>
      </c>
      <c r="Z38" s="175" t="str">
        <f t="shared" ca="1" si="2"/>
        <v>Completed</v>
      </c>
      <c r="AA38" s="175" t="str">
        <f t="shared" ca="1" si="3"/>
        <v>Completed</v>
      </c>
      <c r="AB38" s="176" t="str">
        <f t="shared" ca="1" si="4"/>
        <v>Completed</v>
      </c>
    </row>
    <row r="39" spans="1:28" s="64" customFormat="1" ht="11.5" x14ac:dyDescent="0.25">
      <c r="A39" s="153" t="s">
        <v>61</v>
      </c>
      <c r="B39" s="153" t="s">
        <v>70</v>
      </c>
      <c r="C39" s="153" t="s">
        <v>63</v>
      </c>
      <c r="D39" s="154" t="s">
        <v>82</v>
      </c>
      <c r="E39" s="187" t="s">
        <v>480</v>
      </c>
      <c r="F39" s="155">
        <f t="shared" si="66"/>
        <v>1</v>
      </c>
      <c r="G39" s="155">
        <f t="shared" si="67"/>
        <v>1</v>
      </c>
      <c r="H39" s="155">
        <f t="shared" si="14"/>
        <v>1</v>
      </c>
      <c r="I39" s="155">
        <f t="shared" si="5"/>
        <v>0</v>
      </c>
      <c r="J39" s="156">
        <v>1</v>
      </c>
      <c r="K39" s="158">
        <v>46185</v>
      </c>
      <c r="L39" s="158">
        <f t="shared" si="6"/>
        <v>46185</v>
      </c>
      <c r="M39" s="157">
        <v>46220</v>
      </c>
      <c r="N39" s="158">
        <f t="shared" si="7"/>
        <v>46227</v>
      </c>
      <c r="O39" s="158">
        <f t="shared" si="8"/>
        <v>46227</v>
      </c>
      <c r="P39" s="157">
        <v>46220</v>
      </c>
      <c r="Q39" s="158">
        <f t="shared" si="9"/>
        <v>46269</v>
      </c>
      <c r="R39" s="158">
        <f t="shared" si="10"/>
        <v>46269</v>
      </c>
      <c r="S39" s="158">
        <v>46220</v>
      </c>
      <c r="T39" s="158">
        <f t="shared" si="11"/>
        <v>46283</v>
      </c>
      <c r="U39" s="158">
        <f t="shared" si="12"/>
        <v>46283</v>
      </c>
      <c r="V39" s="157">
        <v>46220</v>
      </c>
      <c r="W39" s="207"/>
      <c r="Y39" s="175" t="str">
        <f t="shared" ca="1" si="1"/>
        <v>Completed</v>
      </c>
      <c r="Z39" s="175" t="str">
        <f t="shared" ca="1" si="2"/>
        <v>Completed</v>
      </c>
      <c r="AA39" s="175" t="str">
        <f t="shared" ca="1" si="3"/>
        <v>Completed</v>
      </c>
      <c r="AB39" s="176" t="str">
        <f t="shared" ca="1" si="4"/>
        <v>Completed</v>
      </c>
    </row>
    <row r="40" spans="1:28" s="64" customFormat="1" ht="11.5" x14ac:dyDescent="0.25">
      <c r="A40" s="110" t="s">
        <v>61</v>
      </c>
      <c r="B40" s="110" t="s">
        <v>70</v>
      </c>
      <c r="C40" s="110" t="s">
        <v>63</v>
      </c>
      <c r="D40" s="129" t="s">
        <v>82</v>
      </c>
      <c r="E40" s="114" t="s">
        <v>481</v>
      </c>
      <c r="F40" s="111">
        <f t="shared" ref="F40" si="183">(COUNTIFS(K40,"&lt;="&amp;$D$1)*50%)+(COUNTIFS(N40,"&lt;="&amp;$D$1)*20%)+(COUNTIFS(Q40,"&lt;="&amp;$D$1)*10%)+(COUNTIFS(T40,"&lt;="&amp;$D$1)*20%)</f>
        <v>0.7</v>
      </c>
      <c r="G40" s="111">
        <f t="shared" ref="G40" si="184">(COUNTIFS(L40,"&lt;="&amp;$D$1)*50%)+(COUNTIFS(O40,"&lt;="&amp;$D$1)*20%)+(COUNTIFS(R40,"&lt;="&amp;$D$1)*10%)+(COUNTIFS(U40,"&lt;="&amp;$D$1)*20%)</f>
        <v>0.7</v>
      </c>
      <c r="H40" s="111">
        <f t="shared" si="14"/>
        <v>0.7</v>
      </c>
      <c r="I40" s="111">
        <f t="shared" ref="I40" si="185">H40-F40</f>
        <v>0</v>
      </c>
      <c r="J40" s="112">
        <v>1</v>
      </c>
      <c r="K40" s="115">
        <v>46251</v>
      </c>
      <c r="L40" s="115">
        <f t="shared" ref="L40" si="186">K40</f>
        <v>46251</v>
      </c>
      <c r="M40" s="113">
        <v>46262</v>
      </c>
      <c r="N40" s="115">
        <f t="shared" ref="N40" si="187">K40+42</f>
        <v>46293</v>
      </c>
      <c r="O40" s="115">
        <f t="shared" ref="O40" si="188">N40</f>
        <v>46293</v>
      </c>
      <c r="P40" s="113">
        <v>46283</v>
      </c>
      <c r="Q40" s="115">
        <f t="shared" ref="Q40" si="189">N40+42</f>
        <v>46335</v>
      </c>
      <c r="R40" s="115">
        <f t="shared" ref="R40" si="190">Q40</f>
        <v>46335</v>
      </c>
      <c r="S40" s="115"/>
      <c r="T40" s="115">
        <f t="shared" ref="T40" si="191">Q40+14</f>
        <v>46349</v>
      </c>
      <c r="U40" s="115">
        <f t="shared" ref="U40" si="192">T40</f>
        <v>46349</v>
      </c>
      <c r="V40" s="113"/>
      <c r="W40" s="213"/>
      <c r="Y40" s="175" t="str">
        <f t="shared" ca="1" si="1"/>
        <v>Completed</v>
      </c>
      <c r="Z40" s="175" t="str">
        <f t="shared" ca="1" si="2"/>
        <v>Completed</v>
      </c>
      <c r="AA40" s="175" t="str">
        <f t="shared" ca="1" si="3"/>
        <v/>
      </c>
      <c r="AB40" s="176" t="str">
        <f t="shared" ca="1" si="4"/>
        <v/>
      </c>
    </row>
    <row r="41" spans="1:28" s="64" customFormat="1" ht="11.5" x14ac:dyDescent="0.25">
      <c r="A41" s="159" t="s">
        <v>61</v>
      </c>
      <c r="B41" s="159" t="s">
        <v>73</v>
      </c>
      <c r="C41" s="159" t="s">
        <v>63</v>
      </c>
      <c r="D41" s="160" t="s">
        <v>79</v>
      </c>
      <c r="E41" s="188" t="s">
        <v>482</v>
      </c>
      <c r="F41" s="161">
        <f t="shared" si="66"/>
        <v>1</v>
      </c>
      <c r="G41" s="161">
        <f t="shared" si="67"/>
        <v>1</v>
      </c>
      <c r="H41" s="161">
        <f t="shared" si="14"/>
        <v>1</v>
      </c>
      <c r="I41" s="161">
        <f t="shared" si="5"/>
        <v>0</v>
      </c>
      <c r="J41" s="162">
        <v>1</v>
      </c>
      <c r="K41" s="163">
        <v>46171</v>
      </c>
      <c r="L41" s="163">
        <f t="shared" si="6"/>
        <v>46171</v>
      </c>
      <c r="M41" s="164">
        <v>46199</v>
      </c>
      <c r="N41" s="164">
        <f t="shared" si="7"/>
        <v>46213</v>
      </c>
      <c r="O41" s="163">
        <f t="shared" si="8"/>
        <v>46213</v>
      </c>
      <c r="P41" s="163">
        <v>46220</v>
      </c>
      <c r="Q41" s="164">
        <f t="shared" si="9"/>
        <v>46255</v>
      </c>
      <c r="R41" s="163">
        <f t="shared" si="10"/>
        <v>46255</v>
      </c>
      <c r="S41" s="164">
        <v>46220</v>
      </c>
      <c r="T41" s="164">
        <f t="shared" si="11"/>
        <v>46269</v>
      </c>
      <c r="U41" s="163">
        <f t="shared" si="12"/>
        <v>46269</v>
      </c>
      <c r="V41" s="163">
        <v>46220</v>
      </c>
      <c r="W41" s="208"/>
      <c r="Y41" s="175" t="str">
        <f t="shared" ref="Y41:Y72" ca="1" si="193">IF(OR(M41&lt;&gt;""),"Completed",
IF(L41="","",IF(L41&lt;TODAY(),"Overdue",
IF(AND(L41&gt;=TODAY()-WEEKDAY(TODAY(),2)+1,L41&lt;=TODAY()-WEEKDAY(TODAY(),2)+7),"Follow-This Week",
IF(AND(L41&gt;=TODAY()-WEEKDAY(TODAY(),2)+8,L41&lt;=TODAY()-WEEKDAY(TODAY(),2)+14),"Follow-Next Week","")))))</f>
        <v>Completed</v>
      </c>
      <c r="Z41" s="175" t="str">
        <f t="shared" ref="Z41:Z72" ca="1" si="194">IF(OR(P41&lt;&gt;""),"Completed",IF(O41="","",
IF(O41&lt;TODAY(),"Overdue",
IF(AND(O41&gt;=TODAY()-WEEKDAY(TODAY(),2)+1,O41&lt;=TODAY()-WEEKDAY(TODAY(),2)+7),"Follow-This Week",
IF(AND(O41&gt;=TODAY()-WEEKDAY(TODAY(),2)+8,O41&lt;=TODAY()-WEEKDAY(TODAY(),2)+14),"Follow-Next Week","")))))</f>
        <v>Completed</v>
      </c>
      <c r="AA41" s="175" t="str">
        <f t="shared" ref="AA41:AA72" ca="1" si="195">IF(OR(S41&lt;&gt;""),"Completed",IF(R41="","",
IF(R41&lt;TODAY(),"Overdue",
IF(AND(R41&gt;=TODAY()-WEEKDAY(TODAY(),2)+1,R41&lt;=TODAY()-WEEKDAY(TODAY(),2)+7),"Follow-This Week",
IF(AND(R41&gt;=TODAY()-WEEKDAY(TODAY(),2)+8,R41&lt;=TODAY()-WEEKDAY(TODAY(),2)+14),"Follow-Next Week","")))))</f>
        <v>Completed</v>
      </c>
      <c r="AB41" s="176" t="str">
        <f t="shared" ref="AB41:AB72" ca="1" si="196">IF(OR(V41&lt;&gt;""),"Completed",IF(U41="","",
IF(U41&lt;TODAY(),"Overdue",
IF(AND(U41&gt;=TODAY()-WEEKDAY(TODAY(),2)+1,U41&lt;=TODAY()-WEEKDAY(TODAY(),2)+7),"Follow-This Week",
IF(AND(U41&gt;=TODAY()-WEEKDAY(TODAY(),2)+8,U41&lt;=TODAY()-WEEKDAY(TODAY(),2)+14),"Follow-Next Week","")))))</f>
        <v>Completed</v>
      </c>
    </row>
    <row r="42" spans="1:28" s="64" customFormat="1" ht="11.5" x14ac:dyDescent="0.25">
      <c r="A42" s="91" t="s">
        <v>61</v>
      </c>
      <c r="B42" s="91" t="s">
        <v>73</v>
      </c>
      <c r="C42" s="91" t="s">
        <v>63</v>
      </c>
      <c r="D42" s="128" t="s">
        <v>79</v>
      </c>
      <c r="E42" s="109" t="s">
        <v>483</v>
      </c>
      <c r="F42" s="92">
        <f t="shared" ref="F42" si="197">(COUNTIFS(K42,"&lt;="&amp;$D$1)*50%)+(COUNTIFS(N42,"&lt;="&amp;$D$1)*20%)+(COUNTIFS(Q42,"&lt;="&amp;$D$1)*10%)+(COUNTIFS(T42,"&lt;="&amp;$D$1)*20%)</f>
        <v>1</v>
      </c>
      <c r="G42" s="92">
        <f t="shared" ref="G42" si="198">(COUNTIFS(L42,"&lt;="&amp;$D$1)*50%)+(COUNTIFS(O42,"&lt;="&amp;$D$1)*20%)+(COUNTIFS(R42,"&lt;="&amp;$D$1)*10%)+(COUNTIFS(U42,"&lt;="&amp;$D$1)*20%)</f>
        <v>1</v>
      </c>
      <c r="H42" s="92">
        <f t="shared" si="14"/>
        <v>1</v>
      </c>
      <c r="I42" s="92">
        <f t="shared" ref="I42" si="199">H42-F42</f>
        <v>0</v>
      </c>
      <c r="J42" s="95">
        <v>1</v>
      </c>
      <c r="K42" s="93">
        <v>46171</v>
      </c>
      <c r="L42" s="93">
        <f t="shared" ref="L42" si="200">K42</f>
        <v>46171</v>
      </c>
      <c r="M42" s="97">
        <v>46199</v>
      </c>
      <c r="N42" s="97">
        <v>46234</v>
      </c>
      <c r="O42" s="93">
        <f t="shared" ref="O42" si="201">N42</f>
        <v>46234</v>
      </c>
      <c r="P42" s="93">
        <v>46241</v>
      </c>
      <c r="Q42" s="97">
        <f t="shared" ref="Q42" si="202">N42+42</f>
        <v>46276</v>
      </c>
      <c r="R42" s="93">
        <f t="shared" ref="R42" si="203">Q42</f>
        <v>46276</v>
      </c>
      <c r="S42" s="97">
        <v>46293</v>
      </c>
      <c r="T42" s="97">
        <f t="shared" ref="T42" si="204">Q42+14</f>
        <v>46290</v>
      </c>
      <c r="U42" s="93">
        <f t="shared" ref="U42" si="205">T42</f>
        <v>46290</v>
      </c>
      <c r="V42" s="97">
        <v>46295</v>
      </c>
      <c r="W42" s="214"/>
      <c r="Y42" s="175" t="str">
        <f t="shared" ca="1" si="193"/>
        <v>Completed</v>
      </c>
      <c r="Z42" s="175" t="str">
        <f t="shared" ca="1" si="194"/>
        <v>Completed</v>
      </c>
      <c r="AA42" s="175" t="str">
        <f t="shared" ca="1" si="195"/>
        <v>Completed</v>
      </c>
      <c r="AB42" s="176" t="str">
        <f t="shared" ca="1" si="196"/>
        <v>Completed</v>
      </c>
    </row>
    <row r="43" spans="1:28" s="64" customFormat="1" ht="11.5" x14ac:dyDescent="0.25">
      <c r="A43" s="141" t="s">
        <v>61</v>
      </c>
      <c r="B43" s="141" t="s">
        <v>64</v>
      </c>
      <c r="C43" s="141" t="s">
        <v>63</v>
      </c>
      <c r="D43" s="142" t="s">
        <v>454</v>
      </c>
      <c r="E43" s="179" t="s">
        <v>486</v>
      </c>
      <c r="F43" s="143">
        <f t="shared" si="66"/>
        <v>0.79999999999999993</v>
      </c>
      <c r="G43" s="143">
        <f t="shared" si="67"/>
        <v>0.79999999999999993</v>
      </c>
      <c r="H43" s="143">
        <f t="shared" si="14"/>
        <v>1</v>
      </c>
      <c r="I43" s="143">
        <f t="shared" si="5"/>
        <v>0.20000000000000007</v>
      </c>
      <c r="J43" s="165">
        <v>1</v>
      </c>
      <c r="K43" s="145">
        <v>46220</v>
      </c>
      <c r="L43" s="145">
        <f t="shared" si="6"/>
        <v>46220</v>
      </c>
      <c r="M43" s="145">
        <v>46188</v>
      </c>
      <c r="N43" s="145">
        <f t="shared" si="7"/>
        <v>46262</v>
      </c>
      <c r="O43" s="145">
        <f t="shared" si="8"/>
        <v>46262</v>
      </c>
      <c r="P43" s="145">
        <v>46227</v>
      </c>
      <c r="Q43" s="145">
        <f t="shared" si="9"/>
        <v>46304</v>
      </c>
      <c r="R43" s="145">
        <f t="shared" si="10"/>
        <v>46304</v>
      </c>
      <c r="S43" s="145">
        <v>46227</v>
      </c>
      <c r="T43" s="146">
        <f t="shared" si="11"/>
        <v>46318</v>
      </c>
      <c r="U43" s="145">
        <f t="shared" si="12"/>
        <v>46318</v>
      </c>
      <c r="V43" s="145">
        <v>46227</v>
      </c>
      <c r="W43" s="205"/>
      <c r="Y43" s="175" t="str">
        <f t="shared" ca="1" si="193"/>
        <v>Completed</v>
      </c>
      <c r="Z43" s="175" t="str">
        <f t="shared" ca="1" si="194"/>
        <v>Completed</v>
      </c>
      <c r="AA43" s="175" t="str">
        <f t="shared" ca="1" si="195"/>
        <v>Completed</v>
      </c>
      <c r="AB43" s="176" t="str">
        <f t="shared" ca="1" si="196"/>
        <v>Completed</v>
      </c>
    </row>
    <row r="44" spans="1:28" s="64" customFormat="1" ht="11.5" x14ac:dyDescent="0.25">
      <c r="A44" s="141" t="s">
        <v>61</v>
      </c>
      <c r="B44" s="141" t="s">
        <v>64</v>
      </c>
      <c r="C44" s="141" t="s">
        <v>63</v>
      </c>
      <c r="D44" s="142" t="s">
        <v>455</v>
      </c>
      <c r="E44" s="179" t="s">
        <v>487</v>
      </c>
      <c r="F44" s="143">
        <f t="shared" si="66"/>
        <v>0.7</v>
      </c>
      <c r="G44" s="143">
        <f t="shared" si="67"/>
        <v>0.7</v>
      </c>
      <c r="H44" s="143">
        <f t="shared" si="14"/>
        <v>1</v>
      </c>
      <c r="I44" s="143">
        <f t="shared" si="5"/>
        <v>0.30000000000000004</v>
      </c>
      <c r="J44" s="165">
        <v>1</v>
      </c>
      <c r="K44" s="145">
        <v>46227</v>
      </c>
      <c r="L44" s="145">
        <f t="shared" si="6"/>
        <v>46227</v>
      </c>
      <c r="M44" s="145">
        <v>46227</v>
      </c>
      <c r="N44" s="145">
        <f t="shared" si="7"/>
        <v>46269</v>
      </c>
      <c r="O44" s="145">
        <f t="shared" si="8"/>
        <v>46269</v>
      </c>
      <c r="P44" s="145">
        <v>46227</v>
      </c>
      <c r="Q44" s="145">
        <f t="shared" si="9"/>
        <v>46311</v>
      </c>
      <c r="R44" s="145">
        <f t="shared" si="10"/>
        <v>46311</v>
      </c>
      <c r="S44" s="145">
        <v>46227</v>
      </c>
      <c r="T44" s="146">
        <f t="shared" si="11"/>
        <v>46325</v>
      </c>
      <c r="U44" s="145">
        <f t="shared" si="12"/>
        <v>46325</v>
      </c>
      <c r="V44" s="145">
        <v>46227</v>
      </c>
      <c r="W44" s="205"/>
      <c r="Y44" s="175" t="str">
        <f t="shared" ca="1" si="193"/>
        <v>Completed</v>
      </c>
      <c r="Z44" s="175" t="str">
        <f t="shared" ca="1" si="194"/>
        <v>Completed</v>
      </c>
      <c r="AA44" s="175" t="str">
        <f t="shared" ca="1" si="195"/>
        <v>Completed</v>
      </c>
      <c r="AB44" s="176" t="str">
        <f t="shared" ca="1" si="196"/>
        <v>Completed</v>
      </c>
    </row>
    <row r="45" spans="1:28" s="64" customFormat="1" ht="11.5" x14ac:dyDescent="0.25">
      <c r="A45" s="86" t="s">
        <v>61</v>
      </c>
      <c r="B45" s="86" t="s">
        <v>64</v>
      </c>
      <c r="C45" s="86" t="s">
        <v>63</v>
      </c>
      <c r="D45" s="130" t="s">
        <v>454</v>
      </c>
      <c r="E45" s="98" t="s">
        <v>489</v>
      </c>
      <c r="F45" s="87">
        <f t="shared" ref="F45:F46" si="206">(COUNTIFS(K45,"&lt;="&amp;$D$1)*50%)+(COUNTIFS(N45,"&lt;="&amp;$D$1)*20%)+(COUNTIFS(Q45,"&lt;="&amp;$D$1)*10%)+(COUNTIFS(T45,"&lt;="&amp;$D$1)*20%)</f>
        <v>0.79999999999999993</v>
      </c>
      <c r="G45" s="87">
        <f t="shared" ref="G45:G46" si="207">(COUNTIFS(L45,"&lt;="&amp;$D$1)*50%)+(COUNTIFS(O45,"&lt;="&amp;$D$1)*20%)+(COUNTIFS(R45,"&lt;="&amp;$D$1)*10%)+(COUNTIFS(U45,"&lt;="&amp;$D$1)*20%)</f>
        <v>0.79999999999999993</v>
      </c>
      <c r="H45" s="87">
        <f t="shared" si="14"/>
        <v>0.79999999999999993</v>
      </c>
      <c r="I45" s="87">
        <f t="shared" ref="I45:I46" si="208">H45-F45</f>
        <v>0</v>
      </c>
      <c r="J45" s="106">
        <v>1</v>
      </c>
      <c r="K45" s="88">
        <v>46220</v>
      </c>
      <c r="L45" s="88">
        <f t="shared" ref="L45:L46" si="209">K45</f>
        <v>46220</v>
      </c>
      <c r="M45" s="88">
        <v>46188</v>
      </c>
      <c r="N45" s="88">
        <f t="shared" ref="N45:N46" si="210">K45+42</f>
        <v>46262</v>
      </c>
      <c r="O45" s="88">
        <f>N45</f>
        <v>46262</v>
      </c>
      <c r="P45" s="88">
        <v>46262</v>
      </c>
      <c r="Q45" s="88">
        <f t="shared" ref="Q45:Q46" si="211">N45+42</f>
        <v>46304</v>
      </c>
      <c r="R45" s="88">
        <f t="shared" ref="R45:R46" si="212">Q45</f>
        <v>46304</v>
      </c>
      <c r="S45" s="220">
        <v>46300</v>
      </c>
      <c r="T45" s="99">
        <f t="shared" ref="T45:T46" si="213">Q45+14</f>
        <v>46318</v>
      </c>
      <c r="U45" s="88">
        <f t="shared" ref="U45:U46" si="214">T45</f>
        <v>46318</v>
      </c>
      <c r="V45" s="88"/>
      <c r="W45" s="215"/>
      <c r="Y45" s="175" t="str">
        <f t="shared" ca="1" si="193"/>
        <v>Completed</v>
      </c>
      <c r="Z45" s="175" t="str">
        <f t="shared" ca="1" si="194"/>
        <v>Completed</v>
      </c>
      <c r="AA45" s="175" t="str">
        <f t="shared" ca="1" si="195"/>
        <v>Completed</v>
      </c>
      <c r="AB45" s="176" t="str">
        <f t="shared" ca="1" si="196"/>
        <v/>
      </c>
    </row>
    <row r="46" spans="1:28" s="64" customFormat="1" ht="11.5" x14ac:dyDescent="0.25">
      <c r="A46" s="86" t="s">
        <v>61</v>
      </c>
      <c r="B46" s="86" t="s">
        <v>64</v>
      </c>
      <c r="C46" s="86" t="s">
        <v>63</v>
      </c>
      <c r="D46" s="130" t="s">
        <v>455</v>
      </c>
      <c r="E46" s="98" t="s">
        <v>490</v>
      </c>
      <c r="F46" s="87">
        <f t="shared" si="206"/>
        <v>0.7</v>
      </c>
      <c r="G46" s="87">
        <f t="shared" si="207"/>
        <v>0.7</v>
      </c>
      <c r="H46" s="87">
        <f t="shared" si="14"/>
        <v>0.7</v>
      </c>
      <c r="I46" s="87">
        <f t="shared" si="208"/>
        <v>0</v>
      </c>
      <c r="J46" s="106">
        <v>1</v>
      </c>
      <c r="K46" s="88">
        <v>46262</v>
      </c>
      <c r="L46" s="88">
        <f t="shared" si="209"/>
        <v>46262</v>
      </c>
      <c r="M46" s="88">
        <v>46262</v>
      </c>
      <c r="N46" s="88">
        <f t="shared" si="210"/>
        <v>46304</v>
      </c>
      <c r="O46" s="88">
        <f t="shared" ref="O46" si="215">N46</f>
        <v>46304</v>
      </c>
      <c r="P46" s="88">
        <v>46269</v>
      </c>
      <c r="Q46" s="88">
        <f t="shared" si="211"/>
        <v>46346</v>
      </c>
      <c r="R46" s="88">
        <f t="shared" si="212"/>
        <v>46346</v>
      </c>
      <c r="S46" s="99"/>
      <c r="T46" s="99">
        <f t="shared" si="213"/>
        <v>46360</v>
      </c>
      <c r="U46" s="88">
        <f t="shared" si="214"/>
        <v>46360</v>
      </c>
      <c r="V46" s="88"/>
      <c r="W46" s="215"/>
      <c r="Y46" s="175" t="str">
        <f t="shared" ca="1" si="193"/>
        <v>Completed</v>
      </c>
      <c r="Z46" s="175" t="str">
        <f t="shared" ca="1" si="194"/>
        <v>Completed</v>
      </c>
      <c r="AA46" s="175" t="str">
        <f t="shared" ca="1" si="195"/>
        <v/>
      </c>
      <c r="AB46" s="176" t="str">
        <f t="shared" ca="1" si="196"/>
        <v/>
      </c>
    </row>
    <row r="47" spans="1:28" s="64" customFormat="1" ht="11.5" x14ac:dyDescent="0.25">
      <c r="A47" s="83" t="s">
        <v>61</v>
      </c>
      <c r="B47" s="83" t="s">
        <v>67</v>
      </c>
      <c r="C47" s="83" t="s">
        <v>63</v>
      </c>
      <c r="D47" s="127" t="s">
        <v>456</v>
      </c>
      <c r="E47" s="100" t="s">
        <v>83</v>
      </c>
      <c r="F47" s="84">
        <f t="shared" si="66"/>
        <v>1</v>
      </c>
      <c r="G47" s="84">
        <f t="shared" si="67"/>
        <v>1</v>
      </c>
      <c r="H47" s="84">
        <f t="shared" si="14"/>
        <v>1</v>
      </c>
      <c r="I47" s="84">
        <f t="shared" si="5"/>
        <v>0</v>
      </c>
      <c r="J47" s="105">
        <v>2</v>
      </c>
      <c r="K47" s="85">
        <v>46178</v>
      </c>
      <c r="L47" s="85">
        <f t="shared" si="6"/>
        <v>46178</v>
      </c>
      <c r="M47" s="85">
        <v>46171</v>
      </c>
      <c r="N47" s="85">
        <f t="shared" si="7"/>
        <v>46220</v>
      </c>
      <c r="O47" s="85">
        <f t="shared" si="8"/>
        <v>46220</v>
      </c>
      <c r="P47" s="96">
        <v>46217</v>
      </c>
      <c r="Q47" s="85">
        <f t="shared" si="9"/>
        <v>46262</v>
      </c>
      <c r="R47" s="85">
        <f t="shared" si="10"/>
        <v>46262</v>
      </c>
      <c r="S47" s="96">
        <v>46255</v>
      </c>
      <c r="T47" s="96">
        <f t="shared" si="11"/>
        <v>46276</v>
      </c>
      <c r="U47" s="85">
        <f t="shared" si="12"/>
        <v>46276</v>
      </c>
      <c r="V47" s="85">
        <v>46269</v>
      </c>
      <c r="W47" s="212"/>
      <c r="Y47" s="175" t="str">
        <f t="shared" ca="1" si="193"/>
        <v>Completed</v>
      </c>
      <c r="Z47" s="175" t="str">
        <f t="shared" ca="1" si="194"/>
        <v>Completed</v>
      </c>
      <c r="AA47" s="175" t="str">
        <f t="shared" ca="1" si="195"/>
        <v>Completed</v>
      </c>
      <c r="AB47" s="176" t="str">
        <f t="shared" ca="1" si="196"/>
        <v>Completed</v>
      </c>
    </row>
    <row r="48" spans="1:28" s="64" customFormat="1" ht="11.5" x14ac:dyDescent="0.25">
      <c r="A48" s="83" t="s">
        <v>61</v>
      </c>
      <c r="B48" s="83" t="s">
        <v>67</v>
      </c>
      <c r="C48" s="83" t="s">
        <v>63</v>
      </c>
      <c r="D48" s="127" t="s">
        <v>457</v>
      </c>
      <c r="E48" s="100" t="s">
        <v>84</v>
      </c>
      <c r="F48" s="84">
        <f t="shared" si="66"/>
        <v>1</v>
      </c>
      <c r="G48" s="84">
        <f t="shared" si="67"/>
        <v>1</v>
      </c>
      <c r="H48" s="84">
        <f t="shared" ref="H48:H84" si="216">(COUNTIFS(M48,"&lt;="&amp;$D$1)*50%)+(COUNTIFS(P48,"&lt;="&amp;$D$1)*20%)+(COUNTIFS(S48,"&lt;="&amp;$D$1)*10%)+(COUNTIFS(V48,"&lt;="&amp;$D$1)*20%)</f>
        <v>1</v>
      </c>
      <c r="I48" s="84">
        <f t="shared" si="5"/>
        <v>0</v>
      </c>
      <c r="J48" s="105">
        <v>2</v>
      </c>
      <c r="K48" s="85">
        <v>46185</v>
      </c>
      <c r="L48" s="85">
        <f t="shared" si="6"/>
        <v>46185</v>
      </c>
      <c r="M48" s="85">
        <v>46171</v>
      </c>
      <c r="N48" s="85">
        <f t="shared" si="7"/>
        <v>46227</v>
      </c>
      <c r="O48" s="85">
        <f t="shared" si="8"/>
        <v>46227</v>
      </c>
      <c r="P48" s="96">
        <v>46217</v>
      </c>
      <c r="Q48" s="85">
        <f t="shared" si="9"/>
        <v>46269</v>
      </c>
      <c r="R48" s="85">
        <f t="shared" si="10"/>
        <v>46269</v>
      </c>
      <c r="S48" s="96">
        <v>46262</v>
      </c>
      <c r="T48" s="96">
        <f t="shared" si="11"/>
        <v>46283</v>
      </c>
      <c r="U48" s="85">
        <f t="shared" si="12"/>
        <v>46283</v>
      </c>
      <c r="V48" s="85">
        <v>46269</v>
      </c>
      <c r="W48" s="212"/>
      <c r="Y48" s="175" t="str">
        <f t="shared" ca="1" si="193"/>
        <v>Completed</v>
      </c>
      <c r="Z48" s="175" t="str">
        <f t="shared" ca="1" si="194"/>
        <v>Completed</v>
      </c>
      <c r="AA48" s="175" t="str">
        <f t="shared" ca="1" si="195"/>
        <v>Completed</v>
      </c>
      <c r="AB48" s="176" t="str">
        <f t="shared" ca="1" si="196"/>
        <v>Completed</v>
      </c>
    </row>
    <row r="49" spans="1:28" s="64" customFormat="1" ht="11.5" x14ac:dyDescent="0.25">
      <c r="A49" s="153" t="s">
        <v>61</v>
      </c>
      <c r="B49" s="153" t="s">
        <v>70</v>
      </c>
      <c r="C49" s="153" t="s">
        <v>63</v>
      </c>
      <c r="D49" s="154" t="s">
        <v>458</v>
      </c>
      <c r="E49" s="187" t="s">
        <v>520</v>
      </c>
      <c r="F49" s="155">
        <f t="shared" si="66"/>
        <v>1</v>
      </c>
      <c r="G49" s="155">
        <f t="shared" si="67"/>
        <v>1</v>
      </c>
      <c r="H49" s="155">
        <f t="shared" si="216"/>
        <v>1</v>
      </c>
      <c r="I49" s="155">
        <f t="shared" si="5"/>
        <v>0</v>
      </c>
      <c r="J49" s="156">
        <v>1</v>
      </c>
      <c r="K49" s="157">
        <v>46206</v>
      </c>
      <c r="L49" s="157">
        <f t="shared" si="6"/>
        <v>46206</v>
      </c>
      <c r="M49" s="157">
        <v>46185</v>
      </c>
      <c r="N49" s="157">
        <f t="shared" si="7"/>
        <v>46248</v>
      </c>
      <c r="O49" s="157">
        <f t="shared" si="8"/>
        <v>46248</v>
      </c>
      <c r="P49" s="157">
        <v>46241</v>
      </c>
      <c r="Q49" s="157">
        <f t="shared" si="9"/>
        <v>46290</v>
      </c>
      <c r="R49" s="157">
        <f t="shared" si="10"/>
        <v>46290</v>
      </c>
      <c r="S49" s="157">
        <v>46241</v>
      </c>
      <c r="T49" s="158">
        <f t="shared" si="11"/>
        <v>46304</v>
      </c>
      <c r="U49" s="157">
        <f t="shared" si="12"/>
        <v>46304</v>
      </c>
      <c r="V49" s="157">
        <v>46241</v>
      </c>
      <c r="W49" s="207"/>
      <c r="Y49" s="175" t="str">
        <f t="shared" ca="1" si="193"/>
        <v>Completed</v>
      </c>
      <c r="Z49" s="175" t="str">
        <f t="shared" ca="1" si="194"/>
        <v>Completed</v>
      </c>
      <c r="AA49" s="175" t="str">
        <f t="shared" ca="1" si="195"/>
        <v>Completed</v>
      </c>
      <c r="AB49" s="176" t="str">
        <f t="shared" ca="1" si="196"/>
        <v>Completed</v>
      </c>
    </row>
    <row r="50" spans="1:28" s="64" customFormat="1" ht="11.5" x14ac:dyDescent="0.25">
      <c r="A50" s="153" t="s">
        <v>61</v>
      </c>
      <c r="B50" s="153" t="s">
        <v>70</v>
      </c>
      <c r="C50" s="153" t="s">
        <v>63</v>
      </c>
      <c r="D50" s="154" t="s">
        <v>459</v>
      </c>
      <c r="E50" s="187" t="s">
        <v>521</v>
      </c>
      <c r="F50" s="155">
        <f t="shared" si="66"/>
        <v>0.79999999999999993</v>
      </c>
      <c r="G50" s="155">
        <f t="shared" si="67"/>
        <v>0.79999999999999993</v>
      </c>
      <c r="H50" s="155">
        <f t="shared" si="216"/>
        <v>1</v>
      </c>
      <c r="I50" s="155">
        <f t="shared" si="5"/>
        <v>0.20000000000000007</v>
      </c>
      <c r="J50" s="156">
        <v>1</v>
      </c>
      <c r="K50" s="157">
        <v>46213</v>
      </c>
      <c r="L50" s="157">
        <f t="shared" si="6"/>
        <v>46213</v>
      </c>
      <c r="M50" s="157">
        <v>46188</v>
      </c>
      <c r="N50" s="157">
        <f t="shared" si="7"/>
        <v>46255</v>
      </c>
      <c r="O50" s="157">
        <f t="shared" si="8"/>
        <v>46255</v>
      </c>
      <c r="P50" s="157">
        <v>46241</v>
      </c>
      <c r="Q50" s="157">
        <f t="shared" si="9"/>
        <v>46297</v>
      </c>
      <c r="R50" s="157">
        <f t="shared" si="10"/>
        <v>46297</v>
      </c>
      <c r="S50" s="157">
        <v>46241</v>
      </c>
      <c r="T50" s="157">
        <f t="shared" si="11"/>
        <v>46311</v>
      </c>
      <c r="U50" s="157">
        <f t="shared" si="12"/>
        <v>46311</v>
      </c>
      <c r="V50" s="157">
        <v>46241</v>
      </c>
      <c r="W50" s="207"/>
      <c r="Y50" s="175" t="str">
        <f t="shared" ca="1" si="193"/>
        <v>Completed</v>
      </c>
      <c r="Z50" s="175" t="str">
        <f t="shared" ca="1" si="194"/>
        <v>Completed</v>
      </c>
      <c r="AA50" s="175" t="str">
        <f t="shared" ca="1" si="195"/>
        <v>Completed</v>
      </c>
      <c r="AB50" s="176" t="str">
        <f t="shared" ca="1" si="196"/>
        <v>Completed</v>
      </c>
    </row>
    <row r="51" spans="1:28" s="64" customFormat="1" ht="11.5" x14ac:dyDescent="0.25">
      <c r="A51" s="110" t="s">
        <v>61</v>
      </c>
      <c r="B51" s="110" t="s">
        <v>70</v>
      </c>
      <c r="C51" s="110" t="s">
        <v>63</v>
      </c>
      <c r="D51" s="129" t="s">
        <v>458</v>
      </c>
      <c r="E51" s="114" t="s">
        <v>524</v>
      </c>
      <c r="F51" s="111">
        <f t="shared" ref="F51:F52" si="217">(COUNTIFS(K51,"&lt;="&amp;$D$1)*50%)+(COUNTIFS(N51,"&lt;="&amp;$D$1)*20%)+(COUNTIFS(Q51,"&lt;="&amp;$D$1)*10%)+(COUNTIFS(T51,"&lt;="&amp;$D$1)*20%)</f>
        <v>1</v>
      </c>
      <c r="G51" s="111">
        <f t="shared" ref="G51:G52" si="218">(COUNTIFS(L51,"&lt;="&amp;$D$1)*50%)+(COUNTIFS(O51,"&lt;="&amp;$D$1)*20%)+(COUNTIFS(R51,"&lt;="&amp;$D$1)*10%)+(COUNTIFS(U51,"&lt;="&amp;$D$1)*20%)</f>
        <v>1</v>
      </c>
      <c r="H51" s="111">
        <f t="shared" si="216"/>
        <v>0.79999999999999993</v>
      </c>
      <c r="I51" s="111">
        <f t="shared" ref="I51:I52" si="219">H51-F51</f>
        <v>-0.20000000000000007</v>
      </c>
      <c r="J51" s="112">
        <v>1</v>
      </c>
      <c r="K51" s="113">
        <v>46206</v>
      </c>
      <c r="L51" s="113">
        <f t="shared" ref="L51:L52" si="220">K51</f>
        <v>46206</v>
      </c>
      <c r="M51" s="113">
        <v>46185</v>
      </c>
      <c r="N51" s="113">
        <f t="shared" ref="N51:N52" si="221">K51+42</f>
        <v>46248</v>
      </c>
      <c r="O51" s="113">
        <f t="shared" ref="O51:O52" si="222">N51</f>
        <v>46248</v>
      </c>
      <c r="P51" s="113">
        <v>46248</v>
      </c>
      <c r="Q51" s="113">
        <f t="shared" ref="Q51:Q52" si="223">N51+42</f>
        <v>46290</v>
      </c>
      <c r="R51" s="113">
        <f t="shared" ref="R51:R52" si="224">Q51</f>
        <v>46290</v>
      </c>
      <c r="S51" s="115">
        <v>46293</v>
      </c>
      <c r="T51" s="115">
        <f t="shared" ref="T51:T52" si="225">Q51+14</f>
        <v>46304</v>
      </c>
      <c r="U51" s="113">
        <f t="shared" ref="U51:U52" si="226">T51</f>
        <v>46304</v>
      </c>
      <c r="V51" s="113"/>
      <c r="W51" s="213"/>
      <c r="Y51" s="175" t="str">
        <f t="shared" ca="1" si="193"/>
        <v>Completed</v>
      </c>
      <c r="Z51" s="175" t="str">
        <f t="shared" ca="1" si="194"/>
        <v>Completed</v>
      </c>
      <c r="AA51" s="175" t="str">
        <f t="shared" ca="1" si="195"/>
        <v>Completed</v>
      </c>
      <c r="AB51" s="176" t="str">
        <f t="shared" ca="1" si="196"/>
        <v>Overdue</v>
      </c>
    </row>
    <row r="52" spans="1:28" s="64" customFormat="1" ht="11.5" x14ac:dyDescent="0.25">
      <c r="A52" s="110" t="s">
        <v>61</v>
      </c>
      <c r="B52" s="110" t="s">
        <v>70</v>
      </c>
      <c r="C52" s="110" t="s">
        <v>63</v>
      </c>
      <c r="D52" s="129" t="s">
        <v>459</v>
      </c>
      <c r="E52" s="114" t="s">
        <v>525</v>
      </c>
      <c r="F52" s="111">
        <f t="shared" si="217"/>
        <v>0.79999999999999993</v>
      </c>
      <c r="G52" s="111">
        <f t="shared" si="218"/>
        <v>0.79999999999999993</v>
      </c>
      <c r="H52" s="111">
        <f t="shared" si="216"/>
        <v>0.79999999999999993</v>
      </c>
      <c r="I52" s="111">
        <f t="shared" si="219"/>
        <v>0</v>
      </c>
      <c r="J52" s="112">
        <v>1</v>
      </c>
      <c r="K52" s="113">
        <v>46213</v>
      </c>
      <c r="L52" s="113">
        <f t="shared" si="220"/>
        <v>46213</v>
      </c>
      <c r="M52" s="113">
        <v>46188</v>
      </c>
      <c r="N52" s="113">
        <f t="shared" si="221"/>
        <v>46255</v>
      </c>
      <c r="O52" s="113">
        <f t="shared" si="222"/>
        <v>46255</v>
      </c>
      <c r="P52" s="113">
        <v>46248</v>
      </c>
      <c r="Q52" s="113">
        <f t="shared" si="223"/>
        <v>46297</v>
      </c>
      <c r="R52" s="113">
        <f t="shared" si="224"/>
        <v>46297</v>
      </c>
      <c r="S52" s="220">
        <v>46300</v>
      </c>
      <c r="T52" s="113">
        <f t="shared" si="225"/>
        <v>46311</v>
      </c>
      <c r="U52" s="113">
        <f t="shared" si="226"/>
        <v>46311</v>
      </c>
      <c r="V52" s="113"/>
      <c r="W52" s="213"/>
      <c r="Y52" s="175" t="str">
        <f t="shared" ca="1" si="193"/>
        <v>Completed</v>
      </c>
      <c r="Z52" s="175" t="str">
        <f t="shared" ca="1" si="194"/>
        <v>Completed</v>
      </c>
      <c r="AA52" s="175" t="str">
        <f t="shared" ca="1" si="195"/>
        <v>Completed</v>
      </c>
      <c r="AB52" s="176" t="str">
        <f t="shared" ca="1" si="196"/>
        <v>Follow-Next Week</v>
      </c>
    </row>
    <row r="53" spans="1:28" s="64" customFormat="1" ht="11.5" x14ac:dyDescent="0.25">
      <c r="A53" s="159" t="s">
        <v>61</v>
      </c>
      <c r="B53" s="159" t="s">
        <v>73</v>
      </c>
      <c r="C53" s="159" t="s">
        <v>63</v>
      </c>
      <c r="D53" s="160" t="s">
        <v>460</v>
      </c>
      <c r="E53" s="188" t="s">
        <v>522</v>
      </c>
      <c r="F53" s="161">
        <f t="shared" si="66"/>
        <v>1</v>
      </c>
      <c r="G53" s="161">
        <f t="shared" si="67"/>
        <v>1</v>
      </c>
      <c r="H53" s="161">
        <f t="shared" si="216"/>
        <v>1</v>
      </c>
      <c r="I53" s="161">
        <f t="shared" si="5"/>
        <v>0</v>
      </c>
      <c r="J53" s="162">
        <v>1</v>
      </c>
      <c r="K53" s="163">
        <v>46192</v>
      </c>
      <c r="L53" s="163">
        <f t="shared" si="6"/>
        <v>46192</v>
      </c>
      <c r="M53" s="163">
        <v>46178</v>
      </c>
      <c r="N53" s="163">
        <f t="shared" si="7"/>
        <v>46234</v>
      </c>
      <c r="O53" s="163">
        <f t="shared" si="8"/>
        <v>46234</v>
      </c>
      <c r="P53" s="164">
        <v>46227</v>
      </c>
      <c r="Q53" s="163">
        <f t="shared" si="9"/>
        <v>46276</v>
      </c>
      <c r="R53" s="163">
        <f t="shared" si="10"/>
        <v>46276</v>
      </c>
      <c r="S53" s="163">
        <v>46276</v>
      </c>
      <c r="T53" s="163">
        <f t="shared" si="11"/>
        <v>46290</v>
      </c>
      <c r="U53" s="163">
        <f t="shared" si="12"/>
        <v>46290</v>
      </c>
      <c r="V53" s="163">
        <v>46276</v>
      </c>
      <c r="W53" s="208"/>
      <c r="Y53" s="175" t="str">
        <f t="shared" ca="1" si="193"/>
        <v>Completed</v>
      </c>
      <c r="Z53" s="175" t="str">
        <f t="shared" ca="1" si="194"/>
        <v>Completed</v>
      </c>
      <c r="AA53" s="175" t="str">
        <f t="shared" ca="1" si="195"/>
        <v>Completed</v>
      </c>
      <c r="AB53" s="176" t="str">
        <f t="shared" ca="1" si="196"/>
        <v>Completed</v>
      </c>
    </row>
    <row r="54" spans="1:28" s="64" customFormat="1" ht="11.5" x14ac:dyDescent="0.25">
      <c r="A54" s="159" t="s">
        <v>61</v>
      </c>
      <c r="B54" s="159" t="s">
        <v>73</v>
      </c>
      <c r="C54" s="159" t="s">
        <v>63</v>
      </c>
      <c r="D54" s="160" t="s">
        <v>461</v>
      </c>
      <c r="E54" s="188" t="s">
        <v>523</v>
      </c>
      <c r="F54" s="161">
        <f t="shared" si="66"/>
        <v>1</v>
      </c>
      <c r="G54" s="161">
        <f t="shared" si="67"/>
        <v>1</v>
      </c>
      <c r="H54" s="161">
        <f t="shared" si="216"/>
        <v>1</v>
      </c>
      <c r="I54" s="161">
        <f t="shared" si="5"/>
        <v>0</v>
      </c>
      <c r="J54" s="162">
        <v>1</v>
      </c>
      <c r="K54" s="163">
        <v>46199</v>
      </c>
      <c r="L54" s="163">
        <f t="shared" si="6"/>
        <v>46199</v>
      </c>
      <c r="M54" s="163">
        <v>46181</v>
      </c>
      <c r="N54" s="163">
        <f t="shared" si="7"/>
        <v>46241</v>
      </c>
      <c r="O54" s="163">
        <f t="shared" si="8"/>
        <v>46241</v>
      </c>
      <c r="P54" s="164">
        <v>46227</v>
      </c>
      <c r="Q54" s="163">
        <f t="shared" si="9"/>
        <v>46283</v>
      </c>
      <c r="R54" s="163">
        <f t="shared" si="10"/>
        <v>46283</v>
      </c>
      <c r="S54" s="163">
        <v>46276</v>
      </c>
      <c r="T54" s="163">
        <f t="shared" si="11"/>
        <v>46297</v>
      </c>
      <c r="U54" s="163">
        <f t="shared" si="12"/>
        <v>46297</v>
      </c>
      <c r="V54" s="163">
        <v>46276</v>
      </c>
      <c r="W54" s="208"/>
      <c r="Y54" s="175" t="str">
        <f t="shared" ca="1" si="193"/>
        <v>Completed</v>
      </c>
      <c r="Z54" s="175" t="str">
        <f t="shared" ca="1" si="194"/>
        <v>Completed</v>
      </c>
      <c r="AA54" s="175" t="str">
        <f t="shared" ca="1" si="195"/>
        <v>Completed</v>
      </c>
      <c r="AB54" s="176" t="str">
        <f t="shared" ca="1" si="196"/>
        <v>Completed</v>
      </c>
    </row>
    <row r="55" spans="1:28" s="64" customFormat="1" ht="11.5" x14ac:dyDescent="0.25">
      <c r="A55" s="91" t="s">
        <v>61</v>
      </c>
      <c r="B55" s="91" t="s">
        <v>73</v>
      </c>
      <c r="C55" s="91" t="s">
        <v>63</v>
      </c>
      <c r="D55" s="128" t="s">
        <v>460</v>
      </c>
      <c r="E55" s="109" t="s">
        <v>526</v>
      </c>
      <c r="F55" s="92">
        <f t="shared" ref="F55:F56" si="227">(COUNTIFS(K55,"&lt;="&amp;$D$1)*50%)+(COUNTIFS(N55,"&lt;="&amp;$D$1)*20%)+(COUNTIFS(Q55,"&lt;="&amp;$D$1)*10%)+(COUNTIFS(T55,"&lt;="&amp;$D$1)*20%)</f>
        <v>1</v>
      </c>
      <c r="G55" s="92">
        <f t="shared" ref="G55:G56" si="228">(COUNTIFS(L55,"&lt;="&amp;$D$1)*50%)+(COUNTIFS(O55,"&lt;="&amp;$D$1)*20%)+(COUNTIFS(R55,"&lt;="&amp;$D$1)*10%)+(COUNTIFS(U55,"&lt;="&amp;$D$1)*20%)</f>
        <v>1</v>
      </c>
      <c r="H55" s="92">
        <f t="shared" si="216"/>
        <v>1</v>
      </c>
      <c r="I55" s="92">
        <f t="shared" ref="I55:I56" si="229">H55-F55</f>
        <v>0</v>
      </c>
      <c r="J55" s="95">
        <v>1</v>
      </c>
      <c r="K55" s="93">
        <v>46192</v>
      </c>
      <c r="L55" s="93">
        <f t="shared" ref="L55:L56" si="230">K55</f>
        <v>46192</v>
      </c>
      <c r="M55" s="93">
        <v>46178</v>
      </c>
      <c r="N55" s="93">
        <f t="shared" ref="N55:N56" si="231">K55+42</f>
        <v>46234</v>
      </c>
      <c r="O55" s="93">
        <f t="shared" ref="O55:O56" si="232">N55</f>
        <v>46234</v>
      </c>
      <c r="P55" s="97">
        <v>46227</v>
      </c>
      <c r="Q55" s="93">
        <f t="shared" ref="Q55:Q56" si="233">N55+42</f>
        <v>46276</v>
      </c>
      <c r="R55" s="93">
        <f t="shared" ref="R55:R56" si="234">Q55</f>
        <v>46276</v>
      </c>
      <c r="S55" s="93">
        <v>46283</v>
      </c>
      <c r="T55" s="93">
        <f t="shared" ref="T55:T56" si="235">Q55+14</f>
        <v>46290</v>
      </c>
      <c r="U55" s="93">
        <f t="shared" ref="U55:U56" si="236">T55</f>
        <v>46290</v>
      </c>
      <c r="V55" s="220">
        <v>46300</v>
      </c>
      <c r="W55" s="214"/>
      <c r="Y55" s="175" t="str">
        <f t="shared" ca="1" si="193"/>
        <v>Completed</v>
      </c>
      <c r="Z55" s="175" t="str">
        <f t="shared" ca="1" si="194"/>
        <v>Completed</v>
      </c>
      <c r="AA55" s="175" t="str">
        <f t="shared" ca="1" si="195"/>
        <v>Completed</v>
      </c>
      <c r="AB55" s="176" t="str">
        <f t="shared" ca="1" si="196"/>
        <v>Completed</v>
      </c>
    </row>
    <row r="56" spans="1:28" s="64" customFormat="1" ht="11.5" x14ac:dyDescent="0.25">
      <c r="A56" s="91" t="s">
        <v>61</v>
      </c>
      <c r="B56" s="91" t="s">
        <v>73</v>
      </c>
      <c r="C56" s="91" t="s">
        <v>63</v>
      </c>
      <c r="D56" s="128" t="s">
        <v>461</v>
      </c>
      <c r="E56" s="109" t="s">
        <v>527</v>
      </c>
      <c r="F56" s="92">
        <f t="shared" si="227"/>
        <v>1</v>
      </c>
      <c r="G56" s="92">
        <f t="shared" si="228"/>
        <v>1</v>
      </c>
      <c r="H56" s="92">
        <f t="shared" si="216"/>
        <v>1</v>
      </c>
      <c r="I56" s="92">
        <f t="shared" si="229"/>
        <v>0</v>
      </c>
      <c r="J56" s="95">
        <v>1</v>
      </c>
      <c r="K56" s="93">
        <v>46199</v>
      </c>
      <c r="L56" s="93">
        <f t="shared" si="230"/>
        <v>46199</v>
      </c>
      <c r="M56" s="93">
        <v>46181</v>
      </c>
      <c r="N56" s="93">
        <f t="shared" si="231"/>
        <v>46241</v>
      </c>
      <c r="O56" s="93">
        <f t="shared" si="232"/>
        <v>46241</v>
      </c>
      <c r="P56" s="97">
        <v>46227</v>
      </c>
      <c r="Q56" s="93">
        <f t="shared" si="233"/>
        <v>46283</v>
      </c>
      <c r="R56" s="93">
        <f t="shared" si="234"/>
        <v>46283</v>
      </c>
      <c r="S56" s="93">
        <v>46283</v>
      </c>
      <c r="T56" s="93">
        <f t="shared" si="235"/>
        <v>46297</v>
      </c>
      <c r="U56" s="93">
        <f t="shared" si="236"/>
        <v>46297</v>
      </c>
      <c r="V56" s="220">
        <v>46300</v>
      </c>
      <c r="W56" s="214"/>
      <c r="Y56" s="175" t="str">
        <f t="shared" ca="1" si="193"/>
        <v>Completed</v>
      </c>
      <c r="Z56" s="175" t="str">
        <f t="shared" ca="1" si="194"/>
        <v>Completed</v>
      </c>
      <c r="AA56" s="175" t="str">
        <f t="shared" ca="1" si="195"/>
        <v>Completed</v>
      </c>
      <c r="AB56" s="176" t="str">
        <f t="shared" ca="1" si="196"/>
        <v>Completed</v>
      </c>
    </row>
    <row r="57" spans="1:28" s="64" customFormat="1" ht="11.5" x14ac:dyDescent="0.25">
      <c r="A57" s="132" t="s">
        <v>61</v>
      </c>
      <c r="B57" s="132" t="s">
        <v>62</v>
      </c>
      <c r="C57" s="180" t="s">
        <v>63</v>
      </c>
      <c r="D57" s="181" t="s">
        <v>257</v>
      </c>
      <c r="E57" s="182" t="s">
        <v>502</v>
      </c>
      <c r="F57" s="183">
        <f t="shared" si="66"/>
        <v>1</v>
      </c>
      <c r="G57" s="183">
        <f>(COUNTIFS(L57,"&lt;="&amp;$D$1)*50%)+(COUNTIFS(O57,"&lt;="&amp;$D$1)*20%)+(COUNTIFS(R57,"&lt;="&amp;$D$1)*10%)+(COUNTIFS(U57,"&lt;="&amp;$D$1)*20%)</f>
        <v>1</v>
      </c>
      <c r="H57" s="183">
        <f t="shared" si="216"/>
        <v>1</v>
      </c>
      <c r="I57" s="183">
        <f t="shared" si="5"/>
        <v>0</v>
      </c>
      <c r="J57" s="184">
        <v>1.2</v>
      </c>
      <c r="K57" s="136">
        <v>46164</v>
      </c>
      <c r="L57" s="185">
        <f t="shared" si="6"/>
        <v>46164</v>
      </c>
      <c r="M57" s="136">
        <v>46202</v>
      </c>
      <c r="N57" s="140">
        <f t="shared" si="7"/>
        <v>46206</v>
      </c>
      <c r="O57" s="136">
        <f t="shared" si="8"/>
        <v>46206</v>
      </c>
      <c r="P57" s="136">
        <v>46241</v>
      </c>
      <c r="Q57" s="140">
        <f t="shared" si="9"/>
        <v>46248</v>
      </c>
      <c r="R57" s="185">
        <f t="shared" si="10"/>
        <v>46248</v>
      </c>
      <c r="S57" s="140">
        <v>46241</v>
      </c>
      <c r="T57" s="140">
        <f t="shared" si="11"/>
        <v>46262</v>
      </c>
      <c r="U57" s="185">
        <f t="shared" si="12"/>
        <v>46262</v>
      </c>
      <c r="V57" s="136">
        <v>46241</v>
      </c>
      <c r="W57" s="209"/>
      <c r="Y57" s="175" t="str">
        <f t="shared" ca="1" si="193"/>
        <v>Completed</v>
      </c>
      <c r="Z57" s="175" t="str">
        <f t="shared" ca="1" si="194"/>
        <v>Completed</v>
      </c>
      <c r="AA57" s="175" t="str">
        <f t="shared" ca="1" si="195"/>
        <v>Completed</v>
      </c>
      <c r="AB57" s="176" t="str">
        <f t="shared" ca="1" si="196"/>
        <v>Completed</v>
      </c>
    </row>
    <row r="58" spans="1:28" s="64" customFormat="1" ht="11.5" x14ac:dyDescent="0.25">
      <c r="A58" s="70" t="s">
        <v>61</v>
      </c>
      <c r="B58" s="70" t="s">
        <v>62</v>
      </c>
      <c r="C58" s="65" t="s">
        <v>63</v>
      </c>
      <c r="D58" s="82" t="s">
        <v>257</v>
      </c>
      <c r="E58" s="80" t="s">
        <v>503</v>
      </c>
      <c r="F58" s="66">
        <f t="shared" ref="F58" si="237">(COUNTIFS(K58,"&lt;="&amp;$D$1)*50%)+(COUNTIFS(N58,"&lt;="&amp;$D$1)*20%)+(COUNTIFS(Q58,"&lt;="&amp;$D$1)*10%)+(COUNTIFS(T58,"&lt;="&amp;$D$1)*20%)</f>
        <v>1</v>
      </c>
      <c r="G58" s="66">
        <f>(COUNTIFS(L58,"&lt;="&amp;$D$1)*50%)+(COUNTIFS(O58,"&lt;="&amp;$D$1)*20%)+(COUNTIFS(R58,"&lt;="&amp;$D$1)*10%)+(COUNTIFS(U58,"&lt;="&amp;$D$1)*20%)</f>
        <v>1</v>
      </c>
      <c r="H58" s="66">
        <f t="shared" si="216"/>
        <v>0.79999999999999993</v>
      </c>
      <c r="I58" s="66">
        <f t="shared" ref="I58" si="238">H58-F58</f>
        <v>-0.20000000000000007</v>
      </c>
      <c r="J58" s="71">
        <v>0.8</v>
      </c>
      <c r="K58" s="72">
        <v>46164</v>
      </c>
      <c r="L58" s="68">
        <f t="shared" ref="L58" si="239">K58</f>
        <v>46164</v>
      </c>
      <c r="M58" s="72">
        <v>46202</v>
      </c>
      <c r="N58" s="74">
        <f t="shared" ref="N58" si="240">K58+42</f>
        <v>46206</v>
      </c>
      <c r="O58" s="72">
        <f t="shared" ref="O58" si="241">N58</f>
        <v>46206</v>
      </c>
      <c r="P58" s="72">
        <v>46262</v>
      </c>
      <c r="Q58" s="74">
        <f t="shared" ref="Q58" si="242">N58+42</f>
        <v>46248</v>
      </c>
      <c r="R58" s="68">
        <f t="shared" ref="R58" si="243">Q58</f>
        <v>46248</v>
      </c>
      <c r="S58" s="233">
        <v>46304</v>
      </c>
      <c r="T58" s="74">
        <f t="shared" ref="T58" si="244">Q58+14</f>
        <v>46262</v>
      </c>
      <c r="U58" s="68">
        <f t="shared" ref="U58" si="245">T58</f>
        <v>46262</v>
      </c>
      <c r="V58" s="72"/>
      <c r="W58" s="204"/>
      <c r="Y58" s="175" t="str">
        <f t="shared" ca="1" si="193"/>
        <v>Completed</v>
      </c>
      <c r="Z58" s="175" t="str">
        <f t="shared" ca="1" si="194"/>
        <v>Completed</v>
      </c>
      <c r="AA58" s="175" t="str">
        <f t="shared" ca="1" si="195"/>
        <v>Completed</v>
      </c>
      <c r="AB58" s="176" t="str">
        <f t="shared" ca="1" si="196"/>
        <v>Overdue</v>
      </c>
    </row>
    <row r="59" spans="1:28" s="64" customFormat="1" ht="11.5" x14ac:dyDescent="0.25">
      <c r="A59" s="132" t="s">
        <v>61</v>
      </c>
      <c r="B59" s="132" t="s">
        <v>62</v>
      </c>
      <c r="C59" s="180" t="s">
        <v>63</v>
      </c>
      <c r="D59" s="181" t="s">
        <v>240</v>
      </c>
      <c r="E59" s="182" t="s">
        <v>518</v>
      </c>
      <c r="F59" s="183">
        <f t="shared" si="66"/>
        <v>1</v>
      </c>
      <c r="G59" s="183">
        <f>(COUNTIFS(L59,"&lt;="&amp;$D$1)*50%)+(COUNTIFS(O59,"&lt;="&amp;$D$1)*20%)+(COUNTIFS(R59,"&lt;="&amp;$D$1)*10%)+(COUNTIFS(U59,"&lt;="&amp;$D$1)*20%)</f>
        <v>1</v>
      </c>
      <c r="H59" s="183">
        <f t="shared" si="216"/>
        <v>1</v>
      </c>
      <c r="I59" s="183">
        <f t="shared" si="5"/>
        <v>0</v>
      </c>
      <c r="J59" s="192">
        <v>1</v>
      </c>
      <c r="K59" s="136">
        <v>46171</v>
      </c>
      <c r="L59" s="185">
        <f t="shared" si="6"/>
        <v>46171</v>
      </c>
      <c r="M59" s="140">
        <v>46188</v>
      </c>
      <c r="N59" s="140">
        <f t="shared" si="7"/>
        <v>46213</v>
      </c>
      <c r="O59" s="136">
        <f t="shared" si="8"/>
        <v>46213</v>
      </c>
      <c r="P59" s="140">
        <v>46227</v>
      </c>
      <c r="Q59" s="140">
        <f t="shared" si="9"/>
        <v>46255</v>
      </c>
      <c r="R59" s="185">
        <f t="shared" si="10"/>
        <v>46255</v>
      </c>
      <c r="S59" s="140">
        <v>46269</v>
      </c>
      <c r="T59" s="140">
        <f t="shared" si="11"/>
        <v>46269</v>
      </c>
      <c r="U59" s="185">
        <f t="shared" si="12"/>
        <v>46269</v>
      </c>
      <c r="V59" s="136">
        <v>46269</v>
      </c>
      <c r="W59" s="209"/>
      <c r="Y59" s="175" t="str">
        <f t="shared" ca="1" si="193"/>
        <v>Completed</v>
      </c>
      <c r="Z59" s="175" t="str">
        <f t="shared" ca="1" si="194"/>
        <v>Completed</v>
      </c>
      <c r="AA59" s="175" t="str">
        <f t="shared" ca="1" si="195"/>
        <v>Completed</v>
      </c>
      <c r="AB59" s="176" t="str">
        <f t="shared" ca="1" si="196"/>
        <v>Completed</v>
      </c>
    </row>
    <row r="60" spans="1:28" s="64" customFormat="1" ht="11.5" x14ac:dyDescent="0.25">
      <c r="A60" s="132" t="s">
        <v>61</v>
      </c>
      <c r="B60" s="132" t="s">
        <v>62</v>
      </c>
      <c r="C60" s="180" t="s">
        <v>63</v>
      </c>
      <c r="D60" s="181" t="s">
        <v>248</v>
      </c>
      <c r="E60" s="182" t="s">
        <v>519</v>
      </c>
      <c r="F60" s="183">
        <f t="shared" si="66"/>
        <v>1</v>
      </c>
      <c r="G60" s="183">
        <f t="shared" si="67"/>
        <v>1</v>
      </c>
      <c r="H60" s="183">
        <f t="shared" si="216"/>
        <v>1</v>
      </c>
      <c r="I60" s="183">
        <f t="shared" si="5"/>
        <v>0</v>
      </c>
      <c r="J60" s="189">
        <v>1</v>
      </c>
      <c r="K60" s="140">
        <v>46178</v>
      </c>
      <c r="L60" s="185">
        <f t="shared" si="6"/>
        <v>46178</v>
      </c>
      <c r="M60" s="136">
        <v>46202</v>
      </c>
      <c r="N60" s="140">
        <f t="shared" si="7"/>
        <v>46220</v>
      </c>
      <c r="O60" s="140">
        <f t="shared" si="8"/>
        <v>46220</v>
      </c>
      <c r="P60" s="140">
        <v>46204</v>
      </c>
      <c r="Q60" s="140">
        <f t="shared" si="9"/>
        <v>46262</v>
      </c>
      <c r="R60" s="140">
        <f t="shared" si="10"/>
        <v>46262</v>
      </c>
      <c r="S60" s="140">
        <v>46269</v>
      </c>
      <c r="T60" s="140">
        <f t="shared" si="11"/>
        <v>46276</v>
      </c>
      <c r="U60" s="140">
        <f t="shared" si="12"/>
        <v>46276</v>
      </c>
      <c r="V60" s="136">
        <v>46269</v>
      </c>
      <c r="W60" s="209"/>
      <c r="Y60" s="175" t="str">
        <f t="shared" ca="1" si="193"/>
        <v>Completed</v>
      </c>
      <c r="Z60" s="175" t="str">
        <f t="shared" ca="1" si="194"/>
        <v>Completed</v>
      </c>
      <c r="AA60" s="175" t="str">
        <f t="shared" ca="1" si="195"/>
        <v>Completed</v>
      </c>
      <c r="AB60" s="176" t="str">
        <f t="shared" ca="1" si="196"/>
        <v>Completed</v>
      </c>
    </row>
    <row r="61" spans="1:28" s="64" customFormat="1" ht="11.5" x14ac:dyDescent="0.25">
      <c r="A61" s="70" t="s">
        <v>61</v>
      </c>
      <c r="B61" s="70" t="s">
        <v>62</v>
      </c>
      <c r="C61" s="65" t="s">
        <v>63</v>
      </c>
      <c r="D61" s="82" t="s">
        <v>240</v>
      </c>
      <c r="E61" s="80" t="s">
        <v>516</v>
      </c>
      <c r="F61" s="66">
        <f t="shared" ref="F61:F62" si="246">(COUNTIFS(K61,"&lt;="&amp;$D$1)*50%)+(COUNTIFS(N61,"&lt;="&amp;$D$1)*20%)+(COUNTIFS(Q61,"&lt;="&amp;$D$1)*10%)+(COUNTIFS(T61,"&lt;="&amp;$D$1)*20%)</f>
        <v>1</v>
      </c>
      <c r="G61" s="66">
        <f>(COUNTIFS(L61,"&lt;="&amp;$D$1)*50%)+(COUNTIFS(O61,"&lt;="&amp;$D$1)*20%)+(COUNTIFS(R61,"&lt;="&amp;$D$1)*10%)+(COUNTIFS(U61,"&lt;="&amp;$D$1)*20%)</f>
        <v>1</v>
      </c>
      <c r="H61" s="66">
        <f t="shared" si="216"/>
        <v>0.7</v>
      </c>
      <c r="I61" s="66">
        <f t="shared" ref="I61:I62" si="247">H61-F61</f>
        <v>-0.30000000000000004</v>
      </c>
      <c r="J61" s="67">
        <v>1</v>
      </c>
      <c r="K61" s="72">
        <v>46171</v>
      </c>
      <c r="L61" s="68">
        <f t="shared" ref="L61:L62" si="248">K61</f>
        <v>46171</v>
      </c>
      <c r="M61" s="74">
        <v>46188</v>
      </c>
      <c r="N61" s="74">
        <f t="shared" ref="N61:N62" si="249">K61+42</f>
        <v>46213</v>
      </c>
      <c r="O61" s="72">
        <f t="shared" ref="O61:O62" si="250">N61</f>
        <v>46213</v>
      </c>
      <c r="P61" s="74">
        <v>46227</v>
      </c>
      <c r="Q61" s="74">
        <f t="shared" ref="Q61:Q62" si="251">N61+42</f>
        <v>46255</v>
      </c>
      <c r="R61" s="68">
        <f t="shared" ref="R61:R62" si="252">Q61</f>
        <v>46255</v>
      </c>
      <c r="S61" s="74"/>
      <c r="T61" s="74">
        <f t="shared" ref="T61:T62" si="253">Q61+14</f>
        <v>46269</v>
      </c>
      <c r="U61" s="68">
        <f t="shared" ref="U61:U62" si="254">T61</f>
        <v>46269</v>
      </c>
      <c r="V61" s="72"/>
      <c r="W61" s="204"/>
      <c r="Y61" s="175" t="str">
        <f t="shared" ca="1" si="193"/>
        <v>Completed</v>
      </c>
      <c r="Z61" s="175" t="str">
        <f t="shared" ca="1" si="194"/>
        <v>Completed</v>
      </c>
      <c r="AA61" s="175" t="str">
        <f t="shared" ca="1" si="195"/>
        <v>Overdue</v>
      </c>
      <c r="AB61" s="176" t="str">
        <f t="shared" ca="1" si="196"/>
        <v>Overdue</v>
      </c>
    </row>
    <row r="62" spans="1:28" s="64" customFormat="1" ht="11.5" x14ac:dyDescent="0.25">
      <c r="A62" s="70" t="s">
        <v>61</v>
      </c>
      <c r="B62" s="70" t="s">
        <v>62</v>
      </c>
      <c r="C62" s="65" t="s">
        <v>63</v>
      </c>
      <c r="D62" s="82" t="s">
        <v>248</v>
      </c>
      <c r="E62" s="80" t="s">
        <v>517</v>
      </c>
      <c r="F62" s="66">
        <f t="shared" si="246"/>
        <v>1</v>
      </c>
      <c r="G62" s="66">
        <f t="shared" ref="G62" si="255">(COUNTIFS(L62,"&lt;="&amp;$D$1)*50%)+(COUNTIFS(O62,"&lt;="&amp;$D$1)*20%)+(COUNTIFS(R62,"&lt;="&amp;$D$1)*10%)+(COUNTIFS(U62,"&lt;="&amp;$D$1)*20%)</f>
        <v>1</v>
      </c>
      <c r="H62" s="66">
        <f t="shared" si="216"/>
        <v>0.7</v>
      </c>
      <c r="I62" s="66">
        <f t="shared" si="247"/>
        <v>-0.30000000000000004</v>
      </c>
      <c r="J62" s="89">
        <v>1</v>
      </c>
      <c r="K62" s="74">
        <v>46178</v>
      </c>
      <c r="L62" s="68">
        <f t="shared" si="248"/>
        <v>46178</v>
      </c>
      <c r="M62" s="72">
        <v>46202</v>
      </c>
      <c r="N62" s="74">
        <f t="shared" si="249"/>
        <v>46220</v>
      </c>
      <c r="O62" s="74">
        <f t="shared" si="250"/>
        <v>46220</v>
      </c>
      <c r="P62" s="74">
        <v>46204</v>
      </c>
      <c r="Q62" s="74">
        <f t="shared" si="251"/>
        <v>46262</v>
      </c>
      <c r="R62" s="74">
        <f t="shared" si="252"/>
        <v>46262</v>
      </c>
      <c r="S62" s="74"/>
      <c r="T62" s="74">
        <f t="shared" si="253"/>
        <v>46276</v>
      </c>
      <c r="U62" s="74">
        <f t="shared" si="254"/>
        <v>46276</v>
      </c>
      <c r="V62" s="72"/>
      <c r="W62" s="204"/>
      <c r="Y62" s="175" t="str">
        <f t="shared" ca="1" si="193"/>
        <v>Completed</v>
      </c>
      <c r="Z62" s="175" t="str">
        <f t="shared" ca="1" si="194"/>
        <v>Completed</v>
      </c>
      <c r="AA62" s="175" t="str">
        <f t="shared" ca="1" si="195"/>
        <v>Overdue</v>
      </c>
      <c r="AB62" s="176" t="str">
        <f t="shared" ca="1" si="196"/>
        <v>Overdue</v>
      </c>
    </row>
    <row r="63" spans="1:28" s="64" customFormat="1" ht="11.5" x14ac:dyDescent="0.25">
      <c r="A63" s="132" t="s">
        <v>61</v>
      </c>
      <c r="B63" s="132" t="s">
        <v>62</v>
      </c>
      <c r="C63" s="180" t="s">
        <v>63</v>
      </c>
      <c r="D63" s="181" t="s">
        <v>249</v>
      </c>
      <c r="E63" s="182" t="s">
        <v>531</v>
      </c>
      <c r="F63" s="183">
        <f t="shared" ref="F63:F68" si="256">(COUNTIFS(K63,"&lt;="&amp;$D$1)*50%)+(COUNTIFS(N63,"&lt;="&amp;$D$1)*20%)+(COUNTIFS(Q63,"&lt;="&amp;$D$1)*10%)+(COUNTIFS(T63,"&lt;="&amp;$D$1)*20%)</f>
        <v>1</v>
      </c>
      <c r="G63" s="183">
        <f t="shared" ref="G63:G68" si="257">(COUNTIFS(L63,"&lt;="&amp;$D$1)*50%)+(COUNTIFS(O63,"&lt;="&amp;$D$1)*20%)+(COUNTIFS(R63,"&lt;="&amp;$D$1)*10%)+(COUNTIFS(U63,"&lt;="&amp;$D$1)*20%)</f>
        <v>1</v>
      </c>
      <c r="H63" s="183">
        <f t="shared" si="216"/>
        <v>1</v>
      </c>
      <c r="I63" s="183">
        <f t="shared" ref="I63:I68" si="258">H63-F63</f>
        <v>0</v>
      </c>
      <c r="J63" s="189">
        <v>1.5</v>
      </c>
      <c r="K63" s="140">
        <v>46122</v>
      </c>
      <c r="L63" s="185">
        <f t="shared" si="6"/>
        <v>46122</v>
      </c>
      <c r="M63" s="136">
        <v>46122</v>
      </c>
      <c r="N63" s="140">
        <f t="shared" ref="N63:N68" si="259">K63+42</f>
        <v>46164</v>
      </c>
      <c r="O63" s="185">
        <f t="shared" ref="O63:O68" si="260">N63</f>
        <v>46164</v>
      </c>
      <c r="P63" s="136">
        <v>46191</v>
      </c>
      <c r="Q63" s="140">
        <f t="shared" ref="Q63:Q68" si="261">N63+42</f>
        <v>46206</v>
      </c>
      <c r="R63" s="185">
        <f t="shared" ref="R63:R68" si="262">Q63</f>
        <v>46206</v>
      </c>
      <c r="S63" s="140">
        <v>46209</v>
      </c>
      <c r="T63" s="140">
        <f t="shared" ref="T63:T68" si="263">Q63+14</f>
        <v>46220</v>
      </c>
      <c r="U63" s="136">
        <f t="shared" ref="U63:U68" si="264">T63</f>
        <v>46220</v>
      </c>
      <c r="V63" s="136">
        <v>46283</v>
      </c>
      <c r="W63" s="209"/>
      <c r="Y63" s="175" t="str">
        <f t="shared" ca="1" si="193"/>
        <v>Completed</v>
      </c>
      <c r="Z63" s="175" t="str">
        <f t="shared" ca="1" si="194"/>
        <v>Completed</v>
      </c>
      <c r="AA63" s="175" t="str">
        <f t="shared" ca="1" si="195"/>
        <v>Completed</v>
      </c>
      <c r="AB63" s="176" t="str">
        <f t="shared" ca="1" si="196"/>
        <v>Completed</v>
      </c>
    </row>
    <row r="64" spans="1:28" s="64" customFormat="1" ht="11.5" x14ac:dyDescent="0.25">
      <c r="A64" s="193" t="s">
        <v>61</v>
      </c>
      <c r="B64" s="193" t="s">
        <v>62</v>
      </c>
      <c r="C64" s="194" t="s">
        <v>63</v>
      </c>
      <c r="D64" s="195" t="s">
        <v>250</v>
      </c>
      <c r="E64" s="200" t="s">
        <v>532</v>
      </c>
      <c r="F64" s="196">
        <f t="shared" si="256"/>
        <v>1</v>
      </c>
      <c r="G64" s="196">
        <f t="shared" si="257"/>
        <v>1</v>
      </c>
      <c r="H64" s="196">
        <f t="shared" si="216"/>
        <v>1</v>
      </c>
      <c r="I64" s="196">
        <f t="shared" si="258"/>
        <v>0</v>
      </c>
      <c r="J64" s="197">
        <v>1.5</v>
      </c>
      <c r="K64" s="198">
        <v>46142</v>
      </c>
      <c r="L64" s="185">
        <f t="shared" si="6"/>
        <v>46142</v>
      </c>
      <c r="M64" s="136">
        <v>46164</v>
      </c>
      <c r="N64" s="140">
        <f t="shared" si="259"/>
        <v>46184</v>
      </c>
      <c r="O64" s="140">
        <f t="shared" si="260"/>
        <v>46184</v>
      </c>
      <c r="P64" s="136">
        <v>46191</v>
      </c>
      <c r="Q64" s="140">
        <f t="shared" si="261"/>
        <v>46226</v>
      </c>
      <c r="R64" s="140">
        <f t="shared" si="262"/>
        <v>46226</v>
      </c>
      <c r="S64" s="140">
        <v>46220</v>
      </c>
      <c r="T64" s="140">
        <f t="shared" si="263"/>
        <v>46240</v>
      </c>
      <c r="U64" s="140">
        <f t="shared" si="264"/>
        <v>46240</v>
      </c>
      <c r="V64" s="199">
        <v>46233</v>
      </c>
      <c r="W64" s="216"/>
      <c r="Y64" s="175" t="str">
        <f t="shared" ca="1" si="193"/>
        <v>Completed</v>
      </c>
      <c r="Z64" s="175" t="str">
        <f t="shared" ca="1" si="194"/>
        <v>Completed</v>
      </c>
      <c r="AA64" s="175" t="str">
        <f t="shared" ca="1" si="195"/>
        <v>Completed</v>
      </c>
      <c r="AB64" s="176" t="str">
        <f t="shared" ca="1" si="196"/>
        <v>Completed</v>
      </c>
    </row>
    <row r="65" spans="1:28" s="64" customFormat="1" ht="11.5" x14ac:dyDescent="0.25">
      <c r="A65" s="193" t="s">
        <v>61</v>
      </c>
      <c r="B65" s="193" t="s">
        <v>62</v>
      </c>
      <c r="C65" s="194" t="s">
        <v>63</v>
      </c>
      <c r="D65" s="195" t="s">
        <v>251</v>
      </c>
      <c r="E65" s="200" t="s">
        <v>533</v>
      </c>
      <c r="F65" s="196">
        <f t="shared" si="256"/>
        <v>1</v>
      </c>
      <c r="G65" s="196">
        <f t="shared" si="257"/>
        <v>1</v>
      </c>
      <c r="H65" s="196">
        <f t="shared" si="216"/>
        <v>1</v>
      </c>
      <c r="I65" s="196">
        <f t="shared" si="258"/>
        <v>0</v>
      </c>
      <c r="J65" s="189">
        <v>1.5</v>
      </c>
      <c r="K65" s="198">
        <v>46122</v>
      </c>
      <c r="L65" s="185">
        <f t="shared" si="6"/>
        <v>46122</v>
      </c>
      <c r="M65" s="136">
        <v>46122</v>
      </c>
      <c r="N65" s="140">
        <f t="shared" si="259"/>
        <v>46164</v>
      </c>
      <c r="O65" s="185">
        <f t="shared" si="260"/>
        <v>46164</v>
      </c>
      <c r="P65" s="136">
        <v>46191</v>
      </c>
      <c r="Q65" s="140">
        <f t="shared" si="261"/>
        <v>46206</v>
      </c>
      <c r="R65" s="185">
        <f t="shared" si="262"/>
        <v>46206</v>
      </c>
      <c r="S65" s="140">
        <v>46209</v>
      </c>
      <c r="T65" s="140">
        <f t="shared" si="263"/>
        <v>46220</v>
      </c>
      <c r="U65" s="136">
        <f t="shared" si="264"/>
        <v>46220</v>
      </c>
      <c r="V65" s="199">
        <v>46283</v>
      </c>
      <c r="W65" s="216"/>
      <c r="Y65" s="175" t="str">
        <f t="shared" ca="1" si="193"/>
        <v>Completed</v>
      </c>
      <c r="Z65" s="175" t="str">
        <f t="shared" ca="1" si="194"/>
        <v>Completed</v>
      </c>
      <c r="AA65" s="175" t="str">
        <f t="shared" ca="1" si="195"/>
        <v>Completed</v>
      </c>
      <c r="AB65" s="176" t="str">
        <f t="shared" ca="1" si="196"/>
        <v>Completed</v>
      </c>
    </row>
    <row r="66" spans="1:28" s="64" customFormat="1" ht="11.5" x14ac:dyDescent="0.25">
      <c r="A66" s="193" t="s">
        <v>61</v>
      </c>
      <c r="B66" s="193" t="s">
        <v>62</v>
      </c>
      <c r="C66" s="194" t="s">
        <v>63</v>
      </c>
      <c r="D66" s="195" t="s">
        <v>252</v>
      </c>
      <c r="E66" s="200" t="s">
        <v>534</v>
      </c>
      <c r="F66" s="196">
        <f t="shared" si="256"/>
        <v>1</v>
      </c>
      <c r="G66" s="196">
        <f t="shared" si="257"/>
        <v>1</v>
      </c>
      <c r="H66" s="196">
        <f t="shared" si="216"/>
        <v>1</v>
      </c>
      <c r="I66" s="196">
        <f t="shared" si="258"/>
        <v>0</v>
      </c>
      <c r="J66" s="197">
        <v>1.5</v>
      </c>
      <c r="K66" s="198">
        <v>46142</v>
      </c>
      <c r="L66" s="185">
        <f t="shared" si="6"/>
        <v>46142</v>
      </c>
      <c r="M66" s="136">
        <v>46164</v>
      </c>
      <c r="N66" s="140">
        <f t="shared" si="259"/>
        <v>46184</v>
      </c>
      <c r="O66" s="140">
        <f t="shared" si="260"/>
        <v>46184</v>
      </c>
      <c r="P66" s="136">
        <v>46191</v>
      </c>
      <c r="Q66" s="140">
        <f t="shared" si="261"/>
        <v>46226</v>
      </c>
      <c r="R66" s="140">
        <f t="shared" si="262"/>
        <v>46226</v>
      </c>
      <c r="S66" s="140">
        <v>46220</v>
      </c>
      <c r="T66" s="140">
        <f t="shared" si="263"/>
        <v>46240</v>
      </c>
      <c r="U66" s="140">
        <f t="shared" si="264"/>
        <v>46240</v>
      </c>
      <c r="V66" s="199">
        <v>46233</v>
      </c>
      <c r="W66" s="216"/>
      <c r="Y66" s="175" t="str">
        <f t="shared" ca="1" si="193"/>
        <v>Completed</v>
      </c>
      <c r="Z66" s="175" t="str">
        <f t="shared" ca="1" si="194"/>
        <v>Completed</v>
      </c>
      <c r="AA66" s="175" t="str">
        <f t="shared" ca="1" si="195"/>
        <v>Completed</v>
      </c>
      <c r="AB66" s="176" t="str">
        <f t="shared" ca="1" si="196"/>
        <v>Completed</v>
      </c>
    </row>
    <row r="67" spans="1:28" s="64" customFormat="1" ht="11.5" x14ac:dyDescent="0.25">
      <c r="A67" s="132" t="s">
        <v>61</v>
      </c>
      <c r="B67" s="132" t="s">
        <v>62</v>
      </c>
      <c r="C67" s="180" t="s">
        <v>63</v>
      </c>
      <c r="D67" s="181" t="s">
        <v>253</v>
      </c>
      <c r="E67" s="182" t="s">
        <v>535</v>
      </c>
      <c r="F67" s="183">
        <f t="shared" si="256"/>
        <v>1</v>
      </c>
      <c r="G67" s="183">
        <f t="shared" si="257"/>
        <v>1</v>
      </c>
      <c r="H67" s="183">
        <f t="shared" si="216"/>
        <v>1</v>
      </c>
      <c r="I67" s="183">
        <f t="shared" si="258"/>
        <v>0</v>
      </c>
      <c r="J67" s="189">
        <v>1.5</v>
      </c>
      <c r="K67" s="140">
        <v>46136</v>
      </c>
      <c r="L67" s="185">
        <f t="shared" si="6"/>
        <v>46136</v>
      </c>
      <c r="M67" s="136">
        <v>46135</v>
      </c>
      <c r="N67" s="140">
        <f t="shared" si="259"/>
        <v>46178</v>
      </c>
      <c r="O67" s="185">
        <f t="shared" si="260"/>
        <v>46178</v>
      </c>
      <c r="P67" s="136">
        <v>46191</v>
      </c>
      <c r="Q67" s="140">
        <f t="shared" si="261"/>
        <v>46220</v>
      </c>
      <c r="R67" s="185">
        <f t="shared" si="262"/>
        <v>46220</v>
      </c>
      <c r="S67" s="140">
        <v>46209</v>
      </c>
      <c r="T67" s="140">
        <f t="shared" si="263"/>
        <v>46234</v>
      </c>
      <c r="U67" s="136">
        <f t="shared" si="264"/>
        <v>46234</v>
      </c>
      <c r="V67" s="136">
        <v>46283</v>
      </c>
      <c r="W67" s="209"/>
      <c r="Y67" s="175" t="str">
        <f t="shared" ca="1" si="193"/>
        <v>Completed</v>
      </c>
      <c r="Z67" s="175" t="str">
        <f t="shared" ca="1" si="194"/>
        <v>Completed</v>
      </c>
      <c r="AA67" s="175" t="str">
        <f t="shared" ca="1" si="195"/>
        <v>Completed</v>
      </c>
      <c r="AB67" s="176" t="str">
        <f t="shared" ca="1" si="196"/>
        <v>Completed</v>
      </c>
    </row>
    <row r="68" spans="1:28" s="64" customFormat="1" ht="11.5" x14ac:dyDescent="0.25">
      <c r="A68" s="132" t="s">
        <v>61</v>
      </c>
      <c r="B68" s="132" t="s">
        <v>62</v>
      </c>
      <c r="C68" s="180" t="s">
        <v>63</v>
      </c>
      <c r="D68" s="181" t="s">
        <v>254</v>
      </c>
      <c r="E68" s="182" t="s">
        <v>536</v>
      </c>
      <c r="F68" s="183">
        <f t="shared" si="256"/>
        <v>1</v>
      </c>
      <c r="G68" s="183">
        <f t="shared" si="257"/>
        <v>1</v>
      </c>
      <c r="H68" s="183">
        <f t="shared" si="216"/>
        <v>1</v>
      </c>
      <c r="I68" s="183">
        <f t="shared" si="258"/>
        <v>0</v>
      </c>
      <c r="J68" s="197">
        <v>1.5</v>
      </c>
      <c r="K68" s="140">
        <v>46142</v>
      </c>
      <c r="L68" s="185">
        <f t="shared" si="6"/>
        <v>46142</v>
      </c>
      <c r="M68" s="136">
        <v>46171</v>
      </c>
      <c r="N68" s="140">
        <f t="shared" si="259"/>
        <v>46184</v>
      </c>
      <c r="O68" s="140">
        <f t="shared" si="260"/>
        <v>46184</v>
      </c>
      <c r="P68" s="136">
        <v>46191</v>
      </c>
      <c r="Q68" s="140">
        <f t="shared" si="261"/>
        <v>46226</v>
      </c>
      <c r="R68" s="140">
        <f t="shared" si="262"/>
        <v>46226</v>
      </c>
      <c r="S68" s="140">
        <v>46237</v>
      </c>
      <c r="T68" s="140">
        <f t="shared" si="263"/>
        <v>46240</v>
      </c>
      <c r="U68" s="140">
        <f t="shared" si="264"/>
        <v>46240</v>
      </c>
      <c r="V68" s="136">
        <v>46247</v>
      </c>
      <c r="W68" s="209"/>
      <c r="Y68" s="175" t="str">
        <f t="shared" ca="1" si="193"/>
        <v>Completed</v>
      </c>
      <c r="Z68" s="175" t="str">
        <f t="shared" ca="1" si="194"/>
        <v>Completed</v>
      </c>
      <c r="AA68" s="175" t="str">
        <f t="shared" ca="1" si="195"/>
        <v>Completed</v>
      </c>
      <c r="AB68" s="176" t="str">
        <f t="shared" ca="1" si="196"/>
        <v>Completed</v>
      </c>
    </row>
    <row r="69" spans="1:28" s="64" customFormat="1" ht="11.5" hidden="1" x14ac:dyDescent="0.25">
      <c r="A69" s="70" t="s">
        <v>61</v>
      </c>
      <c r="B69" s="70" t="s">
        <v>58</v>
      </c>
      <c r="C69" s="65" t="s">
        <v>63</v>
      </c>
      <c r="D69" s="82" t="s">
        <v>462</v>
      </c>
      <c r="E69" s="80" t="s">
        <v>215</v>
      </c>
      <c r="F69" s="66">
        <f t="shared" ref="F69:F84" si="265">(COUNTIFS(K69,"&lt;="&amp;$D$1)*50%)+(COUNTIFS(N69,"&lt;="&amp;$D$1)*20%)+(COUNTIFS(Q69,"&lt;="&amp;$D$1)*10%)+(COUNTIFS(T69,"&lt;="&amp;$D$1)*20%)</f>
        <v>0</v>
      </c>
      <c r="G69" s="66">
        <f t="shared" ref="G69:G84" si="266">(COUNTIFS(L69,"&lt;="&amp;$D$1)*50%)+(COUNTIFS(O69,"&lt;="&amp;$D$1)*20%)+(COUNTIFS(R69,"&lt;="&amp;$D$1)*10%)+(COUNTIFS(U69,"&lt;="&amp;$D$1)*20%)</f>
        <v>0</v>
      </c>
      <c r="H69" s="66">
        <f t="shared" si="216"/>
        <v>0</v>
      </c>
      <c r="I69" s="66">
        <f t="shared" ref="I69:I84" si="267">H69-F69</f>
        <v>0</v>
      </c>
      <c r="J69" s="67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W69" s="204"/>
      <c r="Y69" s="175" t="str">
        <f t="shared" ca="1" si="193"/>
        <v/>
      </c>
      <c r="Z69" s="175" t="str">
        <f t="shared" ca="1" si="194"/>
        <v/>
      </c>
      <c r="AA69" s="175" t="str">
        <f t="shared" ca="1" si="195"/>
        <v/>
      </c>
      <c r="AB69" s="176" t="str">
        <f t="shared" ca="1" si="196"/>
        <v/>
      </c>
    </row>
    <row r="70" spans="1:28" s="64" customFormat="1" ht="11.5" hidden="1" x14ac:dyDescent="0.25">
      <c r="A70" s="70" t="s">
        <v>61</v>
      </c>
      <c r="B70" s="70" t="s">
        <v>58</v>
      </c>
      <c r="C70" s="65" t="s">
        <v>63</v>
      </c>
      <c r="D70" s="82" t="s">
        <v>463</v>
      </c>
      <c r="E70" s="80" t="s">
        <v>226</v>
      </c>
      <c r="F70" s="66">
        <f t="shared" si="265"/>
        <v>0</v>
      </c>
      <c r="G70" s="66">
        <f t="shared" si="266"/>
        <v>0</v>
      </c>
      <c r="H70" s="66">
        <f t="shared" si="216"/>
        <v>0</v>
      </c>
      <c r="I70" s="66">
        <f t="shared" si="267"/>
        <v>0</v>
      </c>
      <c r="J70" s="89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W70" s="204"/>
      <c r="Y70" s="175" t="str">
        <f t="shared" ca="1" si="193"/>
        <v/>
      </c>
      <c r="Z70" s="175" t="str">
        <f t="shared" ca="1" si="194"/>
        <v/>
      </c>
      <c r="AA70" s="175" t="str">
        <f t="shared" ca="1" si="195"/>
        <v/>
      </c>
      <c r="AB70" s="176" t="str">
        <f t="shared" ca="1" si="196"/>
        <v/>
      </c>
    </row>
    <row r="71" spans="1:28" s="64" customFormat="1" ht="11.5" hidden="1" x14ac:dyDescent="0.25">
      <c r="A71" s="70" t="s">
        <v>61</v>
      </c>
      <c r="B71" s="70" t="s">
        <v>58</v>
      </c>
      <c r="C71" s="65" t="s">
        <v>63</v>
      </c>
      <c r="D71" s="82" t="s">
        <v>464</v>
      </c>
      <c r="E71" s="80" t="s">
        <v>216</v>
      </c>
      <c r="F71" s="66">
        <f t="shared" si="265"/>
        <v>0</v>
      </c>
      <c r="G71" s="66">
        <f t="shared" si="266"/>
        <v>0</v>
      </c>
      <c r="H71" s="66">
        <f t="shared" si="216"/>
        <v>0</v>
      </c>
      <c r="I71" s="66">
        <f t="shared" si="267"/>
        <v>0</v>
      </c>
      <c r="J71" s="67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W71" s="204"/>
      <c r="Y71" s="175" t="str">
        <f t="shared" ca="1" si="193"/>
        <v/>
      </c>
      <c r="Z71" s="175" t="str">
        <f t="shared" ca="1" si="194"/>
        <v/>
      </c>
      <c r="AA71" s="175" t="str">
        <f t="shared" ca="1" si="195"/>
        <v/>
      </c>
      <c r="AB71" s="176" t="str">
        <f t="shared" ca="1" si="196"/>
        <v/>
      </c>
    </row>
    <row r="72" spans="1:28" s="64" customFormat="1" ht="11.5" hidden="1" x14ac:dyDescent="0.25">
      <c r="A72" s="70" t="s">
        <v>61</v>
      </c>
      <c r="B72" s="70" t="s">
        <v>58</v>
      </c>
      <c r="C72" s="65" t="s">
        <v>63</v>
      </c>
      <c r="D72" s="82" t="s">
        <v>465</v>
      </c>
      <c r="E72" s="80" t="s">
        <v>228</v>
      </c>
      <c r="F72" s="66">
        <f t="shared" si="265"/>
        <v>0</v>
      </c>
      <c r="G72" s="66">
        <f t="shared" si="266"/>
        <v>0</v>
      </c>
      <c r="H72" s="66">
        <f t="shared" si="216"/>
        <v>0</v>
      </c>
      <c r="I72" s="66">
        <f t="shared" si="267"/>
        <v>0</v>
      </c>
      <c r="J72" s="89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W72" s="204"/>
      <c r="Y72" s="175" t="str">
        <f t="shared" ca="1" si="193"/>
        <v/>
      </c>
      <c r="Z72" s="175" t="str">
        <f t="shared" ca="1" si="194"/>
        <v/>
      </c>
      <c r="AA72" s="175" t="str">
        <f t="shared" ca="1" si="195"/>
        <v/>
      </c>
      <c r="AB72" s="176" t="str">
        <f t="shared" ca="1" si="196"/>
        <v/>
      </c>
    </row>
    <row r="73" spans="1:28" s="64" customFormat="1" ht="11.5" hidden="1" x14ac:dyDescent="0.25">
      <c r="A73" s="70" t="s">
        <v>61</v>
      </c>
      <c r="B73" s="70" t="s">
        <v>58</v>
      </c>
      <c r="C73" s="65" t="s">
        <v>63</v>
      </c>
      <c r="D73" s="82" t="s">
        <v>466</v>
      </c>
      <c r="E73" s="80" t="s">
        <v>217</v>
      </c>
      <c r="F73" s="66">
        <f t="shared" si="265"/>
        <v>0</v>
      </c>
      <c r="G73" s="66">
        <f t="shared" si="266"/>
        <v>0</v>
      </c>
      <c r="H73" s="66">
        <f t="shared" si="216"/>
        <v>0</v>
      </c>
      <c r="I73" s="66">
        <f t="shared" si="267"/>
        <v>0</v>
      </c>
      <c r="J73" s="67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W73" s="204"/>
      <c r="Y73" s="175" t="str">
        <f t="shared" ref="Y73:Y104" ca="1" si="268">IF(OR(M73&lt;&gt;""),"Completed",
IF(L73="","",IF(L73&lt;TODAY(),"Overdue",
IF(AND(L73&gt;=TODAY()-WEEKDAY(TODAY(),2)+1,L73&lt;=TODAY()-WEEKDAY(TODAY(),2)+7),"Follow-This Week",
IF(AND(L73&gt;=TODAY()-WEEKDAY(TODAY(),2)+8,L73&lt;=TODAY()-WEEKDAY(TODAY(),2)+14),"Follow-Next Week","")))))</f>
        <v/>
      </c>
      <c r="Z73" s="175" t="str">
        <f t="shared" ref="Z73:Z104" ca="1" si="269">IF(OR(P73&lt;&gt;""),"Completed",IF(O73="","",
IF(O73&lt;TODAY(),"Overdue",
IF(AND(O73&gt;=TODAY()-WEEKDAY(TODAY(),2)+1,O73&lt;=TODAY()-WEEKDAY(TODAY(),2)+7),"Follow-This Week",
IF(AND(O73&gt;=TODAY()-WEEKDAY(TODAY(),2)+8,O73&lt;=TODAY()-WEEKDAY(TODAY(),2)+14),"Follow-Next Week","")))))</f>
        <v/>
      </c>
      <c r="AA73" s="175" t="str">
        <f t="shared" ref="AA73:AA104" ca="1" si="270">IF(OR(S73&lt;&gt;""),"Completed",IF(R73="","",
IF(R73&lt;TODAY(),"Overdue",
IF(AND(R73&gt;=TODAY()-WEEKDAY(TODAY(),2)+1,R73&lt;=TODAY()-WEEKDAY(TODAY(),2)+7),"Follow-This Week",
IF(AND(R73&gt;=TODAY()-WEEKDAY(TODAY(),2)+8,R73&lt;=TODAY()-WEEKDAY(TODAY(),2)+14),"Follow-Next Week","")))))</f>
        <v/>
      </c>
      <c r="AB73" s="176" t="str">
        <f t="shared" ref="AB73:AB104" ca="1" si="271">IF(OR(V73&lt;&gt;""),"Completed",IF(U73="","",
IF(U73&lt;TODAY(),"Overdue",
IF(AND(U73&gt;=TODAY()-WEEKDAY(TODAY(),2)+1,U73&lt;=TODAY()-WEEKDAY(TODAY(),2)+7),"Follow-This Week",
IF(AND(U73&gt;=TODAY()-WEEKDAY(TODAY(),2)+8,U73&lt;=TODAY()-WEEKDAY(TODAY(),2)+14),"Follow-Next Week","")))))</f>
        <v/>
      </c>
    </row>
    <row r="74" spans="1:28" s="64" customFormat="1" ht="11.5" hidden="1" x14ac:dyDescent="0.25">
      <c r="A74" s="70" t="s">
        <v>61</v>
      </c>
      <c r="B74" s="70" t="s">
        <v>58</v>
      </c>
      <c r="C74" s="65" t="s">
        <v>63</v>
      </c>
      <c r="D74" s="82" t="s">
        <v>467</v>
      </c>
      <c r="E74" s="80" t="s">
        <v>229</v>
      </c>
      <c r="F74" s="66">
        <f t="shared" si="265"/>
        <v>0</v>
      </c>
      <c r="G74" s="66">
        <f t="shared" si="266"/>
        <v>0</v>
      </c>
      <c r="H74" s="66">
        <f t="shared" si="216"/>
        <v>0</v>
      </c>
      <c r="I74" s="66">
        <f t="shared" si="267"/>
        <v>0</v>
      </c>
      <c r="J74" s="89">
        <v>0.25</v>
      </c>
      <c r="K74" s="74"/>
      <c r="L74" s="74"/>
      <c r="M74" s="72"/>
      <c r="N74" s="74"/>
      <c r="O74" s="74"/>
      <c r="P74" s="72"/>
      <c r="Q74" s="74"/>
      <c r="R74" s="74"/>
      <c r="S74" s="74"/>
      <c r="T74" s="74"/>
      <c r="U74" s="74"/>
      <c r="V74" s="72"/>
      <c r="W74" s="204"/>
      <c r="Y74" s="175" t="str">
        <f t="shared" ca="1" si="268"/>
        <v/>
      </c>
      <c r="Z74" s="175" t="str">
        <f t="shared" ca="1" si="269"/>
        <v/>
      </c>
      <c r="AA74" s="175" t="str">
        <f t="shared" ca="1" si="270"/>
        <v/>
      </c>
      <c r="AB74" s="176" t="str">
        <f t="shared" ca="1" si="271"/>
        <v/>
      </c>
    </row>
    <row r="75" spans="1:28" s="64" customFormat="1" ht="11.5" hidden="1" x14ac:dyDescent="0.25">
      <c r="A75" s="70" t="s">
        <v>61</v>
      </c>
      <c r="B75" s="70" t="s">
        <v>58</v>
      </c>
      <c r="C75" s="65" t="s">
        <v>63</v>
      </c>
      <c r="D75" s="82" t="s">
        <v>468</v>
      </c>
      <c r="E75" s="80" t="s">
        <v>218</v>
      </c>
      <c r="F75" s="66">
        <f t="shared" si="265"/>
        <v>0</v>
      </c>
      <c r="G75" s="66">
        <f t="shared" si="266"/>
        <v>0</v>
      </c>
      <c r="H75" s="66">
        <f t="shared" si="216"/>
        <v>0</v>
      </c>
      <c r="I75" s="66">
        <f t="shared" si="267"/>
        <v>0</v>
      </c>
      <c r="J75" s="67">
        <v>0.25</v>
      </c>
      <c r="K75" s="74"/>
      <c r="L75" s="74"/>
      <c r="M75" s="72"/>
      <c r="N75" s="74"/>
      <c r="O75" s="74"/>
      <c r="P75" s="72"/>
      <c r="Q75" s="74"/>
      <c r="R75" s="74"/>
      <c r="S75" s="74"/>
      <c r="T75" s="74"/>
      <c r="U75" s="74"/>
      <c r="V75" s="72"/>
      <c r="W75" s="204"/>
      <c r="Y75" s="175" t="str">
        <f t="shared" ca="1" si="268"/>
        <v/>
      </c>
      <c r="Z75" s="175" t="str">
        <f t="shared" ca="1" si="269"/>
        <v/>
      </c>
      <c r="AA75" s="175" t="str">
        <f t="shared" ca="1" si="270"/>
        <v/>
      </c>
      <c r="AB75" s="176" t="str">
        <f t="shared" ca="1" si="271"/>
        <v/>
      </c>
    </row>
    <row r="76" spans="1:28" s="64" customFormat="1" ht="11.5" hidden="1" x14ac:dyDescent="0.25">
      <c r="A76" s="70" t="s">
        <v>61</v>
      </c>
      <c r="B76" s="70" t="s">
        <v>58</v>
      </c>
      <c r="C76" s="65" t="s">
        <v>63</v>
      </c>
      <c r="D76" s="82" t="s">
        <v>469</v>
      </c>
      <c r="E76" s="80" t="s">
        <v>219</v>
      </c>
      <c r="F76" s="66">
        <f t="shared" si="265"/>
        <v>0</v>
      </c>
      <c r="G76" s="66">
        <f t="shared" si="266"/>
        <v>0</v>
      </c>
      <c r="H76" s="66">
        <f t="shared" si="216"/>
        <v>0</v>
      </c>
      <c r="I76" s="66">
        <f t="shared" si="267"/>
        <v>0</v>
      </c>
      <c r="J76" s="89">
        <v>0.25</v>
      </c>
      <c r="K76" s="74"/>
      <c r="L76" s="74"/>
      <c r="M76" s="72"/>
      <c r="N76" s="74"/>
      <c r="O76" s="74"/>
      <c r="P76" s="72"/>
      <c r="Q76" s="74"/>
      <c r="R76" s="74"/>
      <c r="S76" s="74"/>
      <c r="T76" s="74"/>
      <c r="U76" s="74"/>
      <c r="V76" s="72"/>
      <c r="W76" s="204"/>
      <c r="Y76" s="175" t="str">
        <f t="shared" ca="1" si="268"/>
        <v/>
      </c>
      <c r="Z76" s="175" t="str">
        <f t="shared" ca="1" si="269"/>
        <v/>
      </c>
      <c r="AA76" s="175" t="str">
        <f t="shared" ca="1" si="270"/>
        <v/>
      </c>
      <c r="AB76" s="176" t="str">
        <f t="shared" ca="1" si="271"/>
        <v/>
      </c>
    </row>
    <row r="77" spans="1:28" s="64" customFormat="1" ht="11.5" hidden="1" x14ac:dyDescent="0.25">
      <c r="A77" s="70" t="s">
        <v>61</v>
      </c>
      <c r="B77" s="70" t="s">
        <v>58</v>
      </c>
      <c r="C77" s="65" t="s">
        <v>63</v>
      </c>
      <c r="D77" s="82" t="s">
        <v>470</v>
      </c>
      <c r="E77" s="80" t="s">
        <v>220</v>
      </c>
      <c r="F77" s="66">
        <f t="shared" si="265"/>
        <v>0</v>
      </c>
      <c r="G77" s="66">
        <f t="shared" si="266"/>
        <v>0</v>
      </c>
      <c r="H77" s="66">
        <f t="shared" si="216"/>
        <v>0</v>
      </c>
      <c r="I77" s="66">
        <f t="shared" si="267"/>
        <v>0</v>
      </c>
      <c r="J77" s="67">
        <v>0.25</v>
      </c>
      <c r="K77" s="74"/>
      <c r="L77" s="74"/>
      <c r="M77" s="72"/>
      <c r="N77" s="74"/>
      <c r="O77" s="74"/>
      <c r="P77" s="72"/>
      <c r="Q77" s="74"/>
      <c r="R77" s="74"/>
      <c r="S77" s="74"/>
      <c r="T77" s="74"/>
      <c r="U77" s="74"/>
      <c r="V77" s="72"/>
      <c r="W77" s="204"/>
      <c r="Y77" s="175" t="str">
        <f t="shared" ca="1" si="268"/>
        <v/>
      </c>
      <c r="Z77" s="175" t="str">
        <f t="shared" ca="1" si="269"/>
        <v/>
      </c>
      <c r="AA77" s="175" t="str">
        <f t="shared" ca="1" si="270"/>
        <v/>
      </c>
      <c r="AB77" s="176" t="str">
        <f t="shared" ca="1" si="271"/>
        <v/>
      </c>
    </row>
    <row r="78" spans="1:28" s="64" customFormat="1" ht="11.5" hidden="1" x14ac:dyDescent="0.25">
      <c r="A78" s="70" t="s">
        <v>61</v>
      </c>
      <c r="B78" s="70" t="s">
        <v>58</v>
      </c>
      <c r="C78" s="65" t="s">
        <v>63</v>
      </c>
      <c r="D78" s="82" t="s">
        <v>471</v>
      </c>
      <c r="E78" s="80" t="s">
        <v>230</v>
      </c>
      <c r="F78" s="66">
        <f t="shared" si="265"/>
        <v>0</v>
      </c>
      <c r="G78" s="66">
        <f t="shared" si="266"/>
        <v>0</v>
      </c>
      <c r="H78" s="66">
        <f t="shared" si="216"/>
        <v>0</v>
      </c>
      <c r="I78" s="66">
        <f t="shared" si="267"/>
        <v>0</v>
      </c>
      <c r="J78" s="89">
        <v>0.25</v>
      </c>
      <c r="K78" s="74"/>
      <c r="L78" s="74"/>
      <c r="M78" s="72"/>
      <c r="N78" s="74"/>
      <c r="O78" s="74"/>
      <c r="P78" s="72"/>
      <c r="Q78" s="74"/>
      <c r="R78" s="74"/>
      <c r="S78" s="74"/>
      <c r="T78" s="74"/>
      <c r="U78" s="74"/>
      <c r="V78" s="72"/>
      <c r="W78" s="204"/>
      <c r="Y78" s="175" t="str">
        <f t="shared" ca="1" si="268"/>
        <v/>
      </c>
      <c r="Z78" s="175" t="str">
        <f t="shared" ca="1" si="269"/>
        <v/>
      </c>
      <c r="AA78" s="175" t="str">
        <f t="shared" ca="1" si="270"/>
        <v/>
      </c>
      <c r="AB78" s="176" t="str">
        <f t="shared" ca="1" si="271"/>
        <v/>
      </c>
    </row>
    <row r="79" spans="1:28" s="64" customFormat="1" ht="11.5" hidden="1" x14ac:dyDescent="0.25">
      <c r="A79" s="70" t="s">
        <v>61</v>
      </c>
      <c r="B79" s="70" t="s">
        <v>58</v>
      </c>
      <c r="C79" s="65" t="s">
        <v>63</v>
      </c>
      <c r="D79" s="82" t="s">
        <v>472</v>
      </c>
      <c r="E79" s="80" t="s">
        <v>221</v>
      </c>
      <c r="F79" s="66">
        <f t="shared" si="265"/>
        <v>0</v>
      </c>
      <c r="G79" s="66">
        <f t="shared" si="266"/>
        <v>0</v>
      </c>
      <c r="H79" s="66">
        <f t="shared" si="216"/>
        <v>0</v>
      </c>
      <c r="I79" s="66">
        <f t="shared" si="267"/>
        <v>0</v>
      </c>
      <c r="J79" s="67">
        <v>0.25</v>
      </c>
      <c r="K79" s="74"/>
      <c r="L79" s="74"/>
      <c r="M79" s="72"/>
      <c r="N79" s="74"/>
      <c r="O79" s="74"/>
      <c r="P79" s="72"/>
      <c r="Q79" s="74"/>
      <c r="R79" s="74"/>
      <c r="S79" s="74"/>
      <c r="T79" s="74"/>
      <c r="U79" s="74"/>
      <c r="V79" s="72"/>
      <c r="W79" s="204"/>
      <c r="Y79" s="175" t="str">
        <f t="shared" ca="1" si="268"/>
        <v/>
      </c>
      <c r="Z79" s="175" t="str">
        <f t="shared" ca="1" si="269"/>
        <v/>
      </c>
      <c r="AA79" s="175" t="str">
        <f t="shared" ca="1" si="270"/>
        <v/>
      </c>
      <c r="AB79" s="176" t="str">
        <f t="shared" ca="1" si="271"/>
        <v/>
      </c>
    </row>
    <row r="80" spans="1:28" s="64" customFormat="1" ht="11.5" hidden="1" x14ac:dyDescent="0.25">
      <c r="A80" s="70" t="s">
        <v>61</v>
      </c>
      <c r="B80" s="70" t="s">
        <v>58</v>
      </c>
      <c r="C80" s="65" t="s">
        <v>63</v>
      </c>
      <c r="D80" s="82" t="s">
        <v>473</v>
      </c>
      <c r="E80" s="80" t="s">
        <v>222</v>
      </c>
      <c r="F80" s="66">
        <f t="shared" si="265"/>
        <v>0</v>
      </c>
      <c r="G80" s="66">
        <f t="shared" si="266"/>
        <v>0</v>
      </c>
      <c r="H80" s="66">
        <f t="shared" si="216"/>
        <v>0</v>
      </c>
      <c r="I80" s="66">
        <f t="shared" si="267"/>
        <v>0</v>
      </c>
      <c r="J80" s="89">
        <v>0.25</v>
      </c>
      <c r="K80" s="74"/>
      <c r="L80" s="74"/>
      <c r="M80" s="72"/>
      <c r="N80" s="74"/>
      <c r="O80" s="74"/>
      <c r="P80" s="72"/>
      <c r="Q80" s="74"/>
      <c r="R80" s="74"/>
      <c r="S80" s="74"/>
      <c r="T80" s="74"/>
      <c r="U80" s="74"/>
      <c r="V80" s="72"/>
      <c r="W80" s="204"/>
      <c r="Y80" s="175" t="str">
        <f t="shared" ca="1" si="268"/>
        <v/>
      </c>
      <c r="Z80" s="175" t="str">
        <f t="shared" ca="1" si="269"/>
        <v/>
      </c>
      <c r="AA80" s="175" t="str">
        <f t="shared" ca="1" si="270"/>
        <v/>
      </c>
      <c r="AB80" s="176" t="str">
        <f t="shared" ca="1" si="271"/>
        <v/>
      </c>
    </row>
    <row r="81" spans="1:28" s="64" customFormat="1" ht="11.5" hidden="1" x14ac:dyDescent="0.25">
      <c r="A81" s="70" t="s">
        <v>61</v>
      </c>
      <c r="B81" s="70" t="s">
        <v>58</v>
      </c>
      <c r="C81" s="65" t="s">
        <v>63</v>
      </c>
      <c r="D81" s="82" t="s">
        <v>474</v>
      </c>
      <c r="E81" s="80" t="s">
        <v>223</v>
      </c>
      <c r="F81" s="66">
        <f t="shared" si="265"/>
        <v>0</v>
      </c>
      <c r="G81" s="66">
        <f t="shared" si="266"/>
        <v>0</v>
      </c>
      <c r="H81" s="66">
        <f t="shared" si="216"/>
        <v>0</v>
      </c>
      <c r="I81" s="66">
        <f t="shared" si="267"/>
        <v>0</v>
      </c>
      <c r="J81" s="67">
        <v>0.25</v>
      </c>
      <c r="K81" s="74"/>
      <c r="L81" s="74"/>
      <c r="M81" s="72"/>
      <c r="N81" s="74"/>
      <c r="O81" s="74"/>
      <c r="P81" s="72"/>
      <c r="Q81" s="74"/>
      <c r="R81" s="74"/>
      <c r="S81" s="74"/>
      <c r="T81" s="74"/>
      <c r="U81" s="74"/>
      <c r="V81" s="72"/>
      <c r="W81" s="204"/>
      <c r="Y81" s="175" t="str">
        <f t="shared" ca="1" si="268"/>
        <v/>
      </c>
      <c r="Z81" s="175" t="str">
        <f t="shared" ca="1" si="269"/>
        <v/>
      </c>
      <c r="AA81" s="175" t="str">
        <f t="shared" ca="1" si="270"/>
        <v/>
      </c>
      <c r="AB81" s="176" t="str">
        <f t="shared" ca="1" si="271"/>
        <v/>
      </c>
    </row>
    <row r="82" spans="1:28" s="64" customFormat="1" ht="11.5" hidden="1" x14ac:dyDescent="0.25">
      <c r="A82" s="70" t="s">
        <v>61</v>
      </c>
      <c r="B82" s="70" t="s">
        <v>58</v>
      </c>
      <c r="C82" s="65" t="s">
        <v>63</v>
      </c>
      <c r="D82" s="82" t="s">
        <v>475</v>
      </c>
      <c r="E82" s="80" t="s">
        <v>227</v>
      </c>
      <c r="F82" s="66">
        <f t="shared" si="265"/>
        <v>0</v>
      </c>
      <c r="G82" s="66">
        <f t="shared" si="266"/>
        <v>0</v>
      </c>
      <c r="H82" s="66">
        <f t="shared" si="216"/>
        <v>0</v>
      </c>
      <c r="I82" s="66">
        <f t="shared" si="267"/>
        <v>0</v>
      </c>
      <c r="J82" s="89">
        <v>0.25</v>
      </c>
      <c r="K82" s="74"/>
      <c r="L82" s="74"/>
      <c r="M82" s="72"/>
      <c r="N82" s="74"/>
      <c r="O82" s="74"/>
      <c r="P82" s="72"/>
      <c r="Q82" s="74"/>
      <c r="R82" s="74"/>
      <c r="S82" s="74"/>
      <c r="T82" s="74"/>
      <c r="U82" s="74"/>
      <c r="V82" s="72"/>
      <c r="W82" s="204"/>
      <c r="Y82" s="175" t="str">
        <f t="shared" ca="1" si="268"/>
        <v/>
      </c>
      <c r="Z82" s="175" t="str">
        <f t="shared" ca="1" si="269"/>
        <v/>
      </c>
      <c r="AA82" s="175" t="str">
        <f t="shared" ca="1" si="270"/>
        <v/>
      </c>
      <c r="AB82" s="176" t="str">
        <f t="shared" ca="1" si="271"/>
        <v/>
      </c>
    </row>
    <row r="83" spans="1:28" s="64" customFormat="1" ht="11.5" hidden="1" x14ac:dyDescent="0.25">
      <c r="A83" s="70" t="s">
        <v>61</v>
      </c>
      <c r="B83" s="70" t="s">
        <v>58</v>
      </c>
      <c r="C83" s="65" t="s">
        <v>63</v>
      </c>
      <c r="D83" s="82" t="s">
        <v>476</v>
      </c>
      <c r="E83" s="80" t="s">
        <v>224</v>
      </c>
      <c r="F83" s="66">
        <f t="shared" si="265"/>
        <v>0</v>
      </c>
      <c r="G83" s="66">
        <f t="shared" si="266"/>
        <v>0</v>
      </c>
      <c r="H83" s="66">
        <f t="shared" si="216"/>
        <v>0</v>
      </c>
      <c r="I83" s="66">
        <f t="shared" si="267"/>
        <v>0</v>
      </c>
      <c r="J83" s="67">
        <v>0.25</v>
      </c>
      <c r="K83" s="74"/>
      <c r="L83" s="74"/>
      <c r="M83" s="72"/>
      <c r="N83" s="74"/>
      <c r="O83" s="74"/>
      <c r="P83" s="72"/>
      <c r="Q83" s="74"/>
      <c r="R83" s="74"/>
      <c r="S83" s="74"/>
      <c r="T83" s="74"/>
      <c r="U83" s="74"/>
      <c r="V83" s="72"/>
      <c r="W83" s="204"/>
      <c r="Y83" s="175" t="str">
        <f t="shared" ca="1" si="268"/>
        <v/>
      </c>
      <c r="Z83" s="175" t="str">
        <f t="shared" ca="1" si="269"/>
        <v/>
      </c>
      <c r="AA83" s="175" t="str">
        <f t="shared" ca="1" si="270"/>
        <v/>
      </c>
      <c r="AB83" s="176" t="str">
        <f t="shared" ca="1" si="271"/>
        <v/>
      </c>
    </row>
    <row r="84" spans="1:28" s="64" customFormat="1" ht="11.5" hidden="1" x14ac:dyDescent="0.25">
      <c r="A84" s="70" t="s">
        <v>61</v>
      </c>
      <c r="B84" s="70" t="s">
        <v>58</v>
      </c>
      <c r="C84" s="65" t="s">
        <v>63</v>
      </c>
      <c r="D84" s="82" t="s">
        <v>477</v>
      </c>
      <c r="E84" s="80" t="s">
        <v>225</v>
      </c>
      <c r="F84" s="66">
        <f t="shared" si="265"/>
        <v>0</v>
      </c>
      <c r="G84" s="66">
        <f t="shared" si="266"/>
        <v>0</v>
      </c>
      <c r="H84" s="66">
        <f t="shared" si="216"/>
        <v>0</v>
      </c>
      <c r="I84" s="66">
        <f t="shared" si="267"/>
        <v>0</v>
      </c>
      <c r="J84" s="89">
        <v>0.25</v>
      </c>
      <c r="K84" s="74"/>
      <c r="L84" s="74"/>
      <c r="M84" s="72"/>
      <c r="N84" s="74"/>
      <c r="O84" s="74"/>
      <c r="P84" s="72"/>
      <c r="Q84" s="74"/>
      <c r="R84" s="74"/>
      <c r="S84" s="74"/>
      <c r="T84" s="74"/>
      <c r="U84" s="74"/>
      <c r="V84" s="72"/>
      <c r="W84" s="204"/>
      <c r="Y84" s="175" t="str">
        <f t="shared" ca="1" si="268"/>
        <v/>
      </c>
      <c r="Z84" s="175" t="str">
        <f t="shared" ca="1" si="269"/>
        <v/>
      </c>
      <c r="AA84" s="175" t="str">
        <f t="shared" ca="1" si="270"/>
        <v/>
      </c>
      <c r="AB84" s="176" t="str">
        <f t="shared" ca="1" si="271"/>
        <v/>
      </c>
    </row>
    <row r="85" spans="1:28" s="64" customFormat="1" ht="11.5" hidden="1" x14ac:dyDescent="0.25">
      <c r="A85" s="117"/>
      <c r="B85" s="117"/>
      <c r="C85" s="117"/>
      <c r="D85" s="118"/>
      <c r="E85" s="119"/>
      <c r="F85" s="120"/>
      <c r="G85" s="120"/>
      <c r="H85" s="120"/>
      <c r="I85" s="120"/>
      <c r="J85" s="121"/>
      <c r="K85" s="122"/>
      <c r="L85" s="122"/>
      <c r="M85" s="123"/>
      <c r="N85" s="122"/>
      <c r="O85" s="122"/>
      <c r="P85" s="123"/>
      <c r="Q85" s="122"/>
      <c r="R85" s="122"/>
      <c r="S85" s="123"/>
      <c r="T85" s="122"/>
      <c r="U85" s="122"/>
      <c r="V85" s="123"/>
      <c r="W85" s="217"/>
      <c r="Y85" s="175" t="str">
        <f t="shared" ca="1" si="268"/>
        <v/>
      </c>
      <c r="Z85" s="175" t="str">
        <f t="shared" ca="1" si="269"/>
        <v/>
      </c>
      <c r="AA85" s="175" t="str">
        <f t="shared" ca="1" si="270"/>
        <v/>
      </c>
      <c r="AB85" s="176" t="str">
        <f t="shared" ca="1" si="271"/>
        <v/>
      </c>
    </row>
    <row r="86" spans="1:28" s="64" customFormat="1" ht="11.5" x14ac:dyDescent="0.25">
      <c r="A86" s="70" t="s">
        <v>61</v>
      </c>
      <c r="B86" s="70" t="s">
        <v>62</v>
      </c>
      <c r="C86" s="65" t="s">
        <v>85</v>
      </c>
      <c r="D86" s="82" t="s">
        <v>258</v>
      </c>
      <c r="E86" s="65" t="s">
        <v>86</v>
      </c>
      <c r="F86" s="66">
        <f t="shared" ref="F86:G88" si="272">(COUNTIFS(K86,"&lt;="&amp;$D$1)*50%)+(COUNTIFS(N86,"&lt;="&amp;$D$1)*20%)+(COUNTIFS(Q86,"&lt;="&amp;$D$1)*10%)+(COUNTIFS(T86,"&lt;="&amp;$D$1)*20%)</f>
        <v>1</v>
      </c>
      <c r="G86" s="66">
        <f t="shared" si="272"/>
        <v>1</v>
      </c>
      <c r="H86" s="66">
        <f t="shared" ref="H86:H117" si="273">(COUNTIFS(M86,"&lt;="&amp;$D$1)*50%)+(COUNTIFS(P86,"&lt;="&amp;$D$1)*20%)+(COUNTIFS(S86,"&lt;="&amp;$D$1)*10%)+(COUNTIFS(V86,"&lt;="&amp;$D$1)*20%)</f>
        <v>1</v>
      </c>
      <c r="I86" s="66">
        <f t="shared" si="5"/>
        <v>0</v>
      </c>
      <c r="J86" s="81">
        <v>0.05</v>
      </c>
      <c r="K86" s="68">
        <v>46157</v>
      </c>
      <c r="L86" s="68">
        <f t="shared" si="6"/>
        <v>46157</v>
      </c>
      <c r="M86" s="72">
        <v>46135</v>
      </c>
      <c r="N86" s="72">
        <f t="shared" si="7"/>
        <v>46199</v>
      </c>
      <c r="O86" s="68">
        <f t="shared" si="8"/>
        <v>46199</v>
      </c>
      <c r="P86" s="72">
        <v>46185</v>
      </c>
      <c r="Q86" s="72">
        <f t="shared" si="9"/>
        <v>46241</v>
      </c>
      <c r="R86" s="72">
        <f t="shared" si="10"/>
        <v>46241</v>
      </c>
      <c r="S86" s="72">
        <v>46185</v>
      </c>
      <c r="T86" s="72">
        <f t="shared" si="11"/>
        <v>46255</v>
      </c>
      <c r="U86" s="72">
        <f t="shared" si="12"/>
        <v>46255</v>
      </c>
      <c r="V86" s="72">
        <v>46192</v>
      </c>
      <c r="W86" s="204"/>
      <c r="Y86" s="175" t="str">
        <f t="shared" ca="1" si="268"/>
        <v>Completed</v>
      </c>
      <c r="Z86" s="175" t="str">
        <f t="shared" ca="1" si="269"/>
        <v>Completed</v>
      </c>
      <c r="AA86" s="175" t="str">
        <f t="shared" ca="1" si="270"/>
        <v>Completed</v>
      </c>
      <c r="AB86" s="176" t="str">
        <f t="shared" ca="1" si="271"/>
        <v>Completed</v>
      </c>
    </row>
    <row r="87" spans="1:28" s="64" customFormat="1" ht="11.5" x14ac:dyDescent="0.25">
      <c r="A87" s="70" t="s">
        <v>61</v>
      </c>
      <c r="B87" s="70" t="s">
        <v>62</v>
      </c>
      <c r="C87" s="65" t="s">
        <v>85</v>
      </c>
      <c r="D87" s="82" t="s">
        <v>259</v>
      </c>
      <c r="E87" s="65" t="s">
        <v>87</v>
      </c>
      <c r="F87" s="66">
        <f t="shared" si="272"/>
        <v>1</v>
      </c>
      <c r="G87" s="66">
        <f t="shared" si="272"/>
        <v>1</v>
      </c>
      <c r="H87" s="66">
        <f t="shared" si="273"/>
        <v>1</v>
      </c>
      <c r="I87" s="66">
        <f t="shared" si="5"/>
        <v>0</v>
      </c>
      <c r="J87" s="81">
        <v>0.05</v>
      </c>
      <c r="K87" s="68">
        <v>46157</v>
      </c>
      <c r="L87" s="72">
        <f t="shared" si="6"/>
        <v>46157</v>
      </c>
      <c r="M87" s="72">
        <v>46135</v>
      </c>
      <c r="N87" s="72">
        <f t="shared" si="7"/>
        <v>46199</v>
      </c>
      <c r="O87" s="72">
        <f t="shared" si="8"/>
        <v>46199</v>
      </c>
      <c r="P87" s="72">
        <v>46185</v>
      </c>
      <c r="Q87" s="72">
        <f t="shared" si="9"/>
        <v>46241</v>
      </c>
      <c r="R87" s="72">
        <f t="shared" si="10"/>
        <v>46241</v>
      </c>
      <c r="S87" s="72">
        <v>46185</v>
      </c>
      <c r="T87" s="72">
        <f t="shared" si="11"/>
        <v>46255</v>
      </c>
      <c r="U87" s="72">
        <f t="shared" si="12"/>
        <v>46255</v>
      </c>
      <c r="V87" s="72">
        <v>46192</v>
      </c>
      <c r="W87" s="204"/>
      <c r="Y87" s="175" t="str">
        <f t="shared" ca="1" si="268"/>
        <v>Completed</v>
      </c>
      <c r="Z87" s="175" t="str">
        <f t="shared" ca="1" si="269"/>
        <v>Completed</v>
      </c>
      <c r="AA87" s="175" t="str">
        <f t="shared" ca="1" si="270"/>
        <v>Completed</v>
      </c>
      <c r="AB87" s="176" t="str">
        <f t="shared" ca="1" si="271"/>
        <v>Completed</v>
      </c>
    </row>
    <row r="88" spans="1:28" s="64" customFormat="1" ht="11.5" x14ac:dyDescent="0.25">
      <c r="A88" s="70" t="s">
        <v>61</v>
      </c>
      <c r="B88" s="70" t="s">
        <v>62</v>
      </c>
      <c r="C88" s="65" t="s">
        <v>85</v>
      </c>
      <c r="D88" s="73" t="s">
        <v>260</v>
      </c>
      <c r="E88" s="65" t="s">
        <v>88</v>
      </c>
      <c r="F88" s="66">
        <f t="shared" si="272"/>
        <v>1</v>
      </c>
      <c r="G88" s="66">
        <f t="shared" si="272"/>
        <v>1</v>
      </c>
      <c r="H88" s="66">
        <f t="shared" si="273"/>
        <v>1</v>
      </c>
      <c r="I88" s="66">
        <f t="shared" si="5"/>
        <v>0</v>
      </c>
      <c r="J88" s="81">
        <v>0.1</v>
      </c>
      <c r="K88" s="68">
        <v>46157</v>
      </c>
      <c r="L88" s="72">
        <f t="shared" si="6"/>
        <v>46157</v>
      </c>
      <c r="M88" s="72">
        <v>46135</v>
      </c>
      <c r="N88" s="72">
        <f t="shared" si="7"/>
        <v>46199</v>
      </c>
      <c r="O88" s="72">
        <f t="shared" si="8"/>
        <v>46199</v>
      </c>
      <c r="P88" s="72">
        <v>46185</v>
      </c>
      <c r="Q88" s="72">
        <f t="shared" si="9"/>
        <v>46241</v>
      </c>
      <c r="R88" s="72">
        <f t="shared" si="10"/>
        <v>46241</v>
      </c>
      <c r="S88" s="72">
        <v>46185</v>
      </c>
      <c r="T88" s="72">
        <f t="shared" si="11"/>
        <v>46255</v>
      </c>
      <c r="U88" s="72">
        <f t="shared" si="12"/>
        <v>46255</v>
      </c>
      <c r="V88" s="72">
        <v>46192</v>
      </c>
      <c r="W88" s="204"/>
      <c r="Y88" s="175" t="str">
        <f t="shared" ca="1" si="268"/>
        <v>Completed</v>
      </c>
      <c r="Z88" s="175" t="str">
        <f t="shared" ca="1" si="269"/>
        <v>Completed</v>
      </c>
      <c r="AA88" s="175" t="str">
        <f t="shared" ca="1" si="270"/>
        <v>Completed</v>
      </c>
      <c r="AB88" s="176" t="str">
        <f t="shared" ca="1" si="271"/>
        <v>Completed</v>
      </c>
    </row>
    <row r="89" spans="1:28" s="64" customFormat="1" ht="11.5" x14ac:dyDescent="0.25">
      <c r="A89" s="70" t="s">
        <v>61</v>
      </c>
      <c r="B89" s="70" t="s">
        <v>62</v>
      </c>
      <c r="C89" s="65" t="s">
        <v>85</v>
      </c>
      <c r="D89" s="73" t="s">
        <v>261</v>
      </c>
      <c r="E89" s="65" t="s">
        <v>89</v>
      </c>
      <c r="F89" s="66">
        <f t="shared" ref="F89:F101" si="274">(COUNTIFS(K89,"&lt;="&amp;$D$1)*50%)+(COUNTIFS(N89,"&lt;="&amp;$D$1)*20%)+(COUNTIFS(Q89,"&lt;="&amp;$D$1)*10%)+(COUNTIFS(T89,"&lt;="&amp;$D$1)*20%)</f>
        <v>1</v>
      </c>
      <c r="G89" s="66">
        <f t="shared" ref="G89:G101" si="275">(COUNTIFS(L89,"&lt;="&amp;$D$1)*50%)+(COUNTIFS(O89,"&lt;="&amp;$D$1)*20%)+(COUNTIFS(R89,"&lt;="&amp;$D$1)*10%)+(COUNTIFS(U89,"&lt;="&amp;$D$1)*20%)</f>
        <v>1</v>
      </c>
      <c r="H89" s="66">
        <f t="shared" si="273"/>
        <v>1</v>
      </c>
      <c r="I89" s="66">
        <f t="shared" ref="I89:I101" si="276">H89-F89</f>
        <v>0</v>
      </c>
      <c r="J89" s="81">
        <v>0.15</v>
      </c>
      <c r="K89" s="68">
        <v>46157</v>
      </c>
      <c r="L89" s="72">
        <f t="shared" si="6"/>
        <v>46157</v>
      </c>
      <c r="M89" s="72">
        <v>46135</v>
      </c>
      <c r="N89" s="72">
        <f t="shared" si="7"/>
        <v>46199</v>
      </c>
      <c r="O89" s="72">
        <f t="shared" si="8"/>
        <v>46199</v>
      </c>
      <c r="P89" s="72">
        <v>46191</v>
      </c>
      <c r="Q89" s="72">
        <f t="shared" si="9"/>
        <v>46241</v>
      </c>
      <c r="R89" s="72">
        <f t="shared" si="10"/>
        <v>46241</v>
      </c>
      <c r="S89" s="72">
        <v>46241</v>
      </c>
      <c r="T89" s="72">
        <f t="shared" si="11"/>
        <v>46255</v>
      </c>
      <c r="U89" s="72">
        <f t="shared" si="12"/>
        <v>46255</v>
      </c>
      <c r="V89" s="76">
        <v>46255</v>
      </c>
      <c r="W89" s="218"/>
      <c r="Y89" s="175" t="str">
        <f t="shared" ca="1" si="268"/>
        <v>Completed</v>
      </c>
      <c r="Z89" s="175" t="str">
        <f t="shared" ca="1" si="269"/>
        <v>Completed</v>
      </c>
      <c r="AA89" s="175" t="str">
        <f t="shared" ca="1" si="270"/>
        <v>Completed</v>
      </c>
      <c r="AB89" s="176" t="str">
        <f t="shared" ca="1" si="271"/>
        <v>Completed</v>
      </c>
    </row>
    <row r="90" spans="1:28" s="64" customFormat="1" ht="11.5" x14ac:dyDescent="0.25">
      <c r="A90" s="70" t="s">
        <v>61</v>
      </c>
      <c r="B90" s="70" t="s">
        <v>62</v>
      </c>
      <c r="C90" s="65" t="s">
        <v>85</v>
      </c>
      <c r="D90" s="82" t="s">
        <v>262</v>
      </c>
      <c r="E90" s="65" t="s">
        <v>90</v>
      </c>
      <c r="F90" s="66">
        <f t="shared" si="274"/>
        <v>1</v>
      </c>
      <c r="G90" s="66">
        <f t="shared" si="275"/>
        <v>1</v>
      </c>
      <c r="H90" s="66">
        <f t="shared" si="273"/>
        <v>1</v>
      </c>
      <c r="I90" s="66">
        <f t="shared" si="276"/>
        <v>0</v>
      </c>
      <c r="J90" s="81">
        <v>0.15</v>
      </c>
      <c r="K90" s="68">
        <v>46157</v>
      </c>
      <c r="L90" s="72">
        <f t="shared" si="6"/>
        <v>46157</v>
      </c>
      <c r="M90" s="72">
        <v>46135</v>
      </c>
      <c r="N90" s="72">
        <f t="shared" si="7"/>
        <v>46199</v>
      </c>
      <c r="O90" s="72">
        <f t="shared" si="8"/>
        <v>46199</v>
      </c>
      <c r="P90" s="72">
        <v>46185</v>
      </c>
      <c r="Q90" s="72">
        <f t="shared" si="9"/>
        <v>46241</v>
      </c>
      <c r="R90" s="72">
        <f t="shared" si="10"/>
        <v>46241</v>
      </c>
      <c r="S90" s="72">
        <v>46185</v>
      </c>
      <c r="T90" s="72">
        <f t="shared" si="11"/>
        <v>46255</v>
      </c>
      <c r="U90" s="72">
        <f t="shared" si="12"/>
        <v>46255</v>
      </c>
      <c r="V90" s="72">
        <v>46192</v>
      </c>
      <c r="W90" s="204"/>
      <c r="Y90" s="175" t="str">
        <f t="shared" ca="1" si="268"/>
        <v>Completed</v>
      </c>
      <c r="Z90" s="175" t="str">
        <f t="shared" ca="1" si="269"/>
        <v>Completed</v>
      </c>
      <c r="AA90" s="175" t="str">
        <f t="shared" ca="1" si="270"/>
        <v>Completed</v>
      </c>
      <c r="AB90" s="176" t="str">
        <f t="shared" ca="1" si="271"/>
        <v>Completed</v>
      </c>
    </row>
    <row r="91" spans="1:28" s="64" customFormat="1" ht="11.5" x14ac:dyDescent="0.25">
      <c r="A91" s="70" t="s">
        <v>61</v>
      </c>
      <c r="B91" s="70" t="s">
        <v>62</v>
      </c>
      <c r="C91" s="65" t="s">
        <v>85</v>
      </c>
      <c r="D91" s="82" t="s">
        <v>263</v>
      </c>
      <c r="E91" s="65" t="s">
        <v>91</v>
      </c>
      <c r="F91" s="66">
        <f t="shared" si="274"/>
        <v>1</v>
      </c>
      <c r="G91" s="66">
        <f t="shared" si="275"/>
        <v>1</v>
      </c>
      <c r="H91" s="66">
        <f t="shared" si="273"/>
        <v>1</v>
      </c>
      <c r="I91" s="66">
        <f t="shared" si="276"/>
        <v>0</v>
      </c>
      <c r="J91" s="81">
        <v>0.15</v>
      </c>
      <c r="K91" s="68">
        <v>46157</v>
      </c>
      <c r="L91" s="72">
        <f t="shared" si="6"/>
        <v>46157</v>
      </c>
      <c r="M91" s="72">
        <v>46135</v>
      </c>
      <c r="N91" s="72">
        <f t="shared" si="7"/>
        <v>46199</v>
      </c>
      <c r="O91" s="72">
        <f t="shared" si="8"/>
        <v>46199</v>
      </c>
      <c r="P91" s="72">
        <v>46191</v>
      </c>
      <c r="Q91" s="72">
        <f t="shared" si="9"/>
        <v>46241</v>
      </c>
      <c r="R91" s="72">
        <f t="shared" si="10"/>
        <v>46241</v>
      </c>
      <c r="S91" s="72">
        <v>46241</v>
      </c>
      <c r="T91" s="72">
        <f t="shared" si="11"/>
        <v>46255</v>
      </c>
      <c r="U91" s="72">
        <f t="shared" si="12"/>
        <v>46255</v>
      </c>
      <c r="V91" s="76">
        <v>46255</v>
      </c>
      <c r="W91" s="218"/>
      <c r="Y91" s="175" t="str">
        <f t="shared" ca="1" si="268"/>
        <v>Completed</v>
      </c>
      <c r="Z91" s="175" t="str">
        <f t="shared" ca="1" si="269"/>
        <v>Completed</v>
      </c>
      <c r="AA91" s="175" t="str">
        <f t="shared" ca="1" si="270"/>
        <v>Completed</v>
      </c>
      <c r="AB91" s="176" t="str">
        <f t="shared" ca="1" si="271"/>
        <v>Completed</v>
      </c>
    </row>
    <row r="92" spans="1:28" s="64" customFormat="1" ht="11.5" x14ac:dyDescent="0.25">
      <c r="A92" s="70" t="s">
        <v>61</v>
      </c>
      <c r="B92" s="70" t="s">
        <v>62</v>
      </c>
      <c r="C92" s="65" t="s">
        <v>85</v>
      </c>
      <c r="D92" s="73" t="s">
        <v>264</v>
      </c>
      <c r="E92" s="65" t="s">
        <v>92</v>
      </c>
      <c r="F92" s="66">
        <f t="shared" si="274"/>
        <v>1</v>
      </c>
      <c r="G92" s="66">
        <f t="shared" si="275"/>
        <v>1</v>
      </c>
      <c r="H92" s="66">
        <f t="shared" si="273"/>
        <v>1</v>
      </c>
      <c r="I92" s="66">
        <f t="shared" si="276"/>
        <v>0</v>
      </c>
      <c r="J92" s="81">
        <v>0.15</v>
      </c>
      <c r="K92" s="68">
        <v>46157</v>
      </c>
      <c r="L92" s="72">
        <f t="shared" si="6"/>
        <v>46157</v>
      </c>
      <c r="M92" s="72">
        <v>46135</v>
      </c>
      <c r="N92" s="72">
        <f t="shared" si="7"/>
        <v>46199</v>
      </c>
      <c r="O92" s="72">
        <f t="shared" si="8"/>
        <v>46199</v>
      </c>
      <c r="P92" s="72">
        <v>46185</v>
      </c>
      <c r="Q92" s="72">
        <f t="shared" si="9"/>
        <v>46241</v>
      </c>
      <c r="R92" s="72">
        <f t="shared" si="10"/>
        <v>46241</v>
      </c>
      <c r="S92" s="72">
        <v>46185</v>
      </c>
      <c r="T92" s="72">
        <f t="shared" si="11"/>
        <v>46255</v>
      </c>
      <c r="U92" s="72">
        <f t="shared" si="12"/>
        <v>46255</v>
      </c>
      <c r="V92" s="72">
        <v>46192</v>
      </c>
      <c r="W92" s="204"/>
      <c r="Y92" s="175" t="str">
        <f t="shared" ca="1" si="268"/>
        <v>Completed</v>
      </c>
      <c r="Z92" s="175" t="str">
        <f t="shared" ca="1" si="269"/>
        <v>Completed</v>
      </c>
      <c r="AA92" s="175" t="str">
        <f t="shared" ca="1" si="270"/>
        <v>Completed</v>
      </c>
      <c r="AB92" s="176" t="str">
        <f t="shared" ca="1" si="271"/>
        <v>Completed</v>
      </c>
    </row>
    <row r="93" spans="1:28" s="64" customFormat="1" ht="11.5" x14ac:dyDescent="0.25">
      <c r="A93" s="70" t="s">
        <v>61</v>
      </c>
      <c r="B93" s="70" t="s">
        <v>62</v>
      </c>
      <c r="C93" s="65" t="s">
        <v>85</v>
      </c>
      <c r="D93" s="73" t="s">
        <v>265</v>
      </c>
      <c r="E93" s="65" t="s">
        <v>93</v>
      </c>
      <c r="F93" s="66">
        <f t="shared" si="274"/>
        <v>1</v>
      </c>
      <c r="G93" s="66">
        <f t="shared" si="275"/>
        <v>1</v>
      </c>
      <c r="H93" s="66">
        <f t="shared" si="273"/>
        <v>1</v>
      </c>
      <c r="I93" s="66">
        <f t="shared" si="276"/>
        <v>0</v>
      </c>
      <c r="J93" s="81">
        <v>0.15</v>
      </c>
      <c r="K93" s="68">
        <v>46157</v>
      </c>
      <c r="L93" s="72">
        <f t="shared" si="6"/>
        <v>46157</v>
      </c>
      <c r="M93" s="72">
        <v>46135</v>
      </c>
      <c r="N93" s="72">
        <f t="shared" si="7"/>
        <v>46199</v>
      </c>
      <c r="O93" s="72">
        <f t="shared" si="8"/>
        <v>46199</v>
      </c>
      <c r="P93" s="72">
        <v>46185</v>
      </c>
      <c r="Q93" s="72">
        <f t="shared" si="9"/>
        <v>46241</v>
      </c>
      <c r="R93" s="72">
        <f t="shared" si="10"/>
        <v>46241</v>
      </c>
      <c r="S93" s="72">
        <v>46185</v>
      </c>
      <c r="T93" s="72">
        <f t="shared" si="11"/>
        <v>46255</v>
      </c>
      <c r="U93" s="72">
        <f t="shared" si="12"/>
        <v>46255</v>
      </c>
      <c r="V93" s="72">
        <v>46192</v>
      </c>
      <c r="W93" s="204"/>
      <c r="Y93" s="175" t="str">
        <f t="shared" ca="1" si="268"/>
        <v>Completed</v>
      </c>
      <c r="Z93" s="175" t="str">
        <f t="shared" ca="1" si="269"/>
        <v>Completed</v>
      </c>
      <c r="AA93" s="175" t="str">
        <f t="shared" ca="1" si="270"/>
        <v>Completed</v>
      </c>
      <c r="AB93" s="176" t="str">
        <f t="shared" ca="1" si="271"/>
        <v>Completed</v>
      </c>
    </row>
    <row r="94" spans="1:28" s="64" customFormat="1" ht="11.5" x14ac:dyDescent="0.25">
      <c r="A94" s="70" t="s">
        <v>61</v>
      </c>
      <c r="B94" s="70" t="s">
        <v>62</v>
      </c>
      <c r="C94" s="65" t="s">
        <v>85</v>
      </c>
      <c r="D94" s="82" t="s">
        <v>266</v>
      </c>
      <c r="E94" s="65" t="s">
        <v>94</v>
      </c>
      <c r="F94" s="66">
        <f t="shared" si="274"/>
        <v>1</v>
      </c>
      <c r="G94" s="66">
        <f t="shared" si="275"/>
        <v>1</v>
      </c>
      <c r="H94" s="66">
        <f t="shared" si="273"/>
        <v>1</v>
      </c>
      <c r="I94" s="66">
        <f t="shared" si="276"/>
        <v>0</v>
      </c>
      <c r="J94" s="81">
        <v>0.15</v>
      </c>
      <c r="K94" s="68">
        <v>46157</v>
      </c>
      <c r="L94" s="72">
        <f t="shared" si="6"/>
        <v>46157</v>
      </c>
      <c r="M94" s="72">
        <v>46135</v>
      </c>
      <c r="N94" s="72">
        <f t="shared" si="7"/>
        <v>46199</v>
      </c>
      <c r="O94" s="72">
        <f t="shared" si="8"/>
        <v>46199</v>
      </c>
      <c r="P94" s="72">
        <v>46191</v>
      </c>
      <c r="Q94" s="72">
        <f t="shared" si="9"/>
        <v>46241</v>
      </c>
      <c r="R94" s="72">
        <f t="shared" si="10"/>
        <v>46241</v>
      </c>
      <c r="S94" s="72">
        <v>46241</v>
      </c>
      <c r="T94" s="72">
        <f t="shared" si="11"/>
        <v>46255</v>
      </c>
      <c r="U94" s="72">
        <f t="shared" si="12"/>
        <v>46255</v>
      </c>
      <c r="V94" s="76">
        <v>46255</v>
      </c>
      <c r="W94" s="218"/>
      <c r="Y94" s="175" t="str">
        <f t="shared" ca="1" si="268"/>
        <v>Completed</v>
      </c>
      <c r="Z94" s="175" t="str">
        <f t="shared" ca="1" si="269"/>
        <v>Completed</v>
      </c>
      <c r="AA94" s="175" t="str">
        <f t="shared" ca="1" si="270"/>
        <v>Completed</v>
      </c>
      <c r="AB94" s="176" t="str">
        <f t="shared" ca="1" si="271"/>
        <v>Completed</v>
      </c>
    </row>
    <row r="95" spans="1:28" s="64" customFormat="1" ht="11.5" x14ac:dyDescent="0.25">
      <c r="A95" s="70" t="s">
        <v>61</v>
      </c>
      <c r="B95" s="70" t="s">
        <v>62</v>
      </c>
      <c r="C95" s="65" t="s">
        <v>85</v>
      </c>
      <c r="D95" s="82" t="s">
        <v>267</v>
      </c>
      <c r="E95" s="65" t="s">
        <v>95</v>
      </c>
      <c r="F95" s="66">
        <f t="shared" si="274"/>
        <v>1</v>
      </c>
      <c r="G95" s="66">
        <f t="shared" si="275"/>
        <v>1</v>
      </c>
      <c r="H95" s="66">
        <f t="shared" si="273"/>
        <v>1</v>
      </c>
      <c r="I95" s="66">
        <f t="shared" si="276"/>
        <v>0</v>
      </c>
      <c r="J95" s="81">
        <v>0.15</v>
      </c>
      <c r="K95" s="68">
        <v>46157</v>
      </c>
      <c r="L95" s="72">
        <f t="shared" si="6"/>
        <v>46157</v>
      </c>
      <c r="M95" s="72">
        <v>46135</v>
      </c>
      <c r="N95" s="72">
        <f t="shared" si="7"/>
        <v>46199</v>
      </c>
      <c r="O95" s="72">
        <f t="shared" si="8"/>
        <v>46199</v>
      </c>
      <c r="P95" s="72">
        <v>46185</v>
      </c>
      <c r="Q95" s="72">
        <f t="shared" si="9"/>
        <v>46241</v>
      </c>
      <c r="R95" s="72">
        <f t="shared" si="10"/>
        <v>46241</v>
      </c>
      <c r="S95" s="72">
        <v>46185</v>
      </c>
      <c r="T95" s="72">
        <f t="shared" si="11"/>
        <v>46255</v>
      </c>
      <c r="U95" s="72">
        <f t="shared" si="12"/>
        <v>46255</v>
      </c>
      <c r="V95" s="76">
        <v>46198</v>
      </c>
      <c r="W95" s="218"/>
      <c r="Y95" s="175" t="str">
        <f t="shared" ca="1" si="268"/>
        <v>Completed</v>
      </c>
      <c r="Z95" s="175" t="str">
        <f t="shared" ca="1" si="269"/>
        <v>Completed</v>
      </c>
      <c r="AA95" s="175" t="str">
        <f t="shared" ca="1" si="270"/>
        <v>Completed</v>
      </c>
      <c r="AB95" s="176" t="str">
        <f t="shared" ca="1" si="271"/>
        <v>Completed</v>
      </c>
    </row>
    <row r="96" spans="1:28" s="64" customFormat="1" ht="11.5" x14ac:dyDescent="0.25">
      <c r="A96" s="70" t="s">
        <v>61</v>
      </c>
      <c r="B96" s="70" t="s">
        <v>62</v>
      </c>
      <c r="C96" s="65" t="s">
        <v>85</v>
      </c>
      <c r="D96" s="73" t="s">
        <v>268</v>
      </c>
      <c r="E96" s="65" t="s">
        <v>96</v>
      </c>
      <c r="F96" s="66">
        <f t="shared" si="274"/>
        <v>1</v>
      </c>
      <c r="G96" s="66">
        <f t="shared" si="275"/>
        <v>1</v>
      </c>
      <c r="H96" s="66">
        <f t="shared" si="273"/>
        <v>1</v>
      </c>
      <c r="I96" s="66">
        <f t="shared" si="276"/>
        <v>0</v>
      </c>
      <c r="J96" s="81">
        <v>0.15</v>
      </c>
      <c r="K96" s="68">
        <v>46157</v>
      </c>
      <c r="L96" s="72">
        <f t="shared" si="6"/>
        <v>46157</v>
      </c>
      <c r="M96" s="72">
        <v>46135</v>
      </c>
      <c r="N96" s="72">
        <f t="shared" si="7"/>
        <v>46199</v>
      </c>
      <c r="O96" s="72">
        <f t="shared" si="8"/>
        <v>46199</v>
      </c>
      <c r="P96" s="72">
        <v>46191</v>
      </c>
      <c r="Q96" s="72">
        <f t="shared" si="9"/>
        <v>46241</v>
      </c>
      <c r="R96" s="72">
        <f t="shared" si="10"/>
        <v>46241</v>
      </c>
      <c r="S96" s="72">
        <v>46241</v>
      </c>
      <c r="T96" s="72">
        <f t="shared" si="11"/>
        <v>46255</v>
      </c>
      <c r="U96" s="72">
        <f t="shared" si="12"/>
        <v>46255</v>
      </c>
      <c r="V96" s="76">
        <v>46255</v>
      </c>
      <c r="W96" s="218"/>
      <c r="Y96" s="175" t="str">
        <f t="shared" ca="1" si="268"/>
        <v>Completed</v>
      </c>
      <c r="Z96" s="175" t="str">
        <f t="shared" ca="1" si="269"/>
        <v>Completed</v>
      </c>
      <c r="AA96" s="175" t="str">
        <f t="shared" ca="1" si="270"/>
        <v>Completed</v>
      </c>
      <c r="AB96" s="176" t="str">
        <f t="shared" ca="1" si="271"/>
        <v>Completed</v>
      </c>
    </row>
    <row r="97" spans="1:28" s="64" customFormat="1" ht="11.5" x14ac:dyDescent="0.25">
      <c r="A97" s="70" t="s">
        <v>61</v>
      </c>
      <c r="B97" s="70" t="s">
        <v>62</v>
      </c>
      <c r="C97" s="65" t="s">
        <v>85</v>
      </c>
      <c r="D97" s="73" t="s">
        <v>269</v>
      </c>
      <c r="E97" s="65" t="s">
        <v>97</v>
      </c>
      <c r="F97" s="66">
        <f t="shared" si="274"/>
        <v>1</v>
      </c>
      <c r="G97" s="66">
        <f t="shared" si="275"/>
        <v>1</v>
      </c>
      <c r="H97" s="66">
        <f t="shared" si="273"/>
        <v>0.79999999999999993</v>
      </c>
      <c r="I97" s="66">
        <f t="shared" si="276"/>
        <v>-0.20000000000000007</v>
      </c>
      <c r="J97" s="81">
        <v>0.15</v>
      </c>
      <c r="K97" s="68">
        <v>46157</v>
      </c>
      <c r="L97" s="72">
        <f t="shared" si="6"/>
        <v>46157</v>
      </c>
      <c r="M97" s="72">
        <v>46135</v>
      </c>
      <c r="N97" s="72">
        <f t="shared" si="7"/>
        <v>46199</v>
      </c>
      <c r="O97" s="72">
        <f t="shared" si="8"/>
        <v>46199</v>
      </c>
      <c r="P97" s="72">
        <v>46191</v>
      </c>
      <c r="Q97" s="72">
        <f t="shared" si="9"/>
        <v>46241</v>
      </c>
      <c r="R97" s="72">
        <f t="shared" si="10"/>
        <v>46241</v>
      </c>
      <c r="S97" s="72">
        <v>46241</v>
      </c>
      <c r="T97" s="72">
        <f t="shared" si="11"/>
        <v>46255</v>
      </c>
      <c r="U97" s="72">
        <f t="shared" si="12"/>
        <v>46255</v>
      </c>
      <c r="V97" s="76"/>
      <c r="W97" s="218"/>
      <c r="Y97" s="175" t="str">
        <f t="shared" ca="1" si="268"/>
        <v>Completed</v>
      </c>
      <c r="Z97" s="175" t="str">
        <f t="shared" ca="1" si="269"/>
        <v>Completed</v>
      </c>
      <c r="AA97" s="175" t="str">
        <f t="shared" ca="1" si="270"/>
        <v>Completed</v>
      </c>
      <c r="AB97" s="176" t="str">
        <f t="shared" ca="1" si="271"/>
        <v>Overdue</v>
      </c>
    </row>
    <row r="98" spans="1:28" s="64" customFormat="1" ht="11.5" x14ac:dyDescent="0.25">
      <c r="A98" s="70" t="s">
        <v>61</v>
      </c>
      <c r="B98" s="70" t="s">
        <v>62</v>
      </c>
      <c r="C98" s="65" t="s">
        <v>85</v>
      </c>
      <c r="D98" s="82" t="s">
        <v>270</v>
      </c>
      <c r="E98" s="65" t="s">
        <v>98</v>
      </c>
      <c r="F98" s="66">
        <f t="shared" si="274"/>
        <v>1</v>
      </c>
      <c r="G98" s="66">
        <f t="shared" si="275"/>
        <v>1</v>
      </c>
      <c r="H98" s="66">
        <f t="shared" si="273"/>
        <v>1</v>
      </c>
      <c r="I98" s="66">
        <f t="shared" si="276"/>
        <v>0</v>
      </c>
      <c r="J98" s="81">
        <v>0.15</v>
      </c>
      <c r="K98" s="68">
        <v>46157</v>
      </c>
      <c r="L98" s="72">
        <f t="shared" si="6"/>
        <v>46157</v>
      </c>
      <c r="M98" s="72">
        <v>46135</v>
      </c>
      <c r="N98" s="72">
        <f t="shared" si="7"/>
        <v>46199</v>
      </c>
      <c r="O98" s="72">
        <f t="shared" si="8"/>
        <v>46199</v>
      </c>
      <c r="P98" s="72">
        <v>46241</v>
      </c>
      <c r="Q98" s="72">
        <f t="shared" si="9"/>
        <v>46241</v>
      </c>
      <c r="R98" s="72">
        <f t="shared" si="10"/>
        <v>46241</v>
      </c>
      <c r="S98" s="72">
        <v>46255</v>
      </c>
      <c r="T98" s="72">
        <f t="shared" si="11"/>
        <v>46255</v>
      </c>
      <c r="U98" s="72">
        <f t="shared" si="12"/>
        <v>46255</v>
      </c>
      <c r="V98" s="76">
        <v>46255</v>
      </c>
      <c r="W98" s="218"/>
      <c r="Y98" s="175" t="str">
        <f t="shared" ca="1" si="268"/>
        <v>Completed</v>
      </c>
      <c r="Z98" s="175" t="str">
        <f t="shared" ca="1" si="269"/>
        <v>Completed</v>
      </c>
      <c r="AA98" s="175" t="str">
        <f t="shared" ca="1" si="270"/>
        <v>Completed</v>
      </c>
      <c r="AB98" s="176" t="str">
        <f t="shared" ca="1" si="271"/>
        <v>Completed</v>
      </c>
    </row>
    <row r="99" spans="1:28" s="64" customFormat="1" ht="11" customHeight="1" x14ac:dyDescent="0.25">
      <c r="A99" s="70" t="s">
        <v>61</v>
      </c>
      <c r="B99" s="70" t="s">
        <v>62</v>
      </c>
      <c r="C99" s="65" t="s">
        <v>85</v>
      </c>
      <c r="D99" s="82" t="s">
        <v>271</v>
      </c>
      <c r="E99" s="65" t="s">
        <v>99</v>
      </c>
      <c r="F99" s="66">
        <f t="shared" si="274"/>
        <v>1</v>
      </c>
      <c r="G99" s="66">
        <f t="shared" si="275"/>
        <v>1</v>
      </c>
      <c r="H99" s="66">
        <f t="shared" si="273"/>
        <v>1</v>
      </c>
      <c r="I99" s="66">
        <f t="shared" si="276"/>
        <v>0</v>
      </c>
      <c r="J99" s="81">
        <v>0.15</v>
      </c>
      <c r="K99" s="68">
        <v>46157</v>
      </c>
      <c r="L99" s="72">
        <f t="shared" si="6"/>
        <v>46157</v>
      </c>
      <c r="M99" s="72">
        <v>46135</v>
      </c>
      <c r="N99" s="72">
        <f t="shared" si="7"/>
        <v>46199</v>
      </c>
      <c r="O99" s="72">
        <f t="shared" si="8"/>
        <v>46199</v>
      </c>
      <c r="P99" s="72">
        <v>46185</v>
      </c>
      <c r="Q99" s="72">
        <f t="shared" si="9"/>
        <v>46241</v>
      </c>
      <c r="R99" s="72">
        <f t="shared" si="10"/>
        <v>46241</v>
      </c>
      <c r="S99" s="72">
        <v>46185</v>
      </c>
      <c r="T99" s="72">
        <f t="shared" si="11"/>
        <v>46255</v>
      </c>
      <c r="U99" s="72">
        <f t="shared" si="12"/>
        <v>46255</v>
      </c>
      <c r="V99" s="72">
        <v>46192</v>
      </c>
      <c r="W99" s="204"/>
      <c r="Y99" s="175" t="str">
        <f t="shared" ca="1" si="268"/>
        <v>Completed</v>
      </c>
      <c r="Z99" s="175" t="str">
        <f t="shared" ca="1" si="269"/>
        <v>Completed</v>
      </c>
      <c r="AA99" s="175" t="str">
        <f t="shared" ca="1" si="270"/>
        <v>Completed</v>
      </c>
      <c r="AB99" s="176" t="str">
        <f t="shared" ca="1" si="271"/>
        <v>Completed</v>
      </c>
    </row>
    <row r="100" spans="1:28" s="64" customFormat="1" ht="11" customHeight="1" x14ac:dyDescent="0.25">
      <c r="A100" s="70" t="s">
        <v>61</v>
      </c>
      <c r="B100" s="70" t="s">
        <v>62</v>
      </c>
      <c r="C100" s="65" t="s">
        <v>85</v>
      </c>
      <c r="D100" s="73" t="s">
        <v>272</v>
      </c>
      <c r="E100" s="65" t="s">
        <v>100</v>
      </c>
      <c r="F100" s="66">
        <f t="shared" si="274"/>
        <v>1</v>
      </c>
      <c r="G100" s="66">
        <f t="shared" si="275"/>
        <v>1</v>
      </c>
      <c r="H100" s="66">
        <f t="shared" si="273"/>
        <v>1</v>
      </c>
      <c r="I100" s="66">
        <f t="shared" si="276"/>
        <v>0</v>
      </c>
      <c r="J100" s="81">
        <v>0.15</v>
      </c>
      <c r="K100" s="68">
        <v>46157</v>
      </c>
      <c r="L100" s="72">
        <f t="shared" si="6"/>
        <v>46157</v>
      </c>
      <c r="M100" s="72">
        <v>46135</v>
      </c>
      <c r="N100" s="72">
        <f t="shared" si="7"/>
        <v>46199</v>
      </c>
      <c r="O100" s="72">
        <f t="shared" si="8"/>
        <v>46199</v>
      </c>
      <c r="P100" s="72">
        <v>46185</v>
      </c>
      <c r="Q100" s="72">
        <f t="shared" si="9"/>
        <v>46241</v>
      </c>
      <c r="R100" s="72">
        <f t="shared" si="10"/>
        <v>46241</v>
      </c>
      <c r="S100" s="72">
        <v>46185</v>
      </c>
      <c r="T100" s="72">
        <f t="shared" si="11"/>
        <v>46255</v>
      </c>
      <c r="U100" s="72">
        <f t="shared" si="12"/>
        <v>46255</v>
      </c>
      <c r="V100" s="76">
        <v>46198</v>
      </c>
      <c r="W100" s="218"/>
      <c r="Y100" s="175" t="str">
        <f t="shared" ca="1" si="268"/>
        <v>Completed</v>
      </c>
      <c r="Z100" s="175" t="str">
        <f t="shared" ca="1" si="269"/>
        <v>Completed</v>
      </c>
      <c r="AA100" s="175" t="str">
        <f t="shared" ca="1" si="270"/>
        <v>Completed</v>
      </c>
      <c r="AB100" s="176" t="str">
        <f t="shared" ca="1" si="271"/>
        <v>Completed</v>
      </c>
    </row>
    <row r="101" spans="1:28" s="64" customFormat="1" ht="11" customHeight="1" x14ac:dyDescent="0.25">
      <c r="A101" s="70" t="s">
        <v>61</v>
      </c>
      <c r="B101" s="70" t="s">
        <v>62</v>
      </c>
      <c r="C101" s="65" t="s">
        <v>85</v>
      </c>
      <c r="D101" s="73" t="s">
        <v>273</v>
      </c>
      <c r="E101" s="65" t="s">
        <v>101</v>
      </c>
      <c r="F101" s="66">
        <f t="shared" si="274"/>
        <v>1</v>
      </c>
      <c r="G101" s="66">
        <f t="shared" si="275"/>
        <v>1</v>
      </c>
      <c r="H101" s="66">
        <f t="shared" si="273"/>
        <v>0.7</v>
      </c>
      <c r="I101" s="66">
        <f t="shared" si="276"/>
        <v>-0.30000000000000004</v>
      </c>
      <c r="J101" s="81">
        <v>0.15</v>
      </c>
      <c r="K101" s="68">
        <v>46157</v>
      </c>
      <c r="L101" s="72">
        <f t="shared" si="6"/>
        <v>46157</v>
      </c>
      <c r="M101" s="72">
        <v>46135</v>
      </c>
      <c r="N101" s="72">
        <f t="shared" si="7"/>
        <v>46199</v>
      </c>
      <c r="O101" s="72">
        <f t="shared" si="8"/>
        <v>46199</v>
      </c>
      <c r="P101" s="72">
        <v>46241</v>
      </c>
      <c r="Q101" s="72">
        <f t="shared" si="9"/>
        <v>46241</v>
      </c>
      <c r="R101" s="72">
        <f t="shared" si="10"/>
        <v>46241</v>
      </c>
      <c r="S101" s="72"/>
      <c r="T101" s="72">
        <f t="shared" si="11"/>
        <v>46255</v>
      </c>
      <c r="U101" s="72">
        <f t="shared" si="12"/>
        <v>46255</v>
      </c>
      <c r="V101" s="76"/>
      <c r="W101" s="218"/>
      <c r="Y101" s="175" t="str">
        <f t="shared" ca="1" si="268"/>
        <v>Completed</v>
      </c>
      <c r="Z101" s="175" t="str">
        <f t="shared" ca="1" si="269"/>
        <v>Completed</v>
      </c>
      <c r="AA101" s="175" t="str">
        <f t="shared" ca="1" si="270"/>
        <v>Overdue</v>
      </c>
      <c r="AB101" s="176" t="str">
        <f t="shared" ca="1" si="271"/>
        <v>Overdue</v>
      </c>
    </row>
    <row r="102" spans="1:28" s="64" customFormat="1" ht="11.5" x14ac:dyDescent="0.25">
      <c r="A102" s="70" t="s">
        <v>61</v>
      </c>
      <c r="B102" s="70" t="s">
        <v>62</v>
      </c>
      <c r="C102" s="70" t="s">
        <v>85</v>
      </c>
      <c r="D102" s="75" t="s">
        <v>274</v>
      </c>
      <c r="E102" s="75" t="s">
        <v>102</v>
      </c>
      <c r="F102" s="116">
        <f t="shared" ref="F102:G117" si="277">(COUNTIFS(K102,"&lt;="&amp;$D$1)*50%)+(COUNTIFS(N102,"&lt;="&amp;$D$1)*20%)+(COUNTIFS(Q102,"&lt;="&amp;$D$1)*10%)+(COUNTIFS(T102,"&lt;="&amp;$D$1)*20%)</f>
        <v>1</v>
      </c>
      <c r="G102" s="116">
        <f>(COUNTIFS(L102,"&lt;="&amp;$D$1)*50%)+(COUNTIFS(O102,"&lt;="&amp;$D$1)*20%)+(COUNTIFS(R102,"&lt;="&amp;$D$1)*10%)+(COUNTIFS(U102,"&lt;="&amp;$D$1)*20%)</f>
        <v>1</v>
      </c>
      <c r="H102" s="116">
        <f t="shared" si="273"/>
        <v>0.7</v>
      </c>
      <c r="I102" s="116">
        <f t="shared" ref="I102:I162" si="278">H102-F102</f>
        <v>-0.30000000000000004</v>
      </c>
      <c r="J102" s="81">
        <v>0.15</v>
      </c>
      <c r="K102" s="68">
        <v>46157</v>
      </c>
      <c r="L102" s="72">
        <f t="shared" si="6"/>
        <v>46157</v>
      </c>
      <c r="M102" s="72">
        <v>46135</v>
      </c>
      <c r="N102" s="72">
        <f t="shared" si="7"/>
        <v>46199</v>
      </c>
      <c r="O102" s="72">
        <f t="shared" si="8"/>
        <v>46199</v>
      </c>
      <c r="P102" s="72">
        <v>46241</v>
      </c>
      <c r="Q102" s="72">
        <f t="shared" si="9"/>
        <v>46241</v>
      </c>
      <c r="R102" s="72">
        <f t="shared" si="10"/>
        <v>46241</v>
      </c>
      <c r="S102" s="74"/>
      <c r="T102" s="72">
        <f t="shared" si="11"/>
        <v>46255</v>
      </c>
      <c r="U102" s="72">
        <f t="shared" si="12"/>
        <v>46255</v>
      </c>
      <c r="V102" s="72"/>
      <c r="W102" s="204"/>
      <c r="Y102" s="175" t="str">
        <f t="shared" ca="1" si="268"/>
        <v>Completed</v>
      </c>
      <c r="Z102" s="175" t="str">
        <f t="shared" ca="1" si="269"/>
        <v>Completed</v>
      </c>
      <c r="AA102" s="175" t="str">
        <f t="shared" ca="1" si="270"/>
        <v>Overdue</v>
      </c>
      <c r="AB102" s="176" t="str">
        <f t="shared" ca="1" si="271"/>
        <v>Overdue</v>
      </c>
    </row>
    <row r="103" spans="1:28" s="64" customFormat="1" ht="11.5" x14ac:dyDescent="0.25">
      <c r="A103" s="70" t="s">
        <v>61</v>
      </c>
      <c r="B103" s="70" t="s">
        <v>62</v>
      </c>
      <c r="C103" s="70" t="s">
        <v>85</v>
      </c>
      <c r="D103" s="75" t="s">
        <v>275</v>
      </c>
      <c r="E103" s="75" t="s">
        <v>103</v>
      </c>
      <c r="F103" s="116">
        <f t="shared" si="277"/>
        <v>1</v>
      </c>
      <c r="G103" s="116">
        <f t="shared" si="277"/>
        <v>1</v>
      </c>
      <c r="H103" s="116">
        <f t="shared" si="273"/>
        <v>1</v>
      </c>
      <c r="I103" s="116">
        <f t="shared" si="278"/>
        <v>0</v>
      </c>
      <c r="J103" s="81">
        <v>0.15</v>
      </c>
      <c r="K103" s="68">
        <v>46157</v>
      </c>
      <c r="L103" s="72">
        <f t="shared" ref="L103:L175" si="279">K103</f>
        <v>46157</v>
      </c>
      <c r="M103" s="72">
        <v>46135</v>
      </c>
      <c r="N103" s="72">
        <f t="shared" ref="N103:N175" si="280">K103+42</f>
        <v>46199</v>
      </c>
      <c r="O103" s="72">
        <f t="shared" ref="O103:O175" si="281">N103</f>
        <v>46199</v>
      </c>
      <c r="P103" s="72">
        <v>46185</v>
      </c>
      <c r="Q103" s="72">
        <f t="shared" ref="Q103:Q175" si="282">N103+42</f>
        <v>46241</v>
      </c>
      <c r="R103" s="72">
        <f t="shared" ref="R103:R175" si="283">Q103</f>
        <v>46241</v>
      </c>
      <c r="S103" s="72">
        <v>46185</v>
      </c>
      <c r="T103" s="72">
        <f t="shared" ref="T103:T175" si="284">Q103+14</f>
        <v>46255</v>
      </c>
      <c r="U103" s="72">
        <f t="shared" ref="U103:U175" si="285">T103</f>
        <v>46255</v>
      </c>
      <c r="V103" s="76">
        <v>46198</v>
      </c>
      <c r="W103" s="218"/>
      <c r="Y103" s="175" t="str">
        <f t="shared" ca="1" si="268"/>
        <v>Completed</v>
      </c>
      <c r="Z103" s="175" t="str">
        <f t="shared" ca="1" si="269"/>
        <v>Completed</v>
      </c>
      <c r="AA103" s="175" t="str">
        <f t="shared" ca="1" si="270"/>
        <v>Completed</v>
      </c>
      <c r="AB103" s="176" t="str">
        <f t="shared" ca="1" si="271"/>
        <v>Completed</v>
      </c>
    </row>
    <row r="104" spans="1:28" s="64" customFormat="1" ht="11.5" x14ac:dyDescent="0.25">
      <c r="A104" s="70" t="s">
        <v>61</v>
      </c>
      <c r="B104" s="70" t="s">
        <v>62</v>
      </c>
      <c r="C104" s="70" t="s">
        <v>85</v>
      </c>
      <c r="D104" s="75" t="s">
        <v>276</v>
      </c>
      <c r="E104" s="75" t="s">
        <v>104</v>
      </c>
      <c r="F104" s="116">
        <f t="shared" si="277"/>
        <v>1</v>
      </c>
      <c r="G104" s="116">
        <f t="shared" si="277"/>
        <v>1</v>
      </c>
      <c r="H104" s="116">
        <f t="shared" si="273"/>
        <v>1</v>
      </c>
      <c r="I104" s="116">
        <f t="shared" si="278"/>
        <v>0</v>
      </c>
      <c r="J104" s="81">
        <v>0.15</v>
      </c>
      <c r="K104" s="68">
        <v>46157</v>
      </c>
      <c r="L104" s="72">
        <f t="shared" si="279"/>
        <v>46157</v>
      </c>
      <c r="M104" s="72">
        <v>46135</v>
      </c>
      <c r="N104" s="72">
        <f t="shared" si="280"/>
        <v>46199</v>
      </c>
      <c r="O104" s="72">
        <f t="shared" si="281"/>
        <v>46199</v>
      </c>
      <c r="P104" s="72">
        <v>46185</v>
      </c>
      <c r="Q104" s="72">
        <f t="shared" si="282"/>
        <v>46241</v>
      </c>
      <c r="R104" s="72">
        <f t="shared" si="283"/>
        <v>46241</v>
      </c>
      <c r="S104" s="72">
        <v>46185</v>
      </c>
      <c r="T104" s="72">
        <f t="shared" si="284"/>
        <v>46255</v>
      </c>
      <c r="U104" s="72">
        <f t="shared" si="285"/>
        <v>46255</v>
      </c>
      <c r="V104" s="76">
        <v>46198</v>
      </c>
      <c r="W104" s="218"/>
      <c r="Y104" s="175" t="str">
        <f t="shared" ca="1" si="268"/>
        <v>Completed</v>
      </c>
      <c r="Z104" s="175" t="str">
        <f t="shared" ca="1" si="269"/>
        <v>Completed</v>
      </c>
      <c r="AA104" s="175" t="str">
        <f t="shared" ca="1" si="270"/>
        <v>Completed</v>
      </c>
      <c r="AB104" s="176" t="str">
        <f t="shared" ca="1" si="271"/>
        <v>Completed</v>
      </c>
    </row>
    <row r="105" spans="1:28" s="64" customFormat="1" ht="11.5" x14ac:dyDescent="0.25">
      <c r="A105" s="70" t="s">
        <v>61</v>
      </c>
      <c r="B105" s="70" t="s">
        <v>62</v>
      </c>
      <c r="C105" s="70" t="s">
        <v>85</v>
      </c>
      <c r="D105" s="75" t="s">
        <v>448</v>
      </c>
      <c r="E105" s="75" t="s">
        <v>449</v>
      </c>
      <c r="F105" s="116">
        <f t="shared" si="277"/>
        <v>1</v>
      </c>
      <c r="G105" s="116">
        <f t="shared" si="277"/>
        <v>1</v>
      </c>
      <c r="H105" s="116">
        <f t="shared" si="273"/>
        <v>1</v>
      </c>
      <c r="I105" s="116">
        <f t="shared" si="278"/>
        <v>0</v>
      </c>
      <c r="J105" s="81">
        <v>0.15</v>
      </c>
      <c r="K105" s="68">
        <v>46157</v>
      </c>
      <c r="L105" s="72">
        <f t="shared" si="279"/>
        <v>46157</v>
      </c>
      <c r="M105" s="72">
        <v>46135</v>
      </c>
      <c r="N105" s="72">
        <f t="shared" si="280"/>
        <v>46199</v>
      </c>
      <c r="O105" s="72">
        <f t="shared" si="281"/>
        <v>46199</v>
      </c>
      <c r="P105" s="72">
        <v>46185</v>
      </c>
      <c r="Q105" s="72">
        <f t="shared" si="282"/>
        <v>46241</v>
      </c>
      <c r="R105" s="72">
        <f t="shared" si="283"/>
        <v>46241</v>
      </c>
      <c r="S105" s="72">
        <v>46185</v>
      </c>
      <c r="T105" s="72">
        <f t="shared" si="284"/>
        <v>46255</v>
      </c>
      <c r="U105" s="72">
        <f t="shared" si="285"/>
        <v>46255</v>
      </c>
      <c r="V105" s="72">
        <v>46192</v>
      </c>
      <c r="W105" s="204"/>
      <c r="Y105" s="175" t="str">
        <f t="shared" ref="Y105:Y136" ca="1" si="286">IF(OR(M105&lt;&gt;""),"Completed",
IF(L105="","",IF(L105&lt;TODAY(),"Overdue",
IF(AND(L105&gt;=TODAY()-WEEKDAY(TODAY(),2)+1,L105&lt;=TODAY()-WEEKDAY(TODAY(),2)+7),"Follow-This Week",
IF(AND(L105&gt;=TODAY()-WEEKDAY(TODAY(),2)+8,L105&lt;=TODAY()-WEEKDAY(TODAY(),2)+14),"Follow-Next Week","")))))</f>
        <v>Completed</v>
      </c>
      <c r="Z105" s="175" t="str">
        <f t="shared" ref="Z105:Z136" ca="1" si="287">IF(OR(P105&lt;&gt;""),"Completed",IF(O105="","",
IF(O105&lt;TODAY(),"Overdue",
IF(AND(O105&gt;=TODAY()-WEEKDAY(TODAY(),2)+1,O105&lt;=TODAY()-WEEKDAY(TODAY(),2)+7),"Follow-This Week",
IF(AND(O105&gt;=TODAY()-WEEKDAY(TODAY(),2)+8,O105&lt;=TODAY()-WEEKDAY(TODAY(),2)+14),"Follow-Next Week","")))))</f>
        <v>Completed</v>
      </c>
      <c r="AA105" s="175" t="str">
        <f t="shared" ref="AA105:AA136" ca="1" si="288">IF(OR(S105&lt;&gt;""),"Completed",IF(R105="","",
IF(R105&lt;TODAY(),"Overdue",
IF(AND(R105&gt;=TODAY()-WEEKDAY(TODAY(),2)+1,R105&lt;=TODAY()-WEEKDAY(TODAY(),2)+7),"Follow-This Week",
IF(AND(R105&gt;=TODAY()-WEEKDAY(TODAY(),2)+8,R105&lt;=TODAY()-WEEKDAY(TODAY(),2)+14),"Follow-Next Week","")))))</f>
        <v>Completed</v>
      </c>
      <c r="AB105" s="176" t="str">
        <f t="shared" ref="AB105:AB136" ca="1" si="289">IF(OR(V105&lt;&gt;""),"Completed",IF(U105="","",
IF(U105&lt;TODAY(),"Overdue",
IF(AND(U105&gt;=TODAY()-WEEKDAY(TODAY(),2)+1,U105&lt;=TODAY()-WEEKDAY(TODAY(),2)+7),"Follow-This Week",
IF(AND(U105&gt;=TODAY()-WEEKDAY(TODAY(),2)+8,U105&lt;=TODAY()-WEEKDAY(TODAY(),2)+14),"Follow-Next Week","")))))</f>
        <v>Completed</v>
      </c>
    </row>
    <row r="106" spans="1:28" s="64" customFormat="1" ht="11.5" x14ac:dyDescent="0.25">
      <c r="A106" s="70" t="s">
        <v>61</v>
      </c>
      <c r="B106" s="70" t="s">
        <v>62</v>
      </c>
      <c r="C106" s="70" t="s">
        <v>85</v>
      </c>
      <c r="D106" s="75" t="s">
        <v>277</v>
      </c>
      <c r="E106" s="75" t="s">
        <v>105</v>
      </c>
      <c r="F106" s="116">
        <f t="shared" si="277"/>
        <v>0.7</v>
      </c>
      <c r="G106" s="116">
        <f t="shared" si="277"/>
        <v>0.7</v>
      </c>
      <c r="H106" s="116">
        <f t="shared" si="273"/>
        <v>0.5</v>
      </c>
      <c r="I106" s="116">
        <f t="shared" si="278"/>
        <v>-0.19999999999999996</v>
      </c>
      <c r="J106" s="81">
        <v>0.05</v>
      </c>
      <c r="K106" s="72">
        <v>46234</v>
      </c>
      <c r="L106" s="72">
        <f t="shared" si="279"/>
        <v>46234</v>
      </c>
      <c r="M106" s="72">
        <v>46248</v>
      </c>
      <c r="N106" s="72">
        <f t="shared" si="280"/>
        <v>46276</v>
      </c>
      <c r="O106" s="72">
        <f t="shared" si="281"/>
        <v>46276</v>
      </c>
      <c r="P106" s="74"/>
      <c r="Q106" s="72">
        <f t="shared" si="282"/>
        <v>46318</v>
      </c>
      <c r="R106" s="72">
        <f t="shared" si="283"/>
        <v>46318</v>
      </c>
      <c r="S106" s="74"/>
      <c r="T106" s="72">
        <f t="shared" si="284"/>
        <v>46332</v>
      </c>
      <c r="U106" s="72">
        <f t="shared" si="285"/>
        <v>46332</v>
      </c>
      <c r="V106" s="72"/>
      <c r="W106" s="204"/>
      <c r="Y106" s="175" t="str">
        <f t="shared" ca="1" si="286"/>
        <v>Completed</v>
      </c>
      <c r="Z106" s="175" t="str">
        <f t="shared" ca="1" si="287"/>
        <v>Overdue</v>
      </c>
      <c r="AA106" s="175" t="str">
        <f t="shared" ca="1" si="288"/>
        <v/>
      </c>
      <c r="AB106" s="176" t="str">
        <f t="shared" ca="1" si="289"/>
        <v/>
      </c>
    </row>
    <row r="107" spans="1:28" s="64" customFormat="1" ht="11.5" x14ac:dyDescent="0.25">
      <c r="A107" s="70" t="s">
        <v>61</v>
      </c>
      <c r="B107" s="70" t="s">
        <v>62</v>
      </c>
      <c r="C107" s="70" t="s">
        <v>85</v>
      </c>
      <c r="D107" s="75" t="s">
        <v>278</v>
      </c>
      <c r="E107" s="75" t="s">
        <v>106</v>
      </c>
      <c r="F107" s="116">
        <f t="shared" si="277"/>
        <v>0.7</v>
      </c>
      <c r="G107" s="116">
        <f t="shared" si="277"/>
        <v>0.7</v>
      </c>
      <c r="H107" s="116">
        <f t="shared" si="273"/>
        <v>0.5</v>
      </c>
      <c r="I107" s="116">
        <f t="shared" si="278"/>
        <v>-0.19999999999999996</v>
      </c>
      <c r="J107" s="81">
        <v>0.05</v>
      </c>
      <c r="K107" s="72">
        <v>46234</v>
      </c>
      <c r="L107" s="72">
        <f t="shared" si="279"/>
        <v>46234</v>
      </c>
      <c r="M107" s="72">
        <v>46248</v>
      </c>
      <c r="N107" s="72">
        <f t="shared" si="280"/>
        <v>46276</v>
      </c>
      <c r="O107" s="72">
        <f t="shared" si="281"/>
        <v>46276</v>
      </c>
      <c r="P107" s="74"/>
      <c r="Q107" s="72">
        <f t="shared" si="282"/>
        <v>46318</v>
      </c>
      <c r="R107" s="72">
        <f t="shared" si="283"/>
        <v>46318</v>
      </c>
      <c r="S107" s="74"/>
      <c r="T107" s="72">
        <f t="shared" si="284"/>
        <v>46332</v>
      </c>
      <c r="U107" s="72">
        <f t="shared" si="285"/>
        <v>46332</v>
      </c>
      <c r="V107" s="72"/>
      <c r="W107" s="204"/>
      <c r="Y107" s="175" t="str">
        <f t="shared" ca="1" si="286"/>
        <v>Completed</v>
      </c>
      <c r="Z107" s="175" t="str">
        <f t="shared" ca="1" si="287"/>
        <v>Overdue</v>
      </c>
      <c r="AA107" s="175" t="str">
        <f t="shared" ca="1" si="288"/>
        <v/>
      </c>
      <c r="AB107" s="176" t="str">
        <f t="shared" ca="1" si="289"/>
        <v/>
      </c>
    </row>
    <row r="108" spans="1:28" s="64" customFormat="1" ht="11.5" x14ac:dyDescent="0.25">
      <c r="A108" s="70" t="s">
        <v>61</v>
      </c>
      <c r="B108" s="70" t="s">
        <v>62</v>
      </c>
      <c r="C108" s="70" t="s">
        <v>85</v>
      </c>
      <c r="D108" s="75" t="s">
        <v>395</v>
      </c>
      <c r="E108" s="75" t="s">
        <v>396</v>
      </c>
      <c r="F108" s="116">
        <f t="shared" ref="F108" si="290">(COUNTIFS(K108,"&lt;="&amp;$D$1)*50%)+(COUNTIFS(N108,"&lt;="&amp;$D$1)*20%)+(COUNTIFS(Q108,"&lt;="&amp;$D$1)*10%)+(COUNTIFS(T108,"&lt;="&amp;$D$1)*20%)</f>
        <v>0.7</v>
      </c>
      <c r="G108" s="116">
        <f t="shared" ref="G108" si="291">(COUNTIFS(L108,"&lt;="&amp;$D$1)*50%)+(COUNTIFS(O108,"&lt;="&amp;$D$1)*20%)+(COUNTIFS(R108,"&lt;="&amp;$D$1)*10%)+(COUNTIFS(U108,"&lt;="&amp;$D$1)*20%)</f>
        <v>0.7</v>
      </c>
      <c r="H108" s="116">
        <f t="shared" si="273"/>
        <v>0.5</v>
      </c>
      <c r="I108" s="116">
        <f t="shared" ref="I108" si="292">H108-F108</f>
        <v>-0.19999999999999996</v>
      </c>
      <c r="J108" s="81">
        <v>0.05</v>
      </c>
      <c r="K108" s="72">
        <v>46234</v>
      </c>
      <c r="L108" s="72">
        <f t="shared" ref="L108" si="293">K108</f>
        <v>46234</v>
      </c>
      <c r="M108" s="72">
        <v>46248</v>
      </c>
      <c r="N108" s="72">
        <f t="shared" ref="N108" si="294">K108+42</f>
        <v>46276</v>
      </c>
      <c r="O108" s="72">
        <f t="shared" ref="O108" si="295">N108</f>
        <v>46276</v>
      </c>
      <c r="P108" s="74"/>
      <c r="Q108" s="72">
        <f t="shared" ref="Q108" si="296">N108+42</f>
        <v>46318</v>
      </c>
      <c r="R108" s="72">
        <f t="shared" ref="R108" si="297">Q108</f>
        <v>46318</v>
      </c>
      <c r="S108" s="74"/>
      <c r="T108" s="72">
        <f t="shared" ref="T108" si="298">Q108+14</f>
        <v>46332</v>
      </c>
      <c r="U108" s="72">
        <f t="shared" ref="U108" si="299">T108</f>
        <v>46332</v>
      </c>
      <c r="V108" s="72"/>
      <c r="W108" s="204"/>
      <c r="Y108" s="175" t="str">
        <f t="shared" ca="1" si="286"/>
        <v>Completed</v>
      </c>
      <c r="Z108" s="175" t="str">
        <f t="shared" ca="1" si="287"/>
        <v>Overdue</v>
      </c>
      <c r="AA108" s="175" t="str">
        <f t="shared" ca="1" si="288"/>
        <v/>
      </c>
      <c r="AB108" s="176" t="str">
        <f t="shared" ca="1" si="289"/>
        <v/>
      </c>
    </row>
    <row r="109" spans="1:28" s="64" customFormat="1" ht="11.5" x14ac:dyDescent="0.25">
      <c r="A109" s="70" t="s">
        <v>61</v>
      </c>
      <c r="B109" s="70" t="s">
        <v>62</v>
      </c>
      <c r="C109" s="70" t="s">
        <v>85</v>
      </c>
      <c r="D109" s="75" t="s">
        <v>279</v>
      </c>
      <c r="E109" s="75" t="s">
        <v>107</v>
      </c>
      <c r="F109" s="116">
        <f t="shared" si="277"/>
        <v>0.7</v>
      </c>
      <c r="G109" s="116">
        <f t="shared" si="277"/>
        <v>0.7</v>
      </c>
      <c r="H109" s="116">
        <f t="shared" si="273"/>
        <v>0.7</v>
      </c>
      <c r="I109" s="116">
        <f t="shared" si="278"/>
        <v>0</v>
      </c>
      <c r="J109" s="81">
        <v>0.15</v>
      </c>
      <c r="K109" s="72">
        <v>46234</v>
      </c>
      <c r="L109" s="72">
        <f t="shared" si="279"/>
        <v>46234</v>
      </c>
      <c r="M109" s="72">
        <v>46150</v>
      </c>
      <c r="N109" s="72">
        <f t="shared" si="280"/>
        <v>46276</v>
      </c>
      <c r="O109" s="72">
        <f t="shared" si="281"/>
        <v>46276</v>
      </c>
      <c r="P109" s="74">
        <v>46227</v>
      </c>
      <c r="Q109" s="72">
        <f t="shared" si="282"/>
        <v>46318</v>
      </c>
      <c r="R109" s="72">
        <f t="shared" si="283"/>
        <v>46318</v>
      </c>
      <c r="S109" s="74"/>
      <c r="T109" s="72">
        <f t="shared" si="284"/>
        <v>46332</v>
      </c>
      <c r="U109" s="72">
        <f t="shared" si="285"/>
        <v>46332</v>
      </c>
      <c r="V109" s="72"/>
      <c r="W109" s="204"/>
      <c r="Y109" s="175" t="str">
        <f t="shared" ca="1" si="286"/>
        <v>Completed</v>
      </c>
      <c r="Z109" s="175" t="str">
        <f t="shared" ca="1" si="287"/>
        <v>Completed</v>
      </c>
      <c r="AA109" s="175" t="str">
        <f t="shared" ca="1" si="288"/>
        <v/>
      </c>
      <c r="AB109" s="176" t="str">
        <f t="shared" ca="1" si="289"/>
        <v/>
      </c>
    </row>
    <row r="110" spans="1:28" s="64" customFormat="1" ht="11.5" x14ac:dyDescent="0.25">
      <c r="A110" s="70" t="s">
        <v>61</v>
      </c>
      <c r="B110" s="70" t="s">
        <v>62</v>
      </c>
      <c r="C110" s="70" t="s">
        <v>85</v>
      </c>
      <c r="D110" s="75" t="s">
        <v>280</v>
      </c>
      <c r="E110" s="75" t="s">
        <v>108</v>
      </c>
      <c r="F110" s="116">
        <f t="shared" si="277"/>
        <v>1</v>
      </c>
      <c r="G110" s="116">
        <f t="shared" si="277"/>
        <v>1</v>
      </c>
      <c r="H110" s="116">
        <f t="shared" si="273"/>
        <v>0.79999999999999993</v>
      </c>
      <c r="I110" s="116">
        <f t="shared" si="278"/>
        <v>-0.20000000000000007</v>
      </c>
      <c r="J110" s="81">
        <v>0.15</v>
      </c>
      <c r="K110" s="72">
        <v>46171</v>
      </c>
      <c r="L110" s="72">
        <f t="shared" si="279"/>
        <v>46171</v>
      </c>
      <c r="M110" s="72">
        <v>46150</v>
      </c>
      <c r="N110" s="72">
        <f t="shared" si="280"/>
        <v>46213</v>
      </c>
      <c r="O110" s="72">
        <f t="shared" si="281"/>
        <v>46213</v>
      </c>
      <c r="P110" s="74">
        <v>46227</v>
      </c>
      <c r="Q110" s="72">
        <f t="shared" si="282"/>
        <v>46255</v>
      </c>
      <c r="R110" s="72">
        <f t="shared" si="283"/>
        <v>46255</v>
      </c>
      <c r="S110" s="74">
        <v>46286</v>
      </c>
      <c r="T110" s="72">
        <f t="shared" si="284"/>
        <v>46269</v>
      </c>
      <c r="U110" s="72">
        <f t="shared" si="285"/>
        <v>46269</v>
      </c>
      <c r="V110" s="72"/>
      <c r="W110" s="204" t="s">
        <v>539</v>
      </c>
      <c r="Y110" s="175" t="str">
        <f t="shared" ca="1" si="286"/>
        <v>Completed</v>
      </c>
      <c r="Z110" s="175" t="str">
        <f t="shared" ca="1" si="287"/>
        <v>Completed</v>
      </c>
      <c r="AA110" s="175" t="str">
        <f t="shared" ca="1" si="288"/>
        <v>Completed</v>
      </c>
      <c r="AB110" s="176" t="str">
        <f t="shared" ca="1" si="289"/>
        <v>Overdue</v>
      </c>
    </row>
    <row r="111" spans="1:28" s="64" customFormat="1" ht="11.5" x14ac:dyDescent="0.25">
      <c r="A111" s="70" t="s">
        <v>61</v>
      </c>
      <c r="B111" s="70" t="s">
        <v>62</v>
      </c>
      <c r="C111" s="70" t="s">
        <v>85</v>
      </c>
      <c r="D111" s="75" t="s">
        <v>281</v>
      </c>
      <c r="E111" s="75" t="s">
        <v>109</v>
      </c>
      <c r="F111" s="116">
        <f t="shared" si="277"/>
        <v>1</v>
      </c>
      <c r="G111" s="116">
        <f t="shared" si="277"/>
        <v>1</v>
      </c>
      <c r="H111" s="116">
        <f t="shared" si="273"/>
        <v>1</v>
      </c>
      <c r="I111" s="116">
        <f t="shared" si="278"/>
        <v>0</v>
      </c>
      <c r="J111" s="81">
        <v>0.15</v>
      </c>
      <c r="K111" s="72">
        <v>46171</v>
      </c>
      <c r="L111" s="72">
        <f t="shared" si="279"/>
        <v>46171</v>
      </c>
      <c r="M111" s="72">
        <v>46150</v>
      </c>
      <c r="N111" s="72">
        <f t="shared" si="280"/>
        <v>46213</v>
      </c>
      <c r="O111" s="72">
        <f t="shared" si="281"/>
        <v>46213</v>
      </c>
      <c r="P111" s="74">
        <v>46227</v>
      </c>
      <c r="Q111" s="72">
        <f t="shared" si="282"/>
        <v>46255</v>
      </c>
      <c r="R111" s="72">
        <f t="shared" si="283"/>
        <v>46255</v>
      </c>
      <c r="S111" s="74">
        <v>46227</v>
      </c>
      <c r="T111" s="72">
        <f t="shared" si="284"/>
        <v>46269</v>
      </c>
      <c r="U111" s="72">
        <f t="shared" si="285"/>
        <v>46269</v>
      </c>
      <c r="V111" s="72">
        <v>46290</v>
      </c>
      <c r="W111" s="204"/>
      <c r="Y111" s="175" t="str">
        <f t="shared" ca="1" si="286"/>
        <v>Completed</v>
      </c>
      <c r="Z111" s="175" t="str">
        <f t="shared" ca="1" si="287"/>
        <v>Completed</v>
      </c>
      <c r="AA111" s="175" t="str">
        <f t="shared" ca="1" si="288"/>
        <v>Completed</v>
      </c>
      <c r="AB111" s="176" t="str">
        <f t="shared" ca="1" si="289"/>
        <v>Completed</v>
      </c>
    </row>
    <row r="112" spans="1:28" s="64" customFormat="1" ht="11.5" x14ac:dyDescent="0.25">
      <c r="A112" s="70" t="s">
        <v>61</v>
      </c>
      <c r="B112" s="70" t="s">
        <v>62</v>
      </c>
      <c r="C112" s="70" t="s">
        <v>85</v>
      </c>
      <c r="D112" s="75" t="s">
        <v>282</v>
      </c>
      <c r="E112" s="75" t="s">
        <v>110</v>
      </c>
      <c r="F112" s="116">
        <f t="shared" si="277"/>
        <v>1</v>
      </c>
      <c r="G112" s="116">
        <f t="shared" si="277"/>
        <v>1</v>
      </c>
      <c r="H112" s="116">
        <f t="shared" si="273"/>
        <v>0.79999999999999993</v>
      </c>
      <c r="I112" s="116">
        <f t="shared" si="278"/>
        <v>-0.20000000000000007</v>
      </c>
      <c r="J112" s="81">
        <v>0.15</v>
      </c>
      <c r="K112" s="72">
        <v>46171</v>
      </c>
      <c r="L112" s="72">
        <f t="shared" si="279"/>
        <v>46171</v>
      </c>
      <c r="M112" s="72">
        <v>46150</v>
      </c>
      <c r="N112" s="72">
        <f t="shared" si="280"/>
        <v>46213</v>
      </c>
      <c r="O112" s="72">
        <f t="shared" si="281"/>
        <v>46213</v>
      </c>
      <c r="P112" s="74">
        <v>46227</v>
      </c>
      <c r="Q112" s="72">
        <f t="shared" si="282"/>
        <v>46255</v>
      </c>
      <c r="R112" s="72">
        <f t="shared" si="283"/>
        <v>46255</v>
      </c>
      <c r="S112" s="220">
        <v>46300</v>
      </c>
      <c r="T112" s="72">
        <f t="shared" si="284"/>
        <v>46269</v>
      </c>
      <c r="U112" s="72">
        <f t="shared" si="285"/>
        <v>46269</v>
      </c>
      <c r="V112" s="72"/>
      <c r="W112" s="204"/>
      <c r="Y112" s="175" t="str">
        <f t="shared" ca="1" si="286"/>
        <v>Completed</v>
      </c>
      <c r="Z112" s="175" t="str">
        <f t="shared" ca="1" si="287"/>
        <v>Completed</v>
      </c>
      <c r="AA112" s="175" t="str">
        <f t="shared" ca="1" si="288"/>
        <v>Completed</v>
      </c>
      <c r="AB112" s="176" t="str">
        <f t="shared" ca="1" si="289"/>
        <v>Overdue</v>
      </c>
    </row>
    <row r="113" spans="1:28" s="64" customFormat="1" ht="11.5" x14ac:dyDescent="0.25">
      <c r="A113" s="70" t="s">
        <v>61</v>
      </c>
      <c r="B113" s="70" t="s">
        <v>62</v>
      </c>
      <c r="C113" s="70" t="s">
        <v>85</v>
      </c>
      <c r="D113" s="75" t="s">
        <v>283</v>
      </c>
      <c r="E113" s="75" t="s">
        <v>111</v>
      </c>
      <c r="F113" s="116">
        <f t="shared" si="277"/>
        <v>1</v>
      </c>
      <c r="G113" s="116">
        <f t="shared" si="277"/>
        <v>1</v>
      </c>
      <c r="H113" s="116">
        <f t="shared" si="273"/>
        <v>0.79999999999999993</v>
      </c>
      <c r="I113" s="116">
        <f t="shared" si="278"/>
        <v>-0.20000000000000007</v>
      </c>
      <c r="J113" s="81">
        <v>0.15</v>
      </c>
      <c r="K113" s="72">
        <v>46171</v>
      </c>
      <c r="L113" s="72">
        <f t="shared" si="279"/>
        <v>46171</v>
      </c>
      <c r="M113" s="72">
        <v>46150</v>
      </c>
      <c r="N113" s="72">
        <f t="shared" si="280"/>
        <v>46213</v>
      </c>
      <c r="O113" s="72">
        <f t="shared" si="281"/>
        <v>46213</v>
      </c>
      <c r="P113" s="74">
        <v>46227</v>
      </c>
      <c r="Q113" s="72">
        <f t="shared" si="282"/>
        <v>46255</v>
      </c>
      <c r="R113" s="72">
        <f t="shared" si="283"/>
        <v>46255</v>
      </c>
      <c r="S113" s="220">
        <v>46300</v>
      </c>
      <c r="T113" s="72">
        <f t="shared" si="284"/>
        <v>46269</v>
      </c>
      <c r="U113" s="72">
        <f t="shared" si="285"/>
        <v>46269</v>
      </c>
      <c r="V113" s="72"/>
      <c r="W113" s="204"/>
      <c r="Y113" s="175" t="str">
        <f t="shared" ca="1" si="286"/>
        <v>Completed</v>
      </c>
      <c r="Z113" s="175" t="str">
        <f t="shared" ca="1" si="287"/>
        <v>Completed</v>
      </c>
      <c r="AA113" s="175" t="str">
        <f t="shared" ca="1" si="288"/>
        <v>Completed</v>
      </c>
      <c r="AB113" s="176" t="str">
        <f t="shared" ca="1" si="289"/>
        <v>Overdue</v>
      </c>
    </row>
    <row r="114" spans="1:28" s="64" customFormat="1" ht="11.5" x14ac:dyDescent="0.25">
      <c r="A114" s="70" t="s">
        <v>61</v>
      </c>
      <c r="B114" s="70" t="s">
        <v>62</v>
      </c>
      <c r="C114" s="70" t="s">
        <v>85</v>
      </c>
      <c r="D114" s="75" t="s">
        <v>284</v>
      </c>
      <c r="E114" s="75" t="s">
        <v>112</v>
      </c>
      <c r="F114" s="116">
        <f t="shared" si="277"/>
        <v>1</v>
      </c>
      <c r="G114" s="116">
        <f t="shared" si="277"/>
        <v>1</v>
      </c>
      <c r="H114" s="116">
        <f t="shared" si="273"/>
        <v>1</v>
      </c>
      <c r="I114" s="116">
        <f t="shared" si="278"/>
        <v>0</v>
      </c>
      <c r="J114" s="81">
        <v>0.15</v>
      </c>
      <c r="K114" s="72">
        <v>46171</v>
      </c>
      <c r="L114" s="72">
        <f t="shared" si="279"/>
        <v>46171</v>
      </c>
      <c r="M114" s="72">
        <v>46150</v>
      </c>
      <c r="N114" s="72">
        <f t="shared" si="280"/>
        <v>46213</v>
      </c>
      <c r="O114" s="72">
        <f t="shared" si="281"/>
        <v>46213</v>
      </c>
      <c r="P114" s="74">
        <v>46227</v>
      </c>
      <c r="Q114" s="72">
        <f t="shared" si="282"/>
        <v>46255</v>
      </c>
      <c r="R114" s="72">
        <f t="shared" si="283"/>
        <v>46255</v>
      </c>
      <c r="S114" s="72">
        <v>46276</v>
      </c>
      <c r="T114" s="72">
        <f t="shared" si="284"/>
        <v>46269</v>
      </c>
      <c r="U114" s="72">
        <f t="shared" si="285"/>
        <v>46269</v>
      </c>
      <c r="V114" s="72">
        <v>46290</v>
      </c>
      <c r="W114" s="204"/>
      <c r="Y114" s="175" t="str">
        <f t="shared" ca="1" si="286"/>
        <v>Completed</v>
      </c>
      <c r="Z114" s="175" t="str">
        <f t="shared" ca="1" si="287"/>
        <v>Completed</v>
      </c>
      <c r="AA114" s="175" t="str">
        <f t="shared" ca="1" si="288"/>
        <v>Completed</v>
      </c>
      <c r="AB114" s="176" t="str">
        <f t="shared" ca="1" si="289"/>
        <v>Completed</v>
      </c>
    </row>
    <row r="115" spans="1:28" s="64" customFormat="1" ht="11.5" x14ac:dyDescent="0.25">
      <c r="A115" s="70" t="s">
        <v>61</v>
      </c>
      <c r="B115" s="70" t="s">
        <v>62</v>
      </c>
      <c r="C115" s="70" t="s">
        <v>85</v>
      </c>
      <c r="D115" s="75" t="s">
        <v>285</v>
      </c>
      <c r="E115" s="75" t="s">
        <v>113</v>
      </c>
      <c r="F115" s="116">
        <f t="shared" si="277"/>
        <v>1</v>
      </c>
      <c r="G115" s="116">
        <f t="shared" si="277"/>
        <v>1</v>
      </c>
      <c r="H115" s="116">
        <f t="shared" si="273"/>
        <v>0.79999999999999993</v>
      </c>
      <c r="I115" s="116">
        <f t="shared" si="278"/>
        <v>-0.20000000000000007</v>
      </c>
      <c r="J115" s="81">
        <v>0.15</v>
      </c>
      <c r="K115" s="72">
        <v>46171</v>
      </c>
      <c r="L115" s="72">
        <f t="shared" si="279"/>
        <v>46171</v>
      </c>
      <c r="M115" s="72">
        <v>46150</v>
      </c>
      <c r="N115" s="72">
        <f t="shared" si="280"/>
        <v>46213</v>
      </c>
      <c r="O115" s="72">
        <f t="shared" si="281"/>
        <v>46213</v>
      </c>
      <c r="P115" s="74">
        <v>46227</v>
      </c>
      <c r="Q115" s="72">
        <f t="shared" si="282"/>
        <v>46255</v>
      </c>
      <c r="R115" s="72">
        <f t="shared" si="283"/>
        <v>46255</v>
      </c>
      <c r="S115" s="220">
        <v>46300</v>
      </c>
      <c r="T115" s="72">
        <f t="shared" si="284"/>
        <v>46269</v>
      </c>
      <c r="U115" s="72">
        <f t="shared" si="285"/>
        <v>46269</v>
      </c>
      <c r="V115" s="72"/>
      <c r="W115" s="204"/>
      <c r="Y115" s="175" t="str">
        <f t="shared" ca="1" si="286"/>
        <v>Completed</v>
      </c>
      <c r="Z115" s="175" t="str">
        <f t="shared" ca="1" si="287"/>
        <v>Completed</v>
      </c>
      <c r="AA115" s="175" t="str">
        <f t="shared" ca="1" si="288"/>
        <v>Completed</v>
      </c>
      <c r="AB115" s="176" t="str">
        <f t="shared" ca="1" si="289"/>
        <v>Overdue</v>
      </c>
    </row>
    <row r="116" spans="1:28" s="64" customFormat="1" ht="11.5" x14ac:dyDescent="0.25">
      <c r="A116" s="70" t="s">
        <v>61</v>
      </c>
      <c r="B116" s="70" t="s">
        <v>62</v>
      </c>
      <c r="C116" s="70" t="s">
        <v>85</v>
      </c>
      <c r="D116" s="75" t="s">
        <v>286</v>
      </c>
      <c r="E116" s="75" t="s">
        <v>114</v>
      </c>
      <c r="F116" s="116">
        <f t="shared" si="277"/>
        <v>1</v>
      </c>
      <c r="G116" s="116">
        <f t="shared" si="277"/>
        <v>1</v>
      </c>
      <c r="H116" s="116">
        <f t="shared" si="273"/>
        <v>0.7</v>
      </c>
      <c r="I116" s="116">
        <f t="shared" si="278"/>
        <v>-0.30000000000000004</v>
      </c>
      <c r="J116" s="81">
        <v>0.15</v>
      </c>
      <c r="K116" s="72">
        <v>46171</v>
      </c>
      <c r="L116" s="72">
        <f t="shared" si="279"/>
        <v>46171</v>
      </c>
      <c r="M116" s="72">
        <v>46150</v>
      </c>
      <c r="N116" s="74">
        <f t="shared" si="280"/>
        <v>46213</v>
      </c>
      <c r="O116" s="72">
        <f t="shared" si="281"/>
        <v>46213</v>
      </c>
      <c r="P116" s="74">
        <v>46227</v>
      </c>
      <c r="Q116" s="74">
        <f t="shared" si="282"/>
        <v>46255</v>
      </c>
      <c r="R116" s="72">
        <f t="shared" si="283"/>
        <v>46255</v>
      </c>
      <c r="S116" s="74"/>
      <c r="T116" s="72">
        <f t="shared" si="284"/>
        <v>46269</v>
      </c>
      <c r="U116" s="72">
        <f t="shared" si="285"/>
        <v>46269</v>
      </c>
      <c r="V116" s="72"/>
      <c r="W116" s="204"/>
      <c r="Y116" s="175" t="str">
        <f t="shared" ca="1" si="286"/>
        <v>Completed</v>
      </c>
      <c r="Z116" s="175" t="str">
        <f t="shared" ca="1" si="287"/>
        <v>Completed</v>
      </c>
      <c r="AA116" s="175" t="str">
        <f t="shared" ca="1" si="288"/>
        <v>Overdue</v>
      </c>
      <c r="AB116" s="176" t="str">
        <f t="shared" ca="1" si="289"/>
        <v>Overdue</v>
      </c>
    </row>
    <row r="117" spans="1:28" s="64" customFormat="1" ht="11.5" x14ac:dyDescent="0.25">
      <c r="A117" s="70" t="s">
        <v>61</v>
      </c>
      <c r="B117" s="70" t="s">
        <v>62</v>
      </c>
      <c r="C117" s="70" t="s">
        <v>85</v>
      </c>
      <c r="D117" s="75" t="s">
        <v>287</v>
      </c>
      <c r="E117" s="75" t="s">
        <v>115</v>
      </c>
      <c r="F117" s="116">
        <f t="shared" si="277"/>
        <v>1</v>
      </c>
      <c r="G117" s="116">
        <f t="shared" si="277"/>
        <v>1</v>
      </c>
      <c r="H117" s="116">
        <f t="shared" si="273"/>
        <v>0.79999999999999993</v>
      </c>
      <c r="I117" s="116">
        <f t="shared" si="278"/>
        <v>-0.20000000000000007</v>
      </c>
      <c r="J117" s="81">
        <v>0.15</v>
      </c>
      <c r="K117" s="72">
        <v>46178</v>
      </c>
      <c r="L117" s="72">
        <f t="shared" si="279"/>
        <v>46178</v>
      </c>
      <c r="M117" s="72">
        <v>46150</v>
      </c>
      <c r="N117" s="74">
        <f t="shared" si="280"/>
        <v>46220</v>
      </c>
      <c r="O117" s="72">
        <f t="shared" si="281"/>
        <v>46220</v>
      </c>
      <c r="P117" s="74">
        <v>46227</v>
      </c>
      <c r="Q117" s="74">
        <f t="shared" si="282"/>
        <v>46262</v>
      </c>
      <c r="R117" s="72">
        <f t="shared" si="283"/>
        <v>46262</v>
      </c>
      <c r="S117" s="233">
        <v>46304</v>
      </c>
      <c r="T117" s="72">
        <f t="shared" si="284"/>
        <v>46276</v>
      </c>
      <c r="U117" s="72">
        <f t="shared" si="285"/>
        <v>46276</v>
      </c>
      <c r="V117" s="72"/>
      <c r="W117" s="204"/>
      <c r="Y117" s="175" t="str">
        <f t="shared" ca="1" si="286"/>
        <v>Completed</v>
      </c>
      <c r="Z117" s="175" t="str">
        <f t="shared" ca="1" si="287"/>
        <v>Completed</v>
      </c>
      <c r="AA117" s="175" t="str">
        <f t="shared" ca="1" si="288"/>
        <v>Completed</v>
      </c>
      <c r="AB117" s="176" t="str">
        <f t="shared" ca="1" si="289"/>
        <v>Overdue</v>
      </c>
    </row>
    <row r="118" spans="1:28" s="64" customFormat="1" ht="11.5" x14ac:dyDescent="0.25">
      <c r="A118" s="70" t="s">
        <v>61</v>
      </c>
      <c r="B118" s="70" t="s">
        <v>62</v>
      </c>
      <c r="C118" s="70" t="s">
        <v>85</v>
      </c>
      <c r="D118" s="75" t="s">
        <v>288</v>
      </c>
      <c r="E118" s="75" t="s">
        <v>116</v>
      </c>
      <c r="F118" s="116">
        <f t="shared" ref="F118:G194" si="300">(COUNTIFS(K118,"&lt;="&amp;$D$1)*50%)+(COUNTIFS(N118,"&lt;="&amp;$D$1)*20%)+(COUNTIFS(Q118,"&lt;="&amp;$D$1)*10%)+(COUNTIFS(T118,"&lt;="&amp;$D$1)*20%)</f>
        <v>1</v>
      </c>
      <c r="G118" s="116">
        <f t="shared" si="300"/>
        <v>1</v>
      </c>
      <c r="H118" s="116">
        <f t="shared" ref="H118:H139" si="301">(COUNTIFS(M118,"&lt;="&amp;$D$1)*50%)+(COUNTIFS(P118,"&lt;="&amp;$D$1)*20%)+(COUNTIFS(S118,"&lt;="&amp;$D$1)*10%)+(COUNTIFS(V118,"&lt;="&amp;$D$1)*20%)</f>
        <v>0.79999999999999993</v>
      </c>
      <c r="I118" s="116">
        <f t="shared" si="278"/>
        <v>-0.20000000000000007</v>
      </c>
      <c r="J118" s="81">
        <v>0.15</v>
      </c>
      <c r="K118" s="72">
        <v>46178</v>
      </c>
      <c r="L118" s="72">
        <f t="shared" si="279"/>
        <v>46178</v>
      </c>
      <c r="M118" s="72">
        <v>46150</v>
      </c>
      <c r="N118" s="74">
        <f t="shared" si="280"/>
        <v>46220</v>
      </c>
      <c r="O118" s="72">
        <f t="shared" si="281"/>
        <v>46220</v>
      </c>
      <c r="P118" s="74">
        <v>46227</v>
      </c>
      <c r="Q118" s="74">
        <f t="shared" si="282"/>
        <v>46262</v>
      </c>
      <c r="R118" s="72">
        <f t="shared" si="283"/>
        <v>46262</v>
      </c>
      <c r="S118" s="72">
        <v>46276</v>
      </c>
      <c r="T118" s="72">
        <f t="shared" si="284"/>
        <v>46276</v>
      </c>
      <c r="U118" s="72">
        <f t="shared" si="285"/>
        <v>46276</v>
      </c>
      <c r="V118" s="72"/>
      <c r="W118" s="204" t="s">
        <v>539</v>
      </c>
      <c r="Y118" s="175" t="str">
        <f t="shared" ca="1" si="286"/>
        <v>Completed</v>
      </c>
      <c r="Z118" s="175" t="str">
        <f t="shared" ca="1" si="287"/>
        <v>Completed</v>
      </c>
      <c r="AA118" s="175" t="str">
        <f t="shared" ca="1" si="288"/>
        <v>Completed</v>
      </c>
      <c r="AB118" s="176" t="str">
        <f t="shared" ca="1" si="289"/>
        <v>Overdue</v>
      </c>
    </row>
    <row r="119" spans="1:28" s="64" customFormat="1" ht="11.5" x14ac:dyDescent="0.25">
      <c r="A119" s="70" t="s">
        <v>61</v>
      </c>
      <c r="B119" s="70" t="s">
        <v>62</v>
      </c>
      <c r="C119" s="70" t="s">
        <v>85</v>
      </c>
      <c r="D119" s="75" t="s">
        <v>289</v>
      </c>
      <c r="E119" s="75" t="s">
        <v>117</v>
      </c>
      <c r="F119" s="116">
        <f t="shared" si="300"/>
        <v>1</v>
      </c>
      <c r="G119" s="116">
        <f t="shared" si="300"/>
        <v>1</v>
      </c>
      <c r="H119" s="116">
        <f t="shared" si="301"/>
        <v>0.7</v>
      </c>
      <c r="I119" s="116">
        <f t="shared" si="278"/>
        <v>-0.30000000000000004</v>
      </c>
      <c r="J119" s="81">
        <v>0.15</v>
      </c>
      <c r="K119" s="72">
        <v>46178</v>
      </c>
      <c r="L119" s="72">
        <f t="shared" si="279"/>
        <v>46178</v>
      </c>
      <c r="M119" s="72">
        <v>46150</v>
      </c>
      <c r="N119" s="74">
        <f t="shared" si="280"/>
        <v>46220</v>
      </c>
      <c r="O119" s="72">
        <f t="shared" si="281"/>
        <v>46220</v>
      </c>
      <c r="P119" s="74">
        <v>46227</v>
      </c>
      <c r="Q119" s="74">
        <f t="shared" si="282"/>
        <v>46262</v>
      </c>
      <c r="R119" s="72">
        <f t="shared" si="283"/>
        <v>46262</v>
      </c>
      <c r="S119" s="74"/>
      <c r="T119" s="72">
        <f t="shared" si="284"/>
        <v>46276</v>
      </c>
      <c r="U119" s="72">
        <f t="shared" si="285"/>
        <v>46276</v>
      </c>
      <c r="V119" s="72"/>
      <c r="W119" s="204"/>
      <c r="Y119" s="175" t="str">
        <f t="shared" ca="1" si="286"/>
        <v>Completed</v>
      </c>
      <c r="Z119" s="175" t="str">
        <f t="shared" ca="1" si="287"/>
        <v>Completed</v>
      </c>
      <c r="AA119" s="175" t="str">
        <f t="shared" ca="1" si="288"/>
        <v>Overdue</v>
      </c>
      <c r="AB119" s="176" t="str">
        <f t="shared" ca="1" si="289"/>
        <v>Overdue</v>
      </c>
    </row>
    <row r="120" spans="1:28" s="64" customFormat="1" ht="11.5" x14ac:dyDescent="0.25">
      <c r="A120" s="70" t="s">
        <v>61</v>
      </c>
      <c r="B120" s="70" t="s">
        <v>62</v>
      </c>
      <c r="C120" s="70" t="s">
        <v>85</v>
      </c>
      <c r="D120" s="75" t="s">
        <v>290</v>
      </c>
      <c r="E120" s="75" t="s">
        <v>118</v>
      </c>
      <c r="F120" s="116">
        <f t="shared" si="300"/>
        <v>1</v>
      </c>
      <c r="G120" s="116">
        <f t="shared" si="300"/>
        <v>1</v>
      </c>
      <c r="H120" s="116">
        <f t="shared" si="301"/>
        <v>0.79999999999999993</v>
      </c>
      <c r="I120" s="116">
        <f t="shared" si="278"/>
        <v>-0.20000000000000007</v>
      </c>
      <c r="J120" s="81">
        <v>0.15</v>
      </c>
      <c r="K120" s="72">
        <v>46178</v>
      </c>
      <c r="L120" s="72">
        <f t="shared" si="279"/>
        <v>46178</v>
      </c>
      <c r="M120" s="72">
        <v>46150</v>
      </c>
      <c r="N120" s="74">
        <f t="shared" si="280"/>
        <v>46220</v>
      </c>
      <c r="O120" s="72">
        <f t="shared" si="281"/>
        <v>46220</v>
      </c>
      <c r="P120" s="74">
        <v>46227</v>
      </c>
      <c r="Q120" s="74">
        <f t="shared" si="282"/>
        <v>46262</v>
      </c>
      <c r="R120" s="72">
        <f t="shared" si="283"/>
        <v>46262</v>
      </c>
      <c r="S120" s="233">
        <v>46304</v>
      </c>
      <c r="T120" s="72">
        <f t="shared" si="284"/>
        <v>46276</v>
      </c>
      <c r="U120" s="72">
        <f t="shared" si="285"/>
        <v>46276</v>
      </c>
      <c r="V120" s="72"/>
      <c r="W120" s="204"/>
      <c r="Y120" s="175" t="str">
        <f t="shared" ca="1" si="286"/>
        <v>Completed</v>
      </c>
      <c r="Z120" s="175" t="str">
        <f t="shared" ca="1" si="287"/>
        <v>Completed</v>
      </c>
      <c r="AA120" s="175" t="str">
        <f t="shared" ca="1" si="288"/>
        <v>Completed</v>
      </c>
      <c r="AB120" s="176" t="str">
        <f t="shared" ca="1" si="289"/>
        <v>Overdue</v>
      </c>
    </row>
    <row r="121" spans="1:28" s="64" customFormat="1" ht="11.5" x14ac:dyDescent="0.25">
      <c r="A121" s="70" t="s">
        <v>61</v>
      </c>
      <c r="B121" s="70" t="s">
        <v>62</v>
      </c>
      <c r="C121" s="70" t="s">
        <v>85</v>
      </c>
      <c r="D121" s="75" t="s">
        <v>291</v>
      </c>
      <c r="E121" s="75" t="s">
        <v>119</v>
      </c>
      <c r="F121" s="116">
        <f t="shared" si="300"/>
        <v>1</v>
      </c>
      <c r="G121" s="116">
        <f t="shared" si="300"/>
        <v>1</v>
      </c>
      <c r="H121" s="116">
        <f t="shared" si="301"/>
        <v>0.79999999999999993</v>
      </c>
      <c r="I121" s="116">
        <f t="shared" si="278"/>
        <v>-0.20000000000000007</v>
      </c>
      <c r="J121" s="81">
        <v>0.15</v>
      </c>
      <c r="K121" s="72">
        <v>46178</v>
      </c>
      <c r="L121" s="72">
        <f t="shared" si="279"/>
        <v>46178</v>
      </c>
      <c r="M121" s="72">
        <v>46150</v>
      </c>
      <c r="N121" s="74">
        <f t="shared" si="280"/>
        <v>46220</v>
      </c>
      <c r="O121" s="72">
        <f t="shared" si="281"/>
        <v>46220</v>
      </c>
      <c r="P121" s="74">
        <v>46227</v>
      </c>
      <c r="Q121" s="74">
        <f t="shared" si="282"/>
        <v>46262</v>
      </c>
      <c r="R121" s="72">
        <f t="shared" si="283"/>
        <v>46262</v>
      </c>
      <c r="S121" s="233">
        <v>46304</v>
      </c>
      <c r="T121" s="72">
        <f t="shared" si="284"/>
        <v>46276</v>
      </c>
      <c r="U121" s="72">
        <f t="shared" si="285"/>
        <v>46276</v>
      </c>
      <c r="V121" s="72"/>
      <c r="W121" s="204"/>
      <c r="Y121" s="175" t="str">
        <f t="shared" ca="1" si="286"/>
        <v>Completed</v>
      </c>
      <c r="Z121" s="175" t="str">
        <f t="shared" ca="1" si="287"/>
        <v>Completed</v>
      </c>
      <c r="AA121" s="175" t="str">
        <f t="shared" ca="1" si="288"/>
        <v>Completed</v>
      </c>
      <c r="AB121" s="176" t="str">
        <f t="shared" ca="1" si="289"/>
        <v>Overdue</v>
      </c>
    </row>
    <row r="122" spans="1:28" s="64" customFormat="1" ht="11.5" x14ac:dyDescent="0.25">
      <c r="A122" s="70" t="s">
        <v>61</v>
      </c>
      <c r="B122" s="70" t="s">
        <v>62</v>
      </c>
      <c r="C122" s="70" t="s">
        <v>85</v>
      </c>
      <c r="D122" s="75" t="s">
        <v>292</v>
      </c>
      <c r="E122" s="75" t="s">
        <v>120</v>
      </c>
      <c r="F122" s="116">
        <f t="shared" si="300"/>
        <v>1</v>
      </c>
      <c r="G122" s="116">
        <f t="shared" si="300"/>
        <v>1</v>
      </c>
      <c r="H122" s="116">
        <f t="shared" si="301"/>
        <v>0.79999999999999993</v>
      </c>
      <c r="I122" s="116">
        <f t="shared" si="278"/>
        <v>-0.20000000000000007</v>
      </c>
      <c r="J122" s="81">
        <v>0.15</v>
      </c>
      <c r="K122" s="72">
        <v>46178</v>
      </c>
      <c r="L122" s="72">
        <f t="shared" si="279"/>
        <v>46178</v>
      </c>
      <c r="M122" s="72">
        <v>46150</v>
      </c>
      <c r="N122" s="74">
        <f t="shared" si="280"/>
        <v>46220</v>
      </c>
      <c r="O122" s="72">
        <f t="shared" si="281"/>
        <v>46220</v>
      </c>
      <c r="P122" s="74">
        <v>46227</v>
      </c>
      <c r="Q122" s="74">
        <f t="shared" si="282"/>
        <v>46262</v>
      </c>
      <c r="R122" s="72">
        <f t="shared" si="283"/>
        <v>46262</v>
      </c>
      <c r="S122" s="233">
        <v>46304</v>
      </c>
      <c r="T122" s="72">
        <f t="shared" si="284"/>
        <v>46276</v>
      </c>
      <c r="U122" s="72">
        <f t="shared" si="285"/>
        <v>46276</v>
      </c>
      <c r="V122" s="72"/>
      <c r="W122" s="204"/>
      <c r="Y122" s="175" t="str">
        <f t="shared" ca="1" si="286"/>
        <v>Completed</v>
      </c>
      <c r="Z122" s="175" t="str">
        <f t="shared" ca="1" si="287"/>
        <v>Completed</v>
      </c>
      <c r="AA122" s="175" t="str">
        <f t="shared" ca="1" si="288"/>
        <v>Completed</v>
      </c>
      <c r="AB122" s="176" t="str">
        <f t="shared" ca="1" si="289"/>
        <v>Overdue</v>
      </c>
    </row>
    <row r="123" spans="1:28" s="64" customFormat="1" ht="11.5" x14ac:dyDescent="0.25">
      <c r="A123" s="70" t="s">
        <v>61</v>
      </c>
      <c r="B123" s="70" t="s">
        <v>62</v>
      </c>
      <c r="C123" s="70" t="s">
        <v>85</v>
      </c>
      <c r="D123" s="75" t="s">
        <v>293</v>
      </c>
      <c r="E123" s="75" t="s">
        <v>121</v>
      </c>
      <c r="F123" s="116">
        <f t="shared" si="300"/>
        <v>1</v>
      </c>
      <c r="G123" s="116">
        <f>(COUNTIFS(L123,"&lt;="&amp;$D$1)*50%)+(COUNTIFS(O123,"&lt;="&amp;$D$1)*20%)+(COUNTIFS(R123,"&lt;="&amp;$D$1)*10%)+(COUNTIFS(U123,"&lt;="&amp;$D$1)*20%)</f>
        <v>1</v>
      </c>
      <c r="H123" s="116">
        <f t="shared" si="301"/>
        <v>0.79999999999999993</v>
      </c>
      <c r="I123" s="116">
        <f t="shared" si="278"/>
        <v>-0.20000000000000007</v>
      </c>
      <c r="J123" s="81">
        <v>0.15</v>
      </c>
      <c r="K123" s="72">
        <v>46178</v>
      </c>
      <c r="L123" s="72">
        <f t="shared" si="279"/>
        <v>46178</v>
      </c>
      <c r="M123" s="72">
        <v>46150</v>
      </c>
      <c r="N123" s="72">
        <f t="shared" si="280"/>
        <v>46220</v>
      </c>
      <c r="O123" s="72">
        <f t="shared" si="281"/>
        <v>46220</v>
      </c>
      <c r="P123" s="74">
        <v>46227</v>
      </c>
      <c r="Q123" s="72">
        <f t="shared" si="282"/>
        <v>46262</v>
      </c>
      <c r="R123" s="72">
        <f t="shared" si="283"/>
        <v>46262</v>
      </c>
      <c r="S123" s="233">
        <v>46304</v>
      </c>
      <c r="T123" s="72">
        <f t="shared" si="284"/>
        <v>46276</v>
      </c>
      <c r="U123" s="72">
        <f t="shared" si="285"/>
        <v>46276</v>
      </c>
      <c r="V123" s="72"/>
      <c r="W123" s="204"/>
      <c r="Y123" s="175" t="str">
        <f t="shared" ca="1" si="286"/>
        <v>Completed</v>
      </c>
      <c r="Z123" s="175" t="str">
        <f t="shared" ca="1" si="287"/>
        <v>Completed</v>
      </c>
      <c r="AA123" s="175" t="str">
        <f t="shared" ca="1" si="288"/>
        <v>Completed</v>
      </c>
      <c r="AB123" s="176" t="str">
        <f t="shared" ca="1" si="289"/>
        <v>Overdue</v>
      </c>
    </row>
    <row r="124" spans="1:28" s="64" customFormat="1" ht="11.5" x14ac:dyDescent="0.25">
      <c r="A124" s="70" t="s">
        <v>61</v>
      </c>
      <c r="B124" s="70" t="s">
        <v>62</v>
      </c>
      <c r="C124" s="70" t="s">
        <v>85</v>
      </c>
      <c r="D124" s="75" t="s">
        <v>294</v>
      </c>
      <c r="E124" s="75" t="s">
        <v>122</v>
      </c>
      <c r="F124" s="116">
        <f t="shared" si="300"/>
        <v>1</v>
      </c>
      <c r="G124" s="116">
        <f t="shared" ref="G124" si="302">(COUNTIFS(L124,"&lt;="&amp;$D$1)*50%)+(COUNTIFS(O124,"&lt;="&amp;$D$1)*20%)+(COUNTIFS(R124,"&lt;="&amp;$D$1)*10%)+(COUNTIFS(U124,"&lt;="&amp;$D$1)*20%)</f>
        <v>1</v>
      </c>
      <c r="H124" s="116">
        <f t="shared" si="301"/>
        <v>0.79999999999999993</v>
      </c>
      <c r="I124" s="116">
        <f t="shared" si="278"/>
        <v>-0.20000000000000007</v>
      </c>
      <c r="J124" s="81">
        <v>0.15</v>
      </c>
      <c r="K124" s="72">
        <v>46178</v>
      </c>
      <c r="L124" s="72">
        <f t="shared" si="279"/>
        <v>46178</v>
      </c>
      <c r="M124" s="72">
        <v>46150</v>
      </c>
      <c r="N124" s="72">
        <f t="shared" si="280"/>
        <v>46220</v>
      </c>
      <c r="O124" s="72">
        <f t="shared" si="281"/>
        <v>46220</v>
      </c>
      <c r="P124" s="74">
        <v>46227</v>
      </c>
      <c r="Q124" s="72">
        <f t="shared" si="282"/>
        <v>46262</v>
      </c>
      <c r="R124" s="72">
        <f t="shared" si="283"/>
        <v>46262</v>
      </c>
      <c r="S124" s="233">
        <v>46304</v>
      </c>
      <c r="T124" s="72">
        <f t="shared" si="284"/>
        <v>46276</v>
      </c>
      <c r="U124" s="72">
        <f t="shared" si="285"/>
        <v>46276</v>
      </c>
      <c r="V124" s="72"/>
      <c r="W124" s="204"/>
      <c r="Y124" s="175" t="str">
        <f t="shared" ca="1" si="286"/>
        <v>Completed</v>
      </c>
      <c r="Z124" s="175" t="str">
        <f t="shared" ca="1" si="287"/>
        <v>Completed</v>
      </c>
      <c r="AA124" s="175" t="str">
        <f t="shared" ca="1" si="288"/>
        <v>Completed</v>
      </c>
      <c r="AB124" s="176" t="str">
        <f t="shared" ca="1" si="289"/>
        <v>Overdue</v>
      </c>
    </row>
    <row r="125" spans="1:28" s="64" customFormat="1" ht="11.5" x14ac:dyDescent="0.25">
      <c r="A125" s="70" t="s">
        <v>61</v>
      </c>
      <c r="B125" s="70" t="s">
        <v>62</v>
      </c>
      <c r="C125" s="70" t="s">
        <v>85</v>
      </c>
      <c r="D125" s="75" t="s">
        <v>295</v>
      </c>
      <c r="E125" s="75" t="s">
        <v>123</v>
      </c>
      <c r="F125" s="116">
        <f t="shared" si="300"/>
        <v>1</v>
      </c>
      <c r="G125" s="116">
        <f t="shared" si="300"/>
        <v>1</v>
      </c>
      <c r="H125" s="116">
        <f t="shared" si="301"/>
        <v>0.79999999999999993</v>
      </c>
      <c r="I125" s="116">
        <f t="shared" si="278"/>
        <v>-0.20000000000000007</v>
      </c>
      <c r="J125" s="81">
        <v>0.15</v>
      </c>
      <c r="K125" s="72">
        <v>46178</v>
      </c>
      <c r="L125" s="72">
        <f t="shared" si="279"/>
        <v>46178</v>
      </c>
      <c r="M125" s="72">
        <v>46150</v>
      </c>
      <c r="N125" s="72">
        <f t="shared" si="280"/>
        <v>46220</v>
      </c>
      <c r="O125" s="72">
        <f t="shared" si="281"/>
        <v>46220</v>
      </c>
      <c r="P125" s="74">
        <v>46227</v>
      </c>
      <c r="Q125" s="72">
        <f t="shared" si="282"/>
        <v>46262</v>
      </c>
      <c r="R125" s="72">
        <f t="shared" si="283"/>
        <v>46262</v>
      </c>
      <c r="S125" s="233">
        <v>46304</v>
      </c>
      <c r="T125" s="72">
        <f t="shared" si="284"/>
        <v>46276</v>
      </c>
      <c r="U125" s="72">
        <f t="shared" si="285"/>
        <v>46276</v>
      </c>
      <c r="V125" s="72"/>
      <c r="W125" s="204"/>
      <c r="Y125" s="175" t="str">
        <f t="shared" ca="1" si="286"/>
        <v>Completed</v>
      </c>
      <c r="Z125" s="175" t="str">
        <f t="shared" ca="1" si="287"/>
        <v>Completed</v>
      </c>
      <c r="AA125" s="175" t="str">
        <f t="shared" ca="1" si="288"/>
        <v>Completed</v>
      </c>
      <c r="AB125" s="176" t="str">
        <f t="shared" ca="1" si="289"/>
        <v>Overdue</v>
      </c>
    </row>
    <row r="126" spans="1:28" s="64" customFormat="1" ht="11.5" x14ac:dyDescent="0.25">
      <c r="A126" s="70" t="s">
        <v>61</v>
      </c>
      <c r="B126" s="70" t="s">
        <v>62</v>
      </c>
      <c r="C126" s="70" t="s">
        <v>85</v>
      </c>
      <c r="D126" s="75" t="s">
        <v>296</v>
      </c>
      <c r="E126" s="75" t="s">
        <v>124</v>
      </c>
      <c r="F126" s="116">
        <f t="shared" ref="F126" si="303">(COUNTIFS(K126,"&lt;="&amp;$D$1)*50%)+(COUNTIFS(N126,"&lt;="&amp;$D$1)*20%)+(COUNTIFS(Q126,"&lt;="&amp;$D$1)*10%)+(COUNTIFS(T126,"&lt;="&amp;$D$1)*20%)</f>
        <v>1</v>
      </c>
      <c r="G126" s="116">
        <f t="shared" ref="G126" si="304">(COUNTIFS(L126,"&lt;="&amp;$D$1)*50%)+(COUNTIFS(O126,"&lt;="&amp;$D$1)*20%)+(COUNTIFS(R126,"&lt;="&amp;$D$1)*10%)+(COUNTIFS(U126,"&lt;="&amp;$D$1)*20%)</f>
        <v>1</v>
      </c>
      <c r="H126" s="116">
        <f t="shared" si="301"/>
        <v>0.79999999999999993</v>
      </c>
      <c r="I126" s="116">
        <f t="shared" ref="I126" si="305">H126-F126</f>
        <v>-0.20000000000000007</v>
      </c>
      <c r="J126" s="81">
        <v>0.15</v>
      </c>
      <c r="K126" s="72">
        <v>46178</v>
      </c>
      <c r="L126" s="72">
        <f t="shared" si="279"/>
        <v>46178</v>
      </c>
      <c r="M126" s="72">
        <v>46150</v>
      </c>
      <c r="N126" s="72">
        <f t="shared" si="280"/>
        <v>46220</v>
      </c>
      <c r="O126" s="72">
        <f t="shared" si="281"/>
        <v>46220</v>
      </c>
      <c r="P126" s="74">
        <v>46227</v>
      </c>
      <c r="Q126" s="72">
        <f t="shared" si="282"/>
        <v>46262</v>
      </c>
      <c r="R126" s="72">
        <f t="shared" si="283"/>
        <v>46262</v>
      </c>
      <c r="S126" s="233">
        <v>46304</v>
      </c>
      <c r="T126" s="72">
        <f t="shared" si="284"/>
        <v>46276</v>
      </c>
      <c r="U126" s="72">
        <f t="shared" si="285"/>
        <v>46276</v>
      </c>
      <c r="V126" s="72"/>
      <c r="W126" s="204"/>
      <c r="Y126" s="175" t="str">
        <f t="shared" ca="1" si="286"/>
        <v>Completed</v>
      </c>
      <c r="Z126" s="175" t="str">
        <f t="shared" ca="1" si="287"/>
        <v>Completed</v>
      </c>
      <c r="AA126" s="175" t="str">
        <f t="shared" ca="1" si="288"/>
        <v>Completed</v>
      </c>
      <c r="AB126" s="176" t="str">
        <f t="shared" ca="1" si="289"/>
        <v>Overdue</v>
      </c>
    </row>
    <row r="127" spans="1:28" s="64" customFormat="1" ht="11.5" x14ac:dyDescent="0.25">
      <c r="A127" s="70" t="s">
        <v>61</v>
      </c>
      <c r="B127" s="70" t="s">
        <v>62</v>
      </c>
      <c r="C127" s="70" t="s">
        <v>85</v>
      </c>
      <c r="D127" s="75" t="s">
        <v>297</v>
      </c>
      <c r="E127" s="75" t="s">
        <v>125</v>
      </c>
      <c r="F127" s="116">
        <f t="shared" si="300"/>
        <v>1</v>
      </c>
      <c r="G127" s="116">
        <f t="shared" si="300"/>
        <v>1</v>
      </c>
      <c r="H127" s="116">
        <f t="shared" si="301"/>
        <v>0.79999999999999993</v>
      </c>
      <c r="I127" s="116">
        <f t="shared" si="278"/>
        <v>-0.20000000000000007</v>
      </c>
      <c r="J127" s="81">
        <v>0.15</v>
      </c>
      <c r="K127" s="72">
        <v>46178</v>
      </c>
      <c r="L127" s="72">
        <f t="shared" si="279"/>
        <v>46178</v>
      </c>
      <c r="M127" s="72">
        <v>46150</v>
      </c>
      <c r="N127" s="72">
        <f t="shared" si="280"/>
        <v>46220</v>
      </c>
      <c r="O127" s="72">
        <f t="shared" si="281"/>
        <v>46220</v>
      </c>
      <c r="P127" s="74">
        <v>46227</v>
      </c>
      <c r="Q127" s="72">
        <f t="shared" si="282"/>
        <v>46262</v>
      </c>
      <c r="R127" s="72">
        <f t="shared" si="283"/>
        <v>46262</v>
      </c>
      <c r="S127" s="233">
        <v>46304</v>
      </c>
      <c r="T127" s="72">
        <f t="shared" si="284"/>
        <v>46276</v>
      </c>
      <c r="U127" s="72">
        <f t="shared" si="285"/>
        <v>46276</v>
      </c>
      <c r="V127" s="72"/>
      <c r="W127" s="204"/>
      <c r="Y127" s="175" t="str">
        <f t="shared" ca="1" si="286"/>
        <v>Completed</v>
      </c>
      <c r="Z127" s="175" t="str">
        <f t="shared" ca="1" si="287"/>
        <v>Completed</v>
      </c>
      <c r="AA127" s="175" t="str">
        <f t="shared" ca="1" si="288"/>
        <v>Completed</v>
      </c>
      <c r="AB127" s="176" t="str">
        <f t="shared" ca="1" si="289"/>
        <v>Overdue</v>
      </c>
    </row>
    <row r="128" spans="1:28" s="64" customFormat="1" ht="11.5" x14ac:dyDescent="0.25">
      <c r="A128" s="70" t="s">
        <v>61</v>
      </c>
      <c r="B128" s="70" t="s">
        <v>62</v>
      </c>
      <c r="C128" s="70" t="s">
        <v>85</v>
      </c>
      <c r="D128" s="75" t="s">
        <v>298</v>
      </c>
      <c r="E128" s="75" t="s">
        <v>126</v>
      </c>
      <c r="F128" s="116">
        <f t="shared" si="300"/>
        <v>1</v>
      </c>
      <c r="G128" s="116">
        <f t="shared" si="300"/>
        <v>1</v>
      </c>
      <c r="H128" s="116">
        <f t="shared" si="301"/>
        <v>0.79999999999999993</v>
      </c>
      <c r="I128" s="116">
        <f t="shared" si="278"/>
        <v>-0.20000000000000007</v>
      </c>
      <c r="J128" s="81">
        <v>0.15</v>
      </c>
      <c r="K128" s="72">
        <v>46178</v>
      </c>
      <c r="L128" s="72">
        <f t="shared" si="279"/>
        <v>46178</v>
      </c>
      <c r="M128" s="72">
        <v>46150</v>
      </c>
      <c r="N128" s="72">
        <f t="shared" si="280"/>
        <v>46220</v>
      </c>
      <c r="O128" s="72">
        <f t="shared" si="281"/>
        <v>46220</v>
      </c>
      <c r="P128" s="74">
        <v>46227</v>
      </c>
      <c r="Q128" s="72">
        <f t="shared" si="282"/>
        <v>46262</v>
      </c>
      <c r="R128" s="72">
        <f t="shared" si="283"/>
        <v>46262</v>
      </c>
      <c r="S128" s="233">
        <v>46304</v>
      </c>
      <c r="T128" s="72">
        <f t="shared" si="284"/>
        <v>46276</v>
      </c>
      <c r="U128" s="72">
        <f t="shared" si="285"/>
        <v>46276</v>
      </c>
      <c r="V128" s="72"/>
      <c r="W128" s="204"/>
      <c r="Y128" s="175" t="str">
        <f t="shared" ca="1" si="286"/>
        <v>Completed</v>
      </c>
      <c r="Z128" s="175" t="str">
        <f t="shared" ca="1" si="287"/>
        <v>Completed</v>
      </c>
      <c r="AA128" s="175" t="str">
        <f t="shared" ca="1" si="288"/>
        <v>Completed</v>
      </c>
      <c r="AB128" s="176" t="str">
        <f t="shared" ca="1" si="289"/>
        <v>Overdue</v>
      </c>
    </row>
    <row r="129" spans="1:28" s="64" customFormat="1" ht="11.5" x14ac:dyDescent="0.25">
      <c r="A129" s="70" t="s">
        <v>61</v>
      </c>
      <c r="B129" s="70" t="s">
        <v>62</v>
      </c>
      <c r="C129" s="70" t="s">
        <v>85</v>
      </c>
      <c r="D129" s="75" t="s">
        <v>299</v>
      </c>
      <c r="E129" s="75" t="s">
        <v>127</v>
      </c>
      <c r="F129" s="116">
        <f t="shared" si="300"/>
        <v>1</v>
      </c>
      <c r="G129" s="116">
        <f t="shared" si="300"/>
        <v>1</v>
      </c>
      <c r="H129" s="116">
        <f t="shared" si="301"/>
        <v>0.79999999999999993</v>
      </c>
      <c r="I129" s="116">
        <f t="shared" si="278"/>
        <v>-0.20000000000000007</v>
      </c>
      <c r="J129" s="81">
        <v>0.15</v>
      </c>
      <c r="K129" s="72">
        <v>46178</v>
      </c>
      <c r="L129" s="72">
        <f t="shared" si="279"/>
        <v>46178</v>
      </c>
      <c r="M129" s="72">
        <v>46150</v>
      </c>
      <c r="N129" s="72">
        <f t="shared" si="280"/>
        <v>46220</v>
      </c>
      <c r="O129" s="72">
        <f t="shared" si="281"/>
        <v>46220</v>
      </c>
      <c r="P129" s="74">
        <v>46227</v>
      </c>
      <c r="Q129" s="72">
        <f t="shared" si="282"/>
        <v>46262</v>
      </c>
      <c r="R129" s="72">
        <f t="shared" si="283"/>
        <v>46262</v>
      </c>
      <c r="S129" s="233">
        <v>46304</v>
      </c>
      <c r="T129" s="72">
        <f t="shared" si="284"/>
        <v>46276</v>
      </c>
      <c r="U129" s="72">
        <f t="shared" si="285"/>
        <v>46276</v>
      </c>
      <c r="V129" s="72"/>
      <c r="W129" s="204"/>
      <c r="Y129" s="175" t="str">
        <f t="shared" ca="1" si="286"/>
        <v>Completed</v>
      </c>
      <c r="Z129" s="175" t="str">
        <f t="shared" ca="1" si="287"/>
        <v>Completed</v>
      </c>
      <c r="AA129" s="175" t="str">
        <f t="shared" ca="1" si="288"/>
        <v>Completed</v>
      </c>
      <c r="AB129" s="176" t="str">
        <f t="shared" ca="1" si="289"/>
        <v>Overdue</v>
      </c>
    </row>
    <row r="130" spans="1:28" s="64" customFormat="1" ht="11.5" x14ac:dyDescent="0.25">
      <c r="A130" s="70" t="s">
        <v>61</v>
      </c>
      <c r="B130" s="70" t="s">
        <v>62</v>
      </c>
      <c r="C130" s="70" t="s">
        <v>85</v>
      </c>
      <c r="D130" s="75" t="s">
        <v>300</v>
      </c>
      <c r="E130" s="75" t="s">
        <v>128</v>
      </c>
      <c r="F130" s="116">
        <f t="shared" si="300"/>
        <v>1</v>
      </c>
      <c r="G130" s="116">
        <f t="shared" si="300"/>
        <v>1</v>
      </c>
      <c r="H130" s="116">
        <f t="shared" si="301"/>
        <v>1</v>
      </c>
      <c r="I130" s="116">
        <f t="shared" si="278"/>
        <v>0</v>
      </c>
      <c r="J130" s="81">
        <v>0.15</v>
      </c>
      <c r="K130" s="72">
        <v>46178</v>
      </c>
      <c r="L130" s="72">
        <f t="shared" si="279"/>
        <v>46178</v>
      </c>
      <c r="M130" s="72">
        <v>46150</v>
      </c>
      <c r="N130" s="72">
        <f t="shared" si="280"/>
        <v>46220</v>
      </c>
      <c r="O130" s="72">
        <f t="shared" si="281"/>
        <v>46220</v>
      </c>
      <c r="P130" s="74">
        <v>46227</v>
      </c>
      <c r="Q130" s="72">
        <f t="shared" si="282"/>
        <v>46262</v>
      </c>
      <c r="R130" s="72">
        <f t="shared" si="283"/>
        <v>46262</v>
      </c>
      <c r="S130" s="72">
        <v>46276</v>
      </c>
      <c r="T130" s="72">
        <f t="shared" si="284"/>
        <v>46276</v>
      </c>
      <c r="U130" s="72">
        <f t="shared" si="285"/>
        <v>46276</v>
      </c>
      <c r="V130" s="72">
        <v>46290</v>
      </c>
      <c r="W130" s="204"/>
      <c r="Y130" s="175" t="str">
        <f t="shared" ca="1" si="286"/>
        <v>Completed</v>
      </c>
      <c r="Z130" s="175" t="str">
        <f t="shared" ca="1" si="287"/>
        <v>Completed</v>
      </c>
      <c r="AA130" s="175" t="str">
        <f t="shared" ca="1" si="288"/>
        <v>Completed</v>
      </c>
      <c r="AB130" s="176" t="str">
        <f t="shared" ca="1" si="289"/>
        <v>Completed</v>
      </c>
    </row>
    <row r="131" spans="1:28" s="64" customFormat="1" ht="11.5" x14ac:dyDescent="0.25">
      <c r="A131" s="70" t="s">
        <v>61</v>
      </c>
      <c r="B131" s="70" t="s">
        <v>62</v>
      </c>
      <c r="C131" s="70" t="s">
        <v>85</v>
      </c>
      <c r="D131" s="75" t="s">
        <v>301</v>
      </c>
      <c r="E131" s="75" t="s">
        <v>129</v>
      </c>
      <c r="F131" s="116">
        <f t="shared" si="300"/>
        <v>1</v>
      </c>
      <c r="G131" s="116">
        <f t="shared" si="300"/>
        <v>1</v>
      </c>
      <c r="H131" s="116">
        <f t="shared" si="301"/>
        <v>1</v>
      </c>
      <c r="I131" s="116">
        <f t="shared" si="278"/>
        <v>0</v>
      </c>
      <c r="J131" s="81">
        <v>0.15</v>
      </c>
      <c r="K131" s="72">
        <v>46178</v>
      </c>
      <c r="L131" s="72">
        <f t="shared" si="279"/>
        <v>46178</v>
      </c>
      <c r="M131" s="72">
        <v>46150</v>
      </c>
      <c r="N131" s="72">
        <f t="shared" si="280"/>
        <v>46220</v>
      </c>
      <c r="O131" s="72">
        <f t="shared" si="281"/>
        <v>46220</v>
      </c>
      <c r="P131" s="74">
        <v>46227</v>
      </c>
      <c r="Q131" s="72">
        <f t="shared" si="282"/>
        <v>46262</v>
      </c>
      <c r="R131" s="72">
        <f t="shared" si="283"/>
        <v>46262</v>
      </c>
      <c r="S131" s="72">
        <v>46276</v>
      </c>
      <c r="T131" s="72">
        <f t="shared" si="284"/>
        <v>46276</v>
      </c>
      <c r="U131" s="72">
        <f t="shared" si="285"/>
        <v>46276</v>
      </c>
      <c r="V131" s="72">
        <v>46297</v>
      </c>
      <c r="W131" s="204" t="s">
        <v>540</v>
      </c>
      <c r="Y131" s="175" t="str">
        <f t="shared" ca="1" si="286"/>
        <v>Completed</v>
      </c>
      <c r="Z131" s="175" t="str">
        <f t="shared" ca="1" si="287"/>
        <v>Completed</v>
      </c>
      <c r="AA131" s="175" t="str">
        <f t="shared" ca="1" si="288"/>
        <v>Completed</v>
      </c>
      <c r="AB131" s="176" t="str">
        <f t="shared" ca="1" si="289"/>
        <v>Completed</v>
      </c>
    </row>
    <row r="132" spans="1:28" s="64" customFormat="1" ht="11.5" x14ac:dyDescent="0.25">
      <c r="A132" s="70" t="s">
        <v>61</v>
      </c>
      <c r="B132" s="70" t="s">
        <v>62</v>
      </c>
      <c r="C132" s="70" t="s">
        <v>85</v>
      </c>
      <c r="D132" s="75" t="s">
        <v>302</v>
      </c>
      <c r="E132" s="75" t="s">
        <v>130</v>
      </c>
      <c r="F132" s="116">
        <f t="shared" si="300"/>
        <v>1</v>
      </c>
      <c r="G132" s="116">
        <f t="shared" si="300"/>
        <v>1</v>
      </c>
      <c r="H132" s="116">
        <f t="shared" si="301"/>
        <v>1</v>
      </c>
      <c r="I132" s="116">
        <f t="shared" si="278"/>
        <v>0</v>
      </c>
      <c r="J132" s="81">
        <v>0.15</v>
      </c>
      <c r="K132" s="72">
        <v>46178</v>
      </c>
      <c r="L132" s="72">
        <f t="shared" si="279"/>
        <v>46178</v>
      </c>
      <c r="M132" s="72">
        <v>46150</v>
      </c>
      <c r="N132" s="72">
        <f t="shared" si="280"/>
        <v>46220</v>
      </c>
      <c r="O132" s="72">
        <f t="shared" si="281"/>
        <v>46220</v>
      </c>
      <c r="P132" s="74">
        <v>46227</v>
      </c>
      <c r="Q132" s="72">
        <f t="shared" si="282"/>
        <v>46262</v>
      </c>
      <c r="R132" s="72">
        <f t="shared" si="283"/>
        <v>46262</v>
      </c>
      <c r="S132" s="72">
        <v>46276</v>
      </c>
      <c r="T132" s="72">
        <f t="shared" si="284"/>
        <v>46276</v>
      </c>
      <c r="U132" s="72">
        <f t="shared" si="285"/>
        <v>46276</v>
      </c>
      <c r="V132" s="72">
        <v>46297</v>
      </c>
      <c r="W132" s="204" t="s">
        <v>540</v>
      </c>
      <c r="Y132" s="175" t="str">
        <f t="shared" ca="1" si="286"/>
        <v>Completed</v>
      </c>
      <c r="Z132" s="175" t="str">
        <f t="shared" ca="1" si="287"/>
        <v>Completed</v>
      </c>
      <c r="AA132" s="175" t="str">
        <f t="shared" ca="1" si="288"/>
        <v>Completed</v>
      </c>
      <c r="AB132" s="176" t="str">
        <f t="shared" ca="1" si="289"/>
        <v>Completed</v>
      </c>
    </row>
    <row r="133" spans="1:28" s="64" customFormat="1" ht="11.5" x14ac:dyDescent="0.25">
      <c r="A133" s="70" t="s">
        <v>61</v>
      </c>
      <c r="B133" s="70" t="s">
        <v>62</v>
      </c>
      <c r="C133" s="70" t="s">
        <v>85</v>
      </c>
      <c r="D133" s="75" t="s">
        <v>303</v>
      </c>
      <c r="E133" s="75" t="s">
        <v>131</v>
      </c>
      <c r="F133" s="116">
        <f t="shared" si="300"/>
        <v>1</v>
      </c>
      <c r="G133" s="116">
        <f t="shared" si="300"/>
        <v>1</v>
      </c>
      <c r="H133" s="116">
        <f t="shared" si="301"/>
        <v>1</v>
      </c>
      <c r="I133" s="116">
        <f t="shared" si="278"/>
        <v>0</v>
      </c>
      <c r="J133" s="81">
        <v>0.15</v>
      </c>
      <c r="K133" s="72">
        <v>46178</v>
      </c>
      <c r="L133" s="72">
        <f t="shared" si="279"/>
        <v>46178</v>
      </c>
      <c r="M133" s="72">
        <v>46150</v>
      </c>
      <c r="N133" s="72">
        <f t="shared" si="280"/>
        <v>46220</v>
      </c>
      <c r="O133" s="72">
        <f t="shared" si="281"/>
        <v>46220</v>
      </c>
      <c r="P133" s="74">
        <v>46227</v>
      </c>
      <c r="Q133" s="72">
        <f t="shared" si="282"/>
        <v>46262</v>
      </c>
      <c r="R133" s="72">
        <f t="shared" si="283"/>
        <v>46262</v>
      </c>
      <c r="S133" s="72">
        <v>46276</v>
      </c>
      <c r="T133" s="72">
        <f t="shared" si="284"/>
        <v>46276</v>
      </c>
      <c r="U133" s="72">
        <f t="shared" si="285"/>
        <v>46276</v>
      </c>
      <c r="V133" s="72">
        <v>46297</v>
      </c>
      <c r="W133" s="204" t="s">
        <v>540</v>
      </c>
      <c r="Y133" s="175" t="str">
        <f t="shared" ca="1" si="286"/>
        <v>Completed</v>
      </c>
      <c r="Z133" s="175" t="str">
        <f t="shared" ca="1" si="287"/>
        <v>Completed</v>
      </c>
      <c r="AA133" s="175" t="str">
        <f t="shared" ca="1" si="288"/>
        <v>Completed</v>
      </c>
      <c r="AB133" s="176" t="str">
        <f t="shared" ca="1" si="289"/>
        <v>Completed</v>
      </c>
    </row>
    <row r="134" spans="1:28" s="64" customFormat="1" ht="11.5" x14ac:dyDescent="0.25">
      <c r="A134" s="70" t="s">
        <v>61</v>
      </c>
      <c r="B134" s="70" t="s">
        <v>62</v>
      </c>
      <c r="C134" s="70" t="s">
        <v>85</v>
      </c>
      <c r="D134" s="75" t="s">
        <v>304</v>
      </c>
      <c r="E134" s="75" t="s">
        <v>132</v>
      </c>
      <c r="F134" s="116">
        <f t="shared" si="300"/>
        <v>1</v>
      </c>
      <c r="G134" s="116">
        <f t="shared" si="300"/>
        <v>1</v>
      </c>
      <c r="H134" s="116">
        <f t="shared" si="301"/>
        <v>1</v>
      </c>
      <c r="I134" s="116">
        <f t="shared" si="278"/>
        <v>0</v>
      </c>
      <c r="J134" s="81">
        <v>0.15</v>
      </c>
      <c r="K134" s="72">
        <v>46178</v>
      </c>
      <c r="L134" s="72">
        <f t="shared" si="279"/>
        <v>46178</v>
      </c>
      <c r="M134" s="72">
        <v>46150</v>
      </c>
      <c r="N134" s="72">
        <f t="shared" si="280"/>
        <v>46220</v>
      </c>
      <c r="O134" s="72">
        <f t="shared" si="281"/>
        <v>46220</v>
      </c>
      <c r="P134" s="74">
        <v>46227</v>
      </c>
      <c r="Q134" s="72">
        <f t="shared" si="282"/>
        <v>46262</v>
      </c>
      <c r="R134" s="72">
        <f t="shared" si="283"/>
        <v>46262</v>
      </c>
      <c r="S134" s="72">
        <v>46276</v>
      </c>
      <c r="T134" s="72">
        <f t="shared" si="284"/>
        <v>46276</v>
      </c>
      <c r="U134" s="72">
        <f t="shared" si="285"/>
        <v>46276</v>
      </c>
      <c r="V134" s="72">
        <v>46297</v>
      </c>
      <c r="W134" s="204" t="s">
        <v>540</v>
      </c>
      <c r="Y134" s="175" t="str">
        <f t="shared" ca="1" si="286"/>
        <v>Completed</v>
      </c>
      <c r="Z134" s="175" t="str">
        <f t="shared" ca="1" si="287"/>
        <v>Completed</v>
      </c>
      <c r="AA134" s="175" t="str">
        <f t="shared" ca="1" si="288"/>
        <v>Completed</v>
      </c>
      <c r="AB134" s="176" t="str">
        <f t="shared" ca="1" si="289"/>
        <v>Completed</v>
      </c>
    </row>
    <row r="135" spans="1:28" s="64" customFormat="1" ht="11.5" x14ac:dyDescent="0.25">
      <c r="A135" s="70" t="s">
        <v>61</v>
      </c>
      <c r="B135" s="70" t="s">
        <v>62</v>
      </c>
      <c r="C135" s="70" t="s">
        <v>85</v>
      </c>
      <c r="D135" s="75" t="s">
        <v>305</v>
      </c>
      <c r="E135" s="75" t="s">
        <v>133</v>
      </c>
      <c r="F135" s="116">
        <f t="shared" si="300"/>
        <v>1</v>
      </c>
      <c r="G135" s="116">
        <f t="shared" si="300"/>
        <v>1</v>
      </c>
      <c r="H135" s="116">
        <f t="shared" si="301"/>
        <v>1</v>
      </c>
      <c r="I135" s="116">
        <f t="shared" si="278"/>
        <v>0</v>
      </c>
      <c r="J135" s="81">
        <v>0.15</v>
      </c>
      <c r="K135" s="72">
        <v>46178</v>
      </c>
      <c r="L135" s="72">
        <f t="shared" si="279"/>
        <v>46178</v>
      </c>
      <c r="M135" s="72">
        <v>46150</v>
      </c>
      <c r="N135" s="72">
        <f t="shared" si="280"/>
        <v>46220</v>
      </c>
      <c r="O135" s="72">
        <f t="shared" si="281"/>
        <v>46220</v>
      </c>
      <c r="P135" s="74">
        <v>46227</v>
      </c>
      <c r="Q135" s="72">
        <f t="shared" si="282"/>
        <v>46262</v>
      </c>
      <c r="R135" s="72">
        <f t="shared" si="283"/>
        <v>46262</v>
      </c>
      <c r="S135" s="72">
        <v>46276</v>
      </c>
      <c r="T135" s="72">
        <f t="shared" si="284"/>
        <v>46276</v>
      </c>
      <c r="U135" s="72">
        <f t="shared" si="285"/>
        <v>46276</v>
      </c>
      <c r="V135" s="72">
        <v>46290</v>
      </c>
      <c r="W135" s="204"/>
      <c r="Y135" s="175" t="str">
        <f t="shared" ca="1" si="286"/>
        <v>Completed</v>
      </c>
      <c r="Z135" s="175" t="str">
        <f t="shared" ca="1" si="287"/>
        <v>Completed</v>
      </c>
      <c r="AA135" s="175" t="str">
        <f t="shared" ca="1" si="288"/>
        <v>Completed</v>
      </c>
      <c r="AB135" s="176" t="str">
        <f t="shared" ca="1" si="289"/>
        <v>Completed</v>
      </c>
    </row>
    <row r="136" spans="1:28" s="64" customFormat="1" ht="11.5" x14ac:dyDescent="0.25">
      <c r="A136" s="70" t="s">
        <v>61</v>
      </c>
      <c r="B136" s="70" t="s">
        <v>62</v>
      </c>
      <c r="C136" s="70" t="s">
        <v>85</v>
      </c>
      <c r="D136" s="75" t="s">
        <v>306</v>
      </c>
      <c r="E136" s="75" t="s">
        <v>134</v>
      </c>
      <c r="F136" s="116">
        <f t="shared" si="300"/>
        <v>1</v>
      </c>
      <c r="G136" s="116">
        <f t="shared" si="300"/>
        <v>1</v>
      </c>
      <c r="H136" s="116">
        <f t="shared" si="301"/>
        <v>1</v>
      </c>
      <c r="I136" s="116">
        <f t="shared" si="278"/>
        <v>0</v>
      </c>
      <c r="J136" s="81">
        <v>0.15</v>
      </c>
      <c r="K136" s="72">
        <v>46178</v>
      </c>
      <c r="L136" s="72">
        <f t="shared" si="279"/>
        <v>46178</v>
      </c>
      <c r="M136" s="72">
        <v>46150</v>
      </c>
      <c r="N136" s="72">
        <f t="shared" si="280"/>
        <v>46220</v>
      </c>
      <c r="O136" s="72">
        <f t="shared" si="281"/>
        <v>46220</v>
      </c>
      <c r="P136" s="74">
        <v>46227</v>
      </c>
      <c r="Q136" s="72">
        <f t="shared" si="282"/>
        <v>46262</v>
      </c>
      <c r="R136" s="72">
        <f t="shared" si="283"/>
        <v>46262</v>
      </c>
      <c r="S136" s="72">
        <v>46276</v>
      </c>
      <c r="T136" s="72">
        <f t="shared" si="284"/>
        <v>46276</v>
      </c>
      <c r="U136" s="72">
        <f t="shared" si="285"/>
        <v>46276</v>
      </c>
      <c r="V136" s="72">
        <v>46297</v>
      </c>
      <c r="W136" s="204" t="s">
        <v>540</v>
      </c>
      <c r="Y136" s="175" t="str">
        <f t="shared" ca="1" si="286"/>
        <v>Completed</v>
      </c>
      <c r="Z136" s="175" t="str">
        <f t="shared" ca="1" si="287"/>
        <v>Completed</v>
      </c>
      <c r="AA136" s="175" t="str">
        <f t="shared" ca="1" si="288"/>
        <v>Completed</v>
      </c>
      <c r="AB136" s="176" t="str">
        <f t="shared" ca="1" si="289"/>
        <v>Completed</v>
      </c>
    </row>
    <row r="137" spans="1:28" s="64" customFormat="1" ht="11.5" x14ac:dyDescent="0.25">
      <c r="A137" s="70" t="s">
        <v>61</v>
      </c>
      <c r="B137" s="70" t="s">
        <v>62</v>
      </c>
      <c r="C137" s="70" t="s">
        <v>85</v>
      </c>
      <c r="D137" s="75" t="s">
        <v>307</v>
      </c>
      <c r="E137" s="75" t="s">
        <v>135</v>
      </c>
      <c r="F137" s="116">
        <f t="shared" si="300"/>
        <v>1</v>
      </c>
      <c r="G137" s="116">
        <f t="shared" si="300"/>
        <v>1</v>
      </c>
      <c r="H137" s="116">
        <f t="shared" si="301"/>
        <v>1</v>
      </c>
      <c r="I137" s="116">
        <f t="shared" si="278"/>
        <v>0</v>
      </c>
      <c r="J137" s="81">
        <v>0.15</v>
      </c>
      <c r="K137" s="72">
        <v>46178</v>
      </c>
      <c r="L137" s="72">
        <f t="shared" si="279"/>
        <v>46178</v>
      </c>
      <c r="M137" s="72">
        <v>46150</v>
      </c>
      <c r="N137" s="72">
        <f t="shared" si="280"/>
        <v>46220</v>
      </c>
      <c r="O137" s="72">
        <f t="shared" si="281"/>
        <v>46220</v>
      </c>
      <c r="P137" s="74">
        <v>46227</v>
      </c>
      <c r="Q137" s="72">
        <f t="shared" si="282"/>
        <v>46262</v>
      </c>
      <c r="R137" s="72">
        <f t="shared" si="283"/>
        <v>46262</v>
      </c>
      <c r="S137" s="72">
        <v>46276</v>
      </c>
      <c r="T137" s="72">
        <f t="shared" si="284"/>
        <v>46276</v>
      </c>
      <c r="U137" s="72">
        <f t="shared" si="285"/>
        <v>46276</v>
      </c>
      <c r="V137" s="72">
        <v>46290</v>
      </c>
      <c r="W137" s="204"/>
      <c r="Y137" s="175" t="str">
        <f t="shared" ref="Y137:Y164" ca="1" si="306">IF(OR(M137&lt;&gt;""),"Completed",
IF(L137="","",IF(L137&lt;TODAY(),"Overdue",
IF(AND(L137&gt;=TODAY()-WEEKDAY(TODAY(),2)+1,L137&lt;=TODAY()-WEEKDAY(TODAY(),2)+7),"Follow-This Week",
IF(AND(L137&gt;=TODAY()-WEEKDAY(TODAY(),2)+8,L137&lt;=TODAY()-WEEKDAY(TODAY(),2)+14),"Follow-Next Week","")))))</f>
        <v>Completed</v>
      </c>
      <c r="Z137" s="175" t="str">
        <f t="shared" ref="Z137:Z164" ca="1" si="307">IF(OR(P137&lt;&gt;""),"Completed",IF(O137="","",
IF(O137&lt;TODAY(),"Overdue",
IF(AND(O137&gt;=TODAY()-WEEKDAY(TODAY(),2)+1,O137&lt;=TODAY()-WEEKDAY(TODAY(),2)+7),"Follow-This Week",
IF(AND(O137&gt;=TODAY()-WEEKDAY(TODAY(),2)+8,O137&lt;=TODAY()-WEEKDAY(TODAY(),2)+14),"Follow-Next Week","")))))</f>
        <v>Completed</v>
      </c>
      <c r="AA137" s="175" t="str">
        <f t="shared" ref="AA137:AA170" ca="1" si="308">IF(OR(S137&lt;&gt;""),"Completed",IF(R137="","",
IF(R137&lt;TODAY(),"Overdue",
IF(AND(R137&gt;=TODAY()-WEEKDAY(TODAY(),2)+1,R137&lt;=TODAY()-WEEKDAY(TODAY(),2)+7),"Follow-This Week",
IF(AND(R137&gt;=TODAY()-WEEKDAY(TODAY(),2)+8,R137&lt;=TODAY()-WEEKDAY(TODAY(),2)+14),"Follow-Next Week","")))))</f>
        <v>Completed</v>
      </c>
      <c r="AB137" s="176" t="str">
        <f t="shared" ref="AB137:AB168" ca="1" si="309">IF(OR(V137&lt;&gt;""),"Completed",IF(U137="","",
IF(U137&lt;TODAY(),"Overdue",
IF(AND(U137&gt;=TODAY()-WEEKDAY(TODAY(),2)+1,U137&lt;=TODAY()-WEEKDAY(TODAY(),2)+7),"Follow-This Week",
IF(AND(U137&gt;=TODAY()-WEEKDAY(TODAY(),2)+8,U137&lt;=TODAY()-WEEKDAY(TODAY(),2)+14),"Follow-Next Week","")))))</f>
        <v>Completed</v>
      </c>
    </row>
    <row r="138" spans="1:28" s="64" customFormat="1" ht="11.5" x14ac:dyDescent="0.25">
      <c r="A138" s="70" t="s">
        <v>61</v>
      </c>
      <c r="B138" s="70" t="s">
        <v>62</v>
      </c>
      <c r="C138" s="70" t="s">
        <v>85</v>
      </c>
      <c r="D138" s="75" t="s">
        <v>308</v>
      </c>
      <c r="E138" s="75" t="s">
        <v>136</v>
      </c>
      <c r="F138" s="116">
        <f t="shared" si="300"/>
        <v>1</v>
      </c>
      <c r="G138" s="116">
        <f t="shared" si="300"/>
        <v>1</v>
      </c>
      <c r="H138" s="116">
        <f t="shared" si="301"/>
        <v>1</v>
      </c>
      <c r="I138" s="116">
        <f t="shared" si="278"/>
        <v>0</v>
      </c>
      <c r="J138" s="81">
        <v>0.15</v>
      </c>
      <c r="K138" s="72">
        <v>46178</v>
      </c>
      <c r="L138" s="72">
        <f t="shared" si="279"/>
        <v>46178</v>
      </c>
      <c r="M138" s="72">
        <v>46150</v>
      </c>
      <c r="N138" s="72">
        <f t="shared" si="280"/>
        <v>46220</v>
      </c>
      <c r="O138" s="72">
        <f t="shared" si="281"/>
        <v>46220</v>
      </c>
      <c r="P138" s="74">
        <v>46227</v>
      </c>
      <c r="Q138" s="72">
        <f t="shared" si="282"/>
        <v>46262</v>
      </c>
      <c r="R138" s="72">
        <f t="shared" si="283"/>
        <v>46262</v>
      </c>
      <c r="S138" s="72">
        <v>46276</v>
      </c>
      <c r="T138" s="72">
        <f t="shared" si="284"/>
        <v>46276</v>
      </c>
      <c r="U138" s="72">
        <f t="shared" si="285"/>
        <v>46276</v>
      </c>
      <c r="V138" s="72">
        <v>46297</v>
      </c>
      <c r="W138" s="204" t="s">
        <v>540</v>
      </c>
      <c r="Y138" s="175" t="str">
        <f t="shared" ca="1" si="306"/>
        <v>Completed</v>
      </c>
      <c r="Z138" s="175" t="str">
        <f t="shared" ca="1" si="307"/>
        <v>Completed</v>
      </c>
      <c r="AA138" s="175" t="str">
        <f t="shared" ca="1" si="308"/>
        <v>Completed</v>
      </c>
      <c r="AB138" s="176" t="str">
        <f t="shared" ca="1" si="309"/>
        <v>Completed</v>
      </c>
    </row>
    <row r="139" spans="1:28" s="64" customFormat="1" ht="11.5" x14ac:dyDescent="0.25">
      <c r="A139" s="70" t="s">
        <v>61</v>
      </c>
      <c r="B139" s="70" t="s">
        <v>62</v>
      </c>
      <c r="C139" s="70" t="s">
        <v>85</v>
      </c>
      <c r="D139" s="75" t="s">
        <v>393</v>
      </c>
      <c r="E139" s="75" t="s">
        <v>394</v>
      </c>
      <c r="F139" s="116">
        <f t="shared" ref="F139" si="310">(COUNTIFS(K139,"&lt;="&amp;$D$1)*50%)+(COUNTIFS(N139,"&lt;="&amp;$D$1)*20%)+(COUNTIFS(Q139,"&lt;="&amp;$D$1)*10%)+(COUNTIFS(T139,"&lt;="&amp;$D$1)*20%)</f>
        <v>1</v>
      </c>
      <c r="G139" s="116">
        <f t="shared" ref="G139" si="311">(COUNTIFS(L139,"&lt;="&amp;$D$1)*50%)+(COUNTIFS(O139,"&lt;="&amp;$D$1)*20%)+(COUNTIFS(R139,"&lt;="&amp;$D$1)*10%)+(COUNTIFS(U139,"&lt;="&amp;$D$1)*20%)</f>
        <v>1</v>
      </c>
      <c r="H139" s="116">
        <f t="shared" si="301"/>
        <v>1</v>
      </c>
      <c r="I139" s="116">
        <f t="shared" ref="I139" si="312">H139-F139</f>
        <v>0</v>
      </c>
      <c r="J139" s="81">
        <v>0.15</v>
      </c>
      <c r="K139" s="72">
        <v>46178</v>
      </c>
      <c r="L139" s="72">
        <f t="shared" ref="L139" si="313">K139</f>
        <v>46178</v>
      </c>
      <c r="M139" s="72">
        <v>46150</v>
      </c>
      <c r="N139" s="72">
        <f t="shared" ref="N139" si="314">K139+42</f>
        <v>46220</v>
      </c>
      <c r="O139" s="72">
        <f t="shared" ref="O139" si="315">N139</f>
        <v>46220</v>
      </c>
      <c r="P139" s="74">
        <v>46227</v>
      </c>
      <c r="Q139" s="72">
        <f t="shared" ref="Q139" si="316">N139+42</f>
        <v>46262</v>
      </c>
      <c r="R139" s="72">
        <f t="shared" ref="R139" si="317">Q139</f>
        <v>46262</v>
      </c>
      <c r="S139" s="72">
        <v>46276</v>
      </c>
      <c r="T139" s="72">
        <f t="shared" ref="T139" si="318">Q139+14</f>
        <v>46276</v>
      </c>
      <c r="U139" s="72">
        <f t="shared" ref="U139" si="319">T139</f>
        <v>46276</v>
      </c>
      <c r="V139" s="72">
        <v>46290</v>
      </c>
      <c r="W139" s="204"/>
      <c r="Y139" s="175" t="str">
        <f t="shared" ca="1" si="306"/>
        <v>Completed</v>
      </c>
      <c r="Z139" s="175" t="str">
        <f t="shared" ca="1" si="307"/>
        <v>Completed</v>
      </c>
      <c r="AA139" s="175" t="str">
        <f t="shared" ca="1" si="308"/>
        <v>Completed</v>
      </c>
      <c r="AB139" s="176" t="str">
        <f t="shared" ca="1" si="309"/>
        <v>Completed</v>
      </c>
    </row>
    <row r="140" spans="1:28" s="64" customFormat="1" ht="11.5" x14ac:dyDescent="0.25">
      <c r="A140" s="70" t="s">
        <v>61</v>
      </c>
      <c r="B140" s="70" t="s">
        <v>62</v>
      </c>
      <c r="C140" s="70" t="s">
        <v>85</v>
      </c>
      <c r="D140" s="75" t="s">
        <v>510</v>
      </c>
      <c r="E140" s="75" t="s">
        <v>511</v>
      </c>
      <c r="F140" s="116"/>
      <c r="G140" s="116"/>
      <c r="H140" s="116"/>
      <c r="I140" s="116"/>
      <c r="J140" s="81"/>
      <c r="K140" s="72">
        <v>46258</v>
      </c>
      <c r="L140" s="72">
        <f t="shared" ref="L140" si="320">K140</f>
        <v>46258</v>
      </c>
      <c r="M140" s="72">
        <v>46258</v>
      </c>
      <c r="N140" s="72">
        <f t="shared" ref="N140" si="321">K140+42</f>
        <v>46300</v>
      </c>
      <c r="O140" s="72">
        <f t="shared" ref="O140" si="322">N140</f>
        <v>46300</v>
      </c>
      <c r="P140" s="74">
        <v>46269</v>
      </c>
      <c r="Q140" s="72">
        <f t="shared" ref="Q140" si="323">N140+42</f>
        <v>46342</v>
      </c>
      <c r="R140" s="72">
        <f t="shared" ref="R140" si="324">Q140</f>
        <v>46342</v>
      </c>
      <c r="S140" s="74">
        <v>46304</v>
      </c>
      <c r="T140" s="72">
        <f t="shared" ref="T140" si="325">Q140+14</f>
        <v>46356</v>
      </c>
      <c r="U140" s="72">
        <f t="shared" ref="U140" si="326">T140</f>
        <v>46356</v>
      </c>
      <c r="V140" s="72"/>
      <c r="W140" s="204"/>
      <c r="Y140" s="175" t="str">
        <f t="shared" ca="1" si="306"/>
        <v>Completed</v>
      </c>
      <c r="Z140" s="175" t="str">
        <f t="shared" ca="1" si="307"/>
        <v>Completed</v>
      </c>
      <c r="AA140" s="175" t="str">
        <f t="shared" ca="1" si="308"/>
        <v>Completed</v>
      </c>
      <c r="AB140" s="176" t="str">
        <f t="shared" ca="1" si="309"/>
        <v/>
      </c>
    </row>
    <row r="141" spans="1:28" s="64" customFormat="1" ht="11.5" x14ac:dyDescent="0.25">
      <c r="A141" s="70" t="s">
        <v>61</v>
      </c>
      <c r="B141" s="70" t="s">
        <v>62</v>
      </c>
      <c r="C141" s="70" t="s">
        <v>85</v>
      </c>
      <c r="D141" s="75" t="s">
        <v>309</v>
      </c>
      <c r="E141" s="75" t="s">
        <v>137</v>
      </c>
      <c r="F141" s="116">
        <f t="shared" si="300"/>
        <v>1</v>
      </c>
      <c r="G141" s="116">
        <f t="shared" si="300"/>
        <v>1</v>
      </c>
      <c r="H141" s="116">
        <f t="shared" ref="H141:H156" si="327">(COUNTIFS(M141,"&lt;="&amp;$D$1)*50%)+(COUNTIFS(P141,"&lt;="&amp;$D$1)*20%)+(COUNTIFS(S141,"&lt;="&amp;$D$1)*10%)+(COUNTIFS(V141,"&lt;="&amp;$D$1)*20%)</f>
        <v>0.7</v>
      </c>
      <c r="I141" s="116">
        <f t="shared" si="278"/>
        <v>-0.30000000000000004</v>
      </c>
      <c r="J141" s="81">
        <v>0.15</v>
      </c>
      <c r="K141" s="72">
        <v>46185</v>
      </c>
      <c r="L141" s="72">
        <f t="shared" si="279"/>
        <v>46185</v>
      </c>
      <c r="M141" s="72">
        <v>46171</v>
      </c>
      <c r="N141" s="72">
        <f t="shared" si="280"/>
        <v>46227</v>
      </c>
      <c r="O141" s="72">
        <f t="shared" si="281"/>
        <v>46227</v>
      </c>
      <c r="P141" s="74">
        <v>46255</v>
      </c>
      <c r="Q141" s="72">
        <f t="shared" si="282"/>
        <v>46269</v>
      </c>
      <c r="R141" s="72">
        <f t="shared" si="283"/>
        <v>46269</v>
      </c>
      <c r="S141" s="74"/>
      <c r="T141" s="72">
        <f t="shared" si="284"/>
        <v>46283</v>
      </c>
      <c r="U141" s="72">
        <f t="shared" si="285"/>
        <v>46283</v>
      </c>
      <c r="V141" s="72"/>
      <c r="W141" s="204"/>
      <c r="Y141" s="175" t="str">
        <f t="shared" ca="1" si="306"/>
        <v>Completed</v>
      </c>
      <c r="Z141" s="175" t="str">
        <f t="shared" ca="1" si="307"/>
        <v>Completed</v>
      </c>
      <c r="AA141" s="175" t="str">
        <f t="shared" ca="1" si="308"/>
        <v>Overdue</v>
      </c>
      <c r="AB141" s="176" t="str">
        <f t="shared" ca="1" si="309"/>
        <v>Overdue</v>
      </c>
    </row>
    <row r="142" spans="1:28" s="64" customFormat="1" ht="11.5" x14ac:dyDescent="0.25">
      <c r="A142" s="70" t="s">
        <v>61</v>
      </c>
      <c r="B142" s="70" t="s">
        <v>62</v>
      </c>
      <c r="C142" s="70" t="s">
        <v>85</v>
      </c>
      <c r="D142" s="75" t="s">
        <v>310</v>
      </c>
      <c r="E142" s="75" t="s">
        <v>138</v>
      </c>
      <c r="F142" s="116">
        <f t="shared" si="300"/>
        <v>1</v>
      </c>
      <c r="G142" s="116">
        <f t="shared" si="300"/>
        <v>1</v>
      </c>
      <c r="H142" s="116">
        <f t="shared" si="327"/>
        <v>0.7</v>
      </c>
      <c r="I142" s="116">
        <f t="shared" si="278"/>
        <v>-0.30000000000000004</v>
      </c>
      <c r="J142" s="81">
        <v>0.15</v>
      </c>
      <c r="K142" s="72">
        <v>46185</v>
      </c>
      <c r="L142" s="72">
        <f t="shared" si="279"/>
        <v>46185</v>
      </c>
      <c r="M142" s="72">
        <v>46171</v>
      </c>
      <c r="N142" s="72">
        <f t="shared" si="280"/>
        <v>46227</v>
      </c>
      <c r="O142" s="72">
        <f t="shared" si="281"/>
        <v>46227</v>
      </c>
      <c r="P142" s="74">
        <v>46255</v>
      </c>
      <c r="Q142" s="72">
        <f t="shared" si="282"/>
        <v>46269</v>
      </c>
      <c r="R142" s="72">
        <f t="shared" si="283"/>
        <v>46269</v>
      </c>
      <c r="S142" s="74"/>
      <c r="T142" s="72">
        <f t="shared" si="284"/>
        <v>46283</v>
      </c>
      <c r="U142" s="72">
        <f t="shared" si="285"/>
        <v>46283</v>
      </c>
      <c r="V142" s="72"/>
      <c r="W142" s="204"/>
      <c r="Y142" s="175" t="str">
        <f t="shared" ca="1" si="306"/>
        <v>Completed</v>
      </c>
      <c r="Z142" s="175" t="str">
        <f t="shared" ca="1" si="307"/>
        <v>Completed</v>
      </c>
      <c r="AA142" s="175" t="str">
        <f t="shared" ca="1" si="308"/>
        <v>Overdue</v>
      </c>
      <c r="AB142" s="176" t="str">
        <f t="shared" ca="1" si="309"/>
        <v>Overdue</v>
      </c>
    </row>
    <row r="143" spans="1:28" s="64" customFormat="1" ht="11.5" x14ac:dyDescent="0.25">
      <c r="A143" s="70" t="s">
        <v>61</v>
      </c>
      <c r="B143" s="70" t="s">
        <v>62</v>
      </c>
      <c r="C143" s="70" t="s">
        <v>85</v>
      </c>
      <c r="D143" s="75" t="s">
        <v>311</v>
      </c>
      <c r="E143" s="75" t="s">
        <v>139</v>
      </c>
      <c r="F143" s="116">
        <f t="shared" si="300"/>
        <v>1</v>
      </c>
      <c r="G143" s="116">
        <f t="shared" si="300"/>
        <v>1</v>
      </c>
      <c r="H143" s="116">
        <f t="shared" si="327"/>
        <v>0.79999999999999993</v>
      </c>
      <c r="I143" s="116">
        <f t="shared" si="278"/>
        <v>-0.20000000000000007</v>
      </c>
      <c r="J143" s="81">
        <v>0.15</v>
      </c>
      <c r="K143" s="72">
        <v>46185</v>
      </c>
      <c r="L143" s="72">
        <f t="shared" si="279"/>
        <v>46185</v>
      </c>
      <c r="M143" s="72">
        <v>46161</v>
      </c>
      <c r="N143" s="72">
        <f t="shared" si="280"/>
        <v>46227</v>
      </c>
      <c r="O143" s="72">
        <f t="shared" si="281"/>
        <v>46227</v>
      </c>
      <c r="P143" s="72">
        <v>46234</v>
      </c>
      <c r="Q143" s="72">
        <f t="shared" si="282"/>
        <v>46269</v>
      </c>
      <c r="R143" s="72">
        <f t="shared" si="283"/>
        <v>46269</v>
      </c>
      <c r="S143" s="233">
        <v>46304</v>
      </c>
      <c r="T143" s="72">
        <f t="shared" si="284"/>
        <v>46283</v>
      </c>
      <c r="U143" s="72">
        <f t="shared" si="285"/>
        <v>46283</v>
      </c>
      <c r="V143" s="72"/>
      <c r="W143" s="204"/>
      <c r="Y143" s="175" t="str">
        <f t="shared" ca="1" si="306"/>
        <v>Completed</v>
      </c>
      <c r="Z143" s="175" t="str">
        <f t="shared" ca="1" si="307"/>
        <v>Completed</v>
      </c>
      <c r="AA143" s="175" t="str">
        <f t="shared" ca="1" si="308"/>
        <v>Completed</v>
      </c>
      <c r="AB143" s="176" t="str">
        <f t="shared" ca="1" si="309"/>
        <v>Overdue</v>
      </c>
    </row>
    <row r="144" spans="1:28" s="64" customFormat="1" ht="11.5" x14ac:dyDescent="0.25">
      <c r="A144" s="70" t="s">
        <v>61</v>
      </c>
      <c r="B144" s="70" t="s">
        <v>62</v>
      </c>
      <c r="C144" s="70" t="s">
        <v>85</v>
      </c>
      <c r="D144" s="75" t="s">
        <v>312</v>
      </c>
      <c r="E144" s="75" t="s">
        <v>140</v>
      </c>
      <c r="F144" s="116">
        <f t="shared" si="300"/>
        <v>1</v>
      </c>
      <c r="G144" s="116">
        <f t="shared" si="300"/>
        <v>1</v>
      </c>
      <c r="H144" s="116">
        <f t="shared" si="327"/>
        <v>0.79999999999999993</v>
      </c>
      <c r="I144" s="116">
        <f t="shared" si="278"/>
        <v>-0.20000000000000007</v>
      </c>
      <c r="J144" s="81">
        <v>0.15</v>
      </c>
      <c r="K144" s="72">
        <v>46185</v>
      </c>
      <c r="L144" s="72">
        <f t="shared" si="279"/>
        <v>46185</v>
      </c>
      <c r="M144" s="72">
        <v>46161</v>
      </c>
      <c r="N144" s="72">
        <f t="shared" si="280"/>
        <v>46227</v>
      </c>
      <c r="O144" s="72">
        <f t="shared" si="281"/>
        <v>46227</v>
      </c>
      <c r="P144" s="72">
        <v>46234</v>
      </c>
      <c r="Q144" s="72">
        <f t="shared" si="282"/>
        <v>46269</v>
      </c>
      <c r="R144" s="72">
        <f t="shared" si="283"/>
        <v>46269</v>
      </c>
      <c r="S144" s="233">
        <v>46304</v>
      </c>
      <c r="T144" s="72">
        <f t="shared" si="284"/>
        <v>46283</v>
      </c>
      <c r="U144" s="72">
        <f t="shared" si="285"/>
        <v>46283</v>
      </c>
      <c r="V144" s="72"/>
      <c r="W144" s="204"/>
      <c r="Y144" s="175" t="str">
        <f t="shared" ca="1" si="306"/>
        <v>Completed</v>
      </c>
      <c r="Z144" s="175" t="str">
        <f t="shared" ca="1" si="307"/>
        <v>Completed</v>
      </c>
      <c r="AA144" s="175" t="str">
        <f t="shared" ca="1" si="308"/>
        <v>Completed</v>
      </c>
      <c r="AB144" s="176" t="str">
        <f t="shared" ca="1" si="309"/>
        <v>Overdue</v>
      </c>
    </row>
    <row r="145" spans="1:28" s="64" customFormat="1" ht="11.5" x14ac:dyDescent="0.25">
      <c r="A145" s="70" t="s">
        <v>61</v>
      </c>
      <c r="B145" s="70" t="s">
        <v>62</v>
      </c>
      <c r="C145" s="70" t="s">
        <v>85</v>
      </c>
      <c r="D145" s="75" t="s">
        <v>313</v>
      </c>
      <c r="E145" s="75" t="s">
        <v>141</v>
      </c>
      <c r="F145" s="116">
        <f t="shared" si="300"/>
        <v>1</v>
      </c>
      <c r="G145" s="116">
        <f t="shared" si="300"/>
        <v>1</v>
      </c>
      <c r="H145" s="116">
        <f t="shared" si="327"/>
        <v>0.79999999999999993</v>
      </c>
      <c r="I145" s="116">
        <f t="shared" si="278"/>
        <v>-0.20000000000000007</v>
      </c>
      <c r="J145" s="81">
        <v>0.15</v>
      </c>
      <c r="K145" s="72">
        <v>46185</v>
      </c>
      <c r="L145" s="72">
        <f t="shared" si="279"/>
        <v>46185</v>
      </c>
      <c r="M145" s="72">
        <v>46161</v>
      </c>
      <c r="N145" s="72">
        <f t="shared" si="280"/>
        <v>46227</v>
      </c>
      <c r="O145" s="72">
        <f t="shared" si="281"/>
        <v>46227</v>
      </c>
      <c r="P145" s="72">
        <v>46234</v>
      </c>
      <c r="Q145" s="72">
        <f t="shared" si="282"/>
        <v>46269</v>
      </c>
      <c r="R145" s="72">
        <f t="shared" si="283"/>
        <v>46269</v>
      </c>
      <c r="S145" s="233">
        <v>46304</v>
      </c>
      <c r="T145" s="72">
        <f t="shared" si="284"/>
        <v>46283</v>
      </c>
      <c r="U145" s="72">
        <f t="shared" si="285"/>
        <v>46283</v>
      </c>
      <c r="V145" s="72"/>
      <c r="W145" s="204"/>
      <c r="Y145" s="175" t="str">
        <f t="shared" ca="1" si="306"/>
        <v>Completed</v>
      </c>
      <c r="Z145" s="175" t="str">
        <f t="shared" ca="1" si="307"/>
        <v>Completed</v>
      </c>
      <c r="AA145" s="175" t="str">
        <f t="shared" ca="1" si="308"/>
        <v>Completed</v>
      </c>
      <c r="AB145" s="176" t="str">
        <f t="shared" ca="1" si="309"/>
        <v>Overdue</v>
      </c>
    </row>
    <row r="146" spans="1:28" s="64" customFormat="1" ht="11.5" x14ac:dyDescent="0.25">
      <c r="A146" s="70" t="s">
        <v>61</v>
      </c>
      <c r="B146" s="70" t="s">
        <v>62</v>
      </c>
      <c r="C146" s="70" t="s">
        <v>85</v>
      </c>
      <c r="D146" s="75" t="s">
        <v>314</v>
      </c>
      <c r="E146" s="75" t="s">
        <v>142</v>
      </c>
      <c r="F146" s="116">
        <f t="shared" si="300"/>
        <v>1</v>
      </c>
      <c r="G146" s="116">
        <f t="shared" si="300"/>
        <v>1</v>
      </c>
      <c r="H146" s="116">
        <f t="shared" si="327"/>
        <v>0.79999999999999993</v>
      </c>
      <c r="I146" s="116">
        <f t="shared" si="278"/>
        <v>-0.20000000000000007</v>
      </c>
      <c r="J146" s="81">
        <v>0.15</v>
      </c>
      <c r="K146" s="72">
        <v>46185</v>
      </c>
      <c r="L146" s="72">
        <f t="shared" si="279"/>
        <v>46185</v>
      </c>
      <c r="M146" s="72">
        <v>46161</v>
      </c>
      <c r="N146" s="72">
        <f t="shared" si="280"/>
        <v>46227</v>
      </c>
      <c r="O146" s="72">
        <f t="shared" si="281"/>
        <v>46227</v>
      </c>
      <c r="P146" s="72">
        <v>46234</v>
      </c>
      <c r="Q146" s="72">
        <f t="shared" si="282"/>
        <v>46269</v>
      </c>
      <c r="R146" s="72">
        <f t="shared" si="283"/>
        <v>46269</v>
      </c>
      <c r="S146" s="233">
        <v>46304</v>
      </c>
      <c r="T146" s="72">
        <f t="shared" si="284"/>
        <v>46283</v>
      </c>
      <c r="U146" s="72">
        <f t="shared" si="285"/>
        <v>46283</v>
      </c>
      <c r="V146" s="72"/>
      <c r="W146" s="204"/>
      <c r="Y146" s="175" t="str">
        <f t="shared" ca="1" si="306"/>
        <v>Completed</v>
      </c>
      <c r="Z146" s="175" t="str">
        <f t="shared" ca="1" si="307"/>
        <v>Completed</v>
      </c>
      <c r="AA146" s="175" t="str">
        <f t="shared" ca="1" si="308"/>
        <v>Completed</v>
      </c>
      <c r="AB146" s="176" t="str">
        <f t="shared" ca="1" si="309"/>
        <v>Overdue</v>
      </c>
    </row>
    <row r="147" spans="1:28" s="64" customFormat="1" ht="11.5" x14ac:dyDescent="0.25">
      <c r="A147" s="70" t="s">
        <v>61</v>
      </c>
      <c r="B147" s="70" t="s">
        <v>62</v>
      </c>
      <c r="C147" s="70" t="s">
        <v>85</v>
      </c>
      <c r="D147" s="75" t="s">
        <v>315</v>
      </c>
      <c r="E147" s="75" t="s">
        <v>143</v>
      </c>
      <c r="F147" s="116">
        <f t="shared" si="300"/>
        <v>1</v>
      </c>
      <c r="G147" s="116">
        <f t="shared" si="300"/>
        <v>1</v>
      </c>
      <c r="H147" s="116">
        <f t="shared" si="327"/>
        <v>0.79999999999999993</v>
      </c>
      <c r="I147" s="116">
        <f t="shared" si="278"/>
        <v>-0.20000000000000007</v>
      </c>
      <c r="J147" s="81">
        <v>0.15</v>
      </c>
      <c r="K147" s="72">
        <v>46185</v>
      </c>
      <c r="L147" s="72">
        <f t="shared" si="279"/>
        <v>46185</v>
      </c>
      <c r="M147" s="72">
        <v>46161</v>
      </c>
      <c r="N147" s="72">
        <f t="shared" si="280"/>
        <v>46227</v>
      </c>
      <c r="O147" s="72">
        <f t="shared" si="281"/>
        <v>46227</v>
      </c>
      <c r="P147" s="72">
        <v>46234</v>
      </c>
      <c r="Q147" s="72">
        <f t="shared" si="282"/>
        <v>46269</v>
      </c>
      <c r="R147" s="72">
        <f t="shared" si="283"/>
        <v>46269</v>
      </c>
      <c r="S147" s="233">
        <v>46304</v>
      </c>
      <c r="T147" s="72">
        <f t="shared" si="284"/>
        <v>46283</v>
      </c>
      <c r="U147" s="72">
        <f t="shared" si="285"/>
        <v>46283</v>
      </c>
      <c r="V147" s="72"/>
      <c r="W147" s="204"/>
      <c r="Y147" s="175" t="str">
        <f t="shared" ca="1" si="306"/>
        <v>Completed</v>
      </c>
      <c r="Z147" s="175" t="str">
        <f t="shared" ca="1" si="307"/>
        <v>Completed</v>
      </c>
      <c r="AA147" s="175" t="str">
        <f t="shared" ca="1" si="308"/>
        <v>Completed</v>
      </c>
      <c r="AB147" s="176" t="str">
        <f t="shared" ca="1" si="309"/>
        <v>Overdue</v>
      </c>
    </row>
    <row r="148" spans="1:28" s="64" customFormat="1" ht="11.5" x14ac:dyDescent="0.25">
      <c r="A148" s="70" t="s">
        <v>61</v>
      </c>
      <c r="B148" s="70" t="s">
        <v>62</v>
      </c>
      <c r="C148" s="70" t="s">
        <v>85</v>
      </c>
      <c r="D148" s="75" t="s">
        <v>316</v>
      </c>
      <c r="E148" s="75" t="s">
        <v>144</v>
      </c>
      <c r="F148" s="116">
        <f t="shared" si="300"/>
        <v>1</v>
      </c>
      <c r="G148" s="116">
        <f t="shared" si="300"/>
        <v>1</v>
      </c>
      <c r="H148" s="116">
        <f t="shared" si="327"/>
        <v>0.79999999999999993</v>
      </c>
      <c r="I148" s="116">
        <f t="shared" si="278"/>
        <v>-0.20000000000000007</v>
      </c>
      <c r="J148" s="81">
        <v>0.15</v>
      </c>
      <c r="K148" s="72">
        <v>46185</v>
      </c>
      <c r="L148" s="72">
        <f t="shared" si="279"/>
        <v>46185</v>
      </c>
      <c r="M148" s="72">
        <v>46161</v>
      </c>
      <c r="N148" s="72">
        <f t="shared" si="280"/>
        <v>46227</v>
      </c>
      <c r="O148" s="72">
        <f t="shared" si="281"/>
        <v>46227</v>
      </c>
      <c r="P148" s="72">
        <v>46234</v>
      </c>
      <c r="Q148" s="72">
        <f t="shared" si="282"/>
        <v>46269</v>
      </c>
      <c r="R148" s="72">
        <f t="shared" si="283"/>
        <v>46269</v>
      </c>
      <c r="S148" s="233">
        <v>46304</v>
      </c>
      <c r="T148" s="72">
        <f t="shared" si="284"/>
        <v>46283</v>
      </c>
      <c r="U148" s="72">
        <f t="shared" si="285"/>
        <v>46283</v>
      </c>
      <c r="V148" s="72"/>
      <c r="W148" s="204"/>
      <c r="Y148" s="175" t="str">
        <f t="shared" ca="1" si="306"/>
        <v>Completed</v>
      </c>
      <c r="Z148" s="175" t="str">
        <f t="shared" ca="1" si="307"/>
        <v>Completed</v>
      </c>
      <c r="AA148" s="175" t="str">
        <f t="shared" ca="1" si="308"/>
        <v>Completed</v>
      </c>
      <c r="AB148" s="176" t="str">
        <f t="shared" ca="1" si="309"/>
        <v>Overdue</v>
      </c>
    </row>
    <row r="149" spans="1:28" s="64" customFormat="1" ht="11.5" x14ac:dyDescent="0.25">
      <c r="A149" s="70" t="s">
        <v>61</v>
      </c>
      <c r="B149" s="70" t="s">
        <v>62</v>
      </c>
      <c r="C149" s="70" t="s">
        <v>85</v>
      </c>
      <c r="D149" s="75" t="s">
        <v>317</v>
      </c>
      <c r="E149" s="75" t="s">
        <v>145</v>
      </c>
      <c r="F149" s="116">
        <f t="shared" si="300"/>
        <v>1</v>
      </c>
      <c r="G149" s="116">
        <f t="shared" si="300"/>
        <v>1</v>
      </c>
      <c r="H149" s="116">
        <f t="shared" si="327"/>
        <v>0.79999999999999993</v>
      </c>
      <c r="I149" s="116">
        <f t="shared" si="278"/>
        <v>-0.20000000000000007</v>
      </c>
      <c r="J149" s="81">
        <v>0.15</v>
      </c>
      <c r="K149" s="72">
        <v>46185</v>
      </c>
      <c r="L149" s="72">
        <f t="shared" si="279"/>
        <v>46185</v>
      </c>
      <c r="M149" s="72">
        <v>46161</v>
      </c>
      <c r="N149" s="72">
        <f t="shared" si="280"/>
        <v>46227</v>
      </c>
      <c r="O149" s="72">
        <f t="shared" si="281"/>
        <v>46227</v>
      </c>
      <c r="P149" s="72">
        <v>46234</v>
      </c>
      <c r="Q149" s="72">
        <f t="shared" si="282"/>
        <v>46269</v>
      </c>
      <c r="R149" s="72">
        <f t="shared" si="283"/>
        <v>46269</v>
      </c>
      <c r="S149" s="74">
        <v>46293</v>
      </c>
      <c r="T149" s="72">
        <f t="shared" si="284"/>
        <v>46283</v>
      </c>
      <c r="U149" s="72">
        <f t="shared" si="285"/>
        <v>46283</v>
      </c>
      <c r="V149" s="72"/>
      <c r="W149" s="204" t="s">
        <v>539</v>
      </c>
      <c r="Y149" s="175" t="str">
        <f t="shared" ca="1" si="306"/>
        <v>Completed</v>
      </c>
      <c r="Z149" s="175" t="str">
        <f t="shared" ca="1" si="307"/>
        <v>Completed</v>
      </c>
      <c r="AA149" s="175" t="str">
        <f t="shared" ca="1" si="308"/>
        <v>Completed</v>
      </c>
      <c r="AB149" s="176" t="str">
        <f t="shared" ca="1" si="309"/>
        <v>Overdue</v>
      </c>
    </row>
    <row r="150" spans="1:28" s="64" customFormat="1" ht="11.5" x14ac:dyDescent="0.25">
      <c r="A150" s="70" t="s">
        <v>61</v>
      </c>
      <c r="B150" s="70" t="s">
        <v>62</v>
      </c>
      <c r="C150" s="70" t="s">
        <v>85</v>
      </c>
      <c r="D150" s="75" t="s">
        <v>318</v>
      </c>
      <c r="E150" s="75" t="s">
        <v>146</v>
      </c>
      <c r="F150" s="116">
        <f t="shared" si="300"/>
        <v>1</v>
      </c>
      <c r="G150" s="116">
        <f t="shared" si="300"/>
        <v>1</v>
      </c>
      <c r="H150" s="116">
        <f t="shared" si="327"/>
        <v>1</v>
      </c>
      <c r="I150" s="116">
        <f t="shared" si="278"/>
        <v>0</v>
      </c>
      <c r="J150" s="81">
        <v>0.15</v>
      </c>
      <c r="K150" s="72">
        <v>46185</v>
      </c>
      <c r="L150" s="72">
        <f t="shared" si="279"/>
        <v>46185</v>
      </c>
      <c r="M150" s="72">
        <v>46161</v>
      </c>
      <c r="N150" s="72">
        <f t="shared" si="280"/>
        <v>46227</v>
      </c>
      <c r="O150" s="72">
        <f t="shared" si="281"/>
        <v>46227</v>
      </c>
      <c r="P150" s="72">
        <v>46234</v>
      </c>
      <c r="Q150" s="72">
        <f t="shared" si="282"/>
        <v>46269</v>
      </c>
      <c r="R150" s="72">
        <f t="shared" si="283"/>
        <v>46269</v>
      </c>
      <c r="S150" s="74">
        <v>46293</v>
      </c>
      <c r="T150" s="72">
        <f t="shared" si="284"/>
        <v>46283</v>
      </c>
      <c r="U150" s="72">
        <f t="shared" si="285"/>
        <v>46283</v>
      </c>
      <c r="V150" s="72">
        <v>46296</v>
      </c>
      <c r="W150" s="204"/>
      <c r="Y150" s="175" t="str">
        <f t="shared" ca="1" si="306"/>
        <v>Completed</v>
      </c>
      <c r="Z150" s="175" t="str">
        <f t="shared" ca="1" si="307"/>
        <v>Completed</v>
      </c>
      <c r="AA150" s="175" t="str">
        <f t="shared" ca="1" si="308"/>
        <v>Completed</v>
      </c>
      <c r="AB150" s="176" t="str">
        <f t="shared" ca="1" si="309"/>
        <v>Completed</v>
      </c>
    </row>
    <row r="151" spans="1:28" s="64" customFormat="1" ht="11.5" x14ac:dyDescent="0.25">
      <c r="A151" s="70" t="s">
        <v>61</v>
      </c>
      <c r="B151" s="70" t="s">
        <v>62</v>
      </c>
      <c r="C151" s="70" t="s">
        <v>85</v>
      </c>
      <c r="D151" s="75" t="s">
        <v>319</v>
      </c>
      <c r="E151" s="75" t="s">
        <v>147</v>
      </c>
      <c r="F151" s="116">
        <f t="shared" si="300"/>
        <v>1</v>
      </c>
      <c r="G151" s="116">
        <f t="shared" si="300"/>
        <v>1</v>
      </c>
      <c r="H151" s="116">
        <f t="shared" si="327"/>
        <v>1</v>
      </c>
      <c r="I151" s="116">
        <f t="shared" si="278"/>
        <v>0</v>
      </c>
      <c r="J151" s="81">
        <v>0.15</v>
      </c>
      <c r="K151" s="72">
        <v>46185</v>
      </c>
      <c r="L151" s="72">
        <f t="shared" si="279"/>
        <v>46185</v>
      </c>
      <c r="M151" s="72">
        <v>46161</v>
      </c>
      <c r="N151" s="72">
        <f t="shared" si="280"/>
        <v>46227</v>
      </c>
      <c r="O151" s="72">
        <f t="shared" si="281"/>
        <v>46227</v>
      </c>
      <c r="P151" s="72">
        <v>46234</v>
      </c>
      <c r="Q151" s="72">
        <f t="shared" si="282"/>
        <v>46269</v>
      </c>
      <c r="R151" s="72">
        <f t="shared" si="283"/>
        <v>46269</v>
      </c>
      <c r="S151" s="74">
        <v>46293</v>
      </c>
      <c r="T151" s="72">
        <f t="shared" si="284"/>
        <v>46283</v>
      </c>
      <c r="U151" s="72">
        <f t="shared" si="285"/>
        <v>46283</v>
      </c>
      <c r="V151" s="72">
        <v>46296</v>
      </c>
      <c r="W151" s="204"/>
      <c r="Y151" s="175" t="str">
        <f t="shared" ca="1" si="306"/>
        <v>Completed</v>
      </c>
      <c r="Z151" s="175" t="str">
        <f t="shared" ca="1" si="307"/>
        <v>Completed</v>
      </c>
      <c r="AA151" s="175" t="str">
        <f t="shared" ca="1" si="308"/>
        <v>Completed</v>
      </c>
      <c r="AB151" s="176" t="str">
        <f t="shared" ca="1" si="309"/>
        <v>Completed</v>
      </c>
    </row>
    <row r="152" spans="1:28" s="64" customFormat="1" ht="11.5" x14ac:dyDescent="0.25">
      <c r="A152" s="70" t="s">
        <v>61</v>
      </c>
      <c r="B152" s="70" t="s">
        <v>62</v>
      </c>
      <c r="C152" s="70" t="s">
        <v>85</v>
      </c>
      <c r="D152" s="75" t="s">
        <v>320</v>
      </c>
      <c r="E152" s="75" t="s">
        <v>148</v>
      </c>
      <c r="F152" s="116">
        <f t="shared" si="300"/>
        <v>1</v>
      </c>
      <c r="G152" s="116">
        <f t="shared" si="300"/>
        <v>1</v>
      </c>
      <c r="H152" s="116">
        <f t="shared" si="327"/>
        <v>1</v>
      </c>
      <c r="I152" s="116">
        <f t="shared" si="278"/>
        <v>0</v>
      </c>
      <c r="J152" s="81">
        <v>0.15</v>
      </c>
      <c r="K152" s="72">
        <v>46185</v>
      </c>
      <c r="L152" s="72">
        <f t="shared" si="279"/>
        <v>46185</v>
      </c>
      <c r="M152" s="72">
        <v>46161</v>
      </c>
      <c r="N152" s="72">
        <f t="shared" si="280"/>
        <v>46227</v>
      </c>
      <c r="O152" s="72">
        <f t="shared" si="281"/>
        <v>46227</v>
      </c>
      <c r="P152" s="72">
        <v>46234</v>
      </c>
      <c r="Q152" s="72">
        <f t="shared" si="282"/>
        <v>46269</v>
      </c>
      <c r="R152" s="72">
        <f t="shared" si="283"/>
        <v>46269</v>
      </c>
      <c r="S152" s="74">
        <v>46293</v>
      </c>
      <c r="T152" s="72">
        <f t="shared" si="284"/>
        <v>46283</v>
      </c>
      <c r="U152" s="72">
        <f t="shared" si="285"/>
        <v>46283</v>
      </c>
      <c r="V152" s="72">
        <v>46296</v>
      </c>
      <c r="W152" s="204"/>
      <c r="Y152" s="175" t="str">
        <f t="shared" ca="1" si="306"/>
        <v>Completed</v>
      </c>
      <c r="Z152" s="175" t="str">
        <f t="shared" ca="1" si="307"/>
        <v>Completed</v>
      </c>
      <c r="AA152" s="175" t="str">
        <f t="shared" ca="1" si="308"/>
        <v>Completed</v>
      </c>
      <c r="AB152" s="176" t="str">
        <f t="shared" ca="1" si="309"/>
        <v>Completed</v>
      </c>
    </row>
    <row r="153" spans="1:28" s="64" customFormat="1" ht="11.5" x14ac:dyDescent="0.25">
      <c r="A153" s="70" t="s">
        <v>61</v>
      </c>
      <c r="B153" s="70" t="s">
        <v>62</v>
      </c>
      <c r="C153" s="70" t="s">
        <v>85</v>
      </c>
      <c r="D153" s="75" t="s">
        <v>321</v>
      </c>
      <c r="E153" s="75" t="s">
        <v>149</v>
      </c>
      <c r="F153" s="116">
        <f t="shared" si="300"/>
        <v>1</v>
      </c>
      <c r="G153" s="116">
        <f t="shared" si="300"/>
        <v>1</v>
      </c>
      <c r="H153" s="116">
        <f t="shared" si="327"/>
        <v>1</v>
      </c>
      <c r="I153" s="116">
        <f t="shared" si="278"/>
        <v>0</v>
      </c>
      <c r="J153" s="81">
        <v>0.15</v>
      </c>
      <c r="K153" s="72">
        <v>46185</v>
      </c>
      <c r="L153" s="72">
        <f t="shared" si="279"/>
        <v>46185</v>
      </c>
      <c r="M153" s="72">
        <v>46161</v>
      </c>
      <c r="N153" s="72">
        <f t="shared" si="280"/>
        <v>46227</v>
      </c>
      <c r="O153" s="72">
        <f t="shared" si="281"/>
        <v>46227</v>
      </c>
      <c r="P153" s="72">
        <v>46234</v>
      </c>
      <c r="Q153" s="72">
        <f t="shared" si="282"/>
        <v>46269</v>
      </c>
      <c r="R153" s="72">
        <f t="shared" si="283"/>
        <v>46269</v>
      </c>
      <c r="S153" s="74">
        <v>46293</v>
      </c>
      <c r="T153" s="72">
        <f t="shared" si="284"/>
        <v>46283</v>
      </c>
      <c r="U153" s="72">
        <f t="shared" si="285"/>
        <v>46283</v>
      </c>
      <c r="V153" s="72">
        <v>46296</v>
      </c>
      <c r="W153" s="204"/>
      <c r="Y153" s="175" t="str">
        <f t="shared" ca="1" si="306"/>
        <v>Completed</v>
      </c>
      <c r="Z153" s="175" t="str">
        <f t="shared" ca="1" si="307"/>
        <v>Completed</v>
      </c>
      <c r="AA153" s="175" t="str">
        <f t="shared" ca="1" si="308"/>
        <v>Completed</v>
      </c>
      <c r="AB153" s="176" t="str">
        <f t="shared" ca="1" si="309"/>
        <v>Completed</v>
      </c>
    </row>
    <row r="154" spans="1:28" s="64" customFormat="1" ht="11.5" x14ac:dyDescent="0.25">
      <c r="A154" s="70" t="s">
        <v>61</v>
      </c>
      <c r="B154" s="70" t="s">
        <v>62</v>
      </c>
      <c r="C154" s="70" t="s">
        <v>85</v>
      </c>
      <c r="D154" s="75" t="s">
        <v>322</v>
      </c>
      <c r="E154" s="75" t="s">
        <v>150</v>
      </c>
      <c r="F154" s="116">
        <f t="shared" si="300"/>
        <v>1</v>
      </c>
      <c r="G154" s="116">
        <f t="shared" si="300"/>
        <v>1</v>
      </c>
      <c r="H154" s="116">
        <f t="shared" si="327"/>
        <v>1</v>
      </c>
      <c r="I154" s="116">
        <f t="shared" si="278"/>
        <v>0</v>
      </c>
      <c r="J154" s="81">
        <v>0.15</v>
      </c>
      <c r="K154" s="72">
        <v>46185</v>
      </c>
      <c r="L154" s="72">
        <f t="shared" si="279"/>
        <v>46185</v>
      </c>
      <c r="M154" s="72">
        <v>46161</v>
      </c>
      <c r="N154" s="72">
        <f t="shared" si="280"/>
        <v>46227</v>
      </c>
      <c r="O154" s="72">
        <f t="shared" si="281"/>
        <v>46227</v>
      </c>
      <c r="P154" s="72">
        <v>46234</v>
      </c>
      <c r="Q154" s="72">
        <f t="shared" si="282"/>
        <v>46269</v>
      </c>
      <c r="R154" s="72">
        <f t="shared" si="283"/>
        <v>46269</v>
      </c>
      <c r="S154" s="74">
        <v>46293</v>
      </c>
      <c r="T154" s="72">
        <f t="shared" si="284"/>
        <v>46283</v>
      </c>
      <c r="U154" s="72">
        <f t="shared" si="285"/>
        <v>46283</v>
      </c>
      <c r="V154" s="72">
        <v>46296</v>
      </c>
      <c r="W154" s="204"/>
      <c r="Y154" s="175" t="str">
        <f t="shared" ca="1" si="306"/>
        <v>Completed</v>
      </c>
      <c r="Z154" s="175" t="str">
        <f t="shared" ca="1" si="307"/>
        <v>Completed</v>
      </c>
      <c r="AA154" s="175" t="str">
        <f t="shared" ca="1" si="308"/>
        <v>Completed</v>
      </c>
      <c r="AB154" s="176" t="str">
        <f t="shared" ca="1" si="309"/>
        <v>Completed</v>
      </c>
    </row>
    <row r="155" spans="1:28" s="64" customFormat="1" ht="11.5" x14ac:dyDescent="0.25">
      <c r="A155" s="70" t="s">
        <v>61</v>
      </c>
      <c r="B155" s="70" t="s">
        <v>62</v>
      </c>
      <c r="C155" s="70" t="s">
        <v>85</v>
      </c>
      <c r="D155" s="75" t="s">
        <v>323</v>
      </c>
      <c r="E155" s="75" t="s">
        <v>151</v>
      </c>
      <c r="F155" s="116">
        <f t="shared" si="300"/>
        <v>1</v>
      </c>
      <c r="G155" s="116">
        <f t="shared" si="300"/>
        <v>1</v>
      </c>
      <c r="H155" s="116">
        <f t="shared" si="327"/>
        <v>0.79999999999999993</v>
      </c>
      <c r="I155" s="116">
        <f t="shared" si="278"/>
        <v>-0.20000000000000007</v>
      </c>
      <c r="J155" s="81">
        <v>0.15</v>
      </c>
      <c r="K155" s="72">
        <v>46185</v>
      </c>
      <c r="L155" s="72">
        <f t="shared" si="279"/>
        <v>46185</v>
      </c>
      <c r="M155" s="72">
        <v>46199</v>
      </c>
      <c r="N155" s="72">
        <f t="shared" si="280"/>
        <v>46227</v>
      </c>
      <c r="O155" s="72">
        <f t="shared" si="281"/>
        <v>46227</v>
      </c>
      <c r="P155" s="74">
        <v>46255</v>
      </c>
      <c r="Q155" s="72">
        <f t="shared" si="282"/>
        <v>46269</v>
      </c>
      <c r="R155" s="72">
        <f t="shared" si="283"/>
        <v>46269</v>
      </c>
      <c r="S155" s="233">
        <v>46304</v>
      </c>
      <c r="T155" s="72">
        <f t="shared" si="284"/>
        <v>46283</v>
      </c>
      <c r="U155" s="72">
        <f t="shared" si="285"/>
        <v>46283</v>
      </c>
      <c r="V155" s="72"/>
      <c r="W155" s="204"/>
      <c r="Y155" s="175" t="str">
        <f t="shared" ca="1" si="306"/>
        <v>Completed</v>
      </c>
      <c r="Z155" s="175" t="str">
        <f t="shared" ca="1" si="307"/>
        <v>Completed</v>
      </c>
      <c r="AA155" s="175" t="str">
        <f t="shared" ca="1" si="308"/>
        <v>Completed</v>
      </c>
      <c r="AB155" s="176" t="str">
        <f t="shared" ca="1" si="309"/>
        <v>Overdue</v>
      </c>
    </row>
    <row r="156" spans="1:28" s="64" customFormat="1" ht="11.5" x14ac:dyDescent="0.25">
      <c r="A156" s="70" t="s">
        <v>61</v>
      </c>
      <c r="B156" s="70" t="s">
        <v>62</v>
      </c>
      <c r="C156" s="70" t="s">
        <v>85</v>
      </c>
      <c r="D156" s="75" t="s">
        <v>324</v>
      </c>
      <c r="E156" s="75" t="s">
        <v>398</v>
      </c>
      <c r="F156" s="116">
        <f t="shared" si="300"/>
        <v>1</v>
      </c>
      <c r="G156" s="116">
        <f t="shared" si="300"/>
        <v>1</v>
      </c>
      <c r="H156" s="116">
        <f t="shared" si="327"/>
        <v>0.79999999999999993</v>
      </c>
      <c r="I156" s="116">
        <f t="shared" si="278"/>
        <v>-0.20000000000000007</v>
      </c>
      <c r="J156" s="81">
        <v>0.15</v>
      </c>
      <c r="K156" s="72">
        <v>46185</v>
      </c>
      <c r="L156" s="72">
        <f t="shared" si="279"/>
        <v>46185</v>
      </c>
      <c r="M156" s="72">
        <v>46199</v>
      </c>
      <c r="N156" s="72">
        <f t="shared" si="280"/>
        <v>46227</v>
      </c>
      <c r="O156" s="72">
        <f t="shared" si="281"/>
        <v>46227</v>
      </c>
      <c r="P156" s="74">
        <v>46255</v>
      </c>
      <c r="Q156" s="72">
        <f t="shared" si="282"/>
        <v>46269</v>
      </c>
      <c r="R156" s="72">
        <f t="shared" si="283"/>
        <v>46269</v>
      </c>
      <c r="S156" s="233">
        <v>46304</v>
      </c>
      <c r="T156" s="72">
        <f t="shared" si="284"/>
        <v>46283</v>
      </c>
      <c r="U156" s="72">
        <f t="shared" si="285"/>
        <v>46283</v>
      </c>
      <c r="V156" s="72"/>
      <c r="W156" s="204"/>
      <c r="Y156" s="175" t="str">
        <f t="shared" ca="1" si="306"/>
        <v>Completed</v>
      </c>
      <c r="Z156" s="175" t="str">
        <f t="shared" ca="1" si="307"/>
        <v>Completed</v>
      </c>
      <c r="AA156" s="175" t="str">
        <f t="shared" ca="1" si="308"/>
        <v>Completed</v>
      </c>
      <c r="AB156" s="176" t="str">
        <f t="shared" ca="1" si="309"/>
        <v>Overdue</v>
      </c>
    </row>
    <row r="157" spans="1:28" s="225" customFormat="1" ht="11.5" customHeight="1" x14ac:dyDescent="0.35">
      <c r="A157" s="193" t="s">
        <v>61</v>
      </c>
      <c r="B157" s="193" t="s">
        <v>62</v>
      </c>
      <c r="C157" s="193" t="s">
        <v>85</v>
      </c>
      <c r="D157" s="221" t="s">
        <v>397</v>
      </c>
      <c r="E157" s="221" t="s">
        <v>504</v>
      </c>
      <c r="F157" s="222"/>
      <c r="G157" s="222"/>
      <c r="H157" s="223"/>
      <c r="I157" s="223"/>
      <c r="J157" s="224">
        <v>0.15</v>
      </c>
      <c r="K157" s="198">
        <v>46185</v>
      </c>
      <c r="L157" s="198">
        <f t="shared" ref="L157" si="328">K157</f>
        <v>46185</v>
      </c>
      <c r="M157" s="198">
        <v>46248</v>
      </c>
      <c r="N157" s="198">
        <f t="shared" ref="N157" si="329">K157+42</f>
        <v>46227</v>
      </c>
      <c r="O157" s="198">
        <f t="shared" ref="O157" si="330">N157</f>
        <v>46227</v>
      </c>
      <c r="P157" s="198">
        <v>46248</v>
      </c>
      <c r="Q157" s="198">
        <f t="shared" ref="Q157" si="331">N157+42</f>
        <v>46269</v>
      </c>
      <c r="R157" s="198">
        <f t="shared" ref="R157" si="332">Q157</f>
        <v>46269</v>
      </c>
      <c r="S157" s="198">
        <v>46248</v>
      </c>
      <c r="T157" s="198">
        <f t="shared" ref="T157" si="333">Q157+14</f>
        <v>46283</v>
      </c>
      <c r="U157" s="198">
        <f t="shared" ref="U157" si="334">T157</f>
        <v>46283</v>
      </c>
      <c r="V157" s="198">
        <v>46248</v>
      </c>
      <c r="W157" s="216"/>
      <c r="Y157" s="175" t="str">
        <f t="shared" ca="1" si="306"/>
        <v>Completed</v>
      </c>
      <c r="Z157" s="175" t="str">
        <f t="shared" ca="1" si="307"/>
        <v>Completed</v>
      </c>
      <c r="AA157" s="175" t="str">
        <f t="shared" ca="1" si="308"/>
        <v>Completed</v>
      </c>
      <c r="AB157" s="176" t="str">
        <f t="shared" ca="1" si="309"/>
        <v>Completed</v>
      </c>
    </row>
    <row r="158" spans="1:28" s="64" customFormat="1" ht="11.5" x14ac:dyDescent="0.25">
      <c r="A158" s="70" t="s">
        <v>61</v>
      </c>
      <c r="B158" s="70" t="s">
        <v>62</v>
      </c>
      <c r="C158" s="70" t="s">
        <v>85</v>
      </c>
      <c r="D158" s="75" t="s">
        <v>325</v>
      </c>
      <c r="E158" s="75" t="s">
        <v>152</v>
      </c>
      <c r="F158" s="116">
        <f t="shared" si="300"/>
        <v>1</v>
      </c>
      <c r="G158" s="116">
        <f t="shared" si="300"/>
        <v>1</v>
      </c>
      <c r="H158" s="116">
        <f t="shared" ref="H158:H164" si="335">(COUNTIFS(M158,"&lt;="&amp;$D$1)*50%)+(COUNTIFS(P158,"&lt;="&amp;$D$1)*20%)+(COUNTIFS(S158,"&lt;="&amp;$D$1)*10%)+(COUNTIFS(V158,"&lt;="&amp;$D$1)*20%)</f>
        <v>0.79999999999999993</v>
      </c>
      <c r="I158" s="116">
        <f t="shared" si="278"/>
        <v>-0.20000000000000007</v>
      </c>
      <c r="J158" s="81">
        <v>0.15</v>
      </c>
      <c r="K158" s="72">
        <v>46199</v>
      </c>
      <c r="L158" s="72">
        <f t="shared" si="279"/>
        <v>46199</v>
      </c>
      <c r="M158" s="72">
        <v>46171</v>
      </c>
      <c r="N158" s="72">
        <f t="shared" si="280"/>
        <v>46241</v>
      </c>
      <c r="O158" s="72">
        <f t="shared" si="281"/>
        <v>46241</v>
      </c>
      <c r="P158" s="72">
        <v>46248</v>
      </c>
      <c r="Q158" s="72">
        <f t="shared" si="282"/>
        <v>46283</v>
      </c>
      <c r="R158" s="72">
        <f t="shared" si="283"/>
        <v>46283</v>
      </c>
      <c r="S158" s="233">
        <v>46304</v>
      </c>
      <c r="T158" s="72">
        <f t="shared" si="284"/>
        <v>46297</v>
      </c>
      <c r="U158" s="72">
        <f t="shared" si="285"/>
        <v>46297</v>
      </c>
      <c r="V158" s="72"/>
      <c r="W158" s="204"/>
      <c r="Y158" s="175" t="str">
        <f t="shared" ca="1" si="306"/>
        <v>Completed</v>
      </c>
      <c r="Z158" s="175" t="str">
        <f t="shared" ca="1" si="307"/>
        <v>Completed</v>
      </c>
      <c r="AA158" s="175" t="str">
        <f t="shared" ca="1" si="308"/>
        <v>Completed</v>
      </c>
      <c r="AB158" s="176" t="str">
        <f t="shared" ca="1" si="309"/>
        <v>Overdue</v>
      </c>
    </row>
    <row r="159" spans="1:28" s="64" customFormat="1" ht="11.5" x14ac:dyDescent="0.25">
      <c r="A159" s="70" t="s">
        <v>61</v>
      </c>
      <c r="B159" s="70" t="s">
        <v>62</v>
      </c>
      <c r="C159" s="70" t="s">
        <v>85</v>
      </c>
      <c r="D159" s="75" t="s">
        <v>326</v>
      </c>
      <c r="E159" s="75" t="s">
        <v>153</v>
      </c>
      <c r="F159" s="116">
        <f t="shared" si="300"/>
        <v>1</v>
      </c>
      <c r="G159" s="116">
        <f t="shared" si="300"/>
        <v>1</v>
      </c>
      <c r="H159" s="116">
        <f t="shared" si="335"/>
        <v>0.79999999999999993</v>
      </c>
      <c r="I159" s="116">
        <f t="shared" si="278"/>
        <v>-0.20000000000000007</v>
      </c>
      <c r="J159" s="81">
        <v>0.15</v>
      </c>
      <c r="K159" s="72">
        <v>46199</v>
      </c>
      <c r="L159" s="72">
        <f t="shared" si="279"/>
        <v>46199</v>
      </c>
      <c r="M159" s="72">
        <v>46171</v>
      </c>
      <c r="N159" s="72">
        <f t="shared" si="280"/>
        <v>46241</v>
      </c>
      <c r="O159" s="72">
        <f t="shared" si="281"/>
        <v>46241</v>
      </c>
      <c r="P159" s="72">
        <v>46248</v>
      </c>
      <c r="Q159" s="72">
        <f t="shared" si="282"/>
        <v>46283</v>
      </c>
      <c r="R159" s="72">
        <f t="shared" si="283"/>
        <v>46283</v>
      </c>
      <c r="S159" s="233">
        <v>46304</v>
      </c>
      <c r="T159" s="72">
        <f t="shared" si="284"/>
        <v>46297</v>
      </c>
      <c r="U159" s="72">
        <f t="shared" si="285"/>
        <v>46297</v>
      </c>
      <c r="V159" s="72"/>
      <c r="W159" s="204"/>
      <c r="Y159" s="175" t="str">
        <f t="shared" ca="1" si="306"/>
        <v>Completed</v>
      </c>
      <c r="Z159" s="175" t="str">
        <f t="shared" ca="1" si="307"/>
        <v>Completed</v>
      </c>
      <c r="AA159" s="175" t="str">
        <f t="shared" ca="1" si="308"/>
        <v>Completed</v>
      </c>
      <c r="AB159" s="176" t="str">
        <f t="shared" ca="1" si="309"/>
        <v>Overdue</v>
      </c>
    </row>
    <row r="160" spans="1:28" s="94" customFormat="1" ht="11.5" x14ac:dyDescent="0.25">
      <c r="A160" s="70" t="s">
        <v>61</v>
      </c>
      <c r="B160" s="70" t="s">
        <v>62</v>
      </c>
      <c r="C160" s="70" t="s">
        <v>85</v>
      </c>
      <c r="D160" s="124" t="s">
        <v>327</v>
      </c>
      <c r="E160" s="124" t="s">
        <v>154</v>
      </c>
      <c r="F160" s="125">
        <f t="shared" ref="F160" si="336">(COUNTIFS(K160,"&lt;="&amp;$D$1)*50%)+(COUNTIFS(N160,"&lt;="&amp;$D$1)*20%)+(COUNTIFS(Q160,"&lt;="&amp;$D$1)*10%)+(COUNTIFS(T160,"&lt;="&amp;$D$1)*20%)</f>
        <v>1</v>
      </c>
      <c r="G160" s="125">
        <f t="shared" ref="G160" si="337">(COUNTIFS(L160,"&lt;="&amp;$D$1)*50%)+(COUNTIFS(O160,"&lt;="&amp;$D$1)*20%)+(COUNTIFS(R160,"&lt;="&amp;$D$1)*10%)+(COUNTIFS(U160,"&lt;="&amp;$D$1)*20%)</f>
        <v>1</v>
      </c>
      <c r="H160" s="125">
        <f t="shared" si="335"/>
        <v>0.79999999999999993</v>
      </c>
      <c r="I160" s="125">
        <f t="shared" ref="I160" si="338">H160-F160</f>
        <v>-0.20000000000000007</v>
      </c>
      <c r="J160" s="81">
        <v>0.15</v>
      </c>
      <c r="K160" s="72">
        <v>46199</v>
      </c>
      <c r="L160" s="74">
        <f t="shared" si="279"/>
        <v>46199</v>
      </c>
      <c r="M160" s="72">
        <v>46171</v>
      </c>
      <c r="N160" s="74">
        <f t="shared" si="280"/>
        <v>46241</v>
      </c>
      <c r="O160" s="74">
        <f t="shared" si="281"/>
        <v>46241</v>
      </c>
      <c r="P160" s="72">
        <v>46248</v>
      </c>
      <c r="Q160" s="74">
        <f t="shared" si="282"/>
        <v>46283</v>
      </c>
      <c r="R160" s="74">
        <f t="shared" si="283"/>
        <v>46283</v>
      </c>
      <c r="S160" s="233">
        <v>46304</v>
      </c>
      <c r="T160" s="74">
        <f t="shared" si="284"/>
        <v>46297</v>
      </c>
      <c r="U160" s="74">
        <f t="shared" si="285"/>
        <v>46297</v>
      </c>
      <c r="V160" s="72"/>
      <c r="W160" s="204"/>
      <c r="Y160" s="175" t="str">
        <f t="shared" ca="1" si="306"/>
        <v>Completed</v>
      </c>
      <c r="Z160" s="175" t="str">
        <f t="shared" ca="1" si="307"/>
        <v>Completed</v>
      </c>
      <c r="AA160" s="175" t="str">
        <f t="shared" ca="1" si="308"/>
        <v>Completed</v>
      </c>
      <c r="AB160" s="176" t="str">
        <f t="shared" ca="1" si="309"/>
        <v>Overdue</v>
      </c>
    </row>
    <row r="161" spans="1:28" s="64" customFormat="1" ht="11.5" x14ac:dyDescent="0.25">
      <c r="A161" s="70" t="s">
        <v>61</v>
      </c>
      <c r="B161" s="70" t="s">
        <v>62</v>
      </c>
      <c r="C161" s="70" t="s">
        <v>85</v>
      </c>
      <c r="D161" s="75" t="s">
        <v>328</v>
      </c>
      <c r="E161" s="75" t="s">
        <v>155</v>
      </c>
      <c r="F161" s="116">
        <f t="shared" si="300"/>
        <v>1</v>
      </c>
      <c r="G161" s="116">
        <f t="shared" si="300"/>
        <v>1</v>
      </c>
      <c r="H161" s="116">
        <f t="shared" si="335"/>
        <v>0.79999999999999993</v>
      </c>
      <c r="I161" s="116">
        <f t="shared" si="278"/>
        <v>-0.20000000000000007</v>
      </c>
      <c r="J161" s="81">
        <v>0.15</v>
      </c>
      <c r="K161" s="72">
        <v>46199</v>
      </c>
      <c r="L161" s="72">
        <f t="shared" si="279"/>
        <v>46199</v>
      </c>
      <c r="M161" s="72">
        <v>46171</v>
      </c>
      <c r="N161" s="72">
        <f t="shared" si="280"/>
        <v>46241</v>
      </c>
      <c r="O161" s="72">
        <f t="shared" si="281"/>
        <v>46241</v>
      </c>
      <c r="P161" s="72">
        <v>46248</v>
      </c>
      <c r="Q161" s="72">
        <f t="shared" si="282"/>
        <v>46283</v>
      </c>
      <c r="R161" s="72">
        <f t="shared" si="283"/>
        <v>46283</v>
      </c>
      <c r="S161" s="233">
        <v>46304</v>
      </c>
      <c r="T161" s="72">
        <f t="shared" si="284"/>
        <v>46297</v>
      </c>
      <c r="U161" s="72">
        <f t="shared" si="285"/>
        <v>46297</v>
      </c>
      <c r="V161" s="72"/>
      <c r="W161" s="204"/>
      <c r="Y161" s="175" t="str">
        <f t="shared" ca="1" si="306"/>
        <v>Completed</v>
      </c>
      <c r="Z161" s="175" t="str">
        <f t="shared" ca="1" si="307"/>
        <v>Completed</v>
      </c>
      <c r="AA161" s="175" t="str">
        <f t="shared" ca="1" si="308"/>
        <v>Completed</v>
      </c>
      <c r="AB161" s="176" t="str">
        <f t="shared" ca="1" si="309"/>
        <v>Overdue</v>
      </c>
    </row>
    <row r="162" spans="1:28" s="64" customFormat="1" ht="11.5" x14ac:dyDescent="0.25">
      <c r="A162" s="70" t="s">
        <v>61</v>
      </c>
      <c r="B162" s="70" t="s">
        <v>62</v>
      </c>
      <c r="C162" s="70" t="s">
        <v>85</v>
      </c>
      <c r="D162" s="75" t="s">
        <v>329</v>
      </c>
      <c r="E162" s="75" t="s">
        <v>156</v>
      </c>
      <c r="F162" s="116">
        <f t="shared" si="300"/>
        <v>1</v>
      </c>
      <c r="G162" s="116">
        <f t="shared" si="300"/>
        <v>1</v>
      </c>
      <c r="H162" s="116">
        <f t="shared" si="335"/>
        <v>0.79999999999999993</v>
      </c>
      <c r="I162" s="116">
        <f t="shared" si="278"/>
        <v>-0.20000000000000007</v>
      </c>
      <c r="J162" s="81">
        <v>0.15</v>
      </c>
      <c r="K162" s="72">
        <v>46199</v>
      </c>
      <c r="L162" s="72">
        <f t="shared" si="279"/>
        <v>46199</v>
      </c>
      <c r="M162" s="72">
        <v>46171</v>
      </c>
      <c r="N162" s="72">
        <f t="shared" si="280"/>
        <v>46241</v>
      </c>
      <c r="O162" s="72">
        <f t="shared" si="281"/>
        <v>46241</v>
      </c>
      <c r="P162" s="72">
        <v>46248</v>
      </c>
      <c r="Q162" s="72">
        <f t="shared" si="282"/>
        <v>46283</v>
      </c>
      <c r="R162" s="72">
        <f t="shared" si="283"/>
        <v>46283</v>
      </c>
      <c r="S162" s="233">
        <v>46304</v>
      </c>
      <c r="T162" s="72">
        <f t="shared" si="284"/>
        <v>46297</v>
      </c>
      <c r="U162" s="72">
        <f t="shared" si="285"/>
        <v>46297</v>
      </c>
      <c r="V162" s="72"/>
      <c r="W162" s="204"/>
      <c r="Y162" s="175" t="str">
        <f t="shared" ca="1" si="306"/>
        <v>Completed</v>
      </c>
      <c r="Z162" s="175" t="str">
        <f t="shared" ca="1" si="307"/>
        <v>Completed</v>
      </c>
      <c r="AA162" s="175" t="str">
        <f t="shared" ca="1" si="308"/>
        <v>Completed</v>
      </c>
      <c r="AB162" s="176" t="str">
        <f t="shared" ca="1" si="309"/>
        <v>Overdue</v>
      </c>
    </row>
    <row r="163" spans="1:28" s="64" customFormat="1" ht="11.5" x14ac:dyDescent="0.25">
      <c r="A163" s="70" t="s">
        <v>61</v>
      </c>
      <c r="B163" s="70" t="s">
        <v>62</v>
      </c>
      <c r="C163" s="70" t="s">
        <v>85</v>
      </c>
      <c r="D163" s="75" t="s">
        <v>399</v>
      </c>
      <c r="E163" s="75" t="s">
        <v>400</v>
      </c>
      <c r="F163" s="116">
        <f t="shared" ref="F163:F164" si="339">(COUNTIFS(K163,"&lt;="&amp;$D$1)*50%)+(COUNTIFS(N163,"&lt;="&amp;$D$1)*20%)+(COUNTIFS(Q163,"&lt;="&amp;$D$1)*10%)+(COUNTIFS(T163,"&lt;="&amp;$D$1)*20%)</f>
        <v>1</v>
      </c>
      <c r="G163" s="116">
        <f t="shared" ref="G163:G164" si="340">(COUNTIFS(L163,"&lt;="&amp;$D$1)*50%)+(COUNTIFS(O163,"&lt;="&amp;$D$1)*20%)+(COUNTIFS(R163,"&lt;="&amp;$D$1)*10%)+(COUNTIFS(U163,"&lt;="&amp;$D$1)*20%)</f>
        <v>1</v>
      </c>
      <c r="H163" s="116">
        <f t="shared" si="335"/>
        <v>0.79999999999999993</v>
      </c>
      <c r="I163" s="116">
        <f t="shared" ref="I163:I164" si="341">H163-F163</f>
        <v>-0.20000000000000007</v>
      </c>
      <c r="J163" s="81">
        <v>0.15</v>
      </c>
      <c r="K163" s="72">
        <v>46199</v>
      </c>
      <c r="L163" s="72">
        <f t="shared" ref="L163:L164" si="342">K163</f>
        <v>46199</v>
      </c>
      <c r="M163" s="72">
        <v>46178</v>
      </c>
      <c r="N163" s="72">
        <f t="shared" ref="N163:N164" si="343">K163+42</f>
        <v>46241</v>
      </c>
      <c r="O163" s="72">
        <f t="shared" ref="O163:O164" si="344">N163</f>
        <v>46241</v>
      </c>
      <c r="P163" s="72">
        <v>46248</v>
      </c>
      <c r="Q163" s="72">
        <f t="shared" ref="Q163:Q164" si="345">N163+42</f>
        <v>46283</v>
      </c>
      <c r="R163" s="72">
        <f t="shared" ref="R163:R164" si="346">Q163</f>
        <v>46283</v>
      </c>
      <c r="S163" s="233">
        <v>46304</v>
      </c>
      <c r="T163" s="72">
        <f t="shared" ref="T163:T164" si="347">Q163+14</f>
        <v>46297</v>
      </c>
      <c r="U163" s="72">
        <f t="shared" ref="U163:U164" si="348">T163</f>
        <v>46297</v>
      </c>
      <c r="V163" s="72"/>
      <c r="W163" s="204"/>
      <c r="Y163" s="175" t="str">
        <f t="shared" ca="1" si="306"/>
        <v>Completed</v>
      </c>
      <c r="Z163" s="175" t="str">
        <f t="shared" ca="1" si="307"/>
        <v>Completed</v>
      </c>
      <c r="AA163" s="175" t="str">
        <f t="shared" ca="1" si="308"/>
        <v>Completed</v>
      </c>
      <c r="AB163" s="176" t="str">
        <f t="shared" ca="1" si="309"/>
        <v>Overdue</v>
      </c>
    </row>
    <row r="164" spans="1:28" s="64" customFormat="1" ht="11.5" x14ac:dyDescent="0.25">
      <c r="A164" s="70" t="s">
        <v>61</v>
      </c>
      <c r="B164" s="70" t="s">
        <v>62</v>
      </c>
      <c r="C164" s="70" t="s">
        <v>85</v>
      </c>
      <c r="D164" s="75" t="s">
        <v>401</v>
      </c>
      <c r="E164" s="75" t="s">
        <v>402</v>
      </c>
      <c r="F164" s="116">
        <f t="shared" si="339"/>
        <v>1</v>
      </c>
      <c r="G164" s="116">
        <f t="shared" si="340"/>
        <v>1</v>
      </c>
      <c r="H164" s="116">
        <f t="shared" si="335"/>
        <v>0.79999999999999993</v>
      </c>
      <c r="I164" s="116">
        <f t="shared" si="341"/>
        <v>-0.20000000000000007</v>
      </c>
      <c r="J164" s="81">
        <v>0.1</v>
      </c>
      <c r="K164" s="72">
        <v>46199</v>
      </c>
      <c r="L164" s="72">
        <f t="shared" si="342"/>
        <v>46199</v>
      </c>
      <c r="M164" s="72">
        <v>46178</v>
      </c>
      <c r="N164" s="72">
        <f t="shared" si="343"/>
        <v>46241</v>
      </c>
      <c r="O164" s="72">
        <f t="shared" si="344"/>
        <v>46241</v>
      </c>
      <c r="P164" s="72">
        <v>46248</v>
      </c>
      <c r="Q164" s="72">
        <f t="shared" si="345"/>
        <v>46283</v>
      </c>
      <c r="R164" s="72">
        <f t="shared" si="346"/>
        <v>46283</v>
      </c>
      <c r="S164" s="233">
        <v>46304</v>
      </c>
      <c r="T164" s="72">
        <f t="shared" si="347"/>
        <v>46297</v>
      </c>
      <c r="U164" s="72">
        <f t="shared" si="348"/>
        <v>46297</v>
      </c>
      <c r="V164" s="72"/>
      <c r="W164" s="204"/>
      <c r="Y164" s="175" t="str">
        <f t="shared" ca="1" si="306"/>
        <v>Completed</v>
      </c>
      <c r="Z164" s="175" t="str">
        <f t="shared" ca="1" si="307"/>
        <v>Completed</v>
      </c>
      <c r="AA164" s="175" t="str">
        <f t="shared" ca="1" si="308"/>
        <v>Completed</v>
      </c>
      <c r="AB164" s="176" t="str">
        <f t="shared" ca="1" si="309"/>
        <v>Overdue</v>
      </c>
    </row>
    <row r="165" spans="1:28" s="137" customFormat="1" ht="11.5" hidden="1" x14ac:dyDescent="0.25">
      <c r="A165" s="132" t="s">
        <v>61</v>
      </c>
      <c r="B165" s="132" t="s">
        <v>62</v>
      </c>
      <c r="C165" s="132" t="s">
        <v>85</v>
      </c>
      <c r="D165" s="133" t="s">
        <v>403</v>
      </c>
      <c r="E165" s="133" t="s">
        <v>496</v>
      </c>
      <c r="F165" s="134"/>
      <c r="G165" s="134"/>
      <c r="H165" s="134"/>
      <c r="I165" s="134"/>
      <c r="J165" s="135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209"/>
      <c r="Y165" s="175"/>
      <c r="Z165" s="175"/>
      <c r="AA165" s="175" t="str">
        <f t="shared" ca="1" si="308"/>
        <v/>
      </c>
      <c r="AB165" s="176" t="str">
        <f t="shared" ca="1" si="309"/>
        <v/>
      </c>
    </row>
    <row r="166" spans="1:28" s="64" customFormat="1" ht="11.5" x14ac:dyDescent="0.25">
      <c r="A166" s="70" t="s">
        <v>61</v>
      </c>
      <c r="B166" s="70" t="s">
        <v>62</v>
      </c>
      <c r="C166" s="70" t="s">
        <v>85</v>
      </c>
      <c r="D166" s="75" t="s">
        <v>330</v>
      </c>
      <c r="E166" s="75" t="s">
        <v>157</v>
      </c>
      <c r="F166" s="116">
        <f t="shared" si="300"/>
        <v>1</v>
      </c>
      <c r="G166" s="116">
        <f t="shared" si="300"/>
        <v>1</v>
      </c>
      <c r="H166" s="116">
        <f>(COUNTIFS(M166,"&lt;="&amp;$D$1)*50%)+(COUNTIFS(P166,"&lt;="&amp;$D$1)*20%)+(COUNTIFS(S166,"&lt;="&amp;$D$1)*10%)+(COUNTIFS(V166,"&lt;="&amp;$D$1)*20%)</f>
        <v>0.7</v>
      </c>
      <c r="I166" s="116">
        <f t="shared" ref="I166:I253" si="349">H166-F166</f>
        <v>-0.30000000000000004</v>
      </c>
      <c r="J166" s="81">
        <v>0.15</v>
      </c>
      <c r="K166" s="72">
        <v>46199</v>
      </c>
      <c r="L166" s="72">
        <f t="shared" si="279"/>
        <v>46199</v>
      </c>
      <c r="M166" s="72">
        <v>46199</v>
      </c>
      <c r="N166" s="72">
        <f t="shared" si="280"/>
        <v>46241</v>
      </c>
      <c r="O166" s="72">
        <f t="shared" si="281"/>
        <v>46241</v>
      </c>
      <c r="P166" s="72">
        <v>46262</v>
      </c>
      <c r="Q166" s="72">
        <f t="shared" si="282"/>
        <v>46283</v>
      </c>
      <c r="R166" s="72">
        <f t="shared" si="283"/>
        <v>46283</v>
      </c>
      <c r="S166" s="74"/>
      <c r="T166" s="72">
        <f t="shared" si="284"/>
        <v>46297</v>
      </c>
      <c r="U166" s="72">
        <f t="shared" si="285"/>
        <v>46297</v>
      </c>
      <c r="V166" s="72"/>
      <c r="W166" s="204"/>
      <c r="Y166" s="175" t="str">
        <f ca="1">IF(OR(M166&lt;&gt;""),"Completed",
IF(L166="","",IF(L166&lt;TODAY(),"Overdue",
IF(AND(L166&gt;=TODAY()-WEEKDAY(TODAY(),2)+1,L166&lt;=TODAY()-WEEKDAY(TODAY(),2)+7),"Follow-This Week",
IF(AND(L166&gt;=TODAY()-WEEKDAY(TODAY(),2)+8,L166&lt;=TODAY()-WEEKDAY(TODAY(),2)+14),"Follow-Next Week","")))))</f>
        <v>Completed</v>
      </c>
      <c r="Z166" s="175" t="str">
        <f ca="1">IF(OR(P166&lt;&gt;""),"Completed",IF(O166="","",
IF(O166&lt;TODAY(),"Overdue",
IF(AND(O166&gt;=TODAY()-WEEKDAY(TODAY(),2)+1,O166&lt;=TODAY()-WEEKDAY(TODAY(),2)+7),"Follow-This Week",
IF(AND(O166&gt;=TODAY()-WEEKDAY(TODAY(),2)+8,O166&lt;=TODAY()-WEEKDAY(TODAY(),2)+14),"Follow-Next Week","")))))</f>
        <v>Completed</v>
      </c>
      <c r="AA166" s="175" t="str">
        <f t="shared" ca="1" si="308"/>
        <v>Overdue</v>
      </c>
      <c r="AB166" s="176" t="str">
        <f t="shared" ca="1" si="309"/>
        <v>Overdue</v>
      </c>
    </row>
    <row r="167" spans="1:28" s="64" customFormat="1" ht="11.5" x14ac:dyDescent="0.25">
      <c r="A167" s="70" t="s">
        <v>61</v>
      </c>
      <c r="B167" s="70" t="s">
        <v>62</v>
      </c>
      <c r="C167" s="70" t="s">
        <v>85</v>
      </c>
      <c r="D167" s="75" t="s">
        <v>331</v>
      </c>
      <c r="E167" s="75" t="s">
        <v>158</v>
      </c>
      <c r="F167" s="116">
        <f t="shared" si="300"/>
        <v>1</v>
      </c>
      <c r="G167" s="116">
        <f t="shared" si="300"/>
        <v>1</v>
      </c>
      <c r="H167" s="116">
        <f>(COUNTIFS(M167,"&lt;="&amp;$D$1)*50%)+(COUNTIFS(P167,"&lt;="&amp;$D$1)*20%)+(COUNTIFS(S167,"&lt;="&amp;$D$1)*10%)+(COUNTIFS(V167,"&lt;="&amp;$D$1)*20%)</f>
        <v>0.7</v>
      </c>
      <c r="I167" s="116">
        <f t="shared" si="349"/>
        <v>-0.30000000000000004</v>
      </c>
      <c r="J167" s="81">
        <v>0.15</v>
      </c>
      <c r="K167" s="72">
        <v>46199</v>
      </c>
      <c r="L167" s="72">
        <f t="shared" si="279"/>
        <v>46199</v>
      </c>
      <c r="M167" s="72">
        <v>46199</v>
      </c>
      <c r="N167" s="72">
        <f t="shared" si="280"/>
        <v>46241</v>
      </c>
      <c r="O167" s="72">
        <f t="shared" si="281"/>
        <v>46241</v>
      </c>
      <c r="P167" s="72">
        <v>46262</v>
      </c>
      <c r="Q167" s="72">
        <f t="shared" si="282"/>
        <v>46283</v>
      </c>
      <c r="R167" s="72">
        <f t="shared" si="283"/>
        <v>46283</v>
      </c>
      <c r="S167" s="74"/>
      <c r="T167" s="72">
        <f t="shared" si="284"/>
        <v>46297</v>
      </c>
      <c r="U167" s="72">
        <f t="shared" si="285"/>
        <v>46297</v>
      </c>
      <c r="V167" s="72"/>
      <c r="W167" s="204"/>
      <c r="Y167" s="175" t="str">
        <f ca="1">IF(OR(M167&lt;&gt;""),"Completed",
IF(L167="","",IF(L167&lt;TODAY(),"Overdue",
IF(AND(L167&gt;=TODAY()-WEEKDAY(TODAY(),2)+1,L167&lt;=TODAY()-WEEKDAY(TODAY(),2)+7),"Follow-This Week",
IF(AND(L167&gt;=TODAY()-WEEKDAY(TODAY(),2)+8,L167&lt;=TODAY()-WEEKDAY(TODAY(),2)+14),"Follow-Next Week","")))))</f>
        <v>Completed</v>
      </c>
      <c r="Z167" s="175" t="str">
        <f ca="1">IF(OR(P167&lt;&gt;""),"Completed",IF(O167="","",
IF(O167&lt;TODAY(),"Overdue",
IF(AND(O167&gt;=TODAY()-WEEKDAY(TODAY(),2)+1,O167&lt;=TODAY()-WEEKDAY(TODAY(),2)+7),"Follow-This Week",
IF(AND(O167&gt;=TODAY()-WEEKDAY(TODAY(),2)+8,O167&lt;=TODAY()-WEEKDAY(TODAY(),2)+14),"Follow-Next Week","")))))</f>
        <v>Completed</v>
      </c>
      <c r="AA167" s="175" t="str">
        <f t="shared" ca="1" si="308"/>
        <v>Overdue</v>
      </c>
      <c r="AB167" s="176" t="str">
        <f t="shared" ca="1" si="309"/>
        <v>Overdue</v>
      </c>
    </row>
    <row r="168" spans="1:28" s="64" customFormat="1" ht="11.5" x14ac:dyDescent="0.25">
      <c r="A168" s="70" t="s">
        <v>61</v>
      </c>
      <c r="B168" s="70" t="s">
        <v>62</v>
      </c>
      <c r="C168" s="70" t="s">
        <v>85</v>
      </c>
      <c r="D168" s="75" t="s">
        <v>332</v>
      </c>
      <c r="E168" s="75" t="s">
        <v>159</v>
      </c>
      <c r="F168" s="116">
        <f t="shared" si="300"/>
        <v>1</v>
      </c>
      <c r="G168" s="116">
        <f t="shared" si="300"/>
        <v>1</v>
      </c>
      <c r="H168" s="116">
        <f>(COUNTIFS(M168,"&lt;="&amp;$D$1)*50%)+(COUNTIFS(P168,"&lt;="&amp;$D$1)*20%)+(COUNTIFS(S168,"&lt;="&amp;$D$1)*10%)+(COUNTIFS(V168,"&lt;="&amp;$D$1)*20%)</f>
        <v>0.7</v>
      </c>
      <c r="I168" s="116">
        <f t="shared" si="349"/>
        <v>-0.30000000000000004</v>
      </c>
      <c r="J168" s="81">
        <v>0.15</v>
      </c>
      <c r="K168" s="72">
        <v>46199</v>
      </c>
      <c r="L168" s="72">
        <f t="shared" si="279"/>
        <v>46199</v>
      </c>
      <c r="M168" s="72">
        <v>46199</v>
      </c>
      <c r="N168" s="72">
        <f t="shared" si="280"/>
        <v>46241</v>
      </c>
      <c r="O168" s="72">
        <f t="shared" si="281"/>
        <v>46241</v>
      </c>
      <c r="P168" s="72">
        <v>46262</v>
      </c>
      <c r="Q168" s="72">
        <f t="shared" si="282"/>
        <v>46283</v>
      </c>
      <c r="R168" s="72">
        <f t="shared" si="283"/>
        <v>46283</v>
      </c>
      <c r="S168" s="74"/>
      <c r="T168" s="72">
        <f t="shared" si="284"/>
        <v>46297</v>
      </c>
      <c r="U168" s="72">
        <f t="shared" si="285"/>
        <v>46297</v>
      </c>
      <c r="V168" s="72"/>
      <c r="W168" s="204"/>
      <c r="Y168" s="175" t="str">
        <f ca="1">IF(OR(M168&lt;&gt;""),"Completed",
IF(L168="","",IF(L168&lt;TODAY(),"Overdue",
IF(AND(L168&gt;=TODAY()-WEEKDAY(TODAY(),2)+1,L168&lt;=TODAY()-WEEKDAY(TODAY(),2)+7),"Follow-This Week",
IF(AND(L168&gt;=TODAY()-WEEKDAY(TODAY(),2)+8,L168&lt;=TODAY()-WEEKDAY(TODAY(),2)+14),"Follow-Next Week","")))))</f>
        <v>Completed</v>
      </c>
      <c r="Z168" s="175" t="str">
        <f ca="1">IF(OR(P168&lt;&gt;""),"Completed",IF(O168="","",
IF(O168&lt;TODAY(),"Overdue",
IF(AND(O168&gt;=TODAY()-WEEKDAY(TODAY(),2)+1,O168&lt;=TODAY()-WEEKDAY(TODAY(),2)+7),"Follow-This Week",
IF(AND(O168&gt;=TODAY()-WEEKDAY(TODAY(),2)+8,O168&lt;=TODAY()-WEEKDAY(TODAY(),2)+14),"Follow-Next Week","")))))</f>
        <v>Completed</v>
      </c>
      <c r="AA168" s="175" t="str">
        <f t="shared" ca="1" si="308"/>
        <v>Overdue</v>
      </c>
      <c r="AB168" s="176" t="str">
        <f t="shared" ca="1" si="309"/>
        <v>Overdue</v>
      </c>
    </row>
    <row r="169" spans="1:28" s="64" customFormat="1" ht="11.5" x14ac:dyDescent="0.25">
      <c r="A169" s="70" t="s">
        <v>61</v>
      </c>
      <c r="B169" s="70" t="s">
        <v>62</v>
      </c>
      <c r="C169" s="70" t="s">
        <v>85</v>
      </c>
      <c r="D169" s="75" t="s">
        <v>333</v>
      </c>
      <c r="E169" s="75" t="s">
        <v>160</v>
      </c>
      <c r="F169" s="116">
        <f t="shared" si="300"/>
        <v>1</v>
      </c>
      <c r="G169" s="116">
        <f t="shared" si="300"/>
        <v>1</v>
      </c>
      <c r="H169" s="116">
        <f>(COUNTIFS(M169,"&lt;="&amp;$D$1)*50%)+(COUNTIFS(P169,"&lt;="&amp;$D$1)*20%)+(COUNTIFS(S169,"&lt;="&amp;$D$1)*10%)+(COUNTIFS(V169,"&lt;="&amp;$D$1)*20%)</f>
        <v>0.7</v>
      </c>
      <c r="I169" s="116">
        <f t="shared" si="349"/>
        <v>-0.30000000000000004</v>
      </c>
      <c r="J169" s="81">
        <v>0.15</v>
      </c>
      <c r="K169" s="72">
        <v>46199</v>
      </c>
      <c r="L169" s="72">
        <f t="shared" si="279"/>
        <v>46199</v>
      </c>
      <c r="M169" s="72">
        <v>46199</v>
      </c>
      <c r="N169" s="72">
        <f t="shared" si="280"/>
        <v>46241</v>
      </c>
      <c r="O169" s="72">
        <f t="shared" si="281"/>
        <v>46241</v>
      </c>
      <c r="P169" s="72">
        <v>46262</v>
      </c>
      <c r="Q169" s="72">
        <f t="shared" si="282"/>
        <v>46283</v>
      </c>
      <c r="R169" s="72">
        <f t="shared" si="283"/>
        <v>46283</v>
      </c>
      <c r="S169" s="74"/>
      <c r="T169" s="72">
        <f t="shared" si="284"/>
        <v>46297</v>
      </c>
      <c r="U169" s="72">
        <f t="shared" si="285"/>
        <v>46297</v>
      </c>
      <c r="V169" s="72"/>
      <c r="W169" s="204"/>
      <c r="Y169" s="175" t="str">
        <f ca="1">IF(OR(M169&lt;&gt;""),"Completed",
IF(L169="","",IF(L169&lt;TODAY(),"Overdue",
IF(AND(L169&gt;=TODAY()-WEEKDAY(TODAY(),2)+1,L169&lt;=TODAY()-WEEKDAY(TODAY(),2)+7),"Follow-This Week",
IF(AND(L169&gt;=TODAY()-WEEKDAY(TODAY(),2)+8,L169&lt;=TODAY()-WEEKDAY(TODAY(),2)+14),"Follow-Next Week","")))))</f>
        <v>Completed</v>
      </c>
      <c r="Z169" s="175" t="str">
        <f ca="1">IF(OR(P169&lt;&gt;""),"Completed",IF(O169="","",
IF(O169&lt;TODAY(),"Overdue",
IF(AND(O169&gt;=TODAY()-WEEKDAY(TODAY(),2)+1,O169&lt;=TODAY()-WEEKDAY(TODAY(),2)+7),"Follow-This Week",
IF(AND(O169&gt;=TODAY()-WEEKDAY(TODAY(),2)+8,O169&lt;=TODAY()-WEEKDAY(TODAY(),2)+14),"Follow-Next Week","")))))</f>
        <v>Completed</v>
      </c>
      <c r="AA169" s="175" t="str">
        <f t="shared" ca="1" si="308"/>
        <v>Overdue</v>
      </c>
      <c r="AB169" s="176" t="str">
        <f t="shared" ref="AB169:AB197" ca="1" si="350">IF(OR(V169&lt;&gt;""),"Completed",IF(U169="","",
IF(U169&lt;TODAY(),"Overdue",
IF(AND(U169&gt;=TODAY()-WEEKDAY(TODAY(),2)+1,U169&lt;=TODAY()-WEEKDAY(TODAY(),2)+7),"Follow-This Week",
IF(AND(U169&gt;=TODAY()-WEEKDAY(TODAY(),2)+8,U169&lt;=TODAY()-WEEKDAY(TODAY(),2)+14),"Follow-Next Week","")))))</f>
        <v>Overdue</v>
      </c>
    </row>
    <row r="170" spans="1:28" s="64" customFormat="1" ht="11.5" x14ac:dyDescent="0.25">
      <c r="A170" s="70" t="s">
        <v>61</v>
      </c>
      <c r="B170" s="70" t="s">
        <v>62</v>
      </c>
      <c r="C170" s="70" t="s">
        <v>85</v>
      </c>
      <c r="D170" s="75" t="s">
        <v>334</v>
      </c>
      <c r="E170" s="75" t="s">
        <v>404</v>
      </c>
      <c r="F170" s="116">
        <f t="shared" si="300"/>
        <v>1</v>
      </c>
      <c r="G170" s="116">
        <f t="shared" si="300"/>
        <v>1</v>
      </c>
      <c r="H170" s="116">
        <f>(COUNTIFS(M170,"&lt;="&amp;$D$1)*50%)+(COUNTIFS(P170,"&lt;="&amp;$D$1)*20%)+(COUNTIFS(S170,"&lt;="&amp;$D$1)*10%)+(COUNTIFS(V170,"&lt;="&amp;$D$1)*20%)</f>
        <v>0.5</v>
      </c>
      <c r="I170" s="116">
        <f t="shared" si="349"/>
        <v>-0.5</v>
      </c>
      <c r="J170" s="81">
        <v>0.1</v>
      </c>
      <c r="K170" s="72">
        <v>46199</v>
      </c>
      <c r="L170" s="72">
        <f t="shared" si="279"/>
        <v>46199</v>
      </c>
      <c r="M170" s="72">
        <v>46171</v>
      </c>
      <c r="N170" s="72">
        <f t="shared" si="280"/>
        <v>46241</v>
      </c>
      <c r="O170" s="72">
        <f t="shared" si="281"/>
        <v>46241</v>
      </c>
      <c r="P170" s="136"/>
      <c r="Q170" s="72">
        <f t="shared" si="282"/>
        <v>46283</v>
      </c>
      <c r="R170" s="72">
        <f t="shared" si="283"/>
        <v>46283</v>
      </c>
      <c r="S170" s="72"/>
      <c r="T170" s="72">
        <f t="shared" si="284"/>
        <v>46297</v>
      </c>
      <c r="U170" s="72">
        <f t="shared" si="285"/>
        <v>46297</v>
      </c>
      <c r="V170" s="72"/>
      <c r="W170" s="204"/>
      <c r="Y170" s="175" t="str">
        <f ca="1">IF(OR(M170&lt;&gt;""),"Completed",
IF(L170="","",IF(L170&lt;TODAY(),"Overdue",
IF(AND(L170&gt;=TODAY()-WEEKDAY(TODAY(),2)+1,L170&lt;=TODAY()-WEEKDAY(TODAY(),2)+7),"Follow-This Week",
IF(AND(L170&gt;=TODAY()-WEEKDAY(TODAY(),2)+8,L170&lt;=TODAY()-WEEKDAY(TODAY(),2)+14),"Follow-Next Week","")))))</f>
        <v>Completed</v>
      </c>
      <c r="Z170" s="175" t="str">
        <f ca="1">IF(OR(P170&lt;&gt;""),"Completed",IF(O170="","",
IF(O170&lt;TODAY(),"Overdue",
IF(AND(O170&gt;=TODAY()-WEEKDAY(TODAY(),2)+1,O170&lt;=TODAY()-WEEKDAY(TODAY(),2)+7),"Follow-This Week",
IF(AND(O170&gt;=TODAY()-WEEKDAY(TODAY(),2)+8,O170&lt;=TODAY()-WEEKDAY(TODAY(),2)+14),"Follow-Next Week","")))))</f>
        <v>Overdue</v>
      </c>
      <c r="AA170" s="175" t="str">
        <f t="shared" ca="1" si="308"/>
        <v>Overdue</v>
      </c>
      <c r="AB170" s="176" t="str">
        <f t="shared" ca="1" si="350"/>
        <v>Overdue</v>
      </c>
    </row>
    <row r="171" spans="1:28" s="137" customFormat="1" ht="11.5" hidden="1" x14ac:dyDescent="0.25">
      <c r="A171" s="132" t="s">
        <v>61</v>
      </c>
      <c r="B171" s="132" t="s">
        <v>62</v>
      </c>
      <c r="C171" s="132" t="s">
        <v>85</v>
      </c>
      <c r="D171" s="133" t="s">
        <v>405</v>
      </c>
      <c r="E171" s="133" t="s">
        <v>497</v>
      </c>
      <c r="F171" s="134"/>
      <c r="G171" s="134"/>
      <c r="H171" s="134"/>
      <c r="I171" s="134"/>
      <c r="J171" s="135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209"/>
      <c r="Y171" s="175"/>
      <c r="Z171" s="175"/>
      <c r="AA171" s="175"/>
      <c r="AB171" s="176" t="str">
        <f t="shared" ca="1" si="350"/>
        <v/>
      </c>
    </row>
    <row r="172" spans="1:28" s="137" customFormat="1" ht="11.5" hidden="1" x14ac:dyDescent="0.25">
      <c r="A172" s="132" t="s">
        <v>61</v>
      </c>
      <c r="B172" s="132" t="s">
        <v>62</v>
      </c>
      <c r="C172" s="132" t="s">
        <v>85</v>
      </c>
      <c r="D172" s="133" t="s">
        <v>406</v>
      </c>
      <c r="E172" s="133" t="s">
        <v>498</v>
      </c>
      <c r="F172" s="134"/>
      <c r="G172" s="134"/>
      <c r="H172" s="134"/>
      <c r="I172" s="134"/>
      <c r="J172" s="135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209"/>
      <c r="Y172" s="175"/>
      <c r="Z172" s="175"/>
      <c r="AA172" s="175"/>
      <c r="AB172" s="176" t="str">
        <f t="shared" ca="1" si="350"/>
        <v/>
      </c>
    </row>
    <row r="173" spans="1:28" s="64" customFormat="1" ht="11.5" x14ac:dyDescent="0.25">
      <c r="A173" s="70" t="s">
        <v>61</v>
      </c>
      <c r="B173" s="70" t="s">
        <v>62</v>
      </c>
      <c r="C173" s="70" t="s">
        <v>85</v>
      </c>
      <c r="D173" s="75" t="s">
        <v>335</v>
      </c>
      <c r="E173" s="75" t="s">
        <v>161</v>
      </c>
      <c r="F173" s="116">
        <f t="shared" si="300"/>
        <v>0.79999999999999993</v>
      </c>
      <c r="G173" s="116">
        <f t="shared" si="300"/>
        <v>0.79999999999999993</v>
      </c>
      <c r="H173" s="116">
        <f t="shared" ref="H173:H185" si="351">(COUNTIFS(M173,"&lt;="&amp;$D$1)*50%)+(COUNTIFS(P173,"&lt;="&amp;$D$1)*20%)+(COUNTIFS(S173,"&lt;="&amp;$D$1)*10%)+(COUNTIFS(V173,"&lt;="&amp;$D$1)*20%)</f>
        <v>0.7</v>
      </c>
      <c r="I173" s="116">
        <f t="shared" si="349"/>
        <v>-9.9999999999999978E-2</v>
      </c>
      <c r="J173" s="81">
        <v>0.1</v>
      </c>
      <c r="K173" s="72">
        <v>46213</v>
      </c>
      <c r="L173" s="72">
        <f t="shared" si="279"/>
        <v>46213</v>
      </c>
      <c r="M173" s="72">
        <v>46171</v>
      </c>
      <c r="N173" s="72">
        <f t="shared" si="280"/>
        <v>46255</v>
      </c>
      <c r="O173" s="72">
        <f t="shared" si="281"/>
        <v>46255</v>
      </c>
      <c r="P173" s="72">
        <v>46241</v>
      </c>
      <c r="Q173" s="72">
        <f t="shared" si="282"/>
        <v>46297</v>
      </c>
      <c r="R173" s="72">
        <f t="shared" si="283"/>
        <v>46297</v>
      </c>
      <c r="S173" s="72"/>
      <c r="T173" s="72">
        <f t="shared" si="284"/>
        <v>46311</v>
      </c>
      <c r="U173" s="72">
        <f t="shared" si="285"/>
        <v>46311</v>
      </c>
      <c r="V173" s="72"/>
      <c r="W173" s="204"/>
      <c r="Y173" s="175" t="str">
        <f t="shared" ref="Y173:Y185" ca="1" si="352">IF(OR(M173&lt;&gt;""),"Completed",
IF(L173="","",IF(L173&lt;TODAY(),"Overdue",
IF(AND(L173&gt;=TODAY()-WEEKDAY(TODAY(),2)+1,L173&lt;=TODAY()-WEEKDAY(TODAY(),2)+7),"Follow-This Week",
IF(AND(L173&gt;=TODAY()-WEEKDAY(TODAY(),2)+8,L173&lt;=TODAY()-WEEKDAY(TODAY(),2)+14),"Follow-Next Week","")))))</f>
        <v>Completed</v>
      </c>
      <c r="Z173" s="175" t="str">
        <f t="shared" ref="Z173:Z197" ca="1" si="353">IF(OR(P173&lt;&gt;""),"Completed",IF(O173="","",
IF(O173&lt;TODAY(),"Overdue",
IF(AND(O173&gt;=TODAY()-WEEKDAY(TODAY(),2)+1,O173&lt;=TODAY()-WEEKDAY(TODAY(),2)+7),"Follow-This Week",
IF(AND(O173&gt;=TODAY()-WEEKDAY(TODAY(),2)+8,O173&lt;=TODAY()-WEEKDAY(TODAY(),2)+14),"Follow-Next Week","")))))</f>
        <v>Completed</v>
      </c>
      <c r="AA173" s="175" t="str">
        <f t="shared" ref="AA173:AA197" ca="1" si="354">IF(OR(S173&lt;&gt;""),"Completed",IF(R173="","",
IF(R173&lt;TODAY(),"Overdue",
IF(AND(R173&gt;=TODAY()-WEEKDAY(TODAY(),2)+1,R173&lt;=TODAY()-WEEKDAY(TODAY(),2)+7),"Follow-This Week",
IF(AND(R173&gt;=TODAY()-WEEKDAY(TODAY(),2)+8,R173&lt;=TODAY()-WEEKDAY(TODAY(),2)+14),"Follow-Next Week","")))))</f>
        <v>Overdue</v>
      </c>
      <c r="AB173" s="176" t="str">
        <f t="shared" ca="1" si="350"/>
        <v>Follow-Next Week</v>
      </c>
    </row>
    <row r="174" spans="1:28" s="64" customFormat="1" ht="11.5" x14ac:dyDescent="0.25">
      <c r="A174" s="70" t="s">
        <v>61</v>
      </c>
      <c r="B174" s="70" t="s">
        <v>62</v>
      </c>
      <c r="C174" s="70" t="s">
        <v>85</v>
      </c>
      <c r="D174" s="75" t="s">
        <v>336</v>
      </c>
      <c r="E174" s="75" t="s">
        <v>162</v>
      </c>
      <c r="F174" s="116">
        <f t="shared" si="300"/>
        <v>0.79999999999999993</v>
      </c>
      <c r="G174" s="116">
        <f t="shared" si="300"/>
        <v>0.79999999999999993</v>
      </c>
      <c r="H174" s="116">
        <f t="shared" si="351"/>
        <v>0.7</v>
      </c>
      <c r="I174" s="116">
        <f t="shared" si="349"/>
        <v>-9.9999999999999978E-2</v>
      </c>
      <c r="J174" s="81">
        <v>0.1</v>
      </c>
      <c r="K174" s="72">
        <v>46213</v>
      </c>
      <c r="L174" s="72">
        <f t="shared" si="279"/>
        <v>46213</v>
      </c>
      <c r="M174" s="72">
        <v>46171</v>
      </c>
      <c r="N174" s="72">
        <f t="shared" si="280"/>
        <v>46255</v>
      </c>
      <c r="O174" s="72">
        <f t="shared" si="281"/>
        <v>46255</v>
      </c>
      <c r="P174" s="72">
        <v>46241</v>
      </c>
      <c r="Q174" s="72">
        <f t="shared" si="282"/>
        <v>46297</v>
      </c>
      <c r="R174" s="72">
        <f t="shared" si="283"/>
        <v>46297</v>
      </c>
      <c r="S174" s="72"/>
      <c r="T174" s="72">
        <f t="shared" si="284"/>
        <v>46311</v>
      </c>
      <c r="U174" s="72">
        <f t="shared" si="285"/>
        <v>46311</v>
      </c>
      <c r="V174" s="72"/>
      <c r="W174" s="204"/>
      <c r="Y174" s="175" t="str">
        <f t="shared" ca="1" si="352"/>
        <v>Completed</v>
      </c>
      <c r="Z174" s="175" t="str">
        <f t="shared" ca="1" si="353"/>
        <v>Completed</v>
      </c>
      <c r="AA174" s="175" t="str">
        <f t="shared" ca="1" si="354"/>
        <v>Overdue</v>
      </c>
      <c r="AB174" s="176" t="str">
        <f t="shared" ca="1" si="350"/>
        <v>Follow-Next Week</v>
      </c>
    </row>
    <row r="175" spans="1:28" s="64" customFormat="1" ht="11.5" x14ac:dyDescent="0.25">
      <c r="A175" s="70" t="s">
        <v>61</v>
      </c>
      <c r="B175" s="70" t="s">
        <v>62</v>
      </c>
      <c r="C175" s="70" t="s">
        <v>85</v>
      </c>
      <c r="D175" s="75" t="s">
        <v>337</v>
      </c>
      <c r="E175" s="75" t="s">
        <v>163</v>
      </c>
      <c r="F175" s="116">
        <f t="shared" si="300"/>
        <v>0.79999999999999993</v>
      </c>
      <c r="G175" s="116">
        <f t="shared" si="300"/>
        <v>0.79999999999999993</v>
      </c>
      <c r="H175" s="116">
        <f t="shared" si="351"/>
        <v>0.7</v>
      </c>
      <c r="I175" s="116">
        <f t="shared" si="349"/>
        <v>-9.9999999999999978E-2</v>
      </c>
      <c r="J175" s="81">
        <v>0.1</v>
      </c>
      <c r="K175" s="72">
        <v>46213</v>
      </c>
      <c r="L175" s="72">
        <f t="shared" si="279"/>
        <v>46213</v>
      </c>
      <c r="M175" s="72">
        <v>46171</v>
      </c>
      <c r="N175" s="72">
        <f t="shared" si="280"/>
        <v>46255</v>
      </c>
      <c r="O175" s="72">
        <f t="shared" si="281"/>
        <v>46255</v>
      </c>
      <c r="P175" s="72">
        <v>46241</v>
      </c>
      <c r="Q175" s="72">
        <f t="shared" si="282"/>
        <v>46297</v>
      </c>
      <c r="R175" s="72">
        <f t="shared" si="283"/>
        <v>46297</v>
      </c>
      <c r="S175" s="72"/>
      <c r="T175" s="72">
        <f t="shared" si="284"/>
        <v>46311</v>
      </c>
      <c r="U175" s="72">
        <f t="shared" si="285"/>
        <v>46311</v>
      </c>
      <c r="V175" s="72"/>
      <c r="W175" s="204"/>
      <c r="Y175" s="175" t="str">
        <f t="shared" ca="1" si="352"/>
        <v>Completed</v>
      </c>
      <c r="Z175" s="175" t="str">
        <f t="shared" ca="1" si="353"/>
        <v>Completed</v>
      </c>
      <c r="AA175" s="175" t="str">
        <f t="shared" ca="1" si="354"/>
        <v>Overdue</v>
      </c>
      <c r="AB175" s="176" t="str">
        <f t="shared" ca="1" si="350"/>
        <v>Follow-Next Week</v>
      </c>
    </row>
    <row r="176" spans="1:28" s="64" customFormat="1" ht="11.5" x14ac:dyDescent="0.25">
      <c r="A176" s="70" t="s">
        <v>61</v>
      </c>
      <c r="B176" s="70" t="s">
        <v>62</v>
      </c>
      <c r="C176" s="70" t="s">
        <v>85</v>
      </c>
      <c r="D176" s="75" t="s">
        <v>338</v>
      </c>
      <c r="E176" s="75" t="s">
        <v>164</v>
      </c>
      <c r="F176" s="116">
        <f t="shared" si="300"/>
        <v>0.79999999999999993</v>
      </c>
      <c r="G176" s="116">
        <f t="shared" si="300"/>
        <v>0.79999999999999993</v>
      </c>
      <c r="H176" s="116">
        <f t="shared" si="351"/>
        <v>0.79999999999999993</v>
      </c>
      <c r="I176" s="116">
        <f t="shared" si="349"/>
        <v>0</v>
      </c>
      <c r="J176" s="81">
        <v>0.1</v>
      </c>
      <c r="K176" s="72">
        <v>46213</v>
      </c>
      <c r="L176" s="72">
        <f t="shared" ref="L176:L254" si="355">K176</f>
        <v>46213</v>
      </c>
      <c r="M176" s="72">
        <v>46171</v>
      </c>
      <c r="N176" s="72">
        <f t="shared" ref="N176:N254" si="356">K176+42</f>
        <v>46255</v>
      </c>
      <c r="O176" s="72">
        <f t="shared" ref="O176:O254" si="357">N176</f>
        <v>46255</v>
      </c>
      <c r="P176" s="72">
        <v>46191</v>
      </c>
      <c r="Q176" s="72">
        <f t="shared" ref="Q176:Q254" si="358">N176+42</f>
        <v>46297</v>
      </c>
      <c r="R176" s="72">
        <f t="shared" ref="R176:R254" si="359">Q176</f>
        <v>46297</v>
      </c>
      <c r="S176" s="72">
        <v>46241</v>
      </c>
      <c r="T176" s="72">
        <f t="shared" ref="T176:T254" si="360">Q176+14</f>
        <v>46311</v>
      </c>
      <c r="U176" s="72">
        <f t="shared" ref="U176:U254" si="361">T176</f>
        <v>46311</v>
      </c>
      <c r="V176" s="72"/>
      <c r="W176" s="204" t="s">
        <v>539</v>
      </c>
      <c r="Y176" s="175" t="str">
        <f t="shared" ca="1" si="352"/>
        <v>Completed</v>
      </c>
      <c r="Z176" s="175" t="str">
        <f t="shared" ca="1" si="353"/>
        <v>Completed</v>
      </c>
      <c r="AA176" s="175" t="str">
        <f t="shared" ca="1" si="354"/>
        <v>Completed</v>
      </c>
      <c r="AB176" s="176" t="str">
        <f t="shared" ca="1" si="350"/>
        <v>Follow-Next Week</v>
      </c>
    </row>
    <row r="177" spans="1:28" s="64" customFormat="1" ht="11.5" x14ac:dyDescent="0.25">
      <c r="A177" s="70" t="s">
        <v>61</v>
      </c>
      <c r="B177" s="70" t="s">
        <v>62</v>
      </c>
      <c r="C177" s="70" t="s">
        <v>85</v>
      </c>
      <c r="D177" s="75" t="s">
        <v>339</v>
      </c>
      <c r="E177" s="75" t="s">
        <v>165</v>
      </c>
      <c r="F177" s="116">
        <f t="shared" si="300"/>
        <v>0.79999999999999993</v>
      </c>
      <c r="G177" s="116">
        <f t="shared" si="300"/>
        <v>0.79999999999999993</v>
      </c>
      <c r="H177" s="116">
        <f t="shared" si="351"/>
        <v>0.79999999999999993</v>
      </c>
      <c r="I177" s="116">
        <f t="shared" si="349"/>
        <v>0</v>
      </c>
      <c r="J177" s="81">
        <v>0.1</v>
      </c>
      <c r="K177" s="72">
        <v>46213</v>
      </c>
      <c r="L177" s="72">
        <f t="shared" si="355"/>
        <v>46213</v>
      </c>
      <c r="M177" s="72">
        <v>46171</v>
      </c>
      <c r="N177" s="72">
        <f t="shared" si="356"/>
        <v>46255</v>
      </c>
      <c r="O177" s="72">
        <f t="shared" si="357"/>
        <v>46255</v>
      </c>
      <c r="P177" s="72">
        <v>46241</v>
      </c>
      <c r="Q177" s="72">
        <f t="shared" si="358"/>
        <v>46297</v>
      </c>
      <c r="R177" s="72">
        <f t="shared" si="359"/>
        <v>46297</v>
      </c>
      <c r="S177" s="72">
        <v>46286</v>
      </c>
      <c r="T177" s="72">
        <f t="shared" si="360"/>
        <v>46311</v>
      </c>
      <c r="U177" s="72">
        <f t="shared" si="361"/>
        <v>46311</v>
      </c>
      <c r="V177" s="72"/>
      <c r="W177" s="204" t="s">
        <v>539</v>
      </c>
      <c r="Y177" s="175" t="str">
        <f t="shared" ca="1" si="352"/>
        <v>Completed</v>
      </c>
      <c r="Z177" s="175" t="str">
        <f t="shared" ca="1" si="353"/>
        <v>Completed</v>
      </c>
      <c r="AA177" s="175" t="str">
        <f t="shared" ca="1" si="354"/>
        <v>Completed</v>
      </c>
      <c r="AB177" s="176" t="str">
        <f t="shared" ca="1" si="350"/>
        <v>Follow-Next Week</v>
      </c>
    </row>
    <row r="178" spans="1:28" s="64" customFormat="1" ht="11.5" x14ac:dyDescent="0.25">
      <c r="A178" s="70" t="s">
        <v>61</v>
      </c>
      <c r="B178" s="70" t="s">
        <v>62</v>
      </c>
      <c r="C178" s="70" t="s">
        <v>85</v>
      </c>
      <c r="D178" s="75" t="s">
        <v>340</v>
      </c>
      <c r="E178" s="75" t="s">
        <v>166</v>
      </c>
      <c r="F178" s="116">
        <f t="shared" si="300"/>
        <v>0.79999999999999993</v>
      </c>
      <c r="G178" s="116">
        <f t="shared" si="300"/>
        <v>0.79999999999999993</v>
      </c>
      <c r="H178" s="116">
        <f t="shared" si="351"/>
        <v>0.79999999999999993</v>
      </c>
      <c r="I178" s="116">
        <f t="shared" si="349"/>
        <v>0</v>
      </c>
      <c r="J178" s="81">
        <v>0.1</v>
      </c>
      <c r="K178" s="72">
        <v>46213</v>
      </c>
      <c r="L178" s="72">
        <f t="shared" si="355"/>
        <v>46213</v>
      </c>
      <c r="M178" s="72">
        <v>46171</v>
      </c>
      <c r="N178" s="72">
        <f t="shared" si="356"/>
        <v>46255</v>
      </c>
      <c r="O178" s="72">
        <f t="shared" si="357"/>
        <v>46255</v>
      </c>
      <c r="P178" s="72">
        <v>46191</v>
      </c>
      <c r="Q178" s="72">
        <f t="shared" si="358"/>
        <v>46297</v>
      </c>
      <c r="R178" s="72">
        <f t="shared" si="359"/>
        <v>46297</v>
      </c>
      <c r="S178" s="72">
        <v>46241</v>
      </c>
      <c r="T178" s="72">
        <f t="shared" si="360"/>
        <v>46311</v>
      </c>
      <c r="U178" s="72">
        <f t="shared" si="361"/>
        <v>46311</v>
      </c>
      <c r="V178" s="72"/>
      <c r="W178" s="204" t="s">
        <v>539</v>
      </c>
      <c r="Y178" s="175" t="str">
        <f t="shared" ca="1" si="352"/>
        <v>Completed</v>
      </c>
      <c r="Z178" s="175" t="str">
        <f t="shared" ca="1" si="353"/>
        <v>Completed</v>
      </c>
      <c r="AA178" s="175" t="str">
        <f t="shared" ca="1" si="354"/>
        <v>Completed</v>
      </c>
      <c r="AB178" s="176" t="str">
        <f t="shared" ca="1" si="350"/>
        <v>Follow-Next Week</v>
      </c>
    </row>
    <row r="179" spans="1:28" s="64" customFormat="1" ht="11.5" x14ac:dyDescent="0.25">
      <c r="A179" s="70" t="s">
        <v>61</v>
      </c>
      <c r="B179" s="70" t="s">
        <v>62</v>
      </c>
      <c r="C179" s="70" t="s">
        <v>85</v>
      </c>
      <c r="D179" s="75" t="s">
        <v>341</v>
      </c>
      <c r="E179" s="75" t="s">
        <v>167</v>
      </c>
      <c r="F179" s="116">
        <f t="shared" si="300"/>
        <v>0.79999999999999993</v>
      </c>
      <c r="G179" s="116">
        <f t="shared" si="300"/>
        <v>0.79999999999999993</v>
      </c>
      <c r="H179" s="116">
        <f t="shared" si="351"/>
        <v>0.7</v>
      </c>
      <c r="I179" s="116">
        <f t="shared" si="349"/>
        <v>-9.9999999999999978E-2</v>
      </c>
      <c r="J179" s="81">
        <v>0.1</v>
      </c>
      <c r="K179" s="72">
        <v>46213</v>
      </c>
      <c r="L179" s="72">
        <f t="shared" si="355"/>
        <v>46213</v>
      </c>
      <c r="M179" s="72">
        <v>46171</v>
      </c>
      <c r="N179" s="72">
        <f t="shared" si="356"/>
        <v>46255</v>
      </c>
      <c r="O179" s="72">
        <f t="shared" si="357"/>
        <v>46255</v>
      </c>
      <c r="P179" s="72">
        <v>46241</v>
      </c>
      <c r="Q179" s="72">
        <f t="shared" si="358"/>
        <v>46297</v>
      </c>
      <c r="R179" s="72">
        <f t="shared" si="359"/>
        <v>46297</v>
      </c>
      <c r="S179" s="72"/>
      <c r="T179" s="72">
        <f t="shared" si="360"/>
        <v>46311</v>
      </c>
      <c r="U179" s="72">
        <f t="shared" si="361"/>
        <v>46311</v>
      </c>
      <c r="V179" s="72"/>
      <c r="W179" s="204"/>
      <c r="Y179" s="175" t="str">
        <f t="shared" ca="1" si="352"/>
        <v>Completed</v>
      </c>
      <c r="Z179" s="175" t="str">
        <f t="shared" ca="1" si="353"/>
        <v>Completed</v>
      </c>
      <c r="AA179" s="175" t="str">
        <f t="shared" ca="1" si="354"/>
        <v>Overdue</v>
      </c>
      <c r="AB179" s="176" t="str">
        <f t="shared" ca="1" si="350"/>
        <v>Follow-Next Week</v>
      </c>
    </row>
    <row r="180" spans="1:28" s="64" customFormat="1" ht="11.5" x14ac:dyDescent="0.25">
      <c r="A180" s="70" t="s">
        <v>61</v>
      </c>
      <c r="B180" s="70" t="s">
        <v>62</v>
      </c>
      <c r="C180" s="70" t="s">
        <v>85</v>
      </c>
      <c r="D180" s="75" t="s">
        <v>342</v>
      </c>
      <c r="E180" s="75" t="s">
        <v>168</v>
      </c>
      <c r="F180" s="116">
        <f t="shared" si="300"/>
        <v>0.79999999999999993</v>
      </c>
      <c r="G180" s="116">
        <f t="shared" si="300"/>
        <v>0.79999999999999993</v>
      </c>
      <c r="H180" s="116">
        <f t="shared" si="351"/>
        <v>0.7</v>
      </c>
      <c r="I180" s="116">
        <f t="shared" si="349"/>
        <v>-9.9999999999999978E-2</v>
      </c>
      <c r="J180" s="81">
        <v>0.1</v>
      </c>
      <c r="K180" s="72">
        <v>46213</v>
      </c>
      <c r="L180" s="72">
        <f t="shared" si="355"/>
        <v>46213</v>
      </c>
      <c r="M180" s="72">
        <v>46171</v>
      </c>
      <c r="N180" s="72">
        <f t="shared" si="356"/>
        <v>46255</v>
      </c>
      <c r="O180" s="72">
        <f t="shared" si="357"/>
        <v>46255</v>
      </c>
      <c r="P180" s="72">
        <v>46241</v>
      </c>
      <c r="Q180" s="72">
        <f t="shared" si="358"/>
        <v>46297</v>
      </c>
      <c r="R180" s="72">
        <f t="shared" si="359"/>
        <v>46297</v>
      </c>
      <c r="S180" s="72"/>
      <c r="T180" s="72">
        <f t="shared" si="360"/>
        <v>46311</v>
      </c>
      <c r="U180" s="72">
        <f t="shared" si="361"/>
        <v>46311</v>
      </c>
      <c r="V180" s="72"/>
      <c r="W180" s="204"/>
      <c r="Y180" s="175" t="str">
        <f t="shared" ca="1" si="352"/>
        <v>Completed</v>
      </c>
      <c r="Z180" s="175" t="str">
        <f t="shared" ca="1" si="353"/>
        <v>Completed</v>
      </c>
      <c r="AA180" s="175" t="str">
        <f t="shared" ca="1" si="354"/>
        <v>Overdue</v>
      </c>
      <c r="AB180" s="176" t="str">
        <f t="shared" ca="1" si="350"/>
        <v>Follow-Next Week</v>
      </c>
    </row>
    <row r="181" spans="1:28" s="64" customFormat="1" ht="11.5" x14ac:dyDescent="0.25">
      <c r="A181" s="70" t="s">
        <v>61</v>
      </c>
      <c r="B181" s="70" t="s">
        <v>62</v>
      </c>
      <c r="C181" s="70" t="s">
        <v>85</v>
      </c>
      <c r="D181" s="75" t="s">
        <v>450</v>
      </c>
      <c r="E181" s="75" t="s">
        <v>451</v>
      </c>
      <c r="F181" s="116">
        <f t="shared" ref="F181" si="362">(COUNTIFS(K181,"&lt;="&amp;$D$1)*50%)+(COUNTIFS(N181,"&lt;="&amp;$D$1)*20%)+(COUNTIFS(Q181,"&lt;="&amp;$D$1)*10%)+(COUNTIFS(T181,"&lt;="&amp;$D$1)*20%)</f>
        <v>0.79999999999999993</v>
      </c>
      <c r="G181" s="116">
        <f t="shared" ref="G181" si="363">(COUNTIFS(L181,"&lt;="&amp;$D$1)*50%)+(COUNTIFS(O181,"&lt;="&amp;$D$1)*20%)+(COUNTIFS(R181,"&lt;="&amp;$D$1)*10%)+(COUNTIFS(U181,"&lt;="&amp;$D$1)*20%)</f>
        <v>0.79999999999999993</v>
      </c>
      <c r="H181" s="116">
        <f t="shared" si="351"/>
        <v>0.7</v>
      </c>
      <c r="I181" s="116">
        <f t="shared" ref="I181" si="364">H181-F181</f>
        <v>-9.9999999999999978E-2</v>
      </c>
      <c r="J181" s="81">
        <v>0.1</v>
      </c>
      <c r="K181" s="72">
        <v>46213</v>
      </c>
      <c r="L181" s="72">
        <f t="shared" ref="L181" si="365">K181</f>
        <v>46213</v>
      </c>
      <c r="M181" s="72">
        <v>46171</v>
      </c>
      <c r="N181" s="72">
        <f t="shared" ref="N181" si="366">K181+42</f>
        <v>46255</v>
      </c>
      <c r="O181" s="72">
        <f t="shared" ref="O181" si="367">N181</f>
        <v>46255</v>
      </c>
      <c r="P181" s="72">
        <v>46241</v>
      </c>
      <c r="Q181" s="72">
        <f t="shared" ref="Q181" si="368">N181+42</f>
        <v>46297</v>
      </c>
      <c r="R181" s="72">
        <f t="shared" ref="R181" si="369">Q181</f>
        <v>46297</v>
      </c>
      <c r="S181" s="72"/>
      <c r="T181" s="72">
        <f t="shared" ref="T181" si="370">Q181+14</f>
        <v>46311</v>
      </c>
      <c r="U181" s="72">
        <f t="shared" ref="U181" si="371">T181</f>
        <v>46311</v>
      </c>
      <c r="V181" s="72"/>
      <c r="W181" s="204"/>
      <c r="Y181" s="175" t="str">
        <f t="shared" ca="1" si="352"/>
        <v>Completed</v>
      </c>
      <c r="Z181" s="175" t="str">
        <f t="shared" ca="1" si="353"/>
        <v>Completed</v>
      </c>
      <c r="AA181" s="175" t="str">
        <f t="shared" ca="1" si="354"/>
        <v>Overdue</v>
      </c>
      <c r="AB181" s="176" t="str">
        <f t="shared" ca="1" si="350"/>
        <v>Follow-Next Week</v>
      </c>
    </row>
    <row r="182" spans="1:28" s="64" customFormat="1" ht="11.5" x14ac:dyDescent="0.25">
      <c r="A182" s="70" t="s">
        <v>61</v>
      </c>
      <c r="B182" s="70" t="s">
        <v>62</v>
      </c>
      <c r="C182" s="70" t="s">
        <v>85</v>
      </c>
      <c r="D182" s="124" t="s">
        <v>343</v>
      </c>
      <c r="E182" s="124" t="s">
        <v>407</v>
      </c>
      <c r="F182" s="125">
        <f t="shared" si="300"/>
        <v>0.79999999999999993</v>
      </c>
      <c r="G182" s="125">
        <f t="shared" si="300"/>
        <v>0.79999999999999993</v>
      </c>
      <c r="H182" s="125">
        <f t="shared" si="351"/>
        <v>0.7</v>
      </c>
      <c r="I182" s="125">
        <f t="shared" si="349"/>
        <v>-9.9999999999999978E-2</v>
      </c>
      <c r="J182" s="81">
        <v>0.15</v>
      </c>
      <c r="K182" s="72">
        <v>46213</v>
      </c>
      <c r="L182" s="74">
        <f t="shared" ref="L182:L183" si="372">K182</f>
        <v>46213</v>
      </c>
      <c r="M182" s="72">
        <v>46199</v>
      </c>
      <c r="N182" s="74">
        <f t="shared" ref="N182:N183" si="373">K182+42</f>
        <v>46255</v>
      </c>
      <c r="O182" s="74">
        <f t="shared" ref="O182:O183" si="374">N182</f>
        <v>46255</v>
      </c>
      <c r="P182" s="72">
        <v>46241</v>
      </c>
      <c r="Q182" s="74">
        <f t="shared" ref="Q182:Q183" si="375">N182+42</f>
        <v>46297</v>
      </c>
      <c r="R182" s="74">
        <f t="shared" ref="R182:R183" si="376">Q182</f>
        <v>46297</v>
      </c>
      <c r="S182" s="72"/>
      <c r="T182" s="74">
        <f t="shared" ref="T182:T183" si="377">Q182+14</f>
        <v>46311</v>
      </c>
      <c r="U182" s="74">
        <f t="shared" ref="U182:U183" si="378">T182</f>
        <v>46311</v>
      </c>
      <c r="V182" s="74"/>
      <c r="W182" s="204"/>
      <c r="Y182" s="175" t="str">
        <f t="shared" ca="1" si="352"/>
        <v>Completed</v>
      </c>
      <c r="Z182" s="175" t="str">
        <f t="shared" ca="1" si="353"/>
        <v>Completed</v>
      </c>
      <c r="AA182" s="175" t="str">
        <f t="shared" ca="1" si="354"/>
        <v>Overdue</v>
      </c>
      <c r="AB182" s="176" t="str">
        <f t="shared" ca="1" si="350"/>
        <v>Follow-Next Week</v>
      </c>
    </row>
    <row r="183" spans="1:28" s="64" customFormat="1" ht="11.5" x14ac:dyDescent="0.25">
      <c r="A183" s="70" t="s">
        <v>61</v>
      </c>
      <c r="B183" s="70" t="s">
        <v>62</v>
      </c>
      <c r="C183" s="70" t="s">
        <v>85</v>
      </c>
      <c r="D183" s="124" t="s">
        <v>408</v>
      </c>
      <c r="E183" s="124" t="s">
        <v>409</v>
      </c>
      <c r="F183" s="125"/>
      <c r="G183" s="116">
        <f t="shared" ref="G183:G185" si="379">(COUNTIFS(L183,"&lt;="&amp;$D$1)*50%)+(COUNTIFS(O183,"&lt;="&amp;$D$1)*20%)+(COUNTIFS(R183,"&lt;="&amp;$D$1)*10%)+(COUNTIFS(U183,"&lt;="&amp;$D$1)*20%)</f>
        <v>0.79999999999999993</v>
      </c>
      <c r="H183" s="116">
        <f t="shared" si="351"/>
        <v>0.7</v>
      </c>
      <c r="I183" s="116">
        <f t="shared" ref="I183:I185" si="380">H183-F183</f>
        <v>0.7</v>
      </c>
      <c r="J183" s="81">
        <v>0.15</v>
      </c>
      <c r="K183" s="72">
        <v>46213</v>
      </c>
      <c r="L183" s="72">
        <f t="shared" si="372"/>
        <v>46213</v>
      </c>
      <c r="M183" s="72">
        <v>46199</v>
      </c>
      <c r="N183" s="72">
        <f t="shared" si="373"/>
        <v>46255</v>
      </c>
      <c r="O183" s="72">
        <f t="shared" si="374"/>
        <v>46255</v>
      </c>
      <c r="P183" s="72">
        <v>46205</v>
      </c>
      <c r="Q183" s="72">
        <f t="shared" si="375"/>
        <v>46297</v>
      </c>
      <c r="R183" s="72">
        <f t="shared" si="376"/>
        <v>46297</v>
      </c>
      <c r="S183" s="72"/>
      <c r="T183" s="72">
        <f t="shared" si="377"/>
        <v>46311</v>
      </c>
      <c r="U183" s="72">
        <f t="shared" si="378"/>
        <v>46311</v>
      </c>
      <c r="V183" s="74"/>
      <c r="W183" s="204"/>
      <c r="Y183" s="175" t="str">
        <f t="shared" ca="1" si="352"/>
        <v>Completed</v>
      </c>
      <c r="Z183" s="175" t="str">
        <f t="shared" ca="1" si="353"/>
        <v>Completed</v>
      </c>
      <c r="AA183" s="175" t="str">
        <f t="shared" ca="1" si="354"/>
        <v>Overdue</v>
      </c>
      <c r="AB183" s="176" t="str">
        <f t="shared" ca="1" si="350"/>
        <v>Follow-Next Week</v>
      </c>
    </row>
    <row r="184" spans="1:28" s="64" customFormat="1" ht="10.5" customHeight="1" x14ac:dyDescent="0.25">
      <c r="A184" s="226" t="s">
        <v>61</v>
      </c>
      <c r="B184" s="226" t="s">
        <v>62</v>
      </c>
      <c r="C184" s="226" t="s">
        <v>85</v>
      </c>
      <c r="D184" s="227" t="s">
        <v>410</v>
      </c>
      <c r="E184" s="227" t="s">
        <v>411</v>
      </c>
      <c r="F184" s="228"/>
      <c r="G184" s="228">
        <f t="shared" si="379"/>
        <v>0.79999999999999993</v>
      </c>
      <c r="H184" s="228">
        <f t="shared" si="351"/>
        <v>0.7</v>
      </c>
      <c r="I184" s="228">
        <f t="shared" si="380"/>
        <v>0.7</v>
      </c>
      <c r="J184" s="229">
        <v>0.15</v>
      </c>
      <c r="K184" s="230">
        <v>46213</v>
      </c>
      <c r="L184" s="107">
        <f t="shared" ref="L184:L185" si="381">K184</f>
        <v>46213</v>
      </c>
      <c r="M184" s="230">
        <v>46199</v>
      </c>
      <c r="N184" s="107">
        <f t="shared" ref="N184:N185" si="382">K184+42</f>
        <v>46255</v>
      </c>
      <c r="O184" s="107">
        <f t="shared" ref="O184:O185" si="383">N184</f>
        <v>46255</v>
      </c>
      <c r="P184" s="230">
        <v>46241</v>
      </c>
      <c r="Q184" s="107">
        <f t="shared" ref="Q184:Q185" si="384">N184+42</f>
        <v>46297</v>
      </c>
      <c r="R184" s="107">
        <f t="shared" ref="R184:R185" si="385">Q184</f>
        <v>46297</v>
      </c>
      <c r="S184" s="230"/>
      <c r="T184" s="107">
        <f t="shared" ref="T184:T185" si="386">Q184+14</f>
        <v>46311</v>
      </c>
      <c r="U184" s="107">
        <f t="shared" ref="U184:U185" si="387">T184</f>
        <v>46311</v>
      </c>
      <c r="V184" s="107"/>
      <c r="W184" s="219"/>
      <c r="Y184" s="175" t="str">
        <f t="shared" ca="1" si="352"/>
        <v>Completed</v>
      </c>
      <c r="Z184" s="175" t="str">
        <f t="shared" ca="1" si="353"/>
        <v>Completed</v>
      </c>
      <c r="AA184" s="175" t="str">
        <f t="shared" ca="1" si="354"/>
        <v>Overdue</v>
      </c>
      <c r="AB184" s="176" t="str">
        <f t="shared" ca="1" si="350"/>
        <v>Follow-Next Week</v>
      </c>
    </row>
    <row r="185" spans="1:28" s="64" customFormat="1" ht="12" customHeight="1" x14ac:dyDescent="0.25">
      <c r="A185" s="226" t="s">
        <v>61</v>
      </c>
      <c r="B185" s="226" t="s">
        <v>62</v>
      </c>
      <c r="C185" s="226" t="s">
        <v>85</v>
      </c>
      <c r="D185" s="227" t="s">
        <v>412</v>
      </c>
      <c r="E185" s="227" t="s">
        <v>413</v>
      </c>
      <c r="F185" s="228"/>
      <c r="G185" s="231">
        <f t="shared" si="379"/>
        <v>0.79999999999999993</v>
      </c>
      <c r="H185" s="231">
        <f t="shared" si="351"/>
        <v>0.7</v>
      </c>
      <c r="I185" s="231">
        <f t="shared" si="380"/>
        <v>0.7</v>
      </c>
      <c r="J185" s="229">
        <v>0.15</v>
      </c>
      <c r="K185" s="230">
        <v>46213</v>
      </c>
      <c r="L185" s="230">
        <f t="shared" si="381"/>
        <v>46213</v>
      </c>
      <c r="M185" s="230">
        <v>46199</v>
      </c>
      <c r="N185" s="230">
        <f t="shared" si="382"/>
        <v>46255</v>
      </c>
      <c r="O185" s="230">
        <f t="shared" si="383"/>
        <v>46255</v>
      </c>
      <c r="P185" s="230">
        <v>46241</v>
      </c>
      <c r="Q185" s="230">
        <f t="shared" si="384"/>
        <v>46297</v>
      </c>
      <c r="R185" s="230">
        <f t="shared" si="385"/>
        <v>46297</v>
      </c>
      <c r="S185" s="230"/>
      <c r="T185" s="230">
        <f t="shared" si="386"/>
        <v>46311</v>
      </c>
      <c r="U185" s="230">
        <f t="shared" si="387"/>
        <v>46311</v>
      </c>
      <c r="V185" s="107"/>
      <c r="W185" s="219"/>
      <c r="Y185" s="175" t="str">
        <f t="shared" ca="1" si="352"/>
        <v>Completed</v>
      </c>
      <c r="Z185" s="175" t="str">
        <f t="shared" ca="1" si="353"/>
        <v>Completed</v>
      </c>
      <c r="AA185" s="175" t="str">
        <f t="shared" ca="1" si="354"/>
        <v>Overdue</v>
      </c>
      <c r="AB185" s="176" t="str">
        <f t="shared" ca="1" si="350"/>
        <v>Follow-Next Week</v>
      </c>
    </row>
    <row r="186" spans="1:28" s="137" customFormat="1" ht="11.5" hidden="1" x14ac:dyDescent="0.25">
      <c r="A186" s="132" t="s">
        <v>61</v>
      </c>
      <c r="B186" s="132" t="s">
        <v>62</v>
      </c>
      <c r="C186" s="132" t="s">
        <v>85</v>
      </c>
      <c r="D186" s="138" t="s">
        <v>414</v>
      </c>
      <c r="E186" s="186" t="s">
        <v>499</v>
      </c>
      <c r="F186" s="139"/>
      <c r="G186" s="139"/>
      <c r="H186" s="139"/>
      <c r="I186" s="139"/>
      <c r="J186" s="135"/>
      <c r="K186" s="136"/>
      <c r="L186" s="140"/>
      <c r="M186" s="140"/>
      <c r="N186" s="140"/>
      <c r="O186" s="140"/>
      <c r="P186" s="136"/>
      <c r="Q186" s="140"/>
      <c r="R186" s="140"/>
      <c r="S186" s="136"/>
      <c r="T186" s="140"/>
      <c r="U186" s="140"/>
      <c r="V186" s="140"/>
      <c r="W186" s="209"/>
      <c r="Y186" s="175"/>
      <c r="Z186" s="175" t="str">
        <f t="shared" ca="1" si="353"/>
        <v/>
      </c>
      <c r="AA186" s="175" t="str">
        <f t="shared" ca="1" si="354"/>
        <v/>
      </c>
      <c r="AB186" s="176" t="str">
        <f t="shared" ca="1" si="350"/>
        <v/>
      </c>
    </row>
    <row r="187" spans="1:28" s="137" customFormat="1" ht="11.5" hidden="1" x14ac:dyDescent="0.25">
      <c r="A187" s="132" t="s">
        <v>61</v>
      </c>
      <c r="B187" s="132" t="s">
        <v>62</v>
      </c>
      <c r="C187" s="132" t="s">
        <v>85</v>
      </c>
      <c r="D187" s="138" t="s">
        <v>415</v>
      </c>
      <c r="E187" s="186" t="s">
        <v>500</v>
      </c>
      <c r="F187" s="139"/>
      <c r="G187" s="139"/>
      <c r="H187" s="139"/>
      <c r="I187" s="139"/>
      <c r="J187" s="135"/>
      <c r="K187" s="136"/>
      <c r="L187" s="140"/>
      <c r="M187" s="140"/>
      <c r="N187" s="140"/>
      <c r="O187" s="140"/>
      <c r="P187" s="136"/>
      <c r="Q187" s="140"/>
      <c r="R187" s="140"/>
      <c r="S187" s="136"/>
      <c r="T187" s="140"/>
      <c r="U187" s="140"/>
      <c r="V187" s="140"/>
      <c r="W187" s="209"/>
      <c r="Y187" s="175"/>
      <c r="Z187" s="175" t="str">
        <f t="shared" ca="1" si="353"/>
        <v/>
      </c>
      <c r="AA187" s="175" t="str">
        <f t="shared" ca="1" si="354"/>
        <v/>
      </c>
      <c r="AB187" s="176" t="str">
        <f t="shared" ca="1" si="350"/>
        <v/>
      </c>
    </row>
    <row r="188" spans="1:28" s="64" customFormat="1" ht="11.5" x14ac:dyDescent="0.25">
      <c r="A188" s="70" t="s">
        <v>61</v>
      </c>
      <c r="B188" s="70" t="s">
        <v>62</v>
      </c>
      <c r="C188" s="70" t="s">
        <v>85</v>
      </c>
      <c r="D188" s="75" t="s">
        <v>344</v>
      </c>
      <c r="E188" s="75" t="s">
        <v>169</v>
      </c>
      <c r="F188" s="116">
        <f t="shared" si="300"/>
        <v>0.79999999999999993</v>
      </c>
      <c r="G188" s="116">
        <f t="shared" si="300"/>
        <v>0.79999999999999993</v>
      </c>
      <c r="H188" s="116">
        <f t="shared" ref="H188:H197" si="388">(COUNTIFS(M188,"&lt;="&amp;$D$1)*50%)+(COUNTIFS(P188,"&lt;="&amp;$D$1)*20%)+(COUNTIFS(S188,"&lt;="&amp;$D$1)*10%)+(COUNTIFS(V188,"&lt;="&amp;$D$1)*20%)</f>
        <v>0.7</v>
      </c>
      <c r="I188" s="116">
        <f t="shared" si="349"/>
        <v>-9.9999999999999978E-2</v>
      </c>
      <c r="J188" s="81">
        <v>0.1</v>
      </c>
      <c r="K188" s="72">
        <v>46213</v>
      </c>
      <c r="L188" s="72">
        <f t="shared" si="355"/>
        <v>46213</v>
      </c>
      <c r="M188" s="72">
        <v>46171</v>
      </c>
      <c r="N188" s="72">
        <f t="shared" si="356"/>
        <v>46255</v>
      </c>
      <c r="O188" s="72">
        <f t="shared" si="357"/>
        <v>46255</v>
      </c>
      <c r="P188" s="72">
        <v>46248</v>
      </c>
      <c r="Q188" s="72">
        <f t="shared" si="358"/>
        <v>46297</v>
      </c>
      <c r="R188" s="72">
        <f t="shared" si="359"/>
        <v>46297</v>
      </c>
      <c r="S188" s="72"/>
      <c r="T188" s="72">
        <f t="shared" si="360"/>
        <v>46311</v>
      </c>
      <c r="U188" s="72">
        <f t="shared" si="361"/>
        <v>46311</v>
      </c>
      <c r="V188" s="72"/>
      <c r="W188" s="204"/>
      <c r="Y188" s="175" t="str">
        <f t="shared" ref="Y188:Y197" ca="1" si="389">IF(OR(M188&lt;&gt;""),"Completed",
IF(L188="","",IF(L188&lt;TODAY(),"Overdue",
IF(AND(L188&gt;=TODAY()-WEEKDAY(TODAY(),2)+1,L188&lt;=TODAY()-WEEKDAY(TODAY(),2)+7),"Follow-This Week",
IF(AND(L188&gt;=TODAY()-WEEKDAY(TODAY(),2)+8,L188&lt;=TODAY()-WEEKDAY(TODAY(),2)+14),"Follow-Next Week","")))))</f>
        <v>Completed</v>
      </c>
      <c r="Z188" s="175" t="str">
        <f t="shared" ca="1" si="353"/>
        <v>Completed</v>
      </c>
      <c r="AA188" s="175" t="str">
        <f t="shared" ca="1" si="354"/>
        <v>Overdue</v>
      </c>
      <c r="AB188" s="176" t="str">
        <f t="shared" ca="1" si="350"/>
        <v>Follow-Next Week</v>
      </c>
    </row>
    <row r="189" spans="1:28" s="64" customFormat="1" ht="11.5" x14ac:dyDescent="0.25">
      <c r="A189" s="70" t="s">
        <v>61</v>
      </c>
      <c r="B189" s="70" t="s">
        <v>62</v>
      </c>
      <c r="C189" s="70" t="s">
        <v>85</v>
      </c>
      <c r="D189" s="75" t="s">
        <v>345</v>
      </c>
      <c r="E189" s="75" t="s">
        <v>170</v>
      </c>
      <c r="F189" s="116">
        <f t="shared" si="300"/>
        <v>0.79999999999999993</v>
      </c>
      <c r="G189" s="116">
        <f t="shared" si="300"/>
        <v>0.79999999999999993</v>
      </c>
      <c r="H189" s="116">
        <f t="shared" si="388"/>
        <v>0.7</v>
      </c>
      <c r="I189" s="116">
        <f t="shared" si="349"/>
        <v>-9.9999999999999978E-2</v>
      </c>
      <c r="J189" s="81">
        <v>0.1</v>
      </c>
      <c r="K189" s="72">
        <v>46213</v>
      </c>
      <c r="L189" s="72">
        <f t="shared" si="355"/>
        <v>46213</v>
      </c>
      <c r="M189" s="72">
        <v>46171</v>
      </c>
      <c r="N189" s="72">
        <f t="shared" si="356"/>
        <v>46255</v>
      </c>
      <c r="O189" s="72">
        <f t="shared" si="357"/>
        <v>46255</v>
      </c>
      <c r="P189" s="72">
        <v>46248</v>
      </c>
      <c r="Q189" s="72">
        <f t="shared" si="358"/>
        <v>46297</v>
      </c>
      <c r="R189" s="72">
        <f t="shared" si="359"/>
        <v>46297</v>
      </c>
      <c r="S189" s="72"/>
      <c r="T189" s="72">
        <f t="shared" si="360"/>
        <v>46311</v>
      </c>
      <c r="U189" s="72">
        <f t="shared" si="361"/>
        <v>46311</v>
      </c>
      <c r="V189" s="72"/>
      <c r="W189" s="204"/>
      <c r="Y189" s="175" t="str">
        <f t="shared" ca="1" si="389"/>
        <v>Completed</v>
      </c>
      <c r="Z189" s="175" t="str">
        <f t="shared" ca="1" si="353"/>
        <v>Completed</v>
      </c>
      <c r="AA189" s="175" t="str">
        <f t="shared" ca="1" si="354"/>
        <v>Overdue</v>
      </c>
      <c r="AB189" s="176" t="str">
        <f t="shared" ca="1" si="350"/>
        <v>Follow-Next Week</v>
      </c>
    </row>
    <row r="190" spans="1:28" s="64" customFormat="1" ht="11.5" x14ac:dyDescent="0.25">
      <c r="A190" s="70" t="s">
        <v>61</v>
      </c>
      <c r="B190" s="70" t="s">
        <v>62</v>
      </c>
      <c r="C190" s="70" t="s">
        <v>85</v>
      </c>
      <c r="D190" s="75" t="s">
        <v>346</v>
      </c>
      <c r="E190" s="75" t="s">
        <v>171</v>
      </c>
      <c r="F190" s="116">
        <f t="shared" si="300"/>
        <v>0.79999999999999993</v>
      </c>
      <c r="G190" s="116">
        <f t="shared" si="300"/>
        <v>0.79999999999999993</v>
      </c>
      <c r="H190" s="116">
        <f t="shared" si="388"/>
        <v>0.7</v>
      </c>
      <c r="I190" s="116">
        <f t="shared" si="349"/>
        <v>-9.9999999999999978E-2</v>
      </c>
      <c r="J190" s="81">
        <v>0.1</v>
      </c>
      <c r="K190" s="72">
        <v>46213</v>
      </c>
      <c r="L190" s="72">
        <f t="shared" si="355"/>
        <v>46213</v>
      </c>
      <c r="M190" s="72">
        <v>46171</v>
      </c>
      <c r="N190" s="72">
        <f t="shared" si="356"/>
        <v>46255</v>
      </c>
      <c r="O190" s="72">
        <f t="shared" si="357"/>
        <v>46255</v>
      </c>
      <c r="P190" s="72">
        <v>46262</v>
      </c>
      <c r="Q190" s="72">
        <f t="shared" si="358"/>
        <v>46297</v>
      </c>
      <c r="R190" s="72">
        <f t="shared" si="359"/>
        <v>46297</v>
      </c>
      <c r="S190" s="72"/>
      <c r="T190" s="72">
        <f t="shared" si="360"/>
        <v>46311</v>
      </c>
      <c r="U190" s="72">
        <f t="shared" si="361"/>
        <v>46311</v>
      </c>
      <c r="V190" s="72"/>
      <c r="W190" s="204"/>
      <c r="Y190" s="175" t="str">
        <f t="shared" ca="1" si="389"/>
        <v>Completed</v>
      </c>
      <c r="Z190" s="175" t="str">
        <f t="shared" ca="1" si="353"/>
        <v>Completed</v>
      </c>
      <c r="AA190" s="175" t="str">
        <f t="shared" ca="1" si="354"/>
        <v>Overdue</v>
      </c>
      <c r="AB190" s="176" t="str">
        <f t="shared" ca="1" si="350"/>
        <v>Follow-Next Week</v>
      </c>
    </row>
    <row r="191" spans="1:28" s="64" customFormat="1" ht="11.5" x14ac:dyDescent="0.25">
      <c r="A191" s="70" t="s">
        <v>61</v>
      </c>
      <c r="B191" s="70" t="s">
        <v>62</v>
      </c>
      <c r="C191" s="70" t="s">
        <v>85</v>
      </c>
      <c r="D191" s="75" t="s">
        <v>347</v>
      </c>
      <c r="E191" s="75" t="s">
        <v>172</v>
      </c>
      <c r="F191" s="116">
        <f t="shared" si="300"/>
        <v>0.79999999999999993</v>
      </c>
      <c r="G191" s="116">
        <f t="shared" si="300"/>
        <v>0.79999999999999993</v>
      </c>
      <c r="H191" s="116">
        <f t="shared" si="388"/>
        <v>0.7</v>
      </c>
      <c r="I191" s="116">
        <f t="shared" si="349"/>
        <v>-9.9999999999999978E-2</v>
      </c>
      <c r="J191" s="81">
        <v>0.1</v>
      </c>
      <c r="K191" s="72">
        <v>46213</v>
      </c>
      <c r="L191" s="72">
        <f t="shared" si="355"/>
        <v>46213</v>
      </c>
      <c r="M191" s="72">
        <v>46171</v>
      </c>
      <c r="N191" s="72">
        <f t="shared" si="356"/>
        <v>46255</v>
      </c>
      <c r="O191" s="72">
        <f t="shared" si="357"/>
        <v>46255</v>
      </c>
      <c r="P191" s="72">
        <v>46262</v>
      </c>
      <c r="Q191" s="72">
        <f t="shared" si="358"/>
        <v>46297</v>
      </c>
      <c r="R191" s="72">
        <f t="shared" si="359"/>
        <v>46297</v>
      </c>
      <c r="S191" s="72"/>
      <c r="T191" s="72">
        <f t="shared" si="360"/>
        <v>46311</v>
      </c>
      <c r="U191" s="72">
        <f t="shared" si="361"/>
        <v>46311</v>
      </c>
      <c r="V191" s="72"/>
      <c r="W191" s="204"/>
      <c r="Y191" s="175" t="str">
        <f t="shared" ca="1" si="389"/>
        <v>Completed</v>
      </c>
      <c r="Z191" s="175" t="str">
        <f t="shared" ca="1" si="353"/>
        <v>Completed</v>
      </c>
      <c r="AA191" s="175" t="str">
        <f t="shared" ca="1" si="354"/>
        <v>Overdue</v>
      </c>
      <c r="AB191" s="176" t="str">
        <f t="shared" ca="1" si="350"/>
        <v>Follow-Next Week</v>
      </c>
    </row>
    <row r="192" spans="1:28" s="64" customFormat="1" ht="11.5" x14ac:dyDescent="0.25">
      <c r="A192" s="70" t="s">
        <v>61</v>
      </c>
      <c r="B192" s="70" t="s">
        <v>62</v>
      </c>
      <c r="C192" s="70" t="s">
        <v>85</v>
      </c>
      <c r="D192" s="75" t="s">
        <v>348</v>
      </c>
      <c r="E192" s="75" t="s">
        <v>173</v>
      </c>
      <c r="F192" s="116">
        <f t="shared" si="300"/>
        <v>0.79999999999999993</v>
      </c>
      <c r="G192" s="116">
        <f t="shared" si="300"/>
        <v>0.79999999999999993</v>
      </c>
      <c r="H192" s="116">
        <f t="shared" si="388"/>
        <v>0.7</v>
      </c>
      <c r="I192" s="116">
        <f t="shared" si="349"/>
        <v>-9.9999999999999978E-2</v>
      </c>
      <c r="J192" s="81">
        <v>0.1</v>
      </c>
      <c r="K192" s="72">
        <v>46213</v>
      </c>
      <c r="L192" s="72">
        <f t="shared" si="355"/>
        <v>46213</v>
      </c>
      <c r="M192" s="72">
        <v>46171</v>
      </c>
      <c r="N192" s="72">
        <f t="shared" si="356"/>
        <v>46255</v>
      </c>
      <c r="O192" s="72">
        <f t="shared" si="357"/>
        <v>46255</v>
      </c>
      <c r="P192" s="72">
        <v>46262</v>
      </c>
      <c r="Q192" s="72">
        <f t="shared" si="358"/>
        <v>46297</v>
      </c>
      <c r="R192" s="72">
        <f t="shared" si="359"/>
        <v>46297</v>
      </c>
      <c r="S192" s="72"/>
      <c r="T192" s="72">
        <f t="shared" si="360"/>
        <v>46311</v>
      </c>
      <c r="U192" s="72">
        <f t="shared" si="361"/>
        <v>46311</v>
      </c>
      <c r="V192" s="72"/>
      <c r="W192" s="204"/>
      <c r="Y192" s="175" t="str">
        <f t="shared" ca="1" si="389"/>
        <v>Completed</v>
      </c>
      <c r="Z192" s="175" t="str">
        <f t="shared" ca="1" si="353"/>
        <v>Completed</v>
      </c>
      <c r="AA192" s="175" t="str">
        <f t="shared" ca="1" si="354"/>
        <v>Overdue</v>
      </c>
      <c r="AB192" s="176" t="str">
        <f t="shared" ca="1" si="350"/>
        <v>Follow-Next Week</v>
      </c>
    </row>
    <row r="193" spans="1:28" s="64" customFormat="1" ht="11.5" x14ac:dyDescent="0.25">
      <c r="A193" s="70" t="s">
        <v>61</v>
      </c>
      <c r="B193" s="70" t="s">
        <v>62</v>
      </c>
      <c r="C193" s="70" t="s">
        <v>85</v>
      </c>
      <c r="D193" s="75" t="s">
        <v>349</v>
      </c>
      <c r="E193" s="75" t="s">
        <v>174</v>
      </c>
      <c r="F193" s="116">
        <f t="shared" si="300"/>
        <v>0.79999999999999993</v>
      </c>
      <c r="G193" s="116">
        <f t="shared" si="300"/>
        <v>0.79999999999999993</v>
      </c>
      <c r="H193" s="116">
        <f t="shared" si="388"/>
        <v>0.7</v>
      </c>
      <c r="I193" s="116">
        <f t="shared" si="349"/>
        <v>-9.9999999999999978E-2</v>
      </c>
      <c r="J193" s="81">
        <v>0.1</v>
      </c>
      <c r="K193" s="72">
        <v>46213</v>
      </c>
      <c r="L193" s="72">
        <f t="shared" si="355"/>
        <v>46213</v>
      </c>
      <c r="M193" s="72">
        <v>46171</v>
      </c>
      <c r="N193" s="72">
        <f t="shared" si="356"/>
        <v>46255</v>
      </c>
      <c r="O193" s="72">
        <f t="shared" si="357"/>
        <v>46255</v>
      </c>
      <c r="P193" s="72">
        <v>46262</v>
      </c>
      <c r="Q193" s="72">
        <f t="shared" si="358"/>
        <v>46297</v>
      </c>
      <c r="R193" s="72">
        <f t="shared" si="359"/>
        <v>46297</v>
      </c>
      <c r="S193" s="72"/>
      <c r="T193" s="72">
        <f t="shared" si="360"/>
        <v>46311</v>
      </c>
      <c r="U193" s="72">
        <f t="shared" si="361"/>
        <v>46311</v>
      </c>
      <c r="V193" s="72"/>
      <c r="W193" s="204"/>
      <c r="Y193" s="175" t="str">
        <f t="shared" ca="1" si="389"/>
        <v>Completed</v>
      </c>
      <c r="Z193" s="175" t="str">
        <f t="shared" ca="1" si="353"/>
        <v>Completed</v>
      </c>
      <c r="AA193" s="175" t="str">
        <f t="shared" ca="1" si="354"/>
        <v>Overdue</v>
      </c>
      <c r="AB193" s="176" t="str">
        <f t="shared" ca="1" si="350"/>
        <v>Follow-Next Week</v>
      </c>
    </row>
    <row r="194" spans="1:28" s="64" customFormat="1" ht="11.5" x14ac:dyDescent="0.25">
      <c r="A194" s="70" t="s">
        <v>61</v>
      </c>
      <c r="B194" s="70" t="s">
        <v>62</v>
      </c>
      <c r="C194" s="70" t="s">
        <v>85</v>
      </c>
      <c r="D194" s="75" t="s">
        <v>350</v>
      </c>
      <c r="E194" s="75" t="s">
        <v>175</v>
      </c>
      <c r="F194" s="116">
        <f t="shared" si="300"/>
        <v>0.79999999999999993</v>
      </c>
      <c r="G194" s="116">
        <f t="shared" si="300"/>
        <v>0.79999999999999993</v>
      </c>
      <c r="H194" s="116">
        <f t="shared" si="388"/>
        <v>0.7</v>
      </c>
      <c r="I194" s="116">
        <f t="shared" si="349"/>
        <v>-9.9999999999999978E-2</v>
      </c>
      <c r="J194" s="81">
        <v>0.1</v>
      </c>
      <c r="K194" s="72">
        <v>46213</v>
      </c>
      <c r="L194" s="72">
        <f t="shared" si="355"/>
        <v>46213</v>
      </c>
      <c r="M194" s="72">
        <v>46171</v>
      </c>
      <c r="N194" s="72">
        <f t="shared" si="356"/>
        <v>46255</v>
      </c>
      <c r="O194" s="72">
        <f t="shared" si="357"/>
        <v>46255</v>
      </c>
      <c r="P194" s="72">
        <v>46262</v>
      </c>
      <c r="Q194" s="72">
        <f t="shared" si="358"/>
        <v>46297</v>
      </c>
      <c r="R194" s="72">
        <f t="shared" si="359"/>
        <v>46297</v>
      </c>
      <c r="S194" s="72"/>
      <c r="T194" s="72">
        <f t="shared" si="360"/>
        <v>46311</v>
      </c>
      <c r="U194" s="72">
        <f t="shared" si="361"/>
        <v>46311</v>
      </c>
      <c r="V194" s="72"/>
      <c r="W194" s="204"/>
      <c r="Y194" s="175" t="str">
        <f t="shared" ca="1" si="389"/>
        <v>Completed</v>
      </c>
      <c r="Z194" s="175" t="str">
        <f t="shared" ca="1" si="353"/>
        <v>Completed</v>
      </c>
      <c r="AA194" s="175" t="str">
        <f t="shared" ca="1" si="354"/>
        <v>Overdue</v>
      </c>
      <c r="AB194" s="176" t="str">
        <f t="shared" ca="1" si="350"/>
        <v>Follow-Next Week</v>
      </c>
    </row>
    <row r="195" spans="1:28" s="64" customFormat="1" ht="11.5" x14ac:dyDescent="0.25">
      <c r="A195" s="70" t="s">
        <v>61</v>
      </c>
      <c r="B195" s="70" t="s">
        <v>62</v>
      </c>
      <c r="C195" s="70" t="s">
        <v>85</v>
      </c>
      <c r="D195" s="124" t="s">
        <v>351</v>
      </c>
      <c r="E195" s="124" t="s">
        <v>176</v>
      </c>
      <c r="F195" s="125">
        <f t="shared" ref="F195" si="390">(COUNTIFS(K195,"&lt;="&amp;$D$1)*50%)+(COUNTIFS(N195,"&lt;="&amp;$D$1)*20%)+(COUNTIFS(Q195,"&lt;="&amp;$D$1)*10%)+(COUNTIFS(T195,"&lt;="&amp;$D$1)*20%)</f>
        <v>0.79999999999999993</v>
      </c>
      <c r="G195" s="125">
        <f t="shared" ref="G195" si="391">(COUNTIFS(L195,"&lt;="&amp;$D$1)*50%)+(COUNTIFS(O195,"&lt;="&amp;$D$1)*20%)+(COUNTIFS(R195,"&lt;="&amp;$D$1)*10%)+(COUNTIFS(U195,"&lt;="&amp;$D$1)*20%)</f>
        <v>0.79999999999999993</v>
      </c>
      <c r="H195" s="125">
        <f t="shared" si="388"/>
        <v>0.7</v>
      </c>
      <c r="I195" s="125">
        <f t="shared" si="349"/>
        <v>-9.9999999999999978E-2</v>
      </c>
      <c r="J195" s="81">
        <v>0.1</v>
      </c>
      <c r="K195" s="72">
        <v>46213</v>
      </c>
      <c r="L195" s="107">
        <f t="shared" si="355"/>
        <v>46213</v>
      </c>
      <c r="M195" s="72">
        <v>46171</v>
      </c>
      <c r="N195" s="107">
        <f t="shared" si="356"/>
        <v>46255</v>
      </c>
      <c r="O195" s="107">
        <f t="shared" si="357"/>
        <v>46255</v>
      </c>
      <c r="P195" s="72">
        <v>46262</v>
      </c>
      <c r="Q195" s="107">
        <f t="shared" si="358"/>
        <v>46297</v>
      </c>
      <c r="R195" s="107">
        <f t="shared" si="359"/>
        <v>46297</v>
      </c>
      <c r="S195" s="107"/>
      <c r="T195" s="107">
        <f t="shared" si="360"/>
        <v>46311</v>
      </c>
      <c r="U195" s="107">
        <f t="shared" si="361"/>
        <v>46311</v>
      </c>
      <c r="V195" s="107"/>
      <c r="W195" s="219"/>
      <c r="Y195" s="175" t="str">
        <f t="shared" ca="1" si="389"/>
        <v>Completed</v>
      </c>
      <c r="Z195" s="175" t="str">
        <f t="shared" ca="1" si="353"/>
        <v>Completed</v>
      </c>
      <c r="AA195" s="175" t="str">
        <f t="shared" ca="1" si="354"/>
        <v>Overdue</v>
      </c>
      <c r="AB195" s="176" t="str">
        <f t="shared" ca="1" si="350"/>
        <v>Follow-Next Week</v>
      </c>
    </row>
    <row r="196" spans="1:28" s="64" customFormat="1" ht="11.5" x14ac:dyDescent="0.25">
      <c r="A196" s="70" t="s">
        <v>61</v>
      </c>
      <c r="B196" s="70" t="s">
        <v>62</v>
      </c>
      <c r="C196" s="70" t="s">
        <v>85</v>
      </c>
      <c r="D196" s="75" t="s">
        <v>352</v>
      </c>
      <c r="E196" s="75" t="s">
        <v>177</v>
      </c>
      <c r="F196" s="116">
        <f t="shared" ref="F196:G253" si="392">(COUNTIFS(K196,"&lt;="&amp;$D$1)*50%)+(COUNTIFS(N196,"&lt;="&amp;$D$1)*20%)+(COUNTIFS(Q196,"&lt;="&amp;$D$1)*10%)+(COUNTIFS(T196,"&lt;="&amp;$D$1)*20%)</f>
        <v>0.79999999999999993</v>
      </c>
      <c r="G196" s="116">
        <f t="shared" si="392"/>
        <v>0.79999999999999993</v>
      </c>
      <c r="H196" s="116">
        <f t="shared" si="388"/>
        <v>0.7</v>
      </c>
      <c r="I196" s="116">
        <f t="shared" si="349"/>
        <v>-9.9999999999999978E-2</v>
      </c>
      <c r="J196" s="81">
        <v>0.1</v>
      </c>
      <c r="K196" s="72">
        <v>46213</v>
      </c>
      <c r="L196" s="72">
        <f t="shared" si="355"/>
        <v>46213</v>
      </c>
      <c r="M196" s="72">
        <v>46171</v>
      </c>
      <c r="N196" s="72">
        <f t="shared" si="356"/>
        <v>46255</v>
      </c>
      <c r="O196" s="72">
        <f t="shared" si="357"/>
        <v>46255</v>
      </c>
      <c r="P196" s="72">
        <v>46262</v>
      </c>
      <c r="Q196" s="72">
        <f t="shared" si="358"/>
        <v>46297</v>
      </c>
      <c r="R196" s="72">
        <f t="shared" si="359"/>
        <v>46297</v>
      </c>
      <c r="S196" s="72"/>
      <c r="T196" s="72">
        <f t="shared" si="360"/>
        <v>46311</v>
      </c>
      <c r="U196" s="72">
        <f t="shared" si="361"/>
        <v>46311</v>
      </c>
      <c r="V196" s="72"/>
      <c r="W196" s="204"/>
      <c r="Y196" s="175" t="str">
        <f t="shared" ca="1" si="389"/>
        <v>Completed</v>
      </c>
      <c r="Z196" s="175" t="str">
        <f t="shared" ca="1" si="353"/>
        <v>Completed</v>
      </c>
      <c r="AA196" s="175" t="str">
        <f t="shared" ca="1" si="354"/>
        <v>Overdue</v>
      </c>
      <c r="AB196" s="176" t="str">
        <f t="shared" ca="1" si="350"/>
        <v>Follow-Next Week</v>
      </c>
    </row>
    <row r="197" spans="1:28" s="64" customFormat="1" ht="11.5" x14ac:dyDescent="0.25">
      <c r="A197" s="70" t="s">
        <v>61</v>
      </c>
      <c r="B197" s="70" t="s">
        <v>62</v>
      </c>
      <c r="C197" s="70" t="s">
        <v>85</v>
      </c>
      <c r="D197" s="75" t="s">
        <v>353</v>
      </c>
      <c r="E197" s="75" t="s">
        <v>178</v>
      </c>
      <c r="F197" s="116">
        <f t="shared" si="392"/>
        <v>0.79999999999999993</v>
      </c>
      <c r="G197" s="116">
        <f t="shared" si="392"/>
        <v>0.79999999999999993</v>
      </c>
      <c r="H197" s="116">
        <f t="shared" si="388"/>
        <v>0.7</v>
      </c>
      <c r="I197" s="116">
        <f t="shared" si="349"/>
        <v>-9.9999999999999978E-2</v>
      </c>
      <c r="J197" s="81">
        <v>0.1</v>
      </c>
      <c r="K197" s="72">
        <v>46213</v>
      </c>
      <c r="L197" s="72">
        <f t="shared" si="355"/>
        <v>46213</v>
      </c>
      <c r="M197" s="72">
        <v>46171</v>
      </c>
      <c r="N197" s="72">
        <f t="shared" si="356"/>
        <v>46255</v>
      </c>
      <c r="O197" s="72">
        <f t="shared" si="357"/>
        <v>46255</v>
      </c>
      <c r="P197" s="72">
        <v>46262</v>
      </c>
      <c r="Q197" s="72">
        <f t="shared" si="358"/>
        <v>46297</v>
      </c>
      <c r="R197" s="72">
        <f t="shared" si="359"/>
        <v>46297</v>
      </c>
      <c r="S197" s="72"/>
      <c r="T197" s="72">
        <f t="shared" si="360"/>
        <v>46311</v>
      </c>
      <c r="U197" s="72">
        <f t="shared" si="361"/>
        <v>46311</v>
      </c>
      <c r="V197" s="72"/>
      <c r="W197" s="204"/>
      <c r="Y197" s="175" t="str">
        <f t="shared" ca="1" si="389"/>
        <v>Completed</v>
      </c>
      <c r="Z197" s="175" t="str">
        <f t="shared" ca="1" si="353"/>
        <v>Completed</v>
      </c>
      <c r="AA197" s="175" t="str">
        <f t="shared" ca="1" si="354"/>
        <v>Overdue</v>
      </c>
      <c r="AB197" s="176" t="str">
        <f t="shared" ca="1" si="350"/>
        <v>Follow-Next Week</v>
      </c>
    </row>
    <row r="198" spans="1:28" s="137" customFormat="1" ht="11.5" hidden="1" x14ac:dyDescent="0.25">
      <c r="A198" s="132" t="s">
        <v>61</v>
      </c>
      <c r="B198" s="132" t="s">
        <v>62</v>
      </c>
      <c r="C198" s="132" t="s">
        <v>85</v>
      </c>
      <c r="D198" s="133" t="s">
        <v>416</v>
      </c>
      <c r="E198" s="133" t="s">
        <v>501</v>
      </c>
      <c r="F198" s="134"/>
      <c r="G198" s="134"/>
      <c r="H198" s="134"/>
      <c r="I198" s="134"/>
      <c r="J198" s="135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209"/>
      <c r="Y198" s="175"/>
      <c r="Z198" s="175"/>
      <c r="AA198" s="175"/>
      <c r="AB198" s="176"/>
    </row>
    <row r="199" spans="1:28" s="64" customFormat="1" ht="11.5" x14ac:dyDescent="0.25">
      <c r="A199" s="70" t="s">
        <v>61</v>
      </c>
      <c r="B199" s="70" t="s">
        <v>62</v>
      </c>
      <c r="C199" s="70" t="s">
        <v>85</v>
      </c>
      <c r="D199" s="75" t="s">
        <v>354</v>
      </c>
      <c r="E199" s="75" t="s">
        <v>179</v>
      </c>
      <c r="F199" s="116">
        <f t="shared" si="392"/>
        <v>0.79999999999999993</v>
      </c>
      <c r="G199" s="116">
        <f t="shared" si="392"/>
        <v>0.79999999999999993</v>
      </c>
      <c r="H199" s="116">
        <f t="shared" ref="H199:H206" si="393">(COUNTIFS(M199,"&lt;="&amp;$D$1)*50%)+(COUNTIFS(P199,"&lt;="&amp;$D$1)*20%)+(COUNTIFS(S199,"&lt;="&amp;$D$1)*10%)+(COUNTIFS(V199,"&lt;="&amp;$D$1)*20%)</f>
        <v>0.7</v>
      </c>
      <c r="I199" s="116">
        <f t="shared" si="349"/>
        <v>-9.9999999999999978E-2</v>
      </c>
      <c r="J199" s="81">
        <v>0.1</v>
      </c>
      <c r="K199" s="72">
        <v>46220</v>
      </c>
      <c r="L199" s="72">
        <f t="shared" si="355"/>
        <v>46220</v>
      </c>
      <c r="M199" s="72">
        <v>46178</v>
      </c>
      <c r="N199" s="72">
        <f t="shared" si="356"/>
        <v>46262</v>
      </c>
      <c r="O199" s="72">
        <f t="shared" si="357"/>
        <v>46262</v>
      </c>
      <c r="P199" s="72">
        <v>46248</v>
      </c>
      <c r="Q199" s="72">
        <f t="shared" si="358"/>
        <v>46304</v>
      </c>
      <c r="R199" s="72">
        <f t="shared" si="359"/>
        <v>46304</v>
      </c>
      <c r="S199" s="72"/>
      <c r="T199" s="72">
        <f t="shared" si="360"/>
        <v>46318</v>
      </c>
      <c r="U199" s="72">
        <f t="shared" si="361"/>
        <v>46318</v>
      </c>
      <c r="V199" s="72"/>
      <c r="W199" s="204"/>
      <c r="Y199" s="175" t="str">
        <f t="shared" ref="Y199:Y230" ca="1" si="394">IF(OR(M199&lt;&gt;""),"Completed",
IF(L199="","",IF(L199&lt;TODAY(),"Overdue",
IF(AND(L199&gt;=TODAY()-WEEKDAY(TODAY(),2)+1,L199&lt;=TODAY()-WEEKDAY(TODAY(),2)+7),"Follow-This Week",
IF(AND(L199&gt;=TODAY()-WEEKDAY(TODAY(),2)+8,L199&lt;=TODAY()-WEEKDAY(TODAY(),2)+14),"Follow-Next Week","")))))</f>
        <v>Completed</v>
      </c>
      <c r="Z199" s="175" t="str">
        <f t="shared" ref="Z199:Z230" ca="1" si="395">IF(OR(P199&lt;&gt;""),"Completed",IF(O199="","",
IF(O199&lt;TODAY(),"Overdue",
IF(AND(O199&gt;=TODAY()-WEEKDAY(TODAY(),2)+1,O199&lt;=TODAY()-WEEKDAY(TODAY(),2)+7),"Follow-This Week",
IF(AND(O199&gt;=TODAY()-WEEKDAY(TODAY(),2)+8,O199&lt;=TODAY()-WEEKDAY(TODAY(),2)+14),"Follow-Next Week","")))))</f>
        <v>Completed</v>
      </c>
      <c r="AA199" s="175" t="str">
        <f t="shared" ref="AA199:AA230" ca="1" si="396">IF(OR(S199&lt;&gt;""),"Completed",IF(R199="","",
IF(R199&lt;TODAY(),"Overdue",
IF(AND(R199&gt;=TODAY()-WEEKDAY(TODAY(),2)+1,R199&lt;=TODAY()-WEEKDAY(TODAY(),2)+7),"Follow-This Week",
IF(AND(R199&gt;=TODAY()-WEEKDAY(TODAY(),2)+8,R199&lt;=TODAY()-WEEKDAY(TODAY(),2)+14),"Follow-Next Week","")))))</f>
        <v>Overdue</v>
      </c>
      <c r="AB199" s="176" t="str">
        <f t="shared" ref="AB199:AB230" ca="1" si="397">IF(OR(V199&lt;&gt;""),"Completed",IF(U199="","",
IF(U199&lt;TODAY(),"Overdue",
IF(AND(U199&gt;=TODAY()-WEEKDAY(TODAY(),2)+1,U199&lt;=TODAY()-WEEKDAY(TODAY(),2)+7),"Follow-This Week",
IF(AND(U199&gt;=TODAY()-WEEKDAY(TODAY(),2)+8,U199&lt;=TODAY()-WEEKDAY(TODAY(),2)+14),"Follow-Next Week","")))))</f>
        <v/>
      </c>
    </row>
    <row r="200" spans="1:28" s="64" customFormat="1" ht="11.5" x14ac:dyDescent="0.25">
      <c r="A200" s="70" t="s">
        <v>61</v>
      </c>
      <c r="B200" s="70" t="s">
        <v>62</v>
      </c>
      <c r="C200" s="70" t="s">
        <v>85</v>
      </c>
      <c r="D200" s="75" t="s">
        <v>355</v>
      </c>
      <c r="E200" s="75" t="s">
        <v>180</v>
      </c>
      <c r="F200" s="116">
        <f t="shared" si="392"/>
        <v>0.79999999999999993</v>
      </c>
      <c r="G200" s="116">
        <f>(COUNTIFS(L200,"&lt;="&amp;$D$1)*50%)+(COUNTIFS(O200,"&lt;="&amp;$D$1)*20%)+(COUNTIFS(R200,"&lt;="&amp;$D$1)*10%)+(COUNTIFS(U200,"&lt;="&amp;$D$1)*20%)</f>
        <v>0.79999999999999993</v>
      </c>
      <c r="H200" s="116">
        <f t="shared" si="393"/>
        <v>0.7</v>
      </c>
      <c r="I200" s="116">
        <f t="shared" si="349"/>
        <v>-9.9999999999999978E-2</v>
      </c>
      <c r="J200" s="81">
        <v>0.1</v>
      </c>
      <c r="K200" s="72">
        <v>46220</v>
      </c>
      <c r="L200" s="72">
        <f t="shared" si="355"/>
        <v>46220</v>
      </c>
      <c r="M200" s="72">
        <v>46178</v>
      </c>
      <c r="N200" s="72">
        <f t="shared" si="356"/>
        <v>46262</v>
      </c>
      <c r="O200" s="72">
        <f t="shared" si="357"/>
        <v>46262</v>
      </c>
      <c r="P200" s="72">
        <v>46248</v>
      </c>
      <c r="Q200" s="72">
        <f t="shared" si="358"/>
        <v>46304</v>
      </c>
      <c r="R200" s="72">
        <f t="shared" si="359"/>
        <v>46304</v>
      </c>
      <c r="S200" s="72"/>
      <c r="T200" s="72">
        <f t="shared" si="360"/>
        <v>46318</v>
      </c>
      <c r="U200" s="72">
        <f t="shared" si="361"/>
        <v>46318</v>
      </c>
      <c r="V200" s="72"/>
      <c r="W200" s="204"/>
      <c r="Y200" s="175" t="str">
        <f t="shared" ca="1" si="394"/>
        <v>Completed</v>
      </c>
      <c r="Z200" s="175" t="str">
        <f t="shared" ca="1" si="395"/>
        <v>Completed</v>
      </c>
      <c r="AA200" s="175" t="str">
        <f t="shared" ca="1" si="396"/>
        <v>Overdue</v>
      </c>
      <c r="AB200" s="176" t="str">
        <f t="shared" ca="1" si="397"/>
        <v/>
      </c>
    </row>
    <row r="201" spans="1:28" s="64" customFormat="1" ht="9.5" customHeight="1" x14ac:dyDescent="0.25">
      <c r="A201" s="70" t="s">
        <v>61</v>
      </c>
      <c r="B201" s="70" t="s">
        <v>62</v>
      </c>
      <c r="C201" s="70" t="s">
        <v>85</v>
      </c>
      <c r="D201" s="75" t="s">
        <v>356</v>
      </c>
      <c r="E201" s="75" t="s">
        <v>181</v>
      </c>
      <c r="F201" s="116">
        <f t="shared" si="392"/>
        <v>0.79999999999999993</v>
      </c>
      <c r="G201" s="116">
        <f>(COUNTIFS(L201,"&lt;="&amp;$D$1)*50%)+(COUNTIFS(O201,"&lt;="&amp;$D$1)*20%)+(COUNTIFS(R201,"&lt;="&amp;$D$1)*10%)+(COUNTIFS(U201,"&lt;="&amp;$D$1)*20%)</f>
        <v>0.79999999999999993</v>
      </c>
      <c r="H201" s="116">
        <f t="shared" si="393"/>
        <v>0.7</v>
      </c>
      <c r="I201" s="116">
        <f t="shared" si="349"/>
        <v>-9.9999999999999978E-2</v>
      </c>
      <c r="J201" s="81">
        <v>0.1</v>
      </c>
      <c r="K201" s="72">
        <v>46220</v>
      </c>
      <c r="L201" s="72">
        <f t="shared" si="355"/>
        <v>46220</v>
      </c>
      <c r="M201" s="72">
        <v>46178</v>
      </c>
      <c r="N201" s="72">
        <f t="shared" si="356"/>
        <v>46262</v>
      </c>
      <c r="O201" s="72">
        <f t="shared" si="357"/>
        <v>46262</v>
      </c>
      <c r="P201" s="72">
        <v>46248</v>
      </c>
      <c r="Q201" s="72">
        <f t="shared" si="358"/>
        <v>46304</v>
      </c>
      <c r="R201" s="72">
        <f t="shared" si="359"/>
        <v>46304</v>
      </c>
      <c r="S201" s="72"/>
      <c r="T201" s="72">
        <f t="shared" si="360"/>
        <v>46318</v>
      </c>
      <c r="U201" s="72">
        <f t="shared" si="361"/>
        <v>46318</v>
      </c>
      <c r="V201" s="72"/>
      <c r="W201" s="204"/>
      <c r="Y201" s="175" t="str">
        <f t="shared" ca="1" si="394"/>
        <v>Completed</v>
      </c>
      <c r="Z201" s="175" t="str">
        <f t="shared" ca="1" si="395"/>
        <v>Completed</v>
      </c>
      <c r="AA201" s="175" t="str">
        <f t="shared" ca="1" si="396"/>
        <v>Overdue</v>
      </c>
      <c r="AB201" s="176" t="str">
        <f t="shared" ca="1" si="397"/>
        <v/>
      </c>
    </row>
    <row r="202" spans="1:28" s="64" customFormat="1" ht="9.5" customHeight="1" x14ac:dyDescent="0.25">
      <c r="A202" s="70" t="s">
        <v>61</v>
      </c>
      <c r="B202" s="70" t="s">
        <v>62</v>
      </c>
      <c r="C202" s="70" t="s">
        <v>85</v>
      </c>
      <c r="D202" s="75" t="s">
        <v>357</v>
      </c>
      <c r="E202" s="75" t="s">
        <v>182</v>
      </c>
      <c r="F202" s="116">
        <f t="shared" si="392"/>
        <v>0.79999999999999993</v>
      </c>
      <c r="G202" s="116">
        <f>(COUNTIFS(L202,"&lt;="&amp;$D$1)*50%)+(COUNTIFS(O202,"&lt;="&amp;$D$1)*20%)+(COUNTIFS(R202,"&lt;="&amp;$D$1)*10%)+(COUNTIFS(U202,"&lt;="&amp;$D$1)*20%)</f>
        <v>0.79999999999999993</v>
      </c>
      <c r="H202" s="116">
        <f t="shared" si="393"/>
        <v>0.7</v>
      </c>
      <c r="I202" s="116">
        <f t="shared" si="349"/>
        <v>-9.9999999999999978E-2</v>
      </c>
      <c r="J202" s="81">
        <v>0.1</v>
      </c>
      <c r="K202" s="72">
        <v>46220</v>
      </c>
      <c r="L202" s="72">
        <f t="shared" si="355"/>
        <v>46220</v>
      </c>
      <c r="M202" s="72">
        <v>46178</v>
      </c>
      <c r="N202" s="72">
        <f t="shared" si="356"/>
        <v>46262</v>
      </c>
      <c r="O202" s="72">
        <f t="shared" si="357"/>
        <v>46262</v>
      </c>
      <c r="P202" s="72">
        <v>46248</v>
      </c>
      <c r="Q202" s="72">
        <f t="shared" si="358"/>
        <v>46304</v>
      </c>
      <c r="R202" s="72">
        <f t="shared" si="359"/>
        <v>46304</v>
      </c>
      <c r="S202" s="72"/>
      <c r="T202" s="72">
        <f t="shared" si="360"/>
        <v>46318</v>
      </c>
      <c r="U202" s="72">
        <f t="shared" si="361"/>
        <v>46318</v>
      </c>
      <c r="V202" s="72"/>
      <c r="W202" s="204"/>
      <c r="Y202" s="175" t="str">
        <f t="shared" ca="1" si="394"/>
        <v>Completed</v>
      </c>
      <c r="Z202" s="175" t="str">
        <f t="shared" ca="1" si="395"/>
        <v>Completed</v>
      </c>
      <c r="AA202" s="175" t="str">
        <f t="shared" ca="1" si="396"/>
        <v>Overdue</v>
      </c>
      <c r="AB202" s="176" t="str">
        <f t="shared" ca="1" si="397"/>
        <v/>
      </c>
    </row>
    <row r="203" spans="1:28" s="64" customFormat="1" ht="9.5" customHeight="1" x14ac:dyDescent="0.25">
      <c r="A203" s="70" t="s">
        <v>61</v>
      </c>
      <c r="B203" s="70" t="s">
        <v>62</v>
      </c>
      <c r="C203" s="70" t="s">
        <v>85</v>
      </c>
      <c r="D203" s="75" t="s">
        <v>358</v>
      </c>
      <c r="E203" s="75" t="s">
        <v>183</v>
      </c>
      <c r="F203" s="116">
        <f t="shared" si="392"/>
        <v>0.79999999999999993</v>
      </c>
      <c r="G203" s="116">
        <f t="shared" si="392"/>
        <v>0.79999999999999993</v>
      </c>
      <c r="H203" s="116">
        <f t="shared" si="393"/>
        <v>0.7</v>
      </c>
      <c r="I203" s="116">
        <f t="shared" si="349"/>
        <v>-9.9999999999999978E-2</v>
      </c>
      <c r="J203" s="81">
        <v>0.1</v>
      </c>
      <c r="K203" s="72">
        <v>46220</v>
      </c>
      <c r="L203" s="72">
        <f t="shared" si="355"/>
        <v>46220</v>
      </c>
      <c r="M203" s="72">
        <v>46178</v>
      </c>
      <c r="N203" s="72">
        <f t="shared" si="356"/>
        <v>46262</v>
      </c>
      <c r="O203" s="72">
        <f t="shared" si="357"/>
        <v>46262</v>
      </c>
      <c r="P203" s="72">
        <v>46248</v>
      </c>
      <c r="Q203" s="72">
        <f t="shared" si="358"/>
        <v>46304</v>
      </c>
      <c r="R203" s="72">
        <f t="shared" si="359"/>
        <v>46304</v>
      </c>
      <c r="S203" s="72"/>
      <c r="T203" s="72">
        <f t="shared" si="360"/>
        <v>46318</v>
      </c>
      <c r="U203" s="72">
        <f t="shared" si="361"/>
        <v>46318</v>
      </c>
      <c r="V203" s="72"/>
      <c r="W203" s="204"/>
      <c r="Y203" s="175" t="str">
        <f t="shared" ca="1" si="394"/>
        <v>Completed</v>
      </c>
      <c r="Z203" s="175" t="str">
        <f t="shared" ca="1" si="395"/>
        <v>Completed</v>
      </c>
      <c r="AA203" s="175" t="str">
        <f t="shared" ca="1" si="396"/>
        <v>Overdue</v>
      </c>
      <c r="AB203" s="176" t="str">
        <f t="shared" ca="1" si="397"/>
        <v/>
      </c>
    </row>
    <row r="204" spans="1:28" s="64" customFormat="1" ht="9.5" customHeight="1" x14ac:dyDescent="0.25">
      <c r="A204" s="70" t="s">
        <v>61</v>
      </c>
      <c r="B204" s="70" t="s">
        <v>62</v>
      </c>
      <c r="C204" s="70" t="s">
        <v>85</v>
      </c>
      <c r="D204" s="75" t="s">
        <v>359</v>
      </c>
      <c r="E204" s="75" t="s">
        <v>184</v>
      </c>
      <c r="F204" s="116">
        <f t="shared" si="392"/>
        <v>0.79999999999999993</v>
      </c>
      <c r="G204" s="116">
        <f t="shared" si="392"/>
        <v>0.79999999999999993</v>
      </c>
      <c r="H204" s="116">
        <f t="shared" si="393"/>
        <v>0.7</v>
      </c>
      <c r="I204" s="116">
        <f t="shared" si="349"/>
        <v>-9.9999999999999978E-2</v>
      </c>
      <c r="J204" s="81">
        <v>0.1</v>
      </c>
      <c r="K204" s="72">
        <v>46220</v>
      </c>
      <c r="L204" s="72">
        <f t="shared" si="355"/>
        <v>46220</v>
      </c>
      <c r="M204" s="72">
        <v>46178</v>
      </c>
      <c r="N204" s="72">
        <f t="shared" si="356"/>
        <v>46262</v>
      </c>
      <c r="O204" s="72">
        <f t="shared" si="357"/>
        <v>46262</v>
      </c>
      <c r="P204" s="72">
        <v>46248</v>
      </c>
      <c r="Q204" s="72">
        <f t="shared" si="358"/>
        <v>46304</v>
      </c>
      <c r="R204" s="72">
        <f t="shared" si="359"/>
        <v>46304</v>
      </c>
      <c r="S204" s="72"/>
      <c r="T204" s="72">
        <f t="shared" si="360"/>
        <v>46318</v>
      </c>
      <c r="U204" s="72">
        <f t="shared" si="361"/>
        <v>46318</v>
      </c>
      <c r="V204" s="72"/>
      <c r="W204" s="204"/>
      <c r="Y204" s="175" t="str">
        <f t="shared" ca="1" si="394"/>
        <v>Completed</v>
      </c>
      <c r="Z204" s="175" t="str">
        <f t="shared" ca="1" si="395"/>
        <v>Completed</v>
      </c>
      <c r="AA204" s="175" t="str">
        <f t="shared" ca="1" si="396"/>
        <v>Overdue</v>
      </c>
      <c r="AB204" s="176" t="str">
        <f t="shared" ca="1" si="397"/>
        <v/>
      </c>
    </row>
    <row r="205" spans="1:28" s="64" customFormat="1" ht="9.5" customHeight="1" x14ac:dyDescent="0.25">
      <c r="A205" s="70" t="s">
        <v>61</v>
      </c>
      <c r="B205" s="70" t="s">
        <v>62</v>
      </c>
      <c r="C205" s="70" t="s">
        <v>85</v>
      </c>
      <c r="D205" s="75" t="s">
        <v>417</v>
      </c>
      <c r="E205" s="75" t="s">
        <v>418</v>
      </c>
      <c r="F205" s="116">
        <f t="shared" si="392"/>
        <v>0.79999999999999993</v>
      </c>
      <c r="G205" s="116">
        <f t="shared" ref="G205" si="398">(COUNTIFS(L205,"&lt;="&amp;$D$1)*50%)+(COUNTIFS(O205,"&lt;="&amp;$D$1)*20%)+(COUNTIFS(R205,"&lt;="&amp;$D$1)*10%)+(COUNTIFS(U205,"&lt;="&amp;$D$1)*20%)</f>
        <v>0.79999999999999993</v>
      </c>
      <c r="H205" s="116">
        <f t="shared" si="393"/>
        <v>0.7</v>
      </c>
      <c r="I205" s="116">
        <f t="shared" ref="I205" si="399">H205-F205</f>
        <v>-9.9999999999999978E-2</v>
      </c>
      <c r="J205" s="81">
        <v>0.1</v>
      </c>
      <c r="K205" s="72">
        <v>46220</v>
      </c>
      <c r="L205" s="72">
        <f t="shared" ref="L205" si="400">K205</f>
        <v>46220</v>
      </c>
      <c r="M205" s="72">
        <v>46185</v>
      </c>
      <c r="N205" s="72">
        <f t="shared" ref="N205" si="401">K205+42</f>
        <v>46262</v>
      </c>
      <c r="O205" s="72">
        <f t="shared" ref="O205" si="402">N205</f>
        <v>46262</v>
      </c>
      <c r="P205" s="72">
        <v>46248</v>
      </c>
      <c r="Q205" s="72">
        <f t="shared" ref="Q205" si="403">N205+42</f>
        <v>46304</v>
      </c>
      <c r="R205" s="72">
        <f t="shared" ref="R205" si="404">Q205</f>
        <v>46304</v>
      </c>
      <c r="S205" s="72"/>
      <c r="T205" s="72">
        <f t="shared" ref="T205" si="405">Q205+14</f>
        <v>46318</v>
      </c>
      <c r="U205" s="72">
        <f t="shared" ref="U205" si="406">T205</f>
        <v>46318</v>
      </c>
      <c r="V205" s="72"/>
      <c r="W205" s="204"/>
      <c r="Y205" s="175" t="str">
        <f t="shared" ca="1" si="394"/>
        <v>Completed</v>
      </c>
      <c r="Z205" s="175" t="str">
        <f t="shared" ca="1" si="395"/>
        <v>Completed</v>
      </c>
      <c r="AA205" s="175" t="str">
        <f t="shared" ca="1" si="396"/>
        <v>Overdue</v>
      </c>
      <c r="AB205" s="176" t="str">
        <f t="shared" ca="1" si="397"/>
        <v/>
      </c>
    </row>
    <row r="206" spans="1:28" s="64" customFormat="1" ht="9.5" customHeight="1" x14ac:dyDescent="0.25">
      <c r="A206" s="70" t="s">
        <v>61</v>
      </c>
      <c r="B206" s="70" t="s">
        <v>62</v>
      </c>
      <c r="C206" s="70" t="s">
        <v>85</v>
      </c>
      <c r="D206" s="75" t="s">
        <v>360</v>
      </c>
      <c r="E206" s="75" t="s">
        <v>185</v>
      </c>
      <c r="F206" s="116">
        <f t="shared" si="392"/>
        <v>0.79999999999999993</v>
      </c>
      <c r="G206" s="116">
        <f t="shared" si="392"/>
        <v>0.79999999999999993</v>
      </c>
      <c r="H206" s="116">
        <f t="shared" si="393"/>
        <v>0.7</v>
      </c>
      <c r="I206" s="116">
        <f t="shared" si="349"/>
        <v>-9.9999999999999978E-2</v>
      </c>
      <c r="J206" s="81">
        <v>0.1</v>
      </c>
      <c r="K206" s="72">
        <v>46220</v>
      </c>
      <c r="L206" s="72">
        <f t="shared" si="355"/>
        <v>46220</v>
      </c>
      <c r="M206" s="72">
        <v>46171</v>
      </c>
      <c r="N206" s="72">
        <f t="shared" si="356"/>
        <v>46262</v>
      </c>
      <c r="O206" s="72">
        <f t="shared" si="357"/>
        <v>46262</v>
      </c>
      <c r="P206" s="72">
        <v>46262</v>
      </c>
      <c r="Q206" s="72">
        <f t="shared" si="358"/>
        <v>46304</v>
      </c>
      <c r="R206" s="72">
        <f t="shared" si="359"/>
        <v>46304</v>
      </c>
      <c r="S206" s="72"/>
      <c r="T206" s="72">
        <f t="shared" si="360"/>
        <v>46318</v>
      </c>
      <c r="U206" s="72">
        <f t="shared" si="361"/>
        <v>46318</v>
      </c>
      <c r="V206" s="72"/>
      <c r="W206" s="204"/>
      <c r="Y206" s="175" t="str">
        <f t="shared" ca="1" si="394"/>
        <v>Completed</v>
      </c>
      <c r="Z206" s="175" t="str">
        <f t="shared" ca="1" si="395"/>
        <v>Completed</v>
      </c>
      <c r="AA206" s="175" t="str">
        <f t="shared" ca="1" si="396"/>
        <v>Overdue</v>
      </c>
      <c r="AB206" s="176" t="str">
        <f t="shared" ca="1" si="397"/>
        <v/>
      </c>
    </row>
    <row r="207" spans="1:28" s="64" customFormat="1" ht="9.5" customHeight="1" x14ac:dyDescent="0.25">
      <c r="A207" s="132" t="s">
        <v>61</v>
      </c>
      <c r="B207" s="132" t="s">
        <v>62</v>
      </c>
      <c r="C207" s="132" t="s">
        <v>85</v>
      </c>
      <c r="D207" s="133" t="s">
        <v>361</v>
      </c>
      <c r="E207" s="133" t="s">
        <v>506</v>
      </c>
      <c r="F207" s="134"/>
      <c r="G207" s="134"/>
      <c r="H207" s="139"/>
      <c r="I207" s="139"/>
      <c r="J207" s="135">
        <v>0.1</v>
      </c>
      <c r="K207" s="140">
        <v>46220</v>
      </c>
      <c r="L207" s="140">
        <f t="shared" si="355"/>
        <v>46220</v>
      </c>
      <c r="M207" s="140">
        <v>46248</v>
      </c>
      <c r="N207" s="140">
        <f t="shared" si="356"/>
        <v>46262</v>
      </c>
      <c r="O207" s="140">
        <f t="shared" si="357"/>
        <v>46262</v>
      </c>
      <c r="P207" s="140">
        <v>46248</v>
      </c>
      <c r="Q207" s="140">
        <f t="shared" si="358"/>
        <v>46304</v>
      </c>
      <c r="R207" s="140">
        <f t="shared" si="359"/>
        <v>46304</v>
      </c>
      <c r="S207" s="140">
        <v>46248</v>
      </c>
      <c r="T207" s="140">
        <f t="shared" si="360"/>
        <v>46318</v>
      </c>
      <c r="U207" s="140">
        <f t="shared" si="361"/>
        <v>46318</v>
      </c>
      <c r="V207" s="140">
        <v>46248</v>
      </c>
      <c r="W207" s="209"/>
      <c r="Y207" s="175" t="str">
        <f t="shared" ca="1" si="394"/>
        <v>Completed</v>
      </c>
      <c r="Z207" s="175" t="str">
        <f t="shared" ca="1" si="395"/>
        <v>Completed</v>
      </c>
      <c r="AA207" s="175" t="str">
        <f t="shared" ca="1" si="396"/>
        <v>Completed</v>
      </c>
      <c r="AB207" s="176" t="str">
        <f t="shared" ca="1" si="397"/>
        <v>Completed</v>
      </c>
    </row>
    <row r="208" spans="1:28" s="64" customFormat="1" ht="9.5" customHeight="1" x14ac:dyDescent="0.25">
      <c r="A208" s="70" t="s">
        <v>61</v>
      </c>
      <c r="B208" s="70" t="s">
        <v>62</v>
      </c>
      <c r="C208" s="70" t="s">
        <v>85</v>
      </c>
      <c r="D208" s="75" t="s">
        <v>362</v>
      </c>
      <c r="E208" s="75" t="s">
        <v>186</v>
      </c>
      <c r="F208" s="116">
        <f t="shared" si="392"/>
        <v>0.79999999999999993</v>
      </c>
      <c r="G208" s="116">
        <f t="shared" si="392"/>
        <v>0.79999999999999993</v>
      </c>
      <c r="H208" s="116">
        <f t="shared" ref="H208:H223" si="407">(COUNTIFS(M208,"&lt;="&amp;$D$1)*50%)+(COUNTIFS(P208,"&lt;="&amp;$D$1)*20%)+(COUNTIFS(S208,"&lt;="&amp;$D$1)*10%)+(COUNTIFS(V208,"&lt;="&amp;$D$1)*20%)</f>
        <v>0.7</v>
      </c>
      <c r="I208" s="116">
        <f t="shared" si="349"/>
        <v>-9.9999999999999978E-2</v>
      </c>
      <c r="J208" s="81">
        <v>0.15</v>
      </c>
      <c r="K208" s="72">
        <v>46220</v>
      </c>
      <c r="L208" s="72">
        <f t="shared" si="355"/>
        <v>46220</v>
      </c>
      <c r="M208" s="72">
        <v>46199</v>
      </c>
      <c r="N208" s="72">
        <f t="shared" si="356"/>
        <v>46262</v>
      </c>
      <c r="O208" s="72">
        <f t="shared" si="357"/>
        <v>46262</v>
      </c>
      <c r="P208" s="74">
        <v>46204</v>
      </c>
      <c r="Q208" s="72">
        <f t="shared" si="358"/>
        <v>46304</v>
      </c>
      <c r="R208" s="72">
        <f t="shared" si="359"/>
        <v>46304</v>
      </c>
      <c r="S208" s="72"/>
      <c r="T208" s="72">
        <f t="shared" si="360"/>
        <v>46318</v>
      </c>
      <c r="U208" s="72">
        <f t="shared" si="361"/>
        <v>46318</v>
      </c>
      <c r="V208" s="72"/>
      <c r="W208" s="204"/>
      <c r="Y208" s="175" t="str">
        <f t="shared" ca="1" si="394"/>
        <v>Completed</v>
      </c>
      <c r="Z208" s="175" t="str">
        <f t="shared" ca="1" si="395"/>
        <v>Completed</v>
      </c>
      <c r="AA208" s="175" t="str">
        <f t="shared" ca="1" si="396"/>
        <v>Overdue</v>
      </c>
      <c r="AB208" s="176" t="str">
        <f t="shared" ca="1" si="397"/>
        <v/>
      </c>
    </row>
    <row r="209" spans="1:28" s="64" customFormat="1" ht="9.5" customHeight="1" x14ac:dyDescent="0.25">
      <c r="A209" s="70" t="s">
        <v>61</v>
      </c>
      <c r="B209" s="70" t="s">
        <v>62</v>
      </c>
      <c r="C209" s="70" t="s">
        <v>85</v>
      </c>
      <c r="D209" s="75" t="s">
        <v>363</v>
      </c>
      <c r="E209" s="75" t="s">
        <v>187</v>
      </c>
      <c r="F209" s="116">
        <f t="shared" si="392"/>
        <v>0.79999999999999993</v>
      </c>
      <c r="G209" s="116">
        <f t="shared" si="392"/>
        <v>0.79999999999999993</v>
      </c>
      <c r="H209" s="116">
        <f t="shared" si="407"/>
        <v>0.7</v>
      </c>
      <c r="I209" s="116">
        <f t="shared" si="349"/>
        <v>-9.9999999999999978E-2</v>
      </c>
      <c r="J209" s="81">
        <v>0.15</v>
      </c>
      <c r="K209" s="72">
        <v>46220</v>
      </c>
      <c r="L209" s="72">
        <f t="shared" si="355"/>
        <v>46220</v>
      </c>
      <c r="M209" s="72">
        <v>46199</v>
      </c>
      <c r="N209" s="72">
        <f t="shared" si="356"/>
        <v>46262</v>
      </c>
      <c r="O209" s="72">
        <f t="shared" si="357"/>
        <v>46262</v>
      </c>
      <c r="P209" s="74">
        <v>46204</v>
      </c>
      <c r="Q209" s="72">
        <f t="shared" si="358"/>
        <v>46304</v>
      </c>
      <c r="R209" s="72">
        <f t="shared" si="359"/>
        <v>46304</v>
      </c>
      <c r="S209" s="72"/>
      <c r="T209" s="72">
        <f t="shared" si="360"/>
        <v>46318</v>
      </c>
      <c r="U209" s="72">
        <f t="shared" si="361"/>
        <v>46318</v>
      </c>
      <c r="V209" s="72"/>
      <c r="W209" s="204"/>
      <c r="Y209" s="175" t="str">
        <f t="shared" ca="1" si="394"/>
        <v>Completed</v>
      </c>
      <c r="Z209" s="175" t="str">
        <f t="shared" ca="1" si="395"/>
        <v>Completed</v>
      </c>
      <c r="AA209" s="175" t="str">
        <f t="shared" ca="1" si="396"/>
        <v>Overdue</v>
      </c>
      <c r="AB209" s="176" t="str">
        <f t="shared" ca="1" si="397"/>
        <v/>
      </c>
    </row>
    <row r="210" spans="1:28" s="64" customFormat="1" ht="9.5" customHeight="1" x14ac:dyDescent="0.25">
      <c r="A210" s="70" t="s">
        <v>61</v>
      </c>
      <c r="B210" s="70" t="s">
        <v>62</v>
      </c>
      <c r="C210" s="70" t="s">
        <v>85</v>
      </c>
      <c r="D210" s="75" t="s">
        <v>364</v>
      </c>
      <c r="E210" s="75" t="s">
        <v>188</v>
      </c>
      <c r="F210" s="116">
        <f t="shared" si="392"/>
        <v>0.7</v>
      </c>
      <c r="G210" s="116">
        <f t="shared" si="392"/>
        <v>0.7</v>
      </c>
      <c r="H210" s="116">
        <f t="shared" si="407"/>
        <v>0.7</v>
      </c>
      <c r="I210" s="116">
        <f t="shared" si="349"/>
        <v>0</v>
      </c>
      <c r="J210" s="81">
        <v>0.1</v>
      </c>
      <c r="K210" s="72">
        <v>46227</v>
      </c>
      <c r="L210" s="72">
        <f t="shared" si="355"/>
        <v>46227</v>
      </c>
      <c r="M210" s="72">
        <v>46178</v>
      </c>
      <c r="N210" s="72">
        <f t="shared" si="356"/>
        <v>46269</v>
      </c>
      <c r="O210" s="72">
        <f t="shared" si="357"/>
        <v>46269</v>
      </c>
      <c r="P210" s="74">
        <v>46255</v>
      </c>
      <c r="Q210" s="72">
        <f t="shared" si="358"/>
        <v>46311</v>
      </c>
      <c r="R210" s="72">
        <f t="shared" si="359"/>
        <v>46311</v>
      </c>
      <c r="S210" s="72"/>
      <c r="T210" s="72">
        <f t="shared" si="360"/>
        <v>46325</v>
      </c>
      <c r="U210" s="72">
        <f t="shared" si="361"/>
        <v>46325</v>
      </c>
      <c r="V210" s="72"/>
      <c r="W210" s="204"/>
      <c r="Y210" s="175" t="str">
        <f t="shared" ca="1" si="394"/>
        <v>Completed</v>
      </c>
      <c r="Z210" s="175" t="str">
        <f t="shared" ca="1" si="395"/>
        <v>Completed</v>
      </c>
      <c r="AA210" s="175" t="str">
        <f t="shared" ca="1" si="396"/>
        <v>Follow-Next Week</v>
      </c>
      <c r="AB210" s="176" t="str">
        <f t="shared" ca="1" si="397"/>
        <v/>
      </c>
    </row>
    <row r="211" spans="1:28" s="64" customFormat="1" ht="9.5" customHeight="1" x14ac:dyDescent="0.25">
      <c r="A211" s="70" t="s">
        <v>61</v>
      </c>
      <c r="B211" s="70" t="s">
        <v>62</v>
      </c>
      <c r="C211" s="70" t="s">
        <v>85</v>
      </c>
      <c r="D211" s="75" t="s">
        <v>365</v>
      </c>
      <c r="E211" s="75" t="s">
        <v>189</v>
      </c>
      <c r="F211" s="116">
        <f t="shared" si="392"/>
        <v>0.7</v>
      </c>
      <c r="G211" s="116">
        <f t="shared" si="392"/>
        <v>0.7</v>
      </c>
      <c r="H211" s="116">
        <f t="shared" si="407"/>
        <v>0.7</v>
      </c>
      <c r="I211" s="116">
        <f t="shared" si="349"/>
        <v>0</v>
      </c>
      <c r="J211" s="81">
        <v>0.1</v>
      </c>
      <c r="K211" s="72">
        <v>46227</v>
      </c>
      <c r="L211" s="72">
        <f t="shared" si="355"/>
        <v>46227</v>
      </c>
      <c r="M211" s="72">
        <v>46178</v>
      </c>
      <c r="N211" s="72">
        <f t="shared" si="356"/>
        <v>46269</v>
      </c>
      <c r="O211" s="72">
        <f t="shared" si="357"/>
        <v>46269</v>
      </c>
      <c r="P211" s="74">
        <v>46255</v>
      </c>
      <c r="Q211" s="72">
        <f t="shared" si="358"/>
        <v>46311</v>
      </c>
      <c r="R211" s="72">
        <f t="shared" si="359"/>
        <v>46311</v>
      </c>
      <c r="S211" s="72"/>
      <c r="T211" s="72">
        <f t="shared" si="360"/>
        <v>46325</v>
      </c>
      <c r="U211" s="72">
        <f t="shared" si="361"/>
        <v>46325</v>
      </c>
      <c r="V211" s="72"/>
      <c r="W211" s="204"/>
      <c r="Y211" s="175" t="str">
        <f t="shared" ca="1" si="394"/>
        <v>Completed</v>
      </c>
      <c r="Z211" s="175" t="str">
        <f t="shared" ca="1" si="395"/>
        <v>Completed</v>
      </c>
      <c r="AA211" s="175" t="str">
        <f t="shared" ca="1" si="396"/>
        <v>Follow-Next Week</v>
      </c>
      <c r="AB211" s="176" t="str">
        <f t="shared" ca="1" si="397"/>
        <v/>
      </c>
    </row>
    <row r="212" spans="1:28" s="64" customFormat="1" ht="9.5" customHeight="1" x14ac:dyDescent="0.25">
      <c r="A212" s="70" t="s">
        <v>61</v>
      </c>
      <c r="B212" s="70" t="s">
        <v>62</v>
      </c>
      <c r="C212" s="70" t="s">
        <v>85</v>
      </c>
      <c r="D212" s="124" t="s">
        <v>366</v>
      </c>
      <c r="E212" s="124" t="s">
        <v>190</v>
      </c>
      <c r="F212" s="125">
        <f t="shared" si="392"/>
        <v>0.7</v>
      </c>
      <c r="G212" s="125">
        <f t="shared" si="392"/>
        <v>0.7</v>
      </c>
      <c r="H212" s="125">
        <f t="shared" si="407"/>
        <v>0.7</v>
      </c>
      <c r="I212" s="125">
        <f t="shared" si="349"/>
        <v>0</v>
      </c>
      <c r="J212" s="81">
        <v>0.1</v>
      </c>
      <c r="K212" s="72">
        <v>46227</v>
      </c>
      <c r="L212" s="74">
        <f t="shared" si="355"/>
        <v>46227</v>
      </c>
      <c r="M212" s="72">
        <v>46178</v>
      </c>
      <c r="N212" s="74">
        <f t="shared" si="356"/>
        <v>46269</v>
      </c>
      <c r="O212" s="74">
        <f t="shared" si="357"/>
        <v>46269</v>
      </c>
      <c r="P212" s="74">
        <v>46255</v>
      </c>
      <c r="Q212" s="74">
        <f t="shared" si="358"/>
        <v>46311</v>
      </c>
      <c r="R212" s="74">
        <f t="shared" si="359"/>
        <v>46311</v>
      </c>
      <c r="S212" s="74"/>
      <c r="T212" s="74">
        <f t="shared" si="360"/>
        <v>46325</v>
      </c>
      <c r="U212" s="74">
        <f t="shared" si="361"/>
        <v>46325</v>
      </c>
      <c r="V212" s="72"/>
      <c r="W212" s="204"/>
      <c r="Y212" s="175" t="str">
        <f t="shared" ca="1" si="394"/>
        <v>Completed</v>
      </c>
      <c r="Z212" s="175" t="str">
        <f t="shared" ca="1" si="395"/>
        <v>Completed</v>
      </c>
      <c r="AA212" s="175" t="str">
        <f t="shared" ca="1" si="396"/>
        <v>Follow-Next Week</v>
      </c>
      <c r="AB212" s="176" t="str">
        <f t="shared" ca="1" si="397"/>
        <v/>
      </c>
    </row>
    <row r="213" spans="1:28" s="64" customFormat="1" ht="9.5" customHeight="1" x14ac:dyDescent="0.25">
      <c r="A213" s="70" t="s">
        <v>61</v>
      </c>
      <c r="B213" s="70" t="s">
        <v>62</v>
      </c>
      <c r="C213" s="70" t="s">
        <v>85</v>
      </c>
      <c r="D213" s="124" t="s">
        <v>367</v>
      </c>
      <c r="E213" s="124" t="s">
        <v>191</v>
      </c>
      <c r="F213" s="125">
        <f t="shared" si="392"/>
        <v>0.7</v>
      </c>
      <c r="G213" s="125">
        <f t="shared" si="392"/>
        <v>0.7</v>
      </c>
      <c r="H213" s="125">
        <f t="shared" si="407"/>
        <v>0.7</v>
      </c>
      <c r="I213" s="125">
        <f t="shared" si="349"/>
        <v>0</v>
      </c>
      <c r="J213" s="81">
        <v>0.1</v>
      </c>
      <c r="K213" s="72">
        <v>46227</v>
      </c>
      <c r="L213" s="74">
        <f t="shared" si="355"/>
        <v>46227</v>
      </c>
      <c r="M213" s="72">
        <v>46178</v>
      </c>
      <c r="N213" s="74">
        <f t="shared" si="356"/>
        <v>46269</v>
      </c>
      <c r="O213" s="74">
        <f t="shared" si="357"/>
        <v>46269</v>
      </c>
      <c r="P213" s="74">
        <v>46255</v>
      </c>
      <c r="Q213" s="74">
        <f t="shared" si="358"/>
        <v>46311</v>
      </c>
      <c r="R213" s="74">
        <f t="shared" si="359"/>
        <v>46311</v>
      </c>
      <c r="S213" s="74"/>
      <c r="T213" s="74">
        <f t="shared" si="360"/>
        <v>46325</v>
      </c>
      <c r="U213" s="74">
        <f t="shared" si="361"/>
        <v>46325</v>
      </c>
      <c r="V213" s="72"/>
      <c r="W213" s="204"/>
      <c r="Y213" s="175" t="str">
        <f t="shared" ca="1" si="394"/>
        <v>Completed</v>
      </c>
      <c r="Z213" s="175" t="str">
        <f t="shared" ca="1" si="395"/>
        <v>Completed</v>
      </c>
      <c r="AA213" s="175" t="str">
        <f t="shared" ca="1" si="396"/>
        <v>Follow-Next Week</v>
      </c>
      <c r="AB213" s="176" t="str">
        <f t="shared" ca="1" si="397"/>
        <v/>
      </c>
    </row>
    <row r="214" spans="1:28" s="64" customFormat="1" ht="9.5" customHeight="1" x14ac:dyDescent="0.25">
      <c r="A214" s="70" t="s">
        <v>61</v>
      </c>
      <c r="B214" s="70" t="s">
        <v>62</v>
      </c>
      <c r="C214" s="70" t="s">
        <v>85</v>
      </c>
      <c r="D214" s="124" t="s">
        <v>368</v>
      </c>
      <c r="E214" s="124" t="s">
        <v>192</v>
      </c>
      <c r="F214" s="125">
        <f t="shared" si="392"/>
        <v>0.7</v>
      </c>
      <c r="G214" s="125">
        <f t="shared" si="392"/>
        <v>0.7</v>
      </c>
      <c r="H214" s="125">
        <f t="shared" si="407"/>
        <v>0.7</v>
      </c>
      <c r="I214" s="125">
        <f t="shared" si="349"/>
        <v>0</v>
      </c>
      <c r="J214" s="81">
        <v>0.1</v>
      </c>
      <c r="K214" s="72">
        <v>46227</v>
      </c>
      <c r="L214" s="74">
        <f t="shared" si="355"/>
        <v>46227</v>
      </c>
      <c r="M214" s="72">
        <v>46178</v>
      </c>
      <c r="N214" s="74">
        <f t="shared" si="356"/>
        <v>46269</v>
      </c>
      <c r="O214" s="74">
        <f t="shared" si="357"/>
        <v>46269</v>
      </c>
      <c r="P214" s="74">
        <v>46255</v>
      </c>
      <c r="Q214" s="74">
        <f t="shared" si="358"/>
        <v>46311</v>
      </c>
      <c r="R214" s="74">
        <f t="shared" si="359"/>
        <v>46311</v>
      </c>
      <c r="S214" s="74"/>
      <c r="T214" s="74">
        <f t="shared" si="360"/>
        <v>46325</v>
      </c>
      <c r="U214" s="74">
        <f t="shared" si="361"/>
        <v>46325</v>
      </c>
      <c r="V214" s="74"/>
      <c r="W214" s="204"/>
      <c r="Y214" s="175" t="str">
        <f t="shared" ca="1" si="394"/>
        <v>Completed</v>
      </c>
      <c r="Z214" s="175" t="str">
        <f t="shared" ca="1" si="395"/>
        <v>Completed</v>
      </c>
      <c r="AA214" s="175" t="str">
        <f t="shared" ca="1" si="396"/>
        <v>Follow-Next Week</v>
      </c>
      <c r="AB214" s="176" t="str">
        <f t="shared" ca="1" si="397"/>
        <v/>
      </c>
    </row>
    <row r="215" spans="1:28" s="64" customFormat="1" ht="9.5" customHeight="1" x14ac:dyDescent="0.25">
      <c r="A215" s="70" t="s">
        <v>61</v>
      </c>
      <c r="B215" s="70" t="s">
        <v>62</v>
      </c>
      <c r="C215" s="70" t="s">
        <v>85</v>
      </c>
      <c r="D215" s="124" t="s">
        <v>369</v>
      </c>
      <c r="E215" s="124" t="s">
        <v>193</v>
      </c>
      <c r="F215" s="125">
        <f t="shared" ref="F215:F218" si="408">(COUNTIFS(K215,"&lt;="&amp;$D$1)*50%)+(COUNTIFS(N215,"&lt;="&amp;$D$1)*20%)+(COUNTIFS(Q215,"&lt;="&amp;$D$1)*10%)+(COUNTIFS(T215,"&lt;="&amp;$D$1)*20%)</f>
        <v>0.7</v>
      </c>
      <c r="G215" s="125">
        <f t="shared" ref="G215:G218" si="409">(COUNTIFS(L215,"&lt;="&amp;$D$1)*50%)+(COUNTIFS(O215,"&lt;="&amp;$D$1)*20%)+(COUNTIFS(R215,"&lt;="&amp;$D$1)*10%)+(COUNTIFS(U215,"&lt;="&amp;$D$1)*20%)</f>
        <v>0.7</v>
      </c>
      <c r="H215" s="125">
        <f t="shared" si="407"/>
        <v>0.7</v>
      </c>
      <c r="I215" s="125">
        <f t="shared" ref="I215:I218" si="410">H215-F215</f>
        <v>0</v>
      </c>
      <c r="J215" s="81">
        <v>0.1</v>
      </c>
      <c r="K215" s="72">
        <v>46227</v>
      </c>
      <c r="L215" s="74">
        <f t="shared" si="355"/>
        <v>46227</v>
      </c>
      <c r="M215" s="72">
        <v>46178</v>
      </c>
      <c r="N215" s="74">
        <f t="shared" si="356"/>
        <v>46269</v>
      </c>
      <c r="O215" s="74">
        <f t="shared" si="357"/>
        <v>46269</v>
      </c>
      <c r="P215" s="74">
        <v>46255</v>
      </c>
      <c r="Q215" s="74">
        <f t="shared" si="358"/>
        <v>46311</v>
      </c>
      <c r="R215" s="74">
        <f t="shared" si="359"/>
        <v>46311</v>
      </c>
      <c r="S215" s="74"/>
      <c r="T215" s="74">
        <f t="shared" si="360"/>
        <v>46325</v>
      </c>
      <c r="U215" s="74">
        <f t="shared" si="361"/>
        <v>46325</v>
      </c>
      <c r="V215" s="74"/>
      <c r="W215" s="204"/>
      <c r="Y215" s="175" t="str">
        <f t="shared" ca="1" si="394"/>
        <v>Completed</v>
      </c>
      <c r="Z215" s="175" t="str">
        <f t="shared" ca="1" si="395"/>
        <v>Completed</v>
      </c>
      <c r="AA215" s="175" t="str">
        <f t="shared" ca="1" si="396"/>
        <v>Follow-Next Week</v>
      </c>
      <c r="AB215" s="176" t="str">
        <f t="shared" ca="1" si="397"/>
        <v/>
      </c>
    </row>
    <row r="216" spans="1:28" s="64" customFormat="1" ht="9.5" customHeight="1" x14ac:dyDescent="0.25">
      <c r="A216" s="70" t="s">
        <v>61</v>
      </c>
      <c r="B216" s="70" t="s">
        <v>62</v>
      </c>
      <c r="C216" s="70" t="s">
        <v>85</v>
      </c>
      <c r="D216" s="124" t="s">
        <v>370</v>
      </c>
      <c r="E216" s="124" t="s">
        <v>194</v>
      </c>
      <c r="F216" s="125">
        <f t="shared" si="408"/>
        <v>0.7</v>
      </c>
      <c r="G216" s="125">
        <f t="shared" si="409"/>
        <v>0.7</v>
      </c>
      <c r="H216" s="125">
        <f t="shared" si="407"/>
        <v>0.7</v>
      </c>
      <c r="I216" s="125">
        <f t="shared" si="410"/>
        <v>0</v>
      </c>
      <c r="J216" s="81">
        <v>0.1</v>
      </c>
      <c r="K216" s="72">
        <v>46227</v>
      </c>
      <c r="L216" s="74">
        <f t="shared" si="355"/>
        <v>46227</v>
      </c>
      <c r="M216" s="72">
        <v>46178</v>
      </c>
      <c r="N216" s="74">
        <f t="shared" si="356"/>
        <v>46269</v>
      </c>
      <c r="O216" s="74">
        <f t="shared" si="357"/>
        <v>46269</v>
      </c>
      <c r="P216" s="74">
        <v>46255</v>
      </c>
      <c r="Q216" s="74">
        <f t="shared" si="358"/>
        <v>46311</v>
      </c>
      <c r="R216" s="74">
        <f t="shared" si="359"/>
        <v>46311</v>
      </c>
      <c r="S216" s="74"/>
      <c r="T216" s="74">
        <f t="shared" si="360"/>
        <v>46325</v>
      </c>
      <c r="U216" s="74">
        <f t="shared" si="361"/>
        <v>46325</v>
      </c>
      <c r="V216" s="74"/>
      <c r="W216" s="204"/>
      <c r="Y216" s="175" t="str">
        <f t="shared" ca="1" si="394"/>
        <v>Completed</v>
      </c>
      <c r="Z216" s="175" t="str">
        <f t="shared" ca="1" si="395"/>
        <v>Completed</v>
      </c>
      <c r="AA216" s="175" t="str">
        <f t="shared" ca="1" si="396"/>
        <v>Follow-Next Week</v>
      </c>
      <c r="AB216" s="176" t="str">
        <f t="shared" ca="1" si="397"/>
        <v/>
      </c>
    </row>
    <row r="217" spans="1:28" s="64" customFormat="1" ht="9.5" customHeight="1" x14ac:dyDescent="0.25">
      <c r="A217" s="70" t="s">
        <v>61</v>
      </c>
      <c r="B217" s="70" t="s">
        <v>62</v>
      </c>
      <c r="C217" s="70" t="s">
        <v>85</v>
      </c>
      <c r="D217" s="124" t="s">
        <v>371</v>
      </c>
      <c r="E217" s="124" t="s">
        <v>195</v>
      </c>
      <c r="F217" s="125">
        <f t="shared" si="408"/>
        <v>0.7</v>
      </c>
      <c r="G217" s="125">
        <f t="shared" si="409"/>
        <v>0.7</v>
      </c>
      <c r="H217" s="125">
        <f t="shared" si="407"/>
        <v>0.7</v>
      </c>
      <c r="I217" s="125">
        <f t="shared" si="410"/>
        <v>0</v>
      </c>
      <c r="J217" s="81">
        <v>0.1</v>
      </c>
      <c r="K217" s="72">
        <v>46227</v>
      </c>
      <c r="L217" s="74">
        <f t="shared" si="355"/>
        <v>46227</v>
      </c>
      <c r="M217" s="72">
        <v>46178</v>
      </c>
      <c r="N217" s="74">
        <f t="shared" si="356"/>
        <v>46269</v>
      </c>
      <c r="O217" s="74">
        <f t="shared" si="357"/>
        <v>46269</v>
      </c>
      <c r="P217" s="74">
        <v>46255</v>
      </c>
      <c r="Q217" s="74">
        <f t="shared" si="358"/>
        <v>46311</v>
      </c>
      <c r="R217" s="74">
        <f t="shared" si="359"/>
        <v>46311</v>
      </c>
      <c r="S217" s="74"/>
      <c r="T217" s="74">
        <f t="shared" si="360"/>
        <v>46325</v>
      </c>
      <c r="U217" s="74">
        <f t="shared" si="361"/>
        <v>46325</v>
      </c>
      <c r="V217" s="74"/>
      <c r="W217" s="204"/>
      <c r="Y217" s="175" t="str">
        <f t="shared" ca="1" si="394"/>
        <v>Completed</v>
      </c>
      <c r="Z217" s="175" t="str">
        <f t="shared" ca="1" si="395"/>
        <v>Completed</v>
      </c>
      <c r="AA217" s="175" t="str">
        <f t="shared" ca="1" si="396"/>
        <v>Follow-Next Week</v>
      </c>
      <c r="AB217" s="176" t="str">
        <f t="shared" ca="1" si="397"/>
        <v/>
      </c>
    </row>
    <row r="218" spans="1:28" s="64" customFormat="1" ht="9.5" customHeight="1" x14ac:dyDescent="0.25">
      <c r="A218" s="70" t="s">
        <v>61</v>
      </c>
      <c r="B218" s="70" t="s">
        <v>62</v>
      </c>
      <c r="C218" s="70" t="s">
        <v>85</v>
      </c>
      <c r="D218" s="124" t="s">
        <v>372</v>
      </c>
      <c r="E218" s="124" t="s">
        <v>196</v>
      </c>
      <c r="F218" s="125">
        <f t="shared" si="408"/>
        <v>0.7</v>
      </c>
      <c r="G218" s="125">
        <f t="shared" si="409"/>
        <v>0.7</v>
      </c>
      <c r="H218" s="125">
        <f t="shared" si="407"/>
        <v>0.7</v>
      </c>
      <c r="I218" s="125">
        <f t="shared" si="410"/>
        <v>0</v>
      </c>
      <c r="J218" s="81">
        <v>0.1</v>
      </c>
      <c r="K218" s="72">
        <v>46227</v>
      </c>
      <c r="L218" s="74">
        <f t="shared" si="355"/>
        <v>46227</v>
      </c>
      <c r="M218" s="72">
        <v>46178</v>
      </c>
      <c r="N218" s="74">
        <f t="shared" si="356"/>
        <v>46269</v>
      </c>
      <c r="O218" s="74">
        <f t="shared" si="357"/>
        <v>46269</v>
      </c>
      <c r="P218" s="74">
        <v>46255</v>
      </c>
      <c r="Q218" s="74">
        <f t="shared" si="358"/>
        <v>46311</v>
      </c>
      <c r="R218" s="74">
        <f t="shared" si="359"/>
        <v>46311</v>
      </c>
      <c r="S218" s="74"/>
      <c r="T218" s="74">
        <f t="shared" si="360"/>
        <v>46325</v>
      </c>
      <c r="U218" s="74">
        <f t="shared" si="361"/>
        <v>46325</v>
      </c>
      <c r="V218" s="74"/>
      <c r="W218" s="204"/>
      <c r="Y218" s="175" t="str">
        <f t="shared" ca="1" si="394"/>
        <v>Completed</v>
      </c>
      <c r="Z218" s="175" t="str">
        <f t="shared" ca="1" si="395"/>
        <v>Completed</v>
      </c>
      <c r="AA218" s="175" t="str">
        <f t="shared" ca="1" si="396"/>
        <v>Follow-Next Week</v>
      </c>
      <c r="AB218" s="176" t="str">
        <f t="shared" ca="1" si="397"/>
        <v/>
      </c>
    </row>
    <row r="219" spans="1:28" s="64" customFormat="1" ht="9.5" customHeight="1" x14ac:dyDescent="0.25">
      <c r="A219" s="70" t="s">
        <v>61</v>
      </c>
      <c r="B219" s="70" t="s">
        <v>62</v>
      </c>
      <c r="C219" s="70" t="s">
        <v>85</v>
      </c>
      <c r="D219" s="124" t="s">
        <v>373</v>
      </c>
      <c r="E219" s="124" t="s">
        <v>197</v>
      </c>
      <c r="F219" s="125">
        <f t="shared" si="392"/>
        <v>0.7</v>
      </c>
      <c r="G219" s="125">
        <f t="shared" si="392"/>
        <v>0.7</v>
      </c>
      <c r="H219" s="125">
        <f t="shared" si="407"/>
        <v>0.7</v>
      </c>
      <c r="I219" s="125">
        <f t="shared" si="349"/>
        <v>0</v>
      </c>
      <c r="J219" s="81">
        <v>0.1</v>
      </c>
      <c r="K219" s="72">
        <v>46227</v>
      </c>
      <c r="L219" s="74">
        <f t="shared" si="355"/>
        <v>46227</v>
      </c>
      <c r="M219" s="72">
        <v>46178</v>
      </c>
      <c r="N219" s="74">
        <f t="shared" si="356"/>
        <v>46269</v>
      </c>
      <c r="O219" s="74">
        <f t="shared" si="357"/>
        <v>46269</v>
      </c>
      <c r="P219" s="74">
        <v>46255</v>
      </c>
      <c r="Q219" s="74">
        <f t="shared" si="358"/>
        <v>46311</v>
      </c>
      <c r="R219" s="74">
        <f t="shared" si="359"/>
        <v>46311</v>
      </c>
      <c r="S219" s="74"/>
      <c r="T219" s="74">
        <f t="shared" si="360"/>
        <v>46325</v>
      </c>
      <c r="U219" s="74">
        <f t="shared" si="361"/>
        <v>46325</v>
      </c>
      <c r="V219" s="72"/>
      <c r="W219" s="204"/>
      <c r="Y219" s="175" t="str">
        <f t="shared" ca="1" si="394"/>
        <v>Completed</v>
      </c>
      <c r="Z219" s="175" t="str">
        <f t="shared" ca="1" si="395"/>
        <v>Completed</v>
      </c>
      <c r="AA219" s="175" t="str">
        <f t="shared" ca="1" si="396"/>
        <v>Follow-Next Week</v>
      </c>
      <c r="AB219" s="176" t="str">
        <f t="shared" ca="1" si="397"/>
        <v/>
      </c>
    </row>
    <row r="220" spans="1:28" s="64" customFormat="1" ht="9.5" customHeight="1" x14ac:dyDescent="0.25">
      <c r="A220" s="70" t="s">
        <v>61</v>
      </c>
      <c r="B220" s="70" t="s">
        <v>62</v>
      </c>
      <c r="C220" s="70" t="s">
        <v>85</v>
      </c>
      <c r="D220" s="124" t="s">
        <v>374</v>
      </c>
      <c r="E220" s="124" t="s">
        <v>198</v>
      </c>
      <c r="F220" s="125">
        <f t="shared" si="392"/>
        <v>0.7</v>
      </c>
      <c r="G220" s="125">
        <f t="shared" si="392"/>
        <v>0.7</v>
      </c>
      <c r="H220" s="125">
        <f t="shared" si="407"/>
        <v>0.7</v>
      </c>
      <c r="I220" s="125">
        <f t="shared" si="349"/>
        <v>0</v>
      </c>
      <c r="J220" s="81">
        <v>0.1</v>
      </c>
      <c r="K220" s="72">
        <v>46227</v>
      </c>
      <c r="L220" s="74">
        <f t="shared" si="355"/>
        <v>46227</v>
      </c>
      <c r="M220" s="72">
        <v>46185</v>
      </c>
      <c r="N220" s="74">
        <f t="shared" si="356"/>
        <v>46269</v>
      </c>
      <c r="O220" s="74">
        <f t="shared" si="357"/>
        <v>46269</v>
      </c>
      <c r="P220" s="74">
        <v>46255</v>
      </c>
      <c r="Q220" s="74">
        <f t="shared" si="358"/>
        <v>46311</v>
      </c>
      <c r="R220" s="74">
        <f t="shared" si="359"/>
        <v>46311</v>
      </c>
      <c r="S220" s="74"/>
      <c r="T220" s="74">
        <f t="shared" si="360"/>
        <v>46325</v>
      </c>
      <c r="U220" s="74">
        <f t="shared" si="361"/>
        <v>46325</v>
      </c>
      <c r="V220" s="72"/>
      <c r="W220" s="204"/>
      <c r="Y220" s="175" t="str">
        <f t="shared" ca="1" si="394"/>
        <v>Completed</v>
      </c>
      <c r="Z220" s="175" t="str">
        <f t="shared" ca="1" si="395"/>
        <v>Completed</v>
      </c>
      <c r="AA220" s="175" t="str">
        <f t="shared" ca="1" si="396"/>
        <v>Follow-Next Week</v>
      </c>
      <c r="AB220" s="176" t="str">
        <f t="shared" ca="1" si="397"/>
        <v/>
      </c>
    </row>
    <row r="221" spans="1:28" s="64" customFormat="1" ht="9.5" customHeight="1" x14ac:dyDescent="0.25">
      <c r="A221" s="70" t="s">
        <v>61</v>
      </c>
      <c r="B221" s="70" t="s">
        <v>62</v>
      </c>
      <c r="C221" s="70" t="s">
        <v>85</v>
      </c>
      <c r="D221" s="75" t="s">
        <v>375</v>
      </c>
      <c r="E221" s="75" t="s">
        <v>199</v>
      </c>
      <c r="F221" s="116">
        <f t="shared" si="392"/>
        <v>0.7</v>
      </c>
      <c r="G221" s="116">
        <f t="shared" si="392"/>
        <v>0.7</v>
      </c>
      <c r="H221" s="116">
        <f t="shared" si="407"/>
        <v>0.7</v>
      </c>
      <c r="I221" s="116">
        <f t="shared" si="349"/>
        <v>0</v>
      </c>
      <c r="J221" s="81">
        <v>0.1</v>
      </c>
      <c r="K221" s="72">
        <v>46227</v>
      </c>
      <c r="L221" s="72">
        <f t="shared" si="355"/>
        <v>46227</v>
      </c>
      <c r="M221" s="72">
        <v>46178</v>
      </c>
      <c r="N221" s="72">
        <f t="shared" si="356"/>
        <v>46269</v>
      </c>
      <c r="O221" s="72">
        <f t="shared" si="357"/>
        <v>46269</v>
      </c>
      <c r="P221" s="74">
        <v>46255</v>
      </c>
      <c r="Q221" s="72">
        <f t="shared" si="358"/>
        <v>46311</v>
      </c>
      <c r="R221" s="72">
        <f t="shared" si="359"/>
        <v>46311</v>
      </c>
      <c r="S221" s="72"/>
      <c r="T221" s="72">
        <f t="shared" si="360"/>
        <v>46325</v>
      </c>
      <c r="U221" s="72">
        <f t="shared" si="361"/>
        <v>46325</v>
      </c>
      <c r="V221" s="72"/>
      <c r="W221" s="204"/>
      <c r="Y221" s="175" t="str">
        <f t="shared" ca="1" si="394"/>
        <v>Completed</v>
      </c>
      <c r="Z221" s="175" t="str">
        <f t="shared" ca="1" si="395"/>
        <v>Completed</v>
      </c>
      <c r="AA221" s="175" t="str">
        <f t="shared" ca="1" si="396"/>
        <v>Follow-Next Week</v>
      </c>
      <c r="AB221" s="176" t="str">
        <f t="shared" ca="1" si="397"/>
        <v/>
      </c>
    </row>
    <row r="222" spans="1:28" s="64" customFormat="1" ht="9.5" customHeight="1" x14ac:dyDescent="0.25">
      <c r="A222" s="70" t="s">
        <v>61</v>
      </c>
      <c r="B222" s="70" t="s">
        <v>62</v>
      </c>
      <c r="C222" s="70" t="s">
        <v>85</v>
      </c>
      <c r="D222" s="75" t="s">
        <v>419</v>
      </c>
      <c r="E222" s="75" t="s">
        <v>420</v>
      </c>
      <c r="F222" s="116">
        <f t="shared" si="392"/>
        <v>0.7</v>
      </c>
      <c r="G222" s="125">
        <f t="shared" si="392"/>
        <v>0.7</v>
      </c>
      <c r="H222" s="125">
        <f t="shared" si="407"/>
        <v>0.7</v>
      </c>
      <c r="I222" s="125">
        <f t="shared" si="349"/>
        <v>0</v>
      </c>
      <c r="J222" s="81">
        <v>0.1</v>
      </c>
      <c r="K222" s="72">
        <v>46227</v>
      </c>
      <c r="L222" s="74">
        <f t="shared" ref="L222:L239" si="411">K222</f>
        <v>46227</v>
      </c>
      <c r="M222" s="72">
        <v>46185</v>
      </c>
      <c r="N222" s="74">
        <f t="shared" ref="N222:N239" si="412">K222+42</f>
        <v>46269</v>
      </c>
      <c r="O222" s="74">
        <f t="shared" ref="O222:O239" si="413">N222</f>
        <v>46269</v>
      </c>
      <c r="P222" s="74">
        <v>46255</v>
      </c>
      <c r="Q222" s="74">
        <f t="shared" ref="Q222:Q239" si="414">N222+42</f>
        <v>46311</v>
      </c>
      <c r="R222" s="74">
        <f t="shared" ref="R222:R239" si="415">Q222</f>
        <v>46311</v>
      </c>
      <c r="S222" s="74"/>
      <c r="T222" s="74">
        <f t="shared" ref="T222:T239" si="416">Q222+14</f>
        <v>46325</v>
      </c>
      <c r="U222" s="74">
        <f t="shared" ref="U222:U239" si="417">T222</f>
        <v>46325</v>
      </c>
      <c r="V222" s="72"/>
      <c r="W222" s="204"/>
      <c r="Y222" s="175" t="str">
        <f t="shared" ca="1" si="394"/>
        <v>Completed</v>
      </c>
      <c r="Z222" s="175" t="str">
        <f t="shared" ca="1" si="395"/>
        <v>Completed</v>
      </c>
      <c r="AA222" s="175" t="str">
        <f t="shared" ca="1" si="396"/>
        <v>Follow-Next Week</v>
      </c>
      <c r="AB222" s="176" t="str">
        <f t="shared" ca="1" si="397"/>
        <v/>
      </c>
    </row>
    <row r="223" spans="1:28" s="64" customFormat="1" ht="9.5" customHeight="1" x14ac:dyDescent="0.25">
      <c r="A223" s="70" t="s">
        <v>61</v>
      </c>
      <c r="B223" s="70" t="s">
        <v>62</v>
      </c>
      <c r="C223" s="70" t="s">
        <v>85</v>
      </c>
      <c r="D223" s="75" t="s">
        <v>421</v>
      </c>
      <c r="E223" s="75" t="s">
        <v>422</v>
      </c>
      <c r="F223" s="116">
        <f t="shared" si="392"/>
        <v>0.7</v>
      </c>
      <c r="G223" s="125">
        <f t="shared" ref="G223:G235" si="418">(COUNTIFS(L223,"&lt;="&amp;$D$1)*50%)+(COUNTIFS(O223,"&lt;="&amp;$D$1)*20%)+(COUNTIFS(R223,"&lt;="&amp;$D$1)*10%)+(COUNTIFS(U223,"&lt;="&amp;$D$1)*20%)</f>
        <v>0.7</v>
      </c>
      <c r="H223" s="125">
        <f t="shared" si="407"/>
        <v>0.7</v>
      </c>
      <c r="I223" s="125">
        <f t="shared" ref="I223:I235" si="419">H223-F223</f>
        <v>0</v>
      </c>
      <c r="J223" s="81">
        <v>0.1</v>
      </c>
      <c r="K223" s="72">
        <v>46227</v>
      </c>
      <c r="L223" s="74">
        <f t="shared" si="411"/>
        <v>46227</v>
      </c>
      <c r="M223" s="72">
        <v>46185</v>
      </c>
      <c r="N223" s="74">
        <f t="shared" si="412"/>
        <v>46269</v>
      </c>
      <c r="O223" s="74">
        <f t="shared" si="413"/>
        <v>46269</v>
      </c>
      <c r="P223" s="74">
        <v>46255</v>
      </c>
      <c r="Q223" s="74">
        <f t="shared" si="414"/>
        <v>46311</v>
      </c>
      <c r="R223" s="74">
        <f t="shared" si="415"/>
        <v>46311</v>
      </c>
      <c r="S223" s="74"/>
      <c r="T223" s="74">
        <f t="shared" si="416"/>
        <v>46325</v>
      </c>
      <c r="U223" s="74">
        <f t="shared" si="417"/>
        <v>46325</v>
      </c>
      <c r="V223" s="72"/>
      <c r="W223" s="204"/>
      <c r="Y223" s="175" t="str">
        <f t="shared" ca="1" si="394"/>
        <v>Completed</v>
      </c>
      <c r="Z223" s="175" t="str">
        <f t="shared" ca="1" si="395"/>
        <v>Completed</v>
      </c>
      <c r="AA223" s="175" t="str">
        <f t="shared" ca="1" si="396"/>
        <v>Follow-Next Week</v>
      </c>
      <c r="AB223" s="176" t="str">
        <f t="shared" ca="1" si="397"/>
        <v/>
      </c>
    </row>
    <row r="224" spans="1:28" s="64" customFormat="1" ht="9.5" customHeight="1" x14ac:dyDescent="0.25">
      <c r="A224" s="132" t="s">
        <v>61</v>
      </c>
      <c r="B224" s="132" t="s">
        <v>62</v>
      </c>
      <c r="C224" s="132" t="s">
        <v>85</v>
      </c>
      <c r="D224" s="133" t="s">
        <v>423</v>
      </c>
      <c r="E224" s="133" t="s">
        <v>508</v>
      </c>
      <c r="F224" s="134"/>
      <c r="G224" s="139"/>
      <c r="H224" s="139"/>
      <c r="I224" s="139"/>
      <c r="J224" s="135">
        <v>0.1</v>
      </c>
      <c r="K224" s="140">
        <v>46227</v>
      </c>
      <c r="L224" s="140">
        <f t="shared" si="411"/>
        <v>46227</v>
      </c>
      <c r="M224" s="140">
        <v>46248</v>
      </c>
      <c r="N224" s="140">
        <f t="shared" si="412"/>
        <v>46269</v>
      </c>
      <c r="O224" s="140">
        <f t="shared" si="413"/>
        <v>46269</v>
      </c>
      <c r="P224" s="140">
        <v>46248</v>
      </c>
      <c r="Q224" s="140">
        <f t="shared" si="414"/>
        <v>46311</v>
      </c>
      <c r="R224" s="140">
        <f t="shared" si="415"/>
        <v>46311</v>
      </c>
      <c r="S224" s="140">
        <v>46248</v>
      </c>
      <c r="T224" s="140">
        <f t="shared" si="416"/>
        <v>46325</v>
      </c>
      <c r="U224" s="140">
        <f t="shared" si="417"/>
        <v>46325</v>
      </c>
      <c r="V224" s="140">
        <v>46248</v>
      </c>
      <c r="W224" s="209"/>
      <c r="Y224" s="175" t="str">
        <f t="shared" ca="1" si="394"/>
        <v>Completed</v>
      </c>
      <c r="Z224" s="175" t="str">
        <f t="shared" ca="1" si="395"/>
        <v>Completed</v>
      </c>
      <c r="AA224" s="175" t="str">
        <f t="shared" ca="1" si="396"/>
        <v>Completed</v>
      </c>
      <c r="AB224" s="176" t="str">
        <f t="shared" ca="1" si="397"/>
        <v>Completed</v>
      </c>
    </row>
    <row r="225" spans="1:28" s="64" customFormat="1" ht="9.5" customHeight="1" x14ac:dyDescent="0.25">
      <c r="A225" s="70" t="s">
        <v>61</v>
      </c>
      <c r="B225" s="70" t="s">
        <v>62</v>
      </c>
      <c r="C225" s="70" t="s">
        <v>85</v>
      </c>
      <c r="D225" s="75" t="s">
        <v>423</v>
      </c>
      <c r="E225" s="75" t="s">
        <v>509</v>
      </c>
      <c r="F225" s="116">
        <f t="shared" ref="F225" si="420">(COUNTIFS(K225,"&lt;="&amp;$D$1)*50%)+(COUNTIFS(N225,"&lt;="&amp;$D$1)*20%)+(COUNTIFS(Q225,"&lt;="&amp;$D$1)*10%)+(COUNTIFS(T225,"&lt;="&amp;$D$1)*20%)</f>
        <v>0.7</v>
      </c>
      <c r="G225" s="125">
        <f t="shared" ref="G225" si="421">(COUNTIFS(L225,"&lt;="&amp;$D$1)*50%)+(COUNTIFS(O225,"&lt;="&amp;$D$1)*20%)+(COUNTIFS(R225,"&lt;="&amp;$D$1)*10%)+(COUNTIFS(U225,"&lt;="&amp;$D$1)*20%)</f>
        <v>0.7</v>
      </c>
      <c r="H225" s="125">
        <f>(COUNTIFS(M225,"&lt;="&amp;$D$1)*50%)+(COUNTIFS(P225,"&lt;="&amp;$D$1)*20%)+(COUNTIFS(S225,"&lt;="&amp;$D$1)*10%)+(COUNTIFS(V225,"&lt;="&amp;$D$1)*20%)</f>
        <v>0.5</v>
      </c>
      <c r="I225" s="125">
        <f t="shared" ref="I225" si="422">H225-F225</f>
        <v>-0.19999999999999996</v>
      </c>
      <c r="J225" s="81"/>
      <c r="K225" s="72">
        <v>46255</v>
      </c>
      <c r="L225" s="74">
        <f t="shared" ref="L225" si="423">K225</f>
        <v>46255</v>
      </c>
      <c r="M225" s="74">
        <v>46255</v>
      </c>
      <c r="N225" s="74">
        <f t="shared" ref="N225" si="424">K225+42</f>
        <v>46297</v>
      </c>
      <c r="O225" s="74">
        <f t="shared" ref="O225" si="425">N225</f>
        <v>46297</v>
      </c>
      <c r="P225" s="190"/>
      <c r="Q225" s="74">
        <f t="shared" ref="Q225" si="426">N225+42</f>
        <v>46339</v>
      </c>
      <c r="R225" s="74">
        <f t="shared" ref="R225" si="427">Q225</f>
        <v>46339</v>
      </c>
      <c r="S225" s="190"/>
      <c r="T225" s="74">
        <f t="shared" ref="T225" si="428">Q225+14</f>
        <v>46353</v>
      </c>
      <c r="U225" s="74">
        <f t="shared" ref="U225" si="429">T225</f>
        <v>46353</v>
      </c>
      <c r="V225" s="190"/>
      <c r="W225" s="204"/>
      <c r="Y225" s="175" t="str">
        <f t="shared" ca="1" si="394"/>
        <v>Completed</v>
      </c>
      <c r="Z225" s="175" t="str">
        <f t="shared" ca="1" si="395"/>
        <v>Overdue</v>
      </c>
      <c r="AA225" s="175" t="str">
        <f t="shared" ca="1" si="396"/>
        <v/>
      </c>
      <c r="AB225" s="176" t="str">
        <f t="shared" ca="1" si="397"/>
        <v/>
      </c>
    </row>
    <row r="226" spans="1:28" s="64" customFormat="1" ht="9.5" customHeight="1" x14ac:dyDescent="0.25">
      <c r="A226" s="70" t="s">
        <v>61</v>
      </c>
      <c r="B226" s="70" t="s">
        <v>62</v>
      </c>
      <c r="C226" s="70" t="s">
        <v>85</v>
      </c>
      <c r="D226" s="75" t="s">
        <v>424</v>
      </c>
      <c r="E226" s="75" t="s">
        <v>425</v>
      </c>
      <c r="F226" s="116">
        <f t="shared" si="392"/>
        <v>0.7</v>
      </c>
      <c r="G226" s="116">
        <f t="shared" si="418"/>
        <v>0.7</v>
      </c>
      <c r="H226" s="116">
        <f>(COUNTIFS(M226,"&lt;="&amp;$D$1)*50%)+(COUNTIFS(P226,"&lt;="&amp;$D$1)*20%)+(COUNTIFS(S226,"&lt;="&amp;$D$1)*10%)+(COUNTIFS(V226,"&lt;="&amp;$D$1)*20%)</f>
        <v>0.7</v>
      </c>
      <c r="I226" s="116">
        <f t="shared" si="419"/>
        <v>0</v>
      </c>
      <c r="J226" s="81">
        <v>0.1</v>
      </c>
      <c r="K226" s="72">
        <v>46227</v>
      </c>
      <c r="L226" s="72">
        <f t="shared" si="411"/>
        <v>46227</v>
      </c>
      <c r="M226" s="74">
        <v>46255</v>
      </c>
      <c r="N226" s="72">
        <f t="shared" si="412"/>
        <v>46269</v>
      </c>
      <c r="O226" s="72">
        <f t="shared" si="413"/>
        <v>46269</v>
      </c>
      <c r="P226" s="74">
        <v>46269</v>
      </c>
      <c r="Q226" s="72">
        <f t="shared" si="414"/>
        <v>46311</v>
      </c>
      <c r="R226" s="72">
        <f t="shared" si="415"/>
        <v>46311</v>
      </c>
      <c r="S226" s="72"/>
      <c r="T226" s="72">
        <f t="shared" si="416"/>
        <v>46325</v>
      </c>
      <c r="U226" s="72">
        <f t="shared" si="417"/>
        <v>46325</v>
      </c>
      <c r="V226" s="72"/>
      <c r="W226" s="204"/>
      <c r="Y226" s="175" t="str">
        <f t="shared" ca="1" si="394"/>
        <v>Completed</v>
      </c>
      <c r="Z226" s="175" t="str">
        <f t="shared" ca="1" si="395"/>
        <v>Completed</v>
      </c>
      <c r="AA226" s="175" t="str">
        <f t="shared" ca="1" si="396"/>
        <v>Follow-Next Week</v>
      </c>
      <c r="AB226" s="176" t="str">
        <f t="shared" ca="1" si="397"/>
        <v/>
      </c>
    </row>
    <row r="227" spans="1:28" s="64" customFormat="1" ht="9.5" customHeight="1" x14ac:dyDescent="0.25">
      <c r="A227" s="70" t="s">
        <v>61</v>
      </c>
      <c r="B227" s="70" t="s">
        <v>62</v>
      </c>
      <c r="C227" s="70" t="s">
        <v>85</v>
      </c>
      <c r="D227" s="75" t="s">
        <v>426</v>
      </c>
      <c r="E227" s="75" t="s">
        <v>427</v>
      </c>
      <c r="F227" s="116">
        <f t="shared" si="392"/>
        <v>0.7</v>
      </c>
      <c r="G227" s="125">
        <f t="shared" si="418"/>
        <v>0.7</v>
      </c>
      <c r="H227" s="125">
        <f>(COUNTIFS(M227,"&lt;="&amp;$D$1)*50%)+(COUNTIFS(P227,"&lt;="&amp;$D$1)*20%)+(COUNTIFS(S227,"&lt;="&amp;$D$1)*10%)+(COUNTIFS(V227,"&lt;="&amp;$D$1)*20%)</f>
        <v>0.5</v>
      </c>
      <c r="I227" s="125">
        <f t="shared" si="419"/>
        <v>-0.19999999999999996</v>
      </c>
      <c r="J227" s="81">
        <v>0.1</v>
      </c>
      <c r="K227" s="72">
        <v>46227</v>
      </c>
      <c r="L227" s="74">
        <f t="shared" si="411"/>
        <v>46227</v>
      </c>
      <c r="M227" s="233">
        <v>46304</v>
      </c>
      <c r="N227" s="74">
        <f t="shared" si="412"/>
        <v>46269</v>
      </c>
      <c r="O227" s="74">
        <f t="shared" si="413"/>
        <v>46269</v>
      </c>
      <c r="P227" s="74"/>
      <c r="Q227" s="74">
        <f t="shared" si="414"/>
        <v>46311</v>
      </c>
      <c r="R227" s="74">
        <f t="shared" si="415"/>
        <v>46311</v>
      </c>
      <c r="S227" s="74"/>
      <c r="T227" s="74">
        <f t="shared" si="416"/>
        <v>46325</v>
      </c>
      <c r="U227" s="74">
        <f t="shared" si="417"/>
        <v>46325</v>
      </c>
      <c r="V227" s="72"/>
      <c r="W227" s="204"/>
      <c r="Y227" s="175" t="str">
        <f t="shared" ca="1" si="394"/>
        <v>Completed</v>
      </c>
      <c r="Z227" s="175" t="str">
        <f t="shared" ca="1" si="395"/>
        <v>Overdue</v>
      </c>
      <c r="AA227" s="175" t="str">
        <f t="shared" ca="1" si="396"/>
        <v>Follow-Next Week</v>
      </c>
      <c r="AB227" s="176" t="str">
        <f t="shared" ca="1" si="397"/>
        <v/>
      </c>
    </row>
    <row r="228" spans="1:28" s="64" customFormat="1" ht="9.5" customHeight="1" x14ac:dyDescent="0.25">
      <c r="A228" s="70" t="s">
        <v>61</v>
      </c>
      <c r="B228" s="70" t="s">
        <v>62</v>
      </c>
      <c r="C228" s="70" t="s">
        <v>85</v>
      </c>
      <c r="D228" s="75" t="s">
        <v>428</v>
      </c>
      <c r="E228" s="75" t="s">
        <v>429</v>
      </c>
      <c r="F228" s="116">
        <f t="shared" si="392"/>
        <v>0.7</v>
      </c>
      <c r="G228" s="125">
        <f t="shared" si="418"/>
        <v>0.7</v>
      </c>
      <c r="H228" s="125">
        <f>(COUNTIFS(M228,"&lt;="&amp;$D$1)*50%)+(COUNTIFS(P228,"&lt;="&amp;$D$1)*20%)+(COUNTIFS(S228,"&lt;="&amp;$D$1)*10%)+(COUNTIFS(V228,"&lt;="&amp;$D$1)*20%)</f>
        <v>0.5</v>
      </c>
      <c r="I228" s="125">
        <f t="shared" si="419"/>
        <v>-0.19999999999999996</v>
      </c>
      <c r="J228" s="81">
        <v>0.1</v>
      </c>
      <c r="K228" s="72">
        <v>46227</v>
      </c>
      <c r="L228" s="74">
        <f t="shared" si="411"/>
        <v>46227</v>
      </c>
      <c r="M228" s="233">
        <v>46304</v>
      </c>
      <c r="N228" s="74">
        <f t="shared" si="412"/>
        <v>46269</v>
      </c>
      <c r="O228" s="74">
        <f t="shared" si="413"/>
        <v>46269</v>
      </c>
      <c r="P228" s="74"/>
      <c r="Q228" s="74">
        <f t="shared" si="414"/>
        <v>46311</v>
      </c>
      <c r="R228" s="74">
        <f t="shared" si="415"/>
        <v>46311</v>
      </c>
      <c r="S228" s="74"/>
      <c r="T228" s="74">
        <f t="shared" si="416"/>
        <v>46325</v>
      </c>
      <c r="U228" s="74">
        <f t="shared" si="417"/>
        <v>46325</v>
      </c>
      <c r="V228" s="72"/>
      <c r="W228" s="204"/>
      <c r="Y228" s="175" t="str">
        <f t="shared" ca="1" si="394"/>
        <v>Completed</v>
      </c>
      <c r="Z228" s="175" t="str">
        <f t="shared" ca="1" si="395"/>
        <v>Overdue</v>
      </c>
      <c r="AA228" s="175" t="str">
        <f t="shared" ca="1" si="396"/>
        <v>Follow-Next Week</v>
      </c>
      <c r="AB228" s="176" t="str">
        <f t="shared" ca="1" si="397"/>
        <v/>
      </c>
    </row>
    <row r="229" spans="1:28" s="64" customFormat="1" ht="9.5" customHeight="1" x14ac:dyDescent="0.25">
      <c r="A229" s="132" t="s">
        <v>61</v>
      </c>
      <c r="B229" s="132" t="s">
        <v>62</v>
      </c>
      <c r="C229" s="132" t="s">
        <v>85</v>
      </c>
      <c r="D229" s="133" t="s">
        <v>430</v>
      </c>
      <c r="E229" s="133" t="s">
        <v>431</v>
      </c>
      <c r="F229" s="134"/>
      <c r="G229" s="139"/>
      <c r="H229" s="139"/>
      <c r="I229" s="139"/>
      <c r="J229" s="135">
        <v>0.1</v>
      </c>
      <c r="K229" s="136">
        <v>46227</v>
      </c>
      <c r="L229" s="140">
        <f t="shared" si="411"/>
        <v>46227</v>
      </c>
      <c r="M229" s="140">
        <v>46255</v>
      </c>
      <c r="N229" s="140">
        <f t="shared" si="412"/>
        <v>46269</v>
      </c>
      <c r="O229" s="140">
        <f t="shared" si="413"/>
        <v>46269</v>
      </c>
      <c r="P229" s="140">
        <v>46255</v>
      </c>
      <c r="Q229" s="140">
        <f t="shared" si="414"/>
        <v>46311</v>
      </c>
      <c r="R229" s="140">
        <f t="shared" si="415"/>
        <v>46311</v>
      </c>
      <c r="S229" s="140">
        <v>46255</v>
      </c>
      <c r="T229" s="140">
        <f t="shared" si="416"/>
        <v>46325</v>
      </c>
      <c r="U229" s="140">
        <f t="shared" si="417"/>
        <v>46325</v>
      </c>
      <c r="V229" s="140">
        <v>46255</v>
      </c>
      <c r="W229" s="209"/>
      <c r="Y229" s="175" t="str">
        <f t="shared" ca="1" si="394"/>
        <v>Completed</v>
      </c>
      <c r="Z229" s="175" t="str">
        <f t="shared" ca="1" si="395"/>
        <v>Completed</v>
      </c>
      <c r="AA229" s="175" t="str">
        <f t="shared" ca="1" si="396"/>
        <v>Completed</v>
      </c>
      <c r="AB229" s="176" t="str">
        <f t="shared" ca="1" si="397"/>
        <v>Completed</v>
      </c>
    </row>
    <row r="230" spans="1:28" s="64" customFormat="1" ht="9.5" customHeight="1" x14ac:dyDescent="0.25">
      <c r="A230" s="70" t="s">
        <v>61</v>
      </c>
      <c r="B230" s="70" t="s">
        <v>62</v>
      </c>
      <c r="C230" s="70" t="s">
        <v>85</v>
      </c>
      <c r="D230" s="75" t="s">
        <v>432</v>
      </c>
      <c r="E230" s="75" t="s">
        <v>433</v>
      </c>
      <c r="F230" s="116">
        <f t="shared" si="392"/>
        <v>0.7</v>
      </c>
      <c r="G230" s="116">
        <f t="shared" si="418"/>
        <v>0.7</v>
      </c>
      <c r="H230" s="116">
        <f>(COUNTIFS(M230,"&lt;="&amp;$D$1)*50%)+(COUNTIFS(P230,"&lt;="&amp;$D$1)*20%)+(COUNTIFS(S230,"&lt;="&amp;$D$1)*10%)+(COUNTIFS(V230,"&lt;="&amp;$D$1)*20%)</f>
        <v>0.7</v>
      </c>
      <c r="I230" s="116">
        <f t="shared" si="419"/>
        <v>0</v>
      </c>
      <c r="J230" s="81">
        <v>0.1</v>
      </c>
      <c r="K230" s="72">
        <v>46227</v>
      </c>
      <c r="L230" s="72">
        <f t="shared" si="411"/>
        <v>46227</v>
      </c>
      <c r="M230" s="74">
        <v>46237</v>
      </c>
      <c r="N230" s="72">
        <f t="shared" si="412"/>
        <v>46269</v>
      </c>
      <c r="O230" s="72">
        <f t="shared" si="413"/>
        <v>46269</v>
      </c>
      <c r="P230" s="72">
        <v>46244</v>
      </c>
      <c r="Q230" s="72">
        <f t="shared" si="414"/>
        <v>46311</v>
      </c>
      <c r="R230" s="72">
        <f t="shared" si="415"/>
        <v>46311</v>
      </c>
      <c r="S230" s="72"/>
      <c r="T230" s="72">
        <f t="shared" si="416"/>
        <v>46325</v>
      </c>
      <c r="U230" s="72">
        <f t="shared" si="417"/>
        <v>46325</v>
      </c>
      <c r="V230" s="72"/>
      <c r="W230" s="204"/>
      <c r="Y230" s="175" t="str">
        <f t="shared" ca="1" si="394"/>
        <v>Completed</v>
      </c>
      <c r="Z230" s="175" t="str">
        <f t="shared" ca="1" si="395"/>
        <v>Completed</v>
      </c>
      <c r="AA230" s="175" t="str">
        <f t="shared" ca="1" si="396"/>
        <v>Follow-Next Week</v>
      </c>
      <c r="AB230" s="176" t="str">
        <f t="shared" ca="1" si="397"/>
        <v/>
      </c>
    </row>
    <row r="231" spans="1:28" s="64" customFormat="1" ht="9.5" customHeight="1" x14ac:dyDescent="0.25">
      <c r="A231" s="70" t="s">
        <v>61</v>
      </c>
      <c r="B231" s="70" t="s">
        <v>62</v>
      </c>
      <c r="C231" s="70" t="s">
        <v>85</v>
      </c>
      <c r="D231" s="75" t="s">
        <v>434</v>
      </c>
      <c r="E231" s="75" t="s">
        <v>435</v>
      </c>
      <c r="F231" s="116">
        <f t="shared" si="392"/>
        <v>0.7</v>
      </c>
      <c r="G231" s="125">
        <f t="shared" si="418"/>
        <v>0.7</v>
      </c>
      <c r="H231" s="125">
        <f>(COUNTIFS(M231,"&lt;="&amp;$D$1)*50%)+(COUNTIFS(P231,"&lt;="&amp;$D$1)*20%)+(COUNTIFS(S231,"&lt;="&amp;$D$1)*10%)+(COUNTIFS(V231,"&lt;="&amp;$D$1)*20%)</f>
        <v>0.7</v>
      </c>
      <c r="I231" s="125">
        <f t="shared" si="419"/>
        <v>0</v>
      </c>
      <c r="J231" s="81">
        <v>0.1</v>
      </c>
      <c r="K231" s="72">
        <v>46227</v>
      </c>
      <c r="L231" s="74">
        <f t="shared" si="411"/>
        <v>46227</v>
      </c>
      <c r="M231" s="74">
        <v>46237</v>
      </c>
      <c r="N231" s="74">
        <f t="shared" si="412"/>
        <v>46269</v>
      </c>
      <c r="O231" s="74">
        <f t="shared" si="413"/>
        <v>46269</v>
      </c>
      <c r="P231" s="72">
        <v>46244</v>
      </c>
      <c r="Q231" s="74">
        <f t="shared" si="414"/>
        <v>46311</v>
      </c>
      <c r="R231" s="74">
        <f t="shared" si="415"/>
        <v>46311</v>
      </c>
      <c r="S231" s="74"/>
      <c r="T231" s="74">
        <f t="shared" si="416"/>
        <v>46325</v>
      </c>
      <c r="U231" s="74">
        <f t="shared" si="417"/>
        <v>46325</v>
      </c>
      <c r="V231" s="72"/>
      <c r="W231" s="204"/>
      <c r="Y231" s="175" t="str">
        <f t="shared" ref="Y231:Y255" ca="1" si="430">IF(OR(M231&lt;&gt;""),"Completed",
IF(L231="","",IF(L231&lt;TODAY(),"Overdue",
IF(AND(L231&gt;=TODAY()-WEEKDAY(TODAY(),2)+1,L231&lt;=TODAY()-WEEKDAY(TODAY(),2)+7),"Follow-This Week",
IF(AND(L231&gt;=TODAY()-WEEKDAY(TODAY(),2)+8,L231&lt;=TODAY()-WEEKDAY(TODAY(),2)+14),"Follow-Next Week","")))))</f>
        <v>Completed</v>
      </c>
      <c r="Z231" s="175" t="str">
        <f t="shared" ref="Z231:Z255" ca="1" si="431">IF(OR(P231&lt;&gt;""),"Completed",IF(O231="","",
IF(O231&lt;TODAY(),"Overdue",
IF(AND(O231&gt;=TODAY()-WEEKDAY(TODAY(),2)+1,O231&lt;=TODAY()-WEEKDAY(TODAY(),2)+7),"Follow-This Week",
IF(AND(O231&gt;=TODAY()-WEEKDAY(TODAY(),2)+8,O231&lt;=TODAY()-WEEKDAY(TODAY(),2)+14),"Follow-Next Week","")))))</f>
        <v>Completed</v>
      </c>
      <c r="AA231" s="175" t="str">
        <f t="shared" ref="AA231:AA255" ca="1" si="432">IF(OR(S231&lt;&gt;""),"Completed",IF(R231="","",
IF(R231&lt;TODAY(),"Overdue",
IF(AND(R231&gt;=TODAY()-WEEKDAY(TODAY(),2)+1,R231&lt;=TODAY()-WEEKDAY(TODAY(),2)+7),"Follow-This Week",
IF(AND(R231&gt;=TODAY()-WEEKDAY(TODAY(),2)+8,R231&lt;=TODAY()-WEEKDAY(TODAY(),2)+14),"Follow-Next Week","")))))</f>
        <v>Follow-Next Week</v>
      </c>
      <c r="AB231" s="176" t="str">
        <f t="shared" ref="AB231:AB255" ca="1" si="433">IF(OR(V231&lt;&gt;""),"Completed",IF(U231="","",
IF(U231&lt;TODAY(),"Overdue",
IF(AND(U231&gt;=TODAY()-WEEKDAY(TODAY(),2)+1,U231&lt;=TODAY()-WEEKDAY(TODAY(),2)+7),"Follow-This Week",
IF(AND(U231&gt;=TODAY()-WEEKDAY(TODAY(),2)+8,U231&lt;=TODAY()-WEEKDAY(TODAY(),2)+14),"Follow-Next Week","")))))</f>
        <v/>
      </c>
    </row>
    <row r="232" spans="1:28" s="64" customFormat="1" ht="9.5" customHeight="1" x14ac:dyDescent="0.25">
      <c r="A232" s="132" t="s">
        <v>61</v>
      </c>
      <c r="B232" s="132" t="s">
        <v>62</v>
      </c>
      <c r="C232" s="132" t="s">
        <v>85</v>
      </c>
      <c r="D232" s="133" t="s">
        <v>436</v>
      </c>
      <c r="E232" s="133" t="s">
        <v>505</v>
      </c>
      <c r="F232" s="134"/>
      <c r="G232" s="139"/>
      <c r="H232" s="139"/>
      <c r="I232" s="139"/>
      <c r="J232" s="135">
        <v>0.1</v>
      </c>
      <c r="K232" s="140">
        <v>46227</v>
      </c>
      <c r="L232" s="140">
        <f t="shared" si="411"/>
        <v>46227</v>
      </c>
      <c r="M232" s="140">
        <v>46248</v>
      </c>
      <c r="N232" s="140">
        <f t="shared" si="412"/>
        <v>46269</v>
      </c>
      <c r="O232" s="140">
        <f t="shared" si="413"/>
        <v>46269</v>
      </c>
      <c r="P232" s="140">
        <v>46248</v>
      </c>
      <c r="Q232" s="140">
        <f t="shared" si="414"/>
        <v>46311</v>
      </c>
      <c r="R232" s="140">
        <f t="shared" si="415"/>
        <v>46311</v>
      </c>
      <c r="S232" s="140">
        <v>46248</v>
      </c>
      <c r="T232" s="140">
        <f t="shared" si="416"/>
        <v>46325</v>
      </c>
      <c r="U232" s="140">
        <f t="shared" si="417"/>
        <v>46325</v>
      </c>
      <c r="V232" s="140">
        <v>46248</v>
      </c>
      <c r="W232" s="209"/>
      <c r="Y232" s="175" t="str">
        <f t="shared" ca="1" si="430"/>
        <v>Completed</v>
      </c>
      <c r="Z232" s="175" t="str">
        <f t="shared" ca="1" si="431"/>
        <v>Completed</v>
      </c>
      <c r="AA232" s="175" t="str">
        <f t="shared" ca="1" si="432"/>
        <v>Completed</v>
      </c>
      <c r="AB232" s="176" t="str">
        <f t="shared" ca="1" si="433"/>
        <v>Completed</v>
      </c>
    </row>
    <row r="233" spans="1:28" s="64" customFormat="1" ht="9.5" customHeight="1" x14ac:dyDescent="0.25">
      <c r="A233" s="70" t="s">
        <v>61</v>
      </c>
      <c r="B233" s="70" t="s">
        <v>62</v>
      </c>
      <c r="C233" s="70" t="s">
        <v>85</v>
      </c>
      <c r="D233" s="75" t="s">
        <v>437</v>
      </c>
      <c r="E233" s="75" t="s">
        <v>438</v>
      </c>
      <c r="F233" s="116">
        <f t="shared" si="392"/>
        <v>0.7</v>
      </c>
      <c r="G233" s="125">
        <f t="shared" si="418"/>
        <v>0.7</v>
      </c>
      <c r="H233" s="125">
        <f>(COUNTIFS(M233,"&lt;="&amp;$D$1)*50%)+(COUNTIFS(P233,"&lt;="&amp;$D$1)*20%)+(COUNTIFS(S233,"&lt;="&amp;$D$1)*10%)+(COUNTIFS(V233,"&lt;="&amp;$D$1)*20%)</f>
        <v>0.7</v>
      </c>
      <c r="I233" s="125">
        <f t="shared" si="419"/>
        <v>0</v>
      </c>
      <c r="J233" s="81">
        <v>0.1</v>
      </c>
      <c r="K233" s="72">
        <v>46227</v>
      </c>
      <c r="L233" s="74">
        <f t="shared" si="411"/>
        <v>46227</v>
      </c>
      <c r="M233" s="74">
        <v>46237</v>
      </c>
      <c r="N233" s="74">
        <f t="shared" si="412"/>
        <v>46269</v>
      </c>
      <c r="O233" s="74">
        <f t="shared" si="413"/>
        <v>46269</v>
      </c>
      <c r="P233" s="72">
        <v>46244</v>
      </c>
      <c r="Q233" s="74">
        <f t="shared" si="414"/>
        <v>46311</v>
      </c>
      <c r="R233" s="74">
        <f t="shared" si="415"/>
        <v>46311</v>
      </c>
      <c r="S233" s="74"/>
      <c r="T233" s="74">
        <f t="shared" si="416"/>
        <v>46325</v>
      </c>
      <c r="U233" s="74">
        <f t="shared" si="417"/>
        <v>46325</v>
      </c>
      <c r="V233" s="72"/>
      <c r="W233" s="204"/>
      <c r="Y233" s="175" t="str">
        <f t="shared" ca="1" si="430"/>
        <v>Completed</v>
      </c>
      <c r="Z233" s="175" t="str">
        <f t="shared" ca="1" si="431"/>
        <v>Completed</v>
      </c>
      <c r="AA233" s="175" t="str">
        <f t="shared" ca="1" si="432"/>
        <v>Follow-Next Week</v>
      </c>
      <c r="AB233" s="176" t="str">
        <f t="shared" ca="1" si="433"/>
        <v/>
      </c>
    </row>
    <row r="234" spans="1:28" s="64" customFormat="1" ht="9.5" customHeight="1" x14ac:dyDescent="0.25">
      <c r="A234" s="70" t="s">
        <v>61</v>
      </c>
      <c r="B234" s="70" t="s">
        <v>62</v>
      </c>
      <c r="C234" s="70" t="s">
        <v>85</v>
      </c>
      <c r="D234" s="75" t="s">
        <v>439</v>
      </c>
      <c r="E234" s="75" t="s">
        <v>440</v>
      </c>
      <c r="F234" s="116">
        <f t="shared" si="392"/>
        <v>0.7</v>
      </c>
      <c r="G234" s="116">
        <f t="shared" si="418"/>
        <v>0.7</v>
      </c>
      <c r="H234" s="116">
        <f>(COUNTIFS(M234,"&lt;="&amp;$D$1)*50%)+(COUNTIFS(P234,"&lt;="&amp;$D$1)*20%)+(COUNTIFS(S234,"&lt;="&amp;$D$1)*10%)+(COUNTIFS(V234,"&lt;="&amp;$D$1)*20%)</f>
        <v>0.7</v>
      </c>
      <c r="I234" s="116">
        <f t="shared" si="419"/>
        <v>0</v>
      </c>
      <c r="J234" s="81">
        <v>0.1</v>
      </c>
      <c r="K234" s="72">
        <v>46227</v>
      </c>
      <c r="L234" s="72">
        <f t="shared" si="411"/>
        <v>46227</v>
      </c>
      <c r="M234" s="74">
        <v>46237</v>
      </c>
      <c r="N234" s="72">
        <f t="shared" si="412"/>
        <v>46269</v>
      </c>
      <c r="O234" s="72">
        <f t="shared" si="413"/>
        <v>46269</v>
      </c>
      <c r="P234" s="72">
        <v>46244</v>
      </c>
      <c r="Q234" s="72">
        <f t="shared" si="414"/>
        <v>46311</v>
      </c>
      <c r="R234" s="72">
        <f t="shared" si="415"/>
        <v>46311</v>
      </c>
      <c r="S234" s="72"/>
      <c r="T234" s="72">
        <f t="shared" si="416"/>
        <v>46325</v>
      </c>
      <c r="U234" s="72">
        <f t="shared" si="417"/>
        <v>46325</v>
      </c>
      <c r="V234" s="72"/>
      <c r="W234" s="204"/>
      <c r="Y234" s="175" t="str">
        <f t="shared" ca="1" si="430"/>
        <v>Completed</v>
      </c>
      <c r="Z234" s="175" t="str">
        <f t="shared" ca="1" si="431"/>
        <v>Completed</v>
      </c>
      <c r="AA234" s="175" t="str">
        <f t="shared" ca="1" si="432"/>
        <v>Follow-Next Week</v>
      </c>
      <c r="AB234" s="176" t="str">
        <f t="shared" ca="1" si="433"/>
        <v/>
      </c>
    </row>
    <row r="235" spans="1:28" s="64" customFormat="1" ht="9.5" customHeight="1" x14ac:dyDescent="0.25">
      <c r="A235" s="70" t="s">
        <v>61</v>
      </c>
      <c r="B235" s="70" t="s">
        <v>62</v>
      </c>
      <c r="C235" s="70" t="s">
        <v>85</v>
      </c>
      <c r="D235" s="75" t="s">
        <v>441</v>
      </c>
      <c r="E235" s="75" t="s">
        <v>442</v>
      </c>
      <c r="F235" s="116">
        <f t="shared" si="392"/>
        <v>0.7</v>
      </c>
      <c r="G235" s="125">
        <f t="shared" si="418"/>
        <v>0.7</v>
      </c>
      <c r="H235" s="125">
        <f>(COUNTIFS(M235,"&lt;="&amp;$D$1)*50%)+(COUNTIFS(P235,"&lt;="&amp;$D$1)*20%)+(COUNTIFS(S235,"&lt;="&amp;$D$1)*10%)+(COUNTIFS(V235,"&lt;="&amp;$D$1)*20%)</f>
        <v>0.7</v>
      </c>
      <c r="I235" s="125">
        <f t="shared" si="419"/>
        <v>0</v>
      </c>
      <c r="J235" s="81">
        <v>0.1</v>
      </c>
      <c r="K235" s="72">
        <v>46227</v>
      </c>
      <c r="L235" s="74">
        <f t="shared" si="411"/>
        <v>46227</v>
      </c>
      <c r="M235" s="74">
        <v>46237</v>
      </c>
      <c r="N235" s="74">
        <f t="shared" si="412"/>
        <v>46269</v>
      </c>
      <c r="O235" s="74">
        <f t="shared" si="413"/>
        <v>46269</v>
      </c>
      <c r="P235" s="72">
        <v>46244</v>
      </c>
      <c r="Q235" s="74">
        <f t="shared" si="414"/>
        <v>46311</v>
      </c>
      <c r="R235" s="74">
        <f t="shared" si="415"/>
        <v>46311</v>
      </c>
      <c r="S235" s="74"/>
      <c r="T235" s="74">
        <f t="shared" si="416"/>
        <v>46325</v>
      </c>
      <c r="U235" s="74">
        <f t="shared" si="417"/>
        <v>46325</v>
      </c>
      <c r="V235" s="72"/>
      <c r="W235" s="204"/>
      <c r="Y235" s="175" t="str">
        <f t="shared" ca="1" si="430"/>
        <v>Completed</v>
      </c>
      <c r="Z235" s="175" t="str">
        <f t="shared" ca="1" si="431"/>
        <v>Completed</v>
      </c>
      <c r="AA235" s="175" t="str">
        <f t="shared" ca="1" si="432"/>
        <v>Follow-Next Week</v>
      </c>
      <c r="AB235" s="176" t="str">
        <f t="shared" ca="1" si="433"/>
        <v/>
      </c>
    </row>
    <row r="236" spans="1:28" s="64" customFormat="1" ht="9.5" customHeight="1" x14ac:dyDescent="0.25">
      <c r="A236" s="132" t="s">
        <v>61</v>
      </c>
      <c r="B236" s="132" t="s">
        <v>62</v>
      </c>
      <c r="C236" s="132" t="s">
        <v>85</v>
      </c>
      <c r="D236" s="133" t="s">
        <v>443</v>
      </c>
      <c r="E236" s="133" t="s">
        <v>491</v>
      </c>
      <c r="F236" s="134"/>
      <c r="G236" s="139"/>
      <c r="H236" s="139"/>
      <c r="I236" s="139"/>
      <c r="J236" s="135">
        <v>0.1</v>
      </c>
      <c r="K236" s="136">
        <v>46227</v>
      </c>
      <c r="L236" s="140">
        <f t="shared" si="411"/>
        <v>46227</v>
      </c>
      <c r="M236" s="140">
        <v>46234</v>
      </c>
      <c r="N236" s="140">
        <f t="shared" si="412"/>
        <v>46269</v>
      </c>
      <c r="O236" s="140">
        <f t="shared" si="413"/>
        <v>46269</v>
      </c>
      <c r="P236" s="140">
        <v>46234</v>
      </c>
      <c r="Q236" s="140">
        <f t="shared" si="414"/>
        <v>46311</v>
      </c>
      <c r="R236" s="140">
        <f t="shared" si="415"/>
        <v>46311</v>
      </c>
      <c r="S236" s="140">
        <v>46234</v>
      </c>
      <c r="T236" s="140">
        <f t="shared" si="416"/>
        <v>46325</v>
      </c>
      <c r="U236" s="140">
        <f t="shared" si="417"/>
        <v>46325</v>
      </c>
      <c r="V236" s="140">
        <v>46234</v>
      </c>
      <c r="W236" s="209"/>
      <c r="Y236" s="175" t="str">
        <f t="shared" ca="1" si="430"/>
        <v>Completed</v>
      </c>
      <c r="Z236" s="175" t="str">
        <f t="shared" ca="1" si="431"/>
        <v>Completed</v>
      </c>
      <c r="AA236" s="175" t="str">
        <f t="shared" ca="1" si="432"/>
        <v>Completed</v>
      </c>
      <c r="AB236" s="176" t="str">
        <f t="shared" ca="1" si="433"/>
        <v>Completed</v>
      </c>
    </row>
    <row r="237" spans="1:28" s="64" customFormat="1" ht="9.5" customHeight="1" x14ac:dyDescent="0.25">
      <c r="A237" s="132" t="s">
        <v>61</v>
      </c>
      <c r="B237" s="132" t="s">
        <v>62</v>
      </c>
      <c r="C237" s="132" t="s">
        <v>85</v>
      </c>
      <c r="D237" s="133" t="s">
        <v>444</v>
      </c>
      <c r="E237" s="133" t="s">
        <v>492</v>
      </c>
      <c r="F237" s="134"/>
      <c r="G237" s="139"/>
      <c r="H237" s="139"/>
      <c r="I237" s="139"/>
      <c r="J237" s="135">
        <v>0.1</v>
      </c>
      <c r="K237" s="136">
        <v>46227</v>
      </c>
      <c r="L237" s="140">
        <f t="shared" si="411"/>
        <v>46227</v>
      </c>
      <c r="M237" s="140">
        <v>46234</v>
      </c>
      <c r="N237" s="140">
        <f t="shared" si="412"/>
        <v>46269</v>
      </c>
      <c r="O237" s="140">
        <f t="shared" si="413"/>
        <v>46269</v>
      </c>
      <c r="P237" s="140">
        <v>46234</v>
      </c>
      <c r="Q237" s="140">
        <f t="shared" si="414"/>
        <v>46311</v>
      </c>
      <c r="R237" s="140">
        <f t="shared" si="415"/>
        <v>46311</v>
      </c>
      <c r="S237" s="140">
        <v>46234</v>
      </c>
      <c r="T237" s="140">
        <f t="shared" si="416"/>
        <v>46325</v>
      </c>
      <c r="U237" s="140">
        <f t="shared" si="417"/>
        <v>46325</v>
      </c>
      <c r="V237" s="140">
        <v>46234</v>
      </c>
      <c r="W237" s="209"/>
      <c r="Y237" s="175" t="str">
        <f t="shared" ca="1" si="430"/>
        <v>Completed</v>
      </c>
      <c r="Z237" s="175" t="str">
        <f t="shared" ca="1" si="431"/>
        <v>Completed</v>
      </c>
      <c r="AA237" s="175" t="str">
        <f t="shared" ca="1" si="432"/>
        <v>Completed</v>
      </c>
      <c r="AB237" s="176" t="str">
        <f t="shared" ca="1" si="433"/>
        <v>Completed</v>
      </c>
    </row>
    <row r="238" spans="1:28" s="64" customFormat="1" ht="9.5" customHeight="1" x14ac:dyDescent="0.25">
      <c r="A238" s="132" t="s">
        <v>61</v>
      </c>
      <c r="B238" s="132" t="s">
        <v>62</v>
      </c>
      <c r="C238" s="132" t="s">
        <v>85</v>
      </c>
      <c r="D238" s="133" t="s">
        <v>445</v>
      </c>
      <c r="E238" s="133" t="s">
        <v>493</v>
      </c>
      <c r="F238" s="134"/>
      <c r="G238" s="134"/>
      <c r="H238" s="134"/>
      <c r="I238" s="134"/>
      <c r="J238" s="135">
        <v>0.1</v>
      </c>
      <c r="K238" s="136">
        <v>46227</v>
      </c>
      <c r="L238" s="136">
        <f t="shared" si="411"/>
        <v>46227</v>
      </c>
      <c r="M238" s="140">
        <v>46234</v>
      </c>
      <c r="N238" s="140">
        <f t="shared" si="412"/>
        <v>46269</v>
      </c>
      <c r="O238" s="140">
        <f t="shared" si="413"/>
        <v>46269</v>
      </c>
      <c r="P238" s="140">
        <v>46234</v>
      </c>
      <c r="Q238" s="140">
        <f t="shared" si="414"/>
        <v>46311</v>
      </c>
      <c r="R238" s="140">
        <f t="shared" si="415"/>
        <v>46311</v>
      </c>
      <c r="S238" s="140">
        <v>46235</v>
      </c>
      <c r="T238" s="140">
        <f t="shared" si="416"/>
        <v>46325</v>
      </c>
      <c r="U238" s="140">
        <f t="shared" si="417"/>
        <v>46325</v>
      </c>
      <c r="V238" s="140">
        <v>46234</v>
      </c>
      <c r="W238" s="209"/>
      <c r="Y238" s="175" t="str">
        <f t="shared" ca="1" si="430"/>
        <v>Completed</v>
      </c>
      <c r="Z238" s="175" t="str">
        <f t="shared" ca="1" si="431"/>
        <v>Completed</v>
      </c>
      <c r="AA238" s="175" t="str">
        <f t="shared" ca="1" si="432"/>
        <v>Completed</v>
      </c>
      <c r="AB238" s="176" t="str">
        <f t="shared" ca="1" si="433"/>
        <v>Completed</v>
      </c>
    </row>
    <row r="239" spans="1:28" s="137" customFormat="1" ht="9.5" customHeight="1" x14ac:dyDescent="0.25">
      <c r="A239" s="132" t="s">
        <v>61</v>
      </c>
      <c r="B239" s="132" t="s">
        <v>62</v>
      </c>
      <c r="C239" s="132" t="s">
        <v>85</v>
      </c>
      <c r="D239" s="133" t="s">
        <v>446</v>
      </c>
      <c r="E239" s="133" t="s">
        <v>447</v>
      </c>
      <c r="F239" s="134"/>
      <c r="G239" s="139"/>
      <c r="H239" s="139"/>
      <c r="I239" s="139"/>
      <c r="J239" s="135">
        <v>0</v>
      </c>
      <c r="K239" s="136">
        <v>46227</v>
      </c>
      <c r="L239" s="140">
        <f t="shared" si="411"/>
        <v>46227</v>
      </c>
      <c r="M239" s="140">
        <v>46234</v>
      </c>
      <c r="N239" s="140">
        <f t="shared" si="412"/>
        <v>46269</v>
      </c>
      <c r="O239" s="140">
        <f t="shared" si="413"/>
        <v>46269</v>
      </c>
      <c r="P239" s="140">
        <v>46234</v>
      </c>
      <c r="Q239" s="140">
        <f t="shared" si="414"/>
        <v>46311</v>
      </c>
      <c r="R239" s="140">
        <f t="shared" si="415"/>
        <v>46311</v>
      </c>
      <c r="S239" s="140">
        <v>46236</v>
      </c>
      <c r="T239" s="140">
        <f t="shared" si="416"/>
        <v>46325</v>
      </c>
      <c r="U239" s="140">
        <f t="shared" si="417"/>
        <v>46325</v>
      </c>
      <c r="V239" s="140">
        <v>46234</v>
      </c>
      <c r="W239" s="209"/>
      <c r="Y239" s="175" t="str">
        <f t="shared" ca="1" si="430"/>
        <v>Completed</v>
      </c>
      <c r="Z239" s="175" t="str">
        <f t="shared" ca="1" si="431"/>
        <v>Completed</v>
      </c>
      <c r="AA239" s="175" t="str">
        <f t="shared" ca="1" si="432"/>
        <v>Completed</v>
      </c>
      <c r="AB239" s="176" t="str">
        <f t="shared" ca="1" si="433"/>
        <v>Completed</v>
      </c>
    </row>
    <row r="240" spans="1:28" s="64" customFormat="1" ht="9.5" customHeight="1" x14ac:dyDescent="0.25">
      <c r="A240" s="70" t="s">
        <v>61</v>
      </c>
      <c r="B240" s="70" t="s">
        <v>62</v>
      </c>
      <c r="C240" s="70" t="s">
        <v>85</v>
      </c>
      <c r="D240" s="75" t="s">
        <v>376</v>
      </c>
      <c r="E240" s="75" t="s">
        <v>200</v>
      </c>
      <c r="F240" s="116">
        <f t="shared" si="392"/>
        <v>0.7</v>
      </c>
      <c r="G240" s="116">
        <f t="shared" si="392"/>
        <v>0.7</v>
      </c>
      <c r="H240" s="116">
        <f t="shared" ref="H240:H259" si="434">(COUNTIFS(M240,"&lt;="&amp;$D$1)*50%)+(COUNTIFS(P240,"&lt;="&amp;$D$1)*20%)+(COUNTIFS(S240,"&lt;="&amp;$D$1)*10%)+(COUNTIFS(V240,"&lt;="&amp;$D$1)*20%)</f>
        <v>0.7</v>
      </c>
      <c r="I240" s="116">
        <f t="shared" si="349"/>
        <v>0</v>
      </c>
      <c r="J240" s="81">
        <v>0.1</v>
      </c>
      <c r="K240" s="72">
        <v>46227</v>
      </c>
      <c r="L240" s="72">
        <f t="shared" si="355"/>
        <v>46227</v>
      </c>
      <c r="M240" s="72">
        <v>46185</v>
      </c>
      <c r="N240" s="72">
        <f t="shared" si="356"/>
        <v>46269</v>
      </c>
      <c r="O240" s="72">
        <f t="shared" si="357"/>
        <v>46269</v>
      </c>
      <c r="P240" s="74">
        <v>46255</v>
      </c>
      <c r="Q240" s="72">
        <f t="shared" si="358"/>
        <v>46311</v>
      </c>
      <c r="R240" s="72">
        <f t="shared" si="359"/>
        <v>46311</v>
      </c>
      <c r="S240" s="72"/>
      <c r="T240" s="72">
        <f t="shared" si="360"/>
        <v>46325</v>
      </c>
      <c r="U240" s="72">
        <f t="shared" si="361"/>
        <v>46325</v>
      </c>
      <c r="V240" s="72"/>
      <c r="W240" s="204"/>
      <c r="Y240" s="175" t="str">
        <f t="shared" ca="1" si="430"/>
        <v>Completed</v>
      </c>
      <c r="Z240" s="175" t="str">
        <f t="shared" ca="1" si="431"/>
        <v>Completed</v>
      </c>
      <c r="AA240" s="175" t="str">
        <f t="shared" ca="1" si="432"/>
        <v>Follow-Next Week</v>
      </c>
      <c r="AB240" s="176" t="str">
        <f t="shared" ca="1" si="433"/>
        <v/>
      </c>
    </row>
    <row r="241" spans="1:28" s="64" customFormat="1" ht="9.5" customHeight="1" x14ac:dyDescent="0.25">
      <c r="A241" s="70" t="s">
        <v>61</v>
      </c>
      <c r="B241" s="70" t="s">
        <v>62</v>
      </c>
      <c r="C241" s="70" t="s">
        <v>85</v>
      </c>
      <c r="D241" s="75" t="s">
        <v>377</v>
      </c>
      <c r="E241" s="75" t="s">
        <v>201</v>
      </c>
      <c r="F241" s="116">
        <f t="shared" si="392"/>
        <v>0.7</v>
      </c>
      <c r="G241" s="116">
        <f t="shared" si="392"/>
        <v>0.7</v>
      </c>
      <c r="H241" s="116">
        <f t="shared" si="434"/>
        <v>1</v>
      </c>
      <c r="I241" s="116">
        <f t="shared" si="349"/>
        <v>0.30000000000000004</v>
      </c>
      <c r="J241" s="81">
        <v>0.1</v>
      </c>
      <c r="K241" s="72">
        <v>46227</v>
      </c>
      <c r="L241" s="72">
        <f t="shared" si="355"/>
        <v>46227</v>
      </c>
      <c r="M241" s="72">
        <v>46185</v>
      </c>
      <c r="N241" s="72">
        <f t="shared" si="356"/>
        <v>46269</v>
      </c>
      <c r="O241" s="72">
        <f t="shared" si="357"/>
        <v>46269</v>
      </c>
      <c r="P241" s="72">
        <v>46192</v>
      </c>
      <c r="Q241" s="72">
        <f t="shared" si="358"/>
        <v>46311</v>
      </c>
      <c r="R241" s="72">
        <f t="shared" si="359"/>
        <v>46311</v>
      </c>
      <c r="S241" s="74">
        <v>46255</v>
      </c>
      <c r="T241" s="72">
        <f t="shared" si="360"/>
        <v>46325</v>
      </c>
      <c r="U241" s="72">
        <f t="shared" si="361"/>
        <v>46325</v>
      </c>
      <c r="V241" s="74">
        <v>46269</v>
      </c>
      <c r="W241" s="204"/>
      <c r="Y241" s="175" t="str">
        <f t="shared" ca="1" si="430"/>
        <v>Completed</v>
      </c>
      <c r="Z241" s="175" t="str">
        <f t="shared" ca="1" si="431"/>
        <v>Completed</v>
      </c>
      <c r="AA241" s="175" t="str">
        <f t="shared" ca="1" si="432"/>
        <v>Completed</v>
      </c>
      <c r="AB241" s="176" t="str">
        <f t="shared" ca="1" si="433"/>
        <v>Completed</v>
      </c>
    </row>
    <row r="242" spans="1:28" s="64" customFormat="1" ht="9.5" customHeight="1" x14ac:dyDescent="0.25">
      <c r="A242" s="70" t="s">
        <v>61</v>
      </c>
      <c r="B242" s="70" t="s">
        <v>62</v>
      </c>
      <c r="C242" s="70" t="s">
        <v>85</v>
      </c>
      <c r="D242" s="75" t="s">
        <v>378</v>
      </c>
      <c r="E242" s="75" t="s">
        <v>202</v>
      </c>
      <c r="F242" s="116">
        <f t="shared" si="392"/>
        <v>0.7</v>
      </c>
      <c r="G242" s="116">
        <f t="shared" si="392"/>
        <v>0.7</v>
      </c>
      <c r="H242" s="116">
        <f t="shared" si="434"/>
        <v>0.79999999999999993</v>
      </c>
      <c r="I242" s="116">
        <f t="shared" si="349"/>
        <v>9.9999999999999978E-2</v>
      </c>
      <c r="J242" s="81">
        <v>0.1</v>
      </c>
      <c r="K242" s="72">
        <v>46227</v>
      </c>
      <c r="L242" s="72">
        <f t="shared" si="355"/>
        <v>46227</v>
      </c>
      <c r="M242" s="72">
        <v>46185</v>
      </c>
      <c r="N242" s="72">
        <f t="shared" si="356"/>
        <v>46269</v>
      </c>
      <c r="O242" s="72">
        <f t="shared" si="357"/>
        <v>46269</v>
      </c>
      <c r="P242" s="72">
        <v>46192</v>
      </c>
      <c r="Q242" s="72">
        <f t="shared" si="358"/>
        <v>46311</v>
      </c>
      <c r="R242" s="72">
        <f t="shared" si="359"/>
        <v>46311</v>
      </c>
      <c r="S242" s="74">
        <v>46255</v>
      </c>
      <c r="T242" s="72">
        <f t="shared" si="360"/>
        <v>46325</v>
      </c>
      <c r="U242" s="72">
        <f t="shared" si="361"/>
        <v>46325</v>
      </c>
      <c r="V242" s="72"/>
      <c r="W242" s="204" t="s">
        <v>539</v>
      </c>
      <c r="Y242" s="175" t="str">
        <f t="shared" ca="1" si="430"/>
        <v>Completed</v>
      </c>
      <c r="Z242" s="175" t="str">
        <f t="shared" ca="1" si="431"/>
        <v>Completed</v>
      </c>
      <c r="AA242" s="175" t="str">
        <f t="shared" ca="1" si="432"/>
        <v>Completed</v>
      </c>
      <c r="AB242" s="176" t="str">
        <f t="shared" ca="1" si="433"/>
        <v/>
      </c>
    </row>
    <row r="243" spans="1:28" s="64" customFormat="1" ht="9.5" customHeight="1" x14ac:dyDescent="0.25">
      <c r="A243" s="70" t="s">
        <v>61</v>
      </c>
      <c r="B243" s="70" t="s">
        <v>62</v>
      </c>
      <c r="C243" s="70" t="s">
        <v>85</v>
      </c>
      <c r="D243" s="75" t="s">
        <v>379</v>
      </c>
      <c r="E243" s="75" t="s">
        <v>203</v>
      </c>
      <c r="F243" s="116">
        <f t="shared" si="392"/>
        <v>0.7</v>
      </c>
      <c r="G243" s="116">
        <f t="shared" si="392"/>
        <v>0.7</v>
      </c>
      <c r="H243" s="116">
        <f t="shared" si="434"/>
        <v>0.7</v>
      </c>
      <c r="I243" s="116">
        <f t="shared" si="349"/>
        <v>0</v>
      </c>
      <c r="J243" s="81">
        <v>0.1</v>
      </c>
      <c r="K243" s="72">
        <v>46227</v>
      </c>
      <c r="L243" s="72">
        <f t="shared" si="355"/>
        <v>46227</v>
      </c>
      <c r="M243" s="72">
        <v>46171</v>
      </c>
      <c r="N243" s="72">
        <f t="shared" si="356"/>
        <v>46269</v>
      </c>
      <c r="O243" s="72">
        <f t="shared" si="357"/>
        <v>46269</v>
      </c>
      <c r="P243" s="74">
        <v>46255</v>
      </c>
      <c r="Q243" s="72">
        <f t="shared" si="358"/>
        <v>46311</v>
      </c>
      <c r="R243" s="72">
        <f t="shared" si="359"/>
        <v>46311</v>
      </c>
      <c r="S243" s="72"/>
      <c r="T243" s="72">
        <f t="shared" si="360"/>
        <v>46325</v>
      </c>
      <c r="U243" s="72">
        <f t="shared" si="361"/>
        <v>46325</v>
      </c>
      <c r="V243" s="72"/>
      <c r="W243" s="204"/>
      <c r="Y243" s="175" t="str">
        <f t="shared" ca="1" si="430"/>
        <v>Completed</v>
      </c>
      <c r="Z243" s="175" t="str">
        <f t="shared" ca="1" si="431"/>
        <v>Completed</v>
      </c>
      <c r="AA243" s="175" t="str">
        <f t="shared" ca="1" si="432"/>
        <v>Follow-Next Week</v>
      </c>
      <c r="AB243" s="176" t="str">
        <f t="shared" ca="1" si="433"/>
        <v/>
      </c>
    </row>
    <row r="244" spans="1:28" s="64" customFormat="1" ht="9.5" customHeight="1" x14ac:dyDescent="0.25">
      <c r="A244" s="70" t="s">
        <v>61</v>
      </c>
      <c r="B244" s="70" t="s">
        <v>62</v>
      </c>
      <c r="C244" s="70" t="s">
        <v>85</v>
      </c>
      <c r="D244" s="75" t="s">
        <v>380</v>
      </c>
      <c r="E244" s="75" t="s">
        <v>204</v>
      </c>
      <c r="F244" s="116">
        <f t="shared" si="392"/>
        <v>0.7</v>
      </c>
      <c r="G244" s="116">
        <f t="shared" si="392"/>
        <v>0.7</v>
      </c>
      <c r="H244" s="116">
        <f t="shared" si="434"/>
        <v>0.7</v>
      </c>
      <c r="I244" s="116">
        <f t="shared" si="349"/>
        <v>0</v>
      </c>
      <c r="J244" s="81">
        <v>0.1</v>
      </c>
      <c r="K244" s="72">
        <v>46227</v>
      </c>
      <c r="L244" s="72">
        <f t="shared" si="355"/>
        <v>46227</v>
      </c>
      <c r="M244" s="72">
        <v>46171</v>
      </c>
      <c r="N244" s="72">
        <f t="shared" si="356"/>
        <v>46269</v>
      </c>
      <c r="O244" s="72">
        <f t="shared" si="357"/>
        <v>46269</v>
      </c>
      <c r="P244" s="74">
        <v>46255</v>
      </c>
      <c r="Q244" s="72">
        <f t="shared" si="358"/>
        <v>46311</v>
      </c>
      <c r="R244" s="72">
        <f t="shared" si="359"/>
        <v>46311</v>
      </c>
      <c r="S244" s="72"/>
      <c r="T244" s="72">
        <f t="shared" si="360"/>
        <v>46325</v>
      </c>
      <c r="U244" s="72">
        <f t="shared" si="361"/>
        <v>46325</v>
      </c>
      <c r="V244" s="72"/>
      <c r="W244" s="204"/>
      <c r="Y244" s="175" t="str">
        <f t="shared" ca="1" si="430"/>
        <v>Completed</v>
      </c>
      <c r="Z244" s="175" t="str">
        <f t="shared" ca="1" si="431"/>
        <v>Completed</v>
      </c>
      <c r="AA244" s="175" t="str">
        <f t="shared" ca="1" si="432"/>
        <v>Follow-Next Week</v>
      </c>
      <c r="AB244" s="176" t="str">
        <f t="shared" ca="1" si="433"/>
        <v/>
      </c>
    </row>
    <row r="245" spans="1:28" s="64" customFormat="1" ht="9.5" customHeight="1" x14ac:dyDescent="0.25">
      <c r="A245" s="70" t="s">
        <v>61</v>
      </c>
      <c r="B245" s="70" t="s">
        <v>62</v>
      </c>
      <c r="C245" s="70" t="s">
        <v>85</v>
      </c>
      <c r="D245" s="75" t="s">
        <v>381</v>
      </c>
      <c r="E245" s="75" t="s">
        <v>205</v>
      </c>
      <c r="F245" s="116">
        <f t="shared" si="392"/>
        <v>0.7</v>
      </c>
      <c r="G245" s="116">
        <f t="shared" si="392"/>
        <v>0.7</v>
      </c>
      <c r="H245" s="116">
        <f t="shared" si="434"/>
        <v>0.7</v>
      </c>
      <c r="I245" s="116">
        <f t="shared" si="349"/>
        <v>0</v>
      </c>
      <c r="J245" s="81">
        <v>0.1</v>
      </c>
      <c r="K245" s="72">
        <v>46227</v>
      </c>
      <c r="L245" s="72">
        <f t="shared" si="355"/>
        <v>46227</v>
      </c>
      <c r="M245" s="72">
        <v>46248</v>
      </c>
      <c r="N245" s="72">
        <f t="shared" si="356"/>
        <v>46269</v>
      </c>
      <c r="O245" s="72">
        <f t="shared" si="357"/>
        <v>46269</v>
      </c>
      <c r="P245" s="74">
        <v>46269</v>
      </c>
      <c r="Q245" s="72">
        <f t="shared" si="358"/>
        <v>46311</v>
      </c>
      <c r="R245" s="72">
        <f t="shared" si="359"/>
        <v>46311</v>
      </c>
      <c r="S245" s="72"/>
      <c r="T245" s="72">
        <f t="shared" si="360"/>
        <v>46325</v>
      </c>
      <c r="U245" s="72">
        <f t="shared" si="361"/>
        <v>46325</v>
      </c>
      <c r="V245" s="72"/>
      <c r="W245" s="204"/>
      <c r="Y245" s="175" t="str">
        <f t="shared" ca="1" si="430"/>
        <v>Completed</v>
      </c>
      <c r="Z245" s="175" t="str">
        <f t="shared" ca="1" si="431"/>
        <v>Completed</v>
      </c>
      <c r="AA245" s="175" t="str">
        <f t="shared" ca="1" si="432"/>
        <v>Follow-Next Week</v>
      </c>
      <c r="AB245" s="176" t="str">
        <f t="shared" ca="1" si="433"/>
        <v/>
      </c>
    </row>
    <row r="246" spans="1:28" s="64" customFormat="1" ht="9.5" customHeight="1" x14ac:dyDescent="0.25">
      <c r="A246" s="70" t="s">
        <v>61</v>
      </c>
      <c r="B246" s="70" t="s">
        <v>62</v>
      </c>
      <c r="C246" s="70" t="s">
        <v>85</v>
      </c>
      <c r="D246" s="75" t="s">
        <v>382</v>
      </c>
      <c r="E246" s="75" t="s">
        <v>206</v>
      </c>
      <c r="F246" s="116">
        <f t="shared" si="392"/>
        <v>0.7</v>
      </c>
      <c r="G246" s="116">
        <f t="shared" si="392"/>
        <v>0.7</v>
      </c>
      <c r="H246" s="116">
        <f t="shared" si="434"/>
        <v>0.7</v>
      </c>
      <c r="I246" s="116">
        <f t="shared" si="349"/>
        <v>0</v>
      </c>
      <c r="J246" s="81">
        <v>0.1</v>
      </c>
      <c r="K246" s="72">
        <v>46227</v>
      </c>
      <c r="L246" s="72">
        <f t="shared" si="355"/>
        <v>46227</v>
      </c>
      <c r="M246" s="72">
        <v>46248</v>
      </c>
      <c r="N246" s="72">
        <f t="shared" si="356"/>
        <v>46269</v>
      </c>
      <c r="O246" s="72">
        <f t="shared" si="357"/>
        <v>46269</v>
      </c>
      <c r="P246" s="74">
        <v>46269</v>
      </c>
      <c r="Q246" s="72">
        <f t="shared" si="358"/>
        <v>46311</v>
      </c>
      <c r="R246" s="72">
        <f t="shared" si="359"/>
        <v>46311</v>
      </c>
      <c r="S246" s="72"/>
      <c r="T246" s="72">
        <f t="shared" si="360"/>
        <v>46325</v>
      </c>
      <c r="U246" s="72">
        <f t="shared" si="361"/>
        <v>46325</v>
      </c>
      <c r="V246" s="72"/>
      <c r="W246" s="204"/>
      <c r="Y246" s="175" t="str">
        <f t="shared" ca="1" si="430"/>
        <v>Completed</v>
      </c>
      <c r="Z246" s="175" t="str">
        <f t="shared" ca="1" si="431"/>
        <v>Completed</v>
      </c>
      <c r="AA246" s="175" t="str">
        <f t="shared" ca="1" si="432"/>
        <v>Follow-Next Week</v>
      </c>
      <c r="AB246" s="176" t="str">
        <f t="shared" ca="1" si="433"/>
        <v/>
      </c>
    </row>
    <row r="247" spans="1:28" s="64" customFormat="1" ht="9.5" customHeight="1" x14ac:dyDescent="0.25">
      <c r="A247" s="70" t="s">
        <v>61</v>
      </c>
      <c r="B247" s="70" t="s">
        <v>62</v>
      </c>
      <c r="C247" s="70" t="s">
        <v>85</v>
      </c>
      <c r="D247" s="75" t="s">
        <v>383</v>
      </c>
      <c r="E247" s="75" t="s">
        <v>207</v>
      </c>
      <c r="F247" s="116">
        <f t="shared" si="392"/>
        <v>0.7</v>
      </c>
      <c r="G247" s="116">
        <f t="shared" si="392"/>
        <v>0.7</v>
      </c>
      <c r="H247" s="116">
        <f t="shared" si="434"/>
        <v>0.7</v>
      </c>
      <c r="I247" s="116">
        <f t="shared" si="349"/>
        <v>0</v>
      </c>
      <c r="J247" s="81">
        <v>0.1</v>
      </c>
      <c r="K247" s="72">
        <v>46227</v>
      </c>
      <c r="L247" s="72">
        <f t="shared" si="355"/>
        <v>46227</v>
      </c>
      <c r="M247" s="72">
        <v>46185</v>
      </c>
      <c r="N247" s="72">
        <f t="shared" si="356"/>
        <v>46269</v>
      </c>
      <c r="O247" s="72">
        <f t="shared" si="357"/>
        <v>46269</v>
      </c>
      <c r="P247" s="74">
        <v>46255</v>
      </c>
      <c r="Q247" s="72">
        <f t="shared" si="358"/>
        <v>46311</v>
      </c>
      <c r="R247" s="72">
        <f t="shared" si="359"/>
        <v>46311</v>
      </c>
      <c r="S247" s="72"/>
      <c r="T247" s="72">
        <f t="shared" si="360"/>
        <v>46325</v>
      </c>
      <c r="U247" s="72">
        <f t="shared" si="361"/>
        <v>46325</v>
      </c>
      <c r="V247" s="72"/>
      <c r="W247" s="204"/>
      <c r="Y247" s="175" t="str">
        <f t="shared" ca="1" si="430"/>
        <v>Completed</v>
      </c>
      <c r="Z247" s="175" t="str">
        <f t="shared" ca="1" si="431"/>
        <v>Completed</v>
      </c>
      <c r="AA247" s="175" t="str">
        <f t="shared" ca="1" si="432"/>
        <v>Follow-Next Week</v>
      </c>
      <c r="AB247" s="176" t="str">
        <f t="shared" ca="1" si="433"/>
        <v/>
      </c>
    </row>
    <row r="248" spans="1:28" s="64" customFormat="1" ht="9.5" customHeight="1" x14ac:dyDescent="0.25">
      <c r="A248" s="70" t="s">
        <v>61</v>
      </c>
      <c r="B248" s="70" t="s">
        <v>62</v>
      </c>
      <c r="C248" s="70" t="s">
        <v>85</v>
      </c>
      <c r="D248" s="75" t="s">
        <v>384</v>
      </c>
      <c r="E248" s="75" t="s">
        <v>208</v>
      </c>
      <c r="F248" s="116">
        <f t="shared" si="392"/>
        <v>0.7</v>
      </c>
      <c r="G248" s="116">
        <f t="shared" si="392"/>
        <v>0.7</v>
      </c>
      <c r="H248" s="116">
        <f t="shared" si="434"/>
        <v>1</v>
      </c>
      <c r="I248" s="116">
        <f t="shared" si="349"/>
        <v>0.30000000000000004</v>
      </c>
      <c r="J248" s="81">
        <v>0.1</v>
      </c>
      <c r="K248" s="72">
        <v>46227</v>
      </c>
      <c r="L248" s="72">
        <f t="shared" si="355"/>
        <v>46227</v>
      </c>
      <c r="M248" s="72">
        <v>46185</v>
      </c>
      <c r="N248" s="72">
        <f t="shared" si="356"/>
        <v>46269</v>
      </c>
      <c r="O248" s="72">
        <f t="shared" si="357"/>
        <v>46269</v>
      </c>
      <c r="P248" s="72">
        <v>46192</v>
      </c>
      <c r="Q248" s="72">
        <f t="shared" si="358"/>
        <v>46311</v>
      </c>
      <c r="R248" s="72">
        <f t="shared" si="359"/>
        <v>46311</v>
      </c>
      <c r="S248" s="74">
        <v>46255</v>
      </c>
      <c r="T248" s="72">
        <f t="shared" si="360"/>
        <v>46325</v>
      </c>
      <c r="U248" s="72">
        <f t="shared" si="361"/>
        <v>46325</v>
      </c>
      <c r="V248" s="74">
        <v>46269</v>
      </c>
      <c r="W248" s="204"/>
      <c r="Y248" s="175" t="str">
        <f t="shared" ca="1" si="430"/>
        <v>Completed</v>
      </c>
      <c r="Z248" s="175" t="str">
        <f t="shared" ca="1" si="431"/>
        <v>Completed</v>
      </c>
      <c r="AA248" s="175" t="str">
        <f t="shared" ca="1" si="432"/>
        <v>Completed</v>
      </c>
      <c r="AB248" s="176" t="str">
        <f t="shared" ca="1" si="433"/>
        <v>Completed</v>
      </c>
    </row>
    <row r="249" spans="1:28" s="64" customFormat="1" ht="9.5" customHeight="1" x14ac:dyDescent="0.25">
      <c r="A249" s="70" t="s">
        <v>61</v>
      </c>
      <c r="B249" s="70" t="s">
        <v>62</v>
      </c>
      <c r="C249" s="70" t="s">
        <v>85</v>
      </c>
      <c r="D249" s="75" t="s">
        <v>385</v>
      </c>
      <c r="E249" s="75" t="s">
        <v>209</v>
      </c>
      <c r="F249" s="116">
        <f t="shared" si="392"/>
        <v>0.7</v>
      </c>
      <c r="G249" s="116">
        <f t="shared" si="392"/>
        <v>0.7</v>
      </c>
      <c r="H249" s="116">
        <f t="shared" si="434"/>
        <v>0.7</v>
      </c>
      <c r="I249" s="116">
        <f t="shared" si="349"/>
        <v>0</v>
      </c>
      <c r="J249" s="81">
        <v>0.1</v>
      </c>
      <c r="K249" s="72">
        <v>46227</v>
      </c>
      <c r="L249" s="72">
        <f t="shared" si="355"/>
        <v>46227</v>
      </c>
      <c r="M249" s="72">
        <v>46171</v>
      </c>
      <c r="N249" s="72">
        <f t="shared" si="356"/>
        <v>46269</v>
      </c>
      <c r="O249" s="72">
        <f t="shared" si="357"/>
        <v>46269</v>
      </c>
      <c r="P249" s="74">
        <v>46255</v>
      </c>
      <c r="Q249" s="72">
        <f t="shared" si="358"/>
        <v>46311</v>
      </c>
      <c r="R249" s="72">
        <f t="shared" si="359"/>
        <v>46311</v>
      </c>
      <c r="S249" s="74"/>
      <c r="T249" s="72">
        <f t="shared" si="360"/>
        <v>46325</v>
      </c>
      <c r="U249" s="72">
        <f t="shared" si="361"/>
        <v>46325</v>
      </c>
      <c r="V249" s="72"/>
      <c r="W249" s="204"/>
      <c r="Y249" s="175" t="str">
        <f t="shared" ca="1" si="430"/>
        <v>Completed</v>
      </c>
      <c r="Z249" s="175" t="str">
        <f t="shared" ca="1" si="431"/>
        <v>Completed</v>
      </c>
      <c r="AA249" s="175" t="str">
        <f t="shared" ca="1" si="432"/>
        <v>Follow-Next Week</v>
      </c>
      <c r="AB249" s="176" t="str">
        <f t="shared" ca="1" si="433"/>
        <v/>
      </c>
    </row>
    <row r="250" spans="1:28" s="64" customFormat="1" ht="9.5" customHeight="1" x14ac:dyDescent="0.25">
      <c r="A250" s="70" t="s">
        <v>61</v>
      </c>
      <c r="B250" s="70" t="s">
        <v>62</v>
      </c>
      <c r="C250" s="70" t="s">
        <v>85</v>
      </c>
      <c r="D250" s="75" t="s">
        <v>386</v>
      </c>
      <c r="E250" s="75" t="s">
        <v>210</v>
      </c>
      <c r="F250" s="116">
        <f t="shared" si="392"/>
        <v>0.7</v>
      </c>
      <c r="G250" s="116">
        <f t="shared" si="392"/>
        <v>0.7</v>
      </c>
      <c r="H250" s="116">
        <f t="shared" si="434"/>
        <v>0.7</v>
      </c>
      <c r="I250" s="116">
        <f t="shared" si="349"/>
        <v>0</v>
      </c>
      <c r="J250" s="81">
        <v>0.1</v>
      </c>
      <c r="K250" s="72">
        <v>46227</v>
      </c>
      <c r="L250" s="72">
        <f t="shared" si="355"/>
        <v>46227</v>
      </c>
      <c r="M250" s="72">
        <v>46171</v>
      </c>
      <c r="N250" s="72">
        <f t="shared" si="356"/>
        <v>46269</v>
      </c>
      <c r="O250" s="72">
        <f t="shared" si="357"/>
        <v>46269</v>
      </c>
      <c r="P250" s="74">
        <v>46255</v>
      </c>
      <c r="Q250" s="72">
        <f t="shared" si="358"/>
        <v>46311</v>
      </c>
      <c r="R250" s="72">
        <f t="shared" si="359"/>
        <v>46311</v>
      </c>
      <c r="S250" s="74"/>
      <c r="T250" s="72">
        <f t="shared" si="360"/>
        <v>46325</v>
      </c>
      <c r="U250" s="72">
        <f t="shared" si="361"/>
        <v>46325</v>
      </c>
      <c r="V250" s="72"/>
      <c r="W250" s="204"/>
      <c r="Y250" s="175" t="str">
        <f t="shared" ca="1" si="430"/>
        <v>Completed</v>
      </c>
      <c r="Z250" s="175" t="str">
        <f t="shared" ca="1" si="431"/>
        <v>Completed</v>
      </c>
      <c r="AA250" s="175" t="str">
        <f t="shared" ca="1" si="432"/>
        <v>Follow-Next Week</v>
      </c>
      <c r="AB250" s="176" t="str">
        <f t="shared" ca="1" si="433"/>
        <v/>
      </c>
    </row>
    <row r="251" spans="1:28" s="64" customFormat="1" ht="9.5" customHeight="1" x14ac:dyDescent="0.25">
      <c r="A251" s="70" t="s">
        <v>61</v>
      </c>
      <c r="B251" s="70" t="s">
        <v>62</v>
      </c>
      <c r="C251" s="70" t="s">
        <v>85</v>
      </c>
      <c r="D251" s="75" t="s">
        <v>387</v>
      </c>
      <c r="E251" s="75" t="s">
        <v>211</v>
      </c>
      <c r="F251" s="116">
        <f t="shared" si="392"/>
        <v>0.7</v>
      </c>
      <c r="G251" s="116">
        <f t="shared" si="392"/>
        <v>0.7</v>
      </c>
      <c r="H251" s="116">
        <f t="shared" si="434"/>
        <v>0.7</v>
      </c>
      <c r="I251" s="116">
        <f t="shared" si="349"/>
        <v>0</v>
      </c>
      <c r="J251" s="81">
        <v>0.1</v>
      </c>
      <c r="K251" s="72">
        <v>46227</v>
      </c>
      <c r="L251" s="72">
        <f t="shared" si="355"/>
        <v>46227</v>
      </c>
      <c r="M251" s="72">
        <v>46171</v>
      </c>
      <c r="N251" s="72">
        <f t="shared" si="356"/>
        <v>46269</v>
      </c>
      <c r="O251" s="72">
        <f t="shared" si="357"/>
        <v>46269</v>
      </c>
      <c r="P251" s="74">
        <v>46255</v>
      </c>
      <c r="Q251" s="72">
        <f t="shared" si="358"/>
        <v>46311</v>
      </c>
      <c r="R251" s="72">
        <f t="shared" si="359"/>
        <v>46311</v>
      </c>
      <c r="S251" s="74"/>
      <c r="T251" s="72">
        <f t="shared" si="360"/>
        <v>46325</v>
      </c>
      <c r="U251" s="72">
        <f t="shared" si="361"/>
        <v>46325</v>
      </c>
      <c r="V251" s="72"/>
      <c r="W251" s="204"/>
      <c r="Y251" s="175" t="str">
        <f t="shared" ca="1" si="430"/>
        <v>Completed</v>
      </c>
      <c r="Z251" s="175" t="str">
        <f t="shared" ca="1" si="431"/>
        <v>Completed</v>
      </c>
      <c r="AA251" s="175" t="str">
        <f t="shared" ca="1" si="432"/>
        <v>Follow-Next Week</v>
      </c>
      <c r="AB251" s="176" t="str">
        <f t="shared" ca="1" si="433"/>
        <v/>
      </c>
    </row>
    <row r="252" spans="1:28" s="64" customFormat="1" ht="9.5" customHeight="1" x14ac:dyDescent="0.25">
      <c r="A252" s="70" t="s">
        <v>61</v>
      </c>
      <c r="B252" s="70" t="s">
        <v>62</v>
      </c>
      <c r="C252" s="70" t="s">
        <v>85</v>
      </c>
      <c r="D252" s="75" t="s">
        <v>388</v>
      </c>
      <c r="E252" s="75" t="s">
        <v>212</v>
      </c>
      <c r="F252" s="116">
        <f t="shared" si="392"/>
        <v>0.7</v>
      </c>
      <c r="G252" s="116">
        <f t="shared" si="392"/>
        <v>0.7</v>
      </c>
      <c r="H252" s="116">
        <f t="shared" si="434"/>
        <v>0.7</v>
      </c>
      <c r="I252" s="116">
        <f t="shared" si="349"/>
        <v>0</v>
      </c>
      <c r="J252" s="81">
        <v>0.1</v>
      </c>
      <c r="K252" s="72">
        <v>46227</v>
      </c>
      <c r="L252" s="72">
        <f t="shared" si="355"/>
        <v>46227</v>
      </c>
      <c r="M252" s="72">
        <v>46171</v>
      </c>
      <c r="N252" s="72">
        <f t="shared" si="356"/>
        <v>46269</v>
      </c>
      <c r="O252" s="72">
        <f t="shared" si="357"/>
        <v>46269</v>
      </c>
      <c r="P252" s="74">
        <v>46255</v>
      </c>
      <c r="Q252" s="72">
        <f t="shared" si="358"/>
        <v>46311</v>
      </c>
      <c r="R252" s="72">
        <f t="shared" si="359"/>
        <v>46311</v>
      </c>
      <c r="S252" s="74"/>
      <c r="T252" s="72">
        <f t="shared" si="360"/>
        <v>46325</v>
      </c>
      <c r="U252" s="72">
        <f t="shared" si="361"/>
        <v>46325</v>
      </c>
      <c r="V252" s="72"/>
      <c r="W252" s="204"/>
      <c r="Y252" s="175" t="str">
        <f t="shared" ca="1" si="430"/>
        <v>Completed</v>
      </c>
      <c r="Z252" s="175" t="str">
        <f t="shared" ca="1" si="431"/>
        <v>Completed</v>
      </c>
      <c r="AA252" s="175" t="str">
        <f t="shared" ca="1" si="432"/>
        <v>Follow-Next Week</v>
      </c>
      <c r="AB252" s="176" t="str">
        <f t="shared" ca="1" si="433"/>
        <v/>
      </c>
    </row>
    <row r="253" spans="1:28" s="64" customFormat="1" ht="9.5" customHeight="1" x14ac:dyDescent="0.25">
      <c r="A253" s="70" t="s">
        <v>61</v>
      </c>
      <c r="B253" s="70" t="s">
        <v>62</v>
      </c>
      <c r="C253" s="70" t="s">
        <v>85</v>
      </c>
      <c r="D253" s="75" t="s">
        <v>389</v>
      </c>
      <c r="E253" s="75" t="s">
        <v>213</v>
      </c>
      <c r="F253" s="116">
        <f t="shared" si="392"/>
        <v>1</v>
      </c>
      <c r="G253" s="116">
        <f t="shared" si="392"/>
        <v>1</v>
      </c>
      <c r="H253" s="116">
        <f t="shared" si="434"/>
        <v>0.7</v>
      </c>
      <c r="I253" s="116">
        <f t="shared" si="349"/>
        <v>-0.30000000000000004</v>
      </c>
      <c r="J253" s="81">
        <v>0.1</v>
      </c>
      <c r="K253" s="72">
        <v>46185</v>
      </c>
      <c r="L253" s="72">
        <f t="shared" si="355"/>
        <v>46185</v>
      </c>
      <c r="M253" s="72">
        <v>46185</v>
      </c>
      <c r="N253" s="72">
        <f t="shared" si="356"/>
        <v>46227</v>
      </c>
      <c r="O253" s="72">
        <f t="shared" si="357"/>
        <v>46227</v>
      </c>
      <c r="P253" s="74">
        <v>46255</v>
      </c>
      <c r="Q253" s="72">
        <f t="shared" si="358"/>
        <v>46269</v>
      </c>
      <c r="R253" s="72">
        <f t="shared" si="359"/>
        <v>46269</v>
      </c>
      <c r="S253" s="74"/>
      <c r="T253" s="72">
        <f t="shared" si="360"/>
        <v>46283</v>
      </c>
      <c r="U253" s="72">
        <f t="shared" si="361"/>
        <v>46283</v>
      </c>
      <c r="V253" s="107"/>
      <c r="W253" s="219"/>
      <c r="Y253" s="175" t="str">
        <f t="shared" ca="1" si="430"/>
        <v>Completed</v>
      </c>
      <c r="Z253" s="175" t="str">
        <f t="shared" ca="1" si="431"/>
        <v>Completed</v>
      </c>
      <c r="AA253" s="175" t="str">
        <f t="shared" ca="1" si="432"/>
        <v>Overdue</v>
      </c>
      <c r="AB253" s="176" t="str">
        <f t="shared" ca="1" si="433"/>
        <v>Overdue</v>
      </c>
    </row>
    <row r="254" spans="1:28" s="64" customFormat="1" ht="9.5" customHeight="1" x14ac:dyDescent="0.25">
      <c r="A254" s="70" t="s">
        <v>61</v>
      </c>
      <c r="B254" s="70" t="s">
        <v>62</v>
      </c>
      <c r="C254" s="80" t="s">
        <v>85</v>
      </c>
      <c r="D254" s="124" t="s">
        <v>390</v>
      </c>
      <c r="E254" s="124" t="s">
        <v>214</v>
      </c>
      <c r="F254" s="125">
        <f t="shared" ref="F254" si="435">(COUNTIFS(K254,"&lt;="&amp;$D$1)*50%)+(COUNTIFS(N254,"&lt;="&amp;$D$1)*20%)+(COUNTIFS(Q254,"&lt;="&amp;$D$1)*10%)+(COUNTIFS(T254,"&lt;="&amp;$D$1)*20%)</f>
        <v>1</v>
      </c>
      <c r="G254" s="125">
        <f t="shared" ref="G254" si="436">(COUNTIFS(L254,"&lt;="&amp;$D$1)*50%)+(COUNTIFS(O254,"&lt;="&amp;$D$1)*20%)+(COUNTIFS(R254,"&lt;="&amp;$D$1)*10%)+(COUNTIFS(U254,"&lt;="&amp;$D$1)*20%)</f>
        <v>1</v>
      </c>
      <c r="H254" s="125">
        <f t="shared" si="434"/>
        <v>0.7</v>
      </c>
      <c r="I254" s="125">
        <f t="shared" ref="I254" si="437">H254-F254</f>
        <v>-0.30000000000000004</v>
      </c>
      <c r="J254" s="81">
        <v>0.1</v>
      </c>
      <c r="K254" s="74">
        <v>46185</v>
      </c>
      <c r="L254" s="74">
        <f t="shared" si="355"/>
        <v>46185</v>
      </c>
      <c r="M254" s="72">
        <v>46185</v>
      </c>
      <c r="N254" s="74">
        <f t="shared" si="356"/>
        <v>46227</v>
      </c>
      <c r="O254" s="74">
        <f t="shared" si="357"/>
        <v>46227</v>
      </c>
      <c r="P254" s="74">
        <v>46255</v>
      </c>
      <c r="Q254" s="74">
        <f t="shared" si="358"/>
        <v>46269</v>
      </c>
      <c r="R254" s="74">
        <f t="shared" si="359"/>
        <v>46269</v>
      </c>
      <c r="S254" s="74"/>
      <c r="T254" s="74">
        <f t="shared" si="360"/>
        <v>46283</v>
      </c>
      <c r="U254" s="74">
        <f t="shared" si="361"/>
        <v>46283</v>
      </c>
      <c r="V254" s="74"/>
      <c r="W254" s="204"/>
      <c r="Y254" s="175" t="str">
        <f t="shared" ca="1" si="430"/>
        <v>Completed</v>
      </c>
      <c r="Z254" s="175" t="str">
        <f t="shared" ca="1" si="431"/>
        <v>Completed</v>
      </c>
      <c r="AA254" s="175" t="str">
        <f t="shared" ca="1" si="432"/>
        <v>Overdue</v>
      </c>
      <c r="AB254" s="176" t="str">
        <f t="shared" ca="1" si="433"/>
        <v>Overdue</v>
      </c>
    </row>
    <row r="255" spans="1:28" s="64" customFormat="1" ht="9.5" customHeight="1" x14ac:dyDescent="0.25">
      <c r="A255" s="70" t="s">
        <v>61</v>
      </c>
      <c r="B255" s="70" t="s">
        <v>62</v>
      </c>
      <c r="C255" s="70" t="s">
        <v>85</v>
      </c>
      <c r="D255" s="124" t="s">
        <v>452</v>
      </c>
      <c r="E255" s="124" t="s">
        <v>453</v>
      </c>
      <c r="F255" s="125">
        <f t="shared" ref="F255" si="438">(COUNTIFS(K255,"&lt;="&amp;$D$1)*50%)+(COUNTIFS(N255,"&lt;="&amp;$D$1)*20%)+(COUNTIFS(Q255,"&lt;="&amp;$D$1)*10%)+(COUNTIFS(T255,"&lt;="&amp;$D$1)*20%)</f>
        <v>1</v>
      </c>
      <c r="G255" s="125">
        <f t="shared" ref="G255" si="439">(COUNTIFS(L255,"&lt;="&amp;$D$1)*50%)+(COUNTIFS(O255,"&lt;="&amp;$D$1)*20%)+(COUNTIFS(R255,"&lt;="&amp;$D$1)*10%)+(COUNTIFS(U255,"&lt;="&amp;$D$1)*20%)</f>
        <v>1</v>
      </c>
      <c r="H255" s="125">
        <f t="shared" si="434"/>
        <v>0.7</v>
      </c>
      <c r="I255" s="125">
        <f t="shared" ref="I255" si="440">H255-F255</f>
        <v>-0.30000000000000004</v>
      </c>
      <c r="J255" s="81">
        <v>0.1</v>
      </c>
      <c r="K255" s="74">
        <v>46185</v>
      </c>
      <c r="L255" s="74">
        <f t="shared" ref="L255" si="441">K255</f>
        <v>46185</v>
      </c>
      <c r="M255" s="72">
        <v>46185</v>
      </c>
      <c r="N255" s="74">
        <f t="shared" ref="N255" si="442">K255+42</f>
        <v>46227</v>
      </c>
      <c r="O255" s="74">
        <f t="shared" ref="O255" si="443">N255</f>
        <v>46227</v>
      </c>
      <c r="P255" s="74">
        <v>46255</v>
      </c>
      <c r="Q255" s="74">
        <f t="shared" ref="Q255" si="444">N255+42</f>
        <v>46269</v>
      </c>
      <c r="R255" s="74">
        <f t="shared" ref="R255" si="445">Q255</f>
        <v>46269</v>
      </c>
      <c r="S255" s="74"/>
      <c r="T255" s="74">
        <f t="shared" ref="T255" si="446">Q255+14</f>
        <v>46283</v>
      </c>
      <c r="U255" s="74">
        <f t="shared" ref="U255" si="447">T255</f>
        <v>46283</v>
      </c>
      <c r="V255" s="74"/>
      <c r="W255" s="204"/>
      <c r="Y255" s="175" t="str">
        <f t="shared" ca="1" si="430"/>
        <v>Completed</v>
      </c>
      <c r="Z255" s="175" t="str">
        <f t="shared" ca="1" si="431"/>
        <v>Completed</v>
      </c>
      <c r="AA255" s="175" t="str">
        <f t="shared" ca="1" si="432"/>
        <v>Overdue</v>
      </c>
      <c r="AB255" s="176" t="str">
        <f t="shared" ca="1" si="433"/>
        <v>Overdue</v>
      </c>
    </row>
    <row r="256" spans="1:28" s="64" customFormat="1" ht="10.5" hidden="1" customHeight="1" x14ac:dyDescent="0.25">
      <c r="A256" s="70" t="s">
        <v>61</v>
      </c>
      <c r="B256" s="70" t="s">
        <v>58</v>
      </c>
      <c r="C256" s="70" t="s">
        <v>85</v>
      </c>
      <c r="D256" s="75" t="s">
        <v>231</v>
      </c>
      <c r="E256" s="75" t="s">
        <v>59</v>
      </c>
      <c r="F256" s="116">
        <f t="shared" ref="F256:G259" si="448">(COUNTIFS(K256,"&lt;="&amp;$D$1)*50%)+(COUNTIFS(N256,"&lt;="&amp;$D$1)*20%)+(COUNTIFS(Q256,"&lt;="&amp;$D$1)*10%)+(COUNTIFS(T256,"&lt;="&amp;$D$1)*20%)</f>
        <v>0</v>
      </c>
      <c r="G256" s="116">
        <f t="shared" si="448"/>
        <v>0</v>
      </c>
      <c r="H256" s="116">
        <f t="shared" si="434"/>
        <v>0</v>
      </c>
      <c r="I256" s="116">
        <f t="shared" ref="I256:I258" si="449">H256-F256</f>
        <v>0</v>
      </c>
      <c r="J256" s="89">
        <v>1.5</v>
      </c>
      <c r="K256" s="72"/>
      <c r="L256" s="72"/>
      <c r="M256" s="76"/>
      <c r="N256" s="72"/>
      <c r="O256" s="72"/>
      <c r="P256" s="76"/>
      <c r="Q256" s="72"/>
      <c r="R256" s="72"/>
      <c r="S256" s="76"/>
      <c r="T256" s="72"/>
      <c r="U256" s="72"/>
      <c r="V256" s="72"/>
      <c r="W256" s="204"/>
      <c r="Y256" s="175" t="str">
        <f ca="1">IF(OR(M258&lt;&gt;""),"Completed",
IF(L258="","",IF(L258&lt;TODAY(),"Overdue",
IF(AND(L258&gt;=TODAY()-WEEKDAY(TODAY(),2)+1,L258&lt;=TODAY()-WEEKDAY(TODAY(),2)+7),"Follow-This Week",
IF(AND(L258&gt;=TODAY()-WEEKDAY(TODAY(),2)+8,L258&lt;=TODAY()-WEEKDAY(TODAY(),2)+14),"Follow-Next Week","")))))</f>
        <v/>
      </c>
      <c r="Z256" s="175" t="str">
        <f ca="1">IF(OR(P258&lt;&gt;""),"Completed",IF(O258="","",
IF(O258&lt;TODAY(),"Overdue",
IF(AND(O258&gt;=TODAY()-WEEKDAY(TODAY(),2)+1,O258&lt;=TODAY()-WEEKDAY(TODAY(),2)+7),"Follow-This Week",
IF(AND(O258&gt;=TODAY()-WEEKDAY(TODAY(),2)+8,O258&lt;=TODAY()-WEEKDAY(TODAY(),2)+14),"Follow-Next Week","")))))</f>
        <v/>
      </c>
      <c r="AA256" s="175" t="str">
        <f ca="1">IF(OR(S258&lt;&gt;""),"Completed",IF(R258="","",
IF(R258&lt;TODAY(),"Overdue",
IF(AND(R258&gt;=TODAY()-WEEKDAY(TODAY(),2)+1,R258&lt;=TODAY()-WEEKDAY(TODAY(),2)+7),"Follow-This Week",
IF(AND(R258&gt;=TODAY()-WEEKDAY(TODAY(),2)+8,R258&lt;=TODAY()-WEEKDAY(TODAY(),2)+14),"Follow-Next Week","")))))</f>
        <v/>
      </c>
      <c r="AB256" s="176" t="str">
        <f ca="1">IF(OR(V258&lt;&gt;""),"Completed",IF(U258="","",
IF(U258&lt;TODAY(),"Overdue",
IF(AND(U258&gt;=TODAY()-WEEKDAY(TODAY(),2)+1,U258&lt;=TODAY()-WEEKDAY(TODAY(),2)+7),"Follow-This Week",
IF(AND(U258&gt;=TODAY()-WEEKDAY(TODAY(),2)+8,U258&lt;=TODAY()-WEEKDAY(TODAY(),2)+14),"Follow-Next Week","")))))</f>
        <v/>
      </c>
    </row>
    <row r="257" spans="1:28" s="64" customFormat="1" ht="10.5" hidden="1" customHeight="1" x14ac:dyDescent="0.25">
      <c r="A257" s="70" t="s">
        <v>61</v>
      </c>
      <c r="B257" s="70" t="s">
        <v>58</v>
      </c>
      <c r="C257" s="80" t="s">
        <v>85</v>
      </c>
      <c r="D257" s="75" t="s">
        <v>232</v>
      </c>
      <c r="E257" s="75" t="s">
        <v>59</v>
      </c>
      <c r="F257" s="116">
        <f t="shared" si="448"/>
        <v>0</v>
      </c>
      <c r="G257" s="116">
        <f t="shared" si="448"/>
        <v>0</v>
      </c>
      <c r="H257" s="116">
        <f t="shared" si="434"/>
        <v>0</v>
      </c>
      <c r="I257" s="116">
        <f t="shared" si="449"/>
        <v>0</v>
      </c>
      <c r="J257" s="89">
        <v>1.5</v>
      </c>
      <c r="K257" s="72"/>
      <c r="L257" s="72"/>
      <c r="M257" s="76"/>
      <c r="N257" s="72"/>
      <c r="O257" s="72"/>
      <c r="P257" s="76"/>
      <c r="Q257" s="72"/>
      <c r="R257" s="72"/>
      <c r="S257" s="76"/>
      <c r="T257" s="72"/>
      <c r="U257" s="72"/>
      <c r="V257" s="72"/>
      <c r="W257" s="204"/>
      <c r="Y257" s="175" t="str">
        <f ca="1">IF(OR(M259&lt;&gt;""),"Completed",
IF(L259="","",IF(L259&lt;TODAY(),"Overdue",
IF(AND(L259&gt;=TODAY()-WEEKDAY(TODAY(),2)+1,L259&lt;=TODAY()-WEEKDAY(TODAY(),2)+7),"Follow-This Week",
IF(AND(L259&gt;=TODAY()-WEEKDAY(TODAY(),2)+8,L259&lt;=TODAY()-WEEKDAY(TODAY(),2)+14),"Follow-Next Week","")))))</f>
        <v/>
      </c>
      <c r="Z257" s="175" t="str">
        <f ca="1">IF(OR(P259&lt;&gt;""),"Completed",IF(O259="","",
IF(O259&lt;TODAY(),"Overdue",
IF(AND(O259&gt;=TODAY()-WEEKDAY(TODAY(),2)+1,O259&lt;=TODAY()-WEEKDAY(TODAY(),2)+7),"Follow-This Week",
IF(AND(O259&gt;=TODAY()-WEEKDAY(TODAY(),2)+8,O259&lt;=TODAY()-WEEKDAY(TODAY(),2)+14),"Follow-Next Week","")))))</f>
        <v/>
      </c>
      <c r="AA257" s="175" t="str">
        <f ca="1">IF(OR(S259&lt;&gt;""),"Completed",IF(R259="","",
IF(R259&lt;TODAY(),"Overdue",
IF(AND(R259&gt;=TODAY()-WEEKDAY(TODAY(),2)+1,R259&lt;=TODAY()-WEEKDAY(TODAY(),2)+7),"Follow-This Week",
IF(AND(R259&gt;=TODAY()-WEEKDAY(TODAY(),2)+8,R259&lt;=TODAY()-WEEKDAY(TODAY(),2)+14),"Follow-Next Week","")))))</f>
        <v/>
      </c>
      <c r="AB257" s="176" t="str">
        <f ca="1">IF(OR(V259&lt;&gt;""),"Completed",IF(U259="","",
IF(U259&lt;TODAY(),"Overdue",
IF(AND(U259&gt;=TODAY()-WEEKDAY(TODAY(),2)+1,U259&lt;=TODAY()-WEEKDAY(TODAY(),2)+7),"Follow-This Week",
IF(AND(U259&gt;=TODAY()-WEEKDAY(TODAY(),2)+8,U259&lt;=TODAY()-WEEKDAY(TODAY(),2)+14),"Follow-Next Week","")))))</f>
        <v/>
      </c>
    </row>
    <row r="258" spans="1:28" s="64" customFormat="1" ht="10.5" hidden="1" customHeight="1" x14ac:dyDescent="0.25">
      <c r="A258" s="70" t="s">
        <v>61</v>
      </c>
      <c r="B258" s="70" t="s">
        <v>58</v>
      </c>
      <c r="C258" s="70" t="s">
        <v>85</v>
      </c>
      <c r="D258" s="75" t="s">
        <v>233</v>
      </c>
      <c r="E258" s="75" t="s">
        <v>59</v>
      </c>
      <c r="F258" s="116">
        <f t="shared" si="448"/>
        <v>0</v>
      </c>
      <c r="G258" s="116">
        <f t="shared" si="448"/>
        <v>0</v>
      </c>
      <c r="H258" s="116">
        <f t="shared" si="434"/>
        <v>0</v>
      </c>
      <c r="I258" s="116">
        <f t="shared" si="449"/>
        <v>0</v>
      </c>
      <c r="J258" s="89">
        <v>1.5</v>
      </c>
      <c r="K258" s="72"/>
      <c r="L258" s="72"/>
      <c r="M258" s="76"/>
      <c r="N258" s="72"/>
      <c r="O258" s="72"/>
      <c r="P258" s="76"/>
      <c r="Q258" s="72"/>
      <c r="R258" s="72"/>
      <c r="S258" s="76"/>
      <c r="T258" s="72"/>
      <c r="U258" s="72"/>
      <c r="V258" s="72"/>
      <c r="W258" s="204"/>
      <c r="Y258" s="175" t="str">
        <f ca="1">IF(OR(M260&lt;&gt;""),"Completed",
IF(L260="","",IF(L260&lt;TODAY(),"Overdue",
IF(AND(L260&gt;=TODAY()-WEEKDAY(TODAY(),2)+1,L260&lt;=TODAY()-WEEKDAY(TODAY(),2)+7),"Follow-This Week",
IF(AND(L260&gt;=TODAY()-WEEKDAY(TODAY(),2)+8,L260&lt;=TODAY()-WEEKDAY(TODAY(),2)+14),"Follow-Next Week","")))))</f>
        <v/>
      </c>
      <c r="Z258" s="175" t="str">
        <f ca="1">IF(OR(P260&lt;&gt;""),"Completed",IF(O260="","",
IF(O260&lt;TODAY(),"Overdue",
IF(AND(O260&gt;=TODAY()-WEEKDAY(TODAY(),2)+1,O260&lt;=TODAY()-WEEKDAY(TODAY(),2)+7),"Follow-This Week",
IF(AND(O260&gt;=TODAY()-WEEKDAY(TODAY(),2)+8,O260&lt;=TODAY()-WEEKDAY(TODAY(),2)+14),"Follow-Next Week","")))))</f>
        <v/>
      </c>
      <c r="AA258" s="175" t="str">
        <f ca="1">IF(OR(S260&lt;&gt;""),"Completed",IF(R260="","",
IF(R260&lt;TODAY(),"Overdue",
IF(AND(R260&gt;=TODAY()-WEEKDAY(TODAY(),2)+1,R260&lt;=TODAY()-WEEKDAY(TODAY(),2)+7),"Follow-This Week",
IF(AND(R260&gt;=TODAY()-WEEKDAY(TODAY(),2)+8,R260&lt;=TODAY()-WEEKDAY(TODAY(),2)+14),"Follow-Next Week","")))))</f>
        <v/>
      </c>
      <c r="AB258" s="176" t="str">
        <f ca="1">IF(OR(V260&lt;&gt;""),"Completed",IF(U260="","",
IF(U260&lt;TODAY(),"Overdue",
IF(AND(U260&gt;=TODAY()-WEEKDAY(TODAY(),2)+1,U260&lt;=TODAY()-WEEKDAY(TODAY(),2)+7),"Follow-This Week",
IF(AND(U260&gt;=TODAY()-WEEKDAY(TODAY(),2)+8,U260&lt;=TODAY()-WEEKDAY(TODAY(),2)+14),"Follow-Next Week","")))))</f>
        <v/>
      </c>
    </row>
    <row r="259" spans="1:28" s="64" customFormat="1" ht="10.5" hidden="1" customHeight="1" thickBot="1" x14ac:dyDescent="0.3">
      <c r="A259" s="70" t="s">
        <v>61</v>
      </c>
      <c r="B259" s="70" t="s">
        <v>58</v>
      </c>
      <c r="C259" s="80" t="s">
        <v>85</v>
      </c>
      <c r="D259" s="75" t="s">
        <v>234</v>
      </c>
      <c r="E259" s="75" t="s">
        <v>59</v>
      </c>
      <c r="F259" s="116">
        <f t="shared" si="448"/>
        <v>0</v>
      </c>
      <c r="G259" s="116">
        <f t="shared" si="448"/>
        <v>0</v>
      </c>
      <c r="H259" s="116">
        <f t="shared" si="434"/>
        <v>0</v>
      </c>
      <c r="I259" s="116">
        <f t="shared" ref="I259" si="450">H259-F259</f>
        <v>0</v>
      </c>
      <c r="J259" s="90">
        <v>1.5</v>
      </c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204"/>
      <c r="Y259" s="177" t="str">
        <f ca="1">IF(OR(M261&lt;&gt;""),"Completed",
IF(L261="","",IF(L261&lt;TODAY(),"Overdue",
IF(AND(L261&gt;=TODAY()-WEEKDAY(TODAY(),2)+1,L261&lt;=TODAY()-WEEKDAY(TODAY(),2)+7),"Follow-This Week",
IF(AND(L261&gt;=TODAY()-WEEKDAY(TODAY(),2)+8,L261&lt;=TODAY()-WEEKDAY(TODAY(),2)+14),"Follow-Next Week","")))))</f>
        <v/>
      </c>
      <c r="Z259" s="177" t="str">
        <f ca="1">IF(OR(P261&lt;&gt;""),"Completed",IF(O261="","",
IF(O261&lt;TODAY(),"Overdue",
IF(AND(O261&gt;=TODAY()-WEEKDAY(TODAY(),2)+1,O261&lt;=TODAY()-WEEKDAY(TODAY(),2)+7),"Follow-This Week",
IF(AND(O261&gt;=TODAY()-WEEKDAY(TODAY(),2)+8,O261&lt;=TODAY()-WEEKDAY(TODAY(),2)+14),"Follow-Next Week","")))))</f>
        <v/>
      </c>
      <c r="AA259" s="177" t="str">
        <f ca="1">IF(OR(S261&lt;&gt;""),"Completed",IF(R261="","",
IF(R261&lt;TODAY(),"Overdue",
IF(AND(R261&gt;=TODAY()-WEEKDAY(TODAY(),2)+1,R261&lt;=TODAY()-WEEKDAY(TODAY(),2)+7),"Follow-This Week",
IF(AND(R261&gt;=TODAY()-WEEKDAY(TODAY(),2)+8,R261&lt;=TODAY()-WEEKDAY(TODAY(),2)+14),"Follow-Next Week","")))))</f>
        <v/>
      </c>
      <c r="AB259" s="178" t="str">
        <f ca="1">IF(OR(V261&lt;&gt;""),"Completed",IF(U261="","",
IF(U261&lt;TODAY(),"Overdue",
IF(AND(U261&gt;=TODAY()-WEEKDAY(TODAY(),2)+1,U261&lt;=TODAY()-WEEKDAY(TODAY(),2)+7),"Follow-This Week",
IF(AND(U261&gt;=TODAY()-WEEKDAY(TODAY(),2)+8,U261&lt;=TODAY()-WEEKDAY(TODAY(),2)+14),"Follow-Next Week","")))))</f>
        <v/>
      </c>
    </row>
    <row r="260" spans="1:28" s="64" customFormat="1" ht="10.5" hidden="1" customHeight="1" x14ac:dyDescent="0.35">
      <c r="C260" s="108"/>
      <c r="D260" s="108"/>
      <c r="E260" s="77" t="s">
        <v>37</v>
      </c>
      <c r="F260" s="116"/>
      <c r="G260" s="116"/>
      <c r="H260" s="116"/>
      <c r="I260" s="116"/>
      <c r="J260" s="126">
        <f>SUM(J4:J259)</f>
        <v>100.00000000000001</v>
      </c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204"/>
      <c r="Y260" s="168"/>
      <c r="Z260"/>
      <c r="AA260"/>
      <c r="AB260"/>
    </row>
  </sheetData>
  <autoFilter ref="A3:W260" xr:uid="{5A1295D6-99E8-46B3-B573-A79B1DC59D48}">
    <filterColumn colId="10">
      <customFilters>
        <customFilter operator="notEqual" val=" "/>
      </customFilters>
    </filterColumn>
  </autoFilter>
  <mergeCells count="5">
    <mergeCell ref="Y2:AB2"/>
    <mergeCell ref="K2:M2"/>
    <mergeCell ref="N2:P2"/>
    <mergeCell ref="Q2:S2"/>
    <mergeCell ref="T2:V2"/>
  </mergeCells>
  <phoneticPr fontId="27" type="noConversion"/>
  <conditionalFormatting sqref="K15:K17">
    <cfRule type="expression" dxfId="268" priority="510">
      <formula>"if $G$4&gt;$C$1 and $H$4 is ""null"""</formula>
    </cfRule>
    <cfRule type="expression" dxfId="267" priority="509">
      <formula>"if $C$1&lt;"</formula>
    </cfRule>
    <cfRule type="cellIs" dxfId="266" priority="508" operator="equal">
      <formula>45443</formula>
    </cfRule>
  </conditionalFormatting>
  <conditionalFormatting sqref="K124:K126">
    <cfRule type="expression" dxfId="265" priority="838">
      <formula>"if $G$4&gt;$C$1 and $H$4 is ""null"""</formula>
    </cfRule>
    <cfRule type="cellIs" dxfId="264" priority="837" operator="equal">
      <formula>45443</formula>
    </cfRule>
  </conditionalFormatting>
  <conditionalFormatting sqref="K212:K252">
    <cfRule type="expression" dxfId="263" priority="51">
      <formula>"if $C$1&lt;"</formula>
    </cfRule>
  </conditionalFormatting>
  <conditionalFormatting sqref="K4:L7 O4:O7 O9:O10 R4:R7 R9:R10 U4:U7 U9:U10 K8:K10 L9:L10">
    <cfRule type="expression" dxfId="262" priority="152">
      <formula>"if $C$1&lt;"</formula>
    </cfRule>
  </conditionalFormatting>
  <conditionalFormatting sqref="K9:L14">
    <cfRule type="cellIs" dxfId="261" priority="53" operator="equal">
      <formula>45443</formula>
    </cfRule>
    <cfRule type="expression" dxfId="260" priority="54">
      <formula>"if $G$4&gt;$C$1 and $H$4 is ""null"""</formula>
    </cfRule>
  </conditionalFormatting>
  <conditionalFormatting sqref="K69:L189 K253:L260 O11:O14 R11:R14 U11:U14 U18:U19 K18:L53 O18:O53 R18:R53 T20:U52 U53 T53:T85 K55:L55 O55 R55 U55 O60 R60 O62 R62 O64 R64 O66 R66 O68:O194 R68:R194 L190:L194 L247:L252 O247:O255 R247:R255 N256:O259 Q256:R259 U60 U62 U64 U66 U68:U194 U247:U259 K11:L14 K54 K56:K68 K190:K198">
    <cfRule type="expression" dxfId="259" priority="948">
      <formula>"if $C$1&lt;"</formula>
    </cfRule>
  </conditionalFormatting>
  <conditionalFormatting sqref="K254:L255">
    <cfRule type="expression" dxfId="258" priority="542">
      <formula>"if $G$4&gt;$C$1 and $H$4 is ""null"""</formula>
    </cfRule>
    <cfRule type="cellIs" dxfId="257" priority="540" operator="equal">
      <formula>45443</formula>
    </cfRule>
  </conditionalFormatting>
  <conditionalFormatting sqref="L5:L7">
    <cfRule type="expression" dxfId="256" priority="153">
      <formula>"if $G$4&gt;$C$1 and $H$4 is ""null"""</formula>
    </cfRule>
  </conditionalFormatting>
  <conditionalFormatting sqref="L15:L17">
    <cfRule type="expression" dxfId="255" priority="506">
      <formula>"if $C$1&lt;"</formula>
    </cfRule>
  </conditionalFormatting>
  <conditionalFormatting sqref="L15:L53 P259 O68:O194 O247:O259 O11:O53 R68:R194 R247:R260 R11:R53 U11:U19 T20:U52 U53 T53:T85 L55 O55 R55 U55 O60 R60 O62 R62 O64 R64 O66:P66 R66 L69:L194 L247:L1048576 O260:P1048576">
    <cfRule type="cellIs" dxfId="254" priority="523" operator="equal">
      <formula>45443</formula>
    </cfRule>
  </conditionalFormatting>
  <conditionalFormatting sqref="L196:L197 L198:M198 K199:L200 K201:K209">
    <cfRule type="cellIs" dxfId="253" priority="260" operator="equal">
      <formula>45443</formula>
    </cfRule>
    <cfRule type="expression" dxfId="252" priority="262">
      <formula>"if $G$4&gt;$C$1 and $H$4 is ""null"""</formula>
    </cfRule>
    <cfRule type="expression" dxfId="251" priority="261">
      <formula>"if $C$1&lt;"</formula>
    </cfRule>
  </conditionalFormatting>
  <conditionalFormatting sqref="L204">
    <cfRule type="expression" dxfId="250" priority="800">
      <formula>"if $G$4&gt;$C$1 and $H$4 is ""null"""</formula>
    </cfRule>
    <cfRule type="cellIs" dxfId="249" priority="798" operator="equal">
      <formula>45443</formula>
    </cfRule>
    <cfRule type="expression" dxfId="248" priority="799">
      <formula>"if $C$1&lt;"</formula>
    </cfRule>
  </conditionalFormatting>
  <conditionalFormatting sqref="L206:L209 K210:L211 L212">
    <cfRule type="expression" dxfId="247" priority="856">
      <formula>"if $C$1&lt;"</formula>
    </cfRule>
  </conditionalFormatting>
  <conditionalFormatting sqref="L206:L212">
    <cfRule type="expression" dxfId="246" priority="857">
      <formula>"if $G$4&gt;$C$1 and $H$4 is ""null"""</formula>
    </cfRule>
    <cfRule type="cellIs" dxfId="245" priority="855" operator="equal">
      <formula>45443</formula>
    </cfRule>
  </conditionalFormatting>
  <conditionalFormatting sqref="L219:L220 L228:L229 L232:L233 L236:L237">
    <cfRule type="expression" dxfId="244" priority="793">
      <formula>"if $G$4&gt;$C$1 and $H$4 is ""null"""</formula>
    </cfRule>
    <cfRule type="cellIs" dxfId="243" priority="791" operator="equal">
      <formula>45443</formula>
    </cfRule>
  </conditionalFormatting>
  <conditionalFormatting sqref="L219:L220 L232:L233 L236:L237">
    <cfRule type="expression" dxfId="242" priority="869">
      <formula>"if $C$1&lt;"</formula>
    </cfRule>
  </conditionalFormatting>
  <conditionalFormatting sqref="L223:L225">
    <cfRule type="expression" dxfId="241" priority="52">
      <formula>"if $C$1&lt;"</formula>
    </cfRule>
    <cfRule type="cellIs" dxfId="240" priority="49" operator="equal">
      <formula>45443</formula>
    </cfRule>
    <cfRule type="expression" dxfId="239" priority="50">
      <formula>"if $G$4&gt;$C$1 and $H$4 is ""null"""</formula>
    </cfRule>
  </conditionalFormatting>
  <conditionalFormatting sqref="L228:L229">
    <cfRule type="expression" dxfId="238" priority="792">
      <formula>"if $C$1&lt;"</formula>
    </cfRule>
  </conditionalFormatting>
  <conditionalFormatting sqref="L247:L260 O60 R60 O62 R62 O64 R64 O66 R66 O68:O85 R68:R85 L69:L85 O247:O259 R247:R259">
    <cfRule type="expression" dxfId="237" priority="870">
      <formula>"if $G$4&gt;$C$1 and $H$4 is ""null"""</formula>
    </cfRule>
  </conditionalFormatting>
  <conditionalFormatting sqref="M7:M9">
    <cfRule type="cellIs" dxfId="236" priority="128" operator="equal">
      <formula>45443</formula>
    </cfRule>
  </conditionalFormatting>
  <conditionalFormatting sqref="M22:M24">
    <cfRule type="cellIs" dxfId="235" priority="188" operator="equal">
      <formula>45443</formula>
    </cfRule>
    <cfRule type="expression" dxfId="234" priority="189">
      <formula>"if $C$1&lt;"</formula>
    </cfRule>
    <cfRule type="expression" dxfId="233" priority="190">
      <formula>"if $G$4&gt;$C$1 and $H$4 is ""null"""</formula>
    </cfRule>
  </conditionalFormatting>
  <conditionalFormatting sqref="M30:M32">
    <cfRule type="cellIs" dxfId="232" priority="173" operator="equal">
      <formula>45443</formula>
    </cfRule>
  </conditionalFormatting>
  <conditionalFormatting sqref="M35:M36">
    <cfRule type="cellIs" dxfId="231" priority="699" operator="equal">
      <formula>45443</formula>
    </cfRule>
  </conditionalFormatting>
  <conditionalFormatting sqref="M53:M58">
    <cfRule type="expression" dxfId="230" priority="186">
      <formula>"if $C$1&lt;"</formula>
    </cfRule>
    <cfRule type="expression" dxfId="229" priority="187">
      <formula>"if $G$4&gt;$C$1 and $H$4 is ""null"""</formula>
    </cfRule>
    <cfRule type="cellIs" dxfId="228" priority="185" operator="equal">
      <formula>45443</formula>
    </cfRule>
  </conditionalFormatting>
  <conditionalFormatting sqref="M60 M62">
    <cfRule type="cellIs" dxfId="227" priority="157" operator="equal">
      <formula>45443</formula>
    </cfRule>
    <cfRule type="expression" dxfId="226" priority="158">
      <formula>"if $C$1&lt;"</formula>
    </cfRule>
    <cfRule type="expression" dxfId="225" priority="159">
      <formula>"if $G$4&gt;$C$1 and $H$4 is ""null"""</formula>
    </cfRule>
  </conditionalFormatting>
  <conditionalFormatting sqref="M69:M85">
    <cfRule type="cellIs" dxfId="224" priority="775" operator="equal">
      <formula>45443</formula>
    </cfRule>
  </conditionalFormatting>
  <conditionalFormatting sqref="M163:M164">
    <cfRule type="cellIs" dxfId="223" priority="182" operator="equal">
      <formula>45443</formula>
    </cfRule>
    <cfRule type="expression" dxfId="222" priority="183">
      <formula>"if $C$1&lt;"</formula>
    </cfRule>
    <cfRule type="expression" dxfId="221" priority="184">
      <formula>"if $G$4&gt;$C$1 and $H$4 is ""null"""</formula>
    </cfRule>
  </conditionalFormatting>
  <conditionalFormatting sqref="M186:M187">
    <cfRule type="expression" dxfId="220" priority="695">
      <formula>"if $G$4&gt;$C$1 and $H$4 is ""null"""</formula>
    </cfRule>
    <cfRule type="expression" dxfId="219" priority="694">
      <formula>"if $C$1&lt;"</formula>
    </cfRule>
    <cfRule type="cellIs" dxfId="218" priority="693" operator="equal">
      <formula>45443</formula>
    </cfRule>
  </conditionalFormatting>
  <conditionalFormatting sqref="M199:M204">
    <cfRule type="cellIs" dxfId="217" priority="179" operator="equal">
      <formula>45443</formula>
    </cfRule>
    <cfRule type="expression" dxfId="216" priority="180">
      <formula>"if $C$1&lt;"</formula>
    </cfRule>
    <cfRule type="expression" dxfId="215" priority="181">
      <formula>"if $G$4&gt;$C$1 and $H$4 is ""null"""</formula>
    </cfRule>
  </conditionalFormatting>
  <conditionalFormatting sqref="M210:M219 M221">
    <cfRule type="expression" dxfId="214" priority="177">
      <formula>"if $C$1&lt;"</formula>
    </cfRule>
    <cfRule type="cellIs" dxfId="213" priority="176" operator="equal">
      <formula>45443</formula>
    </cfRule>
    <cfRule type="expression" dxfId="212" priority="178">
      <formula>"if $G$4&gt;$C$1 and $H$4 is ""null"""</formula>
    </cfRule>
  </conditionalFormatting>
  <conditionalFormatting sqref="M227:M228">
    <cfRule type="cellIs" dxfId="211" priority="1" operator="equal">
      <formula>45443</formula>
    </cfRule>
  </conditionalFormatting>
  <conditionalFormatting sqref="N7:N17">
    <cfRule type="expression" dxfId="210" priority="144">
      <formula>"if $C$1&lt;"</formula>
    </cfRule>
  </conditionalFormatting>
  <conditionalFormatting sqref="N9:N17">
    <cfRule type="cellIs" dxfId="209" priority="143" operator="equal">
      <formula>45443</formula>
    </cfRule>
    <cfRule type="expression" dxfId="208" priority="145">
      <formula>"if $G$4&gt;$C$1 and $H$4 is ""null"""</formula>
    </cfRule>
  </conditionalFormatting>
  <conditionalFormatting sqref="N43:N46 O1:P3">
    <cfRule type="cellIs" dxfId="207" priority="947" operator="equal">
      <formula>45443</formula>
    </cfRule>
  </conditionalFormatting>
  <conditionalFormatting sqref="N43:N46">
    <cfRule type="expression" dxfId="206" priority="896">
      <formula>"if $G$4&gt;$C$1 and $H$4 is ""null"""</formula>
    </cfRule>
    <cfRule type="expression" dxfId="205" priority="895">
      <formula>"if $C$1&lt;"</formula>
    </cfRule>
  </conditionalFormatting>
  <conditionalFormatting sqref="N86:N101">
    <cfRule type="expression" dxfId="204" priority="288">
      <formula>"if $C$1&lt;"</formula>
    </cfRule>
  </conditionalFormatting>
  <conditionalFormatting sqref="O4:O7 L1:L7 P7:P9">
    <cfRule type="cellIs" dxfId="203" priority="151" operator="equal">
      <formula>45443</formula>
    </cfRule>
  </conditionalFormatting>
  <conditionalFormatting sqref="O4:O7">
    <cfRule type="expression" dxfId="202" priority="142">
      <formula>"if $G$4&gt;$C$1 and $H$4 is ""null"""</formula>
    </cfRule>
  </conditionalFormatting>
  <conditionalFormatting sqref="O9:O10">
    <cfRule type="expression" dxfId="201" priority="141">
      <formula>"if $G$4&gt;$C$1 and $H$4 is ""null"""</formula>
    </cfRule>
    <cfRule type="cellIs" dxfId="200" priority="140" operator="equal">
      <formula>45443</formula>
    </cfRule>
  </conditionalFormatting>
  <conditionalFormatting sqref="O15:O17">
    <cfRule type="expression" dxfId="199" priority="247">
      <formula>"if $C$1&lt;"</formula>
    </cfRule>
  </conditionalFormatting>
  <conditionalFormatting sqref="O102:O194">
    <cfRule type="expression" dxfId="198" priority="259">
      <formula>"if $G$4&gt;$C$1 and $H$4 is ""null"""</formula>
    </cfRule>
  </conditionalFormatting>
  <conditionalFormatting sqref="O196:O200">
    <cfRule type="cellIs" dxfId="197" priority="244" operator="equal">
      <formula>45443</formula>
    </cfRule>
    <cfRule type="expression" dxfId="196" priority="245">
      <formula>"if $C$1&lt;"</formula>
    </cfRule>
    <cfRule type="expression" dxfId="195" priority="246">
      <formula>"if $G$4&gt;$C$1 and $H$4 is ""null"""</formula>
    </cfRule>
  </conditionalFormatting>
  <conditionalFormatting sqref="O204 O206:O212">
    <cfRule type="expression" dxfId="194" priority="254">
      <formula>"if $C$1&lt;"</formula>
    </cfRule>
    <cfRule type="cellIs" dxfId="193" priority="253" operator="equal">
      <formula>45443</formula>
    </cfRule>
    <cfRule type="expression" dxfId="192" priority="255">
      <formula>"if $G$4&gt;$C$1 and $H$4 is ""null"""</formula>
    </cfRule>
  </conditionalFormatting>
  <conditionalFormatting sqref="O219:O220 O228:O229 O232:O233 O236:O237">
    <cfRule type="expression" dxfId="191" priority="256">
      <formula>"if $C$1&lt;"</formula>
    </cfRule>
    <cfRule type="expression" dxfId="190" priority="251">
      <formula>"if $G$4&gt;$C$1 and $H$4 is ""null"""</formula>
    </cfRule>
    <cfRule type="cellIs" dxfId="189" priority="250" operator="equal">
      <formula>45443</formula>
    </cfRule>
  </conditionalFormatting>
  <conditionalFormatting sqref="O223:O225">
    <cfRule type="cellIs" dxfId="188" priority="46" operator="equal">
      <formula>45443</formula>
    </cfRule>
    <cfRule type="expression" dxfId="187" priority="47">
      <formula>"if $G$4&gt;$C$1 and $H$4 is ""null"""</formula>
    </cfRule>
    <cfRule type="expression" dxfId="186" priority="48">
      <formula>"if $C$1&lt;"</formula>
    </cfRule>
  </conditionalFormatting>
  <conditionalFormatting sqref="O254:O255">
    <cfRule type="expression" dxfId="185" priority="249">
      <formula>"if $G$4&gt;$C$1 and $H$4 is ""null"""</formula>
    </cfRule>
    <cfRule type="cellIs" dxfId="184" priority="248" operator="equal">
      <formula>45443</formula>
    </cfRule>
  </conditionalFormatting>
  <conditionalFormatting sqref="P18:P19">
    <cfRule type="expression" dxfId="183" priority="107">
      <formula>"if $G$4&gt;$C$1 and $H$4 is ""null"""</formula>
    </cfRule>
    <cfRule type="cellIs" dxfId="182" priority="108" operator="equal">
      <formula>45443</formula>
    </cfRule>
    <cfRule type="expression" dxfId="181" priority="106">
      <formula>"if $C$1&lt;"</formula>
    </cfRule>
  </conditionalFormatting>
  <conditionalFormatting sqref="P22:P25">
    <cfRule type="expression" dxfId="180" priority="103">
      <formula>"if $C$1&lt;"</formula>
    </cfRule>
    <cfRule type="expression" dxfId="179" priority="104">
      <formula>"if $G$4&gt;$C$1 and $H$4 is ""null"""</formula>
    </cfRule>
  </conditionalFormatting>
  <conditionalFormatting sqref="P22:P27">
    <cfRule type="cellIs" dxfId="178" priority="105" operator="equal">
      <formula>45443</formula>
    </cfRule>
  </conditionalFormatting>
  <conditionalFormatting sqref="P30:P35 P39 P41:P42 P46 P49:P52 P63:P85">
    <cfRule type="cellIs" dxfId="177" priority="154" operator="equal">
      <formula>45443</formula>
    </cfRule>
  </conditionalFormatting>
  <conditionalFormatting sqref="P57:P58">
    <cfRule type="cellIs" dxfId="176" priority="102" operator="equal">
      <formula>45443</formula>
    </cfRule>
    <cfRule type="expression" dxfId="175" priority="100">
      <formula>"if $C$1&lt;"</formula>
    </cfRule>
    <cfRule type="expression" dxfId="174" priority="101">
      <formula>"if $G$4&gt;$C$1 and $H$4 is ""null"""</formula>
    </cfRule>
  </conditionalFormatting>
  <conditionalFormatting sqref="P89">
    <cfRule type="cellIs" dxfId="173" priority="160" operator="equal">
      <formula>45443</formula>
    </cfRule>
  </conditionalFormatting>
  <conditionalFormatting sqref="P91 P94 P106:P108">
    <cfRule type="cellIs" dxfId="172" priority="515" operator="equal">
      <formula>45443</formula>
    </cfRule>
  </conditionalFormatting>
  <conditionalFormatting sqref="P96:P98">
    <cfRule type="cellIs" dxfId="171" priority="58" operator="equal">
      <formula>45443</formula>
    </cfRule>
  </conditionalFormatting>
  <conditionalFormatting sqref="P98">
    <cfRule type="expression" dxfId="170" priority="56">
      <formula>"if $C$1&lt;"</formula>
    </cfRule>
    <cfRule type="expression" dxfId="169" priority="57">
      <formula>"if $G$4&gt;$C$1 and $H$4 is ""null"""</formula>
    </cfRule>
  </conditionalFormatting>
  <conditionalFormatting sqref="P101:P102">
    <cfRule type="expression" dxfId="168" priority="65">
      <formula>"if $C$1&lt;"</formula>
    </cfRule>
    <cfRule type="expression" dxfId="167" priority="66">
      <formula>"if $G$4&gt;$C$1 and $H$4 is ""null"""</formula>
    </cfRule>
    <cfRule type="cellIs" dxfId="166" priority="67" operator="equal">
      <formula>45443</formula>
    </cfRule>
  </conditionalFormatting>
  <conditionalFormatting sqref="P143:P154 P177 P179:P185">
    <cfRule type="cellIs" dxfId="165" priority="698" operator="equal">
      <formula>45443</formula>
    </cfRule>
    <cfRule type="expression" dxfId="164" priority="670">
      <formula>"if $C$1&lt;"</formula>
    </cfRule>
    <cfRule type="expression" dxfId="163" priority="671">
      <formula>"if $G$4&gt;$C$1 and $H$4 is ""null"""</formula>
    </cfRule>
  </conditionalFormatting>
  <conditionalFormatting sqref="P165:P175">
    <cfRule type="expression" dxfId="162" priority="30">
      <formula>"if $C$1&lt;"</formula>
    </cfRule>
    <cfRule type="expression" dxfId="161" priority="31">
      <formula>"if $G$4&gt;$C$1 and $H$4 is ""null"""</formula>
    </cfRule>
  </conditionalFormatting>
  <conditionalFormatting sqref="P165:P176">
    <cfRule type="cellIs" dxfId="160" priority="32" operator="equal">
      <formula>45443</formula>
    </cfRule>
  </conditionalFormatting>
  <conditionalFormatting sqref="P178">
    <cfRule type="cellIs" dxfId="159" priority="174" operator="equal">
      <formula>45443</formula>
    </cfRule>
  </conditionalFormatting>
  <conditionalFormatting sqref="P186:P205">
    <cfRule type="cellIs" dxfId="158" priority="29" operator="equal">
      <formula>45443</formula>
    </cfRule>
  </conditionalFormatting>
  <conditionalFormatting sqref="P188:P197">
    <cfRule type="expression" dxfId="157" priority="27">
      <formula>"if $C$1&lt;"</formula>
    </cfRule>
    <cfRule type="expression" dxfId="156" priority="28">
      <formula>"if $G$4&gt;$C$1 and $H$4 is ""null"""</formula>
    </cfRule>
  </conditionalFormatting>
  <conditionalFormatting sqref="P206">
    <cfRule type="expression" dxfId="155" priority="24">
      <formula>"if $C$1&lt;"</formula>
    </cfRule>
    <cfRule type="expression" dxfId="154" priority="25">
      <formula>"if $G$4&gt;$C$1 and $H$4 is ""null"""</formula>
    </cfRule>
    <cfRule type="cellIs" dxfId="153" priority="26" operator="equal">
      <formula>45443</formula>
    </cfRule>
  </conditionalFormatting>
  <conditionalFormatting sqref="P227:P228 P241:P242 P248 S249:S255 S247">
    <cfRule type="cellIs" dxfId="152" priority="610" operator="equal">
      <formula>45443</formula>
    </cfRule>
  </conditionalFormatting>
  <conditionalFormatting sqref="P227:P228 P241:P242 P248 S249:S255">
    <cfRule type="expression" dxfId="151" priority="535">
      <formula>"if $C$1&lt;"</formula>
    </cfRule>
    <cfRule type="expression" dxfId="150" priority="536">
      <formula>"if $G$4&gt;$C$1 and $H$4 is ""null"""</formula>
    </cfRule>
  </conditionalFormatting>
  <conditionalFormatting sqref="P259">
    <cfRule type="expression" dxfId="149" priority="276">
      <formula>"if $G$4&gt;$C$1 and $H$4 is ""null"""</formula>
    </cfRule>
    <cfRule type="expression" dxfId="148" priority="277">
      <formula>"if $C$1&lt;"</formula>
    </cfRule>
  </conditionalFormatting>
  <conditionalFormatting sqref="Q7:Q17">
    <cfRule type="expression" dxfId="147" priority="130">
      <formula>"if $C$1&lt;"</formula>
    </cfRule>
  </conditionalFormatting>
  <conditionalFormatting sqref="Q9:Q17">
    <cfRule type="expression" dxfId="146" priority="131">
      <formula>"if $G$4&gt;$C$1 and $H$4 is ""null"""</formula>
    </cfRule>
    <cfRule type="cellIs" dxfId="145" priority="129" operator="equal">
      <formula>45443</formula>
    </cfRule>
  </conditionalFormatting>
  <conditionalFormatting sqref="Q43:Q46">
    <cfRule type="expression" dxfId="144" priority="206">
      <formula>"if $C$1&lt;"</formula>
    </cfRule>
    <cfRule type="expression" dxfId="143" priority="207">
      <formula>"if $G$4&gt;$C$1 and $H$4 is ""null"""</formula>
    </cfRule>
    <cfRule type="cellIs" dxfId="142" priority="208" operator="equal">
      <formula>45443</formula>
    </cfRule>
  </conditionalFormatting>
  <conditionalFormatting sqref="Q86:Q101">
    <cfRule type="expression" dxfId="141" priority="201">
      <formula>"if $C$1&lt;"</formula>
    </cfRule>
  </conditionalFormatting>
  <conditionalFormatting sqref="R4:R7">
    <cfRule type="expression" dxfId="140" priority="139">
      <formula>"if $G$4&gt;$C$1 and $H$4 is ""null"""</formula>
    </cfRule>
    <cfRule type="cellIs" dxfId="139" priority="138" operator="equal">
      <formula>45443</formula>
    </cfRule>
  </conditionalFormatting>
  <conditionalFormatting sqref="R9:R10">
    <cfRule type="cellIs" dxfId="138" priority="136" operator="equal">
      <formula>45443</formula>
    </cfRule>
    <cfRule type="expression" dxfId="137" priority="137">
      <formula>"if $G$4&gt;$C$1 and $H$4 is ""null"""</formula>
    </cfRule>
  </conditionalFormatting>
  <conditionalFormatting sqref="R15:R17">
    <cfRule type="expression" dxfId="136" priority="230">
      <formula>"if $C$1&lt;"</formula>
    </cfRule>
  </conditionalFormatting>
  <conditionalFormatting sqref="R102:R194">
    <cfRule type="expression" dxfId="135" priority="243">
      <formula>"if $G$4&gt;$C$1 and $H$4 is ""null"""</formula>
    </cfRule>
  </conditionalFormatting>
  <conditionalFormatting sqref="R196:R200">
    <cfRule type="cellIs" dxfId="134" priority="227" operator="equal">
      <formula>45443</formula>
    </cfRule>
    <cfRule type="expression" dxfId="133" priority="229">
      <formula>"if $G$4&gt;$C$1 and $H$4 is ""null"""</formula>
    </cfRule>
    <cfRule type="expression" dxfId="132" priority="228">
      <formula>"if $C$1&lt;"</formula>
    </cfRule>
  </conditionalFormatting>
  <conditionalFormatting sqref="R204 R206:R212">
    <cfRule type="cellIs" dxfId="131" priority="236" operator="equal">
      <formula>45443</formula>
    </cfRule>
    <cfRule type="expression" dxfId="130" priority="237">
      <formula>"if $C$1&lt;"</formula>
    </cfRule>
    <cfRule type="expression" dxfId="129" priority="238">
      <formula>"if $G$4&gt;$C$1 and $H$4 is ""null"""</formula>
    </cfRule>
  </conditionalFormatting>
  <conditionalFormatting sqref="R219:R220 R228:R229 R232:R233 R236:R237">
    <cfRule type="expression" dxfId="128" priority="234">
      <formula>"if $G$4&gt;$C$1 and $H$4 is ""null"""</formula>
    </cfRule>
    <cfRule type="cellIs" dxfId="127" priority="233" operator="equal">
      <formula>45443</formula>
    </cfRule>
    <cfRule type="expression" dxfId="126" priority="239">
      <formula>"if $C$1&lt;"</formula>
    </cfRule>
  </conditionalFormatting>
  <conditionalFormatting sqref="R223:R225">
    <cfRule type="expression" dxfId="125" priority="45">
      <formula>"if $C$1&lt;"</formula>
    </cfRule>
    <cfRule type="cellIs" dxfId="124" priority="43" operator="equal">
      <formula>45443</formula>
    </cfRule>
    <cfRule type="expression" dxfId="123" priority="44">
      <formula>"if $G$4&gt;$C$1 and $H$4 is ""null"""</formula>
    </cfRule>
  </conditionalFormatting>
  <conditionalFormatting sqref="R254:R255">
    <cfRule type="cellIs" dxfId="122" priority="231" operator="equal">
      <formula>45443</formula>
    </cfRule>
    <cfRule type="expression" dxfId="121" priority="232">
      <formula>"if $G$4&gt;$C$1 and $H$4 is ""null"""</formula>
    </cfRule>
  </conditionalFormatting>
  <conditionalFormatting sqref="S18:S19">
    <cfRule type="cellIs" dxfId="120" priority="622" operator="equal">
      <formula>45443</formula>
    </cfRule>
  </conditionalFormatting>
  <conditionalFormatting sqref="S22:S24">
    <cfRule type="cellIs" dxfId="119" priority="14" operator="equal">
      <formula>45443</formula>
    </cfRule>
  </conditionalFormatting>
  <conditionalFormatting sqref="S25">
    <cfRule type="cellIs" dxfId="118" priority="90" operator="equal">
      <formula>45443</formula>
    </cfRule>
    <cfRule type="expression" dxfId="117" priority="89">
      <formula>"if $G$4&gt;$C$1 and $H$4 is ""null"""</formula>
    </cfRule>
    <cfRule type="expression" dxfId="116" priority="88">
      <formula>"if $C$1&lt;"</formula>
    </cfRule>
  </conditionalFormatting>
  <conditionalFormatting sqref="S27">
    <cfRule type="cellIs" dxfId="115" priority="4" operator="equal">
      <formula>45443</formula>
    </cfRule>
  </conditionalFormatting>
  <conditionalFormatting sqref="S32">
    <cfRule type="cellIs" dxfId="114" priority="5" operator="equal">
      <formula>45443</formula>
    </cfRule>
  </conditionalFormatting>
  <conditionalFormatting sqref="S34">
    <cfRule type="cellIs" dxfId="113" priority="3" operator="equal">
      <formula>45443</formula>
    </cfRule>
  </conditionalFormatting>
  <conditionalFormatting sqref="S39:S40">
    <cfRule type="cellIs" dxfId="112" priority="598" operator="equal">
      <formula>45443</formula>
    </cfRule>
  </conditionalFormatting>
  <conditionalFormatting sqref="S42">
    <cfRule type="cellIs" dxfId="111" priority="13" operator="equal">
      <formula>45443</formula>
    </cfRule>
  </conditionalFormatting>
  <conditionalFormatting sqref="S47">
    <cfRule type="cellIs" dxfId="110" priority="618" operator="equal">
      <formula>45443</formula>
    </cfRule>
  </conditionalFormatting>
  <conditionalFormatting sqref="S49:S51">
    <cfRule type="cellIs" dxfId="109" priority="12" operator="equal">
      <formula>45443</formula>
    </cfRule>
  </conditionalFormatting>
  <conditionalFormatting sqref="S85">
    <cfRule type="cellIs" dxfId="108" priority="516" operator="equal">
      <formula>45443</formula>
    </cfRule>
  </conditionalFormatting>
  <conditionalFormatting sqref="S89">
    <cfRule type="expression" dxfId="107" priority="80">
      <formula>"if $C$1&lt;"</formula>
    </cfRule>
    <cfRule type="expression" dxfId="106" priority="81">
      <formula>"if $G$4&gt;$C$1 and $H$4 is ""null"""</formula>
    </cfRule>
    <cfRule type="cellIs" dxfId="105" priority="82" operator="equal">
      <formula>45443</formula>
    </cfRule>
  </conditionalFormatting>
  <conditionalFormatting sqref="S91">
    <cfRule type="cellIs" dxfId="104" priority="79" operator="equal">
      <formula>45443</formula>
    </cfRule>
    <cfRule type="expression" dxfId="103" priority="77">
      <formula>"if $C$1&lt;"</formula>
    </cfRule>
    <cfRule type="expression" dxfId="102" priority="78">
      <formula>"if $G$4&gt;$C$1 and $H$4 is ""null"""</formula>
    </cfRule>
  </conditionalFormatting>
  <conditionalFormatting sqref="S94">
    <cfRule type="cellIs" dxfId="101" priority="76" operator="equal">
      <formula>45443</formula>
    </cfRule>
    <cfRule type="expression" dxfId="100" priority="75">
      <formula>"if $G$4&gt;$C$1 and $H$4 is ""null"""</formula>
    </cfRule>
    <cfRule type="expression" dxfId="99" priority="74">
      <formula>"if $C$1&lt;"</formula>
    </cfRule>
  </conditionalFormatting>
  <conditionalFormatting sqref="S96:S98">
    <cfRule type="cellIs" dxfId="98" priority="70" operator="equal">
      <formula>45443</formula>
    </cfRule>
    <cfRule type="expression" dxfId="97" priority="69">
      <formula>"if $G$4&gt;$C$1 and $H$4 is ""null"""</formula>
    </cfRule>
    <cfRule type="expression" dxfId="96" priority="68">
      <formula>"if $C$1&lt;"</formula>
    </cfRule>
  </conditionalFormatting>
  <conditionalFormatting sqref="S102 S106:S110">
    <cfRule type="cellIs" dxfId="95" priority="492" operator="equal">
      <formula>45443</formula>
    </cfRule>
  </conditionalFormatting>
  <conditionalFormatting sqref="S116:S117">
    <cfRule type="cellIs" dxfId="94" priority="8" operator="equal">
      <formula>45443</formula>
    </cfRule>
  </conditionalFormatting>
  <conditionalFormatting sqref="S119:S129">
    <cfRule type="cellIs" dxfId="93" priority="9" operator="equal">
      <formula>45443</formula>
    </cfRule>
  </conditionalFormatting>
  <conditionalFormatting sqref="S140:S156">
    <cfRule type="cellIs" dxfId="92" priority="10" operator="equal">
      <formula>45443</formula>
    </cfRule>
  </conditionalFormatting>
  <conditionalFormatting sqref="S158:S164">
    <cfRule type="cellIs" dxfId="91" priority="2" operator="equal">
      <formula>45443</formula>
    </cfRule>
  </conditionalFormatting>
  <conditionalFormatting sqref="S165 S170:S173">
    <cfRule type="cellIs" dxfId="90" priority="810" operator="equal">
      <formula>45443</formula>
    </cfRule>
  </conditionalFormatting>
  <conditionalFormatting sqref="S166:S169">
    <cfRule type="cellIs" dxfId="89" priority="6" operator="equal">
      <formula>45443</formula>
    </cfRule>
  </conditionalFormatting>
  <conditionalFormatting sqref="S170:S175 S179:S181 S165 S183 S185">
    <cfRule type="expression" dxfId="88" priority="638">
      <formula>"if $G$4&gt;$C$1 and $H$4 is ""null"""</formula>
    </cfRule>
    <cfRule type="expression" dxfId="87" priority="637">
      <formula>"if $C$1&lt;"</formula>
    </cfRule>
  </conditionalFormatting>
  <conditionalFormatting sqref="S174:S179">
    <cfRule type="cellIs" dxfId="86" priority="61" operator="equal">
      <formula>45443</formula>
    </cfRule>
  </conditionalFormatting>
  <conditionalFormatting sqref="S176:S178">
    <cfRule type="expression" dxfId="85" priority="59">
      <formula>"if $C$1&lt;"</formula>
    </cfRule>
    <cfRule type="expression" dxfId="84" priority="60">
      <formula>"if $G$4&gt;$C$1 and $H$4 is ""null"""</formula>
    </cfRule>
  </conditionalFormatting>
  <conditionalFormatting sqref="S180:S181 S183 S185">
    <cfRule type="expression" dxfId="83" priority="864">
      <formula>"if $C$1&lt;"</formula>
    </cfRule>
    <cfRule type="cellIs" dxfId="82" priority="740" operator="equal">
      <formula>45443</formula>
    </cfRule>
    <cfRule type="expression" dxfId="81" priority="865">
      <formula>"if $G$4&gt;$C$1 and $H$4 is ""null"""</formula>
    </cfRule>
  </conditionalFormatting>
  <conditionalFormatting sqref="S182 S184 S186:S192">
    <cfRule type="cellIs" dxfId="80" priority="625" operator="equal">
      <formula>45443</formula>
    </cfRule>
  </conditionalFormatting>
  <conditionalFormatting sqref="S188:S192">
    <cfRule type="expression" dxfId="79" priority="634">
      <formula>"if $C$1&lt;"</formula>
    </cfRule>
    <cfRule type="expression" dxfId="78" priority="635">
      <formula>"if $G$4&gt;$C$1 and $H$4 is ""null"""</formula>
    </cfRule>
  </conditionalFormatting>
  <conditionalFormatting sqref="S195">
    <cfRule type="expression" dxfId="77" priority="512">
      <formula>"if $G$4&gt;$C$1 and $H$4 is ""null"""</formula>
    </cfRule>
    <cfRule type="expression" dxfId="76" priority="511">
      <formula>"if $C$1&lt;"</formula>
    </cfRule>
  </conditionalFormatting>
  <conditionalFormatting sqref="S195:S202">
    <cfRule type="cellIs" dxfId="75" priority="513" operator="equal">
      <formula>45443</formula>
    </cfRule>
  </conditionalFormatting>
  <conditionalFormatting sqref="S216:S223 S226:S228 S230:S231 S233:S235">
    <cfRule type="cellIs" dxfId="74" priority="617" operator="equal">
      <formula>45443</formula>
    </cfRule>
    <cfRule type="expression" dxfId="73" priority="616">
      <formula>"if $G$4&gt;$C$1 and $H$4 is ""null"""</formula>
    </cfRule>
    <cfRule type="expression" dxfId="72" priority="615">
      <formula>"if $C$1&lt;"</formula>
    </cfRule>
  </conditionalFormatting>
  <conditionalFormatting sqref="S247">
    <cfRule type="expression" dxfId="71" priority="680">
      <formula>"if $C$1&lt;"</formula>
    </cfRule>
    <cfRule type="expression" dxfId="70" priority="681">
      <formula>"if $G$4&gt;$C$1 and $H$4 is ""null"""</formula>
    </cfRule>
  </conditionalFormatting>
  <conditionalFormatting sqref="S259">
    <cfRule type="cellIs" dxfId="69" priority="272" operator="equal">
      <formula>45443</formula>
    </cfRule>
    <cfRule type="expression" dxfId="68" priority="273">
      <formula>"if $G$4&gt;$C$1 and $H$4 is ""null"""</formula>
    </cfRule>
    <cfRule type="expression" dxfId="67" priority="274">
      <formula>"if $C$1&lt;"</formula>
    </cfRule>
  </conditionalFormatting>
  <conditionalFormatting sqref="T4:T5">
    <cfRule type="expression" dxfId="66" priority="928">
      <formula>"if $G$4&gt;$C$1 and $H$4 is ""null"""</formula>
    </cfRule>
    <cfRule type="cellIs" dxfId="65" priority="926" operator="equal">
      <formula>45443</formula>
    </cfRule>
    <cfRule type="expression" dxfId="64" priority="927">
      <formula>"if $C$1&lt;"</formula>
    </cfRule>
  </conditionalFormatting>
  <conditionalFormatting sqref="T7:T17">
    <cfRule type="expression" dxfId="63" priority="147">
      <formula>"if $C$1&lt;"</formula>
    </cfRule>
  </conditionalFormatting>
  <conditionalFormatting sqref="T9:T17">
    <cfRule type="expression" dxfId="62" priority="148">
      <formula>"if $G$4&gt;$C$1 and $H$4 is ""null"""</formula>
    </cfRule>
    <cfRule type="cellIs" dxfId="61" priority="146" operator="equal">
      <formula>45443</formula>
    </cfRule>
  </conditionalFormatting>
  <conditionalFormatting sqref="T86:T101">
    <cfRule type="expression" dxfId="60" priority="310">
      <formula>"if $C$1&lt;"</formula>
    </cfRule>
  </conditionalFormatting>
  <conditionalFormatting sqref="T251 V251:W251">
    <cfRule type="expression" dxfId="59" priority="669">
      <formula>"if $G$4&gt;$C$1 and $H$4 is ""null"""</formula>
    </cfRule>
    <cfRule type="cellIs" dxfId="58" priority="667" operator="equal">
      <formula>45443</formula>
    </cfRule>
    <cfRule type="expression" dxfId="57" priority="668">
      <formula>"if $C$1&lt;"</formula>
    </cfRule>
  </conditionalFormatting>
  <conditionalFormatting sqref="T256:T259 M259">
    <cfRule type="expression" dxfId="56" priority="285">
      <formula>"if $G$4&gt;$C$1 and $H$4 is ""null"""</formula>
    </cfRule>
    <cfRule type="cellIs" dxfId="55" priority="284" operator="equal">
      <formula>45443</formula>
    </cfRule>
    <cfRule type="expression" dxfId="54" priority="286">
      <formula>"if $C$1&lt;"</formula>
    </cfRule>
  </conditionalFormatting>
  <conditionalFormatting sqref="U4:U7">
    <cfRule type="cellIs" dxfId="53" priority="134" operator="equal">
      <formula>45443</formula>
    </cfRule>
    <cfRule type="expression" dxfId="52" priority="135">
      <formula>"if $G$4&gt;$C$1 and $H$4 is ""null"""</formula>
    </cfRule>
  </conditionalFormatting>
  <conditionalFormatting sqref="U9:U10">
    <cfRule type="cellIs" dxfId="51" priority="132" operator="equal">
      <formula>45443</formula>
    </cfRule>
    <cfRule type="expression" dxfId="50" priority="133">
      <formula>"if $G$4&gt;$C$1 and $H$4 is ""null"""</formula>
    </cfRule>
  </conditionalFormatting>
  <conditionalFormatting sqref="U11:U19 O11:O53 R11:R53 L15:L53 T20:U52 U53 T53:T85 L55 O55 R55 U55 L102:L194 K4:L4">
    <cfRule type="expression" dxfId="49" priority="949">
      <formula>"if $G$4&gt;$C$1 and $H$4 is ""null"""</formula>
    </cfRule>
  </conditionalFormatting>
  <conditionalFormatting sqref="U15:U17">
    <cfRule type="expression" dxfId="48" priority="212">
      <formula>"if $C$1&lt;"</formula>
    </cfRule>
  </conditionalFormatting>
  <conditionalFormatting sqref="U60 U62 U64 U66 U68:U85">
    <cfRule type="expression" dxfId="47" priority="222">
      <formula>"if $G$4&gt;$C$1 and $H$4 is ""null"""</formula>
    </cfRule>
  </conditionalFormatting>
  <conditionalFormatting sqref="U60 U62 U64 U66 U68:U194 U247:U259">
    <cfRule type="cellIs" dxfId="46" priority="213" operator="equal">
      <formula>45443</formula>
    </cfRule>
  </conditionalFormatting>
  <conditionalFormatting sqref="U102:U194">
    <cfRule type="expression" dxfId="45" priority="226">
      <formula>"if $G$4&gt;$C$1 and $H$4 is ""null"""</formula>
    </cfRule>
  </conditionalFormatting>
  <conditionalFormatting sqref="U196:U200">
    <cfRule type="expression" dxfId="44" priority="211">
      <formula>"if $G$4&gt;$C$1 and $H$4 is ""null"""</formula>
    </cfRule>
    <cfRule type="expression" dxfId="43" priority="210">
      <formula>"if $C$1&lt;"</formula>
    </cfRule>
    <cfRule type="cellIs" dxfId="42" priority="209" operator="equal">
      <formula>45443</formula>
    </cfRule>
  </conditionalFormatting>
  <conditionalFormatting sqref="U204 U206:U212">
    <cfRule type="expression" dxfId="41" priority="220">
      <formula>"if $G$4&gt;$C$1 and $H$4 is ""null"""</formula>
    </cfRule>
    <cfRule type="cellIs" dxfId="40" priority="218" operator="equal">
      <formula>45443</formula>
    </cfRule>
    <cfRule type="expression" dxfId="39" priority="219">
      <formula>"if $C$1&lt;"</formula>
    </cfRule>
  </conditionalFormatting>
  <conditionalFormatting sqref="U219:U220 U228:U229 U232:U233 U236:U237">
    <cfRule type="expression" dxfId="38" priority="221">
      <formula>"if $C$1&lt;"</formula>
    </cfRule>
    <cfRule type="expression" dxfId="37" priority="217">
      <formula>"if $G$4&gt;$C$1 and $H$4 is ""null"""</formula>
    </cfRule>
    <cfRule type="cellIs" dxfId="36" priority="216" operator="equal">
      <formula>45443</formula>
    </cfRule>
  </conditionalFormatting>
  <conditionalFormatting sqref="U223:U225">
    <cfRule type="expression" dxfId="35" priority="41">
      <formula>"if $G$4&gt;$C$1 and $H$4 is ""null"""</formula>
    </cfRule>
    <cfRule type="cellIs" dxfId="34" priority="40" operator="equal">
      <formula>45443</formula>
    </cfRule>
    <cfRule type="expression" dxfId="33" priority="42">
      <formula>"if $C$1&lt;"</formula>
    </cfRule>
  </conditionalFormatting>
  <conditionalFormatting sqref="U247:U259">
    <cfRule type="expression" dxfId="32" priority="215">
      <formula>"if $G$4&gt;$C$1 and $H$4 is ""null"""</formula>
    </cfRule>
  </conditionalFormatting>
  <conditionalFormatting sqref="V25:W25">
    <cfRule type="expression" dxfId="31" priority="86">
      <formula>"if $G$4&gt;$C$1 and $H$4 is ""null"""</formula>
    </cfRule>
    <cfRule type="expression" dxfId="30" priority="85">
      <formula>"if $C$1&lt;"</formula>
    </cfRule>
    <cfRule type="cellIs" dxfId="29" priority="87" operator="equal">
      <formula>45443</formula>
    </cfRule>
  </conditionalFormatting>
  <conditionalFormatting sqref="V49:W50">
    <cfRule type="cellIs" dxfId="28" priority="83" operator="equal">
      <formula>45443</formula>
    </cfRule>
  </conditionalFormatting>
  <conditionalFormatting sqref="V86:W88">
    <cfRule type="expression" dxfId="27" priority="167">
      <formula>"if $C$1&lt;"</formula>
    </cfRule>
    <cfRule type="expression" dxfId="26" priority="168">
      <formula>"if $G$4&gt;$C$1 and $H$4 is ""null"""</formula>
    </cfRule>
    <cfRule type="cellIs" dxfId="25" priority="169" operator="equal">
      <formula>45443</formula>
    </cfRule>
  </conditionalFormatting>
  <conditionalFormatting sqref="V90:W90">
    <cfRule type="cellIs" dxfId="24" priority="166" operator="equal">
      <formula>45443</formula>
    </cfRule>
    <cfRule type="expression" dxfId="23" priority="165">
      <formula>"if $G$4&gt;$C$1 and $H$4 is ""null"""</formula>
    </cfRule>
    <cfRule type="expression" dxfId="22" priority="164">
      <formula>"if $C$1&lt;"</formula>
    </cfRule>
  </conditionalFormatting>
  <conditionalFormatting sqref="V92:W93">
    <cfRule type="expression" dxfId="21" priority="161">
      <formula>"if $C$1&lt;"</formula>
    </cfRule>
    <cfRule type="cellIs" dxfId="20" priority="163" operator="equal">
      <formula>45443</formula>
    </cfRule>
    <cfRule type="expression" dxfId="19" priority="162">
      <formula>"if $G$4&gt;$C$1 and $H$4 is ""null"""</formula>
    </cfRule>
  </conditionalFormatting>
  <conditionalFormatting sqref="V188:W189 V191:W192 V196:W196">
    <cfRule type="cellIs" dxfId="18" priority="860" operator="equal">
      <formula>45443</formula>
    </cfRule>
    <cfRule type="expression" dxfId="17" priority="862">
      <formula>"if $C$1&lt;"</formula>
    </cfRule>
    <cfRule type="expression" dxfId="16" priority="863">
      <formula>"if $G$4&gt;$C$1 and $H$4 is ""null"""</formula>
    </cfRule>
  </conditionalFormatting>
  <conditionalFormatting sqref="V199:W200">
    <cfRule type="cellIs" dxfId="15" priority="263" operator="equal">
      <formula>45443</formula>
    </cfRule>
    <cfRule type="expression" dxfId="14" priority="265">
      <formula>"if $G$4&gt;$C$1 and $H$4 is ""null"""</formula>
    </cfRule>
    <cfRule type="expression" dxfId="13" priority="264">
      <formula>"if $C$1&lt;"</formula>
    </cfRule>
  </conditionalFormatting>
  <conditionalFormatting sqref="V254:W255">
    <cfRule type="expression" dxfId="12" priority="538">
      <formula>"if $C$1&lt;"</formula>
    </cfRule>
    <cfRule type="expression" dxfId="11" priority="539">
      <formula>"if $G$4&gt;$C$1 and $H$4 is ""null"""</formula>
    </cfRule>
    <cfRule type="cellIs" dxfId="10" priority="537" operator="equal">
      <formula>45443</formula>
    </cfRule>
  </conditionalFormatting>
  <conditionalFormatting sqref="Y1:Y12 Z3:AB12 Z226:AB259 Y226:Y1048576">
    <cfRule type="containsText" dxfId="9" priority="119" operator="containsText" text="completed">
      <formula>NOT(ISERROR(SEARCH("completed",Y1)))</formula>
    </cfRule>
    <cfRule type="containsText" dxfId="8" priority="118" operator="containsText" text="Follow-This week">
      <formula>NOT(ISERROR(SEARCH("Follow-This week",Y1)))</formula>
    </cfRule>
    <cfRule type="containsText" dxfId="7" priority="117" operator="containsText" text="Follow-Next Week">
      <formula>NOT(ISERROR(SEARCH("Follow-Next Week",Y1)))</formula>
    </cfRule>
    <cfRule type="containsText" dxfId="6" priority="116" operator="containsText" text="Overdue">
      <formula>NOT(ISERROR(SEARCH("Overdue",Y1)))</formula>
    </cfRule>
  </conditionalFormatting>
  <conditionalFormatting sqref="Y13:AB225">
    <cfRule type="containsText" dxfId="5" priority="38" operator="containsText" text="Follow-This week">
      <formula>NOT(ISERROR(SEARCH("Follow-This week",Y13)))</formula>
    </cfRule>
    <cfRule type="containsText" dxfId="4" priority="37" operator="containsText" text="Follow-Next Week">
      <formula>NOT(ISERROR(SEARCH("Follow-Next Week",Y13)))</formula>
    </cfRule>
    <cfRule type="containsText" dxfId="3" priority="36" operator="containsText" text="Overdue">
      <formula>NOT(ISERROR(SEARCH("Overdue",Y13)))</formula>
    </cfRule>
    <cfRule type="containsText" dxfId="2" priority="39" operator="containsText" text="completed">
      <formula>NOT(ISERROR(SEARCH("completed",Y13)))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43" t="s">
        <v>36</v>
      </c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7"/>
    </row>
    <row r="5" spans="1:97" ht="45" x14ac:dyDescent="0.35">
      <c r="B5" s="26"/>
      <c r="C5" s="244" t="s">
        <v>56</v>
      </c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38" t="s">
        <v>25</v>
      </c>
      <c r="E6" s="238" t="s">
        <v>26</v>
      </c>
      <c r="F6" s="240" t="s">
        <v>30</v>
      </c>
      <c r="G6" s="241"/>
      <c r="H6" s="241"/>
      <c r="I6" s="242"/>
      <c r="J6" s="240" t="s">
        <v>27</v>
      </c>
      <c r="K6" s="241"/>
      <c r="L6" s="241"/>
      <c r="M6" s="242"/>
      <c r="N6" s="240" t="s">
        <v>28</v>
      </c>
      <c r="O6" s="241"/>
      <c r="P6" s="241"/>
      <c r="Q6" s="242"/>
    </row>
    <row r="7" spans="1:17" ht="24.5" customHeight="1" thickBot="1" x14ac:dyDescent="0.4">
      <c r="D7" s="239"/>
      <c r="E7" s="239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2026-10-10T08:15:26Z</cp:lastPrinted>
  <dcterms:created xsi:type="dcterms:W3CDTF">2024-04-23T01:26:48Z</dcterms:created>
  <dcterms:modified xsi:type="dcterms:W3CDTF">2026-10-10T08:19:38Z</dcterms:modified>
</cp:coreProperties>
</file>